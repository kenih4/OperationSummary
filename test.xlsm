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155FC82B-91D5-4727-B037-5FD2160468CC}" xr6:coauthVersionLast="47" xr6:coauthVersionMax="47" xr10:uidLastSave="{00000000-0000-0000-0000-000000000000}"/>
  <bookViews>
    <workbookView xWindow="-110" yWindow="-110" windowWidth="19420" windowHeight="10300" tabRatio="862" firstSheet="6" activeTab="13" xr2:uid="{00000000-000D-0000-FFFF-FFFF00000000}"/>
  </bookViews>
  <sheets>
    <sheet name="運転予定時間" sheetId="24" r:id="rId1"/>
    <sheet name="GUN HV OFF時間記録" sheetId="20" r:id="rId2"/>
    <sheet name="集計記録" sheetId="1" r:id="rId3"/>
    <sheet name="利用時間（期間）" sheetId="16" r:id="rId4"/>
    <sheet name="利用時間(User)" sheetId="21" r:id="rId5"/>
    <sheet name="利用時間(シフト)" sheetId="23" r:id="rId6"/>
    <sheet name="Fault間隔(ユニット)" sheetId="15" r:id="rId7"/>
    <sheet name="Fault集計(BL2)" sheetId="85" r:id="rId8"/>
    <sheet name="(BL2)" sheetId="58" r:id="rId9"/>
    <sheet name="行数" sheetId="17" state="hidden" r:id="rId10"/>
    <sheet name="リスト" sheetId="11" r:id="rId11"/>
    <sheet name="配列" sheetId="27" r:id="rId12"/>
    <sheet name="運転状況(対象ユニット)" sheetId="14" r:id="rId13"/>
    <sheet name="24-11(BL2)" sheetId="86" r:id="rId14"/>
    <sheet name="24-9(BL2)" sheetId="84" r:id="rId15"/>
    <sheet name="24-8(BL2)" sheetId="76" r:id="rId16"/>
    <sheet name="24-7(BL2)" sheetId="74" r:id="rId17"/>
    <sheet name="24-6(BL2)" sheetId="72" r:id="rId18"/>
    <sheet name="24-5(BL2)" sheetId="63" r:id="rId19"/>
    <sheet name="24-4(BL2)" sheetId="60" r:id="rId20"/>
    <sheet name="24-3(BL2)" sheetId="56" r:id="rId21"/>
    <sheet name="24-2(BL2)" sheetId="54" r:id="rId22"/>
    <sheet name="24-1(BL2)" sheetId="53" r:id="rId23"/>
  </sheets>
  <functionGroups builtInGroupCount="19"/>
  <definedNames>
    <definedName name="_xlnm._FilterDatabase" localSheetId="8" hidden="1">'(BL2)'!#REF!</definedName>
    <definedName name="_xlnm._FilterDatabase" localSheetId="22" hidden="1">'24-1(BL2)'!#REF!</definedName>
    <definedName name="_xlnm._FilterDatabase" localSheetId="13" hidden="1">'24-11(BL2)'!#REF!</definedName>
    <definedName name="_xlnm._FilterDatabase" localSheetId="21" hidden="1">'24-2(BL2)'!#REF!</definedName>
    <definedName name="_xlnm._FilterDatabase" localSheetId="20" hidden="1">'24-3(BL2)'!#REF!</definedName>
    <definedName name="_xlnm._FilterDatabase" localSheetId="19" hidden="1">'24-4(BL2)'!#REF!</definedName>
    <definedName name="_xlnm._FilterDatabase" localSheetId="18" hidden="1">'24-5(BL2)'!#REF!</definedName>
    <definedName name="_xlnm._FilterDatabase" localSheetId="17" hidden="1">'24-6(BL2)'!#REF!</definedName>
    <definedName name="_xlnm._FilterDatabase" localSheetId="16" hidden="1">'24-7(BL2)'!#REF!</definedName>
    <definedName name="_xlnm._FilterDatabase" localSheetId="15" hidden="1">'24-8(BL2)'!#REF!</definedName>
    <definedName name="_xlnm._FilterDatabase" localSheetId="14" hidden="1">'24-9(BL2)'!#REF!</definedName>
    <definedName name="_xlnm._FilterDatabase" localSheetId="12" hidden="1">'運転状況(対象ユニット)'!#REF!</definedName>
    <definedName name="_xlnm._FilterDatabase" localSheetId="0">運転予定時間!$A$3:$N$129</definedName>
    <definedName name="_xlnm._FilterDatabase" localSheetId="2" hidden="1">集計記録!$B$1:$B$8</definedName>
    <definedName name="_xlnm._FilterDatabase" localSheetId="4" hidden="1">'利用時間(User)'!$B$4:$M$4</definedName>
    <definedName name="_xlnm.Print_Area" localSheetId="8">'(BL2)'!$A$1:$N$62</definedName>
    <definedName name="_xlnm.Print_Area" localSheetId="22">'24-1(BL2)'!$A$1:$N$24</definedName>
    <definedName name="_xlnm.Print_Area" localSheetId="13">'24-11(BL2)'!$A$1:$N$48</definedName>
    <definedName name="_xlnm.Print_Area" localSheetId="21">'24-2(BL2)'!$A$1:$N$38</definedName>
    <definedName name="_xlnm.Print_Area" localSheetId="20">'24-3(BL2)'!$A$1:$N$38</definedName>
    <definedName name="_xlnm.Print_Area" localSheetId="19">'24-4(BL2)'!$A$1:$N$44</definedName>
    <definedName name="_xlnm.Print_Area" localSheetId="18">'24-5(BL2)'!$A$1:$N$47</definedName>
    <definedName name="_xlnm.Print_Area" localSheetId="17">'24-6(BL2)'!$A$1:$N$45</definedName>
    <definedName name="_xlnm.Print_Area" localSheetId="16">'24-7(BL2)'!$A$1:$N$27</definedName>
    <definedName name="_xlnm.Print_Area" localSheetId="15">'24-8(BL2)'!$A$1:$N$47</definedName>
    <definedName name="_xlnm.Print_Area" localSheetId="14">'24-9(BL2)'!$A$1:$N$24</definedName>
    <definedName name="_xlnm.Print_Area" localSheetId="12">'運転状況(対象ユニット)'!$A$1:$N$65</definedName>
    <definedName name="ユーザー判定_改">OFFSET('利用時間(User)'!$C$9,0,0,COUNT('利用時間(User)'!$C$9:$C$104),11)</definedName>
    <definedName name="ユニット_運転予定">OFFSET('利用時間（期間）'!$C$4,0,0,COUNT('利用時間（期間）'!$A:$A),1)</definedName>
    <definedName name="ユニット判定用">OFFSET('利用時間（期間）'!$A$4,0,0,COUNT('利用時間（期間）'!$A:$A),3)</definedName>
    <definedName name="運転条件判定">OFFSET('利用時間(User)'!$C$9,0,0,COUNT('利用時間(User)'!$C$9:$C$30000),21)</definedName>
    <definedName name="運転予定時間">運転予定時間!$A$4:$M$1048576</definedName>
    <definedName name="運転予定時間_運転種別">運転予定時間!$B$4:$B$545</definedName>
    <definedName name="施設運転・利用調整時間判定">OFFSET('GUN HV OFF時間記録'!$K$6,0,0,COUNT('GUN HV OFF時間記録'!$K$6:$K$112),11)</definedName>
    <definedName name="集計記録">集計記録!$A$9:$I$21998</definedName>
    <definedName name="集計記録_運転種別">集計記録!$B$9:$B$21998</definedName>
    <definedName name="調整理由">リスト!$G$5:$G$10</definedName>
    <definedName name="利用時間_シフト">'利用時間(シフト)'!$A$9:$N$29999</definedName>
    <definedName name="利用時間_ユーザー">'利用時間(User)'!$A$9:$U$30000</definedName>
    <definedName name="利用時間_期間">'利用時間（期間）'!$A$4:$K$100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0" l="1"/>
  <c r="F7" i="20"/>
  <c r="F8" i="20"/>
  <c r="F9" i="20"/>
  <c r="F10" i="20"/>
  <c r="F11" i="20"/>
  <c r="F12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H19" i="74"/>
  <c r="G19" i="74"/>
  <c r="E19" i="74"/>
  <c r="B18" i="74"/>
  <c r="C4" i="27"/>
  <c r="H27" i="63" l="1"/>
  <c r="F27" i="63"/>
  <c r="E27" i="63"/>
  <c r="E30" i="24"/>
  <c r="F30" i="24"/>
  <c r="E31" i="24"/>
  <c r="A31" i="24"/>
  <c r="A34" i="24"/>
  <c r="A33" i="24" s="1"/>
  <c r="A32" i="24" s="1"/>
  <c r="E33" i="24"/>
  <c r="H33" i="24"/>
  <c r="I33" i="24"/>
  <c r="J33" i="24"/>
  <c r="K33" i="24"/>
  <c r="L33" i="24"/>
  <c r="M33" i="24"/>
  <c r="B53" i="58"/>
  <c r="B18" i="58"/>
  <c r="B8" i="58"/>
  <c r="A30" i="24" l="1"/>
  <c r="AB10" i="21"/>
  <c r="Z10" i="21"/>
  <c r="AA10" i="21"/>
  <c r="AC10" i="21"/>
  <c r="Z9" i="21"/>
  <c r="AA9" i="21"/>
  <c r="AB9" i="21"/>
  <c r="AC9" i="21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B8" i="14" l="1"/>
  <c r="E4" i="24" l="1"/>
  <c r="H4" i="24"/>
  <c r="I4" i="24"/>
  <c r="J4" i="24"/>
  <c r="K4" i="24"/>
  <c r="L4" i="24"/>
  <c r="M4" i="24"/>
  <c r="E5" i="24"/>
  <c r="H5" i="24"/>
  <c r="I5" i="24"/>
  <c r="J5" i="24"/>
  <c r="K5" i="24"/>
  <c r="L5" i="24"/>
  <c r="M5" i="24"/>
  <c r="H6" i="24"/>
  <c r="E7" i="24"/>
  <c r="H7" i="24"/>
  <c r="I7" i="24"/>
  <c r="J7" i="24"/>
  <c r="K7" i="24"/>
  <c r="L7" i="24"/>
  <c r="M7" i="24"/>
  <c r="E8" i="24"/>
  <c r="F8" i="24"/>
  <c r="H8" i="24"/>
  <c r="I8" i="24"/>
  <c r="J8" i="24"/>
  <c r="K8" i="24"/>
  <c r="L8" i="24"/>
  <c r="M8" i="24"/>
  <c r="E9" i="24"/>
  <c r="H9" i="24"/>
  <c r="I9" i="24"/>
  <c r="J9" i="24"/>
  <c r="K9" i="24"/>
  <c r="L9" i="24"/>
  <c r="M9" i="24"/>
  <c r="E10" i="24"/>
  <c r="F10" i="24"/>
  <c r="H10" i="24"/>
  <c r="I10" i="24"/>
  <c r="J10" i="24"/>
  <c r="K10" i="24"/>
  <c r="L10" i="24"/>
  <c r="M10" i="24"/>
  <c r="E11" i="24"/>
  <c r="H11" i="24"/>
  <c r="I11" i="24"/>
  <c r="J11" i="24"/>
  <c r="K11" i="24"/>
  <c r="L11" i="24"/>
  <c r="M11" i="24"/>
  <c r="H12" i="24"/>
  <c r="E13" i="24"/>
  <c r="H13" i="24"/>
  <c r="I13" i="24"/>
  <c r="J13" i="24"/>
  <c r="K13" i="24"/>
  <c r="L13" i="24"/>
  <c r="M13" i="24"/>
  <c r="E14" i="24"/>
  <c r="H14" i="24"/>
  <c r="I14" i="24"/>
  <c r="J14" i="24"/>
  <c r="K14" i="24"/>
  <c r="L14" i="24"/>
  <c r="M14" i="24"/>
  <c r="E15" i="24"/>
  <c r="F15" i="24"/>
  <c r="H15" i="24"/>
  <c r="I15" i="24"/>
  <c r="J15" i="24"/>
  <c r="K15" i="24"/>
  <c r="L15" i="24"/>
  <c r="M15" i="24"/>
  <c r="E16" i="24"/>
  <c r="H16" i="24"/>
  <c r="I16" i="24"/>
  <c r="J16" i="24"/>
  <c r="K16" i="24"/>
  <c r="L16" i="24"/>
  <c r="M16" i="24"/>
  <c r="O6" i="21"/>
  <c r="A11" i="24" l="1"/>
  <c r="A10" i="24" s="1"/>
  <c r="A9" i="24" s="1"/>
  <c r="A8" i="24" s="1"/>
  <c r="A7" i="24" s="1"/>
  <c r="A5" i="24"/>
  <c r="A4" i="24" s="1"/>
  <c r="P75" i="21"/>
  <c r="Q75" i="21"/>
  <c r="R75" i="21"/>
  <c r="S75" i="21"/>
  <c r="P76" i="21"/>
  <c r="Q76" i="21"/>
  <c r="R76" i="21"/>
  <c r="S76" i="21"/>
  <c r="P77" i="21"/>
  <c r="Q77" i="21"/>
  <c r="R77" i="21"/>
  <c r="S77" i="21"/>
  <c r="P78" i="21"/>
  <c r="Q78" i="21"/>
  <c r="R78" i="21"/>
  <c r="S78" i="21"/>
  <c r="P79" i="21"/>
  <c r="Q79" i="21"/>
  <c r="R79" i="21"/>
  <c r="S79" i="21"/>
  <c r="P80" i="21"/>
  <c r="Q80" i="21"/>
  <c r="R80" i="21"/>
  <c r="S80" i="21"/>
  <c r="P81" i="21"/>
  <c r="Q81" i="21"/>
  <c r="R81" i="21"/>
  <c r="S81" i="21"/>
  <c r="P82" i="21"/>
  <c r="Q82" i="21"/>
  <c r="R82" i="21"/>
  <c r="S82" i="21"/>
  <c r="P83" i="21"/>
  <c r="Q83" i="21"/>
  <c r="R83" i="21"/>
  <c r="S83" i="21"/>
  <c r="P84" i="21"/>
  <c r="Q84" i="21"/>
  <c r="R84" i="21"/>
  <c r="S84" i="21"/>
  <c r="P85" i="21"/>
  <c r="Q85" i="21"/>
  <c r="R85" i="21"/>
  <c r="S85" i="21"/>
  <c r="P86" i="21"/>
  <c r="Q86" i="21"/>
  <c r="R86" i="21"/>
  <c r="S86" i="21"/>
  <c r="P87" i="21"/>
  <c r="Q87" i="21"/>
  <c r="R87" i="21"/>
  <c r="S87" i="21"/>
  <c r="P88" i="21"/>
  <c r="Q88" i="21"/>
  <c r="R88" i="21"/>
  <c r="S88" i="21"/>
  <c r="P89" i="21"/>
  <c r="Q89" i="21"/>
  <c r="R89" i="21"/>
  <c r="S89" i="21"/>
  <c r="P90" i="21"/>
  <c r="Q90" i="21"/>
  <c r="R90" i="21"/>
  <c r="S90" i="21"/>
  <c r="P91" i="21"/>
  <c r="Q91" i="21"/>
  <c r="R91" i="21"/>
  <c r="S91" i="21"/>
  <c r="P92" i="21"/>
  <c r="Q92" i="21"/>
  <c r="R92" i="21"/>
  <c r="S92" i="21"/>
  <c r="P93" i="21"/>
  <c r="Q93" i="21"/>
  <c r="R93" i="21"/>
  <c r="S93" i="21"/>
  <c r="P94" i="21"/>
  <c r="Q94" i="21"/>
  <c r="R94" i="21"/>
  <c r="S94" i="21"/>
  <c r="P95" i="21"/>
  <c r="Q95" i="21"/>
  <c r="R95" i="21"/>
  <c r="S95" i="21"/>
  <c r="P96" i="21"/>
  <c r="Q96" i="21"/>
  <c r="R96" i="21"/>
  <c r="S96" i="21"/>
  <c r="P97" i="21"/>
  <c r="Q97" i="21"/>
  <c r="R97" i="21"/>
  <c r="S97" i="21"/>
  <c r="P98" i="21"/>
  <c r="Q98" i="21"/>
  <c r="R98" i="21"/>
  <c r="S98" i="21"/>
  <c r="P99" i="21"/>
  <c r="Q99" i="21"/>
  <c r="R99" i="21"/>
  <c r="S99" i="21"/>
  <c r="P100" i="21"/>
  <c r="Q100" i="21"/>
  <c r="R100" i="21"/>
  <c r="S100" i="21"/>
  <c r="P101" i="21"/>
  <c r="Q101" i="21"/>
  <c r="R101" i="21"/>
  <c r="S101" i="21"/>
  <c r="P102" i="21"/>
  <c r="Q102" i="21"/>
  <c r="R102" i="21"/>
  <c r="S102" i="21"/>
  <c r="P103" i="21"/>
  <c r="Q103" i="21"/>
  <c r="R103" i="21"/>
  <c r="S103" i="21"/>
  <c r="P104" i="21"/>
  <c r="Q104" i="21"/>
  <c r="R104" i="21"/>
  <c r="S104" i="21"/>
  <c r="I2313" i="1"/>
  <c r="I2314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B213" i="20"/>
  <c r="G213" i="20"/>
  <c r="B214" i="20"/>
  <c r="G214" i="20"/>
  <c r="B215" i="20"/>
  <c r="G215" i="20"/>
  <c r="B216" i="20"/>
  <c r="G216" i="20"/>
  <c r="B217" i="20"/>
  <c r="G217" i="20"/>
  <c r="B218" i="20"/>
  <c r="G218" i="20"/>
  <c r="B219" i="20"/>
  <c r="G219" i="20"/>
  <c r="B220" i="20"/>
  <c r="G220" i="20"/>
  <c r="B221" i="20"/>
  <c r="G221" i="20"/>
  <c r="B222" i="20"/>
  <c r="G222" i="20"/>
  <c r="B223" i="20"/>
  <c r="G223" i="20"/>
  <c r="B224" i="20"/>
  <c r="G224" i="20"/>
  <c r="B225" i="20"/>
  <c r="G225" i="20"/>
  <c r="B226" i="20"/>
  <c r="G226" i="20"/>
  <c r="B227" i="20"/>
  <c r="F227" i="20"/>
  <c r="G227" i="20"/>
  <c r="B228" i="20"/>
  <c r="F228" i="20"/>
  <c r="G228" i="20"/>
  <c r="B229" i="20"/>
  <c r="F229" i="20"/>
  <c r="G229" i="20"/>
  <c r="B230" i="20"/>
  <c r="F230" i="20"/>
  <c r="G230" i="20"/>
  <c r="B231" i="20"/>
  <c r="F231" i="20"/>
  <c r="G231" i="20"/>
  <c r="B232" i="20"/>
  <c r="F232" i="20"/>
  <c r="G232" i="20"/>
  <c r="B233" i="20"/>
  <c r="F233" i="20"/>
  <c r="G233" i="20"/>
  <c r="B234" i="20"/>
  <c r="F234" i="20"/>
  <c r="G234" i="20"/>
  <c r="B235" i="20"/>
  <c r="F235" i="20"/>
  <c r="G235" i="20"/>
  <c r="B236" i="20"/>
  <c r="F236" i="20"/>
  <c r="G236" i="20"/>
  <c r="B237" i="20"/>
  <c r="F237" i="20"/>
  <c r="G237" i="20"/>
  <c r="B238" i="20"/>
  <c r="F238" i="20"/>
  <c r="G238" i="20"/>
  <c r="B239" i="20"/>
  <c r="F239" i="20"/>
  <c r="G239" i="20"/>
  <c r="B240" i="20"/>
  <c r="F240" i="20"/>
  <c r="G240" i="20"/>
  <c r="B241" i="20"/>
  <c r="F241" i="20"/>
  <c r="G241" i="20"/>
  <c r="B242" i="20"/>
  <c r="F242" i="20"/>
  <c r="G242" i="20"/>
  <c r="B243" i="20"/>
  <c r="F243" i="20"/>
  <c r="G243" i="20"/>
  <c r="B244" i="20"/>
  <c r="F244" i="20"/>
  <c r="G244" i="20"/>
  <c r="B245" i="20"/>
  <c r="F245" i="20"/>
  <c r="G245" i="20"/>
  <c r="B246" i="20"/>
  <c r="F246" i="20"/>
  <c r="G246" i="20"/>
  <c r="B247" i="20"/>
  <c r="F247" i="20"/>
  <c r="G247" i="20"/>
  <c r="B248" i="20"/>
  <c r="F248" i="20"/>
  <c r="G248" i="20"/>
  <c r="B249" i="20"/>
  <c r="F249" i="20"/>
  <c r="G249" i="20"/>
  <c r="B250" i="20"/>
  <c r="F250" i="20"/>
  <c r="G250" i="20"/>
  <c r="B251" i="20"/>
  <c r="F251" i="20"/>
  <c r="G251" i="20"/>
  <c r="B252" i="20"/>
  <c r="F252" i="20"/>
  <c r="G252" i="20"/>
  <c r="B253" i="20"/>
  <c r="F253" i="20"/>
  <c r="G253" i="20"/>
  <c r="B254" i="20"/>
  <c r="F254" i="20"/>
  <c r="G254" i="20"/>
  <c r="B255" i="20"/>
  <c r="F255" i="20"/>
  <c r="G255" i="20"/>
  <c r="B256" i="20"/>
  <c r="F256" i="20"/>
  <c r="G256" i="20"/>
  <c r="B257" i="20"/>
  <c r="F257" i="20"/>
  <c r="G257" i="20"/>
  <c r="B258" i="20"/>
  <c r="F258" i="20"/>
  <c r="G258" i="20"/>
  <c r="B259" i="20"/>
  <c r="F259" i="20"/>
  <c r="G259" i="20"/>
  <c r="B260" i="20"/>
  <c r="F260" i="20"/>
  <c r="G260" i="20"/>
  <c r="B261" i="20"/>
  <c r="F261" i="20"/>
  <c r="G261" i="20"/>
  <c r="B262" i="20"/>
  <c r="F262" i="20"/>
  <c r="G262" i="20"/>
  <c r="B263" i="20"/>
  <c r="F263" i="20"/>
  <c r="G263" i="20"/>
  <c r="B264" i="20"/>
  <c r="F264" i="20"/>
  <c r="G264" i="20"/>
  <c r="B265" i="20"/>
  <c r="F265" i="20"/>
  <c r="G265" i="20"/>
  <c r="B266" i="20"/>
  <c r="F266" i="20"/>
  <c r="G266" i="20"/>
  <c r="B267" i="20"/>
  <c r="F267" i="20"/>
  <c r="G267" i="20"/>
  <c r="B268" i="20"/>
  <c r="F268" i="20"/>
  <c r="G268" i="20"/>
  <c r="B269" i="20"/>
  <c r="F269" i="20"/>
  <c r="G269" i="20"/>
  <c r="B270" i="20"/>
  <c r="F270" i="20"/>
  <c r="G270" i="20"/>
  <c r="B271" i="20"/>
  <c r="F271" i="20"/>
  <c r="G271" i="20"/>
  <c r="B272" i="20"/>
  <c r="F272" i="20"/>
  <c r="G272" i="20"/>
  <c r="B273" i="20"/>
  <c r="F273" i="20"/>
  <c r="G273" i="20"/>
  <c r="B274" i="20"/>
  <c r="F274" i="20"/>
  <c r="G274" i="20"/>
  <c r="B275" i="20"/>
  <c r="F275" i="20"/>
  <c r="G275" i="20"/>
  <c r="B276" i="20"/>
  <c r="F276" i="20"/>
  <c r="G276" i="20"/>
  <c r="B277" i="20"/>
  <c r="F277" i="20"/>
  <c r="G277" i="20"/>
  <c r="B278" i="20"/>
  <c r="F278" i="20"/>
  <c r="G278" i="20"/>
  <c r="B279" i="20"/>
  <c r="F279" i="20"/>
  <c r="G279" i="20"/>
  <c r="B280" i="20"/>
  <c r="F280" i="20"/>
  <c r="G280" i="20"/>
  <c r="B281" i="20"/>
  <c r="F281" i="20"/>
  <c r="G281" i="20"/>
  <c r="B282" i="20"/>
  <c r="F282" i="20"/>
  <c r="G282" i="20"/>
  <c r="B283" i="20"/>
  <c r="F283" i="20"/>
  <c r="G283" i="20"/>
  <c r="B284" i="20"/>
  <c r="F284" i="20"/>
  <c r="G284" i="20"/>
  <c r="B285" i="20"/>
  <c r="F285" i="20"/>
  <c r="G285" i="20"/>
  <c r="B286" i="20"/>
  <c r="F286" i="20"/>
  <c r="G286" i="20"/>
  <c r="B287" i="20"/>
  <c r="F287" i="20"/>
  <c r="G287" i="20"/>
  <c r="B288" i="20"/>
  <c r="F288" i="20"/>
  <c r="G288" i="20"/>
  <c r="B289" i="20"/>
  <c r="F289" i="20"/>
  <c r="G289" i="20"/>
  <c r="B290" i="20"/>
  <c r="F290" i="20"/>
  <c r="G290" i="20"/>
  <c r="B291" i="20"/>
  <c r="F291" i="20"/>
  <c r="G291" i="20"/>
  <c r="B292" i="20"/>
  <c r="F292" i="20"/>
  <c r="G292" i="20"/>
  <c r="B293" i="20"/>
  <c r="F293" i="20"/>
  <c r="G293" i="20"/>
  <c r="B294" i="20"/>
  <c r="F294" i="20"/>
  <c r="G294" i="20"/>
  <c r="B295" i="20"/>
  <c r="F295" i="20"/>
  <c r="G295" i="20"/>
  <c r="B296" i="20"/>
  <c r="F296" i="20"/>
  <c r="G296" i="20"/>
  <c r="B297" i="20"/>
  <c r="F297" i="20"/>
  <c r="G297" i="20"/>
  <c r="B298" i="20"/>
  <c r="F298" i="20"/>
  <c r="G298" i="20"/>
  <c r="B299" i="20"/>
  <c r="F299" i="20"/>
  <c r="G299" i="20"/>
  <c r="B300" i="20"/>
  <c r="F300" i="20"/>
  <c r="G300" i="20"/>
  <c r="B301" i="20"/>
  <c r="F301" i="20"/>
  <c r="G301" i="20"/>
  <c r="B302" i="20"/>
  <c r="F302" i="20"/>
  <c r="G302" i="20"/>
  <c r="B303" i="20"/>
  <c r="F303" i="20"/>
  <c r="G303" i="20"/>
  <c r="B304" i="20"/>
  <c r="F304" i="20"/>
  <c r="G304" i="20"/>
  <c r="B305" i="20"/>
  <c r="F305" i="20"/>
  <c r="G305" i="20"/>
  <c r="B306" i="20"/>
  <c r="F306" i="20"/>
  <c r="G306" i="20"/>
  <c r="B307" i="20"/>
  <c r="F307" i="20"/>
  <c r="G307" i="20"/>
  <c r="B308" i="20"/>
  <c r="F308" i="20"/>
  <c r="G308" i="20"/>
  <c r="B309" i="20"/>
  <c r="F309" i="20"/>
  <c r="G309" i="20"/>
  <c r="B310" i="20"/>
  <c r="F310" i="20"/>
  <c r="G310" i="20"/>
  <c r="B311" i="20"/>
  <c r="F311" i="20"/>
  <c r="G311" i="20"/>
  <c r="B312" i="20"/>
  <c r="F312" i="20"/>
  <c r="G312" i="20"/>
  <c r="B313" i="20"/>
  <c r="F313" i="20"/>
  <c r="G313" i="20"/>
  <c r="B314" i="20"/>
  <c r="F314" i="20"/>
  <c r="G314" i="20"/>
  <c r="B315" i="20"/>
  <c r="F315" i="20"/>
  <c r="G315" i="20"/>
  <c r="B316" i="20"/>
  <c r="F316" i="20"/>
  <c r="G316" i="20"/>
  <c r="B317" i="20"/>
  <c r="F317" i="20"/>
  <c r="G317" i="20"/>
  <c r="B318" i="20"/>
  <c r="F318" i="20"/>
  <c r="G318" i="20"/>
  <c r="B319" i="20"/>
  <c r="F319" i="20"/>
  <c r="G319" i="20"/>
  <c r="B320" i="20"/>
  <c r="F320" i="20"/>
  <c r="G320" i="20"/>
  <c r="B321" i="20"/>
  <c r="F321" i="20"/>
  <c r="G321" i="20"/>
  <c r="B322" i="20"/>
  <c r="F322" i="20"/>
  <c r="G322" i="20"/>
  <c r="B323" i="20"/>
  <c r="F323" i="20"/>
  <c r="G323" i="20"/>
  <c r="B324" i="20"/>
  <c r="F324" i="20"/>
  <c r="G324" i="20"/>
  <c r="B325" i="20"/>
  <c r="F325" i="20"/>
  <c r="G325" i="20"/>
  <c r="B326" i="20"/>
  <c r="F326" i="20"/>
  <c r="G326" i="20"/>
  <c r="B327" i="20"/>
  <c r="F327" i="20"/>
  <c r="G327" i="20"/>
  <c r="B328" i="20"/>
  <c r="F328" i="20"/>
  <c r="G328" i="20"/>
  <c r="B329" i="20"/>
  <c r="F329" i="20"/>
  <c r="G329" i="20"/>
  <c r="B330" i="20"/>
  <c r="F330" i="20"/>
  <c r="G330" i="20"/>
  <c r="B331" i="20"/>
  <c r="F331" i="20"/>
  <c r="G331" i="20"/>
  <c r="B332" i="20"/>
  <c r="F332" i="20"/>
  <c r="G332" i="20"/>
  <c r="B333" i="20"/>
  <c r="F333" i="20"/>
  <c r="G333" i="20"/>
  <c r="B334" i="20"/>
  <c r="F334" i="20"/>
  <c r="G334" i="20"/>
  <c r="B335" i="20"/>
  <c r="F335" i="20"/>
  <c r="G335" i="20"/>
  <c r="B336" i="20"/>
  <c r="F336" i="20"/>
  <c r="G336" i="20"/>
  <c r="B337" i="20"/>
  <c r="F337" i="20"/>
  <c r="G337" i="20"/>
  <c r="B338" i="20"/>
  <c r="F338" i="20"/>
  <c r="G338" i="20"/>
  <c r="B339" i="20"/>
  <c r="F339" i="20"/>
  <c r="G339" i="20"/>
  <c r="B340" i="20"/>
  <c r="F340" i="20"/>
  <c r="G340" i="20"/>
  <c r="B341" i="20"/>
  <c r="F341" i="20"/>
  <c r="G341" i="20"/>
  <c r="B342" i="20"/>
  <c r="F342" i="20"/>
  <c r="G342" i="20"/>
  <c r="B343" i="20"/>
  <c r="F343" i="20"/>
  <c r="G343" i="20"/>
  <c r="B344" i="20"/>
  <c r="F344" i="20"/>
  <c r="G344" i="20"/>
  <c r="B345" i="20"/>
  <c r="F345" i="20"/>
  <c r="G345" i="20"/>
  <c r="B346" i="20"/>
  <c r="F346" i="20"/>
  <c r="G346" i="20"/>
  <c r="B347" i="20"/>
  <c r="F347" i="20"/>
  <c r="G347" i="20"/>
  <c r="B348" i="20"/>
  <c r="F348" i="20"/>
  <c r="G348" i="20"/>
  <c r="B349" i="20"/>
  <c r="F349" i="20"/>
  <c r="G349" i="20"/>
  <c r="B350" i="20"/>
  <c r="F350" i="20"/>
  <c r="G350" i="20"/>
  <c r="B351" i="20"/>
  <c r="F351" i="20"/>
  <c r="G351" i="20"/>
  <c r="B352" i="20"/>
  <c r="F352" i="20"/>
  <c r="G352" i="20"/>
  <c r="B353" i="20"/>
  <c r="F353" i="20"/>
  <c r="G353" i="20"/>
  <c r="B354" i="20"/>
  <c r="F354" i="20"/>
  <c r="G354" i="20"/>
  <c r="B355" i="20"/>
  <c r="F355" i="20"/>
  <c r="G355" i="20"/>
  <c r="B356" i="20"/>
  <c r="F356" i="20"/>
  <c r="G356" i="20"/>
  <c r="B357" i="20"/>
  <c r="F357" i="20"/>
  <c r="G357" i="20"/>
  <c r="B358" i="20"/>
  <c r="F358" i="20"/>
  <c r="G358" i="20"/>
  <c r="B359" i="20"/>
  <c r="F359" i="20"/>
  <c r="G359" i="20"/>
  <c r="B360" i="20"/>
  <c r="F360" i="20"/>
  <c r="G360" i="20"/>
  <c r="B361" i="20"/>
  <c r="F361" i="20"/>
  <c r="G361" i="20"/>
  <c r="B362" i="20"/>
  <c r="F362" i="20"/>
  <c r="G362" i="20"/>
  <c r="B363" i="20"/>
  <c r="F363" i="20"/>
  <c r="G363" i="20"/>
  <c r="B364" i="20"/>
  <c r="F364" i="20"/>
  <c r="G364" i="20"/>
  <c r="B365" i="20"/>
  <c r="F365" i="20"/>
  <c r="G365" i="20"/>
  <c r="B366" i="20"/>
  <c r="F366" i="20"/>
  <c r="G366" i="20"/>
  <c r="B367" i="20"/>
  <c r="F367" i="20"/>
  <c r="G367" i="20"/>
  <c r="B368" i="20"/>
  <c r="F368" i="20"/>
  <c r="G368" i="20"/>
  <c r="B369" i="20"/>
  <c r="F369" i="20"/>
  <c r="G369" i="20"/>
  <c r="B370" i="20"/>
  <c r="F370" i="20"/>
  <c r="G370" i="20"/>
  <c r="B371" i="20"/>
  <c r="F371" i="20"/>
  <c r="G371" i="20"/>
  <c r="B372" i="20"/>
  <c r="F372" i="20"/>
  <c r="G372" i="20"/>
  <c r="B373" i="20"/>
  <c r="F373" i="20"/>
  <c r="G373" i="20"/>
  <c r="B374" i="20"/>
  <c r="F374" i="20"/>
  <c r="G374" i="20"/>
  <c r="B375" i="20"/>
  <c r="F375" i="20"/>
  <c r="G375" i="20"/>
  <c r="B376" i="20"/>
  <c r="F376" i="20"/>
  <c r="G376" i="20"/>
  <c r="B377" i="20"/>
  <c r="F377" i="20"/>
  <c r="G377" i="20"/>
  <c r="B378" i="20"/>
  <c r="F378" i="20"/>
  <c r="G378" i="20"/>
  <c r="B379" i="20"/>
  <c r="F379" i="20"/>
  <c r="G379" i="20"/>
  <c r="B380" i="20"/>
  <c r="F380" i="20"/>
  <c r="G380" i="20"/>
  <c r="B381" i="20"/>
  <c r="F381" i="20"/>
  <c r="G381" i="20"/>
  <c r="B382" i="20"/>
  <c r="F382" i="20"/>
  <c r="G382" i="20"/>
  <c r="B383" i="20"/>
  <c r="F383" i="20"/>
  <c r="G383" i="20"/>
  <c r="B384" i="20"/>
  <c r="F384" i="20"/>
  <c r="G384" i="20"/>
  <c r="B385" i="20"/>
  <c r="F385" i="20"/>
  <c r="G385" i="20"/>
  <c r="B386" i="20"/>
  <c r="F386" i="20"/>
  <c r="G386" i="20"/>
  <c r="B387" i="20"/>
  <c r="F387" i="20"/>
  <c r="G387" i="20"/>
  <c r="B388" i="20"/>
  <c r="F388" i="20"/>
  <c r="G388" i="20"/>
  <c r="B389" i="20"/>
  <c r="F389" i="20"/>
  <c r="G389" i="20"/>
  <c r="B390" i="20"/>
  <c r="F390" i="20"/>
  <c r="G390" i="20"/>
  <c r="B391" i="20"/>
  <c r="F391" i="20"/>
  <c r="G391" i="20"/>
  <c r="B392" i="20"/>
  <c r="F392" i="20"/>
  <c r="G392" i="20"/>
  <c r="B393" i="20"/>
  <c r="F393" i="20"/>
  <c r="G393" i="20"/>
  <c r="B394" i="20"/>
  <c r="F394" i="20"/>
  <c r="G394" i="20"/>
  <c r="B395" i="20"/>
  <c r="F395" i="20"/>
  <c r="G395" i="20"/>
  <c r="B396" i="20"/>
  <c r="F396" i="20"/>
  <c r="G396" i="20"/>
  <c r="B397" i="20"/>
  <c r="F397" i="20"/>
  <c r="G397" i="20"/>
  <c r="B398" i="20"/>
  <c r="F398" i="20"/>
  <c r="G398" i="20"/>
  <c r="B399" i="20"/>
  <c r="F399" i="20"/>
  <c r="G399" i="20"/>
  <c r="B400" i="20"/>
  <c r="F400" i="20"/>
  <c r="G400" i="20"/>
  <c r="B401" i="20"/>
  <c r="F401" i="20"/>
  <c r="G401" i="20"/>
  <c r="B402" i="20"/>
  <c r="F402" i="20"/>
  <c r="G402" i="20"/>
  <c r="B403" i="20"/>
  <c r="F403" i="20"/>
  <c r="G403" i="20"/>
  <c r="B404" i="20"/>
  <c r="F404" i="20"/>
  <c r="G404" i="20"/>
  <c r="B405" i="20"/>
  <c r="F405" i="20"/>
  <c r="G405" i="20"/>
  <c r="B406" i="20"/>
  <c r="F406" i="20"/>
  <c r="G406" i="20"/>
  <c r="B407" i="20"/>
  <c r="F407" i="20"/>
  <c r="G407" i="20"/>
  <c r="B408" i="20"/>
  <c r="F408" i="20"/>
  <c r="G408" i="20"/>
  <c r="B409" i="20"/>
  <c r="F409" i="20"/>
  <c r="G409" i="20"/>
  <c r="B410" i="20"/>
  <c r="F410" i="20"/>
  <c r="G410" i="20"/>
  <c r="B411" i="20"/>
  <c r="F411" i="20"/>
  <c r="G411" i="20"/>
  <c r="B412" i="20"/>
  <c r="F412" i="20"/>
  <c r="G412" i="20"/>
  <c r="B413" i="20"/>
  <c r="F413" i="20"/>
  <c r="G413" i="20"/>
  <c r="B414" i="20"/>
  <c r="F414" i="20"/>
  <c r="G414" i="20"/>
  <c r="B415" i="20"/>
  <c r="F415" i="20"/>
  <c r="G415" i="20"/>
  <c r="B416" i="20"/>
  <c r="F416" i="20"/>
  <c r="G416" i="20"/>
  <c r="B417" i="20"/>
  <c r="F417" i="20"/>
  <c r="G417" i="20"/>
  <c r="B418" i="20"/>
  <c r="F418" i="20"/>
  <c r="G418" i="20"/>
  <c r="B419" i="20"/>
  <c r="F419" i="20"/>
  <c r="G419" i="20"/>
  <c r="B420" i="20"/>
  <c r="F420" i="20"/>
  <c r="G420" i="20"/>
  <c r="B421" i="20"/>
  <c r="F421" i="20"/>
  <c r="G421" i="20"/>
  <c r="B422" i="20"/>
  <c r="F422" i="20"/>
  <c r="G422" i="20"/>
  <c r="B423" i="20"/>
  <c r="F423" i="20"/>
  <c r="G423" i="20"/>
  <c r="B424" i="20"/>
  <c r="F424" i="20"/>
  <c r="G424" i="20"/>
  <c r="B425" i="20"/>
  <c r="F425" i="20"/>
  <c r="G425" i="20"/>
  <c r="B426" i="20"/>
  <c r="F426" i="20"/>
  <c r="G426" i="20"/>
  <c r="B427" i="20"/>
  <c r="F427" i="20"/>
  <c r="G427" i="20"/>
  <c r="B428" i="20"/>
  <c r="F428" i="20"/>
  <c r="G428" i="20"/>
  <c r="B429" i="20"/>
  <c r="F429" i="20"/>
  <c r="G429" i="20"/>
  <c r="B430" i="20"/>
  <c r="F430" i="20"/>
  <c r="G430" i="20"/>
  <c r="B431" i="20"/>
  <c r="F431" i="20"/>
  <c r="G431" i="20"/>
  <c r="B432" i="20"/>
  <c r="F432" i="20"/>
  <c r="G432" i="20"/>
  <c r="B433" i="20"/>
  <c r="F433" i="20"/>
  <c r="G433" i="20"/>
  <c r="B434" i="20"/>
  <c r="F434" i="20"/>
  <c r="G434" i="20"/>
  <c r="B435" i="20"/>
  <c r="F435" i="20"/>
  <c r="G435" i="20"/>
  <c r="B436" i="20"/>
  <c r="F436" i="20"/>
  <c r="G436" i="20"/>
  <c r="B437" i="20"/>
  <c r="F437" i="20"/>
  <c r="G437" i="20"/>
  <c r="B438" i="20"/>
  <c r="F438" i="20"/>
  <c r="G438" i="20"/>
  <c r="B439" i="20"/>
  <c r="F439" i="20"/>
  <c r="G439" i="20"/>
  <c r="B440" i="20"/>
  <c r="F440" i="20"/>
  <c r="G440" i="20"/>
  <c r="B441" i="20"/>
  <c r="F441" i="20"/>
  <c r="G441" i="20"/>
  <c r="B442" i="20"/>
  <c r="F442" i="20"/>
  <c r="G442" i="20"/>
  <c r="B443" i="20"/>
  <c r="F443" i="20"/>
  <c r="G443" i="20"/>
  <c r="B444" i="20"/>
  <c r="F444" i="20"/>
  <c r="G444" i="20"/>
  <c r="B445" i="20"/>
  <c r="F445" i="20"/>
  <c r="G445" i="20"/>
  <c r="B446" i="20"/>
  <c r="F446" i="20"/>
  <c r="G446" i="20"/>
  <c r="B447" i="20"/>
  <c r="F447" i="20"/>
  <c r="G447" i="20"/>
  <c r="B448" i="20"/>
  <c r="F448" i="20"/>
  <c r="G448" i="20"/>
  <c r="B449" i="20"/>
  <c r="F449" i="20"/>
  <c r="G449" i="20"/>
  <c r="B450" i="20"/>
  <c r="F450" i="20"/>
  <c r="G450" i="20"/>
  <c r="B451" i="20"/>
  <c r="F451" i="20"/>
  <c r="G451" i="20"/>
  <c r="B452" i="20"/>
  <c r="F452" i="20"/>
  <c r="G452" i="20"/>
  <c r="B453" i="20"/>
  <c r="F453" i="20"/>
  <c r="G453" i="20"/>
  <c r="B454" i="20"/>
  <c r="F454" i="20"/>
  <c r="G454" i="20"/>
  <c r="B455" i="20"/>
  <c r="F455" i="20"/>
  <c r="G455" i="20"/>
  <c r="B456" i="20"/>
  <c r="F456" i="20"/>
  <c r="G456" i="20"/>
  <c r="B457" i="20"/>
  <c r="F457" i="20"/>
  <c r="G457" i="20"/>
  <c r="B458" i="20"/>
  <c r="F458" i="20"/>
  <c r="G458" i="20"/>
  <c r="B459" i="20"/>
  <c r="F459" i="20"/>
  <c r="G459" i="20"/>
  <c r="B460" i="20"/>
  <c r="F460" i="20"/>
  <c r="G460" i="20"/>
  <c r="B461" i="20"/>
  <c r="F461" i="20"/>
  <c r="G461" i="20"/>
  <c r="B462" i="20"/>
  <c r="F462" i="20"/>
  <c r="G462" i="20"/>
  <c r="B463" i="20"/>
  <c r="F463" i="20"/>
  <c r="G463" i="20"/>
  <c r="B464" i="20"/>
  <c r="F464" i="20"/>
  <c r="G464" i="20"/>
  <c r="B465" i="20"/>
  <c r="F465" i="20"/>
  <c r="G465" i="20"/>
  <c r="B466" i="20"/>
  <c r="F466" i="20"/>
  <c r="G466" i="20"/>
  <c r="B467" i="20"/>
  <c r="F467" i="20"/>
  <c r="G467" i="20"/>
  <c r="B468" i="20"/>
  <c r="F468" i="20"/>
  <c r="G468" i="20"/>
  <c r="B469" i="20"/>
  <c r="F469" i="20"/>
  <c r="G469" i="20"/>
  <c r="B470" i="20"/>
  <c r="F470" i="20"/>
  <c r="G470" i="20"/>
  <c r="B471" i="20"/>
  <c r="F471" i="20"/>
  <c r="G471" i="20"/>
  <c r="B472" i="20"/>
  <c r="F472" i="20"/>
  <c r="G472" i="20"/>
  <c r="B473" i="20"/>
  <c r="F473" i="20"/>
  <c r="G473" i="20"/>
  <c r="B474" i="20"/>
  <c r="F474" i="20"/>
  <c r="G474" i="20"/>
  <c r="B475" i="20"/>
  <c r="F475" i="20"/>
  <c r="G475" i="20"/>
  <c r="B476" i="20"/>
  <c r="F476" i="20"/>
  <c r="G476" i="20"/>
  <c r="B477" i="20"/>
  <c r="F477" i="20"/>
  <c r="G477" i="20"/>
  <c r="B478" i="20"/>
  <c r="F478" i="20"/>
  <c r="G478" i="20"/>
  <c r="B479" i="20"/>
  <c r="F479" i="20"/>
  <c r="G479" i="20"/>
  <c r="B480" i="20"/>
  <c r="F480" i="20"/>
  <c r="G480" i="20"/>
  <c r="B481" i="20"/>
  <c r="F481" i="20"/>
  <c r="G481" i="20"/>
  <c r="B482" i="20"/>
  <c r="F482" i="20"/>
  <c r="G482" i="20"/>
  <c r="B483" i="20"/>
  <c r="F483" i="20"/>
  <c r="G483" i="20"/>
  <c r="B484" i="20"/>
  <c r="F484" i="20"/>
  <c r="G484" i="20"/>
  <c r="B485" i="20"/>
  <c r="F485" i="20"/>
  <c r="G485" i="20"/>
  <c r="B486" i="20"/>
  <c r="F486" i="20"/>
  <c r="G486" i="20"/>
  <c r="B487" i="20"/>
  <c r="F487" i="20"/>
  <c r="G487" i="20"/>
  <c r="B488" i="20"/>
  <c r="F488" i="20"/>
  <c r="G488" i="20"/>
  <c r="B489" i="20"/>
  <c r="F489" i="20"/>
  <c r="G489" i="20"/>
  <c r="B490" i="20"/>
  <c r="F490" i="20"/>
  <c r="G490" i="20"/>
  <c r="B491" i="20"/>
  <c r="F491" i="20"/>
  <c r="G491" i="20"/>
  <c r="B492" i="20"/>
  <c r="F492" i="20"/>
  <c r="G492" i="20"/>
  <c r="B493" i="20"/>
  <c r="F493" i="20"/>
  <c r="G493" i="20"/>
  <c r="B494" i="20"/>
  <c r="F494" i="20"/>
  <c r="G494" i="20"/>
  <c r="B495" i="20"/>
  <c r="F495" i="20"/>
  <c r="G495" i="20"/>
  <c r="B496" i="20"/>
  <c r="F496" i="20"/>
  <c r="G496" i="20"/>
  <c r="B497" i="20"/>
  <c r="F497" i="20"/>
  <c r="G497" i="20"/>
  <c r="B498" i="20"/>
  <c r="F498" i="20"/>
  <c r="G498" i="20"/>
  <c r="B499" i="20"/>
  <c r="F499" i="20"/>
  <c r="G499" i="20"/>
  <c r="B500" i="20"/>
  <c r="F500" i="20"/>
  <c r="G500" i="20"/>
  <c r="B501" i="20"/>
  <c r="F501" i="20"/>
  <c r="G501" i="20"/>
  <c r="B502" i="20"/>
  <c r="F502" i="20"/>
  <c r="G502" i="20"/>
  <c r="B503" i="20"/>
  <c r="F503" i="20"/>
  <c r="G503" i="20"/>
  <c r="B504" i="20"/>
  <c r="F504" i="20"/>
  <c r="G504" i="20"/>
  <c r="B505" i="20"/>
  <c r="F505" i="20"/>
  <c r="G505" i="20"/>
  <c r="B506" i="20"/>
  <c r="F506" i="20"/>
  <c r="G506" i="20"/>
  <c r="B507" i="20"/>
  <c r="F507" i="20"/>
  <c r="G507" i="20"/>
  <c r="B508" i="20"/>
  <c r="F508" i="20"/>
  <c r="G508" i="20"/>
  <c r="B509" i="20"/>
  <c r="F509" i="20"/>
  <c r="G509" i="20"/>
  <c r="B510" i="20"/>
  <c r="F510" i="20"/>
  <c r="G510" i="20"/>
  <c r="B511" i="20"/>
  <c r="F511" i="20"/>
  <c r="G511" i="20"/>
  <c r="B512" i="20"/>
  <c r="F512" i="20"/>
  <c r="G512" i="20"/>
  <c r="B513" i="20"/>
  <c r="F513" i="20"/>
  <c r="G513" i="20"/>
  <c r="B514" i="20"/>
  <c r="F514" i="20"/>
  <c r="G514" i="20"/>
  <c r="B515" i="20"/>
  <c r="F515" i="20"/>
  <c r="G515" i="20"/>
  <c r="B516" i="20"/>
  <c r="F516" i="20"/>
  <c r="G516" i="20"/>
  <c r="B517" i="20"/>
  <c r="F517" i="20"/>
  <c r="G517" i="20"/>
  <c r="B518" i="20"/>
  <c r="F518" i="20"/>
  <c r="G518" i="20"/>
  <c r="B519" i="20"/>
  <c r="F519" i="20"/>
  <c r="G519" i="20"/>
  <c r="B520" i="20"/>
  <c r="F520" i="20"/>
  <c r="G520" i="20"/>
  <c r="B521" i="20"/>
  <c r="F521" i="20"/>
  <c r="G521" i="20"/>
  <c r="B522" i="20"/>
  <c r="F522" i="20"/>
  <c r="G522" i="20"/>
  <c r="B523" i="20"/>
  <c r="F523" i="20"/>
  <c r="G523" i="20"/>
  <c r="B524" i="20"/>
  <c r="F524" i="20"/>
  <c r="G524" i="20"/>
  <c r="B525" i="20"/>
  <c r="F525" i="20"/>
  <c r="G525" i="20"/>
  <c r="B526" i="20"/>
  <c r="F526" i="20"/>
  <c r="G526" i="20"/>
  <c r="B527" i="20"/>
  <c r="F527" i="20"/>
  <c r="G527" i="20"/>
  <c r="B528" i="20"/>
  <c r="F528" i="20"/>
  <c r="G528" i="20"/>
  <c r="B529" i="20"/>
  <c r="F529" i="20"/>
  <c r="G529" i="20"/>
  <c r="B530" i="20"/>
  <c r="F530" i="20"/>
  <c r="G530" i="20"/>
  <c r="B531" i="20"/>
  <c r="F531" i="20"/>
  <c r="G531" i="20"/>
  <c r="B532" i="20"/>
  <c r="F532" i="20"/>
  <c r="G532" i="20"/>
  <c r="B533" i="20"/>
  <c r="F533" i="20"/>
  <c r="G533" i="20"/>
  <c r="B534" i="20"/>
  <c r="F534" i="20"/>
  <c r="G534" i="20"/>
  <c r="B535" i="20"/>
  <c r="F535" i="20"/>
  <c r="G535" i="20"/>
  <c r="B536" i="20"/>
  <c r="F536" i="20"/>
  <c r="G536" i="20"/>
  <c r="B537" i="20"/>
  <c r="F537" i="20"/>
  <c r="G537" i="20"/>
  <c r="B538" i="20"/>
  <c r="F538" i="20"/>
  <c r="G538" i="20"/>
  <c r="B539" i="20"/>
  <c r="F539" i="20"/>
  <c r="G539" i="20"/>
  <c r="B540" i="20"/>
  <c r="F540" i="20"/>
  <c r="G540" i="20"/>
  <c r="B541" i="20"/>
  <c r="F541" i="20"/>
  <c r="G541" i="20"/>
  <c r="B542" i="20"/>
  <c r="F542" i="20"/>
  <c r="G542" i="20"/>
  <c r="B543" i="20"/>
  <c r="F543" i="20"/>
  <c r="G543" i="20"/>
  <c r="B544" i="20"/>
  <c r="F544" i="20"/>
  <c r="G544" i="20"/>
  <c r="B545" i="20"/>
  <c r="F545" i="20"/>
  <c r="G545" i="20"/>
  <c r="B546" i="20"/>
  <c r="F546" i="20"/>
  <c r="G546" i="20"/>
  <c r="B547" i="20"/>
  <c r="F547" i="20"/>
  <c r="G547" i="20"/>
  <c r="B548" i="20"/>
  <c r="F548" i="20"/>
  <c r="G548" i="20"/>
  <c r="B549" i="20"/>
  <c r="F549" i="20"/>
  <c r="G549" i="20"/>
  <c r="B550" i="20"/>
  <c r="F550" i="20"/>
  <c r="G550" i="20"/>
  <c r="B551" i="20"/>
  <c r="F551" i="20"/>
  <c r="G551" i="20"/>
  <c r="B552" i="20"/>
  <c r="F552" i="20"/>
  <c r="G552" i="20"/>
  <c r="B553" i="20"/>
  <c r="F553" i="20"/>
  <c r="G553" i="20"/>
  <c r="B554" i="20"/>
  <c r="F554" i="20"/>
  <c r="G554" i="20"/>
  <c r="B555" i="20"/>
  <c r="F555" i="20"/>
  <c r="G555" i="20"/>
  <c r="B556" i="20"/>
  <c r="F556" i="20"/>
  <c r="G556" i="20"/>
  <c r="B557" i="20"/>
  <c r="F557" i="20"/>
  <c r="G557" i="20"/>
  <c r="B558" i="20"/>
  <c r="F558" i="20"/>
  <c r="G558" i="20"/>
  <c r="B559" i="20"/>
  <c r="F559" i="20"/>
  <c r="G559" i="20"/>
  <c r="B560" i="20"/>
  <c r="F560" i="20"/>
  <c r="G560" i="20"/>
  <c r="B561" i="20"/>
  <c r="F561" i="20"/>
  <c r="G561" i="20"/>
  <c r="B562" i="20"/>
  <c r="F562" i="20"/>
  <c r="G562" i="20"/>
  <c r="B563" i="20"/>
  <c r="F563" i="20"/>
  <c r="G563" i="20"/>
  <c r="B564" i="20"/>
  <c r="F564" i="20"/>
  <c r="G564" i="20"/>
  <c r="B565" i="20"/>
  <c r="F565" i="20"/>
  <c r="G565" i="20"/>
  <c r="B566" i="20"/>
  <c r="F566" i="20"/>
  <c r="G566" i="20"/>
  <c r="B567" i="20"/>
  <c r="F567" i="20"/>
  <c r="G567" i="20"/>
  <c r="B568" i="20"/>
  <c r="F568" i="20"/>
  <c r="G568" i="20"/>
  <c r="B569" i="20"/>
  <c r="F569" i="20"/>
  <c r="G569" i="20"/>
  <c r="B570" i="20"/>
  <c r="F570" i="20"/>
  <c r="G570" i="20"/>
  <c r="B571" i="20"/>
  <c r="F571" i="20"/>
  <c r="G571" i="20"/>
  <c r="B572" i="20"/>
  <c r="F572" i="20"/>
  <c r="G572" i="20"/>
  <c r="B573" i="20"/>
  <c r="F573" i="20"/>
  <c r="G573" i="20"/>
  <c r="B574" i="20"/>
  <c r="F574" i="20"/>
  <c r="G574" i="20"/>
  <c r="B575" i="20"/>
  <c r="F575" i="20"/>
  <c r="G575" i="20"/>
  <c r="B576" i="20"/>
  <c r="F576" i="20"/>
  <c r="G576" i="20"/>
  <c r="B577" i="20"/>
  <c r="F577" i="20"/>
  <c r="G577" i="20"/>
  <c r="B578" i="20"/>
  <c r="F578" i="20"/>
  <c r="G578" i="20"/>
  <c r="B579" i="20"/>
  <c r="F579" i="20"/>
  <c r="G579" i="20"/>
  <c r="B580" i="20"/>
  <c r="F580" i="20"/>
  <c r="G580" i="20"/>
  <c r="B581" i="20"/>
  <c r="F581" i="20"/>
  <c r="G581" i="20"/>
  <c r="B582" i="20"/>
  <c r="F582" i="20"/>
  <c r="G582" i="20"/>
  <c r="B583" i="20"/>
  <c r="F583" i="20"/>
  <c r="G583" i="20"/>
  <c r="B584" i="20"/>
  <c r="F584" i="20"/>
  <c r="G584" i="20"/>
  <c r="B585" i="20"/>
  <c r="F585" i="20"/>
  <c r="G585" i="20"/>
  <c r="B586" i="20"/>
  <c r="F586" i="20"/>
  <c r="G586" i="20"/>
  <c r="B587" i="20"/>
  <c r="F587" i="20"/>
  <c r="G587" i="20"/>
  <c r="B588" i="20"/>
  <c r="F588" i="20"/>
  <c r="G588" i="20"/>
  <c r="B589" i="20"/>
  <c r="F589" i="20"/>
  <c r="G589" i="20"/>
  <c r="B590" i="20"/>
  <c r="F590" i="20"/>
  <c r="G590" i="20"/>
  <c r="B591" i="20"/>
  <c r="F591" i="20"/>
  <c r="G591" i="20"/>
  <c r="B592" i="20"/>
  <c r="F592" i="20"/>
  <c r="G592" i="20"/>
  <c r="B593" i="20"/>
  <c r="F593" i="20"/>
  <c r="G593" i="20"/>
  <c r="B594" i="20"/>
  <c r="F594" i="20"/>
  <c r="G594" i="20"/>
  <c r="B595" i="20"/>
  <c r="F595" i="20"/>
  <c r="G595" i="20"/>
  <c r="B596" i="20"/>
  <c r="F596" i="20"/>
  <c r="G596" i="20"/>
  <c r="B597" i="20"/>
  <c r="F597" i="20"/>
  <c r="G597" i="20"/>
  <c r="B598" i="20"/>
  <c r="F598" i="20"/>
  <c r="G598" i="20"/>
  <c r="B599" i="20"/>
  <c r="F599" i="20"/>
  <c r="G599" i="20"/>
  <c r="B600" i="20"/>
  <c r="F600" i="20"/>
  <c r="G600" i="20"/>
  <c r="B601" i="20"/>
  <c r="F601" i="20"/>
  <c r="G601" i="20"/>
  <c r="B602" i="20"/>
  <c r="F602" i="20"/>
  <c r="G602" i="20"/>
  <c r="B603" i="20"/>
  <c r="F603" i="20"/>
  <c r="G603" i="20"/>
  <c r="B604" i="20"/>
  <c r="F604" i="20"/>
  <c r="G604" i="20"/>
  <c r="B605" i="20"/>
  <c r="F605" i="20"/>
  <c r="G605" i="20"/>
  <c r="B606" i="20"/>
  <c r="F606" i="20"/>
  <c r="G606" i="20"/>
  <c r="B607" i="20"/>
  <c r="F607" i="20"/>
  <c r="G607" i="20"/>
  <c r="B608" i="20"/>
  <c r="F608" i="20"/>
  <c r="G608" i="20"/>
  <c r="B609" i="20"/>
  <c r="F609" i="20"/>
  <c r="G609" i="20"/>
  <c r="B610" i="20"/>
  <c r="F610" i="20"/>
  <c r="G610" i="20"/>
  <c r="B611" i="20"/>
  <c r="F611" i="20"/>
  <c r="G611" i="20"/>
  <c r="B612" i="20"/>
  <c r="F612" i="20"/>
  <c r="G612" i="20"/>
  <c r="B613" i="20"/>
  <c r="F613" i="20"/>
  <c r="G613" i="20"/>
  <c r="B614" i="20"/>
  <c r="F614" i="20"/>
  <c r="G614" i="20"/>
  <c r="B615" i="20"/>
  <c r="F615" i="20"/>
  <c r="G615" i="20"/>
  <c r="B616" i="20"/>
  <c r="F616" i="20"/>
  <c r="G616" i="20"/>
  <c r="B617" i="20"/>
  <c r="F617" i="20"/>
  <c r="G617" i="20"/>
  <c r="B618" i="20"/>
  <c r="F618" i="20"/>
  <c r="G618" i="20"/>
  <c r="B619" i="20"/>
  <c r="F619" i="20"/>
  <c r="G619" i="20"/>
  <c r="B620" i="20"/>
  <c r="F620" i="20"/>
  <c r="G620" i="20"/>
  <c r="B621" i="20"/>
  <c r="F621" i="20"/>
  <c r="G621" i="20"/>
  <c r="B622" i="20"/>
  <c r="F622" i="20"/>
  <c r="G622" i="20"/>
  <c r="B623" i="20"/>
  <c r="F623" i="20"/>
  <c r="G623" i="20"/>
  <c r="B624" i="20"/>
  <c r="F624" i="20"/>
  <c r="G624" i="20"/>
  <c r="B625" i="20"/>
  <c r="F625" i="20"/>
  <c r="G625" i="20"/>
  <c r="B626" i="20"/>
  <c r="F626" i="20"/>
  <c r="G626" i="20"/>
  <c r="B627" i="20"/>
  <c r="F627" i="20"/>
  <c r="G627" i="20"/>
  <c r="B628" i="20"/>
  <c r="F628" i="20"/>
  <c r="G628" i="20"/>
  <c r="B629" i="20"/>
  <c r="F629" i="20"/>
  <c r="G629" i="20"/>
  <c r="B630" i="20"/>
  <c r="F630" i="20"/>
  <c r="G630" i="20"/>
  <c r="B631" i="20"/>
  <c r="F631" i="20"/>
  <c r="G631" i="20"/>
  <c r="B632" i="20"/>
  <c r="F632" i="20"/>
  <c r="G632" i="20"/>
  <c r="B633" i="20"/>
  <c r="F633" i="20"/>
  <c r="G633" i="20"/>
  <c r="B634" i="20"/>
  <c r="F634" i="20"/>
  <c r="G634" i="20"/>
  <c r="B635" i="20"/>
  <c r="F635" i="20"/>
  <c r="G635" i="20"/>
  <c r="B636" i="20"/>
  <c r="F636" i="20"/>
  <c r="G636" i="20"/>
  <c r="B637" i="20"/>
  <c r="F637" i="20"/>
  <c r="G637" i="20"/>
  <c r="B638" i="20"/>
  <c r="F638" i="20"/>
  <c r="G638" i="20"/>
  <c r="B639" i="20"/>
  <c r="F639" i="20"/>
  <c r="G639" i="20"/>
  <c r="B640" i="20"/>
  <c r="F640" i="20"/>
  <c r="G640" i="20"/>
  <c r="B641" i="20"/>
  <c r="F641" i="20"/>
  <c r="G641" i="20"/>
  <c r="B642" i="20"/>
  <c r="F642" i="20"/>
  <c r="G642" i="20"/>
  <c r="B643" i="20"/>
  <c r="F643" i="20"/>
  <c r="G643" i="20"/>
  <c r="B644" i="20"/>
  <c r="F644" i="20"/>
  <c r="G644" i="20"/>
  <c r="B645" i="20"/>
  <c r="F645" i="20"/>
  <c r="G645" i="20"/>
  <c r="B646" i="20"/>
  <c r="F646" i="20"/>
  <c r="G646" i="20"/>
  <c r="B647" i="20"/>
  <c r="F647" i="20"/>
  <c r="G647" i="20"/>
  <c r="B648" i="20"/>
  <c r="F648" i="20"/>
  <c r="G648" i="20"/>
  <c r="B649" i="20"/>
  <c r="F649" i="20"/>
  <c r="G649" i="20"/>
  <c r="B650" i="20"/>
  <c r="F650" i="20"/>
  <c r="G650" i="20"/>
  <c r="B651" i="20"/>
  <c r="F651" i="20"/>
  <c r="G651" i="20"/>
  <c r="B652" i="20"/>
  <c r="F652" i="20"/>
  <c r="G652" i="20"/>
  <c r="B653" i="20"/>
  <c r="F653" i="20"/>
  <c r="G653" i="20"/>
  <c r="B654" i="20"/>
  <c r="F654" i="20"/>
  <c r="G654" i="20"/>
  <c r="B655" i="20"/>
  <c r="F655" i="20"/>
  <c r="G655" i="20"/>
  <c r="B656" i="20"/>
  <c r="F656" i="20"/>
  <c r="G656" i="20"/>
  <c r="B657" i="20"/>
  <c r="F657" i="20"/>
  <c r="G657" i="20"/>
  <c r="B658" i="20"/>
  <c r="F658" i="20"/>
  <c r="G658" i="20"/>
  <c r="B659" i="20"/>
  <c r="F659" i="20"/>
  <c r="G659" i="20"/>
  <c r="B660" i="20"/>
  <c r="F660" i="20"/>
  <c r="G660" i="20"/>
  <c r="B661" i="20"/>
  <c r="F661" i="20"/>
  <c r="G661" i="20"/>
  <c r="B662" i="20"/>
  <c r="F662" i="20"/>
  <c r="G662" i="20"/>
  <c r="B663" i="20"/>
  <c r="F663" i="20"/>
  <c r="G663" i="20"/>
  <c r="B664" i="20"/>
  <c r="F664" i="20"/>
  <c r="G664" i="20"/>
  <c r="B665" i="20"/>
  <c r="F665" i="20"/>
  <c r="G665" i="20"/>
  <c r="B666" i="20"/>
  <c r="F666" i="20"/>
  <c r="G666" i="20"/>
  <c r="B667" i="20"/>
  <c r="F667" i="20"/>
  <c r="G667" i="20"/>
  <c r="B668" i="20"/>
  <c r="F668" i="20"/>
  <c r="G668" i="20"/>
  <c r="B669" i="20"/>
  <c r="F669" i="20"/>
  <c r="G669" i="20"/>
  <c r="B670" i="20"/>
  <c r="F670" i="20"/>
  <c r="G670" i="20"/>
  <c r="B671" i="20"/>
  <c r="F671" i="20"/>
  <c r="G671" i="20"/>
  <c r="B672" i="20"/>
  <c r="F672" i="20"/>
  <c r="G672" i="20"/>
  <c r="B673" i="20"/>
  <c r="F673" i="20"/>
  <c r="G673" i="20"/>
  <c r="B674" i="20"/>
  <c r="F674" i="20"/>
  <c r="G674" i="20"/>
  <c r="B675" i="20"/>
  <c r="F675" i="20"/>
  <c r="G675" i="20"/>
  <c r="B676" i="20"/>
  <c r="F676" i="20"/>
  <c r="G676" i="20"/>
  <c r="B677" i="20"/>
  <c r="F677" i="20"/>
  <c r="G677" i="20"/>
  <c r="B678" i="20"/>
  <c r="F678" i="20"/>
  <c r="G678" i="20"/>
  <c r="B679" i="20"/>
  <c r="F679" i="20"/>
  <c r="G679" i="20"/>
  <c r="B680" i="20"/>
  <c r="F680" i="20"/>
  <c r="G680" i="20"/>
  <c r="B681" i="20"/>
  <c r="F681" i="20"/>
  <c r="G681" i="20"/>
  <c r="B682" i="20"/>
  <c r="F682" i="20"/>
  <c r="G682" i="20"/>
  <c r="B683" i="20"/>
  <c r="F683" i="20"/>
  <c r="G683" i="20"/>
  <c r="B684" i="20"/>
  <c r="F684" i="20"/>
  <c r="G684" i="20"/>
  <c r="B685" i="20"/>
  <c r="F685" i="20"/>
  <c r="G685" i="20"/>
  <c r="B686" i="20"/>
  <c r="F686" i="20"/>
  <c r="G686" i="20"/>
  <c r="B687" i="20"/>
  <c r="F687" i="20"/>
  <c r="G687" i="20"/>
  <c r="B688" i="20"/>
  <c r="F688" i="20"/>
  <c r="G688" i="20"/>
  <c r="B689" i="20"/>
  <c r="F689" i="20"/>
  <c r="G689" i="20"/>
  <c r="B690" i="20"/>
  <c r="F690" i="20"/>
  <c r="G690" i="20"/>
  <c r="B691" i="20"/>
  <c r="F691" i="20"/>
  <c r="G691" i="20"/>
  <c r="B692" i="20"/>
  <c r="F692" i="20"/>
  <c r="G692" i="20"/>
  <c r="B693" i="20"/>
  <c r="F693" i="20"/>
  <c r="G693" i="20"/>
  <c r="B694" i="20"/>
  <c r="F694" i="20"/>
  <c r="G694" i="20"/>
  <c r="B695" i="20"/>
  <c r="F695" i="20"/>
  <c r="G695" i="20"/>
  <c r="B696" i="20"/>
  <c r="F696" i="20"/>
  <c r="G696" i="20"/>
  <c r="B697" i="20"/>
  <c r="F697" i="20"/>
  <c r="G697" i="20"/>
  <c r="B698" i="20"/>
  <c r="F698" i="20"/>
  <c r="G698" i="20"/>
  <c r="B699" i="20"/>
  <c r="F699" i="20"/>
  <c r="G699" i="20"/>
  <c r="B700" i="20"/>
  <c r="F700" i="20"/>
  <c r="G700" i="20"/>
  <c r="B701" i="20"/>
  <c r="F701" i="20"/>
  <c r="G701" i="20"/>
  <c r="B702" i="20"/>
  <c r="F702" i="20"/>
  <c r="G702" i="20"/>
  <c r="B703" i="20"/>
  <c r="F703" i="20"/>
  <c r="G703" i="20"/>
  <c r="B704" i="20"/>
  <c r="F704" i="20"/>
  <c r="G704" i="20"/>
  <c r="B705" i="20"/>
  <c r="F705" i="20"/>
  <c r="G705" i="20"/>
  <c r="B706" i="20"/>
  <c r="F706" i="20"/>
  <c r="G706" i="20"/>
  <c r="B707" i="20"/>
  <c r="F707" i="20"/>
  <c r="G707" i="20"/>
  <c r="B708" i="20"/>
  <c r="F708" i="20"/>
  <c r="G708" i="20"/>
  <c r="B709" i="20"/>
  <c r="F709" i="20"/>
  <c r="G709" i="20"/>
  <c r="B710" i="20"/>
  <c r="F710" i="20"/>
  <c r="G710" i="20"/>
  <c r="B711" i="20"/>
  <c r="F711" i="20"/>
  <c r="G711" i="20"/>
  <c r="B712" i="20"/>
  <c r="F712" i="20"/>
  <c r="G712" i="20"/>
  <c r="B713" i="20"/>
  <c r="F713" i="20"/>
  <c r="G713" i="20"/>
  <c r="B714" i="20"/>
  <c r="F714" i="20"/>
  <c r="G714" i="20"/>
  <c r="B715" i="20"/>
  <c r="F715" i="20"/>
  <c r="G715" i="20"/>
  <c r="B716" i="20"/>
  <c r="F716" i="20"/>
  <c r="G716" i="20"/>
  <c r="B717" i="20"/>
  <c r="F717" i="20"/>
  <c r="G717" i="20"/>
  <c r="B718" i="20"/>
  <c r="F718" i="20"/>
  <c r="G718" i="20"/>
  <c r="B719" i="20"/>
  <c r="F719" i="20"/>
  <c r="G719" i="20"/>
  <c r="B720" i="20"/>
  <c r="F720" i="20"/>
  <c r="G720" i="20"/>
  <c r="B721" i="20"/>
  <c r="F721" i="20"/>
  <c r="G721" i="20"/>
  <c r="B722" i="20"/>
  <c r="F722" i="20"/>
  <c r="G722" i="20"/>
  <c r="B723" i="20"/>
  <c r="F723" i="20"/>
  <c r="G723" i="20"/>
  <c r="B724" i="20"/>
  <c r="F724" i="20"/>
  <c r="G724" i="20"/>
  <c r="B725" i="20"/>
  <c r="F725" i="20"/>
  <c r="G725" i="20"/>
  <c r="B726" i="20"/>
  <c r="F726" i="20"/>
  <c r="G726" i="20"/>
  <c r="B727" i="20"/>
  <c r="F727" i="20"/>
  <c r="G727" i="20"/>
  <c r="B728" i="20"/>
  <c r="F728" i="20"/>
  <c r="G728" i="20"/>
  <c r="B729" i="20"/>
  <c r="F729" i="20"/>
  <c r="G729" i="20"/>
  <c r="B730" i="20"/>
  <c r="F730" i="20"/>
  <c r="G730" i="20"/>
  <c r="B731" i="20"/>
  <c r="F731" i="20"/>
  <c r="G731" i="20"/>
  <c r="B732" i="20"/>
  <c r="F732" i="20"/>
  <c r="G732" i="20"/>
  <c r="B733" i="20"/>
  <c r="F733" i="20"/>
  <c r="G733" i="20"/>
  <c r="B734" i="20"/>
  <c r="F734" i="20"/>
  <c r="G734" i="20"/>
  <c r="B735" i="20"/>
  <c r="F735" i="20"/>
  <c r="G735" i="20"/>
  <c r="B736" i="20"/>
  <c r="F736" i="20"/>
  <c r="G736" i="20"/>
  <c r="B737" i="20"/>
  <c r="F737" i="20"/>
  <c r="G737" i="20"/>
  <c r="B738" i="20"/>
  <c r="F738" i="20"/>
  <c r="G738" i="20"/>
  <c r="B739" i="20"/>
  <c r="F739" i="20"/>
  <c r="G739" i="20"/>
  <c r="B740" i="20"/>
  <c r="F740" i="20"/>
  <c r="G740" i="20"/>
  <c r="B741" i="20"/>
  <c r="F741" i="20"/>
  <c r="G741" i="20"/>
  <c r="B742" i="20"/>
  <c r="F742" i="20"/>
  <c r="G742" i="20"/>
  <c r="B743" i="20"/>
  <c r="F743" i="20"/>
  <c r="G743" i="20"/>
  <c r="B744" i="20"/>
  <c r="F744" i="20"/>
  <c r="G744" i="20"/>
  <c r="B745" i="20"/>
  <c r="F745" i="20"/>
  <c r="G745" i="20"/>
  <c r="B746" i="20"/>
  <c r="F746" i="20"/>
  <c r="G746" i="20"/>
  <c r="B747" i="20"/>
  <c r="F747" i="20"/>
  <c r="G747" i="20"/>
  <c r="B748" i="20"/>
  <c r="F748" i="20"/>
  <c r="G748" i="20"/>
  <c r="B749" i="20"/>
  <c r="F749" i="20"/>
  <c r="G749" i="20"/>
  <c r="B750" i="20"/>
  <c r="F750" i="20"/>
  <c r="G750" i="20"/>
  <c r="B751" i="20"/>
  <c r="F751" i="20"/>
  <c r="G751" i="20"/>
  <c r="B752" i="20"/>
  <c r="F752" i="20"/>
  <c r="G752" i="20"/>
  <c r="B753" i="20"/>
  <c r="F753" i="20"/>
  <c r="G753" i="20"/>
  <c r="B754" i="20"/>
  <c r="F754" i="20"/>
  <c r="G754" i="20"/>
  <c r="B755" i="20"/>
  <c r="F755" i="20"/>
  <c r="G755" i="20"/>
  <c r="B756" i="20"/>
  <c r="F756" i="20"/>
  <c r="G756" i="20"/>
  <c r="B757" i="20"/>
  <c r="F757" i="20"/>
  <c r="G757" i="20"/>
  <c r="B758" i="20"/>
  <c r="F758" i="20"/>
  <c r="G758" i="20"/>
  <c r="B759" i="20"/>
  <c r="F759" i="20"/>
  <c r="G759" i="20"/>
  <c r="B760" i="20"/>
  <c r="F760" i="20"/>
  <c r="G760" i="20"/>
  <c r="B761" i="20"/>
  <c r="F761" i="20"/>
  <c r="G761" i="20"/>
  <c r="B762" i="20"/>
  <c r="F762" i="20"/>
  <c r="G762" i="20"/>
  <c r="B763" i="20"/>
  <c r="F763" i="20"/>
  <c r="G763" i="20"/>
  <c r="B764" i="20"/>
  <c r="F764" i="20"/>
  <c r="G764" i="20"/>
  <c r="B765" i="20"/>
  <c r="F765" i="20"/>
  <c r="G765" i="20"/>
  <c r="B766" i="20"/>
  <c r="F766" i="20"/>
  <c r="G766" i="20"/>
  <c r="B767" i="20"/>
  <c r="F767" i="20"/>
  <c r="G767" i="20"/>
  <c r="B768" i="20"/>
  <c r="F768" i="20"/>
  <c r="G768" i="20"/>
  <c r="B769" i="20"/>
  <c r="F769" i="20"/>
  <c r="G769" i="20"/>
  <c r="B770" i="20"/>
  <c r="F770" i="20"/>
  <c r="G770" i="20"/>
  <c r="B771" i="20"/>
  <c r="F771" i="20"/>
  <c r="G771" i="20"/>
  <c r="B772" i="20"/>
  <c r="F772" i="20"/>
  <c r="G772" i="20"/>
  <c r="B773" i="20"/>
  <c r="F773" i="20"/>
  <c r="G773" i="20"/>
  <c r="B774" i="20"/>
  <c r="F774" i="20"/>
  <c r="G774" i="20"/>
  <c r="B775" i="20"/>
  <c r="F775" i="20"/>
  <c r="G775" i="20"/>
  <c r="B776" i="20"/>
  <c r="F776" i="20"/>
  <c r="G776" i="20"/>
  <c r="B777" i="20"/>
  <c r="F777" i="20"/>
  <c r="G777" i="20"/>
  <c r="B778" i="20"/>
  <c r="F778" i="20"/>
  <c r="G778" i="20"/>
  <c r="B779" i="20"/>
  <c r="F779" i="20"/>
  <c r="G779" i="20"/>
  <c r="B780" i="20"/>
  <c r="F780" i="20"/>
  <c r="G780" i="20"/>
  <c r="B781" i="20"/>
  <c r="F781" i="20"/>
  <c r="G781" i="20"/>
  <c r="B782" i="20"/>
  <c r="F782" i="20"/>
  <c r="G782" i="20"/>
  <c r="B783" i="20"/>
  <c r="F783" i="20"/>
  <c r="G783" i="20"/>
  <c r="B784" i="20"/>
  <c r="F784" i="20"/>
  <c r="G784" i="20"/>
  <c r="B785" i="20"/>
  <c r="F785" i="20"/>
  <c r="G785" i="20"/>
  <c r="B786" i="20"/>
  <c r="F786" i="20"/>
  <c r="G786" i="20"/>
  <c r="B787" i="20"/>
  <c r="F787" i="20"/>
  <c r="G787" i="20"/>
  <c r="B788" i="20"/>
  <c r="F788" i="20"/>
  <c r="G788" i="20"/>
  <c r="B789" i="20"/>
  <c r="F789" i="20"/>
  <c r="G789" i="20"/>
  <c r="B790" i="20"/>
  <c r="F790" i="20"/>
  <c r="G790" i="20"/>
  <c r="B791" i="20"/>
  <c r="F791" i="20"/>
  <c r="G791" i="20"/>
  <c r="B792" i="20"/>
  <c r="F792" i="20"/>
  <c r="G792" i="20"/>
  <c r="B793" i="20"/>
  <c r="F793" i="20"/>
  <c r="G793" i="20"/>
  <c r="B794" i="20"/>
  <c r="F794" i="20"/>
  <c r="G794" i="20"/>
  <c r="B795" i="20"/>
  <c r="F795" i="20"/>
  <c r="G795" i="20"/>
  <c r="B796" i="20"/>
  <c r="F796" i="20"/>
  <c r="G796" i="20"/>
  <c r="B797" i="20"/>
  <c r="F797" i="20"/>
  <c r="G797" i="20"/>
  <c r="B798" i="20"/>
  <c r="F798" i="20"/>
  <c r="G798" i="20"/>
  <c r="B799" i="20"/>
  <c r="F799" i="20"/>
  <c r="G799" i="20"/>
  <c r="B800" i="20"/>
  <c r="F800" i="20"/>
  <c r="G800" i="20"/>
  <c r="B801" i="20"/>
  <c r="F801" i="20"/>
  <c r="G801" i="20"/>
  <c r="B802" i="20"/>
  <c r="F802" i="20"/>
  <c r="G802" i="20"/>
  <c r="B803" i="20"/>
  <c r="F803" i="20"/>
  <c r="G803" i="20"/>
  <c r="B804" i="20"/>
  <c r="F804" i="20"/>
  <c r="G804" i="20"/>
  <c r="B805" i="20"/>
  <c r="F805" i="20"/>
  <c r="G805" i="20"/>
  <c r="B806" i="20"/>
  <c r="F806" i="20"/>
  <c r="G806" i="20"/>
  <c r="B807" i="20"/>
  <c r="F807" i="20"/>
  <c r="G807" i="20"/>
  <c r="B808" i="20"/>
  <c r="F808" i="20"/>
  <c r="G808" i="20"/>
  <c r="B809" i="20"/>
  <c r="F809" i="20"/>
  <c r="G809" i="20"/>
  <c r="B810" i="20"/>
  <c r="F810" i="20"/>
  <c r="G810" i="20"/>
  <c r="B811" i="20"/>
  <c r="F811" i="20"/>
  <c r="G811" i="20"/>
  <c r="B812" i="20"/>
  <c r="F812" i="20"/>
  <c r="G812" i="20"/>
  <c r="B813" i="20"/>
  <c r="F813" i="20"/>
  <c r="G813" i="20"/>
  <c r="B814" i="20"/>
  <c r="F814" i="20"/>
  <c r="G814" i="20"/>
  <c r="B815" i="20"/>
  <c r="F815" i="20"/>
  <c r="G815" i="20"/>
  <c r="B816" i="20"/>
  <c r="F816" i="20"/>
  <c r="G816" i="20"/>
  <c r="B817" i="20"/>
  <c r="F817" i="20"/>
  <c r="G817" i="20"/>
  <c r="B818" i="20"/>
  <c r="F818" i="20"/>
  <c r="G818" i="20"/>
  <c r="B819" i="20"/>
  <c r="F819" i="20"/>
  <c r="G819" i="20"/>
  <c r="B820" i="20"/>
  <c r="F820" i="20"/>
  <c r="G820" i="20"/>
  <c r="B821" i="20"/>
  <c r="F821" i="20"/>
  <c r="G821" i="20"/>
  <c r="B822" i="20"/>
  <c r="F822" i="20"/>
  <c r="G822" i="20"/>
  <c r="B823" i="20"/>
  <c r="F823" i="20"/>
  <c r="G823" i="20"/>
  <c r="B824" i="20"/>
  <c r="F824" i="20"/>
  <c r="G824" i="20"/>
  <c r="B825" i="20"/>
  <c r="F825" i="20"/>
  <c r="G825" i="20"/>
  <c r="B826" i="20"/>
  <c r="F826" i="20"/>
  <c r="G826" i="20"/>
  <c r="B827" i="20"/>
  <c r="F827" i="20"/>
  <c r="G827" i="20"/>
  <c r="B828" i="20"/>
  <c r="F828" i="20"/>
  <c r="G828" i="20"/>
  <c r="B829" i="20"/>
  <c r="F829" i="20"/>
  <c r="G829" i="20"/>
  <c r="B830" i="20"/>
  <c r="F830" i="20"/>
  <c r="G830" i="20"/>
  <c r="B831" i="20"/>
  <c r="F831" i="20"/>
  <c r="G831" i="20"/>
  <c r="B832" i="20"/>
  <c r="F832" i="20"/>
  <c r="G832" i="20"/>
  <c r="B833" i="20"/>
  <c r="F833" i="20"/>
  <c r="G833" i="20"/>
  <c r="B834" i="20"/>
  <c r="F834" i="20"/>
  <c r="G834" i="20"/>
  <c r="B835" i="20"/>
  <c r="F835" i="20"/>
  <c r="G835" i="20"/>
  <c r="B836" i="20"/>
  <c r="F836" i="20"/>
  <c r="G836" i="20"/>
  <c r="B837" i="20"/>
  <c r="F837" i="20"/>
  <c r="G837" i="20"/>
  <c r="B838" i="20"/>
  <c r="F838" i="20"/>
  <c r="G838" i="20"/>
  <c r="B839" i="20"/>
  <c r="F839" i="20"/>
  <c r="G839" i="20"/>
  <c r="B840" i="20"/>
  <c r="F840" i="20"/>
  <c r="G840" i="20"/>
  <c r="B841" i="20"/>
  <c r="F841" i="20"/>
  <c r="G841" i="20"/>
  <c r="B842" i="20"/>
  <c r="F842" i="20"/>
  <c r="G842" i="20"/>
  <c r="B843" i="20"/>
  <c r="F843" i="20"/>
  <c r="G843" i="20"/>
  <c r="H17" i="24"/>
  <c r="I17" i="24"/>
  <c r="J17" i="24"/>
  <c r="K17" i="24"/>
  <c r="L17" i="24"/>
  <c r="M17" i="24"/>
  <c r="H18" i="24"/>
  <c r="I18" i="24"/>
  <c r="J18" i="24"/>
  <c r="K18" i="24"/>
  <c r="L18" i="24"/>
  <c r="M18" i="24"/>
  <c r="H19" i="24"/>
  <c r="H20" i="24"/>
  <c r="I20" i="24"/>
  <c r="J20" i="24"/>
  <c r="K20" i="24"/>
  <c r="L20" i="24"/>
  <c r="M20" i="24"/>
  <c r="H21" i="24"/>
  <c r="I21" i="24"/>
  <c r="J21" i="24"/>
  <c r="K21" i="24"/>
  <c r="L21" i="24"/>
  <c r="M21" i="24"/>
  <c r="H22" i="24"/>
  <c r="I22" i="24"/>
  <c r="J22" i="24"/>
  <c r="K22" i="24"/>
  <c r="L22" i="24"/>
  <c r="M22" i="24"/>
  <c r="H23" i="24"/>
  <c r="I23" i="24"/>
  <c r="J23" i="24"/>
  <c r="K23" i="24"/>
  <c r="L23" i="24"/>
  <c r="M23" i="24"/>
  <c r="H24" i="24"/>
  <c r="I24" i="24"/>
  <c r="J24" i="24"/>
  <c r="K24" i="24"/>
  <c r="L24" i="24"/>
  <c r="M24" i="24"/>
  <c r="H25" i="24"/>
  <c r="I25" i="24"/>
  <c r="J25" i="24"/>
  <c r="K25" i="24"/>
  <c r="L25" i="24"/>
  <c r="M25" i="24"/>
  <c r="H26" i="24"/>
  <c r="I26" i="24"/>
  <c r="J26" i="24"/>
  <c r="K26" i="24"/>
  <c r="L26" i="24"/>
  <c r="M26" i="24"/>
  <c r="H27" i="24"/>
  <c r="I27" i="24"/>
  <c r="J27" i="24"/>
  <c r="K27" i="24"/>
  <c r="L27" i="24"/>
  <c r="M27" i="24"/>
  <c r="H28" i="24"/>
  <c r="H29" i="24"/>
  <c r="I29" i="24"/>
  <c r="J29" i="24"/>
  <c r="K29" i="24"/>
  <c r="L29" i="24"/>
  <c r="M29" i="24"/>
  <c r="H32" i="24"/>
  <c r="I32" i="24"/>
  <c r="J32" i="24"/>
  <c r="K32" i="24"/>
  <c r="L32" i="24"/>
  <c r="M32" i="24"/>
  <c r="H34" i="24"/>
  <c r="I34" i="24"/>
  <c r="J34" i="24"/>
  <c r="K34" i="24"/>
  <c r="L34" i="24"/>
  <c r="M34" i="24"/>
  <c r="H35" i="24"/>
  <c r="H36" i="24"/>
  <c r="I36" i="24"/>
  <c r="J36" i="24"/>
  <c r="K36" i="24"/>
  <c r="L36" i="24"/>
  <c r="M36" i="24"/>
  <c r="H37" i="24"/>
  <c r="I37" i="24"/>
  <c r="J37" i="24"/>
  <c r="K37" i="24"/>
  <c r="L37" i="24"/>
  <c r="M37" i="24"/>
  <c r="H38" i="24"/>
  <c r="I38" i="24"/>
  <c r="J38" i="24"/>
  <c r="K38" i="24"/>
  <c r="L38" i="24"/>
  <c r="M38" i="24"/>
  <c r="H39" i="24"/>
  <c r="I39" i="24"/>
  <c r="J39" i="24"/>
  <c r="K39" i="24"/>
  <c r="L39" i="24"/>
  <c r="M39" i="24"/>
  <c r="H40" i="24"/>
  <c r="I40" i="24"/>
  <c r="J40" i="24"/>
  <c r="K40" i="24"/>
  <c r="L40" i="24"/>
  <c r="M40" i="24"/>
  <c r="H41" i="24"/>
  <c r="H42" i="24"/>
  <c r="I42" i="24"/>
  <c r="J42" i="24"/>
  <c r="K42" i="24"/>
  <c r="L42" i="24"/>
  <c r="M42" i="24"/>
  <c r="H43" i="24"/>
  <c r="H44" i="24"/>
  <c r="I44" i="24"/>
  <c r="J44" i="24"/>
  <c r="K44" i="24"/>
  <c r="L44" i="24"/>
  <c r="M44" i="24"/>
  <c r="H45" i="24"/>
  <c r="I45" i="24"/>
  <c r="J45" i="24"/>
  <c r="K45" i="24"/>
  <c r="L45" i="24"/>
  <c r="M45" i="24"/>
  <c r="H46" i="24"/>
  <c r="H47" i="24"/>
  <c r="I47" i="24"/>
  <c r="J47" i="24"/>
  <c r="K47" i="24"/>
  <c r="L47" i="24"/>
  <c r="M47" i="24"/>
  <c r="H48" i="24"/>
  <c r="I48" i="24"/>
  <c r="J48" i="24"/>
  <c r="K48" i="24"/>
  <c r="L48" i="24"/>
  <c r="M48" i="24"/>
  <c r="H49" i="24"/>
  <c r="I49" i="24"/>
  <c r="J49" i="24"/>
  <c r="K49" i="24"/>
  <c r="L49" i="24"/>
  <c r="M49" i="24"/>
  <c r="H50" i="24"/>
  <c r="I50" i="24"/>
  <c r="J50" i="24"/>
  <c r="K50" i="24"/>
  <c r="L50" i="24"/>
  <c r="M50" i="24"/>
  <c r="H51" i="24"/>
  <c r="I51" i="24"/>
  <c r="J51" i="24"/>
  <c r="K51" i="24"/>
  <c r="L51" i="24"/>
  <c r="M51" i="24"/>
  <c r="H52" i="24"/>
  <c r="I52" i="24"/>
  <c r="J52" i="24"/>
  <c r="K52" i="24"/>
  <c r="L52" i="24"/>
  <c r="M52" i="24"/>
  <c r="H53" i="24"/>
  <c r="I53" i="24"/>
  <c r="J53" i="24"/>
  <c r="K53" i="24"/>
  <c r="L53" i="24"/>
  <c r="M53" i="24"/>
  <c r="H54" i="24"/>
  <c r="H55" i="24"/>
  <c r="I55" i="24"/>
  <c r="J55" i="24"/>
  <c r="K55" i="24"/>
  <c r="L55" i="24"/>
  <c r="M55" i="24"/>
  <c r="H56" i="24"/>
  <c r="I56" i="24"/>
  <c r="J56" i="24"/>
  <c r="K56" i="24"/>
  <c r="L56" i="24"/>
  <c r="M56" i="24"/>
  <c r="H57" i="24"/>
  <c r="H58" i="24"/>
  <c r="I58" i="24"/>
  <c r="J58" i="24"/>
  <c r="K58" i="24"/>
  <c r="L58" i="24"/>
  <c r="M58" i="24"/>
  <c r="H59" i="24"/>
  <c r="I59" i="24"/>
  <c r="J59" i="24"/>
  <c r="K59" i="24"/>
  <c r="L59" i="24"/>
  <c r="M59" i="24"/>
  <c r="H60" i="24"/>
  <c r="I60" i="24"/>
  <c r="J60" i="24"/>
  <c r="K60" i="24"/>
  <c r="L60" i="24"/>
  <c r="M60" i="24"/>
  <c r="H61" i="24"/>
  <c r="I61" i="24"/>
  <c r="J61" i="24"/>
  <c r="K61" i="24"/>
  <c r="L61" i="24"/>
  <c r="M61" i="24"/>
  <c r="H62" i="24"/>
  <c r="I62" i="24"/>
  <c r="J62" i="24"/>
  <c r="K62" i="24"/>
  <c r="L62" i="24"/>
  <c r="M62" i="24"/>
  <c r="H63" i="24"/>
  <c r="I63" i="24"/>
  <c r="J63" i="24"/>
  <c r="K63" i="24"/>
  <c r="L63" i="24"/>
  <c r="M63" i="24"/>
  <c r="H64" i="24"/>
  <c r="H65" i="24"/>
  <c r="I65" i="24"/>
  <c r="J65" i="24"/>
  <c r="K65" i="24"/>
  <c r="L65" i="24"/>
  <c r="M65" i="24"/>
  <c r="H66" i="24"/>
  <c r="I66" i="24"/>
  <c r="J66" i="24"/>
  <c r="K66" i="24"/>
  <c r="L66" i="24"/>
  <c r="M66" i="24"/>
  <c r="H67" i="24"/>
  <c r="I67" i="24"/>
  <c r="J67" i="24"/>
  <c r="K67" i="24"/>
  <c r="L67" i="24"/>
  <c r="M67" i="24"/>
  <c r="H68" i="24"/>
  <c r="I68" i="24"/>
  <c r="J68" i="24"/>
  <c r="K68" i="24"/>
  <c r="L68" i="24"/>
  <c r="M68" i="24"/>
  <c r="H69" i="24"/>
  <c r="I69" i="24"/>
  <c r="J69" i="24"/>
  <c r="K69" i="24"/>
  <c r="L69" i="24"/>
  <c r="M69" i="24"/>
  <c r="H70" i="24"/>
  <c r="I70" i="24"/>
  <c r="J70" i="24"/>
  <c r="K70" i="24"/>
  <c r="L70" i="24"/>
  <c r="M70" i="24"/>
  <c r="H71" i="24"/>
  <c r="I71" i="24"/>
  <c r="J71" i="24"/>
  <c r="K71" i="24"/>
  <c r="L71" i="24"/>
  <c r="M71" i="24"/>
  <c r="H72" i="24"/>
  <c r="I72" i="24"/>
  <c r="J72" i="24"/>
  <c r="K72" i="24"/>
  <c r="L72" i="24"/>
  <c r="M72" i="24"/>
  <c r="H73" i="24"/>
  <c r="I73" i="24"/>
  <c r="J73" i="24"/>
  <c r="K73" i="24"/>
  <c r="L73" i="24"/>
  <c r="M73" i="24"/>
  <c r="H74" i="24"/>
  <c r="I74" i="24"/>
  <c r="J74" i="24"/>
  <c r="K74" i="24"/>
  <c r="L74" i="24"/>
  <c r="M74" i="24"/>
  <c r="H75" i="24"/>
  <c r="I75" i="24"/>
  <c r="J75" i="24"/>
  <c r="K75" i="24"/>
  <c r="L75" i="24"/>
  <c r="M75" i="24"/>
  <c r="H76" i="24"/>
  <c r="I76" i="24"/>
  <c r="J76" i="24"/>
  <c r="K76" i="24"/>
  <c r="L76" i="24"/>
  <c r="M76" i="24"/>
  <c r="H77" i="24"/>
  <c r="H78" i="24"/>
  <c r="I78" i="24"/>
  <c r="J78" i="24"/>
  <c r="K78" i="24"/>
  <c r="L78" i="24"/>
  <c r="M78" i="24"/>
  <c r="H79" i="24"/>
  <c r="I79" i="24"/>
  <c r="J79" i="24"/>
  <c r="K79" i="24"/>
  <c r="L79" i="24"/>
  <c r="M79" i="24"/>
  <c r="H80" i="24"/>
  <c r="I80" i="24"/>
  <c r="J80" i="24"/>
  <c r="K80" i="24"/>
  <c r="L80" i="24"/>
  <c r="M80" i="24"/>
  <c r="H81" i="24"/>
  <c r="I81" i="24"/>
  <c r="J81" i="24"/>
  <c r="K81" i="24"/>
  <c r="L81" i="24"/>
  <c r="M81" i="24"/>
  <c r="H82" i="24"/>
  <c r="I82" i="24"/>
  <c r="J82" i="24"/>
  <c r="K82" i="24"/>
  <c r="L82" i="24"/>
  <c r="M82" i="24"/>
  <c r="H83" i="24"/>
  <c r="I83" i="24"/>
  <c r="J83" i="24"/>
  <c r="K83" i="24"/>
  <c r="L83" i="24"/>
  <c r="M83" i="24"/>
  <c r="H84" i="24"/>
  <c r="I84" i="24"/>
  <c r="J84" i="24"/>
  <c r="K84" i="24"/>
  <c r="L84" i="24"/>
  <c r="M84" i="24"/>
  <c r="H85" i="24"/>
  <c r="I85" i="24"/>
  <c r="J85" i="24"/>
  <c r="K85" i="24"/>
  <c r="L85" i="24"/>
  <c r="M85" i="24"/>
  <c r="H86" i="24"/>
  <c r="I86" i="24"/>
  <c r="J86" i="24"/>
  <c r="K86" i="24"/>
  <c r="L86" i="24"/>
  <c r="M86" i="24"/>
  <c r="H87" i="24"/>
  <c r="I87" i="24"/>
  <c r="J87" i="24"/>
  <c r="K87" i="24"/>
  <c r="L87" i="24"/>
  <c r="M87" i="24"/>
  <c r="H88" i="24"/>
  <c r="I88" i="24"/>
  <c r="J88" i="24"/>
  <c r="K88" i="24"/>
  <c r="L88" i="24"/>
  <c r="M88" i="24"/>
  <c r="H89" i="24"/>
  <c r="I89" i="24"/>
  <c r="J89" i="24"/>
  <c r="K89" i="24"/>
  <c r="L89" i="24"/>
  <c r="M89" i="24"/>
  <c r="H90" i="24"/>
  <c r="I90" i="24"/>
  <c r="J90" i="24"/>
  <c r="K90" i="24"/>
  <c r="L90" i="24"/>
  <c r="M90" i="24"/>
  <c r="H91" i="24"/>
  <c r="I91" i="24"/>
  <c r="J91" i="24"/>
  <c r="K91" i="24"/>
  <c r="L91" i="24"/>
  <c r="M91" i="24"/>
  <c r="H92" i="24"/>
  <c r="I92" i="24"/>
  <c r="J92" i="24"/>
  <c r="K92" i="24"/>
  <c r="L92" i="24"/>
  <c r="M92" i="24"/>
  <c r="H93" i="24"/>
  <c r="I93" i="24"/>
  <c r="J93" i="24"/>
  <c r="K93" i="24"/>
  <c r="L93" i="24"/>
  <c r="M93" i="24"/>
  <c r="H94" i="24"/>
  <c r="I94" i="24"/>
  <c r="J94" i="24"/>
  <c r="K94" i="24"/>
  <c r="L94" i="24"/>
  <c r="M94" i="24"/>
  <c r="H95" i="24"/>
  <c r="I95" i="24"/>
  <c r="J95" i="24"/>
  <c r="K95" i="24"/>
  <c r="L95" i="24"/>
  <c r="M95" i="24"/>
  <c r="H96" i="24"/>
  <c r="I96" i="24"/>
  <c r="J96" i="24"/>
  <c r="K96" i="24"/>
  <c r="L96" i="24"/>
  <c r="M96" i="24"/>
  <c r="H97" i="24"/>
  <c r="I97" i="24"/>
  <c r="J97" i="24"/>
  <c r="K97" i="24"/>
  <c r="L97" i="24"/>
  <c r="M97" i="24"/>
  <c r="H98" i="24"/>
  <c r="I98" i="24"/>
  <c r="J98" i="24"/>
  <c r="K98" i="24"/>
  <c r="L98" i="24"/>
  <c r="M98" i="24"/>
  <c r="H99" i="24"/>
  <c r="I99" i="24"/>
  <c r="J99" i="24"/>
  <c r="K99" i="24"/>
  <c r="L99" i="24"/>
  <c r="M99" i="24"/>
  <c r="H100" i="24"/>
  <c r="I100" i="24"/>
  <c r="J100" i="24"/>
  <c r="K100" i="24"/>
  <c r="L100" i="24"/>
  <c r="M100" i="24"/>
  <c r="H101" i="24"/>
  <c r="I101" i="24"/>
  <c r="J101" i="24"/>
  <c r="K101" i="24"/>
  <c r="L101" i="24"/>
  <c r="M101" i="24"/>
  <c r="H102" i="24"/>
  <c r="I102" i="24"/>
  <c r="J102" i="24"/>
  <c r="K102" i="24"/>
  <c r="L102" i="24"/>
  <c r="M102" i="24"/>
  <c r="H103" i="24"/>
  <c r="I103" i="24"/>
  <c r="J103" i="24"/>
  <c r="K103" i="24"/>
  <c r="L103" i="24"/>
  <c r="M103" i="24"/>
  <c r="H104" i="24"/>
  <c r="I104" i="24"/>
  <c r="J104" i="24"/>
  <c r="K104" i="24"/>
  <c r="L104" i="24"/>
  <c r="M104" i="24"/>
  <c r="H105" i="24"/>
  <c r="I105" i="24"/>
  <c r="J105" i="24"/>
  <c r="K105" i="24"/>
  <c r="L105" i="24"/>
  <c r="M105" i="24"/>
  <c r="H106" i="24"/>
  <c r="I106" i="24"/>
  <c r="J106" i="24"/>
  <c r="K106" i="24"/>
  <c r="L106" i="24"/>
  <c r="M106" i="24"/>
  <c r="H107" i="24"/>
  <c r="I107" i="24"/>
  <c r="J107" i="24"/>
  <c r="K107" i="24"/>
  <c r="L107" i="24"/>
  <c r="M107" i="24"/>
  <c r="H108" i="24"/>
  <c r="I108" i="24"/>
  <c r="J108" i="24"/>
  <c r="K108" i="24"/>
  <c r="L108" i="24"/>
  <c r="M108" i="24"/>
  <c r="H109" i="24"/>
  <c r="I109" i="24"/>
  <c r="J109" i="24"/>
  <c r="K109" i="24"/>
  <c r="L109" i="24"/>
  <c r="M109" i="24"/>
  <c r="H110" i="24"/>
  <c r="I110" i="24"/>
  <c r="J110" i="24"/>
  <c r="K110" i="24"/>
  <c r="L110" i="24"/>
  <c r="M110" i="24"/>
  <c r="H111" i="24"/>
  <c r="I111" i="24"/>
  <c r="J111" i="24"/>
  <c r="K111" i="24"/>
  <c r="L111" i="24"/>
  <c r="M111" i="24"/>
  <c r="H112" i="24"/>
  <c r="I112" i="24"/>
  <c r="J112" i="24"/>
  <c r="K112" i="24"/>
  <c r="L112" i="24"/>
  <c r="M112" i="24"/>
  <c r="H113" i="24"/>
  <c r="I113" i="24"/>
  <c r="J113" i="24"/>
  <c r="K113" i="24"/>
  <c r="L113" i="24"/>
  <c r="M113" i="24"/>
  <c r="H114" i="24"/>
  <c r="I114" i="24"/>
  <c r="J114" i="24"/>
  <c r="K114" i="24"/>
  <c r="L114" i="24"/>
  <c r="M114" i="24"/>
  <c r="H115" i="24"/>
  <c r="I115" i="24"/>
  <c r="J115" i="24"/>
  <c r="K115" i="24"/>
  <c r="L115" i="24"/>
  <c r="M115" i="24"/>
  <c r="H116" i="24"/>
  <c r="I116" i="24"/>
  <c r="J116" i="24"/>
  <c r="K116" i="24"/>
  <c r="L116" i="24"/>
  <c r="M116" i="24"/>
  <c r="H117" i="24"/>
  <c r="I117" i="24"/>
  <c r="J117" i="24"/>
  <c r="K117" i="24"/>
  <c r="L117" i="24"/>
  <c r="M117" i="24"/>
  <c r="H118" i="24"/>
  <c r="I118" i="24"/>
  <c r="J118" i="24"/>
  <c r="K118" i="24"/>
  <c r="L118" i="24"/>
  <c r="M118" i="24"/>
  <c r="H119" i="24"/>
  <c r="I119" i="24"/>
  <c r="J119" i="24"/>
  <c r="K119" i="24"/>
  <c r="L119" i="24"/>
  <c r="M119" i="24"/>
  <c r="H120" i="24"/>
  <c r="I120" i="24"/>
  <c r="J120" i="24"/>
  <c r="K120" i="24"/>
  <c r="L120" i="24"/>
  <c r="M120" i="24"/>
  <c r="H121" i="24"/>
  <c r="I121" i="24"/>
  <c r="J121" i="24"/>
  <c r="K121" i="24"/>
  <c r="L121" i="24"/>
  <c r="M121" i="24"/>
  <c r="B55" i="14"/>
  <c r="B18" i="14"/>
  <c r="Q5" i="16"/>
  <c r="F17" i="24"/>
  <c r="F21" i="24"/>
  <c r="F22" i="24"/>
  <c r="F24" i="24"/>
  <c r="F26" i="24"/>
  <c r="F34" i="24"/>
  <c r="F37" i="24"/>
  <c r="F39" i="24"/>
  <c r="F47" i="24"/>
  <c r="F49" i="24"/>
  <c r="F51" i="24"/>
  <c r="F59" i="24"/>
  <c r="F60" i="24"/>
  <c r="F62" i="24"/>
  <c r="F66" i="24"/>
  <c r="F67" i="24"/>
  <c r="F69" i="24"/>
  <c r="F71" i="24"/>
  <c r="F73" i="24"/>
  <c r="F75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M122" i="24"/>
  <c r="M123" i="24"/>
  <c r="M124" i="24"/>
  <c r="M125" i="24"/>
  <c r="M126" i="24"/>
  <c r="M127" i="24"/>
  <c r="M128" i="24"/>
  <c r="M129" i="24"/>
  <c r="I7" i="1"/>
  <c r="E17" i="24"/>
  <c r="E18" i="24"/>
  <c r="E20" i="24"/>
  <c r="E21" i="24"/>
  <c r="E22" i="24"/>
  <c r="E23" i="24"/>
  <c r="E24" i="24"/>
  <c r="E25" i="24"/>
  <c r="E26" i="24"/>
  <c r="E27" i="24"/>
  <c r="E29" i="24"/>
  <c r="E32" i="24"/>
  <c r="E34" i="24"/>
  <c r="E36" i="24"/>
  <c r="E37" i="24"/>
  <c r="E38" i="24"/>
  <c r="E39" i="24"/>
  <c r="E40" i="24"/>
  <c r="E42" i="24"/>
  <c r="E44" i="24"/>
  <c r="E45" i="24"/>
  <c r="E47" i="24"/>
  <c r="E48" i="24"/>
  <c r="E49" i="24"/>
  <c r="E50" i="24"/>
  <c r="E51" i="24"/>
  <c r="E52" i="24"/>
  <c r="E53" i="24"/>
  <c r="E55" i="24"/>
  <c r="E56" i="24"/>
  <c r="E58" i="24"/>
  <c r="E59" i="24"/>
  <c r="E60" i="24"/>
  <c r="E61" i="24"/>
  <c r="E62" i="24"/>
  <c r="E63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H122" i="24"/>
  <c r="H123" i="24"/>
  <c r="H124" i="24"/>
  <c r="H125" i="24"/>
  <c r="H126" i="24"/>
  <c r="H127" i="24"/>
  <c r="H128" i="24"/>
  <c r="H129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B6" i="27"/>
  <c r="B5" i="27"/>
  <c r="B4" i="27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K77" i="24" l="1"/>
  <c r="E77" i="24"/>
  <c r="A76" i="24"/>
  <c r="A75" i="24" s="1"/>
  <c r="A74" i="24" s="1"/>
  <c r="A73" i="24" s="1"/>
  <c r="A72" i="24" s="1"/>
  <c r="A71" i="24" s="1"/>
  <c r="A70" i="24" s="1"/>
  <c r="A69" i="24" s="1"/>
  <c r="A68" i="24" s="1"/>
  <c r="A67" i="24" s="1"/>
  <c r="A66" i="24" s="1"/>
  <c r="A65" i="24" s="1"/>
  <c r="J77" i="24" s="1"/>
  <c r="E64" i="24"/>
  <c r="A63" i="24"/>
  <c r="A62" i="24" s="1"/>
  <c r="A61" i="24" s="1"/>
  <c r="A60" i="24" s="1"/>
  <c r="A59" i="24" s="1"/>
  <c r="A58" i="24" s="1"/>
  <c r="J64" i="24"/>
  <c r="I64" i="24"/>
  <c r="K64" i="24"/>
  <c r="E57" i="24"/>
  <c r="M57" i="24"/>
  <c r="K57" i="24"/>
  <c r="A56" i="24"/>
  <c r="A55" i="24" s="1"/>
  <c r="I57" i="24" s="1"/>
  <c r="A53" i="24"/>
  <c r="A52" i="24" s="1"/>
  <c r="A51" i="24" s="1"/>
  <c r="A50" i="24" s="1"/>
  <c r="A49" i="24" s="1"/>
  <c r="A48" i="24" s="1"/>
  <c r="A47" i="24" s="1"/>
  <c r="A46" i="24" s="1"/>
  <c r="A45" i="24" s="1"/>
  <c r="A44" i="24" s="1"/>
  <c r="J46" i="24"/>
  <c r="K46" i="24"/>
  <c r="A27" i="24"/>
  <c r="A26" i="24" s="1"/>
  <c r="A25" i="24" s="1"/>
  <c r="A24" i="24" s="1"/>
  <c r="A23" i="24" s="1"/>
  <c r="A22" i="24" s="1"/>
  <c r="A21" i="24" s="1"/>
  <c r="A20" i="24" s="1"/>
  <c r="A18" i="24"/>
  <c r="A17" i="24" s="1"/>
  <c r="A16" i="24" s="1"/>
  <c r="A15" i="24" s="1"/>
  <c r="A14" i="24" s="1"/>
  <c r="A13" i="24" s="1"/>
  <c r="H2" i="24"/>
  <c r="F4" i="20"/>
  <c r="M77" i="24" l="1"/>
  <c r="I77" i="24"/>
  <c r="M64" i="24"/>
  <c r="A42" i="24"/>
  <c r="A40" i="24"/>
  <c r="A39" i="24" s="1"/>
  <c r="A38" i="24" s="1"/>
  <c r="A37" i="24" s="1"/>
  <c r="A36" i="24" s="1"/>
  <c r="I46" i="24" s="1"/>
  <c r="I41" i="24"/>
  <c r="J41" i="24"/>
  <c r="E41" i="24"/>
  <c r="M46" i="24"/>
  <c r="E46" i="24"/>
  <c r="E43" i="24" s="1"/>
  <c r="A29" i="24"/>
  <c r="I54" i="24" s="1"/>
  <c r="M12" i="24"/>
  <c r="K12" i="24"/>
  <c r="E12" i="24"/>
  <c r="J35" i="24"/>
  <c r="I35" i="24"/>
  <c r="M35" i="24"/>
  <c r="I12" i="24"/>
  <c r="E35" i="24"/>
  <c r="M6" i="24"/>
  <c r="M28" i="24"/>
  <c r="E6" i="24"/>
  <c r="I6" i="24"/>
  <c r="K6" i="24"/>
  <c r="K35" i="24"/>
  <c r="E28" i="24"/>
  <c r="I28" i="24"/>
  <c r="J28" i="24"/>
  <c r="K28" i="24"/>
  <c r="K19" i="24"/>
  <c r="E19" i="24"/>
  <c r="I19" i="24"/>
  <c r="M19" i="24"/>
  <c r="G209" i="20"/>
  <c r="G178" i="20"/>
  <c r="G182" i="20"/>
  <c r="G156" i="20"/>
  <c r="G193" i="20"/>
  <c r="G170" i="20"/>
  <c r="G203" i="20"/>
  <c r="G179" i="20"/>
  <c r="G169" i="20"/>
  <c r="G164" i="20"/>
  <c r="G162" i="20"/>
  <c r="G210" i="20"/>
  <c r="G176" i="20"/>
  <c r="G190" i="20"/>
  <c r="G192" i="20"/>
  <c r="G187" i="20"/>
  <c r="G167" i="20"/>
  <c r="G204" i="20"/>
  <c r="G212" i="20"/>
  <c r="G153" i="20"/>
  <c r="G154" i="20"/>
  <c r="G189" i="20"/>
  <c r="G165" i="20"/>
  <c r="G152" i="20"/>
  <c r="G151" i="20"/>
  <c r="G177" i="20"/>
  <c r="G183" i="20"/>
  <c r="G207" i="20"/>
  <c r="G186" i="20"/>
  <c r="G157" i="20"/>
  <c r="G150" i="20"/>
  <c r="G175" i="20"/>
  <c r="G184" i="20"/>
  <c r="G163" i="20"/>
  <c r="G172" i="20"/>
  <c r="B206" i="20"/>
  <c r="B194" i="20"/>
  <c r="B129" i="20"/>
  <c r="B177" i="20"/>
  <c r="B152" i="20"/>
  <c r="B137" i="20"/>
  <c r="B210" i="20"/>
  <c r="B149" i="20"/>
  <c r="B180" i="20"/>
  <c r="B167" i="20"/>
  <c r="B198" i="20"/>
  <c r="B132" i="20"/>
  <c r="B136" i="20"/>
  <c r="B178" i="20"/>
  <c r="B169" i="20"/>
  <c r="B186" i="20"/>
  <c r="B151" i="20"/>
  <c r="B179" i="20"/>
  <c r="B171" i="20"/>
  <c r="B154" i="20"/>
  <c r="B182" i="20"/>
  <c r="B166" i="20"/>
  <c r="B160" i="20"/>
  <c r="B187" i="20"/>
  <c r="B145" i="20"/>
  <c r="B139" i="20"/>
  <c r="B191" i="20"/>
  <c r="B189" i="20"/>
  <c r="B164" i="20"/>
  <c r="B212" i="20"/>
  <c r="B197" i="20"/>
  <c r="B193" i="20"/>
  <c r="B208" i="20"/>
  <c r="B140" i="20"/>
  <c r="B201" i="20"/>
  <c r="B157" i="20"/>
  <c r="B174" i="20"/>
  <c r="B184" i="20"/>
  <c r="B203" i="20"/>
  <c r="B200" i="20"/>
  <c r="B163" i="20"/>
  <c r="B190" i="20"/>
  <c r="B134" i="20"/>
  <c r="B204" i="20"/>
  <c r="B170" i="20"/>
  <c r="B181" i="20"/>
  <c r="B141" i="20"/>
  <c r="B192" i="20"/>
  <c r="B211" i="20"/>
  <c r="B155" i="20"/>
  <c r="B135" i="20"/>
  <c r="B147" i="20"/>
  <c r="B142" i="20"/>
  <c r="B133" i="20"/>
  <c r="B159" i="20"/>
  <c r="B173" i="20"/>
  <c r="B207" i="20"/>
  <c r="B188" i="20"/>
  <c r="B150" i="20"/>
  <c r="B153" i="20"/>
  <c r="B130" i="20"/>
  <c r="B175" i="20"/>
  <c r="B156" i="20"/>
  <c r="B205" i="20"/>
  <c r="B144" i="20"/>
  <c r="B195" i="20"/>
  <c r="B161" i="20"/>
  <c r="B196" i="20"/>
  <c r="B168" i="20"/>
  <c r="B162" i="20"/>
  <c r="B202" i="20"/>
  <c r="B185" i="20"/>
  <c r="B146" i="20"/>
  <c r="B138" i="20"/>
  <c r="B165" i="20"/>
  <c r="B131" i="20"/>
  <c r="B176" i="20"/>
  <c r="B183" i="20"/>
  <c r="B209" i="20"/>
  <c r="B158" i="20"/>
  <c r="B143" i="20"/>
  <c r="B199" i="20"/>
  <c r="B172" i="20"/>
  <c r="B148" i="20"/>
  <c r="M43" i="24" l="1"/>
  <c r="M2" i="24" s="1"/>
  <c r="K43" i="24"/>
  <c r="J43" i="24"/>
  <c r="M41" i="24"/>
  <c r="I43" i="24"/>
  <c r="I2" i="24" s="1"/>
  <c r="K41" i="24"/>
  <c r="M54" i="24"/>
  <c r="K54" i="24"/>
  <c r="E54" i="24"/>
  <c r="E2" i="24" s="1"/>
  <c r="G195" i="20"/>
  <c r="G196" i="20"/>
  <c r="G197" i="20"/>
  <c r="G198" i="20"/>
  <c r="G134" i="20"/>
  <c r="G142" i="20"/>
  <c r="G136" i="20"/>
  <c r="G138" i="20"/>
  <c r="G139" i="20"/>
  <c r="G143" i="20"/>
  <c r="G140" i="20"/>
  <c r="G137" i="20"/>
  <c r="G133" i="20"/>
  <c r="G141" i="20"/>
  <c r="G135" i="20"/>
  <c r="G145" i="20"/>
  <c r="G146" i="20"/>
  <c r="G130" i="20"/>
  <c r="G131" i="20"/>
  <c r="G129" i="20"/>
  <c r="G148" i="20"/>
  <c r="G206" i="20"/>
  <c r="G166" i="20"/>
  <c r="G181" i="20"/>
  <c r="G168" i="20"/>
  <c r="G211" i="20"/>
  <c r="G173" i="20"/>
  <c r="G208" i="20"/>
  <c r="G161" i="20"/>
  <c r="G174" i="20"/>
  <c r="G180" i="20"/>
  <c r="G171" i="20"/>
  <c r="G185" i="20"/>
  <c r="G159" i="20"/>
  <c r="G158" i="20"/>
  <c r="G188" i="20"/>
  <c r="K2" i="24" l="1"/>
  <c r="G144" i="20"/>
  <c r="G160" i="20" l="1"/>
  <c r="G194" i="20"/>
  <c r="G200" i="20"/>
  <c r="G191" i="20"/>
  <c r="G149" i="20" l="1"/>
  <c r="G132" i="20"/>
  <c r="G201" i="20" l="1"/>
  <c r="G202" i="20" l="1"/>
  <c r="G199" i="20"/>
  <c r="G115" i="20" l="1"/>
  <c r="G123" i="20"/>
  <c r="G120" i="20"/>
  <c r="G128" i="20"/>
  <c r="G127" i="20"/>
  <c r="G126" i="20"/>
  <c r="G114" i="20"/>
  <c r="G117" i="20"/>
  <c r="G121" i="20"/>
  <c r="G118" i="20"/>
  <c r="G124" i="20"/>
  <c r="G122" i="20"/>
  <c r="G125" i="20"/>
  <c r="G119" i="20"/>
  <c r="B115" i="20"/>
  <c r="B120" i="20"/>
  <c r="B119" i="20"/>
  <c r="B128" i="20"/>
  <c r="B122" i="20"/>
  <c r="B114" i="20"/>
  <c r="B125" i="20"/>
  <c r="B118" i="20"/>
  <c r="B117" i="20"/>
  <c r="B121" i="20"/>
  <c r="B123" i="20"/>
  <c r="B124" i="20"/>
  <c r="B116" i="20"/>
  <c r="B126" i="20"/>
  <c r="B127" i="20"/>
  <c r="F32" i="24" l="1"/>
  <c r="L46" i="24" l="1"/>
  <c r="G116" i="20" l="1"/>
  <c r="F45" i="24" l="1"/>
  <c r="H2129" i="1"/>
  <c r="H68" i="1"/>
  <c r="G1234" i="1"/>
  <c r="G778" i="1"/>
  <c r="G833" i="1"/>
  <c r="G2256" i="1"/>
  <c r="E1956" i="1"/>
  <c r="G424" i="1"/>
  <c r="E1820" i="1"/>
  <c r="G1189" i="1"/>
  <c r="H2074" i="1"/>
  <c r="H450" i="1"/>
  <c r="E1748" i="1"/>
  <c r="H1632" i="1"/>
  <c r="H2062" i="1"/>
  <c r="H1811" i="1"/>
  <c r="G1511" i="1"/>
  <c r="G2279" i="1"/>
  <c r="H202" i="1"/>
  <c r="E1415" i="1"/>
  <c r="E2060" i="1"/>
  <c r="H1472" i="1"/>
  <c r="E1690" i="1"/>
  <c r="G224" i="1"/>
  <c r="H1041" i="1"/>
  <c r="H1043" i="1"/>
  <c r="D162" i="23"/>
  <c r="H446" i="1"/>
  <c r="G1428" i="1"/>
  <c r="H196" i="1"/>
  <c r="G1411" i="1"/>
  <c r="H362" i="1"/>
  <c r="H1894" i="1"/>
  <c r="H1851" i="1"/>
  <c r="G2028" i="1"/>
  <c r="G717" i="1"/>
  <c r="E1985" i="1"/>
  <c r="C805" i="23"/>
  <c r="E1510" i="1"/>
  <c r="G772" i="1"/>
  <c r="E2042" i="1"/>
  <c r="C6" i="27"/>
  <c r="G494" i="1"/>
  <c r="H1195" i="1"/>
  <c r="E1396" i="1"/>
  <c r="H1452" i="1"/>
  <c r="H1232" i="1"/>
  <c r="E1569" i="1"/>
  <c r="G346" i="1"/>
  <c r="H201" i="1"/>
  <c r="E2216" i="1"/>
  <c r="E2005" i="1"/>
  <c r="G1417" i="1"/>
  <c r="H1572" i="1"/>
  <c r="E1970" i="1"/>
  <c r="H655" i="1"/>
  <c r="G930" i="1"/>
  <c r="E2102" i="1"/>
  <c r="H1795" i="1"/>
  <c r="H1213" i="1"/>
  <c r="G383" i="1"/>
  <c r="C259" i="23"/>
  <c r="H486" i="1"/>
  <c r="G116" i="1"/>
  <c r="H2064" i="1"/>
  <c r="H1322" i="1"/>
  <c r="G2137" i="1"/>
  <c r="G478" i="1"/>
  <c r="C531" i="23"/>
  <c r="G2080" i="1"/>
  <c r="G190" i="1"/>
  <c r="E1469" i="1"/>
  <c r="E2205" i="1"/>
  <c r="G2219" i="1"/>
  <c r="G2132" i="1"/>
  <c r="E2106" i="1"/>
  <c r="E2136" i="1"/>
  <c r="E2015" i="1"/>
  <c r="E1915" i="1"/>
  <c r="E2198" i="1"/>
  <c r="G254" i="1"/>
  <c r="H1559" i="1"/>
  <c r="H518" i="1"/>
  <c r="G65" i="1"/>
  <c r="E2072" i="1"/>
  <c r="G2281" i="1"/>
  <c r="H553" i="1"/>
  <c r="E1611" i="1"/>
  <c r="G544" i="1"/>
  <c r="H2278" i="1"/>
  <c r="H166" i="1"/>
  <c r="G637" i="1"/>
  <c r="G1971" i="1"/>
  <c r="G809" i="1"/>
  <c r="H2104" i="1"/>
  <c r="H1959" i="1"/>
  <c r="H1726" i="1"/>
  <c r="G1268" i="1"/>
  <c r="H766" i="1"/>
  <c r="H1683" i="1"/>
  <c r="H1972" i="1"/>
  <c r="H631" i="1"/>
  <c r="G2277" i="1"/>
  <c r="G2005" i="1"/>
  <c r="G519" i="1"/>
  <c r="H1756" i="1"/>
  <c r="E2193" i="1"/>
  <c r="H1634" i="1"/>
  <c r="G1475" i="1"/>
  <c r="H639" i="1"/>
  <c r="G2079" i="1"/>
  <c r="G2050" i="1"/>
  <c r="G742" i="1"/>
  <c r="H1135" i="1"/>
  <c r="G1648" i="1"/>
  <c r="H33" i="1"/>
  <c r="H1783" i="1"/>
  <c r="H342" i="1"/>
  <c r="E2249" i="1"/>
  <c r="H824" i="1"/>
  <c r="E2149" i="1"/>
  <c r="G1409" i="1"/>
  <c r="G360" i="1"/>
  <c r="H957" i="1"/>
  <c r="E1420" i="1"/>
  <c r="G1858" i="1"/>
  <c r="H168" i="1"/>
  <c r="G776" i="1"/>
  <c r="G269" i="1"/>
  <c r="G103" i="1"/>
  <c r="C608" i="23"/>
  <c r="G56" i="1"/>
  <c r="G1055" i="1"/>
  <c r="H660" i="1"/>
  <c r="G2060" i="1"/>
  <c r="H185" i="1"/>
  <c r="H1256" i="1"/>
  <c r="H946" i="1"/>
  <c r="E1882" i="1"/>
  <c r="H261" i="1"/>
  <c r="G1708" i="1"/>
  <c r="G1573" i="1"/>
  <c r="H1292" i="1"/>
  <c r="G611" i="1"/>
  <c r="H1375" i="1"/>
  <c r="G331" i="1"/>
  <c r="H539" i="1"/>
  <c r="E1941" i="1"/>
  <c r="H1206" i="1"/>
  <c r="E1594" i="1"/>
  <c r="H1597" i="1"/>
  <c r="G678" i="1"/>
  <c r="C224" i="23"/>
  <c r="E1887" i="1"/>
  <c r="G1125" i="1"/>
  <c r="G361" i="1"/>
  <c r="E1541" i="1"/>
  <c r="H1512" i="1"/>
  <c r="G390" i="1"/>
  <c r="H909" i="1"/>
  <c r="G84" i="1"/>
  <c r="G1508" i="1"/>
  <c r="H1104" i="1"/>
  <c r="G615" i="1"/>
  <c r="G1758" i="1"/>
  <c r="H554" i="1"/>
  <c r="H1117" i="1"/>
  <c r="G818" i="1"/>
  <c r="H1297" i="1"/>
  <c r="H150" i="1"/>
  <c r="H167" i="1"/>
  <c r="D447" i="23"/>
  <c r="H1321" i="1"/>
  <c r="H303" i="1"/>
  <c r="E2282" i="1"/>
  <c r="H253" i="1"/>
  <c r="H1134" i="1"/>
  <c r="G177" i="1"/>
  <c r="H424" i="1"/>
  <c r="H1956" i="1"/>
  <c r="G192" i="1"/>
  <c r="E1802" i="1"/>
  <c r="H522" i="1"/>
  <c r="G1322" i="1"/>
  <c r="H31" i="1"/>
  <c r="G1489" i="1"/>
  <c r="H998" i="1"/>
  <c r="H975" i="1"/>
  <c r="H1652" i="1"/>
  <c r="H2247" i="1"/>
  <c r="H1386" i="1"/>
  <c r="G315" i="1"/>
  <c r="G1149" i="1"/>
  <c r="E2008" i="1"/>
  <c r="E1848" i="1"/>
  <c r="G1512" i="1"/>
  <c r="G815" i="1"/>
  <c r="G1004" i="1"/>
  <c r="H863" i="1"/>
  <c r="G1813" i="1"/>
  <c r="G1462" i="1"/>
  <c r="H2099" i="1"/>
  <c r="C400" i="23"/>
  <c r="G946" i="1"/>
  <c r="G164" i="1"/>
  <c r="E1633" i="1"/>
  <c r="H1401" i="1"/>
  <c r="H1088" i="1"/>
  <c r="E1401" i="1"/>
  <c r="G1643" i="1"/>
  <c r="H603" i="1"/>
  <c r="G653" i="1"/>
  <c r="G970" i="1"/>
  <c r="G2244" i="1"/>
  <c r="H586" i="1"/>
  <c r="H1887" i="1"/>
  <c r="G1113" i="1"/>
  <c r="H194" i="1"/>
  <c r="E1846" i="1"/>
  <c r="G1344" i="1"/>
  <c r="H569" i="1"/>
  <c r="G49" i="1"/>
  <c r="H1425" i="1"/>
  <c r="G1459" i="1"/>
  <c r="H785" i="1"/>
  <c r="G1182" i="1"/>
  <c r="H733" i="1"/>
  <c r="G2313" i="1"/>
  <c r="G923" i="1"/>
  <c r="G195" i="1"/>
  <c r="E1777" i="1"/>
  <c r="H771" i="1"/>
  <c r="G591" i="1"/>
  <c r="E1742" i="1"/>
  <c r="E2138" i="1"/>
  <c r="G666" i="1"/>
  <c r="G2183" i="1"/>
  <c r="G1171" i="1"/>
  <c r="E2298" i="1"/>
  <c r="G1288" i="1"/>
  <c r="G1586" i="1"/>
  <c r="E2236" i="1"/>
  <c r="E1744" i="1"/>
  <c r="H1617" i="1"/>
  <c r="G1399" i="1"/>
  <c r="G174" i="1"/>
  <c r="G1748" i="1"/>
  <c r="H44" i="1"/>
  <c r="G1410" i="1"/>
  <c r="G112" i="1"/>
  <c r="G1909" i="1"/>
  <c r="H2166" i="1"/>
  <c r="E4" i="16"/>
  <c r="C642" i="23"/>
  <c r="N479" i="23"/>
  <c r="G985" i="1"/>
  <c r="E1779" i="1"/>
  <c r="N956" i="23"/>
  <c r="G886" i="1"/>
  <c r="G882" i="1"/>
  <c r="H976" i="1"/>
  <c r="G1688" i="1"/>
  <c r="G1396" i="1"/>
  <c r="E1867" i="1"/>
  <c r="H2071" i="1"/>
  <c r="G1974" i="1"/>
  <c r="H1356" i="1"/>
  <c r="G905" i="1"/>
  <c r="H858" i="1"/>
  <c r="H2142" i="1"/>
  <c r="H1769" i="1"/>
  <c r="G19" i="1"/>
  <c r="H2017" i="1"/>
  <c r="H1600" i="1"/>
  <c r="H1979" i="1"/>
  <c r="G626" i="1"/>
  <c r="E2054" i="1"/>
  <c r="E1870" i="1"/>
  <c r="C410" i="23"/>
  <c r="E2160" i="1"/>
  <c r="G1123" i="1"/>
  <c r="H526" i="1"/>
  <c r="G1633" i="1"/>
  <c r="H727" i="1"/>
  <c r="H1219" i="1"/>
  <c r="H711" i="1"/>
  <c r="H1669" i="1"/>
  <c r="E1441" i="1"/>
  <c r="H742" i="1"/>
  <c r="H1839" i="1"/>
  <c r="G2101" i="1"/>
  <c r="G231" i="1"/>
  <c r="H552" i="1"/>
  <c r="H372" i="1"/>
  <c r="G1859" i="1"/>
  <c r="G1491" i="1"/>
  <c r="E1780" i="1"/>
  <c r="E1448" i="1"/>
  <c r="E2232" i="1"/>
  <c r="E1644" i="1"/>
  <c r="H1544" i="1"/>
  <c r="H607" i="1"/>
  <c r="G2202" i="1"/>
  <c r="H152" i="1"/>
  <c r="D615" i="23"/>
  <c r="H1752" i="1"/>
  <c r="G135" i="1"/>
  <c r="G656" i="1"/>
  <c r="H1249" i="1"/>
  <c r="H1812" i="1"/>
  <c r="G874" i="1"/>
  <c r="H1353" i="1"/>
  <c r="H1337" i="1"/>
  <c r="H706" i="1"/>
  <c r="G417" i="1"/>
  <c r="H79" i="1"/>
  <c r="H936" i="1"/>
  <c r="H1474" i="1"/>
  <c r="E2242" i="1"/>
  <c r="G1456" i="1"/>
  <c r="G1857" i="1"/>
  <c r="G841" i="1"/>
  <c r="E1715" i="1"/>
  <c r="H1110" i="1"/>
  <c r="H1372" i="1"/>
  <c r="G2259" i="1"/>
  <c r="E1551" i="1"/>
  <c r="H977" i="1"/>
  <c r="H561" i="1"/>
  <c r="H1176" i="1"/>
  <c r="E1543" i="1"/>
  <c r="G1517" i="1"/>
  <c r="G2201" i="1"/>
  <c r="H1567" i="1"/>
  <c r="G1416" i="1"/>
  <c r="E1758" i="1"/>
  <c r="G848" i="1"/>
  <c r="H2050" i="1"/>
  <c r="H1055" i="1"/>
  <c r="H104" i="1"/>
  <c r="G583" i="1"/>
  <c r="H1067" i="1"/>
  <c r="H272" i="1"/>
  <c r="E1619" i="1"/>
  <c r="G1663" i="1"/>
  <c r="G1384" i="1"/>
  <c r="G1778" i="1"/>
  <c r="H318" i="1"/>
  <c r="G2008" i="1"/>
  <c r="E1606" i="1"/>
  <c r="H804" i="1"/>
  <c r="H1810" i="1"/>
  <c r="E1446" i="1"/>
  <c r="G1357" i="1"/>
  <c r="G1008" i="1"/>
  <c r="H2306" i="1"/>
  <c r="H907" i="1"/>
  <c r="H2254" i="1"/>
  <c r="H1638" i="1"/>
  <c r="E1573" i="1"/>
  <c r="H1486" i="1"/>
  <c r="H2063" i="1"/>
  <c r="H1413" i="1"/>
  <c r="E2288" i="1"/>
  <c r="H1543" i="1"/>
  <c r="G308" i="1"/>
  <c r="E1787" i="1"/>
  <c r="G973" i="1"/>
  <c r="G1043" i="1"/>
  <c r="E1675" i="1"/>
  <c r="G601" i="1"/>
  <c r="H2279" i="1"/>
  <c r="H618" i="1"/>
  <c r="H399" i="1"/>
  <c r="E2112" i="1"/>
  <c r="G180" i="1"/>
  <c r="G1258" i="1"/>
  <c r="G496" i="1"/>
  <c r="G500" i="1"/>
  <c r="G1728" i="1"/>
  <c r="G486" i="1"/>
  <c r="H1470" i="1"/>
  <c r="H1412" i="1"/>
  <c r="G2091" i="1"/>
  <c r="H1257" i="1"/>
  <c r="G608" i="1"/>
  <c r="E2092" i="1"/>
  <c r="H1342" i="1"/>
  <c r="E1896" i="1"/>
  <c r="H1485" i="1"/>
  <c r="G2258" i="1"/>
  <c r="G1250" i="1"/>
  <c r="H1660" i="1"/>
  <c r="G889" i="1"/>
  <c r="G1401" i="1"/>
  <c r="H1084" i="1"/>
  <c r="H564" i="1"/>
  <c r="G890" i="1"/>
  <c r="G258" i="1"/>
  <c r="G620" i="1"/>
  <c r="G660" i="1"/>
  <c r="E2196" i="1"/>
  <c r="G2267" i="1"/>
  <c r="G2019" i="1"/>
  <c r="H209" i="1"/>
  <c r="E1678" i="1"/>
  <c r="E2127" i="1"/>
  <c r="G281" i="1"/>
  <c r="H1132" i="1"/>
  <c r="H1359" i="1"/>
  <c r="G325" i="1"/>
  <c r="H503" i="1"/>
  <c r="E1464" i="1"/>
  <c r="H1936" i="1"/>
  <c r="H2290" i="1"/>
  <c r="G684" i="1"/>
  <c r="E2240" i="1"/>
  <c r="N615" i="23"/>
  <c r="G1696" i="1"/>
  <c r="G687" i="1"/>
  <c r="H1699" i="1"/>
  <c r="H511" i="1"/>
  <c r="G1163" i="1"/>
  <c r="G1799" i="1"/>
  <c r="H556" i="1"/>
  <c r="G1230" i="1"/>
  <c r="H2227" i="1"/>
  <c r="H1362" i="1"/>
  <c r="G2153" i="1"/>
  <c r="H894" i="1"/>
  <c r="E2271" i="1"/>
  <c r="E2107" i="1"/>
  <c r="G1028" i="1"/>
  <c r="H577" i="1"/>
  <c r="H1606" i="1"/>
  <c r="G350" i="1"/>
  <c r="H597" i="1"/>
  <c r="G2111" i="1"/>
  <c r="G477" i="1"/>
  <c r="E2021" i="1"/>
  <c r="G2138" i="1"/>
  <c r="H1962" i="1"/>
  <c r="H2135" i="1"/>
  <c r="H130" i="1"/>
  <c r="E2239" i="1"/>
  <c r="H184" i="1"/>
  <c r="G259" i="1"/>
  <c r="H1986" i="1"/>
  <c r="E1438" i="1"/>
  <c r="E2001" i="1"/>
  <c r="H120" i="1"/>
  <c r="H745" i="1"/>
  <c r="H915" i="1"/>
  <c r="E1764" i="1"/>
  <c r="H1624" i="1"/>
  <c r="G868" i="1"/>
  <c r="E2175" i="1"/>
  <c r="H1459" i="1"/>
  <c r="H542" i="1"/>
  <c r="G1096" i="1"/>
  <c r="H1457" i="1"/>
  <c r="H2209" i="1"/>
  <c r="G2088" i="1"/>
  <c r="G834" i="1"/>
  <c r="G1254" i="1"/>
  <c r="H1108" i="1"/>
  <c r="E2012" i="1"/>
  <c r="H113" i="1"/>
  <c r="G2298" i="1"/>
  <c r="G1983" i="1"/>
  <c r="G316" i="1"/>
  <c r="H205" i="1"/>
  <c r="G2222" i="1"/>
  <c r="H2079" i="1"/>
  <c r="G1906" i="1"/>
  <c r="H827" i="1"/>
  <c r="E1460" i="1"/>
  <c r="H663" i="1"/>
  <c r="E1608" i="1"/>
  <c r="E1908" i="1"/>
  <c r="H2151" i="1"/>
  <c r="E1434" i="1"/>
  <c r="G2210" i="1"/>
  <c r="H477" i="1"/>
  <c r="H937" i="1"/>
  <c r="E2081" i="1"/>
  <c r="G1281" i="1"/>
  <c r="G1921" i="1"/>
  <c r="H796" i="1"/>
  <c r="G1842" i="1"/>
  <c r="G302" i="1"/>
  <c r="G407" i="1"/>
  <c r="G888" i="1"/>
  <c r="H1181" i="1"/>
  <c r="E1433" i="1"/>
  <c r="H1038" i="1"/>
  <c r="E1916" i="1"/>
  <c r="G1964" i="1"/>
  <c r="E1429" i="1"/>
  <c r="H693" i="1"/>
  <c r="H1389" i="1"/>
  <c r="H2018" i="1"/>
  <c r="G382" i="1"/>
  <c r="G1221" i="1"/>
  <c r="G2175" i="1"/>
  <c r="H106" i="1"/>
  <c r="G2011" i="1"/>
  <c r="G1801" i="1"/>
  <c r="H1450" i="1"/>
  <c r="H1939" i="1"/>
  <c r="H1187" i="1"/>
  <c r="H537" i="1"/>
  <c r="G1074" i="1"/>
  <c r="H263" i="1"/>
  <c r="G933" i="1"/>
  <c r="H1430" i="1"/>
  <c r="H1685" i="1"/>
  <c r="H2040" i="1"/>
  <c r="G265" i="1"/>
  <c r="E1925" i="1"/>
  <c r="E1454" i="1"/>
  <c r="E1933" i="1"/>
  <c r="H330" i="1"/>
  <c r="G551" i="1"/>
  <c r="G876" i="1"/>
  <c r="N638" i="23"/>
  <c r="G131" i="1"/>
  <c r="H712" i="1"/>
  <c r="H172" i="1"/>
  <c r="H88" i="1"/>
  <c r="H1620" i="1"/>
  <c r="H1145" i="1"/>
  <c r="G243" i="1"/>
  <c r="E1568" i="1"/>
  <c r="G1702" i="1"/>
  <c r="E1794" i="1"/>
  <c r="E1937" i="1"/>
  <c r="H861" i="1"/>
  <c r="H993" i="1"/>
  <c r="H588" i="1"/>
  <c r="G1545" i="1"/>
  <c r="E1545" i="1"/>
  <c r="H1975" i="1"/>
  <c r="H2294" i="1"/>
  <c r="G10" i="1"/>
  <c r="G1336" i="1"/>
  <c r="G2254" i="1"/>
  <c r="H1373" i="1"/>
  <c r="G1927" i="1"/>
  <c r="E2310" i="1"/>
  <c r="H1640" i="1"/>
  <c r="G1888" i="1"/>
  <c r="G1585" i="1"/>
  <c r="H287" i="1"/>
  <c r="H1358" i="1"/>
  <c r="G1449" i="1"/>
  <c r="G1800" i="1"/>
  <c r="E2200" i="1"/>
  <c r="H1023" i="1"/>
  <c r="E1938" i="1"/>
  <c r="H158" i="1"/>
  <c r="H1891" i="1"/>
  <c r="G1805" i="1"/>
  <c r="H679" i="1"/>
  <c r="G771" i="1"/>
  <c r="G650" i="1"/>
  <c r="G1951" i="1"/>
  <c r="G1366" i="1"/>
  <c r="G750" i="1"/>
  <c r="G1879" i="1"/>
  <c r="H2011" i="1"/>
  <c r="G1358" i="1"/>
  <c r="G53" i="1"/>
  <c r="G77" i="1"/>
  <c r="E1676" i="1"/>
  <c r="G564" i="1"/>
  <c r="G1919" i="1"/>
  <c r="G1044" i="1"/>
  <c r="G1377" i="1"/>
  <c r="H1969" i="1"/>
  <c r="H1446" i="1"/>
  <c r="G1704" i="1"/>
  <c r="G2116" i="1"/>
  <c r="H940" i="1"/>
  <c r="H26" i="1"/>
  <c r="H30" i="1"/>
  <c r="G563" i="1"/>
  <c r="H36" i="1"/>
  <c r="H249" i="1"/>
  <c r="E2192" i="1"/>
  <c r="G698" i="1"/>
  <c r="E1859" i="1"/>
  <c r="E1617" i="1"/>
  <c r="H621" i="1"/>
  <c r="E2062" i="1"/>
  <c r="G1246" i="1"/>
  <c r="H361" i="1"/>
  <c r="E2147" i="1"/>
  <c r="H2139" i="1"/>
  <c r="H831" i="1"/>
  <c r="H156" i="1"/>
  <c r="H520" i="1"/>
  <c r="G1995" i="1"/>
  <c r="H1003" i="1"/>
  <c r="E1444" i="1"/>
  <c r="E1659" i="1"/>
  <c r="H2228" i="1"/>
  <c r="G1527" i="1"/>
  <c r="H1377" i="1"/>
  <c r="G333" i="1"/>
  <c r="E1885" i="1"/>
  <c r="H645" i="1"/>
  <c r="H1505" i="1"/>
  <c r="G2185" i="1"/>
  <c r="H2045" i="1"/>
  <c r="H1417" i="1"/>
  <c r="G1484" i="1"/>
  <c r="G1015" i="1"/>
  <c r="H749" i="1"/>
  <c r="E2069" i="1"/>
  <c r="G366" i="1"/>
  <c r="H781" i="1"/>
  <c r="E1578" i="1"/>
  <c r="H1755" i="1"/>
  <c r="H1517" i="1"/>
  <c r="G1257" i="1"/>
  <c r="H169" i="1"/>
  <c r="G1602" i="1"/>
  <c r="G724" i="1"/>
  <c r="G625" i="1"/>
  <c r="G1354" i="1"/>
  <c r="H1733" i="1"/>
  <c r="H506" i="1"/>
  <c r="E1537" i="1"/>
  <c r="H1832" i="1"/>
  <c r="H276" i="1"/>
  <c r="H1728" i="1"/>
  <c r="G703" i="1"/>
  <c r="E2304" i="1"/>
  <c r="H1180" i="1"/>
  <c r="G1775" i="1"/>
  <c r="H471" i="1"/>
  <c r="G1934" i="1"/>
  <c r="H931" i="1"/>
  <c r="G1351" i="1"/>
  <c r="H447" i="1"/>
  <c r="H2001" i="1"/>
  <c r="G2270" i="1"/>
  <c r="H1762" i="1"/>
  <c r="H1379" i="1"/>
  <c r="G250" i="1"/>
  <c r="H101" i="1"/>
  <c r="G753" i="1"/>
  <c r="N21" i="16"/>
  <c r="G1037" i="1"/>
  <c r="G61" i="1"/>
  <c r="G51" i="1"/>
  <c r="E1789" i="1"/>
  <c r="H481" i="1"/>
  <c r="E2061" i="1"/>
  <c r="G1029" i="1"/>
  <c r="H1727" i="1"/>
  <c r="H275" i="1"/>
  <c r="G915" i="1"/>
  <c r="G1569" i="1"/>
  <c r="G428" i="1"/>
  <c r="E1600" i="1"/>
  <c r="H1057" i="1"/>
  <c r="E2080" i="1"/>
  <c r="E1554" i="1"/>
  <c r="G968" i="1"/>
  <c r="E2125" i="1"/>
  <c r="H1433" i="1"/>
  <c r="H882" i="1"/>
  <c r="H351" i="1"/>
  <c r="G1105" i="1"/>
  <c r="H2070" i="1"/>
  <c r="H2295" i="1"/>
  <c r="H493" i="1"/>
  <c r="H710" i="1"/>
  <c r="H9" i="1"/>
  <c r="C621" i="23"/>
  <c r="G1931" i="1"/>
  <c r="G2310" i="1"/>
  <c r="G363" i="1"/>
  <c r="H1339" i="1"/>
  <c r="H42" i="1"/>
  <c r="H1643" i="1"/>
  <c r="G1907" i="1"/>
  <c r="H111" i="1"/>
  <c r="H1128" i="1"/>
  <c r="H1332" i="1"/>
  <c r="G2241" i="1"/>
  <c r="G31" i="1"/>
  <c r="H1978" i="1"/>
  <c r="E1819" i="1"/>
  <c r="H701" i="1"/>
  <c r="E1783" i="1"/>
  <c r="G728" i="1"/>
  <c r="C922" i="23"/>
  <c r="H1666" i="1"/>
  <c r="G1121" i="1"/>
  <c r="E1579" i="1"/>
  <c r="G1082" i="1"/>
  <c r="H473" i="1"/>
  <c r="H1808" i="1"/>
  <c r="H721" i="1"/>
  <c r="H337" i="1"/>
  <c r="G2033" i="1"/>
  <c r="H640" i="1"/>
  <c r="H483" i="1"/>
  <c r="E2180" i="1"/>
  <c r="D942" i="23"/>
  <c r="H1016" i="1"/>
  <c r="H1209" i="1"/>
  <c r="H2132" i="1"/>
  <c r="E1765" i="1"/>
  <c r="H953" i="1"/>
  <c r="G1722" i="1"/>
  <c r="G18" i="1"/>
  <c r="H122" i="1"/>
  <c r="H1001" i="1"/>
  <c r="H904" i="1"/>
  <c r="H1984" i="1"/>
  <c r="E2000" i="1"/>
  <c r="G1013" i="1"/>
  <c r="E1404" i="1"/>
  <c r="H981" i="1"/>
  <c r="G355" i="1"/>
  <c r="G100" i="1"/>
  <c r="E2108" i="1"/>
  <c r="G1868" i="1"/>
  <c r="G1040" i="1"/>
  <c r="H117" i="1"/>
  <c r="G2161" i="1"/>
  <c r="G1772" i="1"/>
  <c r="G1949" i="1"/>
  <c r="H1630" i="1"/>
  <c r="G705" i="1"/>
  <c r="G1027" i="1"/>
  <c r="H259" i="1"/>
  <c r="G1422" i="1"/>
  <c r="G2017" i="1"/>
  <c r="H774" i="1"/>
  <c r="G1666" i="1"/>
  <c r="G1305" i="1"/>
  <c r="H2109" i="1"/>
  <c r="G2251" i="1"/>
  <c r="G843" i="1"/>
  <c r="G1886" i="1"/>
  <c r="G466" i="1"/>
  <c r="G1178" i="1"/>
  <c r="G419" i="1"/>
  <c r="G1293" i="1"/>
  <c r="H634" i="1"/>
  <c r="E1902" i="1"/>
  <c r="H443" i="1"/>
  <c r="E2162" i="1"/>
  <c r="G110" i="1"/>
  <c r="D466" i="23"/>
  <c r="E2170" i="1"/>
  <c r="G1436" i="1"/>
  <c r="H797" i="1"/>
  <c r="E1822" i="1"/>
  <c r="H1658" i="1"/>
  <c r="G1494" i="1"/>
  <c r="H1303" i="1"/>
  <c r="G1726" i="1"/>
  <c r="H1185" i="1"/>
  <c r="H1773" i="1"/>
  <c r="E1626" i="1"/>
  <c r="E1494" i="1"/>
  <c r="E2043" i="1"/>
  <c r="G2018" i="1"/>
  <c r="H2145" i="1"/>
  <c r="G840" i="1"/>
  <c r="G73" i="1"/>
  <c r="H1308" i="1"/>
  <c r="H2080" i="1"/>
  <c r="G1861" i="1"/>
  <c r="G20" i="1"/>
  <c r="G1480" i="1"/>
  <c r="E2082" i="1"/>
  <c r="H2072" i="1"/>
  <c r="H469" i="1"/>
  <c r="H1531" i="1"/>
  <c r="H15" i="1"/>
  <c r="H612" i="1"/>
  <c r="H979" i="1"/>
  <c r="H1190" i="1"/>
  <c r="E1521" i="1"/>
  <c r="E1957" i="1"/>
  <c r="G790" i="1"/>
  <c r="H1008" i="1"/>
  <c r="H2095" i="1"/>
  <c r="H1431" i="1"/>
  <c r="G2081" i="1"/>
  <c r="G274" i="1"/>
  <c r="G2232" i="1"/>
  <c r="G1697" i="1"/>
  <c r="F15" i="16"/>
  <c r="H1694" i="1"/>
  <c r="G1441" i="1"/>
  <c r="H1383" i="1"/>
  <c r="E2099" i="1"/>
  <c r="H628" i="1"/>
  <c r="G204" i="1"/>
  <c r="H1759" i="1"/>
  <c r="E1772" i="1"/>
  <c r="H837" i="1"/>
  <c r="H1202" i="1"/>
  <c r="G1091" i="1"/>
  <c r="H2087" i="1"/>
  <c r="E1649" i="1"/>
  <c r="G987" i="1"/>
  <c r="H2211" i="1"/>
  <c r="H219" i="1"/>
  <c r="G81" i="1"/>
  <c r="G488" i="1"/>
  <c r="G1477" i="1"/>
  <c r="G1579" i="1"/>
  <c r="N274" i="23"/>
  <c r="H1374" i="1"/>
  <c r="G1138" i="1"/>
  <c r="H682" i="1"/>
  <c r="G203" i="1"/>
  <c r="E1410" i="1"/>
  <c r="G1554" i="1"/>
  <c r="H1444" i="1"/>
  <c r="N832" i="23"/>
  <c r="H1535" i="1"/>
  <c r="G748" i="1"/>
  <c r="G1408" i="1"/>
  <c r="H1698" i="1"/>
  <c r="H805" i="1"/>
  <c r="G2248" i="1"/>
  <c r="H652" i="1"/>
  <c r="H2005" i="1"/>
  <c r="H791" i="1"/>
  <c r="G1203" i="1"/>
  <c r="E1849" i="1"/>
  <c r="G786" i="1"/>
  <c r="G938" i="1"/>
  <c r="G1987" i="1"/>
  <c r="G1685" i="1"/>
  <c r="G667" i="1"/>
  <c r="H1785" i="1"/>
  <c r="H1378" i="1"/>
  <c r="G1835" i="1"/>
  <c r="G2124" i="1"/>
  <c r="E1482" i="1"/>
  <c r="G682" i="1"/>
  <c r="G2173" i="1"/>
  <c r="G1561" i="1"/>
  <c r="G279" i="1"/>
  <c r="G326" i="1"/>
  <c r="H917" i="1"/>
  <c r="G1780" i="1"/>
  <c r="H1226" i="1"/>
  <c r="H1115" i="1"/>
  <c r="H1802" i="1"/>
  <c r="G1773" i="1"/>
  <c r="G1662" i="1"/>
  <c r="G1720" i="1"/>
  <c r="H376" i="1"/>
  <c r="H718" i="1"/>
  <c r="C994" i="23"/>
  <c r="G1683" i="1"/>
  <c r="H363" i="1"/>
  <c r="N319" i="23"/>
  <c r="E1655" i="1"/>
  <c r="G737" i="1"/>
  <c r="H1129" i="1"/>
  <c r="G875" i="1"/>
  <c r="H224" i="1"/>
  <c r="H731" i="1"/>
  <c r="E1648" i="1"/>
  <c r="E2278" i="1"/>
  <c r="G1631" i="1"/>
  <c r="H1178" i="1"/>
  <c r="G442" i="1"/>
  <c r="H2076" i="1"/>
  <c r="G944" i="1"/>
  <c r="H948" i="1"/>
  <c r="E2245" i="1"/>
  <c r="G1823" i="1"/>
  <c r="G2303" i="1"/>
  <c r="E1710" i="1"/>
  <c r="G1582" i="1"/>
  <c r="G411" i="1"/>
  <c r="E1540" i="1"/>
  <c r="H1955" i="1"/>
  <c r="H2220" i="1"/>
  <c r="G1739" i="1"/>
  <c r="G143" i="1"/>
  <c r="H1981" i="1"/>
  <c r="G2172" i="1"/>
  <c r="H767" i="1"/>
  <c r="G936" i="1"/>
  <c r="G1152" i="1"/>
  <c r="H602" i="1"/>
  <c r="H1828" i="1"/>
  <c r="H1511" i="1"/>
  <c r="H1867" i="1"/>
  <c r="G910" i="1"/>
  <c r="E2018" i="1"/>
  <c r="G1966" i="1"/>
  <c r="H1246" i="1"/>
  <c r="H437" i="1"/>
  <c r="G1862" i="1"/>
  <c r="E1866" i="1"/>
  <c r="H609" i="1"/>
  <c r="G1210" i="1"/>
  <c r="H580" i="1"/>
  <c r="G1733" i="1"/>
  <c r="G1168" i="1"/>
  <c r="G1986" i="1"/>
  <c r="H926" i="1"/>
  <c r="E2065" i="1"/>
  <c r="H1621" i="1"/>
  <c r="G2090" i="1"/>
  <c r="H1745" i="1"/>
  <c r="E1625" i="1"/>
  <c r="E2126" i="1"/>
  <c r="H1767" i="1"/>
  <c r="H468" i="1"/>
  <c r="E1526" i="1"/>
  <c r="H490" i="1"/>
  <c r="H1210" i="1"/>
  <c r="G1900" i="1"/>
  <c r="G546" i="1"/>
  <c r="E1512" i="1"/>
  <c r="G675" i="1"/>
  <c r="H1607" i="1"/>
  <c r="H2159" i="1"/>
  <c r="G810" i="1"/>
  <c r="G916" i="1"/>
  <c r="E1629" i="1"/>
  <c r="H1323" i="1"/>
  <c r="G1175" i="1"/>
  <c r="E1935" i="1"/>
  <c r="G722" i="1"/>
  <c r="G1045" i="1"/>
  <c r="H1964" i="1"/>
  <c r="H1367" i="1"/>
  <c r="G1118" i="1"/>
  <c r="E1501" i="1"/>
  <c r="G1671" i="1"/>
  <c r="G374" i="1"/>
  <c r="E1615" i="1"/>
  <c r="H53" i="1"/>
  <c r="H1908" i="1"/>
  <c r="H1313" i="1"/>
  <c r="H703" i="1"/>
  <c r="G1903" i="1"/>
  <c r="G1310" i="1"/>
  <c r="G572" i="1"/>
  <c r="E1670" i="1"/>
  <c r="H1371" i="1"/>
  <c r="H1522" i="1"/>
  <c r="G565" i="1"/>
  <c r="H269" i="1"/>
  <c r="H1711" i="1"/>
  <c r="E2177" i="1"/>
  <c r="G413" i="1"/>
  <c r="G2194" i="1"/>
  <c r="H2173" i="1"/>
  <c r="G1107" i="1"/>
  <c r="G508" i="1"/>
  <c r="E1977" i="1"/>
  <c r="G2053" i="1"/>
  <c r="G299" i="1"/>
  <c r="G1793" i="1"/>
  <c r="H2268" i="1"/>
  <c r="G2013" i="1"/>
  <c r="H1925" i="1"/>
  <c r="H86" i="1"/>
  <c r="H1291" i="1"/>
  <c r="E1874" i="1"/>
  <c r="C537" i="23"/>
  <c r="G1889" i="1"/>
  <c r="G2003" i="1"/>
  <c r="H2149" i="1"/>
  <c r="H2081" i="1"/>
  <c r="H1576" i="1"/>
  <c r="G1312" i="1"/>
  <c r="H954" i="1"/>
  <c r="G921" i="1"/>
  <c r="H1883" i="1"/>
  <c r="E1879" i="1"/>
  <c r="E2041" i="1"/>
  <c r="H1402" i="1"/>
  <c r="H1999" i="1"/>
  <c r="H1906" i="1"/>
  <c r="G749" i="1"/>
  <c r="H375" i="1"/>
  <c r="C133" i="23"/>
  <c r="H1992" i="1"/>
  <c r="D18" i="23"/>
  <c r="G1568" i="1"/>
  <c r="G1095" i="1"/>
  <c r="H413" i="1"/>
  <c r="E2251" i="1"/>
  <c r="E2116" i="1"/>
  <c r="G1598" i="1"/>
  <c r="G2059" i="1"/>
  <c r="G1948" i="1"/>
  <c r="G2114" i="1"/>
  <c r="G92" i="1"/>
  <c r="G798" i="1"/>
  <c r="H1884" i="1"/>
  <c r="H1098" i="1"/>
  <c r="G1944" i="1"/>
  <c r="G2119" i="1"/>
  <c r="H207" i="1"/>
  <c r="G111" i="1"/>
  <c r="G1453" i="1"/>
  <c r="C7" i="27"/>
  <c r="H264" i="1"/>
  <c r="E1844" i="1"/>
  <c r="H257" i="1"/>
  <c r="H2023" i="1"/>
  <c r="H852" i="1"/>
  <c r="H825" i="1"/>
  <c r="G602" i="1"/>
  <c r="E1818" i="1"/>
  <c r="G1243" i="1"/>
  <c r="G597" i="1"/>
  <c r="H534" i="1"/>
  <c r="H1596" i="1"/>
  <c r="M53" i="20"/>
  <c r="H1616" i="1"/>
  <c r="E2152" i="1"/>
  <c r="G1571" i="1"/>
  <c r="G1329" i="1"/>
  <c r="H228" i="1"/>
  <c r="H62" i="1"/>
  <c r="G352" i="1"/>
  <c r="H165" i="1"/>
  <c r="G162" i="1"/>
  <c r="H2000" i="1"/>
  <c r="G1522" i="1"/>
  <c r="G763" i="1"/>
  <c r="E1988" i="1"/>
  <c r="G1146" i="1"/>
  <c r="G1659" i="1"/>
  <c r="G560" i="1"/>
  <c r="G1437" i="1"/>
  <c r="H2251" i="1"/>
  <c r="H1261" i="1"/>
  <c r="E2185" i="1"/>
  <c r="H458" i="1"/>
  <c r="H1934" i="1"/>
  <c r="H1776" i="1"/>
  <c r="G1403" i="1"/>
  <c r="H1842" i="1"/>
  <c r="H241" i="1"/>
  <c r="H427" i="1"/>
  <c r="G1452" i="1"/>
  <c r="G857" i="1"/>
  <c r="H216" i="1"/>
  <c r="G2015" i="1"/>
  <c r="G556" i="1"/>
  <c r="K52" i="20"/>
  <c r="H1949" i="1"/>
  <c r="G1619" i="1"/>
  <c r="E1505" i="1"/>
  <c r="M100" i="20"/>
  <c r="E1462" i="1"/>
  <c r="E2111" i="1"/>
  <c r="G492" i="1"/>
  <c r="H994" i="1"/>
  <c r="A25" i="16"/>
  <c r="G1831" i="1"/>
  <c r="G1884" i="1"/>
  <c r="H17" i="16"/>
  <c r="G1650" i="1"/>
  <c r="H1392" i="1"/>
  <c r="G191" i="1"/>
  <c r="H630" i="1"/>
  <c r="G1746" i="1"/>
  <c r="H2240" i="1"/>
  <c r="H2059" i="1"/>
  <c r="G1128" i="1"/>
  <c r="H2304" i="1"/>
  <c r="E1986" i="1"/>
  <c r="G1611" i="1"/>
  <c r="H1063" i="1"/>
  <c r="H1628" i="1"/>
  <c r="H93" i="1"/>
  <c r="H1994" i="1"/>
  <c r="G1379" i="1"/>
  <c r="H2058" i="1"/>
  <c r="H1263" i="1"/>
  <c r="E1556" i="1"/>
  <c r="G2043" i="1"/>
  <c r="H1271" i="1"/>
  <c r="E1584" i="1"/>
  <c r="E1665" i="1"/>
  <c r="H1545" i="1"/>
  <c r="H1175" i="1"/>
  <c r="H702" i="1"/>
  <c r="G894" i="1"/>
  <c r="H832" i="1"/>
  <c r="N303" i="23"/>
  <c r="G179" i="1"/>
  <c r="G652" i="1"/>
  <c r="E2144" i="1"/>
  <c r="E2308" i="1"/>
  <c r="E2016" i="1"/>
  <c r="G1448" i="1"/>
  <c r="G1049" i="1"/>
  <c r="E1975" i="1"/>
  <c r="G335" i="1"/>
  <c r="G1224" i="1"/>
  <c r="G440" i="1"/>
  <c r="H1030" i="1"/>
  <c r="G1707" i="1"/>
  <c r="G2170" i="1"/>
  <c r="H1540" i="1"/>
  <c r="G803" i="1"/>
  <c r="H547" i="1"/>
  <c r="E1998" i="1"/>
  <c r="H844" i="1"/>
  <c r="G1577" i="1"/>
  <c r="H2051" i="1"/>
  <c r="H1836" i="1"/>
  <c r="H1131" i="1"/>
  <c r="C493" i="23"/>
  <c r="G261" i="1"/>
  <c r="G855" i="1"/>
  <c r="C24" i="23"/>
  <c r="G669" i="1"/>
  <c r="G2196" i="1"/>
  <c r="G1342" i="1"/>
  <c r="E1936" i="1"/>
  <c r="G126" i="1"/>
  <c r="G1435" i="1"/>
  <c r="E1499" i="1"/>
  <c r="G459" i="1"/>
  <c r="G644" i="1"/>
  <c r="G313" i="1"/>
  <c r="I35" i="20"/>
  <c r="H407" i="1"/>
  <c r="G87" i="1"/>
  <c r="H505" i="1"/>
  <c r="H669" i="1"/>
  <c r="H760" i="1"/>
  <c r="H1483" i="1"/>
  <c r="H1418" i="1"/>
  <c r="G1624" i="1"/>
  <c r="E2025" i="1"/>
  <c r="G731" i="1"/>
  <c r="G89" i="1"/>
  <c r="G831" i="1"/>
  <c r="G1808" i="1"/>
  <c r="H1852" i="1"/>
  <c r="H1011" i="1"/>
  <c r="H707" i="1"/>
  <c r="E2225" i="1"/>
  <c r="E1622" i="1"/>
  <c r="H1014" i="1"/>
  <c r="G1302" i="1"/>
  <c r="H345" i="1"/>
  <c r="G791" i="1"/>
  <c r="G422" i="1"/>
  <c r="G1133" i="1"/>
  <c r="E2049" i="1"/>
  <c r="H1015" i="1"/>
  <c r="G1841" i="1"/>
  <c r="G128" i="1"/>
  <c r="G1818" i="1"/>
  <c r="C61" i="23"/>
  <c r="G691" i="1"/>
  <c r="H550" i="1"/>
  <c r="G1729" i="1"/>
  <c r="G2049" i="1"/>
  <c r="H1173" i="1"/>
  <c r="G2214" i="1"/>
  <c r="G1464" i="1"/>
  <c r="E1406" i="1"/>
  <c r="E1903" i="1"/>
  <c r="G1664" i="1"/>
  <c r="H137" i="1"/>
  <c r="H1448" i="1"/>
  <c r="G227" i="1"/>
  <c r="G1023" i="1"/>
  <c r="H1868" i="1"/>
  <c r="G339" i="1"/>
  <c r="H728" i="1"/>
  <c r="E1898" i="1"/>
  <c r="G548" i="1"/>
  <c r="H349" i="1"/>
  <c r="H555" i="1"/>
  <c r="G1877" i="1"/>
  <c r="E1889" i="1"/>
  <c r="E2151" i="1"/>
  <c r="G1535" i="1"/>
  <c r="H1466" i="1"/>
  <c r="H75" i="1"/>
  <c r="G1244" i="1"/>
  <c r="G514" i="1"/>
  <c r="H1703" i="1"/>
  <c r="G1555" i="1"/>
  <c r="G1106" i="1"/>
  <c r="E2243" i="1"/>
  <c r="G2074" i="1"/>
  <c r="H87" i="1"/>
  <c r="H2004" i="1"/>
  <c r="G228" i="1"/>
  <c r="G1905" i="1"/>
  <c r="G1529" i="1"/>
  <c r="H1468" i="1"/>
  <c r="H1033" i="1"/>
  <c r="D286" i="23"/>
  <c r="H1566" i="1"/>
  <c r="D181" i="23"/>
  <c r="H146" i="1"/>
  <c r="H1980" i="1"/>
  <c r="G127" i="1"/>
  <c r="D483" i="23"/>
  <c r="H1017" i="1"/>
  <c r="G1334" i="1"/>
  <c r="H1647" i="1"/>
  <c r="H2210" i="1"/>
  <c r="E1704" i="1"/>
  <c r="G410" i="1"/>
  <c r="E1728" i="1"/>
  <c r="H1054" i="1"/>
  <c r="D588" i="23"/>
  <c r="E2076" i="1"/>
  <c r="H1919" i="1"/>
  <c r="H410" i="1"/>
  <c r="E1674" i="1"/>
  <c r="E1811" i="1"/>
  <c r="H2296" i="1"/>
  <c r="G1017" i="1"/>
  <c r="H1471" i="1"/>
  <c r="G324" i="1"/>
  <c r="G971" i="1"/>
  <c r="E2250" i="1"/>
  <c r="G891" i="1"/>
  <c r="N336" i="23"/>
  <c r="G662" i="1"/>
  <c r="H327" i="1"/>
  <c r="A10" i="16"/>
  <c r="H594" i="1"/>
  <c r="G631" i="1"/>
  <c r="E1922" i="1"/>
  <c r="E1833" i="1"/>
  <c r="G878" i="1"/>
  <c r="E2311" i="1"/>
  <c r="H1570" i="1"/>
  <c r="G842" i="1"/>
  <c r="G725" i="1"/>
  <c r="H1743" i="1"/>
  <c r="E1760" i="1"/>
  <c r="H627" i="1"/>
  <c r="E1436" i="1"/>
  <c r="H685" i="1"/>
  <c r="E2295" i="1"/>
  <c r="G434" i="1"/>
  <c r="H1034" i="1"/>
  <c r="G75" i="1"/>
  <c r="G1097" i="1"/>
  <c r="G1080" i="1"/>
  <c r="H1514" i="1"/>
  <c r="G2065" i="1"/>
  <c r="H1627" i="1"/>
  <c r="G697" i="1"/>
  <c r="G1851" i="1"/>
  <c r="E2297" i="1"/>
  <c r="G43" i="1"/>
  <c r="H949" i="1"/>
  <c r="H416" i="1"/>
  <c r="G961" i="1"/>
  <c r="G1991" i="1"/>
  <c r="E1808" i="1"/>
  <c r="H747" i="1"/>
  <c r="G170" i="1"/>
  <c r="E1792" i="1"/>
  <c r="E1918" i="1"/>
  <c r="G1295" i="1"/>
  <c r="H1366" i="1"/>
  <c r="G799" i="1"/>
  <c r="C5" i="27"/>
  <c r="H601" i="1"/>
  <c r="G1566" i="1"/>
  <c r="G1802" i="1"/>
  <c r="H1816" i="1"/>
  <c r="G1090" i="1"/>
  <c r="E2087" i="1"/>
  <c r="E2090" i="1"/>
  <c r="E1796" i="1"/>
  <c r="H1437" i="1"/>
  <c r="G2246" i="1"/>
  <c r="G1185" i="1"/>
  <c r="G2149" i="1"/>
  <c r="H66" i="1"/>
  <c r="E2284" i="1"/>
  <c r="G1381" i="1"/>
  <c r="N583" i="23"/>
  <c r="H1096" i="1"/>
  <c r="H1204" i="1"/>
  <c r="H1818" i="1"/>
  <c r="H1260" i="1"/>
  <c r="G633" i="1"/>
  <c r="H1608" i="1"/>
  <c r="G178" i="1"/>
  <c r="H2130" i="1"/>
  <c r="H2178" i="1"/>
  <c r="H1675" i="1"/>
  <c r="E2173" i="1"/>
  <c r="H2241" i="1"/>
  <c r="H905" i="1"/>
  <c r="G1412" i="1"/>
  <c r="G1551" i="1"/>
  <c r="H2134" i="1"/>
  <c r="E1945" i="1"/>
  <c r="D950" i="23"/>
  <c r="E2131" i="1"/>
  <c r="E1681" i="1"/>
  <c r="E1595" i="1"/>
  <c r="H2042" i="1"/>
  <c r="H1794" i="1"/>
  <c r="H1006" i="1"/>
  <c r="G523" i="1"/>
  <c r="G2032" i="1"/>
  <c r="G168" i="1"/>
  <c r="H1833" i="1"/>
  <c r="H1199" i="1"/>
  <c r="H316" i="1"/>
  <c r="G550" i="1"/>
  <c r="E2226" i="1"/>
  <c r="H862" i="1"/>
  <c r="G1018" i="1"/>
  <c r="H2243" i="1"/>
  <c r="H2181" i="1"/>
  <c r="G627" i="1"/>
  <c r="G2110" i="1"/>
  <c r="H22" i="1"/>
  <c r="G2249" i="1"/>
  <c r="E2294" i="1"/>
  <c r="D467" i="23"/>
  <c r="H1712" i="1"/>
  <c r="G1981" i="1"/>
  <c r="G802" i="1"/>
  <c r="G344" i="1"/>
  <c r="E2013" i="1"/>
  <c r="H1233" i="1"/>
  <c r="G1122" i="1"/>
  <c r="H431" i="1"/>
  <c r="H2003" i="1"/>
  <c r="G746" i="1"/>
  <c r="G543" i="1"/>
  <c r="H268" i="1"/>
  <c r="H1241" i="1"/>
  <c r="H1399" i="1"/>
  <c r="E1856" i="1"/>
  <c r="G70" i="1"/>
  <c r="G1108" i="1"/>
  <c r="H1428" i="1"/>
  <c r="H657" i="1"/>
  <c r="H2078" i="1"/>
  <c r="L30" i="20"/>
  <c r="H2289" i="1"/>
  <c r="E1538" i="1"/>
  <c r="G247" i="1"/>
  <c r="H2019" i="1"/>
  <c r="H1797" i="1"/>
  <c r="G1413" i="1"/>
  <c r="G1340" i="1"/>
  <c r="H624" i="1"/>
  <c r="H2262" i="1"/>
  <c r="H2275" i="1"/>
  <c r="H46" i="1"/>
  <c r="G340" i="1"/>
  <c r="G1290" i="1"/>
  <c r="H1537" i="1"/>
  <c r="G2071" i="1"/>
  <c r="G2198" i="1"/>
  <c r="N695" i="23"/>
  <c r="G1371" i="1"/>
  <c r="H127" i="1"/>
  <c r="G873" i="1"/>
  <c r="G1232" i="1"/>
  <c r="C865" i="23"/>
  <c r="G980" i="1"/>
  <c r="E2142" i="1"/>
  <c r="H1482" i="1"/>
  <c r="H729" i="1"/>
  <c r="H1681" i="1"/>
  <c r="G99" i="1"/>
  <c r="G1607" i="1"/>
  <c r="E2056" i="1"/>
  <c r="E1894" i="1"/>
  <c r="L63" i="20"/>
  <c r="H1071" i="1"/>
  <c r="E2032" i="1"/>
  <c r="H2114" i="1"/>
  <c r="D864" i="23"/>
  <c r="E1982" i="1"/>
  <c r="H762" i="1"/>
  <c r="H1518" i="1"/>
  <c r="G1627" i="1"/>
  <c r="H139" i="1"/>
  <c r="G1237" i="1"/>
  <c r="G1191" i="1"/>
  <c r="H1346" i="1"/>
  <c r="E2188" i="1"/>
  <c r="G1819" i="1"/>
  <c r="G816" i="1"/>
  <c r="A18" i="16"/>
  <c r="G1205" i="1"/>
  <c r="H1911" i="1"/>
  <c r="E2063" i="1"/>
  <c r="G1680" i="1"/>
  <c r="G1481" i="1"/>
  <c r="G1328" i="1"/>
  <c r="G2265" i="1"/>
  <c r="G526" i="1"/>
  <c r="G1963" i="1"/>
  <c r="H55" i="1"/>
  <c r="G1767" i="1"/>
  <c r="E2086" i="1"/>
  <c r="G187" i="1"/>
  <c r="H1880" i="1"/>
  <c r="G2035" i="1"/>
  <c r="E1514" i="1"/>
  <c r="G420" i="1"/>
  <c r="G1832" i="1"/>
  <c r="E1919" i="1"/>
  <c r="E2172" i="1"/>
  <c r="G1274" i="1"/>
  <c r="H267" i="1"/>
  <c r="E1547" i="1"/>
  <c r="H2144" i="1"/>
  <c r="G1498" i="1"/>
  <c r="G2163" i="1"/>
  <c r="H1458" i="1"/>
  <c r="D83" i="21"/>
  <c r="G2181" i="1"/>
  <c r="G2247" i="1"/>
  <c r="H297" i="1"/>
  <c r="H649" i="1"/>
  <c r="N712" i="23"/>
  <c r="N614" i="23"/>
  <c r="H2309" i="1"/>
  <c r="E2040" i="1"/>
  <c r="G2014" i="1"/>
  <c r="H22" i="16"/>
  <c r="E1883" i="1"/>
  <c r="D121" i="23"/>
  <c r="C744" i="23"/>
  <c r="E1472" i="1"/>
  <c r="G1626" i="1"/>
  <c r="C885" i="23"/>
  <c r="G714" i="1"/>
  <c r="G498" i="1"/>
  <c r="G1706" i="1"/>
  <c r="H1530" i="1"/>
  <c r="D713" i="23"/>
  <c r="H2253" i="1"/>
  <c r="E1946" i="1"/>
  <c r="G1439" i="1"/>
  <c r="H78" i="1"/>
  <c r="H2277" i="1"/>
  <c r="G1661" i="1"/>
  <c r="H2212" i="1"/>
  <c r="G1836" i="1"/>
  <c r="L86" i="20"/>
  <c r="H698" i="1"/>
  <c r="H294" i="1"/>
  <c r="H1982" i="1"/>
  <c r="G1445" i="1"/>
  <c r="H830" i="1"/>
  <c r="H2273" i="1"/>
  <c r="G1199" i="1"/>
  <c r="C7" i="16"/>
  <c r="H309" i="1"/>
  <c r="H1714" i="1"/>
  <c r="H1989" i="1"/>
  <c r="C323" i="23"/>
  <c r="E1432" i="1"/>
  <c r="E1749" i="1"/>
  <c r="G1039" i="1"/>
  <c r="E1651" i="1"/>
  <c r="H341" i="1"/>
  <c r="H1555" i="1"/>
  <c r="G63" i="1"/>
  <c r="E1407" i="1"/>
  <c r="H1400" i="1"/>
  <c r="H1099" i="1"/>
  <c r="D428" i="23"/>
  <c r="G1025" i="1"/>
  <c r="G1469" i="1"/>
  <c r="H565" i="1"/>
  <c r="H29" i="1"/>
  <c r="G2266" i="1"/>
  <c r="C832" i="23"/>
  <c r="H887" i="1"/>
  <c r="E1943" i="1"/>
  <c r="E2228" i="1"/>
  <c r="H1886" i="1"/>
  <c r="E1767" i="1"/>
  <c r="G482" i="1"/>
  <c r="E1686" i="1"/>
  <c r="N967" i="23"/>
  <c r="H411" i="1"/>
  <c r="H1166" i="1"/>
  <c r="E1853" i="1"/>
  <c r="G766" i="1"/>
  <c r="H1090" i="1"/>
  <c r="H1676" i="1"/>
  <c r="H1200" i="1"/>
  <c r="D798" i="23"/>
  <c r="H629" i="1"/>
  <c r="G1499" i="1"/>
  <c r="G1897" i="1"/>
  <c r="D401" i="23"/>
  <c r="E1409" i="1"/>
  <c r="G388" i="1"/>
  <c r="H997" i="1"/>
  <c r="G2184" i="1"/>
  <c r="H1475" i="1"/>
  <c r="H1871" i="1"/>
  <c r="D511" i="23"/>
  <c r="D666" i="23"/>
  <c r="E2132" i="1"/>
  <c r="E1863" i="1"/>
  <c r="G699" i="1"/>
  <c r="D450" i="23"/>
  <c r="H1097" i="1"/>
  <c r="H94" i="1"/>
  <c r="G1100" i="1"/>
  <c r="G1639" i="1"/>
  <c r="G242" i="1"/>
  <c r="H2148" i="1"/>
  <c r="G710" i="1"/>
  <c r="G1850" i="1"/>
  <c r="G267" i="1"/>
  <c r="H1087" i="1"/>
  <c r="H2066" i="1"/>
  <c r="H2176" i="1"/>
  <c r="H1581" i="1"/>
  <c r="E1910" i="1"/>
  <c r="H2044" i="1"/>
  <c r="G2133" i="1"/>
  <c r="G1478" i="1"/>
  <c r="H393" i="1"/>
  <c r="G1389" i="1"/>
  <c r="E1991" i="1"/>
  <c r="H1595" i="1"/>
  <c r="G1041" i="1"/>
  <c r="H1032" i="1"/>
  <c r="G1914" i="1"/>
  <c r="E1799" i="1"/>
  <c r="E1708" i="1"/>
  <c r="H1684" i="1"/>
  <c r="H871" i="1"/>
  <c r="H1667" i="1"/>
  <c r="G830" i="1"/>
  <c r="H1250" i="1"/>
  <c r="E1707" i="1"/>
  <c r="D918" i="23"/>
  <c r="E2220" i="1"/>
  <c r="E1693" i="1"/>
  <c r="E1449" i="1"/>
  <c r="H2123" i="1"/>
  <c r="H1879" i="1"/>
  <c r="D530" i="23"/>
  <c r="M80" i="20"/>
  <c r="I39" i="20"/>
  <c r="G278" i="1"/>
  <c r="E1465" i="1"/>
  <c r="D583" i="23"/>
  <c r="G1059" i="1"/>
  <c r="G1468" i="1"/>
  <c r="E1703" i="1"/>
  <c r="H2089" i="1"/>
  <c r="H467" i="1"/>
  <c r="H1593" i="1"/>
  <c r="C754" i="23"/>
  <c r="G1996" i="1"/>
  <c r="K67" i="20"/>
  <c r="H1268" i="1"/>
  <c r="G307" i="1"/>
  <c r="D804" i="23"/>
  <c r="H906" i="1"/>
  <c r="H434" i="1"/>
  <c r="D43" i="21"/>
  <c r="H1073" i="1"/>
  <c r="H1926" i="1"/>
  <c r="G1691" i="1"/>
  <c r="D521" i="23"/>
  <c r="G1558" i="1"/>
  <c r="H102" i="1"/>
  <c r="H1878" i="1"/>
  <c r="N122" i="23"/>
  <c r="C515" i="23"/>
  <c r="G1922" i="1"/>
  <c r="G1361" i="1"/>
  <c r="N794" i="23"/>
  <c r="C141" i="23"/>
  <c r="G706" i="1"/>
  <c r="D235" i="23"/>
  <c r="G1544" i="1"/>
  <c r="E1427" i="1"/>
  <c r="H1539" i="1"/>
  <c r="N882" i="23"/>
  <c r="C521" i="23"/>
  <c r="H1528" i="1"/>
  <c r="H746" i="1"/>
  <c r="H1913" i="1"/>
  <c r="N631" i="23"/>
  <c r="G1636" i="1"/>
  <c r="E1774" i="1"/>
  <c r="G739" i="1"/>
  <c r="G1033" i="1"/>
  <c r="H595" i="1"/>
  <c r="H2283" i="1"/>
  <c r="C475" i="23"/>
  <c r="H563" i="1"/>
  <c r="H1465" i="1"/>
  <c r="G96" i="1"/>
  <c r="G2040" i="1"/>
  <c r="L59" i="20"/>
  <c r="G1223" i="1"/>
  <c r="G38" i="1"/>
  <c r="N929" i="23"/>
  <c r="G1686" i="1"/>
  <c r="H14" i="16"/>
  <c r="H1282" i="1"/>
  <c r="E2255" i="1"/>
  <c r="N984" i="23"/>
  <c r="E2109" i="1"/>
  <c r="G512" i="1"/>
  <c r="G964" i="1"/>
  <c r="H1453" i="1"/>
  <c r="G1184" i="1"/>
  <c r="H876" i="1"/>
  <c r="H1538" i="1"/>
  <c r="E1869" i="1"/>
  <c r="G1297" i="1"/>
  <c r="G955" i="1"/>
  <c r="E1862" i="1"/>
  <c r="N33" i="23"/>
  <c r="I79" i="20"/>
  <c r="F26" i="16"/>
  <c r="H2146" i="1"/>
  <c r="H694" i="1"/>
  <c r="G2155" i="1"/>
  <c r="E2229" i="1"/>
  <c r="H49" i="1"/>
  <c r="G1262" i="1"/>
  <c r="E2085" i="1"/>
  <c r="E2189" i="1"/>
  <c r="N843" i="23"/>
  <c r="J84" i="20"/>
  <c r="H1787" i="1"/>
  <c r="H1039" i="1"/>
  <c r="H383" i="1"/>
  <c r="G1145" i="1"/>
  <c r="G1960" i="1"/>
  <c r="H1781" i="1"/>
  <c r="H1095" i="1"/>
  <c r="D655" i="23"/>
  <c r="H1368" i="1"/>
  <c r="H1577" i="1"/>
  <c r="H149" i="1"/>
  <c r="G1114" i="1"/>
  <c r="H2201" i="1"/>
  <c r="H772" i="1"/>
  <c r="G200" i="1"/>
  <c r="G2260" i="1"/>
  <c r="G1127" i="1"/>
  <c r="H933" i="1"/>
  <c r="G194" i="1"/>
  <c r="H321" i="1"/>
  <c r="G2212" i="1"/>
  <c r="G651" i="1"/>
  <c r="J58" i="20"/>
  <c r="H1463" i="1"/>
  <c r="H991" i="1"/>
  <c r="G166" i="1"/>
  <c r="H978" i="1"/>
  <c r="H1947" i="1"/>
  <c r="C996" i="23"/>
  <c r="G536" i="1"/>
  <c r="D593" i="23"/>
  <c r="W54" i="21"/>
  <c r="G1019" i="1"/>
  <c r="L75" i="20"/>
  <c r="J54" i="20"/>
  <c r="E1400" i="1"/>
  <c r="H2302" i="1"/>
  <c r="H1656" i="1"/>
  <c r="C736" i="23"/>
  <c r="G1997" i="1"/>
  <c r="E1924" i="1"/>
  <c r="G935" i="1"/>
  <c r="C164" i="23"/>
  <c r="H1921" i="1"/>
  <c r="G533" i="1"/>
  <c r="C67" i="23"/>
  <c r="H223" i="1"/>
  <c r="H1201" i="1"/>
  <c r="H388" i="1"/>
  <c r="L23" i="20"/>
  <c r="H1493" i="1"/>
  <c r="H2065" i="1"/>
  <c r="E2070" i="1"/>
  <c r="H2235" i="1"/>
  <c r="G573" i="1"/>
  <c r="H784" i="1"/>
  <c r="H2271" i="1"/>
  <c r="E2265" i="1"/>
  <c r="H1242" i="1"/>
  <c r="H1610" i="1"/>
  <c r="E2258" i="1"/>
  <c r="G376" i="1"/>
  <c r="G1625" i="1"/>
  <c r="G1194" i="1"/>
  <c r="H352" i="1"/>
  <c r="E2176" i="1"/>
  <c r="H175" i="1"/>
  <c r="H2255" i="1"/>
  <c r="C485" i="23"/>
  <c r="G590" i="1"/>
  <c r="E2055" i="1"/>
  <c r="H1748" i="1"/>
  <c r="G1866" i="1"/>
  <c r="H1991" i="1"/>
  <c r="J45" i="20"/>
  <c r="E1395" i="1"/>
  <c r="G1677" i="1"/>
  <c r="H1988" i="1"/>
  <c r="H2198" i="1"/>
  <c r="G389" i="1"/>
  <c r="E2269" i="1"/>
  <c r="G759" i="1"/>
  <c r="G62" i="1"/>
  <c r="G1653" i="1"/>
  <c r="H1283" i="1"/>
  <c r="G1741" i="1"/>
  <c r="E1909" i="1"/>
  <c r="D438" i="23"/>
  <c r="G50" i="1"/>
  <c r="E1565" i="1"/>
  <c r="E1523" i="1"/>
  <c r="G1755" i="1"/>
  <c r="H642" i="1"/>
  <c r="O15" i="21"/>
  <c r="C573" i="23"/>
  <c r="E2068" i="1"/>
  <c r="C645" i="23"/>
  <c r="C719" i="23"/>
  <c r="G1500" i="1"/>
  <c r="G1689" i="1"/>
  <c r="H1588" i="1"/>
  <c r="H897" i="1"/>
  <c r="N59" i="23"/>
  <c r="E1763" i="1"/>
  <c r="E1737" i="1"/>
  <c r="H842" i="1"/>
  <c r="H192" i="1"/>
  <c r="H466" i="1"/>
  <c r="G1276" i="1"/>
  <c r="E1726" i="1"/>
  <c r="G1520" i="1"/>
  <c r="D302" i="23"/>
  <c r="H1024" i="1"/>
  <c r="G1434" i="1"/>
  <c r="H1168" i="1"/>
  <c r="G1665" i="1"/>
  <c r="H403" i="1"/>
  <c r="G1701" i="1"/>
  <c r="H1404" i="1"/>
  <c r="H1820" i="1"/>
  <c r="H11" i="16"/>
  <c r="H1679" i="1"/>
  <c r="E1958" i="1"/>
  <c r="G448" i="1"/>
  <c r="H782" i="1"/>
  <c r="H680" i="1"/>
  <c r="G1781" i="1"/>
  <c r="H89" i="1"/>
  <c r="G683" i="1"/>
  <c r="G948" i="1"/>
  <c r="H1025" i="1"/>
  <c r="G1740" i="1"/>
  <c r="H2272" i="1"/>
  <c r="E1553" i="1"/>
  <c r="E1442" i="1"/>
  <c r="G297" i="1"/>
  <c r="C301" i="23"/>
  <c r="G1085" i="1"/>
  <c r="G741" i="1"/>
  <c r="G1989" i="1"/>
  <c r="G524" i="1"/>
  <c r="G1356" i="1"/>
  <c r="G1424" i="1"/>
  <c r="G80" i="1"/>
  <c r="E1458" i="1"/>
  <c r="H2049" i="1"/>
  <c r="G1776" i="1"/>
  <c r="G2087" i="1"/>
  <c r="N36" i="23"/>
  <c r="H289" i="1"/>
  <c r="C33" i="23"/>
  <c r="G2300" i="1"/>
  <c r="G1156" i="1"/>
  <c r="E2104" i="1"/>
  <c r="D986" i="23"/>
  <c r="H2269" i="1"/>
  <c r="G44" i="1"/>
  <c r="H1641" i="1"/>
  <c r="H1586" i="1"/>
  <c r="H1739" i="1"/>
  <c r="G1711" i="1"/>
  <c r="H2252" i="1"/>
  <c r="E2096" i="1"/>
  <c r="E1539" i="1"/>
  <c r="H1350" i="1"/>
  <c r="K101" i="20"/>
  <c r="H203" i="1"/>
  <c r="H2157" i="1"/>
  <c r="H983" i="1"/>
  <c r="G1635" i="1"/>
  <c r="E1926" i="1"/>
  <c r="G241" i="1"/>
  <c r="H548" i="1"/>
  <c r="E2194" i="1"/>
  <c r="G847" i="1"/>
  <c r="E1570" i="1"/>
  <c r="E2017" i="1"/>
  <c r="G2233" i="1"/>
  <c r="E2305" i="1"/>
  <c r="H2186" i="1"/>
  <c r="C668" i="23"/>
  <c r="G1646" i="1"/>
  <c r="G1131" i="1"/>
  <c r="H1742" i="1"/>
  <c r="E1872" i="1"/>
  <c r="C290" i="23"/>
  <c r="G2148" i="1"/>
  <c r="H1692" i="1"/>
  <c r="C15" i="16"/>
  <c r="G1483" i="1"/>
  <c r="G2151" i="1"/>
  <c r="N68" i="23"/>
  <c r="G1789" i="1"/>
  <c r="C713" i="23"/>
  <c r="H1687" i="1"/>
  <c r="D971" i="23"/>
  <c r="E1546" i="1"/>
  <c r="G1911" i="1"/>
  <c r="H1254" i="1"/>
  <c r="G1317" i="1"/>
  <c r="E2010" i="1"/>
  <c r="G1425" i="1"/>
  <c r="C274" i="23"/>
  <c r="G2000" i="1"/>
  <c r="H808" i="1"/>
  <c r="H95" i="1"/>
  <c r="G1430" i="1"/>
  <c r="H499" i="1"/>
  <c r="G595" i="1"/>
  <c r="F23" i="16"/>
  <c r="G387" i="1"/>
  <c r="G2001" i="1"/>
  <c r="N238" i="23"/>
  <c r="C728" i="23"/>
  <c r="L44" i="20"/>
  <c r="H1790" i="1"/>
  <c r="H1869" i="1"/>
  <c r="G983" i="1"/>
  <c r="G2282" i="1"/>
  <c r="H1464" i="1"/>
  <c r="G761" i="1"/>
  <c r="G148" i="1"/>
  <c r="E2190" i="1"/>
  <c r="E1419" i="1"/>
  <c r="E1398" i="1"/>
  <c r="G1349" i="1"/>
  <c r="H668" i="1"/>
  <c r="G445" i="1"/>
  <c r="A26" i="16"/>
  <c r="E1972" i="1"/>
  <c r="D870" i="23"/>
  <c r="G1006" i="1"/>
  <c r="H606" i="1"/>
  <c r="G273" i="1"/>
  <c r="H70" i="1"/>
  <c r="I100" i="20"/>
  <c r="E1657" i="1"/>
  <c r="H650" i="1"/>
  <c r="H1527" i="1"/>
  <c r="H2165" i="1"/>
  <c r="H1509" i="1"/>
  <c r="E1996" i="1"/>
  <c r="H2106" i="1"/>
  <c r="H1300" i="1"/>
  <c r="G996" i="1"/>
  <c r="G1323" i="1"/>
  <c r="E1828" i="1"/>
  <c r="H1603" i="1"/>
  <c r="E1953" i="1"/>
  <c r="G2128" i="1"/>
  <c r="G736" i="1"/>
  <c r="E1425" i="1"/>
  <c r="H181" i="1"/>
  <c r="G125" i="1"/>
  <c r="G2280" i="1"/>
  <c r="G1961" i="1"/>
  <c r="H2259" i="1"/>
  <c r="E1548" i="1"/>
  <c r="G105" i="1"/>
  <c r="G1307" i="1"/>
  <c r="H1035" i="1"/>
  <c r="H1407" i="1"/>
  <c r="E1851" i="1"/>
  <c r="C27" i="23"/>
  <c r="E1714" i="1"/>
  <c r="G1181" i="1"/>
  <c r="H697" i="1"/>
  <c r="E1734" i="1"/>
  <c r="G1136" i="1"/>
  <c r="N355" i="23"/>
  <c r="E2088" i="1"/>
  <c r="G994" i="1"/>
  <c r="G2190" i="1"/>
  <c r="N756" i="23"/>
  <c r="G1236" i="1"/>
  <c r="C225" i="23"/>
  <c r="H420" i="1"/>
  <c r="H901" i="1"/>
  <c r="E2168" i="1"/>
  <c r="E2312" i="1"/>
  <c r="G222" i="1"/>
  <c r="H2022" i="1"/>
  <c r="H1393" i="1"/>
  <c r="G328" i="1"/>
  <c r="H164" i="1"/>
  <c r="G1277" i="1"/>
  <c r="G463" i="1"/>
  <c r="G1829" i="1"/>
  <c r="C372" i="23"/>
  <c r="K69" i="20"/>
  <c r="H567" i="1"/>
  <c r="D64" i="23"/>
  <c r="C602" i="23"/>
  <c r="C753" i="23"/>
  <c r="E2129" i="1"/>
  <c r="H1196" i="1"/>
  <c r="J29" i="20"/>
  <c r="H1873" i="1"/>
  <c r="D911" i="23"/>
  <c r="G1656" i="1"/>
  <c r="N538" i="23"/>
  <c r="C66" i="23"/>
  <c r="G2188" i="1"/>
  <c r="M73" i="20"/>
  <c r="G1208" i="1"/>
  <c r="E2019" i="1"/>
  <c r="H1167" i="1"/>
  <c r="E1405" i="1"/>
  <c r="E1673" i="1"/>
  <c r="E1762" i="1"/>
  <c r="G238" i="1"/>
  <c r="N669" i="23"/>
  <c r="G1139" i="1"/>
  <c r="H2031" i="1"/>
  <c r="E1528" i="1"/>
  <c r="H2131" i="1"/>
  <c r="G472" i="1"/>
  <c r="N11" i="16"/>
  <c r="H1793" i="1"/>
  <c r="G45" i="1"/>
  <c r="G1161" i="1"/>
  <c r="G1093" i="1"/>
  <c r="H421" i="1"/>
  <c r="H720" i="1"/>
  <c r="E1593" i="1"/>
  <c r="G1420" i="1"/>
  <c r="G507" i="1"/>
  <c r="C327" i="23"/>
  <c r="H620" i="1"/>
  <c r="E1459" i="1"/>
  <c r="H1186" i="1"/>
  <c r="G1241" i="1"/>
  <c r="H1503" i="1"/>
  <c r="G2031" i="1"/>
  <c r="D837" i="23"/>
  <c r="E1997" i="1"/>
  <c r="G1373" i="1"/>
  <c r="G711" i="1"/>
  <c r="E1769" i="1"/>
  <c r="E1809" i="1"/>
  <c r="I47" i="20"/>
  <c r="G1893" i="1"/>
  <c r="C488" i="23"/>
  <c r="G393" i="1"/>
  <c r="C234" i="23"/>
  <c r="G132" i="1"/>
  <c r="C933" i="23"/>
  <c r="G341" i="1"/>
  <c r="H1943" i="1"/>
  <c r="G2056" i="1"/>
  <c r="H517" i="1"/>
  <c r="G1899" i="1"/>
  <c r="G401" i="1"/>
  <c r="D792" i="23"/>
  <c r="H725" i="1"/>
  <c r="G1687" i="1"/>
  <c r="N164" i="23"/>
  <c r="H840" i="1"/>
  <c r="I28" i="20"/>
  <c r="H1296" i="1"/>
  <c r="G1546" i="1"/>
  <c r="E1663" i="1"/>
  <c r="H1092" i="1"/>
  <c r="H1967" i="1"/>
  <c r="H271" i="1"/>
  <c r="G2203" i="1"/>
  <c r="G577" i="1"/>
  <c r="H1376" i="1"/>
  <c r="E2244" i="1"/>
  <c r="E1751" i="1"/>
  <c r="H340" i="1"/>
  <c r="C9" i="16"/>
  <c r="G2166" i="1"/>
  <c r="H313" i="1"/>
  <c r="E1888" i="1"/>
  <c r="E1786" i="1"/>
  <c r="G1165" i="1"/>
  <c r="G1313" i="1"/>
  <c r="H780" i="1"/>
  <c r="E1747" i="1"/>
  <c r="E1871" i="1"/>
  <c r="H1529" i="1"/>
  <c r="G1657" i="1"/>
  <c r="G977" i="1"/>
  <c r="H525" i="1"/>
  <c r="E2024" i="1"/>
  <c r="H583" i="1"/>
  <c r="H501" i="1"/>
  <c r="G1603" i="1"/>
  <c r="H235" i="1"/>
  <c r="G1179" i="1"/>
  <c r="L78" i="20"/>
  <c r="G1218" i="1"/>
  <c r="H359" i="1"/>
  <c r="W20" i="21"/>
  <c r="H726" i="1"/>
  <c r="G1968" i="1"/>
  <c r="H1834" i="1"/>
  <c r="D727" i="23"/>
  <c r="G257" i="1"/>
  <c r="H752" i="1"/>
  <c r="H2167" i="1"/>
  <c r="H880" i="1"/>
  <c r="C823" i="23"/>
  <c r="G2041" i="1"/>
  <c r="H380" i="1"/>
  <c r="L106" i="20"/>
  <c r="G55" i="1"/>
  <c r="E1721" i="1"/>
  <c r="E2101" i="1"/>
  <c r="G485" i="1"/>
  <c r="G206" i="1"/>
  <c r="C89" i="21"/>
  <c r="N619" i="23"/>
  <c r="G425" i="1"/>
  <c r="D705" i="23"/>
  <c r="E1724" i="1"/>
  <c r="N952" i="23"/>
  <c r="E2274" i="1"/>
  <c r="H1614" i="1"/>
  <c r="H924" i="1"/>
  <c r="G645" i="1"/>
  <c r="N785" i="23"/>
  <c r="N449" i="23"/>
  <c r="E1620" i="1"/>
  <c r="J71" i="20"/>
  <c r="E1426" i="1"/>
  <c r="H47" i="1"/>
  <c r="H1335" i="1"/>
  <c r="G1788" i="1"/>
  <c r="H1859" i="1"/>
  <c r="H1830" i="1"/>
  <c r="G785" i="1"/>
  <c r="G688" i="1"/>
  <c r="E1650" i="1"/>
  <c r="N484" i="23"/>
  <c r="G1200" i="1"/>
  <c r="H2311" i="1"/>
  <c r="H715" i="1"/>
  <c r="H1861" i="1"/>
  <c r="G901" i="1"/>
  <c r="E1881" i="1"/>
  <c r="N62" i="23"/>
  <c r="E1641" i="1"/>
  <c r="E1683" i="1"/>
  <c r="H170" i="1"/>
  <c r="H1223" i="1"/>
  <c r="G2174" i="1"/>
  <c r="H530" i="1"/>
  <c r="G2030" i="1"/>
  <c r="N374" i="23"/>
  <c r="G622" i="1"/>
  <c r="E1647" i="1"/>
  <c r="L95" i="20"/>
  <c r="G342" i="1"/>
  <c r="E1397" i="1"/>
  <c r="H1394" i="1"/>
  <c r="G1810" i="1"/>
  <c r="H2009" i="1"/>
  <c r="G1572" i="1"/>
  <c r="H61" i="1"/>
  <c r="H969" i="1"/>
  <c r="H2256" i="1"/>
  <c r="G1209" i="1"/>
  <c r="E1524" i="1"/>
  <c r="G2167" i="1"/>
  <c r="E1753" i="1"/>
  <c r="H2284" i="1"/>
  <c r="H1897" i="1"/>
  <c r="G2057" i="1"/>
  <c r="E1999" i="1"/>
  <c r="H1013" i="1"/>
  <c r="C952" i="23"/>
  <c r="G2216" i="1"/>
  <c r="H1028" i="1"/>
  <c r="E1788" i="1"/>
  <c r="E1485" i="1"/>
  <c r="E10" i="16"/>
  <c r="G2195" i="1"/>
  <c r="H1170" i="1"/>
  <c r="G153" i="1"/>
  <c r="E1807" i="1"/>
  <c r="G310" i="1"/>
  <c r="E1907" i="1"/>
  <c r="G2239" i="1"/>
  <c r="G408" i="1"/>
  <c r="E1646" i="1"/>
  <c r="G287" i="1"/>
  <c r="E1487" i="1"/>
  <c r="H1225" i="1"/>
  <c r="H441" i="1"/>
  <c r="E1596" i="1"/>
  <c r="H751" i="1"/>
  <c r="G531" i="1"/>
  <c r="D523" i="23"/>
  <c r="B10" i="16"/>
  <c r="H802" i="1"/>
  <c r="H1248" i="1"/>
  <c r="G1668" i="1"/>
  <c r="H2205" i="1"/>
  <c r="H1126" i="1"/>
  <c r="H2138" i="1"/>
  <c r="H872" i="1"/>
  <c r="E1842" i="1"/>
  <c r="E1632" i="1"/>
  <c r="H28" i="1"/>
  <c r="N703" i="23"/>
  <c r="G1518" i="1"/>
  <c r="D992" i="23"/>
  <c r="K81" i="20"/>
  <c r="H1765" i="1"/>
  <c r="H2028" i="1"/>
  <c r="G1821" i="1"/>
  <c r="H658" i="1"/>
  <c r="O39" i="21"/>
  <c r="G272" i="1"/>
  <c r="H1532" i="1"/>
  <c r="H1343" i="1"/>
  <c r="G505" i="1"/>
  <c r="E1964" i="1"/>
  <c r="H1565" i="1"/>
  <c r="G332" i="1"/>
  <c r="H1047" i="1"/>
  <c r="G48" i="1"/>
  <c r="H1845" i="1"/>
  <c r="G1461" i="1"/>
  <c r="G1479" i="1"/>
  <c r="G484" i="1"/>
  <c r="H1227" i="1"/>
  <c r="C730" i="23"/>
  <c r="H1357" i="1"/>
  <c r="E1450" i="1"/>
  <c r="G1814" i="1"/>
  <c r="H1198" i="1"/>
  <c r="H1786" i="1"/>
  <c r="G1784" i="1"/>
  <c r="H713" i="1"/>
  <c r="G1564" i="1"/>
  <c r="D105" i="23"/>
  <c r="H1750" i="1"/>
  <c r="C273" i="23"/>
  <c r="C939" i="23"/>
  <c r="H2239" i="1"/>
  <c r="G1749" i="1"/>
  <c r="G334" i="1"/>
  <c r="G1994" i="1"/>
  <c r="C105" i="23"/>
  <c r="E2134" i="1"/>
  <c r="E2186" i="1"/>
  <c r="H1520" i="1"/>
  <c r="G2269" i="1"/>
  <c r="E2241" i="1"/>
  <c r="H1933" i="1"/>
  <c r="C975" i="23"/>
  <c r="G2290" i="1"/>
  <c r="G979" i="1"/>
  <c r="D924" i="23"/>
  <c r="G2036" i="1"/>
  <c r="G561" i="1"/>
  <c r="G1590" i="1"/>
  <c r="H378" i="1"/>
  <c r="H1116" i="1"/>
  <c r="E2117" i="1"/>
  <c r="G545" i="1"/>
  <c r="E1421" i="1"/>
  <c r="H2288" i="1"/>
  <c r="C500" i="23"/>
  <c r="G82" i="1"/>
  <c r="G146" i="1"/>
  <c r="G79" i="1"/>
  <c r="G819" i="1"/>
  <c r="G1068" i="1"/>
  <c r="H2015" i="1"/>
  <c r="H1189" i="1"/>
  <c r="G1756" i="1"/>
  <c r="G33" i="1"/>
  <c r="E1689" i="1"/>
  <c r="H509" i="1"/>
  <c r="H1591" i="1"/>
  <c r="H1058" i="1"/>
  <c r="D422" i="23"/>
  <c r="N460" i="23"/>
  <c r="D842" i="23"/>
  <c r="E1605" i="1"/>
  <c r="G1754" i="1"/>
  <c r="G1092" i="1"/>
  <c r="G2067" i="1"/>
  <c r="H541" i="1"/>
  <c r="G208" i="1"/>
  <c r="H1846" i="1"/>
  <c r="H866" i="1"/>
  <c r="H1686" i="1"/>
  <c r="H759" i="1"/>
  <c r="H1843" i="1"/>
  <c r="I74" i="20"/>
  <c r="G1937" i="1"/>
  <c r="H1080" i="1"/>
  <c r="G2029" i="1"/>
  <c r="I11" i="20"/>
  <c r="H2102" i="1"/>
  <c r="H92" i="1"/>
  <c r="G2085" i="1"/>
  <c r="H1983" i="1"/>
  <c r="E1557" i="1"/>
  <c r="G1745" i="1"/>
  <c r="G1584" i="1"/>
  <c r="D813" i="23"/>
  <c r="H2216" i="1"/>
  <c r="C724" i="23"/>
  <c r="H485" i="1"/>
  <c r="G120" i="1"/>
  <c r="H406" i="1"/>
  <c r="G2274" i="1"/>
  <c r="H671" i="1"/>
  <c r="G503" i="1"/>
  <c r="H293" i="1"/>
  <c r="G1718" i="1"/>
  <c r="H64" i="1"/>
  <c r="B9" i="16"/>
  <c r="H847" i="1"/>
  <c r="G2145" i="1"/>
  <c r="H996" i="1"/>
  <c r="H2101" i="1"/>
  <c r="H243" i="1"/>
  <c r="E1877" i="1"/>
  <c r="H2229" i="1"/>
  <c r="G1166" i="1"/>
  <c r="H1062" i="1"/>
  <c r="H1100" i="1"/>
  <c r="C541" i="23"/>
  <c r="G1154" i="1"/>
  <c r="H2069" i="1"/>
  <c r="C743" i="23"/>
  <c r="H1960" i="1"/>
  <c r="D441" i="23"/>
  <c r="H18" i="16"/>
  <c r="C265" i="23"/>
  <c r="H472" i="1"/>
  <c r="G1945" i="1"/>
  <c r="E1886" i="1"/>
  <c r="E1428" i="1"/>
  <c r="G1103" i="1"/>
  <c r="H2038" i="1"/>
  <c r="G1929" i="1"/>
  <c r="H1642" i="1"/>
  <c r="O100" i="21"/>
  <c r="H1788" i="1"/>
  <c r="E1511" i="1"/>
  <c r="N416" i="23"/>
  <c r="D71" i="23"/>
  <c r="D773" i="23"/>
  <c r="H1560" i="1"/>
  <c r="E2214" i="1"/>
  <c r="G245" i="1"/>
  <c r="G1601" i="1"/>
  <c r="H502" i="1"/>
  <c r="E1989" i="1"/>
  <c r="G569" i="1"/>
  <c r="H99" i="1"/>
  <c r="H2039" i="1"/>
  <c r="H374" i="1"/>
  <c r="E2140" i="1"/>
  <c r="H134" i="1"/>
  <c r="H494" i="1"/>
  <c r="G762" i="1"/>
  <c r="G1157" i="1"/>
  <c r="H10" i="1"/>
  <c r="H1169" i="1"/>
  <c r="D278" i="23"/>
  <c r="G1894" i="1"/>
  <c r="E2291" i="1"/>
  <c r="E1948" i="1"/>
  <c r="H123" i="1"/>
  <c r="G755" i="1"/>
  <c r="G2268" i="1"/>
  <c r="G672" i="1"/>
  <c r="E1577" i="1"/>
  <c r="H230" i="1"/>
  <c r="E2004" i="1"/>
  <c r="G1794" i="1"/>
  <c r="H354" i="1"/>
  <c r="N554" i="23"/>
  <c r="H195" i="1"/>
  <c r="G2076" i="1"/>
  <c r="N363" i="23"/>
  <c r="H820" i="1"/>
  <c r="H1753" i="1"/>
  <c r="H839" i="1"/>
  <c r="H1860" i="1"/>
  <c r="O42" i="21"/>
  <c r="C647" i="23"/>
  <c r="G1231" i="1"/>
  <c r="H1547" i="1"/>
  <c r="G205" i="1"/>
  <c r="G1834" i="1"/>
  <c r="H1813" i="1"/>
  <c r="G1476" i="1"/>
  <c r="O31" i="21"/>
  <c r="H581" i="1"/>
  <c r="G90" i="1"/>
  <c r="H144" i="1"/>
  <c r="G1761" i="1"/>
  <c r="C160" i="23"/>
  <c r="G1982" i="1"/>
  <c r="G198" i="1"/>
  <c r="H1012" i="1"/>
  <c r="N318" i="23"/>
  <c r="C80" i="23"/>
  <c r="H1901" i="1"/>
  <c r="G301" i="1"/>
  <c r="G884" i="1"/>
  <c r="G539" i="1"/>
  <c r="E1949" i="1"/>
  <c r="E1498" i="1"/>
  <c r="E1920" i="1"/>
  <c r="G2293" i="1"/>
  <c r="E1810" i="1"/>
  <c r="D536" i="23"/>
  <c r="G427" i="1"/>
  <c r="G931" i="1"/>
  <c r="N621" i="23"/>
  <c r="C129" i="23"/>
  <c r="H878" i="1"/>
  <c r="G1188" i="1"/>
  <c r="G1289" i="1"/>
  <c r="C793" i="23"/>
  <c r="G1348" i="1"/>
  <c r="E1471" i="1"/>
  <c r="D972" i="23"/>
  <c r="C961" i="23"/>
  <c r="H1074" i="1"/>
  <c r="H2110" i="1"/>
  <c r="G1777" i="1"/>
  <c r="C102" i="21"/>
  <c r="M102" i="20"/>
  <c r="M40" i="20"/>
  <c r="H1026" i="1"/>
  <c r="G2305" i="1"/>
  <c r="J80" i="20"/>
  <c r="E2157" i="1"/>
  <c r="D558" i="23"/>
  <c r="E1713" i="1"/>
  <c r="H1805" i="1"/>
  <c r="G1826" i="1"/>
  <c r="D981" i="23"/>
  <c r="H2292" i="1"/>
  <c r="H1584" i="1"/>
  <c r="C304" i="23"/>
  <c r="G1265" i="1"/>
  <c r="D46" i="23"/>
  <c r="N985" i="23"/>
  <c r="G2061" i="1"/>
  <c r="E2089" i="1"/>
  <c r="N309" i="23"/>
  <c r="N727" i="23"/>
  <c r="E1536" i="1"/>
  <c r="H1130" i="1"/>
  <c r="E1770" i="1"/>
  <c r="N57" i="23"/>
  <c r="C637" i="23"/>
  <c r="D741" i="23"/>
  <c r="H1037" i="1"/>
  <c r="D329" i="23"/>
  <c r="D492" i="23"/>
  <c r="E1502" i="1"/>
  <c r="C30" i="21"/>
  <c r="E2212" i="1"/>
  <c r="G1714" i="1"/>
  <c r="H310" i="1"/>
  <c r="G1817" i="1"/>
  <c r="H1870" i="1"/>
  <c r="G433" i="1"/>
  <c r="H369" i="1"/>
  <c r="H2203" i="1"/>
  <c r="D922" i="23"/>
  <c r="E1738" i="1"/>
  <c r="H1697" i="1"/>
  <c r="E2199" i="1"/>
  <c r="H1780" i="1"/>
  <c r="G497" i="1"/>
  <c r="G1346" i="1"/>
  <c r="H823" i="1"/>
  <c r="C978" i="23"/>
  <c r="G1815" i="1"/>
  <c r="L94" i="20"/>
  <c r="H676" i="1"/>
  <c r="H1789" i="1"/>
  <c r="G1363" i="1"/>
  <c r="G1621" i="1"/>
  <c r="E1832" i="1"/>
  <c r="G1120" i="1"/>
  <c r="H34" i="1"/>
  <c r="H635" i="1"/>
  <c r="G832" i="1"/>
  <c r="H743" i="1"/>
  <c r="E1520" i="1"/>
  <c r="H955" i="1"/>
  <c r="G318" i="1"/>
  <c r="C65" i="21"/>
  <c r="E1876" i="1"/>
  <c r="G1591" i="1"/>
  <c r="G392" i="1"/>
  <c r="G1667" i="1"/>
  <c r="C87" i="23"/>
  <c r="H395" i="1"/>
  <c r="N394" i="23"/>
  <c r="G141" i="1"/>
  <c r="G1676" i="1"/>
  <c r="N41" i="23"/>
  <c r="G394" i="1"/>
  <c r="H1456" i="1"/>
  <c r="H1147" i="1"/>
  <c r="H2025" i="1"/>
  <c r="C759" i="23"/>
  <c r="C649" i="23"/>
  <c r="H445" i="1"/>
  <c r="D596" i="23"/>
  <c r="E1826" i="1"/>
  <c r="H57" i="1"/>
  <c r="H1328" i="1"/>
  <c r="E1417" i="1"/>
  <c r="D93" i="21"/>
  <c r="G1438" i="1"/>
  <c r="E2231" i="1"/>
  <c r="G495" i="1"/>
  <c r="E1544" i="1"/>
  <c r="H1854" i="1"/>
  <c r="G1531" i="1"/>
  <c r="E1542" i="1"/>
  <c r="N722" i="23"/>
  <c r="H1882" i="1"/>
  <c r="H96" i="1"/>
  <c r="H1909" i="1"/>
  <c r="G2099" i="1"/>
  <c r="G838" i="1"/>
  <c r="G354" i="1"/>
  <c r="E1636" i="1"/>
  <c r="G122" i="1"/>
  <c r="G1359" i="1"/>
  <c r="G457" i="1"/>
  <c r="D548" i="23"/>
  <c r="O72" i="21"/>
  <c r="D376" i="23"/>
  <c r="H379" i="1"/>
  <c r="G1474" i="1"/>
  <c r="E1653" i="1"/>
  <c r="G1812" i="1"/>
  <c r="G1450" i="1"/>
  <c r="D515" i="23"/>
  <c r="L27" i="20"/>
  <c r="N313" i="23"/>
  <c r="E2221" i="1"/>
  <c r="H929" i="1"/>
  <c r="D313" i="23"/>
  <c r="G1751" i="1"/>
  <c r="H1042" i="1"/>
  <c r="C26" i="16"/>
  <c r="D296" i="23"/>
  <c r="E2058" i="1"/>
  <c r="G992" i="1"/>
  <c r="H2158" i="1"/>
  <c r="E1504" i="1"/>
  <c r="H1384" i="1"/>
  <c r="G1183" i="1"/>
  <c r="M20" i="20"/>
  <c r="E2277" i="1"/>
  <c r="G1487" i="1"/>
  <c r="H709" i="1"/>
  <c r="C707" i="23"/>
  <c r="H239" i="1"/>
  <c r="G1458" i="1"/>
  <c r="I81" i="20"/>
  <c r="N545" i="23"/>
  <c r="H2257" i="1"/>
  <c r="N120" i="23"/>
  <c r="D742" i="23"/>
  <c r="D307" i="23"/>
  <c r="H838" i="1"/>
  <c r="H2300" i="1"/>
  <c r="C726" i="23"/>
  <c r="H510" i="1"/>
  <c r="B23" i="16"/>
  <c r="H2195" i="1"/>
  <c r="N990" i="23"/>
  <c r="D975" i="23"/>
  <c r="H918" i="1"/>
  <c r="H559" i="1"/>
  <c r="G398" i="1"/>
  <c r="H867" i="1"/>
  <c r="C185" i="23"/>
  <c r="H2217" i="1"/>
  <c r="G981" i="1"/>
  <c r="G1466" i="1"/>
  <c r="N478" i="23"/>
  <c r="H260" i="1"/>
  <c r="H1137" i="1"/>
  <c r="G94" i="1"/>
  <c r="G1433" i="1"/>
  <c r="G378" i="1"/>
  <c r="H1121" i="1"/>
  <c r="H1146" i="1"/>
  <c r="H900" i="1"/>
  <c r="H500" i="1"/>
  <c r="H302" i="1"/>
  <c r="H343" i="1"/>
  <c r="N605" i="23"/>
  <c r="N157" i="23"/>
  <c r="E1901" i="1"/>
  <c r="N195" i="23"/>
  <c r="G2205" i="1"/>
  <c r="E1816" i="1"/>
  <c r="C912" i="23"/>
  <c r="H1615" i="1"/>
  <c r="G400" i="1"/>
  <c r="H5" i="16"/>
  <c r="H1240" i="1"/>
  <c r="C342" i="23"/>
  <c r="D644" i="23"/>
  <c r="E1662" i="1"/>
  <c r="K42" i="20"/>
  <c r="H63" i="1"/>
  <c r="I42" i="20"/>
  <c r="E1987" i="1"/>
  <c r="H1902" i="1"/>
  <c r="D979" i="23"/>
  <c r="H1885" i="1"/>
  <c r="D559" i="23"/>
  <c r="D831" i="23"/>
  <c r="E1873" i="1"/>
  <c r="G897" i="1"/>
  <c r="G468" i="1"/>
  <c r="F24" i="16"/>
  <c r="G1471" i="1"/>
  <c r="E2118" i="1"/>
  <c r="E1942" i="1"/>
  <c r="H672" i="1"/>
  <c r="G950" i="1"/>
  <c r="G1442" i="1"/>
  <c r="C630" i="23"/>
  <c r="G2191" i="1"/>
  <c r="H222" i="1"/>
  <c r="G2158" i="1"/>
  <c r="H1766" i="1"/>
  <c r="E1981" i="1"/>
  <c r="H1963" i="1"/>
  <c r="G2227" i="1"/>
  <c r="G32" i="1"/>
  <c r="C972" i="23"/>
  <c r="C369" i="23"/>
  <c r="E1597" i="1"/>
  <c r="H1022" i="1"/>
  <c r="G1301" i="1"/>
  <c r="N701" i="23"/>
  <c r="E1823" i="1"/>
  <c r="H1841" i="1"/>
  <c r="G2309" i="1"/>
  <c r="G1574" i="1"/>
  <c r="H1650" i="1"/>
  <c r="E2159" i="1"/>
  <c r="H1005" i="1"/>
  <c r="H816" i="1"/>
  <c r="E7" i="16"/>
  <c r="G1845" i="1"/>
  <c r="G1263" i="1"/>
  <c r="E1609" i="1"/>
  <c r="G1795" i="1"/>
  <c r="C350" i="23"/>
  <c r="G493" i="1"/>
  <c r="H2057" i="1"/>
  <c r="G2103" i="1"/>
  <c r="C962" i="23"/>
  <c r="H51" i="1"/>
  <c r="C58" i="21"/>
  <c r="G1560" i="1"/>
  <c r="G160" i="1"/>
  <c r="H2067" i="1"/>
  <c r="E1631" i="1"/>
  <c r="L42" i="20"/>
  <c r="H817" i="1"/>
  <c r="N70" i="23"/>
  <c r="G604" i="1"/>
  <c r="G1173" i="1"/>
  <c r="G1214" i="1"/>
  <c r="H2234" i="1"/>
  <c r="H1791" i="1"/>
  <c r="C251" i="23"/>
  <c r="G1999" i="1"/>
  <c r="D830" i="23"/>
  <c r="G2147" i="1"/>
  <c r="N116" i="23"/>
  <c r="H1636" i="1"/>
  <c r="G1613" i="1"/>
  <c r="G817" i="1"/>
  <c r="H1626" i="1"/>
  <c r="C52" i="21"/>
  <c r="D838" i="23"/>
  <c r="H740" i="1"/>
  <c r="N650" i="23"/>
  <c r="D674" i="23"/>
  <c r="G2044" i="1"/>
  <c r="K38" i="20"/>
  <c r="H1103" i="1"/>
  <c r="H1935" i="1"/>
  <c r="D995" i="23"/>
  <c r="G1370" i="1"/>
  <c r="G1217" i="1"/>
  <c r="H1419" i="1"/>
  <c r="H186" i="1"/>
  <c r="H753" i="1"/>
  <c r="C542" i="23"/>
  <c r="N779" i="23"/>
  <c r="H333" i="1"/>
  <c r="N829" i="23"/>
  <c r="H238" i="1"/>
  <c r="D707" i="23"/>
  <c r="G172" i="1"/>
  <c r="C83" i="21"/>
  <c r="H2221" i="1"/>
  <c r="H570" i="1"/>
  <c r="C142" i="23"/>
  <c r="W40" i="21"/>
  <c r="H1311" i="1"/>
  <c r="G808" i="1"/>
  <c r="C340" i="23"/>
  <c r="H367" i="1"/>
  <c r="G861" i="1"/>
  <c r="G421" i="1"/>
  <c r="G1509" i="1"/>
  <c r="D550" i="23"/>
  <c r="H1174" i="1"/>
  <c r="D538" i="23"/>
  <c r="H1968" i="1"/>
  <c r="E1917" i="1"/>
  <c r="D912" i="23"/>
  <c r="G2072" i="1"/>
  <c r="N609" i="23"/>
  <c r="N903" i="23"/>
  <c r="K75" i="20"/>
  <c r="C640" i="23"/>
  <c r="D165" i="23"/>
  <c r="H2171" i="1"/>
  <c r="C28" i="23"/>
  <c r="G2237" i="1"/>
  <c r="G260" i="1"/>
  <c r="G412" i="1"/>
  <c r="G1427" i="1"/>
  <c r="G1385" i="1"/>
  <c r="E2078" i="1"/>
  <c r="H1625" i="1"/>
  <c r="G638" i="1"/>
  <c r="G58" i="1"/>
  <c r="E1979" i="1"/>
  <c r="E16" i="16"/>
  <c r="G2095" i="1"/>
  <c r="G25" i="1"/>
  <c r="H423" i="1"/>
  <c r="H160" i="1"/>
  <c r="E1408" i="1"/>
  <c r="L15" i="20"/>
  <c r="E1969" i="1"/>
  <c r="G1736" i="1"/>
  <c r="H1575" i="1"/>
  <c r="H2267" i="1"/>
  <c r="H200" i="1"/>
  <c r="H1396" i="1"/>
  <c r="N299" i="23"/>
  <c r="H1731" i="1"/>
  <c r="G211" i="1"/>
  <c r="G1920" i="1"/>
  <c r="G978" i="1"/>
  <c r="H2052" i="1"/>
  <c r="A23" i="16"/>
  <c r="E1759" i="1"/>
  <c r="E2285" i="1"/>
  <c r="H1007" i="1"/>
  <c r="H1998" i="1"/>
  <c r="N386" i="23"/>
  <c r="G1102" i="1"/>
  <c r="D255" i="23"/>
  <c r="E1495" i="1"/>
  <c r="H845" i="1"/>
  <c r="C48" i="21"/>
  <c r="F9" i="16"/>
  <c r="H305" i="1"/>
  <c r="C659" i="23"/>
  <c r="H115" i="1"/>
  <c r="H1674" i="1"/>
  <c r="G1837" i="1"/>
  <c r="W71" i="21"/>
  <c r="H1304" i="1"/>
  <c r="G1790" i="1"/>
  <c r="C29" i="21"/>
  <c r="N552" i="23"/>
  <c r="G1715" i="1"/>
  <c r="G1779" i="1"/>
  <c r="C411" i="23"/>
  <c r="E2179" i="1"/>
  <c r="H1285" i="1"/>
  <c r="O40" i="21"/>
  <c r="H653" i="1"/>
  <c r="N28" i="23"/>
  <c r="D148" i="23"/>
  <c r="D709" i="23"/>
  <c r="H455" i="1"/>
  <c r="C257" i="23"/>
  <c r="H266" i="1"/>
  <c r="H1966" i="1"/>
  <c r="G1956" i="1"/>
  <c r="W84" i="21"/>
  <c r="E1905" i="1"/>
  <c r="D786" i="23"/>
  <c r="H109" i="1"/>
  <c r="I105" i="20"/>
  <c r="E1878" i="1"/>
  <c r="H1724" i="1"/>
  <c r="H758" i="1"/>
  <c r="H1569" i="1"/>
  <c r="H364" i="1"/>
  <c r="H656" i="1"/>
  <c r="G752" i="1"/>
  <c r="H1779" i="1"/>
  <c r="C770" i="23"/>
  <c r="G2206" i="1"/>
  <c r="H83" i="1"/>
  <c r="D41" i="21"/>
  <c r="H1138" i="1"/>
  <c r="G2221" i="1"/>
  <c r="H793" i="1"/>
  <c r="H2183" i="1"/>
  <c r="H2091" i="1"/>
  <c r="G911" i="1"/>
  <c r="E2154" i="1"/>
  <c r="N825" i="23"/>
  <c r="G2178" i="1"/>
  <c r="C252" i="23"/>
  <c r="G1213" i="1"/>
  <c r="C579" i="23"/>
  <c r="G1255" i="1"/>
  <c r="E1790" i="1"/>
  <c r="H355" i="1"/>
  <c r="H667" i="1"/>
  <c r="E1440" i="1"/>
  <c r="G480" i="1"/>
  <c r="H1083" i="1"/>
  <c r="C697" i="23"/>
  <c r="D326" i="23"/>
  <c r="H2137" i="1"/>
  <c r="E1513" i="1"/>
  <c r="H898" i="1"/>
  <c r="C549" i="23"/>
  <c r="H1507" i="1"/>
  <c r="J55" i="20"/>
  <c r="H1961" i="1"/>
  <c r="H1106" i="1"/>
  <c r="H549" i="1"/>
  <c r="E1413" i="1"/>
  <c r="G1797" i="1"/>
  <c r="G1870" i="1"/>
  <c r="H2122" i="1"/>
  <c r="E1474" i="1"/>
  <c r="H231" i="1"/>
  <c r="E1913" i="1"/>
  <c r="E2035" i="1"/>
  <c r="H535" i="1"/>
  <c r="N317" i="23"/>
  <c r="D994" i="23"/>
  <c r="G298" i="1"/>
  <c r="N754" i="23"/>
  <c r="G555" i="1"/>
  <c r="D575" i="23"/>
  <c r="G226" i="1"/>
  <c r="H777" i="1"/>
  <c r="I24" i="20"/>
  <c r="H2297" i="1"/>
  <c r="H2162" i="1"/>
  <c r="E1974" i="1"/>
  <c r="G998" i="1"/>
  <c r="H1365" i="1"/>
  <c r="C958" i="23"/>
  <c r="G2289" i="1"/>
  <c r="G743" i="1"/>
  <c r="H859" i="1"/>
  <c r="N686" i="23"/>
  <c r="H644" i="1"/>
  <c r="H1352" i="1"/>
  <c r="E2121" i="1"/>
  <c r="H1924" i="1"/>
  <c r="E1860" i="1"/>
  <c r="M13" i="20"/>
  <c r="G144" i="1"/>
  <c r="H536" i="1"/>
  <c r="C64" i="21"/>
  <c r="E1857" i="1"/>
  <c r="H730" i="1"/>
  <c r="D256" i="23"/>
  <c r="G2291" i="1"/>
  <c r="H487" i="1"/>
  <c r="N994" i="23"/>
  <c r="H1385" i="1"/>
  <c r="G2285" i="1"/>
  <c r="D963" i="23"/>
  <c r="G1844" i="1"/>
  <c r="H870" i="1"/>
  <c r="N567" i="23"/>
  <c r="E2114" i="1"/>
  <c r="G747" i="1"/>
  <c r="D206" i="23"/>
  <c r="L46" i="20"/>
  <c r="G418" i="1"/>
  <c r="W41" i="21"/>
  <c r="N305" i="23"/>
  <c r="H132" i="1"/>
  <c r="G266" i="1"/>
  <c r="H2282" i="1"/>
  <c r="N26" i="23"/>
  <c r="H1278" i="1"/>
  <c r="N21" i="23"/>
  <c r="N672" i="23"/>
  <c r="H1488" i="1"/>
  <c r="E1601" i="1"/>
  <c r="E1591" i="1"/>
  <c r="H789" i="1"/>
  <c r="G113" i="1"/>
  <c r="E1637" i="1"/>
  <c r="N525" i="23"/>
  <c r="D512" i="23"/>
  <c r="G1207" i="1"/>
  <c r="C106" i="23"/>
  <c r="H2155" i="1"/>
  <c r="E2156" i="1"/>
  <c r="N692" i="23"/>
  <c r="H1856" i="1"/>
  <c r="N743" i="23"/>
  <c r="G850" i="1"/>
  <c r="E1706" i="1"/>
  <c r="G21" i="1"/>
  <c r="H400" i="1"/>
  <c r="C46" i="23"/>
  <c r="H1944" i="1"/>
  <c r="E2217" i="1"/>
  <c r="C880" i="23"/>
  <c r="H489" i="1"/>
  <c r="D142" i="23"/>
  <c r="N469" i="23"/>
  <c r="G869" i="1"/>
  <c r="H1027" i="1"/>
  <c r="E1978" i="1"/>
  <c r="H792" i="1"/>
  <c r="O77" i="21"/>
  <c r="D328" i="23"/>
  <c r="E2293" i="1"/>
  <c r="H125" i="1"/>
  <c r="G1287" i="1"/>
  <c r="H1665" i="1"/>
  <c r="M30" i="20"/>
  <c r="E2023" i="1"/>
  <c r="H1997" i="1"/>
  <c r="N117" i="23"/>
  <c r="H1778" i="1"/>
  <c r="H1987" i="1"/>
  <c r="G1757" i="1"/>
  <c r="G1275" i="1"/>
  <c r="H532" i="1"/>
  <c r="G52" i="1"/>
  <c r="D484" i="23"/>
  <c r="W18" i="21"/>
  <c r="N498" i="23"/>
  <c r="E2135" i="1"/>
  <c r="C468" i="23"/>
  <c r="G1405" i="1"/>
  <c r="G1892" i="1"/>
  <c r="N477" i="23"/>
  <c r="H761" i="1"/>
  <c r="C134" i="23"/>
  <c r="H1191" i="1"/>
  <c r="E1691" i="1"/>
  <c r="H636" i="1"/>
  <c r="H1053" i="1"/>
  <c r="H50" i="1"/>
  <c r="G1652" i="1"/>
  <c r="H849" i="1"/>
  <c r="H1072" i="1"/>
  <c r="H189" i="1"/>
  <c r="H1056" i="1"/>
  <c r="E1530" i="1"/>
  <c r="H1150" i="1"/>
  <c r="C817" i="23"/>
  <c r="D748" i="23"/>
  <c r="E1702" i="1"/>
  <c r="G949" i="1"/>
  <c r="H1974" i="1"/>
  <c r="W56" i="21"/>
  <c r="H778" i="1"/>
  <c r="G1390" i="1"/>
  <c r="H1741" i="1"/>
  <c r="E1773" i="1"/>
  <c r="D16" i="21"/>
  <c r="D93" i="23"/>
  <c r="D788" i="23"/>
  <c r="G1249" i="1"/>
  <c r="C329" i="23"/>
  <c r="G1559" i="1"/>
  <c r="E1798" i="1"/>
  <c r="G1917" i="1"/>
  <c r="N763" i="23"/>
  <c r="H2033" i="1"/>
  <c r="G1330" i="1"/>
  <c r="E2166" i="1"/>
  <c r="H590" i="1"/>
  <c r="H533" i="1"/>
  <c r="E1437" i="1"/>
  <c r="D276" i="23"/>
  <c r="G576" i="1"/>
  <c r="N427" i="23"/>
  <c r="C233" i="23"/>
  <c r="C202" i="23"/>
  <c r="H479" i="1"/>
  <c r="W63" i="21"/>
  <c r="G68" i="1"/>
  <c r="G1873" i="1"/>
  <c r="E2079" i="1"/>
  <c r="E2071" i="1"/>
  <c r="G745" i="1"/>
  <c r="G2200" i="1"/>
  <c r="N262" i="23"/>
  <c r="E1640" i="1"/>
  <c r="D691" i="23"/>
  <c r="D124" i="23"/>
  <c r="G1087" i="1"/>
  <c r="H43" i="1"/>
  <c r="E1847" i="1"/>
  <c r="H687" i="1"/>
  <c r="H913" i="1"/>
  <c r="E1643" i="1"/>
  <c r="M21" i="20"/>
  <c r="G384" i="1"/>
  <c r="G244" i="1"/>
  <c r="G1783" i="1"/>
  <c r="D234" i="23"/>
  <c r="G21" i="16"/>
  <c r="C298" i="23"/>
  <c r="E1411" i="1"/>
  <c r="E1682" i="1"/>
  <c r="G1969" i="1"/>
  <c r="H960" i="1"/>
  <c r="H1245" i="1"/>
  <c r="N524" i="23"/>
  <c r="G1698" i="1"/>
  <c r="H1663" i="1"/>
  <c r="H921" i="1"/>
  <c r="C680" i="23"/>
  <c r="H2118" i="1"/>
  <c r="L103" i="20"/>
  <c r="H1534" i="1"/>
  <c r="C178" i="23"/>
  <c r="C760" i="23"/>
  <c r="G1930" i="1"/>
  <c r="H1895" i="1"/>
  <c r="E1840" i="1"/>
  <c r="N871" i="23"/>
  <c r="H2191" i="1"/>
  <c r="G2022" i="1"/>
  <c r="G695" i="1"/>
  <c r="G1634" i="1"/>
  <c r="G2255" i="1"/>
  <c r="L25" i="20"/>
  <c r="G893" i="1"/>
  <c r="D29" i="23"/>
  <c r="H1243" i="1"/>
  <c r="H234" i="1"/>
  <c r="G2002" i="1"/>
  <c r="H126" i="1"/>
  <c r="G1593" i="1"/>
  <c r="H240" i="1"/>
  <c r="H1231" i="1"/>
  <c r="G1109" i="1"/>
  <c r="C359" i="23"/>
  <c r="H985" i="1"/>
  <c r="G835" i="1"/>
  <c r="E2103" i="1"/>
  <c r="D308" i="23"/>
  <c r="G1928" i="1"/>
  <c r="G1047" i="1"/>
  <c r="H1004" i="1"/>
  <c r="H315" i="1"/>
  <c r="H1319" i="1"/>
  <c r="E2273" i="1"/>
  <c r="G1942" i="1"/>
  <c r="N408" i="23"/>
  <c r="N670" i="23"/>
  <c r="E1603" i="1"/>
  <c r="H11" i="1"/>
  <c r="C843" i="23"/>
  <c r="G1723" i="1"/>
  <c r="E2263" i="1"/>
  <c r="N906" i="23"/>
  <c r="E1447" i="1"/>
  <c r="C94" i="23"/>
  <c r="D747" i="23"/>
  <c r="K19" i="20"/>
  <c r="C775" i="23"/>
  <c r="H2184" i="1"/>
  <c r="C198" i="23"/>
  <c r="H1700" i="1"/>
  <c r="D42" i="21"/>
  <c r="G1134" i="1"/>
  <c r="H1659" i="1"/>
  <c r="H1267" i="1"/>
  <c r="G2182" i="1"/>
  <c r="H1423" i="1"/>
  <c r="L74" i="20"/>
  <c r="E1664" i="1"/>
  <c r="G1809" i="1"/>
  <c r="N247" i="23"/>
  <c r="G2146" i="1"/>
  <c r="E2014" i="1"/>
  <c r="H2232" i="1"/>
  <c r="H1091" i="1"/>
  <c r="G223" i="1"/>
  <c r="H1409" i="1"/>
  <c r="G1220" i="1"/>
  <c r="G1089" i="1"/>
  <c r="D331" i="23"/>
  <c r="G473" i="1"/>
  <c r="G751" i="1"/>
  <c r="H2303" i="1"/>
  <c r="H812" i="1"/>
  <c r="G23" i="1"/>
  <c r="G101" i="1"/>
  <c r="H1049" i="1"/>
  <c r="H233" i="1"/>
  <c r="H1737" i="1"/>
  <c r="E1801" i="1"/>
  <c r="D291" i="23"/>
  <c r="G1077" i="1"/>
  <c r="H415" i="1"/>
  <c r="N632" i="23"/>
  <c r="H677" i="1"/>
  <c r="H2226" i="1"/>
  <c r="N6" i="16"/>
  <c r="H2133" i="1"/>
  <c r="D436" i="23"/>
  <c r="H902" i="1"/>
  <c r="C310" i="23"/>
  <c r="G995" i="1"/>
  <c r="H440" i="1"/>
  <c r="E1658" i="1"/>
  <c r="G1959" i="1"/>
  <c r="C771" i="23"/>
  <c r="C92" i="21"/>
  <c r="G1786" i="1"/>
  <c r="G1024" i="1"/>
  <c r="G2230" i="1"/>
  <c r="I50" i="20"/>
  <c r="D61" i="21"/>
  <c r="G2235" i="1"/>
  <c r="O90" i="21"/>
  <c r="C55" i="21"/>
  <c r="H884" i="1"/>
  <c r="H326" i="1"/>
  <c r="E2036" i="1"/>
  <c r="N904" i="23"/>
  <c r="G66" i="1"/>
  <c r="G1011" i="1"/>
  <c r="G1901" i="1"/>
  <c r="L89" i="20"/>
  <c r="G858" i="1"/>
  <c r="M69" i="20"/>
  <c r="G1440" i="1"/>
  <c r="H2298" i="1"/>
  <c r="G902" i="1"/>
  <c r="C18" i="23"/>
  <c r="D710" i="23"/>
  <c r="J6" i="20"/>
  <c r="N375" i="23"/>
  <c r="G396" i="1"/>
  <c r="H750" i="1"/>
  <c r="H1275" i="1"/>
  <c r="E2059" i="1"/>
  <c r="H1952" i="1"/>
  <c r="H1440" i="1"/>
  <c r="G2314" i="1"/>
  <c r="D72" i="23"/>
  <c r="C732" i="23"/>
  <c r="G1482" i="1"/>
  <c r="E1614" i="1"/>
  <c r="D385" i="23"/>
  <c r="C397" i="23"/>
  <c r="H373" i="1"/>
  <c r="H1315" i="1"/>
  <c r="D816" i="23"/>
  <c r="H538" i="1"/>
  <c r="E2123" i="1"/>
  <c r="C75" i="23"/>
  <c r="J96" i="20"/>
  <c r="G909" i="1"/>
  <c r="H414" i="1"/>
  <c r="E1443" i="1"/>
  <c r="H939" i="1"/>
  <c r="C418" i="23"/>
  <c r="G167" i="1"/>
  <c r="N762" i="23"/>
  <c r="G1397" i="1"/>
  <c r="E1694" i="1"/>
  <c r="M86" i="20"/>
  <c r="D611" i="23"/>
  <c r="D184" i="23"/>
  <c r="E1480" i="1"/>
  <c r="C592" i="23"/>
  <c r="G1950" i="1"/>
  <c r="E1483" i="1"/>
  <c r="I106" i="20"/>
  <c r="H1494" i="1"/>
  <c r="G1062" i="1"/>
  <c r="G2169" i="1"/>
  <c r="C88" i="21"/>
  <c r="G828" i="1"/>
  <c r="D204" i="23"/>
  <c r="H1715" i="1"/>
  <c r="C86" i="23"/>
  <c r="G289" i="1"/>
  <c r="O71" i="21"/>
  <c r="N342" i="23"/>
  <c r="D607" i="23"/>
  <c r="H412" i="1"/>
  <c r="H285" i="1"/>
  <c r="G1753" i="1"/>
  <c r="H76" i="1"/>
  <c r="G1502" i="1"/>
  <c r="E2028" i="1"/>
  <c r="H392" i="1"/>
  <c r="D563" i="23"/>
  <c r="N739" i="23"/>
  <c r="H1381" i="1"/>
  <c r="C307" i="23"/>
  <c r="H573" i="1"/>
  <c r="H2192" i="1"/>
  <c r="H508" i="1"/>
  <c r="H1857" i="1"/>
  <c r="G1395" i="1"/>
  <c r="H951" i="1"/>
  <c r="L55" i="20"/>
  <c r="J47" i="20"/>
  <c r="D927" i="23"/>
  <c r="G530" i="1"/>
  <c r="H2230" i="1"/>
  <c r="H1264" i="1"/>
  <c r="H923" i="1"/>
  <c r="H807" i="1"/>
  <c r="D901" i="23"/>
  <c r="H1048" i="1"/>
  <c r="H1036" i="1"/>
  <c r="G1883" i="1"/>
  <c r="H1105" i="1"/>
  <c r="H599" i="1"/>
  <c r="C168" i="23"/>
  <c r="G199" i="1"/>
  <c r="E2275" i="1"/>
  <c r="G518" i="1"/>
  <c r="E1672" i="1"/>
  <c r="G634" i="1"/>
  <c r="H478" i="1"/>
  <c r="E2130" i="1"/>
  <c r="H142" i="1"/>
  <c r="G2010" i="1"/>
  <c r="G7" i="16"/>
  <c r="N895" i="23"/>
  <c r="G1716" i="1"/>
  <c r="D634" i="23"/>
  <c r="C683" i="23"/>
  <c r="H835" i="1"/>
  <c r="H776" i="1"/>
  <c r="E1797" i="1"/>
  <c r="M58" i="20"/>
  <c r="D938" i="23"/>
  <c r="E2097" i="1"/>
  <c r="H45" i="1"/>
  <c r="E1661" i="1"/>
  <c r="H2026" i="1"/>
  <c r="H1163" i="1"/>
  <c r="G1853" i="1"/>
  <c r="L97" i="20"/>
  <c r="H1541" i="1"/>
  <c r="H794" i="1"/>
  <c r="G2045" i="1"/>
  <c r="G1563" i="1"/>
  <c r="H1235" i="1"/>
  <c r="H1774" i="1"/>
  <c r="G1463" i="1"/>
  <c r="D139" i="23"/>
  <c r="J24" i="20"/>
  <c r="G770" i="1"/>
  <c r="E1509" i="1"/>
  <c r="H1454" i="1"/>
  <c r="N773" i="23"/>
  <c r="H329" i="1"/>
  <c r="G118" i="1"/>
  <c r="D834" i="23"/>
  <c r="N806" i="23"/>
  <c r="C899" i="23"/>
  <c r="N642" i="23"/>
  <c r="K8" i="20"/>
  <c r="H692" i="1"/>
  <c r="G1978" i="1"/>
  <c r="N263" i="23"/>
  <c r="H1942" i="1"/>
  <c r="L64" i="20"/>
  <c r="H1722" i="1"/>
  <c r="G236" i="1"/>
  <c r="D73" i="23"/>
  <c r="G343" i="1"/>
  <c r="H625" i="1"/>
  <c r="C47" i="23"/>
  <c r="G2123" i="1"/>
  <c r="H1161" i="1"/>
  <c r="A12" i="16"/>
  <c r="D160" i="23"/>
  <c r="G1811" i="1"/>
  <c r="H1050" i="1"/>
  <c r="N618" i="23"/>
  <c r="H1929" i="1"/>
  <c r="H1536" i="1"/>
  <c r="H1348" i="1"/>
  <c r="H2260" i="1"/>
  <c r="N689" i="23"/>
  <c r="G2051" i="1"/>
  <c r="D698" i="23"/>
  <c r="H118" i="1"/>
  <c r="C71" i="23"/>
  <c r="G535" i="1"/>
  <c r="H67" i="1"/>
  <c r="N261" i="23"/>
  <c r="D247" i="23"/>
  <c r="G1852" i="1"/>
  <c r="H2048" i="1"/>
  <c r="N429" i="23"/>
  <c r="E1959" i="1"/>
  <c r="H141" i="1"/>
  <c r="N620" i="23"/>
  <c r="H557" i="1"/>
  <c r="E2202" i="1"/>
  <c r="G439" i="1"/>
  <c r="D676" i="23"/>
  <c r="C343" i="23"/>
  <c r="M37" i="20"/>
  <c r="G2252" i="1"/>
  <c r="C381" i="23"/>
  <c r="G1488" i="1"/>
  <c r="H32" i="1"/>
  <c r="D68" i="21"/>
  <c r="H2077" i="1"/>
  <c r="G124" i="1"/>
  <c r="E1722" i="1"/>
  <c r="L96" i="20"/>
  <c r="E2314" i="1"/>
  <c r="E2007" i="1"/>
  <c r="N379" i="23"/>
  <c r="G1239" i="1"/>
  <c r="H281" i="1"/>
  <c r="D31" i="21"/>
  <c r="H1155" i="1"/>
  <c r="J39" i="20"/>
  <c r="G1267" i="1"/>
  <c r="H1284" i="1"/>
  <c r="G1953" i="1"/>
  <c r="C88" i="23"/>
  <c r="C622" i="23"/>
  <c r="C773" i="23"/>
  <c r="G1056" i="1"/>
  <c r="E1927" i="1"/>
  <c r="H465" i="1"/>
  <c r="M99" i="20"/>
  <c r="J70" i="20"/>
  <c r="D101" i="21"/>
  <c r="G990" i="1"/>
  <c r="E1712" i="1"/>
  <c r="N663" i="23"/>
  <c r="H2293" i="1"/>
  <c r="H1364" i="1"/>
  <c r="G1030" i="1"/>
  <c r="G1506" i="1"/>
  <c r="J23" i="20"/>
  <c r="G962" i="1"/>
  <c r="D333" i="23"/>
  <c r="N911" i="23"/>
  <c r="H322" i="1"/>
  <c r="N723" i="23"/>
  <c r="H2014" i="1"/>
  <c r="N450" i="23"/>
  <c r="G2308" i="1"/>
  <c r="G1001" i="1"/>
  <c r="G1228" i="1"/>
  <c r="M7" i="20"/>
  <c r="E1733" i="1"/>
  <c r="N569" i="23"/>
  <c r="E2034" i="1"/>
  <c r="C721" i="23"/>
  <c r="G2047" i="1"/>
  <c r="G193" i="1"/>
  <c r="E1416" i="1"/>
  <c r="I18" i="16"/>
  <c r="G509" i="1"/>
  <c r="N772" i="23"/>
  <c r="G351" i="1"/>
  <c r="C10" i="16"/>
  <c r="C356" i="23"/>
  <c r="G681" i="1"/>
  <c r="H206" i="1"/>
  <c r="J40" i="20"/>
  <c r="H312" i="1"/>
  <c r="N599" i="23"/>
  <c r="D964" i="23"/>
  <c r="E1766" i="1"/>
  <c r="D846" i="23"/>
  <c r="H1950" i="1"/>
  <c r="H2153" i="1"/>
  <c r="E1687" i="1"/>
  <c r="C375" i="23"/>
  <c r="G1875" i="1"/>
  <c r="H1922" i="1"/>
  <c r="N264" i="23"/>
  <c r="N155" i="23"/>
  <c r="G1515" i="1"/>
  <c r="G2156" i="1"/>
  <c r="G606" i="1"/>
  <c r="H1720" i="1"/>
  <c r="H803" i="1"/>
  <c r="G540" i="1"/>
  <c r="H1631" i="1"/>
  <c r="G210" i="1"/>
  <c r="G956" i="1"/>
  <c r="N816" i="23"/>
  <c r="G734" i="1"/>
  <c r="C991" i="23"/>
  <c r="D631" i="23"/>
  <c r="H1571" i="1"/>
  <c r="D144" i="23"/>
  <c r="G1088" i="1"/>
  <c r="G1126" i="1"/>
  <c r="G171" i="1"/>
  <c r="C144" i="23"/>
  <c r="L81" i="20"/>
  <c r="D38" i="23"/>
  <c r="G213" i="1"/>
  <c r="E2257" i="1"/>
  <c r="G988" i="1"/>
  <c r="H1408" i="1"/>
  <c r="G1540" i="1"/>
  <c r="H1506" i="1"/>
  <c r="K65" i="20"/>
  <c r="H1648" i="1"/>
  <c r="G475" i="1"/>
  <c r="C469" i="23"/>
  <c r="N551" i="23"/>
  <c r="C439" i="23"/>
  <c r="N435" i="23"/>
  <c r="G781" i="1"/>
  <c r="G368" i="1"/>
  <c r="E1461" i="1"/>
  <c r="N34" i="23"/>
  <c r="H763" i="1"/>
  <c r="H1688" i="1"/>
  <c r="J44" i="20"/>
  <c r="K90" i="20"/>
  <c r="C513" i="23"/>
  <c r="E1976" i="1"/>
  <c r="F22" i="16"/>
  <c r="G300" i="1"/>
  <c r="G2250" i="1"/>
  <c r="F13" i="16"/>
  <c r="J106" i="20"/>
  <c r="D941" i="23"/>
  <c r="D214" i="23"/>
  <c r="E2083" i="1"/>
  <c r="G579" i="1"/>
  <c r="E1952" i="1"/>
  <c r="E1500" i="1"/>
  <c r="H1194" i="1"/>
  <c r="H157" i="1"/>
  <c r="H1574" i="1"/>
  <c r="G1022" i="1"/>
  <c r="H1864" i="1"/>
  <c r="E1559" i="1"/>
  <c r="D930" i="23"/>
  <c r="D197" i="23"/>
  <c r="G1260" i="1"/>
  <c r="C861" i="23"/>
  <c r="N617" i="23"/>
  <c r="D309" i="23"/>
  <c r="C288" i="23"/>
  <c r="C5" i="16"/>
  <c r="G2134" i="1"/>
  <c r="C669" i="23"/>
  <c r="O23" i="21"/>
  <c r="G701" i="1"/>
  <c r="H108" i="1"/>
  <c r="C646" i="23"/>
  <c r="E1516" i="1"/>
  <c r="N914" i="23"/>
  <c r="H521" i="1"/>
  <c r="J76" i="20"/>
  <c r="G1418" i="1"/>
  <c r="G1998" i="1"/>
  <c r="D406" i="23"/>
  <c r="N243" i="23"/>
  <c r="G527" i="1"/>
  <c r="D229" i="23"/>
  <c r="O79" i="21"/>
  <c r="H883" i="1"/>
  <c r="G256" i="1"/>
  <c r="C18" i="21"/>
  <c r="N812" i="23"/>
  <c r="H1432" i="1"/>
  <c r="G1331" i="1"/>
  <c r="E1535" i="1"/>
  <c r="H328" i="1"/>
  <c r="H1269" i="1"/>
  <c r="H2156" i="1"/>
  <c r="C413" i="23"/>
  <c r="C762" i="23"/>
  <c r="N860" i="23"/>
  <c r="G2243" i="1"/>
  <c r="D480" i="23"/>
  <c r="G290" i="1"/>
  <c r="G1846" i="1"/>
  <c r="H1661" i="1"/>
  <c r="G1673" i="1"/>
  <c r="H2174" i="1"/>
  <c r="N405" i="23"/>
  <c r="G1890" i="1"/>
  <c r="G1594" i="1"/>
  <c r="H2274" i="1"/>
  <c r="N644" i="23"/>
  <c r="D392" i="23"/>
  <c r="H1639" i="1"/>
  <c r="L109" i="20"/>
  <c r="D330" i="23"/>
  <c r="L14" i="20"/>
  <c r="N559" i="23"/>
  <c r="G1519" i="1"/>
  <c r="G1854" i="1"/>
  <c r="C219" i="23"/>
  <c r="H2124" i="1"/>
  <c r="G517" i="1"/>
  <c r="G2276" i="1"/>
  <c r="D359" i="23"/>
  <c r="N223" i="23"/>
  <c r="C39" i="23"/>
  <c r="G646" i="1"/>
  <c r="H1414" i="1"/>
  <c r="E1983" i="1"/>
  <c r="G2187" i="1"/>
  <c r="N589" i="23"/>
  <c r="E1731" i="1"/>
  <c r="G24" i="1"/>
  <c r="G1620" i="1"/>
  <c r="K62" i="20"/>
  <c r="H1719" i="1"/>
  <c r="C213" i="23"/>
  <c r="M65" i="20"/>
  <c r="G1148" i="1"/>
  <c r="D828" i="23"/>
  <c r="C101" i="21"/>
  <c r="H1217" i="1"/>
  <c r="D488" i="23"/>
  <c r="C886" i="23"/>
  <c r="H885" i="1"/>
  <c r="D619" i="23"/>
  <c r="H1422" i="1"/>
  <c r="N391" i="23"/>
  <c r="H1945" i="1"/>
  <c r="W79" i="21"/>
  <c r="E1645" i="1"/>
  <c r="C172" i="23"/>
  <c r="G1391" i="1"/>
  <c r="G1137" i="1"/>
  <c r="I7" i="20"/>
  <c r="G1690" i="1"/>
  <c r="G854" i="1"/>
  <c r="C115" i="23"/>
  <c r="H1803" i="1"/>
  <c r="G1840" i="1"/>
  <c r="N113" i="23"/>
  <c r="D415" i="23"/>
  <c r="C627" i="23"/>
  <c r="M41" i="20"/>
  <c r="G1583" i="1"/>
  <c r="E2050" i="1"/>
  <c r="H770" i="1"/>
  <c r="C562" i="23"/>
  <c r="O45" i="21"/>
  <c r="N88" i="23"/>
  <c r="E1930" i="1"/>
  <c r="H2006" i="1"/>
  <c r="H1406" i="1"/>
  <c r="G1304" i="1"/>
  <c r="C543" i="23"/>
  <c r="E1463" i="1"/>
  <c r="J86" i="20"/>
  <c r="H665" i="1"/>
  <c r="J93" i="20"/>
  <c r="H788" i="1"/>
  <c r="C262" i="23"/>
  <c r="G613" i="1"/>
  <c r="H843" i="1"/>
  <c r="H1579" i="1"/>
  <c r="E1656" i="1"/>
  <c r="G1597" i="1"/>
  <c r="H2002" i="1"/>
  <c r="H2147" i="1"/>
  <c r="N487" i="23"/>
  <c r="E2128" i="1"/>
  <c r="G446" i="1"/>
  <c r="G2294" i="1"/>
  <c r="L34" i="20"/>
  <c r="O28" i="21"/>
  <c r="N315" i="23"/>
  <c r="N930" i="23"/>
  <c r="D835" i="23"/>
  <c r="G280" i="1"/>
  <c r="N574" i="23"/>
  <c r="H236" i="1"/>
  <c r="E1566" i="1"/>
  <c r="H366" i="1"/>
  <c r="O38" i="21"/>
  <c r="D284" i="23"/>
  <c r="C986" i="23"/>
  <c r="G1321" i="1"/>
  <c r="G2086" i="1"/>
  <c r="K83" i="20"/>
  <c r="C795" i="23"/>
  <c r="H1405" i="1"/>
  <c r="G969" i="1"/>
  <c r="H237" i="1"/>
  <c r="H1320" i="1"/>
  <c r="N596" i="23"/>
  <c r="C118" i="23"/>
  <c r="D654" i="23"/>
  <c r="G661" i="1"/>
  <c r="G1556" i="1"/>
  <c r="L72" i="20"/>
  <c r="C705" i="23"/>
  <c r="D522" i="23"/>
  <c r="H459" i="1"/>
  <c r="D859" i="23"/>
  <c r="G233" i="1"/>
  <c r="H1427" i="1"/>
  <c r="N511" i="23"/>
  <c r="G454" i="1"/>
  <c r="D472" i="23"/>
  <c r="C769" i="23"/>
  <c r="H1360" i="1"/>
  <c r="N603" i="23"/>
  <c r="C619" i="23"/>
  <c r="H1747" i="1"/>
  <c r="G365" i="1"/>
  <c r="G1798" i="1"/>
  <c r="H1238" i="1"/>
  <c r="C857" i="23"/>
  <c r="G474" i="1"/>
  <c r="H496" i="1"/>
  <c r="H1236" i="1"/>
  <c r="G1219" i="1"/>
  <c r="C639" i="23"/>
  <c r="H405" i="1"/>
  <c r="E1932" i="1"/>
  <c r="H2170" i="1"/>
  <c r="G740" i="1"/>
  <c r="G142" i="1"/>
  <c r="J49" i="20"/>
  <c r="D183" i="23"/>
  <c r="C109" i="23"/>
  <c r="C657" i="23"/>
  <c r="H20" i="1"/>
  <c r="D600" i="23"/>
  <c r="C20" i="23"/>
  <c r="H198" i="1"/>
  <c r="H888" i="1"/>
  <c r="D770" i="23"/>
  <c r="G991" i="1"/>
  <c r="G86" i="1"/>
  <c r="G1709" i="1"/>
  <c r="E1532" i="1"/>
  <c r="M48" i="20"/>
  <c r="E1567" i="1"/>
  <c r="E1880" i="1"/>
  <c r="C653" i="23"/>
  <c r="H2030" i="1"/>
  <c r="N582" i="23"/>
  <c r="D191" i="23"/>
  <c r="H433" i="1"/>
  <c r="H304" i="1"/>
  <c r="G27" i="1"/>
  <c r="N295" i="23"/>
  <c r="H834" i="1"/>
  <c r="D413" i="23"/>
  <c r="G239" i="1"/>
  <c r="H24" i="1"/>
  <c r="D209" i="23"/>
  <c r="H171" i="1"/>
  <c r="N358" i="23"/>
  <c r="D738" i="23"/>
  <c r="K16" i="20"/>
  <c r="H1502" i="1"/>
  <c r="G1614" i="1"/>
  <c r="K108" i="20"/>
  <c r="H218" i="1"/>
  <c r="H1220" i="1"/>
  <c r="G1730" i="1"/>
  <c r="H952" i="1"/>
  <c r="N608" i="23"/>
  <c r="O92" i="21"/>
  <c r="G221" i="1"/>
  <c r="G130" i="1"/>
  <c r="G1327" i="1"/>
  <c r="H1938" i="1"/>
  <c r="G414" i="1"/>
  <c r="E1705" i="1"/>
  <c r="H1587" i="1"/>
  <c r="G1472" i="1"/>
  <c r="G1970" i="1"/>
  <c r="H1619" i="1"/>
  <c r="E1827" i="1"/>
  <c r="D287" i="23"/>
  <c r="N240" i="23"/>
  <c r="H638" i="1"/>
  <c r="C4" i="16"/>
  <c r="N744" i="23"/>
  <c r="G282" i="1"/>
  <c r="N106" i="23"/>
  <c r="C603" i="23"/>
  <c r="M44" i="20"/>
  <c r="G2297" i="1"/>
  <c r="H584" i="1"/>
  <c r="G997" i="1"/>
  <c r="G958" i="1"/>
  <c r="D949" i="23"/>
  <c r="N853" i="23"/>
  <c r="G1084" i="1"/>
  <c r="N443" i="23"/>
  <c r="G1856" i="1"/>
  <c r="H1498" i="1"/>
  <c r="D581" i="23"/>
  <c r="H1889" i="1"/>
  <c r="G1505" i="1"/>
  <c r="H646" i="1"/>
  <c r="H1920" i="1"/>
  <c r="G2007" i="1"/>
  <c r="E1718" i="1"/>
  <c r="G371" i="1"/>
  <c r="E1598" i="1"/>
  <c r="H37" i="1"/>
  <c r="G1822" i="1"/>
  <c r="H54" i="1"/>
  <c r="N942" i="23"/>
  <c r="I94" i="20"/>
  <c r="N823" i="23"/>
  <c r="G719" i="1"/>
  <c r="H484" i="1"/>
  <c r="N654" i="23"/>
  <c r="G700" i="1"/>
  <c r="E1555" i="1"/>
  <c r="G1007" i="1"/>
  <c r="D332" i="23"/>
  <c r="D587" i="23"/>
  <c r="G1717" i="1"/>
  <c r="C636" i="23"/>
  <c r="H1066" i="1"/>
  <c r="N926" i="23"/>
  <c r="D213" i="23"/>
  <c r="H1443" i="1"/>
  <c r="G738" i="1"/>
  <c r="N699" i="23"/>
  <c r="H1918" i="1"/>
  <c r="C376" i="23"/>
  <c r="E2133" i="1"/>
  <c r="H365" i="1"/>
  <c r="G795" i="1"/>
  <c r="G2179" i="1"/>
  <c r="H2113" i="1"/>
  <c r="G121" i="1"/>
  <c r="G1658" i="1"/>
  <c r="G1176" i="1"/>
  <c r="N144" i="23"/>
  <c r="D868" i="23"/>
  <c r="C148" i="23"/>
  <c r="G1867" i="1"/>
  <c r="G1570" i="1"/>
  <c r="H105" i="1"/>
  <c r="H2036" i="1"/>
  <c r="H179" i="1"/>
  <c r="E2210" i="1"/>
  <c r="H391" i="1"/>
  <c r="C749" i="23"/>
  <c r="K78" i="20"/>
  <c r="G665" i="1"/>
  <c r="N777" i="23"/>
  <c r="H540" i="1"/>
  <c r="M36" i="20"/>
  <c r="H558" i="1"/>
  <c r="D576" i="23"/>
  <c r="H2037" i="1"/>
  <c r="D83" i="23"/>
  <c r="D36" i="21"/>
  <c r="E2122" i="1"/>
  <c r="G789" i="1"/>
  <c r="H690" i="1"/>
  <c r="G1578" i="1"/>
  <c r="G1933" i="1"/>
  <c r="G1703" i="1"/>
  <c r="H903" i="1"/>
  <c r="H1524" i="1"/>
  <c r="H950" i="1"/>
  <c r="G1510" i="1"/>
  <c r="G1965" i="1"/>
  <c r="G648" i="1"/>
  <c r="D853" i="23"/>
  <c r="D403" i="23"/>
  <c r="G1368" i="1"/>
  <c r="H2125" i="1"/>
  <c r="G67" i="1"/>
  <c r="G813" i="1"/>
  <c r="G1431" i="1"/>
  <c r="M21" i="16"/>
  <c r="D854" i="23"/>
  <c r="E1812" i="1"/>
  <c r="H1286" i="1"/>
  <c r="G1536" i="1"/>
  <c r="C196" i="23"/>
  <c r="H970" i="1"/>
  <c r="D805" i="23"/>
  <c r="E2283" i="1"/>
  <c r="D352" i="23"/>
  <c r="C112" i="23"/>
  <c r="E1841" i="1"/>
  <c r="H39" i="1"/>
  <c r="C147" i="23"/>
  <c r="D408" i="23"/>
  <c r="D82" i="21"/>
  <c r="H1329" i="1"/>
  <c r="N16" i="23"/>
  <c r="H1351" i="1"/>
  <c r="E1604" i="1"/>
  <c r="H1546" i="1"/>
  <c r="H833" i="1"/>
  <c r="C740" i="23"/>
  <c r="N859" i="23"/>
  <c r="G2125" i="1"/>
  <c r="N833" i="23"/>
  <c r="H1107" i="1"/>
  <c r="N103" i="23"/>
  <c r="D136" i="23"/>
  <c r="H1144" i="1"/>
  <c r="E2075" i="1"/>
  <c r="H199" i="1"/>
  <c r="H1704" i="1"/>
  <c r="N9" i="23"/>
  <c r="H2266" i="1"/>
  <c r="G689" i="1"/>
  <c r="G381" i="1"/>
  <c r="I70" i="20"/>
  <c r="N623" i="23"/>
  <c r="L85" i="20"/>
  <c r="G1160" i="1"/>
  <c r="K103" i="20"/>
  <c r="D350" i="23"/>
  <c r="D848" i="23"/>
  <c r="N4" i="16"/>
  <c r="M66" i="20"/>
  <c r="N343" i="23"/>
  <c r="D916" i="23"/>
  <c r="D960" i="23"/>
  <c r="E2009" i="1"/>
  <c r="K73" i="20"/>
  <c r="C757" i="23"/>
  <c r="H138" i="1"/>
  <c r="E1962" i="1"/>
  <c r="G293" i="1"/>
  <c r="E2208" i="1"/>
  <c r="H1937" i="1"/>
  <c r="G904" i="1"/>
  <c r="H1101" i="1"/>
  <c r="G2199" i="1"/>
  <c r="G9" i="1"/>
  <c r="G1538" i="1"/>
  <c r="O47" i="21"/>
  <c r="N517" i="23"/>
  <c r="H775" i="1"/>
  <c r="N89" i="23"/>
  <c r="E1552" i="1"/>
  <c r="E2095" i="1"/>
  <c r="H1143" i="1"/>
  <c r="D923" i="23"/>
  <c r="D40" i="23"/>
  <c r="C594" i="23"/>
  <c r="G319" i="1"/>
  <c r="D135" i="23"/>
  <c r="D161" i="23"/>
  <c r="C221" i="23"/>
  <c r="C29" i="23"/>
  <c r="C191" i="23"/>
  <c r="H1792" i="1"/>
  <c r="G883" i="1"/>
  <c r="H966" i="1"/>
  <c r="H1477" i="1"/>
  <c r="H705" i="1"/>
  <c r="C258" i="23"/>
  <c r="E2292" i="1"/>
  <c r="D387" i="23"/>
  <c r="L50" i="20"/>
  <c r="G1833" i="1"/>
  <c r="H2098" i="1"/>
  <c r="C25" i="23"/>
  <c r="G2068" i="1"/>
  <c r="E1727" i="1"/>
  <c r="G896" i="1"/>
  <c r="H1671" i="1"/>
  <c r="H596" i="1"/>
  <c r="K18" i="20"/>
  <c r="N67" i="23"/>
  <c r="H2094" i="1"/>
  <c r="W98" i="21"/>
  <c r="H2308" i="1"/>
  <c r="N584" i="23"/>
  <c r="H251" i="1"/>
  <c r="G715" i="1"/>
  <c r="H1492" i="1"/>
  <c r="C167" i="23"/>
  <c r="E1944" i="1"/>
  <c r="C19" i="16"/>
  <c r="D232" i="23"/>
  <c r="N187" i="23"/>
  <c r="C181" i="23"/>
  <c r="G1539" i="1"/>
  <c r="E1813" i="1"/>
  <c r="E1470" i="1"/>
  <c r="C334" i="23"/>
  <c r="H608" i="1"/>
  <c r="H1156" i="1"/>
  <c r="H1424" i="1"/>
  <c r="G1227" i="1"/>
  <c r="C476" i="23"/>
  <c r="H1123" i="1"/>
  <c r="G609" i="1"/>
  <c r="G554" i="1"/>
  <c r="G225" i="1"/>
  <c r="G1193" i="1"/>
  <c r="E1781" i="1"/>
  <c r="I68" i="20"/>
  <c r="I71" i="20"/>
  <c r="C875" i="23"/>
  <c r="C772" i="23"/>
  <c r="E2296" i="1"/>
  <c r="G599" i="1"/>
  <c r="F20" i="16"/>
  <c r="G1058" i="1"/>
  <c r="E2262" i="1"/>
  <c r="E8" i="16"/>
  <c r="W87" i="21"/>
  <c r="G845" i="1"/>
  <c r="G1734" i="1"/>
  <c r="G1110" i="1"/>
  <c r="D260" i="23"/>
  <c r="H963" i="1"/>
  <c r="H925" i="1"/>
  <c r="G1382" i="1"/>
  <c r="H1865" i="1"/>
  <c r="C529" i="23"/>
  <c r="H1461" i="1"/>
  <c r="C69" i="21"/>
  <c r="H1664" i="1"/>
  <c r="O25" i="21"/>
  <c r="E1893" i="1"/>
  <c r="G270" i="1"/>
  <c r="D153" i="23"/>
  <c r="H1548" i="1"/>
  <c r="G2236" i="1"/>
  <c r="E2003" i="1"/>
  <c r="G1116" i="1"/>
  <c r="I96" i="20"/>
  <c r="M103" i="20"/>
  <c r="D94" i="23"/>
  <c r="D338" i="23"/>
  <c r="I32" i="20"/>
  <c r="G704" i="1"/>
  <c r="E1897" i="1"/>
  <c r="D94" i="21"/>
  <c r="N866" i="23"/>
  <c r="C788" i="23"/>
  <c r="H873" i="1"/>
  <c r="G1552" i="1"/>
  <c r="E1699" i="1"/>
  <c r="D571" i="23"/>
  <c r="L7" i="20"/>
  <c r="E1756" i="1"/>
  <c r="D732" i="23"/>
  <c r="G1143" i="1"/>
  <c r="G670" i="1"/>
  <c r="D504" i="23"/>
  <c r="N276" i="23"/>
  <c r="C444" i="23"/>
  <c r="H1021" i="1"/>
  <c r="H1307" i="1"/>
  <c r="G900" i="1"/>
  <c r="N14" i="23"/>
  <c r="D549" i="23"/>
  <c r="C609" i="23"/>
  <c r="G957" i="1"/>
  <c r="G903" i="1"/>
  <c r="D379" i="23"/>
  <c r="C943" i="23"/>
  <c r="N210" i="23"/>
  <c r="C959" i="23"/>
  <c r="O41" i="21"/>
  <c r="G1958" i="1"/>
  <c r="N928" i="23"/>
  <c r="C458" i="23"/>
  <c r="H1817" i="1"/>
  <c r="H173" i="1"/>
  <c r="A4" i="16"/>
  <c r="W12" i="21"/>
  <c r="N271" i="23"/>
  <c r="C16" i="23"/>
  <c r="H1905" i="1"/>
  <c r="H2222" i="1"/>
  <c r="N834" i="23"/>
  <c r="C487" i="23"/>
  <c r="K89" i="20"/>
  <c r="H2236" i="1"/>
  <c r="D645" i="23"/>
  <c r="E1519" i="1"/>
  <c r="C230" i="23"/>
  <c r="N918" i="23"/>
  <c r="G2245" i="1"/>
  <c r="D40" i="21"/>
  <c r="C631" i="23"/>
  <c r="E2044" i="1"/>
  <c r="G769" i="1"/>
  <c r="H755" i="1"/>
  <c r="H1761" i="1"/>
  <c r="H1044" i="1"/>
  <c r="E1954" i="1"/>
  <c r="G918" i="1"/>
  <c r="G2296" i="1"/>
  <c r="H2029" i="1"/>
  <c r="H2085" i="1"/>
  <c r="G2097" i="1"/>
  <c r="G102" i="1"/>
  <c r="G1485" i="1"/>
  <c r="G370" i="1"/>
  <c r="N22" i="23"/>
  <c r="H448" i="1"/>
  <c r="G1000" i="1"/>
  <c r="G133" i="1"/>
  <c r="N13" i="16"/>
  <c r="H382" i="1"/>
  <c r="N15" i="23"/>
  <c r="H675" i="1"/>
  <c r="G2263" i="1"/>
  <c r="L56" i="20"/>
  <c r="H2016" i="1"/>
  <c r="C425" i="23"/>
  <c r="H1193" i="1"/>
  <c r="H1336" i="1"/>
  <c r="N714" i="23"/>
  <c r="N10" i="23"/>
  <c r="G939" i="1"/>
  <c r="G1881" i="1"/>
  <c r="C263" i="23"/>
  <c r="G1629" i="1"/>
  <c r="H765" i="1"/>
  <c r="N75" i="23"/>
  <c r="D419" i="23"/>
  <c r="C511" i="23"/>
  <c r="N585" i="23"/>
  <c r="G793" i="1"/>
  <c r="D47" i="23"/>
  <c r="G1372" i="1"/>
  <c r="E1814" i="1"/>
  <c r="G1675" i="1"/>
  <c r="G1804" i="1"/>
  <c r="D288" i="23"/>
  <c r="H1612" i="1"/>
  <c r="G552" i="1"/>
  <c r="D19" i="23"/>
  <c r="G1042" i="1"/>
  <c r="E1951" i="1"/>
  <c r="N868" i="23"/>
  <c r="G1747" i="1"/>
  <c r="E1402" i="1"/>
  <c r="H1265" i="1"/>
  <c r="E2033" i="1"/>
  <c r="N265" i="23"/>
  <c r="G1972" i="1"/>
  <c r="C954" i="23"/>
  <c r="N826" i="23"/>
  <c r="H935" i="1"/>
  <c r="N694" i="23"/>
  <c r="H2301" i="1"/>
  <c r="M18" i="20"/>
  <c r="H402" i="1"/>
  <c r="G26" i="16"/>
  <c r="O65" i="21"/>
  <c r="H476" i="1"/>
  <c r="G1618" i="1"/>
  <c r="W83" i="21"/>
  <c r="H1558" i="1"/>
  <c r="N884" i="23"/>
  <c r="G184" i="1"/>
  <c r="N464" i="23"/>
  <c r="H1702" i="1"/>
  <c r="O9" i="21"/>
  <c r="G1226" i="1"/>
  <c r="G1215" i="1"/>
  <c r="H1334" i="1"/>
  <c r="C370" i="23"/>
  <c r="G826" i="1"/>
  <c r="H429" i="1"/>
  <c r="D68" i="23"/>
  <c r="G777" i="1"/>
  <c r="C423" i="23"/>
  <c r="H980" i="1"/>
  <c r="H1849" i="1"/>
  <c r="H1927" i="1"/>
  <c r="G347" i="1"/>
  <c r="H1363" i="1"/>
  <c r="G1713" i="1"/>
  <c r="H2280" i="1"/>
  <c r="E1864" i="1"/>
  <c r="H1990" i="1"/>
  <c r="H799" i="1"/>
  <c r="C599" i="23"/>
  <c r="D820" i="23"/>
  <c r="G16" i="1"/>
  <c r="N634" i="23"/>
  <c r="C571" i="23"/>
  <c r="D186" i="23"/>
  <c r="C626" i="23"/>
  <c r="I67" i="20"/>
  <c r="E1677" i="1"/>
  <c r="N489" i="23"/>
  <c r="G668" i="1"/>
  <c r="H604" i="1"/>
  <c r="N553" i="23"/>
  <c r="C322" i="23"/>
  <c r="H1215" i="1"/>
  <c r="G69" i="1"/>
  <c r="N389" i="23"/>
  <c r="D499" i="23"/>
  <c r="G1695" i="1"/>
  <c r="G1548" i="1"/>
  <c r="C695" i="23"/>
  <c r="J16" i="20"/>
  <c r="G906" i="1"/>
  <c r="D280" i="23"/>
  <c r="D33" i="23"/>
  <c r="N881" i="23"/>
  <c r="H1085" i="1"/>
  <c r="M93" i="20"/>
  <c r="G2312" i="1"/>
  <c r="G2046" i="1"/>
  <c r="C294" i="23"/>
  <c r="W57" i="21"/>
  <c r="G2073" i="1"/>
  <c r="E1746" i="1"/>
  <c r="D177" i="23"/>
  <c r="E1736" i="1"/>
  <c r="H795" i="1"/>
  <c r="H1598" i="1"/>
  <c r="J13" i="20"/>
  <c r="G158" i="1"/>
  <c r="E2150" i="1"/>
  <c r="G1076" i="1"/>
  <c r="H1172" i="1"/>
  <c r="C656" i="23"/>
  <c r="I97" i="20"/>
  <c r="G292" i="1"/>
  <c r="G372" i="1"/>
  <c r="D51" i="21"/>
  <c r="G1186" i="1"/>
  <c r="H914" i="1"/>
  <c r="H938" i="1"/>
  <c r="D402" i="23"/>
  <c r="G574" i="1"/>
  <c r="H818" i="1"/>
  <c r="E1791" i="1"/>
  <c r="C99" i="23"/>
  <c r="D275" i="23"/>
  <c r="G603" i="1"/>
  <c r="J50" i="20"/>
  <c r="C835" i="23"/>
  <c r="N410" i="23"/>
  <c r="G1993" i="1"/>
  <c r="H1031" i="1"/>
  <c r="E1668" i="1"/>
  <c r="H350" i="1"/>
  <c r="H1045" i="1"/>
  <c r="E1562" i="1"/>
  <c r="G641" i="1"/>
  <c r="D684" i="23"/>
  <c r="H928" i="1"/>
  <c r="D561" i="23"/>
  <c r="G189" i="1"/>
  <c r="N385" i="23"/>
  <c r="N448" i="23"/>
  <c r="D921" i="23"/>
  <c r="G1455" i="1"/>
  <c r="N507" i="23"/>
  <c r="C176" i="23"/>
  <c r="G8" i="16"/>
  <c r="H2054" i="1"/>
  <c r="G1216" i="1"/>
  <c r="D529" i="23"/>
  <c r="E1973" i="1"/>
  <c r="D250" i="23"/>
  <c r="E1750" i="1"/>
  <c r="H860" i="1"/>
  <c r="C448" i="23"/>
  <c r="G1101" i="1"/>
  <c r="G1386" i="1"/>
  <c r="M26" i="16"/>
  <c r="D59" i="23"/>
  <c r="G323" i="1"/>
  <c r="H283" i="1"/>
  <c r="E1761" i="1"/>
  <c r="J17" i="20"/>
  <c r="G97" i="1"/>
  <c r="C650" i="23"/>
  <c r="N275" i="23"/>
  <c r="G109" i="1"/>
  <c r="H1273" i="1"/>
  <c r="D56" i="21"/>
  <c r="H389" i="1"/>
  <c r="N338" i="23"/>
  <c r="D439" i="23"/>
  <c r="D928" i="23"/>
  <c r="D279" i="23"/>
  <c r="D708" i="23"/>
  <c r="E1466" i="1"/>
  <c r="H2107" i="1"/>
  <c r="C430" i="23"/>
  <c r="D552" i="23"/>
  <c r="H409" i="1"/>
  <c r="E1412" i="1"/>
  <c r="G39" i="1"/>
  <c r="D11" i="21"/>
  <c r="M75" i="20"/>
  <c r="D951" i="23"/>
  <c r="H1912" i="1"/>
  <c r="H1801" i="1"/>
  <c r="E1739" i="1"/>
  <c r="G814" i="1"/>
  <c r="D157" i="23"/>
  <c r="H460" i="1"/>
  <c r="C201" i="23"/>
  <c r="N877" i="23"/>
  <c r="O18" i="21"/>
  <c r="H700" i="1"/>
  <c r="J46" i="20"/>
  <c r="H1010" i="1"/>
  <c r="H436" i="1"/>
  <c r="G499" i="1"/>
  <c r="C45" i="23"/>
  <c r="O16" i="21"/>
  <c r="H331" i="1"/>
  <c r="H1723" i="1"/>
  <c r="H879" i="1"/>
  <c r="H2172" i="1"/>
  <c r="G1486" i="1"/>
  <c r="G926" i="1"/>
  <c r="E2153" i="1"/>
  <c r="M101" i="20"/>
  <c r="H1840" i="1"/>
  <c r="L61" i="20"/>
  <c r="G1760" i="1"/>
  <c r="C335" i="23"/>
  <c r="N783" i="23"/>
  <c r="H1611" i="1"/>
  <c r="N966" i="23"/>
  <c r="D231" i="23"/>
  <c r="E2002" i="1"/>
  <c r="N700" i="23"/>
  <c r="G359" i="1"/>
  <c r="G1738" i="1"/>
  <c r="C69" i="23"/>
  <c r="D26" i="23"/>
  <c r="E1831" i="1"/>
  <c r="G1335" i="1"/>
  <c r="H258" i="1"/>
  <c r="H1093" i="1"/>
  <c r="H401" i="1"/>
  <c r="G1910" i="1"/>
  <c r="H1951" i="1"/>
  <c r="H2084" i="1"/>
  <c r="I85" i="20"/>
  <c r="N751" i="23"/>
  <c r="C63" i="21"/>
  <c r="C91" i="23"/>
  <c r="C403" i="23"/>
  <c r="G217" i="1"/>
  <c r="H190" i="1"/>
  <c r="H408" i="1"/>
  <c r="N709" i="23"/>
  <c r="H2161" i="1"/>
  <c r="C925" i="23"/>
  <c r="E2201" i="1"/>
  <c r="G1908" i="1"/>
  <c r="H72" i="1"/>
  <c r="E1980" i="1"/>
  <c r="H911" i="1"/>
  <c r="N304" i="23"/>
  <c r="D745" i="23"/>
  <c r="K17" i="20"/>
  <c r="W51" i="21"/>
  <c r="N139" i="23"/>
  <c r="H301" i="1"/>
  <c r="C747" i="23"/>
  <c r="G1589" i="1"/>
  <c r="G95" i="1"/>
  <c r="K14" i="20"/>
  <c r="E1624" i="1"/>
  <c r="H387" i="1"/>
  <c r="G1605" i="1"/>
  <c r="E2158" i="1"/>
  <c r="D298" i="23"/>
  <c r="D267" i="23"/>
  <c r="N256" i="23"/>
  <c r="H1717" i="1"/>
  <c r="G1337" i="1"/>
  <c r="H2100" i="1"/>
  <c r="N66" i="23"/>
  <c r="N298" i="23"/>
  <c r="H568" i="1"/>
  <c r="N557" i="23"/>
  <c r="N731" i="23"/>
  <c r="O73" i="21"/>
  <c r="H1274" i="1"/>
  <c r="D599" i="23"/>
  <c r="H576" i="1"/>
  <c r="H512" i="1"/>
  <c r="D48" i="21"/>
  <c r="H1798" i="1"/>
  <c r="G2075" i="1"/>
  <c r="H2276" i="1"/>
  <c r="L73" i="20"/>
  <c r="H296" i="1"/>
  <c r="C352" i="23"/>
  <c r="D154" i="23"/>
  <c r="C154" i="23"/>
  <c r="E2053" i="1"/>
  <c r="E2286" i="1"/>
  <c r="G234" i="1"/>
  <c r="E1965" i="1"/>
  <c r="I60" i="20"/>
  <c r="C353" i="23"/>
  <c r="D875" i="23"/>
  <c r="N354" i="23"/>
  <c r="E1931" i="1"/>
  <c r="N373" i="23"/>
  <c r="D67" i="23"/>
  <c r="C81" i="23"/>
  <c r="E17" i="16"/>
  <c r="G183" i="1"/>
  <c r="N287" i="23"/>
  <c r="H889" i="1"/>
  <c r="M51" i="20"/>
  <c r="E2006" i="1"/>
  <c r="C14" i="23"/>
  <c r="E2287" i="1"/>
  <c r="E1490" i="1"/>
  <c r="G2136" i="1"/>
  <c r="N480" i="23"/>
  <c r="H386" i="1"/>
  <c r="C919" i="23"/>
  <c r="D917" i="23"/>
  <c r="H2043" i="1"/>
  <c r="W64" i="21"/>
  <c r="D22" i="23"/>
  <c r="D378" i="23"/>
  <c r="C966" i="23"/>
  <c r="G1012" i="1"/>
  <c r="N58" i="23"/>
  <c r="C589" i="23"/>
  <c r="N945" i="23"/>
  <c r="G1367" i="1"/>
  <c r="G2286" i="1"/>
  <c r="C916" i="23"/>
  <c r="D16" i="23"/>
  <c r="E1834" i="1"/>
  <c r="C556" i="23"/>
  <c r="D629" i="23"/>
  <c r="H457" i="1"/>
  <c r="F16" i="16"/>
  <c r="H1585" i="1"/>
  <c r="D577" i="23"/>
  <c r="D347" i="23"/>
  <c r="H308" i="1"/>
  <c r="G720" i="1"/>
  <c r="G952" i="1"/>
  <c r="G1898" i="1"/>
  <c r="G618" i="1"/>
  <c r="D13" i="23"/>
  <c r="D936" i="23"/>
  <c r="N909" i="23"/>
  <c r="N707" i="23"/>
  <c r="G1162" i="1"/>
  <c r="K80" i="20"/>
  <c r="C988" i="23"/>
  <c r="H869" i="1"/>
  <c r="G1352" i="1"/>
  <c r="H1288" i="1"/>
  <c r="G1869" i="1"/>
  <c r="G337" i="1"/>
  <c r="H1578" i="1"/>
  <c r="G513" i="1"/>
  <c r="H1447" i="1"/>
  <c r="G1202" i="1"/>
  <c r="N381" i="23"/>
  <c r="C317" i="23"/>
  <c r="D887" i="23"/>
  <c r="C767" i="23"/>
  <c r="C882" i="23"/>
  <c r="J18" i="20"/>
  <c r="C766" i="23"/>
  <c r="G46" i="1"/>
  <c r="N516" i="23"/>
  <c r="D442" i="23"/>
  <c r="F18" i="16"/>
  <c r="N171" i="23"/>
  <c r="C58" i="23"/>
  <c r="H314" i="1"/>
  <c r="N971" i="23"/>
  <c r="C601" i="23"/>
  <c r="H1411" i="1"/>
  <c r="E2164" i="1"/>
  <c r="E1575" i="1"/>
  <c r="L16" i="20"/>
  <c r="D300" i="23"/>
  <c r="D833" i="23"/>
  <c r="G721" i="1"/>
  <c r="N26" i="16"/>
  <c r="W10" i="21"/>
  <c r="H419" i="1"/>
  <c r="G456" i="1"/>
  <c r="H719" i="1"/>
  <c r="H456" i="1"/>
  <c r="E25" i="16"/>
  <c r="I20" i="16"/>
  <c r="H592" i="1"/>
  <c r="G965" i="1"/>
  <c r="H1673" i="1"/>
  <c r="G2226" i="1"/>
  <c r="G1849" i="1"/>
  <c r="G2021" i="1"/>
  <c r="D203" i="23"/>
  <c r="D365" i="23"/>
  <c r="C153" i="23"/>
  <c r="H1262" i="1"/>
  <c r="G967" i="1"/>
  <c r="C860" i="23"/>
  <c r="E1825" i="1"/>
  <c r="N949" i="23"/>
  <c r="G534" i="1"/>
  <c r="E1422" i="1"/>
  <c r="G2228" i="1"/>
  <c r="G1595" i="1"/>
  <c r="H934" i="1"/>
  <c r="E1904" i="1"/>
  <c r="N531" i="23"/>
  <c r="H85" i="1"/>
  <c r="D808" i="23"/>
  <c r="C548" i="23"/>
  <c r="N433" i="23"/>
  <c r="H159" i="1"/>
  <c r="G1916" i="1"/>
  <c r="E1586" i="1"/>
  <c r="E1612" i="1"/>
  <c r="H846" i="1"/>
  <c r="K99" i="20"/>
  <c r="C821" i="23"/>
  <c r="H764" i="1"/>
  <c r="H1501" i="1"/>
  <c r="G364" i="1"/>
  <c r="H1557" i="1"/>
  <c r="D608" i="23"/>
  <c r="C293" i="23"/>
  <c r="C282" i="23"/>
  <c r="G2304" i="1"/>
  <c r="C863" i="23"/>
  <c r="G1158" i="1"/>
  <c r="G437" i="1"/>
  <c r="C73" i="21"/>
  <c r="D534" i="23"/>
  <c r="G26" i="1"/>
  <c r="N893" i="23"/>
  <c r="N486" i="23"/>
  <c r="N347" i="23"/>
  <c r="G589" i="1"/>
  <c r="N102" i="23"/>
  <c r="H1680" i="1"/>
  <c r="C245" i="23"/>
  <c r="H1829" i="1"/>
  <c r="C94" i="21"/>
  <c r="C266" i="23"/>
  <c r="A22" i="16"/>
  <c r="H1777" i="1"/>
  <c r="D74" i="23"/>
  <c r="C894" i="23"/>
  <c r="N947" i="23"/>
  <c r="E2280" i="1"/>
  <c r="G2118" i="1"/>
  <c r="G2092" i="1"/>
  <c r="D282" i="23"/>
  <c r="J41" i="20"/>
  <c r="H1478" i="1"/>
  <c r="O96" i="21"/>
  <c r="G623" i="1"/>
  <c r="K93" i="20"/>
  <c r="G253" i="1"/>
  <c r="N468" i="23"/>
  <c r="H2258" i="1"/>
  <c r="H497" i="1"/>
  <c r="H344" i="1"/>
  <c r="C59" i="21"/>
  <c r="J90" i="20"/>
  <c r="G1003" i="1"/>
  <c r="M83" i="20"/>
  <c r="C463" i="23"/>
  <c r="E2289" i="1"/>
  <c r="H2127" i="1"/>
  <c r="H1349" i="1"/>
  <c r="C119" i="23"/>
  <c r="D712" i="23"/>
  <c r="O75" i="21"/>
  <c r="D890" i="23"/>
  <c r="D58" i="21"/>
  <c r="N817" i="23"/>
  <c r="G1404" i="1"/>
  <c r="G568" i="1"/>
  <c r="N581" i="23"/>
  <c r="G1174" i="1"/>
  <c r="L90" i="20"/>
  <c r="C285" i="23"/>
  <c r="G1724" i="1"/>
  <c r="E2084" i="1"/>
  <c r="D640" i="23"/>
  <c r="C471" i="23"/>
  <c r="H971" i="1"/>
  <c r="G2142" i="1"/>
  <c r="H100" i="1"/>
  <c r="G12" i="1"/>
  <c r="H1516" i="1"/>
  <c r="G2224" i="1"/>
  <c r="N839" i="23"/>
  <c r="K56" i="20"/>
  <c r="G1885" i="1"/>
  <c r="N757" i="23"/>
  <c r="N979" i="23"/>
  <c r="G1743" i="1"/>
  <c r="D407" i="23"/>
  <c r="H84" i="1"/>
  <c r="G1400" i="1"/>
  <c r="N639" i="23"/>
  <c r="C427" i="23"/>
  <c r="I95" i="20"/>
  <c r="H1713" i="1"/>
  <c r="D476" i="23"/>
  <c r="H2233" i="1"/>
  <c r="C701" i="23"/>
  <c r="N194" i="23"/>
  <c r="E1890" i="1"/>
  <c r="G2098" i="1"/>
  <c r="N141" i="23"/>
  <c r="W58" i="21"/>
  <c r="H2314" i="1"/>
  <c r="H1086" i="1"/>
  <c r="C979" i="23"/>
  <c r="L108" i="20"/>
  <c r="N7" i="16"/>
  <c r="N225" i="23"/>
  <c r="N93" i="23"/>
  <c r="C947" i="23"/>
  <c r="N285" i="23"/>
  <c r="N467" i="23"/>
  <c r="H65" i="1"/>
  <c r="H589" i="1"/>
  <c r="E2037" i="1"/>
  <c r="H941" i="1"/>
  <c r="D962" i="23"/>
  <c r="E1868" i="1"/>
  <c r="E2279" i="1"/>
  <c r="E1698" i="1"/>
  <c r="H291" i="1"/>
  <c r="H961" i="1"/>
  <c r="E1654" i="1"/>
  <c r="G2168" i="1"/>
  <c r="C289" i="23"/>
  <c r="C706" i="23"/>
  <c r="H1526" i="1"/>
  <c r="E1741" i="1"/>
  <c r="D501" i="23"/>
  <c r="K34" i="20"/>
  <c r="C70" i="21"/>
  <c r="G98" i="1"/>
  <c r="D965" i="23"/>
  <c r="H611" i="1"/>
  <c r="N182" i="23"/>
  <c r="M15" i="20"/>
  <c r="O11" i="21"/>
  <c r="N236" i="23"/>
  <c r="N846" i="23"/>
  <c r="G57" i="1"/>
  <c r="C859" i="23"/>
  <c r="E1992" i="1"/>
  <c r="D355" i="23"/>
  <c r="N594" i="23"/>
  <c r="G2039" i="1"/>
  <c r="D626" i="23"/>
  <c r="D562" i="23"/>
  <c r="L51" i="20"/>
  <c r="G942" i="1"/>
  <c r="H1082" i="1"/>
  <c r="G1020" i="1"/>
  <c r="H1317" i="1"/>
  <c r="G1112" i="1"/>
  <c r="E2143" i="1"/>
  <c r="N384" i="23"/>
  <c r="E1995" i="1"/>
  <c r="C854" i="23"/>
  <c r="D881" i="23"/>
  <c r="D460" i="23"/>
  <c r="G336" i="1"/>
  <c r="D36" i="23"/>
  <c r="H1914" i="1"/>
  <c r="H1746" i="1"/>
  <c r="A13" i="16"/>
  <c r="G275" i="1"/>
  <c r="N193" i="23"/>
  <c r="C509" i="23"/>
  <c r="D665" i="23"/>
  <c r="C216" i="23"/>
  <c r="H25" i="1"/>
  <c r="N154" i="23"/>
  <c r="H944" i="1"/>
  <c r="N512" i="23"/>
  <c r="H1732" i="1"/>
  <c r="E1592" i="1"/>
  <c r="D541" i="23"/>
  <c r="C85" i="23"/>
  <c r="H2168" i="1"/>
  <c r="I15" i="16"/>
  <c r="N52" i="23"/>
  <c r="E1423" i="1"/>
  <c r="E1571" i="1"/>
  <c r="H323" i="1"/>
  <c r="K112" i="20"/>
  <c r="G1915" i="1"/>
  <c r="N497" i="23"/>
  <c r="C35" i="21"/>
  <c r="H1602" i="1"/>
  <c r="D668" i="23"/>
  <c r="N390" i="23"/>
  <c r="N158" i="23"/>
  <c r="E2268" i="1"/>
  <c r="D597" i="23"/>
  <c r="D119" i="23"/>
  <c r="D653" i="23"/>
  <c r="C739" i="23"/>
  <c r="G1524" i="1"/>
  <c r="N671" i="23"/>
  <c r="N133" i="23"/>
  <c r="L99" i="20"/>
  <c r="D49" i="21"/>
  <c r="B7" i="16"/>
  <c r="N242" i="23"/>
  <c r="N465" i="23"/>
  <c r="H633" i="1"/>
  <c r="O34" i="21"/>
  <c r="N564" i="23"/>
  <c r="C396" i="23"/>
  <c r="H1940" i="1"/>
  <c r="H4" i="16"/>
  <c r="C204" i="23"/>
  <c r="W73" i="21"/>
  <c r="H1293" i="1"/>
  <c r="G885" i="1"/>
  <c r="D685" i="23"/>
  <c r="D23" i="23"/>
  <c r="H1171" i="1"/>
  <c r="H38" i="1"/>
  <c r="C581" i="23"/>
  <c r="K37" i="20"/>
  <c r="G249" i="1"/>
  <c r="O60" i="21"/>
  <c r="G1432" i="1"/>
  <c r="H2041" i="1"/>
  <c r="H999" i="1"/>
  <c r="H1941" i="1"/>
  <c r="C93" i="21"/>
  <c r="N593" i="23"/>
  <c r="G1902" i="1"/>
  <c r="H2219" i="1"/>
  <c r="D60" i="23"/>
  <c r="C965" i="23"/>
  <c r="G1374" i="1"/>
  <c r="G409" i="1"/>
  <c r="H492" i="1"/>
  <c r="E2145" i="1"/>
  <c r="H277" i="1"/>
  <c r="G1388" i="1"/>
  <c r="H1318" i="1"/>
  <c r="C618" i="23"/>
  <c r="D526" i="23"/>
  <c r="N666" i="23"/>
  <c r="D73" i="21"/>
  <c r="E2259" i="1"/>
  <c r="D500" i="23"/>
  <c r="G20" i="16"/>
  <c r="G1014" i="1"/>
  <c r="C130" i="23"/>
  <c r="L101" i="20"/>
  <c r="G1771" i="1"/>
  <c r="L111" i="20"/>
  <c r="G1878" i="1"/>
  <c r="O19" i="21"/>
  <c r="H299" i="1"/>
  <c r="G402" i="1"/>
  <c r="M6" i="16"/>
  <c r="C672" i="23"/>
  <c r="K111" i="20"/>
  <c r="H2061" i="1"/>
  <c r="C95" i="21"/>
  <c r="G1820" i="1"/>
  <c r="G24" i="16"/>
  <c r="H1467" i="1"/>
  <c r="H1151" i="1"/>
  <c r="C803" i="23"/>
  <c r="D77" i="23"/>
  <c r="D556" i="23"/>
  <c r="G1083" i="1"/>
  <c r="C877" i="23"/>
  <c r="K12" i="20"/>
  <c r="H757" i="1"/>
  <c r="N470" i="23"/>
  <c r="G511" i="1"/>
  <c r="D896" i="23"/>
  <c r="D270" i="23"/>
  <c r="N515" i="23"/>
  <c r="G566" i="1"/>
  <c r="E1719" i="1"/>
  <c r="G1759" i="1"/>
  <c r="H1148" i="1"/>
  <c r="C456" i="23"/>
  <c r="E2187" i="1"/>
  <c r="H1508" i="1"/>
  <c r="G54" i="1"/>
  <c r="G1314" i="1"/>
  <c r="C628" i="23"/>
  <c r="C472" i="23"/>
  <c r="H1823" i="1"/>
  <c r="E1414" i="1"/>
  <c r="C19" i="21"/>
  <c r="G2306" i="1"/>
  <c r="N923" i="23"/>
  <c r="H968" i="1"/>
  <c r="D320" i="23"/>
  <c r="N808" i="23"/>
  <c r="C21" i="21"/>
  <c r="N579" i="23"/>
  <c r="D601" i="23"/>
  <c r="G283" i="1"/>
  <c r="C906" i="23"/>
  <c r="F14" i="16"/>
  <c r="D272" i="23"/>
  <c r="J64" i="20"/>
  <c r="N501" i="23"/>
  <c r="L66" i="20"/>
  <c r="C26" i="23"/>
  <c r="N142" i="23"/>
  <c r="G1467" i="1"/>
  <c r="D116" i="23"/>
  <c r="C838" i="23"/>
  <c r="C893" i="23"/>
  <c r="H1825" i="1"/>
  <c r="G2162" i="1"/>
  <c r="G1744" i="1"/>
  <c r="H1295" i="1"/>
  <c r="E2203" i="1"/>
  <c r="G2218" i="1"/>
  <c r="H193" i="1"/>
  <c r="G1725" i="1"/>
  <c r="J30" i="20"/>
  <c r="N209" i="23"/>
  <c r="H1970" i="1"/>
  <c r="G1735" i="1"/>
  <c r="E1660" i="1"/>
  <c r="E1652" i="1"/>
  <c r="E1921" i="1"/>
  <c r="H1451" i="1"/>
  <c r="G1609" i="1"/>
  <c r="H20" i="16"/>
  <c r="E1613" i="1"/>
  <c r="G429" i="1"/>
  <c r="N378" i="23"/>
  <c r="H507" i="1"/>
  <c r="C566" i="23"/>
  <c r="G1206" i="1"/>
  <c r="E2020" i="1"/>
  <c r="E2093" i="1"/>
  <c r="A20" i="16"/>
  <c r="C53" i="21"/>
  <c r="C145" i="23"/>
  <c r="N562" i="23"/>
  <c r="G108" i="1"/>
  <c r="N905" i="23"/>
  <c r="H1000" i="1"/>
  <c r="H562" i="1"/>
  <c r="E1457" i="1"/>
  <c r="C11" i="23"/>
  <c r="G460" i="1"/>
  <c r="E1939" i="1"/>
  <c r="I88" i="20"/>
  <c r="G1904" i="1"/>
  <c r="C738" i="23"/>
  <c r="G2025" i="1"/>
  <c r="G754" i="1"/>
  <c r="I43" i="20"/>
  <c r="H959" i="1"/>
  <c r="N726" i="23"/>
  <c r="N836" i="23"/>
  <c r="H1495" i="1"/>
  <c r="G1187" i="1"/>
  <c r="G679" i="1"/>
  <c r="H2119" i="1"/>
  <c r="D914" i="23"/>
  <c r="N698" i="23"/>
  <c r="D195" i="23"/>
  <c r="G659" i="1"/>
  <c r="O55" i="21"/>
  <c r="E1803" i="1"/>
  <c r="H513" i="1"/>
  <c r="N333" i="23"/>
  <c r="K21" i="20"/>
  <c r="N29" i="23"/>
  <c r="D878" i="23"/>
  <c r="L68" i="20"/>
  <c r="N445" i="23"/>
  <c r="G2164" i="1"/>
  <c r="N913" i="23"/>
  <c r="D95" i="21"/>
  <c r="C879" i="23"/>
  <c r="E1929" i="1"/>
  <c r="G15" i="1"/>
  <c r="H52" i="1"/>
  <c r="M104" i="20"/>
  <c r="C23" i="21"/>
  <c r="N876" i="23"/>
  <c r="N322" i="23"/>
  <c r="F11" i="16"/>
  <c r="C398" i="23"/>
  <c r="G941" i="1"/>
  <c r="H615" i="1"/>
  <c r="L47" i="20"/>
  <c r="C187" i="23"/>
  <c r="G14" i="16"/>
  <c r="N132" i="23"/>
  <c r="H1052" i="1"/>
  <c r="H708" i="1"/>
  <c r="G397" i="1"/>
  <c r="H2180" i="1"/>
  <c r="G522" i="1"/>
  <c r="H1815" i="1"/>
  <c r="G1827" i="1"/>
  <c r="N24" i="23"/>
  <c r="G2307" i="1"/>
  <c r="K98" i="20"/>
  <c r="G827" i="1"/>
  <c r="H1333" i="1"/>
  <c r="C693" i="23"/>
  <c r="G1256" i="1"/>
  <c r="C256" i="23"/>
  <c r="E1843" i="1"/>
  <c r="I19" i="20"/>
  <c r="H1772" i="1"/>
  <c r="D479" i="23"/>
  <c r="H1160" i="1"/>
  <c r="N943" i="23"/>
  <c r="N161" i="23"/>
  <c r="D819" i="23"/>
  <c r="E1990" i="1"/>
  <c r="E2046" i="1"/>
  <c r="H787" i="1"/>
  <c r="N807" i="23"/>
  <c r="N856" i="23"/>
  <c r="I78" i="20"/>
  <c r="N332" i="23"/>
  <c r="D952" i="23"/>
  <c r="E6" i="16"/>
  <c r="C299" i="23"/>
  <c r="G2055" i="1"/>
  <c r="D27" i="21"/>
  <c r="G975" i="1"/>
  <c r="G2223" i="1"/>
  <c r="G197" i="1"/>
  <c r="G1339" i="1"/>
  <c r="H1637" i="1"/>
  <c r="H1758" i="1"/>
  <c r="D832" i="23"/>
  <c r="D453" i="23"/>
  <c r="H404" i="1"/>
  <c r="H2008" i="1"/>
  <c r="E1717" i="1"/>
  <c r="G922" i="1"/>
  <c r="G1269" i="1"/>
  <c r="G929" i="1"/>
  <c r="H282" i="1"/>
  <c r="L83" i="20"/>
  <c r="N690" i="23"/>
  <c r="K30" i="20"/>
  <c r="G1526" i="1"/>
  <c r="G30" i="1"/>
  <c r="C96" i="21"/>
  <c r="H1484" i="1"/>
  <c r="C83" i="23"/>
  <c r="G1292" i="1"/>
  <c r="D574" i="23"/>
  <c r="H18" i="1"/>
  <c r="D884" i="23"/>
  <c r="G849" i="1"/>
  <c r="N805" i="23"/>
  <c r="C532" i="23"/>
  <c r="H208" i="1"/>
  <c r="D45" i="21"/>
  <c r="G209" i="1"/>
  <c r="G1939" i="1"/>
  <c r="H163" i="1"/>
  <c r="N684" i="23"/>
  <c r="J63" i="20"/>
  <c r="D931" i="23"/>
  <c r="N222" i="23"/>
  <c r="N740" i="23"/>
  <c r="M35" i="20"/>
  <c r="D662" i="23"/>
  <c r="E1692" i="1"/>
  <c r="H681" i="1"/>
  <c r="G1150" i="1"/>
  <c r="E1491" i="1"/>
  <c r="M49" i="20"/>
  <c r="G1752" i="1"/>
  <c r="H1330" i="1"/>
  <c r="H1827" i="1"/>
  <c r="H1040" i="1"/>
  <c r="N502" i="23"/>
  <c r="D62" i="23"/>
  <c r="G2217" i="1"/>
  <c r="H2120" i="1"/>
  <c r="G2152" i="1"/>
  <c r="N454" i="23"/>
  <c r="M9" i="20"/>
  <c r="D679" i="23"/>
  <c r="E1550" i="1"/>
  <c r="N1000" i="23"/>
  <c r="D262" i="23"/>
  <c r="H1157" i="1"/>
  <c r="H2238" i="1"/>
  <c r="E1671" i="1"/>
  <c r="C578" i="23"/>
  <c r="D226" i="23"/>
  <c r="H2223" i="1"/>
  <c r="H1415" i="1"/>
  <c r="D793" i="23"/>
  <c r="G2006" i="1"/>
  <c r="H2121" i="1"/>
  <c r="E2309" i="1"/>
  <c r="C180" i="23"/>
  <c r="N575" i="23"/>
  <c r="C98" i="23"/>
  <c r="C121" i="23"/>
  <c r="G525" i="1"/>
  <c r="N899" i="23"/>
  <c r="D711" i="23"/>
  <c r="H1744" i="1"/>
  <c r="H1469" i="1"/>
  <c r="H1844" i="1"/>
  <c r="D57" i="23"/>
  <c r="D327" i="23"/>
  <c r="W70" i="21"/>
  <c r="J33" i="20"/>
  <c r="G2130" i="1"/>
  <c r="G2023" i="1"/>
  <c r="D761" i="23"/>
  <c r="H857" i="1"/>
  <c r="G1141" i="1"/>
  <c r="G1918" i="1"/>
  <c r="G1952" i="1"/>
  <c r="N776" i="23"/>
  <c r="H2163" i="1"/>
  <c r="N679" i="23"/>
  <c r="G1407" i="1"/>
  <c r="G255" i="1"/>
  <c r="L100" i="20"/>
  <c r="E2307" i="1"/>
  <c r="D386" i="23"/>
  <c r="G1895" i="1"/>
  <c r="H498" i="1"/>
  <c r="H7" i="16"/>
  <c r="G1672" i="1"/>
  <c r="G515" i="1"/>
  <c r="H1510" i="1"/>
  <c r="C989" i="23"/>
  <c r="G2004" i="1"/>
  <c r="N79" i="23"/>
  <c r="D65" i="23"/>
  <c r="D405" i="23"/>
  <c r="L110" i="20"/>
  <c r="H1601" i="1"/>
  <c r="C382" i="23"/>
  <c r="G1534" i="1"/>
  <c r="N128" i="23"/>
  <c r="H1899" i="1"/>
  <c r="H2007" i="1"/>
  <c r="C150" i="23"/>
  <c r="C54" i="21"/>
  <c r="N119" i="23"/>
  <c r="C763" i="23"/>
  <c r="G348" i="1"/>
  <c r="N560" i="23"/>
  <c r="D437" i="23"/>
  <c r="G15" i="16"/>
  <c r="E1805" i="1"/>
  <c r="M25" i="20"/>
  <c r="H1281" i="1"/>
  <c r="G2253" i="1"/>
  <c r="E1785" i="1"/>
  <c r="O103" i="21"/>
  <c r="N655" i="23"/>
  <c r="D704" i="23"/>
  <c r="H452" i="1"/>
  <c r="G467" i="1"/>
  <c r="N331" i="23"/>
  <c r="H12" i="1"/>
  <c r="G157" i="1"/>
  <c r="H1946" i="1"/>
  <c r="N268" i="23"/>
  <c r="H1651" i="1"/>
  <c r="D192" i="23"/>
  <c r="N91" i="23"/>
  <c r="D535" i="23"/>
  <c r="E12" i="16"/>
  <c r="H516" i="1"/>
  <c r="H1876" i="1"/>
  <c r="D164" i="23"/>
  <c r="D829" i="23"/>
  <c r="A15" i="16"/>
  <c r="D12" i="21"/>
  <c r="H1734" i="1"/>
  <c r="B6" i="16"/>
  <c r="E1776" i="1"/>
  <c r="H1140" i="1"/>
  <c r="G155" i="1"/>
  <c r="C95" i="23"/>
  <c r="N266" i="23"/>
  <c r="M23" i="16"/>
  <c r="H1898" i="1"/>
  <c r="E1574" i="1"/>
  <c r="C406" i="23"/>
  <c r="L26" i="20"/>
  <c r="H613" i="1"/>
  <c r="C37" i="23"/>
  <c r="H97" i="1"/>
  <c r="N63" i="23"/>
  <c r="N774" i="23"/>
  <c r="D585" i="23"/>
  <c r="G1032" i="1"/>
  <c r="J74" i="20"/>
  <c r="C499" i="23"/>
  <c r="H566" i="1"/>
  <c r="K31" i="20"/>
  <c r="N203" i="23"/>
  <c r="N49" i="23"/>
  <c r="H453" i="1"/>
  <c r="D768" i="23"/>
  <c r="H1875" i="1"/>
  <c r="H1009" i="1"/>
  <c r="D490" i="23"/>
  <c r="D475" i="23"/>
  <c r="A21" i="16"/>
  <c r="C970" i="23"/>
  <c r="N982" i="23"/>
  <c r="G1190" i="1"/>
  <c r="H1081" i="1"/>
  <c r="M106" i="20"/>
  <c r="G1332" i="1"/>
  <c r="C291" i="23"/>
  <c r="G1913" i="1"/>
  <c r="J21" i="20"/>
  <c r="L39" i="20"/>
  <c r="G1117" i="1"/>
  <c r="C692" i="23"/>
  <c r="C651" i="23"/>
  <c r="H1340" i="1"/>
  <c r="H82" i="1"/>
  <c r="L105" i="20"/>
  <c r="C17" i="21"/>
  <c r="L20" i="20"/>
  <c r="H1230" i="1"/>
  <c r="H582" i="1"/>
  <c r="N121" i="23"/>
  <c r="H177" i="1"/>
  <c r="N493" i="23"/>
  <c r="D545" i="23"/>
  <c r="D112" i="23"/>
  <c r="E2077" i="1"/>
  <c r="D254" i="23"/>
  <c r="M63" i="20"/>
  <c r="N31" i="23"/>
  <c r="H1455" i="1"/>
  <c r="G1770" i="1"/>
  <c r="H1184" i="1"/>
  <c r="N269" i="23"/>
  <c r="H1806" i="1"/>
  <c r="G951" i="1"/>
  <c r="H58" i="1"/>
  <c r="C378" i="23"/>
  <c r="E1855" i="1"/>
  <c r="K76" i="20"/>
  <c r="G1473" i="1"/>
  <c r="H1259" i="1"/>
  <c r="E2184" i="1"/>
  <c r="E2246" i="1"/>
  <c r="D787" i="23"/>
  <c r="M111" i="20"/>
  <c r="N45" i="23"/>
  <c r="I77" i="20"/>
  <c r="H800" i="1"/>
  <c r="C98" i="21"/>
  <c r="N847" i="23"/>
  <c r="C432" i="23"/>
  <c r="G729" i="1"/>
  <c r="W99" i="21"/>
  <c r="H103" i="1"/>
  <c r="C688" i="23"/>
  <c r="C853" i="23"/>
  <c r="G2139" i="1"/>
  <c r="H524" i="1"/>
  <c r="G1052" i="1"/>
  <c r="I104" i="20"/>
  <c r="K53" i="20"/>
  <c r="G329" i="1"/>
  <c r="C318" i="23"/>
  <c r="C623" i="23"/>
  <c r="G2082" i="1"/>
  <c r="C671" i="23"/>
  <c r="D649" i="23"/>
  <c r="D647" i="23"/>
  <c r="H1214" i="1"/>
  <c r="H357" i="1"/>
  <c r="H574" i="1"/>
  <c r="B12" i="16"/>
  <c r="C445" i="23"/>
  <c r="G1285" i="1"/>
  <c r="H1165" i="1"/>
  <c r="G1628" i="1"/>
  <c r="D764" i="23"/>
  <c r="C96" i="23"/>
  <c r="E1806" i="1"/>
  <c r="D315" i="23"/>
  <c r="C938" i="23"/>
  <c r="C108" i="23"/>
  <c r="H226" i="1"/>
  <c r="C373" i="23"/>
  <c r="L29" i="20"/>
  <c r="G469" i="1"/>
  <c r="D202" i="23"/>
  <c r="N920" i="23"/>
  <c r="C553" i="23"/>
  <c r="D743" i="23"/>
  <c r="G1940" i="1"/>
  <c r="C412" i="23"/>
  <c r="N227" i="23"/>
  <c r="E1940" i="1"/>
  <c r="N925" i="23"/>
  <c r="G1557" i="1"/>
  <c r="N539" i="23"/>
  <c r="N123" i="23"/>
  <c r="D425" i="23"/>
  <c r="B16" i="16"/>
  <c r="H1060" i="1"/>
  <c r="G286" i="1"/>
  <c r="H1316" i="1"/>
  <c r="C237" i="23"/>
  <c r="E1839" i="1"/>
  <c r="G2058" i="1"/>
  <c r="H868" i="1"/>
  <c r="C315" i="23"/>
  <c r="C248" i="23"/>
  <c r="H2053" i="1"/>
  <c r="G796" i="1"/>
  <c r="G937" i="1"/>
  <c r="G1550" i="1"/>
  <c r="C41" i="21"/>
  <c r="K39" i="20"/>
  <c r="F6" i="16"/>
  <c r="G592" i="1"/>
  <c r="F12" i="16"/>
  <c r="E2248" i="1"/>
  <c r="G1247" i="1"/>
  <c r="O91" i="21"/>
  <c r="C634" i="23"/>
  <c r="J34" i="20"/>
  <c r="H1552" i="1"/>
  <c r="N174" i="23"/>
  <c r="W44" i="21"/>
  <c r="H306" i="1"/>
  <c r="C22" i="16"/>
  <c r="G2048" i="1"/>
  <c r="N411" i="23"/>
  <c r="D89" i="23"/>
  <c r="C764" i="23"/>
  <c r="G447" i="1"/>
  <c r="G173" i="1"/>
  <c r="C722" i="23"/>
  <c r="G1925" i="1"/>
  <c r="G654" i="1"/>
  <c r="D795" i="23"/>
  <c r="E1616" i="1"/>
  <c r="H1205" i="1"/>
  <c r="G787" i="1"/>
  <c r="H1582" i="1"/>
  <c r="G1130" i="1"/>
  <c r="D673" i="23"/>
  <c r="C703" i="23"/>
  <c r="H1657" i="1"/>
  <c r="D461" i="23"/>
  <c r="G2283" i="1"/>
  <c r="D772" i="23"/>
  <c r="H815" i="1"/>
  <c r="E2100" i="1"/>
  <c r="M105" i="20"/>
  <c r="D680" i="23"/>
  <c r="G986" i="1"/>
  <c r="H2188" i="1"/>
  <c r="N270" i="23"/>
  <c r="N360" i="23"/>
  <c r="M22" i="20"/>
  <c r="G1192" i="1"/>
  <c r="I25" i="16"/>
  <c r="H686" i="1"/>
  <c r="H27" i="1"/>
  <c r="D253" i="23"/>
  <c r="H910" i="1"/>
  <c r="G1988" i="1"/>
  <c r="E1729" i="1"/>
  <c r="D731" i="23"/>
  <c r="N400" i="23"/>
  <c r="C971" i="23"/>
  <c r="C951" i="23"/>
  <c r="I61" i="20"/>
  <c r="N192" i="23"/>
  <c r="W36" i="21"/>
  <c r="C520" i="23"/>
  <c r="N48" i="23"/>
  <c r="I76" i="20"/>
  <c r="N969" i="23"/>
  <c r="H1718" i="1"/>
  <c r="E1891" i="1"/>
  <c r="C390" i="23"/>
  <c r="H893" i="1"/>
  <c r="J75" i="20"/>
  <c r="C661" i="23"/>
  <c r="D528" i="23"/>
  <c r="L98" i="20"/>
  <c r="G175" i="1"/>
  <c r="G966" i="1"/>
  <c r="D720" i="23"/>
  <c r="D796" i="23"/>
  <c r="C711" i="23"/>
  <c r="E2105" i="1"/>
  <c r="H1662" i="1"/>
  <c r="G1617" i="1"/>
  <c r="G1874" i="1"/>
  <c r="G2186" i="1"/>
  <c r="N520" i="23"/>
  <c r="D227" i="23"/>
  <c r="C565" i="23"/>
  <c r="N205" i="23"/>
  <c r="G2104" i="1"/>
  <c r="N676" i="23"/>
  <c r="I15" i="20"/>
  <c r="G134" i="1"/>
  <c r="D104" i="21"/>
  <c r="G871" i="1"/>
  <c r="N172" i="23"/>
  <c r="C673" i="23"/>
  <c r="G288" i="1"/>
  <c r="H1439" i="1"/>
  <c r="G1946" i="1"/>
  <c r="G212" i="1"/>
  <c r="G1172" i="1"/>
  <c r="C742" i="23"/>
  <c r="H273" i="1"/>
  <c r="D762" i="23"/>
  <c r="C84" i="21"/>
  <c r="C6" i="16"/>
  <c r="N185" i="23"/>
  <c r="H585" i="1"/>
  <c r="D77" i="21"/>
  <c r="G1064" i="1"/>
  <c r="H2291" i="1"/>
  <c r="G1935" i="1"/>
  <c r="C330" i="23"/>
  <c r="N962" i="23"/>
  <c r="L19" i="20"/>
  <c r="D843" i="23"/>
  <c r="J112" i="20"/>
  <c r="G1871" i="1"/>
  <c r="C993" i="23"/>
  <c r="N730" i="23"/>
  <c r="E1850" i="1"/>
  <c r="H19" i="16"/>
  <c r="I27" i="20"/>
  <c r="H826" i="1"/>
  <c r="N535" i="23"/>
  <c r="C605" i="23"/>
  <c r="C399" i="23"/>
  <c r="H1556" i="1"/>
  <c r="K20" i="20"/>
  <c r="N83" i="23"/>
  <c r="H670" i="1"/>
  <c r="W23" i="21"/>
  <c r="D96" i="21"/>
  <c r="H2208" i="1"/>
  <c r="N281" i="23"/>
  <c r="H637" i="1"/>
  <c r="J59" i="20"/>
  <c r="D251" i="23"/>
  <c r="H151" i="1"/>
  <c r="C42" i="21"/>
  <c r="K46" i="20"/>
  <c r="O99" i="21"/>
  <c r="N697" i="23"/>
  <c r="H1890" i="1"/>
  <c r="C368" i="23"/>
  <c r="H854" i="1"/>
  <c r="D785" i="23"/>
  <c r="H2286" i="1"/>
  <c r="K86" i="20"/>
  <c r="C65" i="23"/>
  <c r="E1496" i="1"/>
  <c r="H1029" i="1"/>
  <c r="D817" i="23"/>
  <c r="E1522" i="1"/>
  <c r="I108" i="20"/>
  <c r="M61" i="20"/>
  <c r="C183" i="23"/>
  <c r="N778" i="23"/>
  <c r="D354" i="23"/>
  <c r="N283" i="23"/>
  <c r="D24" i="21"/>
  <c r="N857" i="23"/>
  <c r="H587" i="1"/>
  <c r="G1623" i="1"/>
  <c r="D62" i="21"/>
  <c r="H1229" i="1"/>
  <c r="N18" i="23"/>
  <c r="E1875" i="1"/>
  <c r="H2024" i="1"/>
  <c r="D212" i="23"/>
  <c r="H1051" i="1"/>
  <c r="E2230" i="1"/>
  <c r="E9" i="16"/>
  <c r="G1763" i="1"/>
  <c r="E1837" i="1"/>
  <c r="G1641" i="1"/>
  <c r="K23" i="20"/>
  <c r="H986" i="1"/>
  <c r="G1073" i="1"/>
  <c r="H1301" i="1"/>
  <c r="G1315" i="1"/>
  <c r="N946" i="23"/>
  <c r="C383" i="23"/>
  <c r="G1050" i="1"/>
  <c r="C459" i="23"/>
  <c r="L37" i="20"/>
  <c r="G726" i="1"/>
  <c r="G1086" i="1"/>
  <c r="I111" i="20"/>
  <c r="H1435" i="1"/>
  <c r="G60" i="1"/>
  <c r="D757" i="23"/>
  <c r="C523" i="23"/>
  <c r="M14" i="20"/>
  <c r="D117" i="23"/>
  <c r="H1580" i="1"/>
  <c r="H48" i="1"/>
  <c r="G451" i="1"/>
  <c r="I89" i="20"/>
  <c r="C236" i="23"/>
  <c r="H2140" i="1"/>
  <c r="I73" i="20"/>
  <c r="C907" i="23"/>
  <c r="G1222" i="1"/>
  <c r="H1159" i="1"/>
  <c r="N759" i="23"/>
  <c r="G642" i="1"/>
  <c r="H475" i="1"/>
  <c r="G13" i="1"/>
  <c r="G587" i="1"/>
  <c r="D866" i="23"/>
  <c r="C572" i="23"/>
  <c r="H244" i="1"/>
  <c r="E2047" i="1"/>
  <c r="D78" i="21"/>
  <c r="C395" i="23"/>
  <c r="H435" i="1"/>
  <c r="L9" i="20"/>
  <c r="H2154" i="1"/>
  <c r="C174" i="23"/>
  <c r="C190" i="23"/>
  <c r="E2209" i="1"/>
  <c r="H2035" i="1"/>
  <c r="G2197" i="1"/>
  <c r="N858" i="23"/>
  <c r="E1800" i="1"/>
  <c r="H1623" i="1"/>
  <c r="C300" i="23"/>
  <c r="H1917" i="1"/>
  <c r="G1245" i="1"/>
  <c r="A11" i="16"/>
  <c r="E1610" i="1"/>
  <c r="C918" i="23"/>
  <c r="C101" i="23"/>
  <c r="E1549" i="1"/>
  <c r="N229" i="23"/>
  <c r="H2111" i="1"/>
  <c r="G251" i="1"/>
  <c r="E1696" i="1"/>
  <c r="G649" i="1"/>
  <c r="G1880" i="1"/>
  <c r="C70" i="23"/>
  <c r="E2237" i="1"/>
  <c r="D682" i="23"/>
  <c r="N100" i="23"/>
  <c r="G13" i="16"/>
  <c r="N76" i="23"/>
  <c r="E2234" i="1"/>
  <c r="H298" i="1"/>
  <c r="H932" i="1"/>
  <c r="D281" i="23"/>
  <c r="N522" i="23"/>
  <c r="G1865" i="1"/>
  <c r="H232" i="1"/>
  <c r="C932" i="23"/>
  <c r="K43" i="20"/>
  <c r="N462" i="23"/>
  <c r="W15" i="21"/>
  <c r="D750" i="23"/>
  <c r="G1785" i="1"/>
  <c r="D734" i="23"/>
  <c r="G149" i="1"/>
  <c r="G1242" i="1"/>
  <c r="G248" i="1"/>
  <c r="H155" i="1"/>
  <c r="H616" i="1"/>
  <c r="G529" i="1"/>
  <c r="F25" i="16"/>
  <c r="G317" i="1"/>
  <c r="N968" i="23"/>
  <c r="H732" i="1"/>
  <c r="M46" i="20"/>
  <c r="M45" i="20"/>
  <c r="E2299" i="1"/>
  <c r="G2180" i="1"/>
  <c r="N523" i="23"/>
  <c r="N278" i="23"/>
  <c r="C179" i="23"/>
  <c r="O102" i="21"/>
  <c r="L31" i="20"/>
  <c r="G311" i="1"/>
  <c r="G614" i="1"/>
  <c r="C408" i="23"/>
  <c r="H1018" i="1"/>
  <c r="D420" i="23"/>
  <c r="C944" i="23"/>
  <c r="N166" i="23"/>
  <c r="G1324" i="1"/>
  <c r="H529" i="1"/>
  <c r="C362" i="23"/>
  <c r="W27" i="21"/>
  <c r="C593" i="23"/>
  <c r="D11" i="23"/>
  <c r="N25" i="23"/>
  <c r="N159" i="23"/>
  <c r="H756" i="1"/>
  <c r="N348" i="23"/>
  <c r="N393" i="23"/>
  <c r="N944" i="23"/>
  <c r="C569" i="23"/>
  <c r="D857" i="23"/>
  <c r="N387" i="23"/>
  <c r="N556" i="23"/>
  <c r="E2290" i="1"/>
  <c r="H571" i="1"/>
  <c r="H1550" i="1"/>
  <c r="N932" i="23"/>
  <c r="O85" i="21"/>
  <c r="D132" i="23"/>
  <c r="N749" i="23"/>
  <c r="G423" i="1"/>
  <c r="H1848" i="1"/>
  <c r="H227" i="1"/>
  <c r="B17" i="16"/>
  <c r="H2112" i="1"/>
  <c r="N835" i="23"/>
  <c r="I20" i="20"/>
  <c r="N510" i="23"/>
  <c r="G1843" i="1"/>
  <c r="H2248" i="1"/>
  <c r="N667" i="23"/>
  <c r="C616" i="23"/>
  <c r="N992" i="23"/>
  <c r="G685" i="1"/>
  <c r="G2070" i="1"/>
  <c r="C837" i="23"/>
  <c r="D295" i="23"/>
  <c r="C286" i="23"/>
  <c r="H1290" i="1"/>
  <c r="G1067" i="1"/>
  <c r="E1563" i="1"/>
  <c r="E1771" i="1"/>
  <c r="G276" i="1"/>
  <c r="D939" i="23"/>
  <c r="H482" i="1"/>
  <c r="D635" i="23"/>
  <c r="D774" i="23"/>
  <c r="G542" i="1"/>
  <c r="L65" i="20"/>
  <c r="G426" i="1"/>
  <c r="C561" i="23"/>
  <c r="D510" i="23"/>
  <c r="C700" i="23"/>
  <c r="C104" i="23"/>
  <c r="C211" i="23"/>
  <c r="G1542" i="1"/>
  <c r="G940" i="1"/>
  <c r="K24" i="20"/>
  <c r="D702" i="23"/>
  <c r="G2229" i="1"/>
  <c r="N750" i="23"/>
  <c r="C756" i="23"/>
  <c r="W30" i="21"/>
  <c r="J78" i="20"/>
  <c r="N891" i="23"/>
  <c r="H643" i="1"/>
  <c r="D89" i="21"/>
  <c r="H148" i="1"/>
  <c r="G139" i="1"/>
  <c r="D751" i="23"/>
  <c r="G663" i="1"/>
  <c r="N595" i="23"/>
  <c r="J65" i="20"/>
  <c r="G85" i="1"/>
  <c r="H430" i="1"/>
  <c r="I112" i="20"/>
  <c r="H1302" i="1"/>
  <c r="G571" i="1"/>
  <c r="J81" i="20"/>
  <c r="N933" i="23"/>
  <c r="G291" i="1"/>
  <c r="C246" i="23"/>
  <c r="H1177" i="1"/>
  <c r="D865" i="23"/>
  <c r="G1839" i="1"/>
  <c r="G1803" i="1"/>
  <c r="H1513" i="1"/>
  <c r="C644" i="23"/>
  <c r="M7" i="16"/>
  <c r="C22" i="23"/>
  <c r="H1553" i="1"/>
  <c r="N578" i="23"/>
  <c r="G353" i="1"/>
  <c r="N297" i="23"/>
  <c r="H1479" i="1"/>
  <c r="C136" i="23"/>
  <c r="D187" i="23"/>
  <c r="D325" i="23"/>
  <c r="C464" i="23"/>
  <c r="I51" i="20"/>
  <c r="G1764" i="1"/>
  <c r="K25" i="20"/>
  <c r="H1622" i="1"/>
  <c r="D869" i="23"/>
  <c r="W24" i="21"/>
  <c r="C114" i="23"/>
  <c r="I87" i="20"/>
  <c r="D391" i="23"/>
  <c r="K50" i="20"/>
  <c r="G837" i="1"/>
  <c r="D125" i="23"/>
  <c r="D721" i="23"/>
  <c r="J87" i="20"/>
  <c r="N440" i="23"/>
  <c r="C840" i="23"/>
  <c r="G1005" i="1"/>
  <c r="K22" i="20"/>
  <c r="G1316" i="1"/>
  <c r="M32" i="20"/>
  <c r="N292" i="23"/>
  <c r="C17" i="23"/>
  <c r="D426" i="23"/>
  <c r="E2266" i="1"/>
  <c r="N576" i="23"/>
  <c r="N848" i="23"/>
  <c r="I16" i="20"/>
  <c r="K32" i="20"/>
  <c r="H2097" i="1"/>
  <c r="C313" i="23"/>
  <c r="G252" i="1"/>
  <c r="C131" i="23"/>
  <c r="N272" i="23"/>
  <c r="M98" i="20"/>
  <c r="N481" i="23"/>
  <c r="C52" i="23"/>
  <c r="C839" i="23"/>
  <c r="N950" i="23"/>
  <c r="G36" i="1"/>
  <c r="D35" i="21"/>
  <c r="H2264" i="1"/>
  <c r="D542" i="23"/>
  <c r="E26" i="16"/>
  <c r="N550" i="23"/>
  <c r="D321" i="23"/>
  <c r="E2218" i="1"/>
  <c r="C90" i="23"/>
  <c r="D803" i="23"/>
  <c r="N311" i="23"/>
  <c r="C402" i="23"/>
  <c r="E2030" i="1"/>
  <c r="O46" i="21"/>
  <c r="E15" i="16"/>
  <c r="D714" i="23"/>
  <c r="G836" i="1"/>
  <c r="N532" i="23"/>
  <c r="H943" i="1"/>
  <c r="C496" i="23"/>
  <c r="N577" i="23"/>
  <c r="D700" i="23"/>
  <c r="G1769" i="1"/>
  <c r="L8" i="20"/>
  <c r="C820" i="23"/>
  <c r="M27" i="20"/>
  <c r="M14" i="16"/>
  <c r="G1460" i="1"/>
  <c r="D547" i="23"/>
  <c r="N361" i="23"/>
  <c r="D115" i="23"/>
  <c r="H1874" i="1"/>
  <c r="G880" i="1"/>
  <c r="H973" i="1"/>
  <c r="D728" i="23"/>
  <c r="G963" i="1"/>
  <c r="D257" i="23"/>
  <c r="D900" i="23"/>
  <c r="G2126" i="1"/>
  <c r="H1102" i="1"/>
  <c r="C712" i="23"/>
  <c r="W76" i="21"/>
  <c r="N770" i="23"/>
  <c r="D133" i="23"/>
  <c r="E1585" i="1"/>
  <c r="G2131" i="1"/>
  <c r="G824" i="1"/>
  <c r="D363" i="23"/>
  <c r="N115" i="23"/>
  <c r="D168" i="23"/>
  <c r="G373" i="1"/>
  <c r="W60" i="21"/>
  <c r="G119" i="1"/>
  <c r="D12" i="23"/>
  <c r="H119" i="1"/>
  <c r="H2206" i="1"/>
  <c r="L82" i="20"/>
  <c r="D169" i="23"/>
  <c r="N802" i="23"/>
  <c r="H1499" i="1"/>
  <c r="H81" i="1"/>
  <c r="N162" i="23"/>
  <c r="E1634" i="1"/>
  <c r="C710" i="23"/>
  <c r="H1973" i="1"/>
  <c r="J20" i="20"/>
  <c r="C16" i="16"/>
  <c r="E1963" i="1"/>
  <c r="E1531" i="1"/>
  <c r="W14" i="21"/>
  <c r="D888" i="23"/>
  <c r="E1861" i="1"/>
  <c r="H422" i="1"/>
  <c r="H622" i="1"/>
  <c r="H1438" i="1"/>
  <c r="H398" i="1"/>
  <c r="J72" i="20"/>
  <c r="D636" i="23"/>
  <c r="E2223" i="1"/>
  <c r="D44" i="21"/>
  <c r="D100" i="23"/>
  <c r="D991" i="23"/>
  <c r="D586" i="23"/>
  <c r="E1453" i="1"/>
  <c r="H1900" i="1"/>
  <c r="I83" i="20"/>
  <c r="C364" i="23"/>
  <c r="W37" i="21"/>
  <c r="L71" i="20"/>
  <c r="E1558" i="1"/>
  <c r="E2137" i="1"/>
  <c r="W35" i="21"/>
  <c r="C169" i="23"/>
  <c r="D781" i="23"/>
  <c r="G2207" i="1"/>
  <c r="N197" i="23"/>
  <c r="C295" i="23"/>
  <c r="O84" i="21"/>
  <c r="N425" i="23"/>
  <c r="C629" i="23"/>
  <c r="N302" i="23"/>
  <c r="G801" i="1"/>
  <c r="E1688" i="1"/>
  <c r="I17" i="16"/>
  <c r="C91" i="21"/>
  <c r="N635" i="23"/>
  <c r="G2220" i="1"/>
  <c r="N981" i="23"/>
  <c r="D20" i="21"/>
  <c r="J14" i="20"/>
  <c r="J73" i="20"/>
  <c r="D519" i="23"/>
  <c r="N769" i="23"/>
  <c r="D345" i="23"/>
  <c r="D75" i="21"/>
  <c r="C344" i="23"/>
  <c r="C363" i="23"/>
  <c r="N5" i="16"/>
  <c r="O81" i="21"/>
  <c r="E1473" i="1"/>
  <c r="K88" i="20"/>
  <c r="E2211" i="1"/>
  <c r="N165" i="23"/>
  <c r="W34" i="21"/>
  <c r="N346" i="23"/>
  <c r="D867" i="23"/>
  <c r="N17" i="23"/>
  <c r="I98" i="20"/>
  <c r="O78" i="21"/>
  <c r="D766" i="23"/>
  <c r="C804" i="23"/>
  <c r="N351" i="23"/>
  <c r="G773" i="1"/>
  <c r="C419" i="23"/>
  <c r="D85" i="21"/>
  <c r="N588" i="23"/>
  <c r="H626" i="1"/>
  <c r="C100" i="21"/>
  <c r="J15" i="20"/>
  <c r="C802" i="23"/>
  <c r="I55" i="20"/>
  <c r="K70" i="20"/>
  <c r="G2012" i="1"/>
  <c r="H1604" i="1"/>
  <c r="H821" i="1"/>
  <c r="H1930" i="1"/>
  <c r="C558" i="23"/>
  <c r="G636" i="1"/>
  <c r="G2117" i="1"/>
  <c r="C374" i="23"/>
  <c r="N742" i="23"/>
  <c r="H136" i="1"/>
  <c r="D814" i="23"/>
  <c r="L24" i="20"/>
  <c r="C942" i="23"/>
  <c r="H531" i="1"/>
  <c r="C998" i="23"/>
  <c r="J62" i="20"/>
  <c r="H1678" i="1"/>
  <c r="O43" i="21"/>
  <c r="G1640" i="1"/>
  <c r="C596" i="23"/>
  <c r="G430" i="1"/>
  <c r="N230" i="23"/>
  <c r="N999" i="23"/>
  <c r="H1078" i="1"/>
  <c r="D41" i="23"/>
  <c r="D477" i="23"/>
  <c r="H2246" i="1"/>
  <c r="W29" i="21"/>
  <c r="C758" i="23"/>
  <c r="G1159" i="1"/>
  <c r="N940" i="23"/>
  <c r="G1553" i="1"/>
  <c r="H1904" i="1"/>
  <c r="L32" i="20"/>
  <c r="O87" i="21"/>
  <c r="G268" i="1"/>
  <c r="G356" i="1"/>
  <c r="H1729" i="1"/>
  <c r="N359" i="23"/>
  <c r="D746" i="23"/>
  <c r="E1394" i="1"/>
  <c r="G1490" i="1"/>
  <c r="D810" i="23"/>
  <c r="G1828" i="1"/>
  <c r="H1775" i="1"/>
  <c r="H1533" i="1"/>
  <c r="K55" i="20"/>
  <c r="C140" i="23"/>
  <c r="G215" i="1"/>
  <c r="C66" i="21"/>
  <c r="G2160" i="1"/>
  <c r="H1831" i="1"/>
  <c r="H1312" i="1"/>
  <c r="G2262" i="1"/>
  <c r="G2213" i="1"/>
  <c r="H1542" i="1"/>
  <c r="C709" i="23"/>
  <c r="H1573" i="1"/>
  <c r="G1660" i="1"/>
  <c r="C25" i="21"/>
  <c r="H1345" i="1"/>
  <c r="I29" i="20"/>
  <c r="E2052" i="1"/>
  <c r="D361" i="23"/>
  <c r="H114" i="1"/>
  <c r="D693" i="23"/>
  <c r="N257" i="23"/>
  <c r="H2307" i="1"/>
  <c r="G83" i="1"/>
  <c r="E1506" i="1"/>
  <c r="G1699" i="1"/>
  <c r="N927" i="23"/>
  <c r="C271" i="23"/>
  <c r="D237" i="23"/>
  <c r="H605" i="1"/>
  <c r="N974" i="23"/>
  <c r="D474" i="23"/>
  <c r="N710" i="23"/>
  <c r="C283" i="23"/>
  <c r="C227" i="23"/>
  <c r="G1071" i="1"/>
  <c r="D622" i="23"/>
  <c r="M90" i="20"/>
  <c r="H2088" i="1"/>
  <c r="H16" i="16"/>
  <c r="D446" i="23"/>
  <c r="H23" i="1"/>
  <c r="C93" i="23"/>
  <c r="G1830" i="1"/>
  <c r="D207" i="23"/>
  <c r="N996" i="23"/>
  <c r="D50" i="23"/>
  <c r="D373" i="23"/>
  <c r="H1253" i="1"/>
  <c r="D769" i="23"/>
  <c r="C638" i="23"/>
  <c r="C781" i="23"/>
  <c r="N300" i="23"/>
  <c r="G1393" i="1"/>
  <c r="C957" i="23"/>
  <c r="C226" i="23"/>
  <c r="H1654" i="1"/>
  <c r="D444" i="23"/>
  <c r="D335" i="23"/>
  <c r="G825" i="1"/>
  <c r="G1838" i="1"/>
  <c r="N241" i="23"/>
  <c r="M81" i="20"/>
  <c r="G1211" i="1"/>
  <c r="N237" i="23"/>
  <c r="C231" i="23"/>
  <c r="D1000" i="23"/>
  <c r="E1403" i="1"/>
  <c r="N737" i="23"/>
  <c r="D410" i="23"/>
  <c r="G1132" i="1"/>
  <c r="N434" i="23"/>
  <c r="J77" i="20"/>
  <c r="N251" i="23"/>
  <c r="D897" i="23"/>
  <c r="C272" i="23"/>
  <c r="H336" i="1"/>
  <c r="I84" i="20"/>
  <c r="H723" i="1"/>
  <c r="C681" i="23"/>
  <c r="N869" i="23"/>
  <c r="C31" i="23"/>
  <c r="D573" i="23"/>
  <c r="N134" i="23"/>
  <c r="C506" i="23"/>
  <c r="H438" i="1"/>
  <c r="G214" i="1"/>
  <c r="G1364" i="1"/>
  <c r="G628" i="1"/>
  <c r="N768" i="23"/>
  <c r="N841" i="23"/>
  <c r="H2190" i="1"/>
  <c r="G1645" i="1"/>
  <c r="C126" i="23"/>
  <c r="H220" i="1"/>
  <c r="H147" i="1"/>
  <c r="W48" i="21"/>
  <c r="B4" i="16"/>
  <c r="H1730" i="1"/>
  <c r="C973" i="23"/>
  <c r="C312" i="23"/>
  <c r="C354" i="23"/>
  <c r="H769" i="1"/>
  <c r="G106" i="1"/>
  <c r="H1019" i="1"/>
  <c r="O82" i="21"/>
  <c r="W49" i="21"/>
  <c r="D95" i="23"/>
  <c r="C519" i="23"/>
  <c r="C11" i="21"/>
  <c r="M54" i="20"/>
  <c r="H1355" i="1"/>
  <c r="K85" i="20"/>
  <c r="N472" i="23"/>
  <c r="J51" i="20"/>
  <c r="E1966" i="1"/>
  <c r="H13" i="16"/>
  <c r="N664" i="23"/>
  <c r="E1475" i="1"/>
  <c r="H1760" i="1"/>
  <c r="H1504" i="1"/>
  <c r="H432" i="1"/>
  <c r="O22" i="21"/>
  <c r="D107" i="23"/>
  <c r="H1237" i="1"/>
  <c r="N612" i="23"/>
  <c r="G927" i="1"/>
  <c r="G2100" i="1"/>
  <c r="E2302" i="1"/>
  <c r="N519" i="23"/>
  <c r="D451" i="23"/>
  <c r="C588" i="23"/>
  <c r="C97" i="21"/>
  <c r="N325" i="23"/>
  <c r="C443" i="23"/>
  <c r="C946" i="23"/>
  <c r="H1655" i="1"/>
  <c r="G147" i="1"/>
  <c r="N461" i="23"/>
  <c r="D336" i="23"/>
  <c r="G375" i="1"/>
  <c r="H2237" i="1"/>
  <c r="G2121" i="1"/>
  <c r="G74" i="1"/>
  <c r="H1266" i="1"/>
  <c r="H2046" i="1"/>
  <c r="C483" i="23"/>
  <c r="H641" i="1"/>
  <c r="H2285" i="1"/>
  <c r="E1492" i="1"/>
  <c r="D261" i="23"/>
  <c r="H1923" i="1"/>
  <c r="L102" i="20"/>
  <c r="E1912" i="1"/>
  <c r="N250" i="23"/>
  <c r="D141" i="23"/>
  <c r="H2056" i="1"/>
  <c r="N986" i="23"/>
  <c r="H1120" i="1"/>
  <c r="E2039" i="1"/>
  <c r="H183" i="1"/>
  <c r="H311" i="1"/>
  <c r="N337" i="23"/>
  <c r="D656" i="23"/>
  <c r="C13" i="16"/>
  <c r="H678" i="1"/>
  <c r="H368" i="1"/>
  <c r="H1294" i="1"/>
  <c r="D988" i="23"/>
  <c r="D602" i="23"/>
  <c r="N452" i="23"/>
  <c r="N506" i="23"/>
  <c r="I8" i="20"/>
  <c r="H1416" i="1"/>
  <c r="C664" i="23"/>
  <c r="N279" i="23"/>
  <c r="E2120" i="1"/>
  <c r="H1255" i="1"/>
  <c r="D96" i="23"/>
  <c r="G624" i="1"/>
  <c r="G782" i="1"/>
  <c r="N135" i="23"/>
  <c r="G188" i="1"/>
  <c r="E1572" i="1"/>
  <c r="C296" i="23"/>
  <c r="C643" i="23"/>
  <c r="H290" i="1"/>
  <c r="G2159" i="1"/>
  <c r="M50" i="20"/>
  <c r="E2213" i="1"/>
  <c r="G2271" i="1"/>
  <c r="H2126" i="1"/>
  <c r="C38" i="23"/>
  <c r="G163" i="1"/>
  <c r="H1183" i="1"/>
  <c r="G320" i="1"/>
  <c r="G76" i="1"/>
  <c r="H98" i="1"/>
  <c r="N423" i="23"/>
  <c r="C355" i="23"/>
  <c r="G1124" i="1"/>
  <c r="E1534" i="1"/>
  <c r="G605" i="1"/>
  <c r="D236" i="23"/>
  <c r="N766" i="23"/>
  <c r="C848" i="23"/>
  <c r="C768" i="23"/>
  <c r="D839" i="23"/>
  <c r="D749" i="23"/>
  <c r="G436" i="1"/>
  <c r="E1587" i="1"/>
  <c r="N880" i="23"/>
  <c r="M12" i="16"/>
  <c r="J67" i="20"/>
  <c r="G1684" i="1"/>
  <c r="C60" i="23"/>
  <c r="K61" i="20"/>
  <c r="J66" i="20"/>
  <c r="D394" i="23"/>
  <c r="H1489" i="1"/>
  <c r="W72" i="21"/>
  <c r="E1576" i="1"/>
  <c r="C780" i="23"/>
  <c r="G1094" i="1"/>
  <c r="I93" i="20"/>
  <c r="N186" i="23"/>
  <c r="C917" i="23"/>
  <c r="H371" i="1"/>
  <c r="I62" i="20"/>
  <c r="N267" i="23"/>
  <c r="C35" i="23"/>
  <c r="C694" i="23"/>
  <c r="C26" i="21"/>
  <c r="H1749" i="1"/>
  <c r="E1455" i="1"/>
  <c r="C868" i="23"/>
  <c r="N190" i="23"/>
  <c r="G1674" i="1"/>
  <c r="H1996" i="1"/>
  <c r="G1973" i="1"/>
  <c r="C746" i="23"/>
  <c r="C321" i="23"/>
  <c r="D90" i="23"/>
  <c r="C13" i="23"/>
  <c r="E2191" i="1"/>
  <c r="H801" i="1"/>
  <c r="N580" i="23"/>
  <c r="H1881" i="1"/>
  <c r="H394" i="1"/>
  <c r="C660" i="23"/>
  <c r="H1609" i="1"/>
  <c r="G2084" i="1"/>
  <c r="H881" i="1"/>
  <c r="E1836" i="1"/>
  <c r="J61" i="20"/>
  <c r="E2247" i="1"/>
  <c r="O56" i="21"/>
  <c r="H2175" i="1"/>
  <c r="G1936" i="1"/>
  <c r="D28" i="23"/>
  <c r="I58" i="20"/>
  <c r="E2301" i="1"/>
  <c r="D827" i="23"/>
  <c r="H2242" i="1"/>
  <c r="N706" i="23"/>
  <c r="E2178" i="1"/>
  <c r="E1456" i="1"/>
  <c r="G1649" i="1"/>
  <c r="C30" i="23"/>
  <c r="D21" i="21"/>
  <c r="H2116" i="1"/>
  <c r="L53" i="20"/>
  <c r="G2150" i="1"/>
  <c r="C716" i="23"/>
  <c r="H1910" i="1"/>
  <c r="H1347" i="1"/>
  <c r="I9" i="20"/>
  <c r="H1928" i="1"/>
  <c r="C415" i="23"/>
  <c r="G1985" i="1"/>
  <c r="N659" i="23"/>
  <c r="E2169" i="1"/>
  <c r="C654" i="23"/>
  <c r="B19" i="16"/>
  <c r="G441" i="1"/>
  <c r="G2240" i="1"/>
  <c r="E1960" i="1"/>
  <c r="N456" i="23"/>
  <c r="C964" i="23"/>
  <c r="O59" i="21"/>
  <c r="N937" i="23"/>
  <c r="G1710" i="1"/>
  <c r="D670" i="23"/>
  <c r="G541" i="1"/>
  <c r="N397" i="23"/>
  <c r="O52" i="21"/>
  <c r="D973" i="23"/>
  <c r="G1622" i="1"/>
  <c r="J12" i="20"/>
  <c r="C807" i="23"/>
  <c r="K105" i="20"/>
  <c r="G658" i="1"/>
  <c r="M97" i="20"/>
  <c r="N789" i="23"/>
  <c r="E2264" i="1"/>
  <c r="E1745" i="1"/>
  <c r="G2027" i="1"/>
  <c r="G1507" i="1"/>
  <c r="D79" i="23"/>
  <c r="C761" i="23"/>
  <c r="H2214" i="1"/>
  <c r="D604" i="23"/>
  <c r="G1063" i="1"/>
  <c r="E2197" i="1"/>
  <c r="G914" i="1"/>
  <c r="O74" i="21"/>
  <c r="G870" i="1"/>
  <c r="C908" i="23"/>
  <c r="D998" i="23"/>
  <c r="E1583" i="1"/>
  <c r="H809" i="1"/>
  <c r="E1740" i="1"/>
  <c r="N428" i="23"/>
  <c r="C782" i="23"/>
  <c r="G872" i="1"/>
  <c r="H1280" i="1"/>
  <c r="G788" i="1"/>
  <c r="G1493" i="1"/>
  <c r="N124" i="23"/>
  <c r="H56" i="1"/>
  <c r="H1152" i="1"/>
  <c r="M6" i="20"/>
  <c r="D582" i="23"/>
  <c r="M91" i="20"/>
  <c r="H77" i="1"/>
  <c r="M18" i="16"/>
  <c r="C963" i="23"/>
  <c r="I86" i="20"/>
  <c r="G34" i="1"/>
  <c r="G2209" i="1"/>
  <c r="N965" i="23"/>
  <c r="D491" i="23"/>
  <c r="N214" i="23"/>
  <c r="M33" i="20"/>
  <c r="G2284" i="1"/>
  <c r="H1136" i="1"/>
  <c r="D883" i="23"/>
  <c r="H1481" i="1"/>
  <c r="H110" i="1"/>
  <c r="N558" i="23"/>
  <c r="N662" i="23"/>
  <c r="D957" i="23"/>
  <c r="L77" i="20"/>
  <c r="E1561" i="1"/>
  <c r="G612" i="1"/>
  <c r="N466" i="23"/>
  <c r="G1443" i="1"/>
  <c r="J35" i="20"/>
  <c r="H129" i="1"/>
  <c r="G349" i="1"/>
  <c r="M78" i="20"/>
  <c r="D246" i="23"/>
  <c r="C666" i="23"/>
  <c r="E1467" i="1"/>
  <c r="O97" i="21"/>
  <c r="G2122" i="1"/>
  <c r="H286" i="1"/>
  <c r="G1864" i="1"/>
  <c r="G1678" i="1"/>
  <c r="D53" i="21"/>
  <c r="H300" i="1"/>
  <c r="D435" i="23"/>
  <c r="N765" i="23"/>
  <c r="C992" i="23"/>
  <c r="C903" i="23"/>
  <c r="W68" i="21"/>
  <c r="C457" i="23"/>
  <c r="N407" i="23"/>
  <c r="N602" i="23"/>
  <c r="E2215" i="1"/>
  <c r="G1947" i="1"/>
  <c r="G732" i="1"/>
  <c r="N541" i="23"/>
  <c r="G1608" i="1"/>
  <c r="H1109" i="1"/>
  <c r="H370" i="1"/>
  <c r="N850" i="23"/>
  <c r="G2042" i="1"/>
  <c r="G216" i="1"/>
  <c r="N200" i="23"/>
  <c r="H748" i="1"/>
  <c r="G2089" i="1"/>
  <c r="D777" i="23"/>
  <c r="D566" i="23"/>
  <c r="J82" i="20"/>
  <c r="H1410" i="1"/>
  <c r="K58" i="20"/>
  <c r="D527" i="23"/>
  <c r="C311" i="23"/>
  <c r="H1644" i="1"/>
  <c r="G1638" i="1"/>
  <c r="W42" i="21"/>
  <c r="H962" i="1"/>
  <c r="G984" i="1"/>
  <c r="C188" i="23"/>
  <c r="G2109" i="1"/>
  <c r="E1685" i="1"/>
  <c r="N206" i="23"/>
  <c r="N55" i="23"/>
  <c r="D925" i="23"/>
  <c r="N138" i="23"/>
  <c r="D55" i="21"/>
  <c r="W17" i="21"/>
  <c r="D102" i="21"/>
  <c r="M17" i="16"/>
  <c r="D210" i="23"/>
  <c r="N23" i="23"/>
  <c r="G1414" i="1"/>
  <c r="G2234" i="1"/>
  <c r="G917" i="1"/>
  <c r="H560" i="1"/>
  <c r="N728" i="23"/>
  <c r="G1280" i="1"/>
  <c r="D221" i="23"/>
  <c r="W97" i="21"/>
  <c r="C751" i="23"/>
  <c r="N436" i="23"/>
  <c r="H35" i="1"/>
  <c r="H14" i="1"/>
  <c r="C72" i="21"/>
  <c r="K40" i="20"/>
  <c r="H145" i="1"/>
  <c r="C635" i="23"/>
  <c r="H515" i="1"/>
  <c r="G1061" i="1"/>
  <c r="H2207" i="1"/>
  <c r="G562" i="1"/>
  <c r="H1500" i="1"/>
  <c r="L88" i="20"/>
  <c r="C36" i="21"/>
  <c r="N797" i="23"/>
  <c r="E1701" i="1"/>
  <c r="H2213" i="1"/>
  <c r="N977" i="23"/>
  <c r="D381" i="23"/>
  <c r="N444" i="23"/>
  <c r="H1605" i="1"/>
  <c r="N803" i="23"/>
  <c r="D393" i="23"/>
  <c r="H1853" i="1"/>
  <c r="K79" i="20"/>
  <c r="G2062" i="1"/>
  <c r="D224" i="23"/>
  <c r="C20" i="16"/>
  <c r="D948" i="23"/>
  <c r="H1077" i="1"/>
  <c r="O104" i="21"/>
  <c r="N108" i="23"/>
  <c r="D64" i="21"/>
  <c r="D362" i="23"/>
  <c r="C10" i="21"/>
  <c r="C152" i="23"/>
  <c r="N137" i="23"/>
  <c r="H187" i="1"/>
  <c r="C890" i="23"/>
  <c r="H1460" i="1"/>
  <c r="N934" i="23"/>
  <c r="G2154" i="1"/>
  <c r="D17" i="23"/>
  <c r="H1216" i="1"/>
  <c r="H470" i="1"/>
  <c r="N447" i="23"/>
  <c r="N521" i="23"/>
  <c r="H1299" i="1"/>
  <c r="C77" i="21"/>
  <c r="D744" i="23"/>
  <c r="D43" i="23"/>
  <c r="D650" i="23"/>
  <c r="G852" i="1"/>
  <c r="G643" i="1"/>
  <c r="G1180" i="1"/>
  <c r="N678" i="23"/>
  <c r="N432" i="23"/>
  <c r="E2224" i="1"/>
  <c r="G1514" i="1"/>
  <c r="N20" i="16"/>
  <c r="E1445" i="1"/>
  <c r="C755" i="23"/>
  <c r="G1261" i="1"/>
  <c r="I37" i="20"/>
  <c r="B13" i="16"/>
  <c r="N888" i="23"/>
  <c r="H614" i="1"/>
  <c r="D717" i="23"/>
  <c r="D80" i="21"/>
  <c r="C74" i="21"/>
  <c r="D228" i="23"/>
  <c r="N568" i="23"/>
  <c r="G1938" i="1"/>
  <c r="H1094" i="1"/>
  <c r="O70" i="21"/>
  <c r="E1971" i="1"/>
  <c r="I18" i="20"/>
  <c r="C156" i="23"/>
  <c r="E1961" i="1"/>
  <c r="H1442" i="1"/>
  <c r="D849" i="23"/>
  <c r="N335" i="23"/>
  <c r="G1637" i="1"/>
  <c r="H1434" i="1"/>
  <c r="C895" i="23"/>
  <c r="G483" i="1"/>
  <c r="H338" i="1"/>
  <c r="N702" i="23"/>
  <c r="N788" i="23"/>
  <c r="H214" i="1"/>
  <c r="D642" i="23"/>
  <c r="D97" i="23"/>
  <c r="H2103" i="1"/>
  <c r="H1310" i="1"/>
  <c r="C281" i="23"/>
  <c r="G1279" i="1"/>
  <c r="H927" i="1"/>
  <c r="C37" i="21"/>
  <c r="G1616" i="1"/>
  <c r="H1179" i="1"/>
  <c r="G1941" i="1"/>
  <c r="G1444" i="1"/>
  <c r="H1850" i="1"/>
  <c r="C365" i="23"/>
  <c r="N997" i="23"/>
  <c r="D959" i="23"/>
  <c r="N900" i="23"/>
  <c r="G578" i="1"/>
  <c r="D113" i="23"/>
  <c r="D138" i="23"/>
  <c r="H704" i="1"/>
  <c r="D729" i="23"/>
  <c r="G16" i="16"/>
  <c r="H2305" i="1"/>
  <c r="C325" i="23"/>
  <c r="C214" i="23"/>
  <c r="G1782" i="1"/>
  <c r="C883" i="23"/>
  <c r="N413" i="23"/>
  <c r="G156" i="1"/>
  <c r="C679" i="23"/>
  <c r="D909" i="23"/>
  <c r="D613" i="23"/>
  <c r="N842" i="23"/>
  <c r="C197" i="23"/>
  <c r="N799" i="23"/>
  <c r="H461" i="1"/>
  <c r="I13" i="20"/>
  <c r="C431" i="23"/>
  <c r="D471" i="23"/>
  <c r="N573" i="23"/>
  <c r="N109" i="23"/>
  <c r="C995" i="23"/>
  <c r="G1021" i="1"/>
  <c r="D886" i="23"/>
  <c r="I26" i="16"/>
  <c r="N341" i="23"/>
  <c r="D63" i="21"/>
  <c r="G1807" i="1"/>
  <c r="N111" i="23"/>
  <c r="D306" i="23"/>
  <c r="G9" i="16"/>
  <c r="G2020" i="1"/>
  <c r="H691" i="1"/>
  <c r="J103" i="20"/>
  <c r="C72" i="23"/>
  <c r="D103" i="21"/>
  <c r="H1272" i="1"/>
  <c r="A19" i="16"/>
  <c r="H2117" i="1"/>
  <c r="K77" i="20"/>
  <c r="E20" i="16"/>
  <c r="G1164" i="1"/>
  <c r="G395" i="1"/>
  <c r="G712" i="1"/>
  <c r="H210" i="1"/>
  <c r="C563" i="23"/>
  <c r="C684" i="23"/>
  <c r="N548" i="23"/>
  <c r="N724" i="23"/>
  <c r="J97" i="20"/>
  <c r="H1965" i="1"/>
  <c r="G115" i="1"/>
  <c r="D158" i="23"/>
  <c r="N151" i="23"/>
  <c r="W22" i="21"/>
  <c r="G1375" i="1"/>
  <c r="H1258" i="1"/>
  <c r="D80" i="23"/>
  <c r="H651" i="1"/>
  <c r="N51" i="23"/>
  <c r="C552" i="23"/>
  <c r="D223" i="23"/>
  <c r="G586" i="1"/>
  <c r="C19" i="23"/>
  <c r="N483" i="23"/>
  <c r="E14" i="16"/>
  <c r="D149" i="23"/>
  <c r="G877" i="1"/>
  <c r="C516" i="23"/>
  <c r="C685" i="23"/>
  <c r="D663" i="23"/>
  <c r="D797" i="23"/>
  <c r="N898" i="23"/>
  <c r="C510" i="23"/>
  <c r="N733" i="23"/>
  <c r="C665" i="23"/>
  <c r="H332" i="1"/>
  <c r="D701" i="23"/>
  <c r="N795" i="23"/>
  <c r="G327" i="1"/>
  <c r="E2011" i="1"/>
  <c r="D32" i="23"/>
  <c r="N438" i="23"/>
  <c r="N958" i="23"/>
  <c r="C584" i="23"/>
  <c r="H864" i="1"/>
  <c r="N814" i="23"/>
  <c r="D91" i="21"/>
  <c r="D675" i="23"/>
  <c r="E1829" i="1"/>
  <c r="D845" i="23"/>
  <c r="H1298" i="1"/>
  <c r="D719" i="23"/>
  <c r="E1775" i="1"/>
  <c r="W81" i="21"/>
  <c r="K68" i="20"/>
  <c r="E2110" i="1"/>
  <c r="D724" i="23"/>
  <c r="G934" i="1"/>
  <c r="H1277" i="1"/>
  <c r="D122" i="23"/>
  <c r="C587" i="23"/>
  <c r="H735" i="1"/>
  <c r="H891" i="1"/>
  <c r="G165" i="1"/>
  <c r="H2185" i="1"/>
  <c r="N529" i="23"/>
  <c r="C714" i="23"/>
  <c r="G1104" i="1"/>
  <c r="C507" i="23"/>
  <c r="D305" i="23"/>
  <c r="H528" i="1"/>
  <c r="D778" i="23"/>
  <c r="G1731" i="1"/>
  <c r="H1819" i="1"/>
  <c r="H786" i="1"/>
  <c r="C881" i="23"/>
  <c r="C974" i="23"/>
  <c r="D692" i="23"/>
  <c r="G1066" i="1"/>
  <c r="G1762" i="1"/>
  <c r="M4" i="16"/>
  <c r="C15" i="21"/>
  <c r="C841" i="23"/>
  <c r="H1305" i="1"/>
  <c r="H1338" i="1"/>
  <c r="H135" i="1"/>
  <c r="H855" i="1"/>
  <c r="D544" i="23"/>
  <c r="G1376" i="1"/>
  <c r="D424" i="23"/>
  <c r="E2029" i="1"/>
  <c r="D238" i="23"/>
  <c r="N9" i="16"/>
  <c r="G1423" i="1"/>
  <c r="D431" i="23"/>
  <c r="N328" i="23"/>
  <c r="C387" i="23"/>
  <c r="G294" i="1"/>
  <c r="G1670" i="1"/>
  <c r="G1248" i="1"/>
  <c r="H851" i="1"/>
  <c r="N38" i="23"/>
  <c r="N327" i="23"/>
  <c r="H2047" i="1"/>
  <c r="H1239" i="1"/>
  <c r="N954" i="23"/>
  <c r="D211" i="23"/>
  <c r="I23" i="20"/>
  <c r="H178" i="1"/>
  <c r="E1477" i="1"/>
  <c r="H390" i="1"/>
  <c r="C62" i="21"/>
  <c r="G972" i="1"/>
  <c r="W11" i="21"/>
  <c r="E1754" i="1"/>
  <c r="N409" i="23"/>
  <c r="D252" i="23"/>
  <c r="G1882" i="1"/>
  <c r="L6" i="20"/>
  <c r="G443" i="1"/>
  <c r="C407" i="23"/>
  <c r="D167" i="23"/>
  <c r="E2026" i="1"/>
  <c r="C203" i="23"/>
  <c r="D871" i="23"/>
  <c r="H256" i="1"/>
  <c r="G2299" i="1"/>
  <c r="E1923" i="1"/>
  <c r="H875" i="1"/>
  <c r="D617" i="23"/>
  <c r="G1135" i="1"/>
  <c r="H1862" i="1"/>
  <c r="G607" i="1"/>
  <c r="C46" i="21"/>
  <c r="D13" i="21"/>
  <c r="C467" i="23"/>
  <c r="N527" i="23"/>
  <c r="D349" i="23"/>
  <c r="G2127" i="1"/>
  <c r="N674" i="23"/>
  <c r="D517" i="23"/>
  <c r="H353" i="1"/>
  <c r="D87" i="23"/>
  <c r="N983" i="23"/>
  <c r="M26" i="20"/>
  <c r="C34" i="21"/>
  <c r="D341" i="23"/>
  <c r="G2176" i="1"/>
  <c r="D858" i="23"/>
  <c r="G1644" i="1"/>
  <c r="L93" i="20"/>
  <c r="C927" i="23"/>
  <c r="D29" i="21"/>
  <c r="N233" i="23"/>
  <c r="G1198" i="1"/>
  <c r="C867" i="23"/>
  <c r="N767" i="23"/>
  <c r="H1551" i="1"/>
  <c r="G1503" i="1"/>
  <c r="C725" i="23"/>
  <c r="H1287" i="1"/>
  <c r="N77" i="23"/>
  <c r="G1406" i="1"/>
  <c r="G708" i="1"/>
  <c r="N874" i="23"/>
  <c r="G538" i="1"/>
  <c r="C731" i="23"/>
  <c r="H1599" i="1"/>
  <c r="N636" i="23"/>
  <c r="D974" i="23"/>
  <c r="H221" i="1"/>
  <c r="H1763" i="1"/>
  <c r="C526" i="23"/>
  <c r="D904" i="23"/>
  <c r="D268" i="23"/>
  <c r="C658" i="23"/>
  <c r="G449" i="1"/>
  <c r="D351" i="23"/>
  <c r="D570" i="23"/>
  <c r="H1306" i="1"/>
  <c r="N43" i="23"/>
  <c r="I59" i="20"/>
  <c r="D60" i="21"/>
  <c r="D502" i="23"/>
  <c r="G1291" i="1"/>
  <c r="G1283" i="1"/>
  <c r="H1696" i="1"/>
  <c r="D369" i="23"/>
  <c r="G757" i="1"/>
  <c r="E2261" i="1"/>
  <c r="H2136" i="1"/>
  <c r="C53" i="23"/>
  <c r="W59" i="21"/>
  <c r="D739" i="23"/>
  <c r="E1830" i="1"/>
  <c r="C484" i="23"/>
  <c r="N71" i="23"/>
  <c r="C349" i="23"/>
  <c r="N30" i="23"/>
  <c r="H877" i="1"/>
  <c r="G860" i="1"/>
  <c r="N475" i="23"/>
  <c r="H2068" i="1"/>
  <c r="J98" i="20"/>
  <c r="C20" i="21"/>
  <c r="J37" i="20"/>
  <c r="G2016" i="1"/>
  <c r="G1394" i="1"/>
  <c r="D53" i="23"/>
  <c r="B25" i="16"/>
  <c r="H1629" i="1"/>
  <c r="O68" i="21"/>
  <c r="I21" i="20"/>
  <c r="E2254" i="1"/>
  <c r="G2143" i="1"/>
  <c r="C844" i="23"/>
  <c r="K45" i="20"/>
  <c r="D156" i="23"/>
  <c r="H1222" i="1"/>
  <c r="H1800" i="1"/>
  <c r="H2225" i="1"/>
  <c r="N798" i="23"/>
  <c r="H1289" i="1"/>
  <c r="D317" i="23"/>
  <c r="H324" i="1"/>
  <c r="D364" i="23"/>
  <c r="N61" i="23"/>
  <c r="N377" i="23"/>
  <c r="D147" i="23"/>
  <c r="N368" i="23"/>
  <c r="C892" i="23"/>
  <c r="G476" i="1"/>
  <c r="E2073" i="1"/>
  <c r="N630" i="23"/>
  <c r="H1491" i="1"/>
  <c r="C554" i="23"/>
  <c r="C103" i="23"/>
  <c r="H1331" i="1"/>
  <c r="E2163" i="1"/>
  <c r="H162" i="1"/>
  <c r="D182" i="23"/>
  <c r="N935" i="23"/>
  <c r="C436" i="23"/>
  <c r="D733" i="23"/>
  <c r="C936" i="23"/>
  <c r="N417" i="23"/>
  <c r="D292" i="23"/>
  <c r="D565" i="23"/>
  <c r="D432" i="23"/>
  <c r="C161" i="23"/>
  <c r="M43" i="20"/>
  <c r="E2038" i="1"/>
  <c r="N993" i="23"/>
  <c r="H274" i="1"/>
  <c r="C331" i="23"/>
  <c r="G774" i="1"/>
  <c r="N310" i="23"/>
  <c r="D840" i="23"/>
  <c r="H474" i="1"/>
  <c r="D54" i="21"/>
  <c r="C825" i="23"/>
  <c r="G1065" i="1"/>
  <c r="D390" i="23"/>
  <c r="D935" i="23"/>
  <c r="H288" i="1"/>
  <c r="H829" i="1"/>
  <c r="E1639" i="1"/>
  <c r="G185" i="1"/>
  <c r="D457" i="23"/>
  <c r="H128" i="1"/>
  <c r="H182" i="1"/>
  <c r="H449" i="1"/>
  <c r="G117" i="1"/>
  <c r="D445" i="23"/>
  <c r="H1892" i="1"/>
  <c r="C10" i="23"/>
  <c r="E2313" i="1"/>
  <c r="G1142" i="1"/>
  <c r="L21" i="20"/>
  <c r="G510" i="1"/>
  <c r="H683" i="1"/>
  <c r="C82" i="21"/>
  <c r="C624" i="23"/>
  <c r="N488" i="23"/>
  <c r="D35" i="23"/>
  <c r="C43" i="21"/>
  <c r="G1541" i="1"/>
  <c r="C316" i="23"/>
  <c r="E1618" i="1"/>
  <c r="I17" i="20"/>
  <c r="C57" i="23"/>
  <c r="E21" i="16"/>
  <c r="D114" i="23"/>
  <c r="G1562" i="1"/>
  <c r="N721" i="23"/>
  <c r="D531" i="23"/>
  <c r="N546" i="23"/>
  <c r="C545" i="23"/>
  <c r="N661" i="23"/>
  <c r="J110" i="20"/>
  <c r="E1900" i="1"/>
  <c r="N415" i="23"/>
  <c r="D101" i="23"/>
  <c r="G1516" i="1"/>
  <c r="O21" i="21"/>
  <c r="G1580" i="1"/>
  <c r="N401" i="23"/>
  <c r="N8" i="16"/>
  <c r="E1488" i="1"/>
  <c r="H1633" i="1"/>
  <c r="N963" i="23"/>
  <c r="C361" i="23"/>
  <c r="G1565" i="1"/>
  <c r="C111" i="23"/>
  <c r="N112" i="23"/>
  <c r="D414" i="23"/>
  <c r="F19" i="16"/>
  <c r="G760" i="1"/>
  <c r="N865" i="23"/>
  <c r="N92" i="23"/>
  <c r="L11" i="20"/>
  <c r="C887" i="23"/>
  <c r="K6" i="20"/>
  <c r="K59" i="20"/>
  <c r="H1525" i="1"/>
  <c r="H464" i="1"/>
  <c r="H1369" i="1"/>
  <c r="C745" i="23"/>
  <c r="D851" i="23"/>
  <c r="N514" i="23"/>
  <c r="N53" i="23"/>
  <c r="E2165" i="1"/>
  <c r="N792" i="23"/>
  <c r="L41" i="20"/>
  <c r="C911" i="23"/>
  <c r="E2235" i="1"/>
  <c r="H1835" i="1"/>
  <c r="H734" i="1"/>
  <c r="H1837" i="1"/>
  <c r="N775" i="23"/>
  <c r="H1309" i="1"/>
  <c r="D533" i="23"/>
  <c r="C822" i="23"/>
  <c r="G588" i="1"/>
  <c r="G2094" i="1"/>
  <c r="G867" i="1"/>
  <c r="G107" i="1"/>
  <c r="G1501" i="1"/>
  <c r="W61" i="21"/>
  <c r="G2069" i="1"/>
  <c r="H722" i="1"/>
  <c r="C869" i="23"/>
  <c r="G1976" i="1"/>
  <c r="C582" i="23"/>
  <c r="N941" i="23"/>
  <c r="N353" i="23"/>
  <c r="C117" i="23"/>
  <c r="C909" i="23"/>
  <c r="H284" i="1"/>
  <c r="D137" i="23"/>
  <c r="H1645" i="1"/>
  <c r="E2183" i="1"/>
  <c r="G1796" i="1"/>
  <c r="C371" i="23"/>
  <c r="N326" i="23"/>
  <c r="H140" i="1"/>
  <c r="G1341" i="1"/>
  <c r="D824" i="23"/>
  <c r="C900" i="23"/>
  <c r="D812" i="23"/>
  <c r="C80" i="21"/>
  <c r="D25" i="21"/>
  <c r="H1069" i="1"/>
  <c r="C591" i="23"/>
  <c r="G2106" i="1"/>
  <c r="H1682" i="1"/>
  <c r="G959" i="1"/>
  <c r="C36" i="23"/>
  <c r="C50" i="23"/>
  <c r="D337" i="23"/>
  <c r="D776" i="23"/>
  <c r="G1581" i="1"/>
  <c r="H2096" i="1"/>
  <c r="G2272" i="1"/>
  <c r="H1561" i="1"/>
  <c r="G1429" i="1"/>
  <c r="D462" i="23"/>
  <c r="H2270" i="1"/>
  <c r="J10" i="20"/>
  <c r="C377" i="23"/>
  <c r="H480" i="1"/>
  <c r="C440" i="23"/>
  <c r="E1994" i="1"/>
  <c r="C380" i="23"/>
  <c r="H1473" i="1"/>
  <c r="N555" i="23"/>
  <c r="C567" i="23"/>
  <c r="N308" i="23"/>
  <c r="H384" i="1"/>
  <c r="D239" i="23"/>
  <c r="D658" i="23"/>
  <c r="N622" i="23"/>
  <c r="H1139" i="1"/>
  <c r="D130" i="23"/>
  <c r="G64" i="1"/>
  <c r="G182" i="1"/>
  <c r="E1486" i="1"/>
  <c r="N254" i="23"/>
  <c r="D970" i="23"/>
  <c r="G1264" i="1"/>
  <c r="C836" i="23"/>
  <c r="G1543" i="1"/>
  <c r="G932" i="1"/>
  <c r="G1353" i="1"/>
  <c r="G1533" i="1"/>
  <c r="C670" i="23"/>
  <c r="H1065" i="1"/>
  <c r="E1695" i="1"/>
  <c r="H1948" i="1"/>
  <c r="H810" i="1"/>
  <c r="D82" i="23"/>
  <c r="N741" i="23"/>
  <c r="N961" i="23"/>
  <c r="N118" i="23"/>
  <c r="D189" i="23"/>
  <c r="N640" i="23"/>
  <c r="A9" i="16"/>
  <c r="C505" i="23"/>
  <c r="C888" i="23"/>
  <c r="C617" i="23"/>
  <c r="G879" i="1"/>
  <c r="D953" i="23"/>
  <c r="N431" i="23"/>
  <c r="C182" i="23"/>
  <c r="C132" i="23"/>
  <c r="G453" i="1"/>
  <c r="D316" i="23"/>
  <c r="N951" i="23"/>
  <c r="H908" i="1"/>
  <c r="D242" i="23"/>
  <c r="H211" i="1"/>
  <c r="C351" i="23"/>
  <c r="G1926" i="1"/>
  <c r="J57" i="20"/>
  <c r="G1700" i="1"/>
  <c r="D75" i="23"/>
  <c r="N953" i="23"/>
  <c r="H1251" i="1"/>
  <c r="C606" i="23"/>
  <c r="H1445" i="1"/>
  <c r="I30" i="20"/>
  <c r="J107" i="20"/>
  <c r="G945" i="1"/>
  <c r="D894" i="23"/>
  <c r="G1967" i="1"/>
  <c r="H124" i="1"/>
  <c r="N95" i="23"/>
  <c r="D205" i="23"/>
  <c r="C765" i="23"/>
  <c r="G1465" i="1"/>
  <c r="D740" i="23"/>
  <c r="E1666" i="1"/>
  <c r="H2141" i="1"/>
  <c r="G2102" i="1"/>
  <c r="K71" i="20"/>
  <c r="H1221" i="1"/>
  <c r="N598" i="23"/>
  <c r="C422" i="23"/>
  <c r="D633" i="23"/>
  <c r="D809" i="23"/>
  <c r="D178" i="23"/>
  <c r="G2189" i="1"/>
  <c r="G1727" i="1"/>
  <c r="M16" i="20"/>
  <c r="C18" i="16"/>
  <c r="C921" i="23"/>
  <c r="N362" i="23"/>
  <c r="G338" i="1"/>
  <c r="G1528" i="1"/>
  <c r="C239" i="23"/>
  <c r="H25" i="16"/>
  <c r="C708" i="23"/>
  <c r="K95" i="20"/>
  <c r="D110" i="23"/>
  <c r="N32" i="23"/>
  <c r="C845" i="23"/>
  <c r="C441" i="23"/>
  <c r="N540" i="23"/>
  <c r="D895" i="23"/>
  <c r="D17" i="21"/>
  <c r="N191" i="23"/>
  <c r="H814" i="1"/>
  <c r="N978" i="23"/>
  <c r="C264" i="23"/>
  <c r="O101" i="21"/>
  <c r="G947" i="1"/>
  <c r="G640" i="1"/>
  <c r="N420" i="23"/>
  <c r="H1824" i="1"/>
  <c r="D356" i="23"/>
  <c r="N831" i="23"/>
  <c r="C813" i="23"/>
  <c r="G2115" i="1"/>
  <c r="H161" i="1"/>
  <c r="H317" i="1"/>
  <c r="C336" i="23"/>
  <c r="H1872" i="1"/>
  <c r="D940" i="23"/>
  <c r="G1051" i="1"/>
  <c r="H1218" i="1"/>
  <c r="D314" i="23"/>
  <c r="I33" i="20"/>
  <c r="C241" i="23"/>
  <c r="H819" i="1"/>
  <c r="G138" i="1"/>
  <c r="G345" i="1"/>
  <c r="C332" i="23"/>
  <c r="I63" i="20"/>
  <c r="G1863" i="1"/>
  <c r="I56" i="20"/>
  <c r="D98" i="23"/>
  <c r="C135" i="23"/>
  <c r="N495" i="23"/>
  <c r="G47" i="1"/>
  <c r="C699" i="23"/>
  <c r="H1244" i="1"/>
  <c r="C812" i="23"/>
  <c r="N960" i="23"/>
  <c r="C250" i="23"/>
  <c r="D678" i="23"/>
  <c r="G846" i="1"/>
  <c r="N745" i="23"/>
  <c r="H1391" i="1"/>
  <c r="C904" i="23"/>
  <c r="H1279" i="1"/>
  <c r="C23" i="16"/>
  <c r="H1111" i="1"/>
  <c r="D171" i="23"/>
  <c r="E1507" i="1"/>
  <c r="N973" i="23"/>
  <c r="E2260" i="1"/>
  <c r="H1709" i="1"/>
  <c r="H204" i="1"/>
  <c r="N218" i="23"/>
  <c r="H504" i="1"/>
  <c r="D657" i="23"/>
  <c r="N505" i="23"/>
  <c r="C125" i="23"/>
  <c r="C846" i="23"/>
  <c r="C60" i="21"/>
  <c r="E2064" i="1"/>
  <c r="L38" i="20"/>
  <c r="D52" i="21"/>
  <c r="C222" i="23"/>
  <c r="K11" i="20"/>
  <c r="D429" i="23"/>
  <c r="C655" i="23"/>
  <c r="H1436" i="1"/>
  <c r="H1327" i="1"/>
  <c r="M84" i="20"/>
  <c r="M31" i="20"/>
  <c r="N455" i="23"/>
  <c r="H648" i="1"/>
  <c r="N851" i="23"/>
  <c r="E1782" i="1"/>
  <c r="N25" i="16"/>
  <c r="C139" i="23"/>
  <c r="H279" i="1"/>
  <c r="G1454" i="1"/>
  <c r="D219" i="23"/>
  <c r="H1768" i="1"/>
  <c r="G1860" i="1"/>
  <c r="H242" i="1"/>
  <c r="G924" i="1"/>
  <c r="D409" i="23"/>
  <c r="E1533" i="1"/>
  <c r="H1635" i="1"/>
  <c r="H73" i="1"/>
  <c r="D625" i="23"/>
  <c r="W90" i="21"/>
  <c r="G690" i="1"/>
  <c r="C674" i="23"/>
  <c r="D718" i="23"/>
  <c r="C750" i="23"/>
  <c r="D243" i="23"/>
  <c r="H754" i="1"/>
  <c r="G657" i="1"/>
  <c r="D290" i="23"/>
  <c r="G1282" i="1"/>
  <c r="C21" i="16"/>
  <c r="E1955" i="1"/>
  <c r="L107" i="20"/>
  <c r="D595" i="23"/>
  <c r="J88" i="20"/>
  <c r="D65" i="21"/>
  <c r="K29" i="20"/>
  <c r="C16" i="21"/>
  <c r="N627" i="23"/>
  <c r="H1562" i="1"/>
  <c r="D767" i="23"/>
  <c r="H1480" i="1"/>
  <c r="C287" i="23"/>
  <c r="H444" i="1"/>
  <c r="C598" i="23"/>
  <c r="G680" i="1"/>
  <c r="D799" i="23"/>
  <c r="C41" i="23"/>
  <c r="D372" i="23"/>
  <c r="D822" i="23"/>
  <c r="D697" i="23"/>
  <c r="H591" i="1"/>
  <c r="H956" i="1"/>
  <c r="C199" i="23"/>
  <c r="C54" i="23"/>
  <c r="C810" i="23"/>
  <c r="J105" i="20"/>
  <c r="L43" i="20"/>
  <c r="E1582" i="1"/>
  <c r="H737" i="1"/>
  <c r="D572" i="23"/>
  <c r="D222" i="23"/>
  <c r="G582" i="1"/>
  <c r="C564" i="23"/>
  <c r="G1402" i="1"/>
  <c r="G913" i="1"/>
  <c r="G892" i="1"/>
  <c r="C498" i="23"/>
  <c r="N735" i="23"/>
  <c r="G1669" i="1"/>
  <c r="D497" i="23"/>
  <c r="N131" i="23"/>
  <c r="D643" i="23"/>
  <c r="N668" i="23"/>
  <c r="G2141" i="1"/>
  <c r="C752" i="23"/>
  <c r="N350" i="23"/>
  <c r="N987" i="23"/>
  <c r="J7" i="20"/>
  <c r="L58" i="20"/>
  <c r="E1732" i="1"/>
  <c r="C38" i="21"/>
  <c r="N972" i="23"/>
  <c r="D106" i="23"/>
  <c r="N289" i="23"/>
  <c r="G152" i="1"/>
  <c r="H1751" i="1"/>
  <c r="J22" i="20"/>
  <c r="N244" i="23"/>
  <c r="K51" i="20"/>
  <c r="G2192" i="1"/>
  <c r="N217" i="23"/>
  <c r="G305" i="1"/>
  <c r="N980" i="23"/>
  <c r="G458" i="1"/>
  <c r="N129" i="23"/>
  <c r="B5" i="16"/>
  <c r="N786" i="23"/>
  <c r="N177" i="23"/>
  <c r="D301" i="23"/>
  <c r="H2196" i="1"/>
  <c r="K35" i="20"/>
  <c r="D30" i="21"/>
  <c r="H1154" i="1"/>
  <c r="H428" i="1"/>
  <c r="H1754" i="1"/>
  <c r="D63" i="23"/>
  <c r="N176" i="23"/>
  <c r="D620" i="23"/>
  <c r="I102" i="20"/>
  <c r="N248" i="23"/>
  <c r="H1449" i="1"/>
  <c r="D463" i="23"/>
  <c r="D990" i="23"/>
  <c r="G2037" i="1"/>
  <c r="N975" i="23"/>
  <c r="D506" i="23"/>
  <c r="H798" i="1"/>
  <c r="W21" i="21"/>
  <c r="N809" i="23"/>
  <c r="H632" i="1"/>
  <c r="D977" i="23"/>
  <c r="C778" i="23"/>
  <c r="D26" i="21"/>
  <c r="D58" i="23"/>
  <c r="D370" i="23"/>
  <c r="D877" i="23"/>
  <c r="D39" i="21"/>
  <c r="G1599" i="1"/>
  <c r="H346" i="1"/>
  <c r="C210" i="23"/>
  <c r="D880" i="23"/>
  <c r="C477" i="23"/>
  <c r="G2208" i="1"/>
  <c r="G859" i="1"/>
  <c r="H2177" i="1"/>
  <c r="C435" i="23"/>
  <c r="N921" i="23"/>
  <c r="D632" i="23"/>
  <c r="C414" i="23"/>
  <c r="E1684" i="1"/>
  <c r="D374" i="23"/>
  <c r="C945" i="23"/>
  <c r="G735" i="1"/>
  <c r="C138" i="23"/>
  <c r="O30" i="21"/>
  <c r="D800" i="23"/>
  <c r="D173" i="23"/>
  <c r="W39" i="21"/>
  <c r="E1984" i="1"/>
  <c r="D641" i="23"/>
  <c r="C55" i="23"/>
  <c r="G647" i="1"/>
  <c r="E1621" i="1"/>
  <c r="C652" i="23"/>
  <c r="H1903" i="1"/>
  <c r="C420" i="23"/>
  <c r="N199" i="23"/>
  <c r="C346" i="23"/>
  <c r="C597" i="23"/>
  <c r="G1311" i="1"/>
  <c r="N340" i="23"/>
  <c r="N837" i="23"/>
  <c r="G1057" i="1"/>
  <c r="D730" i="23"/>
  <c r="D52" i="23"/>
  <c r="G1932" i="1"/>
  <c r="H307" i="1"/>
  <c r="G114" i="1"/>
  <c r="D15" i="23"/>
  <c r="G692" i="1"/>
  <c r="G151" i="1"/>
  <c r="C977" i="23"/>
  <c r="C851" i="23"/>
  <c r="I6" i="20"/>
  <c r="D993" i="23"/>
  <c r="E2051" i="1"/>
  <c r="N47" i="23"/>
  <c r="D274" i="23"/>
  <c r="N998" i="23"/>
  <c r="D127" i="23"/>
  <c r="H2075" i="1"/>
  <c r="D382" i="23"/>
  <c r="H2194" i="1"/>
  <c r="G1992" i="1"/>
  <c r="D375" i="23"/>
  <c r="N90" i="23"/>
  <c r="N344" i="23"/>
  <c r="E1950" i="1"/>
  <c r="C535" i="23"/>
  <c r="H1583" i="1"/>
  <c r="E2233" i="1"/>
  <c r="N793" i="23"/>
  <c r="G1144" i="1"/>
  <c r="C442" i="23"/>
  <c r="C39" i="21"/>
  <c r="G2096" i="1"/>
  <c r="N207" i="23"/>
  <c r="D929" i="23"/>
  <c r="C481" i="23"/>
  <c r="M87" i="20"/>
  <c r="K94" i="20"/>
  <c r="J99" i="20"/>
  <c r="G1278" i="1"/>
  <c r="C632" i="23"/>
  <c r="D81" i="21"/>
  <c r="E2267" i="1"/>
  <c r="C78" i="21"/>
  <c r="N687" i="23"/>
  <c r="D384" i="23"/>
  <c r="N181" i="23"/>
  <c r="D86" i="21"/>
  <c r="G1273" i="1"/>
  <c r="C120" i="23"/>
  <c r="G1325" i="1"/>
  <c r="C737" i="23"/>
  <c r="N74" i="23"/>
  <c r="O98" i="21"/>
  <c r="G676" i="1"/>
  <c r="G1365" i="1"/>
  <c r="N938" i="23"/>
  <c r="N147" i="23"/>
  <c r="H2312" i="1"/>
  <c r="H1670" i="1"/>
  <c r="E1967" i="1"/>
  <c r="D525" i="23"/>
  <c r="O48" i="21"/>
  <c r="G723" i="1"/>
  <c r="N64" i="23"/>
  <c r="M5" i="16"/>
  <c r="H2115" i="1"/>
  <c r="H2055" i="1"/>
  <c r="C852" i="23"/>
  <c r="N101" i="23"/>
  <c r="F10" i="16"/>
  <c r="E22" i="16"/>
  <c r="H922" i="1"/>
  <c r="D540" i="23"/>
  <c r="N301" i="23"/>
  <c r="C171" i="23"/>
  <c r="C829" i="23"/>
  <c r="C320" i="23"/>
  <c r="G2077" i="1"/>
  <c r="D889" i="23"/>
  <c r="D756" i="23"/>
  <c r="C997" i="23"/>
  <c r="H1814" i="1"/>
  <c r="H1916" i="1"/>
  <c r="G219" i="1"/>
  <c r="G713" i="1"/>
  <c r="G2034" i="1"/>
  <c r="E1697" i="1"/>
  <c r="N178" i="23"/>
  <c r="H6" i="16"/>
  <c r="D688" i="23"/>
  <c r="D905" i="23"/>
  <c r="C450" i="23"/>
  <c r="D271" i="23"/>
  <c r="C625" i="23"/>
  <c r="N738" i="23"/>
  <c r="C218" i="23"/>
  <c r="J38" i="20"/>
  <c r="D324" i="23"/>
  <c r="N114" i="23"/>
  <c r="N915" i="23"/>
  <c r="G1887" i="1"/>
  <c r="N624" i="23"/>
  <c r="H320" i="1"/>
  <c r="H252" i="1"/>
  <c r="W75" i="21"/>
  <c r="I14" i="20"/>
  <c r="C193" i="23"/>
  <c r="C86" i="21"/>
  <c r="D681" i="23"/>
  <c r="D976" i="23"/>
  <c r="K72" i="20"/>
  <c r="C969" i="23"/>
  <c r="C910" i="23"/>
  <c r="C113" i="23"/>
  <c r="G2140" i="1"/>
  <c r="G1588" i="1"/>
  <c r="H659" i="1"/>
  <c r="I66" i="20"/>
  <c r="D590" i="23"/>
  <c r="E1854" i="1"/>
  <c r="D102" i="23"/>
  <c r="H1118" i="1"/>
  <c r="G450" i="1"/>
  <c r="D248" i="23"/>
  <c r="H21" i="16"/>
  <c r="D639" i="23"/>
  <c r="D108" i="23"/>
  <c r="C13" i="21"/>
  <c r="H295" i="1"/>
  <c r="C186" i="23"/>
  <c r="H1784" i="1"/>
  <c r="C814" i="23"/>
  <c r="N844" i="23"/>
  <c r="D395" i="23"/>
  <c r="D844" i="23"/>
  <c r="H2090" i="1"/>
  <c r="C297" i="23"/>
  <c r="N704" i="23"/>
  <c r="H41" i="1"/>
  <c r="H1549" i="1"/>
  <c r="H2086" i="1"/>
  <c r="N964" i="23"/>
  <c r="E1638" i="1"/>
  <c r="N104" i="23"/>
  <c r="H347" i="1"/>
  <c r="N226" i="23"/>
  <c r="H1653" i="1"/>
  <c r="C12" i="23"/>
  <c r="O63" i="21"/>
  <c r="G1876" i="1"/>
  <c r="D99" i="23"/>
  <c r="H1807" i="1"/>
  <c r="D185" i="23"/>
  <c r="N845" i="23"/>
  <c r="G716" i="1"/>
  <c r="H15" i="16"/>
  <c r="D999" i="23"/>
  <c r="D612" i="23"/>
  <c r="D188" i="23"/>
  <c r="D61" i="23"/>
  <c r="N889" i="23"/>
  <c r="M85" i="20"/>
  <c r="G435" i="1"/>
  <c r="D470" i="23"/>
  <c r="D434" i="23"/>
  <c r="G1962" i="1"/>
  <c r="H674" i="1"/>
  <c r="G1426" i="1"/>
  <c r="H2182" i="1"/>
  <c r="G1679" i="1"/>
  <c r="H191" i="1"/>
  <c r="C78" i="23"/>
  <c r="G207" i="1"/>
  <c r="D652" i="23"/>
  <c r="G2273" i="1"/>
  <c r="G768" i="1"/>
  <c r="G537" i="1"/>
  <c r="N542" i="23"/>
  <c r="D811" i="23"/>
  <c r="H2152" i="1"/>
  <c r="N306" i="23"/>
  <c r="N23" i="16"/>
  <c r="H2143" i="1"/>
  <c r="M42" i="20"/>
  <c r="C518" i="23"/>
  <c r="D404" i="23"/>
  <c r="N719" i="23"/>
  <c r="G805" i="1"/>
  <c r="M72" i="20"/>
  <c r="N125" i="23"/>
  <c r="G229" i="1"/>
  <c r="C575" i="23"/>
  <c r="H90" i="1"/>
  <c r="M110" i="20"/>
  <c r="E1493" i="1"/>
  <c r="J60" i="20"/>
  <c r="C151" i="23"/>
  <c r="N150" i="23"/>
  <c r="N590" i="23"/>
  <c r="G804" i="1"/>
  <c r="D54" i="23"/>
  <c r="C15" i="23"/>
  <c r="H546" i="1"/>
  <c r="M107" i="20"/>
  <c r="N189" i="23"/>
  <c r="N339" i="23"/>
  <c r="K92" i="20"/>
  <c r="N357" i="23"/>
  <c r="D225" i="23"/>
  <c r="H13" i="1"/>
  <c r="E1527" i="1"/>
  <c r="G547" i="1"/>
  <c r="C23" i="23"/>
  <c r="D861" i="23"/>
  <c r="C184" i="23"/>
  <c r="E1725" i="1"/>
  <c r="N861" i="23"/>
  <c r="D873" i="23"/>
  <c r="C491" i="23"/>
  <c r="N790" i="23"/>
  <c r="D109" i="23"/>
  <c r="C834" i="23"/>
  <c r="D802" i="23"/>
  <c r="N439" i="23"/>
  <c r="C690" i="23"/>
  <c r="N148" i="23"/>
  <c r="D319" i="23"/>
  <c r="F5" i="16"/>
  <c r="H1188" i="1"/>
  <c r="G1606" i="1"/>
  <c r="H2032" i="1"/>
  <c r="D955" i="23"/>
  <c r="D603" i="23"/>
  <c r="N849" i="23"/>
  <c r="H180" i="1"/>
  <c r="C856" i="23"/>
  <c r="N290" i="23"/>
  <c r="D458" i="23"/>
  <c r="D50" i="21"/>
  <c r="N748" i="23"/>
  <c r="C784" i="23"/>
  <c r="D454" i="23"/>
  <c r="G14" i="1"/>
  <c r="H1149" i="1"/>
  <c r="N96" i="23"/>
  <c r="K96" i="20"/>
  <c r="O53" i="21"/>
  <c r="N758" i="23"/>
  <c r="H779" i="1"/>
  <c r="N887" i="23"/>
  <c r="D412" i="23"/>
  <c r="W62" i="21"/>
  <c r="K54" i="20"/>
  <c r="G1721" i="1"/>
  <c r="G2257" i="1"/>
  <c r="C896" i="23"/>
  <c r="H1896" i="1"/>
  <c r="D84" i="21"/>
  <c r="C557" i="23"/>
  <c r="C64" i="23"/>
  <c r="D131" i="23"/>
  <c r="M70" i="20"/>
  <c r="H738" i="1"/>
  <c r="D123" i="23"/>
  <c r="N12" i="16"/>
  <c r="G1098" i="1"/>
  <c r="G2278" i="1"/>
  <c r="C166" i="23"/>
  <c r="E1709" i="1"/>
  <c r="N84" i="23"/>
  <c r="H1764" i="1"/>
  <c r="C902" i="23"/>
  <c r="D722" i="23"/>
  <c r="D944" i="23"/>
  <c r="C968" i="23"/>
  <c r="G391" i="1"/>
  <c r="G1692" i="1"/>
  <c r="C474" i="23"/>
  <c r="N565" i="23"/>
  <c r="G479" i="1"/>
  <c r="H292" i="1"/>
  <c r="E18" i="16"/>
  <c r="O26" i="21"/>
  <c r="H1382" i="1"/>
  <c r="J102" i="20"/>
  <c r="D524" i="23"/>
  <c r="D57" i="21"/>
  <c r="D264" i="23"/>
  <c r="A8" i="16"/>
  <c r="N677" i="23"/>
  <c r="C51" i="21"/>
  <c r="C102" i="23"/>
  <c r="C452" i="23"/>
  <c r="D443" i="23"/>
  <c r="M68" i="20"/>
  <c r="H1809" i="1"/>
  <c r="H2083" i="1"/>
  <c r="H806" i="1"/>
  <c r="D966" i="23"/>
  <c r="G1774" i="1"/>
  <c r="H2204" i="1"/>
  <c r="C948" i="23"/>
  <c r="N813" i="23"/>
  <c r="G528" i="1"/>
  <c r="L57" i="20"/>
  <c r="M23" i="20"/>
  <c r="C479" i="23"/>
  <c r="N586" i="23"/>
  <c r="C326" i="23"/>
  <c r="G2107" i="1"/>
  <c r="I64" i="20"/>
  <c r="N682" i="23"/>
  <c r="D815" i="23"/>
  <c r="D520" i="23"/>
  <c r="H2250" i="1"/>
  <c r="D779" i="23"/>
  <c r="C261" i="23"/>
  <c r="N490" i="23"/>
  <c r="G797" i="1"/>
  <c r="C827" i="23"/>
  <c r="H813" i="1"/>
  <c r="H1122" i="1"/>
  <c r="D10" i="23"/>
  <c r="C205" i="23"/>
  <c r="G1338" i="1"/>
  <c r="D863" i="23"/>
  <c r="D609" i="23"/>
  <c r="C157" i="23"/>
  <c r="C357" i="23"/>
  <c r="C212" i="23"/>
  <c r="H255" i="1"/>
  <c r="C874" i="23"/>
  <c r="H2231" i="1"/>
  <c r="D926" i="23"/>
  <c r="C348" i="23"/>
  <c r="D943" i="23"/>
  <c r="G1693" i="1"/>
  <c r="C391" i="23"/>
  <c r="L22" i="20"/>
  <c r="C935" i="23"/>
  <c r="H1325" i="1"/>
  <c r="G2287" i="1"/>
  <c r="G471" i="1"/>
  <c r="L79" i="20"/>
  <c r="N376" i="23"/>
  <c r="H396" i="1"/>
  <c r="H1563" i="1"/>
  <c r="L36" i="20"/>
  <c r="L69" i="20"/>
  <c r="E1489" i="1"/>
  <c r="D448" i="23"/>
  <c r="D899" i="23"/>
  <c r="D494" i="23"/>
  <c r="C577" i="23"/>
  <c r="E1607" i="1"/>
  <c r="H59" i="1"/>
  <c r="C232" i="23"/>
  <c r="I36" i="20"/>
  <c r="M82" i="20"/>
  <c r="D495" i="23"/>
  <c r="H2245" i="1"/>
  <c r="D591" i="23"/>
  <c r="C12" i="16"/>
  <c r="G296" i="1"/>
  <c r="H841" i="1"/>
  <c r="N364" i="23"/>
  <c r="K82" i="20"/>
  <c r="N734" i="23"/>
  <c r="G1732" i="1"/>
  <c r="O12" i="21"/>
  <c r="C267" i="23"/>
  <c r="N293" i="23"/>
  <c r="E1914" i="1"/>
  <c r="H2012" i="1"/>
  <c r="N273" i="23"/>
  <c r="D90" i="21"/>
  <c r="N130" i="23"/>
  <c r="C831" i="23"/>
  <c r="N705" i="23"/>
  <c r="D920" i="23"/>
  <c r="C494" i="23"/>
  <c r="G677" i="1"/>
  <c r="G1523" i="1"/>
  <c r="D985" i="23"/>
  <c r="H1490" i="1"/>
  <c r="H1002" i="1"/>
  <c r="C530" i="23"/>
  <c r="D67" i="21"/>
  <c r="C497" i="23"/>
  <c r="E1716" i="1"/>
  <c r="C897" i="23"/>
  <c r="D598" i="23"/>
  <c r="G1497" i="1"/>
  <c r="D508" i="23"/>
  <c r="N878" i="23"/>
  <c r="C24" i="16"/>
  <c r="H9" i="16"/>
  <c r="G25" i="16"/>
  <c r="G851" i="1"/>
  <c r="E2045" i="1"/>
  <c r="W100" i="21"/>
  <c r="N820" i="23"/>
  <c r="G758" i="1"/>
  <c r="H1826" i="1"/>
  <c r="G756" i="1"/>
  <c r="C434" i="23"/>
  <c r="E2195" i="1"/>
  <c r="H984" i="1"/>
  <c r="G42" i="1"/>
  <c r="G516" i="1"/>
  <c r="E1508" i="1"/>
  <c r="L45" i="20"/>
  <c r="C461" i="23"/>
  <c r="H666" i="1"/>
  <c r="D546" i="23"/>
  <c r="N886" i="23"/>
  <c r="G696" i="1"/>
  <c r="G1319" i="1"/>
  <c r="E1680" i="1"/>
  <c r="H1821" i="1"/>
  <c r="N711" i="23"/>
  <c r="G17" i="16"/>
  <c r="G196" i="1"/>
  <c r="C110" i="23"/>
  <c r="H527" i="1"/>
  <c r="N11" i="23"/>
  <c r="N528" i="23"/>
  <c r="G1765" i="1"/>
  <c r="C460" i="23"/>
  <c r="D294" i="23"/>
  <c r="H724" i="1"/>
  <c r="E2270" i="1"/>
  <c r="H947" i="1"/>
  <c r="D371" i="23"/>
  <c r="H462" i="1"/>
  <c r="C976" i="23"/>
  <c r="C155" i="23"/>
  <c r="N280" i="23"/>
  <c r="N782" i="23"/>
  <c r="H1932" i="1"/>
  <c r="N611" i="23"/>
  <c r="D134" i="23"/>
  <c r="N442" i="23"/>
  <c r="G1496" i="1"/>
  <c r="D726" i="23"/>
  <c r="G506" i="1"/>
  <c r="G1651" i="1"/>
  <c r="C667" i="23"/>
  <c r="N212" i="23"/>
  <c r="G2093" i="1"/>
  <c r="W47" i="21"/>
  <c r="H1672" i="1"/>
  <c r="I75" i="20"/>
  <c r="E2204" i="1"/>
  <c r="D72" i="21"/>
  <c r="H397" i="1"/>
  <c r="I109" i="20"/>
  <c r="D791" i="23"/>
  <c r="D821" i="23"/>
  <c r="C14" i="16"/>
  <c r="G10" i="16"/>
  <c r="N696" i="23"/>
  <c r="E2306" i="1"/>
  <c r="H24" i="16"/>
  <c r="N649" i="23"/>
  <c r="D646" i="23"/>
  <c r="H1954" i="1"/>
  <c r="N907" i="23"/>
  <c r="N647" i="23"/>
  <c r="W9" i="21"/>
  <c r="N892" i="23"/>
  <c r="D70" i="23"/>
  <c r="N383" i="23"/>
  <c r="D74" i="21"/>
  <c r="C641" i="23"/>
  <c r="H1521" i="1"/>
  <c r="H2105" i="1"/>
  <c r="D128" i="23"/>
  <c r="M17" i="20"/>
  <c r="H245" i="1"/>
  <c r="H2060" i="1"/>
  <c r="H254" i="1"/>
  <c r="C748" i="23"/>
  <c r="H1953" i="1"/>
  <c r="N544" i="23"/>
  <c r="G1294" i="1"/>
  <c r="N18" i="16"/>
  <c r="E1564" i="1"/>
  <c r="H593" i="1"/>
  <c r="D339" i="23"/>
  <c r="C842" i="23"/>
  <c r="E11" i="16"/>
  <c r="E2256" i="1"/>
  <c r="L13" i="20"/>
  <c r="C51" i="23"/>
  <c r="W102" i="21"/>
  <c r="N80" i="23"/>
  <c r="H348" i="1"/>
  <c r="C967" i="23"/>
  <c r="D334" i="23"/>
  <c r="D118" i="23"/>
  <c r="D383" i="23"/>
  <c r="G1383" i="1"/>
  <c r="G2275" i="1"/>
  <c r="C798" i="23"/>
  <c r="M56" i="20"/>
  <c r="C207" i="23"/>
  <c r="K36" i="20"/>
  <c r="E1669" i="1"/>
  <c r="N312" i="23"/>
  <c r="N183" i="23"/>
  <c r="E2048" i="1"/>
  <c r="D215" i="23"/>
  <c r="D569" i="23"/>
  <c r="H836" i="1"/>
  <c r="H543" i="1"/>
  <c r="H488" i="1"/>
  <c r="H1112" i="1"/>
  <c r="N955" i="23"/>
  <c r="J52" i="20"/>
  <c r="C987" i="23"/>
  <c r="M13" i="16"/>
  <c r="H1162" i="1"/>
  <c r="G823" i="1"/>
  <c r="D758" i="23"/>
  <c r="H1208" i="1"/>
  <c r="D194" i="23"/>
  <c r="C25" i="16"/>
  <c r="L52" i="20"/>
  <c r="D199" i="23"/>
  <c r="D19" i="21"/>
  <c r="H2200" i="1"/>
  <c r="G303" i="1"/>
  <c r="C568" i="23"/>
  <c r="J56" i="20"/>
  <c r="W19" i="21"/>
  <c r="D10" i="21"/>
  <c r="C830" i="23"/>
  <c r="D143" i="23"/>
  <c r="H442" i="1"/>
  <c r="G1766" i="1"/>
  <c r="D397" i="23"/>
  <c r="D129" i="23"/>
  <c r="N863" i="23"/>
  <c r="C915" i="23"/>
  <c r="H744" i="1"/>
  <c r="W45" i="21"/>
  <c r="D353" i="23"/>
  <c r="D176" i="23"/>
  <c r="N414" i="23"/>
  <c r="D589" i="23"/>
  <c r="H2193" i="1"/>
  <c r="G1654" i="1"/>
  <c r="H2169" i="1"/>
  <c r="I72" i="20"/>
  <c r="H1690" i="1"/>
  <c r="C90" i="21"/>
  <c r="C421" i="23"/>
  <c r="H1725" i="1"/>
  <c r="E1845" i="1"/>
  <c r="C42" i="23"/>
  <c r="E5" i="16"/>
  <c r="C777" i="23"/>
  <c r="G309" i="1"/>
  <c r="D76" i="21"/>
  <c r="I110" i="20"/>
  <c r="C473" i="23"/>
  <c r="N224" i="23"/>
  <c r="O83" i="21"/>
  <c r="E1892" i="1"/>
  <c r="H1397" i="1"/>
  <c r="H1429" i="1"/>
  <c r="N718" i="23"/>
  <c r="C990" i="23"/>
  <c r="D836" i="23"/>
  <c r="D628" i="23"/>
  <c r="C56" i="21"/>
  <c r="N957" i="23"/>
  <c r="N370" i="23"/>
  <c r="H1735" i="1"/>
  <c r="N828" i="23"/>
  <c r="N902" i="23"/>
  <c r="G1038" i="1"/>
  <c r="G1891" i="1"/>
  <c r="D555" i="23"/>
  <c r="N771" i="23"/>
  <c r="N646" i="23"/>
  <c r="I57" i="20"/>
  <c r="D346" i="23"/>
  <c r="G898" i="1"/>
  <c r="N296" i="23"/>
  <c r="H1957" i="1"/>
  <c r="E1821" i="1"/>
  <c r="C79" i="23"/>
  <c r="D78" i="23"/>
  <c r="C492" i="23"/>
  <c r="N959" i="23"/>
  <c r="N572" i="23"/>
  <c r="C905" i="23"/>
  <c r="H1701" i="1"/>
  <c r="N19" i="16"/>
  <c r="N549" i="23"/>
  <c r="N894" i="23"/>
  <c r="L33" i="20"/>
  <c r="C49" i="23"/>
  <c r="C689" i="23"/>
  <c r="N890" i="23"/>
  <c r="G1990" i="1"/>
  <c r="J94" i="20"/>
  <c r="N855" i="23"/>
  <c r="G1470" i="1"/>
  <c r="N561" i="23"/>
  <c r="C40" i="21"/>
  <c r="C454" i="23"/>
  <c r="W65" i="21"/>
  <c r="C128" i="23"/>
  <c r="N430" i="23"/>
  <c r="W43" i="21"/>
  <c r="D716" i="23"/>
  <c r="C930" i="23"/>
  <c r="H1993" i="1"/>
  <c r="D201" i="23"/>
  <c r="D902" i="23"/>
  <c r="C424" i="23"/>
  <c r="N496" i="23"/>
  <c r="G1604" i="1"/>
  <c r="D723" i="23"/>
  <c r="D22" i="21"/>
  <c r="G1492" i="1"/>
  <c r="N259" i="23"/>
  <c r="A5" i="16"/>
  <c r="W52" i="21"/>
  <c r="O89" i="21"/>
  <c r="D465" i="23"/>
  <c r="N939" i="23"/>
  <c r="N403" i="23"/>
  <c r="H654" i="1"/>
  <c r="H2128" i="1"/>
  <c r="C50" i="21"/>
  <c r="H154" i="1"/>
  <c r="D21" i="23"/>
  <c r="E2119" i="1"/>
  <c r="C22" i="21"/>
  <c r="C999" i="23"/>
  <c r="H2179" i="1"/>
  <c r="G2066" i="1"/>
  <c r="G1955" i="1"/>
  <c r="D170" i="23"/>
  <c r="N69" i="23"/>
  <c r="C385" i="23"/>
  <c r="G405" i="1"/>
  <c r="H689" i="1"/>
  <c r="H1695" i="1"/>
  <c r="G40" i="1"/>
  <c r="G1233" i="1"/>
  <c r="M94" i="20"/>
  <c r="N810" i="23"/>
  <c r="C555" i="23"/>
  <c r="G136" i="1"/>
  <c r="C1000" i="23"/>
  <c r="W103" i="21"/>
  <c r="G306" i="1"/>
  <c r="N42" i="23"/>
  <c r="H1497" i="1"/>
  <c r="G920" i="1"/>
  <c r="C733" i="23"/>
  <c r="C338" i="23"/>
  <c r="C546" i="23"/>
  <c r="J25" i="20"/>
  <c r="E2174" i="1"/>
  <c r="N399" i="23"/>
  <c r="H1689" i="1"/>
  <c r="E2181" i="1"/>
  <c r="M39" i="20"/>
  <c r="E1947" i="1"/>
  <c r="N607" i="23"/>
  <c r="G2204" i="1"/>
  <c r="N127" i="23"/>
  <c r="H121" i="1"/>
  <c r="D784" i="23"/>
  <c r="H1153" i="1"/>
  <c r="G954" i="1"/>
  <c r="H418" i="1"/>
  <c r="H1691" i="1"/>
  <c r="O66" i="21"/>
  <c r="D496" i="23"/>
  <c r="D987" i="23"/>
  <c r="C447" i="23"/>
  <c r="H425" i="1"/>
  <c r="D86" i="23"/>
  <c r="N526" i="23"/>
  <c r="C465" i="23"/>
  <c r="O58" i="21"/>
  <c r="C280" i="23"/>
  <c r="N232" i="23"/>
  <c r="E1452" i="1"/>
  <c r="L84" i="20"/>
  <c r="G1975" i="1"/>
  <c r="D14" i="21"/>
  <c r="C107" i="23"/>
  <c r="G1421" i="1"/>
  <c r="N931" i="23"/>
  <c r="H790" i="1"/>
  <c r="G1369" i="1"/>
  <c r="H2263" i="1"/>
  <c r="H2020" i="1"/>
  <c r="G2301" i="1"/>
  <c r="D759" i="23"/>
  <c r="C682" i="23"/>
  <c r="N801" i="23"/>
  <c r="H768" i="1"/>
  <c r="G129" i="1"/>
  <c r="C17" i="16"/>
  <c r="G1343" i="1"/>
  <c r="H598" i="1"/>
  <c r="D945" i="23"/>
  <c r="D427" i="23"/>
  <c r="C872" i="23"/>
  <c r="G1977" i="1"/>
  <c r="B14" i="16"/>
  <c r="C292" i="23"/>
  <c r="H2160" i="1"/>
  <c r="C43" i="23"/>
  <c r="G235" i="1"/>
  <c r="G1035" i="1"/>
  <c r="H213" i="1"/>
  <c r="E2272" i="1"/>
  <c r="C600" i="23"/>
  <c r="H2189" i="1"/>
  <c r="D47" i="21"/>
  <c r="C462" i="23"/>
  <c r="M71" i="20"/>
  <c r="G2026" i="1"/>
  <c r="D241" i="23"/>
  <c r="N991" i="23"/>
  <c r="D76" i="23"/>
  <c r="N592" i="23"/>
  <c r="I24" i="16"/>
  <c r="H2310" i="1"/>
  <c r="N367" i="23"/>
  <c r="N827" i="23"/>
  <c r="G2295" i="1"/>
  <c r="G1847" i="1"/>
  <c r="D683" i="23"/>
  <c r="H920" i="1"/>
  <c r="C610" i="23"/>
  <c r="H1020" i="1"/>
  <c r="C508" i="23"/>
  <c r="O64" i="21"/>
  <c r="C194" i="23"/>
  <c r="N587" i="23"/>
  <c r="D473" i="23"/>
  <c r="E1667" i="1"/>
  <c r="C489" i="23"/>
  <c r="O33" i="21"/>
  <c r="D318" i="23"/>
  <c r="C984" i="23"/>
  <c r="C99" i="21"/>
  <c r="O61" i="21"/>
  <c r="G362" i="1"/>
  <c r="D377" i="23"/>
  <c r="C306" i="23"/>
  <c r="D539" i="23"/>
  <c r="G1419" i="1"/>
  <c r="H699" i="1"/>
  <c r="G1610" i="1"/>
  <c r="C478" i="23"/>
  <c r="E1418" i="1"/>
  <c r="G1155" i="1"/>
  <c r="N645" i="23"/>
  <c r="D97" i="21"/>
  <c r="E1435" i="1"/>
  <c r="C89" i="23"/>
  <c r="D145" i="23"/>
  <c r="O44" i="21"/>
  <c r="H2082" i="1"/>
  <c r="E1589" i="1"/>
  <c r="D961" i="23"/>
  <c r="H2299" i="1"/>
  <c r="D240" i="23"/>
  <c r="G1567" i="1"/>
  <c r="N729" i="23"/>
  <c r="C847" i="23"/>
  <c r="G1300" i="1"/>
  <c r="N536" i="23"/>
  <c r="N246" i="23"/>
  <c r="D88" i="23"/>
  <c r="C789" i="23"/>
  <c r="H1594" i="1"/>
  <c r="G1306" i="1"/>
  <c r="C137" i="23"/>
  <c r="C949" i="23"/>
  <c r="D92" i="21"/>
  <c r="C279" i="23"/>
  <c r="D621" i="23"/>
  <c r="H2281" i="1"/>
  <c r="C159" i="23"/>
  <c r="G369" i="1"/>
  <c r="C333" i="23"/>
  <c r="H2261" i="1"/>
  <c r="C517" i="23"/>
  <c r="G78" i="1"/>
  <c r="D969" i="23"/>
  <c r="G1576" i="1"/>
  <c r="N286" i="23"/>
  <c r="H1649" i="1"/>
  <c r="E1720" i="1"/>
  <c r="C173" i="23"/>
  <c r="D560" i="23"/>
  <c r="H899" i="1"/>
  <c r="H673" i="1"/>
  <c r="W95" i="21"/>
  <c r="M12" i="20"/>
  <c r="N879" i="23"/>
  <c r="C195" i="23"/>
  <c r="H1915" i="1"/>
  <c r="K26" i="20"/>
  <c r="C242" i="23"/>
  <c r="B15" i="16"/>
  <c r="G1705" i="1"/>
  <c r="D66" i="23"/>
  <c r="G1115" i="1"/>
  <c r="N170" i="23"/>
  <c r="N543" i="23"/>
  <c r="D594" i="23"/>
  <c r="N683" i="23"/>
  <c r="G169" i="1"/>
  <c r="N530" i="23"/>
  <c r="C81" i="21"/>
  <c r="N78" i="23"/>
  <c r="E1911" i="1"/>
  <c r="D249" i="23"/>
  <c r="E1399" i="1"/>
  <c r="H1646" i="1"/>
  <c r="H1971" i="1"/>
  <c r="D885" i="23"/>
  <c r="I52" i="20"/>
  <c r="D433" i="23"/>
  <c r="D862" i="23"/>
  <c r="O54" i="21"/>
  <c r="E1835" i="1"/>
  <c r="M11" i="16"/>
  <c r="N208" i="23"/>
  <c r="D755" i="23"/>
  <c r="N457" i="23"/>
  <c r="H112" i="1"/>
  <c r="H1931" i="1"/>
  <c r="K63" i="20"/>
  <c r="E2098" i="1"/>
  <c r="D752" i="23"/>
  <c r="K91" i="20"/>
  <c r="G2063" i="1"/>
  <c r="C901" i="23"/>
  <c r="N110" i="23"/>
  <c r="N791" i="23"/>
  <c r="N725" i="23"/>
  <c r="D258" i="23"/>
  <c r="H1907" i="1"/>
  <c r="D790" i="23"/>
  <c r="N633" i="23"/>
  <c r="G1532" i="1"/>
  <c r="C686" i="23"/>
  <c r="H886" i="1"/>
  <c r="H990" i="1"/>
  <c r="N948" i="23"/>
  <c r="D695" i="23"/>
  <c r="G1923" i="1"/>
  <c r="D289" i="23"/>
  <c r="M109" i="20"/>
  <c r="D293" i="23"/>
  <c r="D159" i="23"/>
  <c r="G263" i="1"/>
  <c r="N334" i="23"/>
  <c r="H188" i="1"/>
  <c r="G452" i="1"/>
  <c r="A24" i="16"/>
  <c r="I49" i="20"/>
  <c r="H280" i="1"/>
  <c r="C985" i="23"/>
  <c r="H1114" i="1"/>
  <c r="E2207" i="1"/>
  <c r="C850" i="23"/>
  <c r="G379" i="1"/>
  <c r="N145" i="23"/>
  <c r="O27" i="21"/>
  <c r="D174" i="23"/>
  <c r="M67" i="20"/>
  <c r="G1078" i="1"/>
  <c r="G18" i="16"/>
  <c r="H356" i="1"/>
  <c r="D24" i="23"/>
  <c r="C923" i="23"/>
  <c r="C284" i="23"/>
  <c r="G2009" i="1"/>
  <c r="H1736" i="1"/>
  <c r="M10" i="20"/>
  <c r="E2066" i="1"/>
  <c r="N901" i="23"/>
  <c r="D946" i="23"/>
  <c r="N12" i="23"/>
  <c r="H1782" i="1"/>
  <c r="E1711" i="1"/>
  <c r="G1824" i="1"/>
  <c r="C524" i="23"/>
  <c r="B20" i="16"/>
  <c r="E1468" i="1"/>
  <c r="H1395" i="1"/>
  <c r="D823" i="23"/>
  <c r="C417" i="23"/>
  <c r="N20" i="23"/>
  <c r="A17" i="16"/>
  <c r="G140" i="1"/>
  <c r="G1615" i="1"/>
  <c r="N870" i="23"/>
  <c r="D152" i="23"/>
  <c r="K110" i="20"/>
  <c r="J31" i="20"/>
  <c r="N231" i="23"/>
  <c r="G2211" i="1"/>
  <c r="N16" i="16"/>
  <c r="N260" i="23"/>
  <c r="N65" i="23"/>
  <c r="H1388" i="1"/>
  <c r="O67" i="21"/>
  <c r="C62" i="23"/>
  <c r="G1153" i="1"/>
  <c r="E1642" i="1"/>
  <c r="C741" i="23"/>
  <c r="J26" i="20"/>
  <c r="H1075" i="1"/>
  <c r="D190" i="23"/>
  <c r="H2150" i="1"/>
  <c r="G232" i="1"/>
  <c r="L87" i="20"/>
  <c r="C538" i="23"/>
  <c r="H1613" i="1"/>
  <c r="N402" i="23"/>
  <c r="C559" i="23"/>
  <c r="N864" i="23"/>
  <c r="E2161" i="1"/>
  <c r="C21" i="23"/>
  <c r="E2238" i="1"/>
  <c r="C433" i="23"/>
  <c r="H1822" i="1"/>
  <c r="G674" i="1"/>
  <c r="D37" i="21"/>
  <c r="G2105" i="1"/>
  <c r="N637" i="23"/>
  <c r="H572" i="1"/>
  <c r="C735" i="23"/>
  <c r="C392" i="23"/>
  <c r="C8" i="16"/>
  <c r="C200" i="23"/>
  <c r="N307" i="23"/>
  <c r="G1630" i="1"/>
  <c r="D216" i="23"/>
  <c r="G767" i="1"/>
  <c r="G1513" i="1"/>
  <c r="W77" i="21"/>
  <c r="E1497" i="1"/>
  <c r="G2129" i="1"/>
  <c r="J100" i="20"/>
  <c r="G1596" i="1"/>
  <c r="O62" i="21"/>
  <c r="J89" i="20"/>
  <c r="G553" i="1"/>
  <c r="D980" i="23"/>
  <c r="H1252" i="1"/>
  <c r="H1893" i="1"/>
  <c r="C808" i="23"/>
  <c r="D27" i="23"/>
  <c r="C217" i="23"/>
  <c r="M92" i="20"/>
  <c r="J101" i="20"/>
  <c r="H1796" i="1"/>
  <c r="E1481" i="1"/>
  <c r="N418" i="23"/>
  <c r="C849" i="23"/>
  <c r="K27" i="20"/>
  <c r="D380" i="23"/>
  <c r="N392" i="23"/>
  <c r="H773" i="1"/>
  <c r="H1568" i="1"/>
  <c r="G2311" i="1"/>
  <c r="G779" i="1"/>
  <c r="D9" i="23"/>
  <c r="H1119" i="1"/>
  <c r="J11" i="20"/>
  <c r="N412" i="23"/>
  <c r="D69" i="23"/>
  <c r="N54" i="23"/>
  <c r="H2013" i="1"/>
  <c r="N504" i="23"/>
  <c r="C815" i="23"/>
  <c r="N349" i="23"/>
  <c r="M60" i="20"/>
  <c r="H662" i="1"/>
  <c r="G22" i="1"/>
  <c r="H1804" i="1"/>
  <c r="H995" i="1"/>
  <c r="N912" i="23"/>
  <c r="N323" i="23"/>
  <c r="C691" i="23"/>
  <c r="C426" i="23"/>
  <c r="E2074" i="1"/>
  <c r="N822" i="23"/>
  <c r="G635" i="1"/>
  <c r="G581" i="1"/>
  <c r="G1303" i="1"/>
  <c r="D42" i="23"/>
  <c r="D150" i="23"/>
  <c r="D100" i="21"/>
  <c r="G22" i="16"/>
  <c r="A7" i="16"/>
  <c r="C779" i="23"/>
  <c r="H2093" i="1"/>
  <c r="G960" i="1"/>
  <c r="H133" i="1"/>
  <c r="G1002" i="1"/>
  <c r="H1133" i="1"/>
  <c r="C14" i="21"/>
  <c r="H74" i="1"/>
  <c r="I45" i="20"/>
  <c r="C302" i="23"/>
  <c r="H2202" i="1"/>
  <c r="J91" i="20"/>
  <c r="L92" i="20"/>
  <c r="N494" i="23"/>
  <c r="D218" i="23"/>
  <c r="L35" i="20"/>
  <c r="H1668" i="1"/>
  <c r="W69" i="21"/>
  <c r="N908" i="23"/>
  <c r="G438" i="1"/>
  <c r="C696" i="23"/>
  <c r="H1361" i="1"/>
  <c r="C360" i="23"/>
  <c r="H153" i="1"/>
  <c r="H1344" i="1"/>
  <c r="H1420" i="1"/>
  <c r="C249" i="23"/>
  <c r="D856" i="23"/>
  <c r="D44" i="23"/>
  <c r="C913" i="23"/>
  <c r="C28" i="21"/>
  <c r="N320" i="23"/>
  <c r="N252" i="23"/>
  <c r="C819" i="23"/>
  <c r="E1795" i="1"/>
  <c r="D172" i="23"/>
  <c r="N685" i="23"/>
  <c r="H278" i="1"/>
  <c r="D399" i="23"/>
  <c r="H828" i="1"/>
  <c r="O86" i="21"/>
  <c r="W67" i="21"/>
  <c r="D244" i="23"/>
  <c r="C704" i="23"/>
  <c r="C79" i="21"/>
  <c r="C394" i="23"/>
  <c r="H217" i="1"/>
  <c r="N482" i="23"/>
  <c r="G357" i="1"/>
  <c r="N146" i="23"/>
  <c r="D696" i="23"/>
  <c r="E1784" i="1"/>
  <c r="M79" i="20"/>
  <c r="C864" i="23"/>
  <c r="H1192" i="1"/>
  <c r="I23" i="16"/>
  <c r="I65" i="20"/>
  <c r="N27" i="23"/>
  <c r="N82" i="23"/>
  <c r="C924" i="23"/>
  <c r="G629" i="1"/>
  <c r="C514" i="23"/>
  <c r="H1127" i="1"/>
  <c r="N658" i="23"/>
  <c r="D551" i="23"/>
  <c r="C278" i="23"/>
  <c r="J32" i="20"/>
  <c r="C47" i="21"/>
  <c r="H2215" i="1"/>
  <c r="D151" i="23"/>
  <c r="N198" i="23"/>
  <c r="G1229" i="1"/>
  <c r="N492" i="23"/>
  <c r="C44" i="23"/>
  <c r="H736" i="1"/>
  <c r="E2031" i="1"/>
  <c r="J53" i="20"/>
  <c r="C243" i="23"/>
  <c r="G1980" i="1"/>
  <c r="W16" i="21"/>
  <c r="C648" i="23"/>
  <c r="N160" i="23"/>
  <c r="G1712" i="1"/>
  <c r="N840" i="23"/>
  <c r="I91" i="20"/>
  <c r="G616" i="1"/>
  <c r="D956" i="23"/>
  <c r="C676" i="23"/>
  <c r="D694" i="23"/>
  <c r="C501" i="23"/>
  <c r="H174" i="1"/>
  <c r="N46" i="23"/>
  <c r="G2120" i="1"/>
  <c r="C240" i="23"/>
  <c r="N665" i="23"/>
  <c r="C687" i="23"/>
  <c r="H1354" i="1"/>
  <c r="D20" i="23"/>
  <c r="C386" i="23"/>
  <c r="N867" i="23"/>
  <c r="G1072" i="1"/>
  <c r="C260" i="23"/>
  <c r="I41" i="20"/>
  <c r="N616" i="23"/>
  <c r="H1158" i="1"/>
  <c r="E1815" i="1"/>
  <c r="E2252" i="1"/>
  <c r="G887" i="1"/>
  <c r="D46" i="21"/>
  <c r="C149" i="23"/>
  <c r="M28" i="20"/>
  <c r="G465" i="1"/>
  <c r="D934" i="23"/>
  <c r="C122" i="23"/>
  <c r="N239" i="23"/>
  <c r="C547" i="23"/>
  <c r="H600" i="1"/>
  <c r="C56" i="23"/>
  <c r="D9" i="21"/>
  <c r="K102" i="20"/>
  <c r="N369" i="23"/>
  <c r="C189" i="23"/>
  <c r="E1424" i="1"/>
  <c r="O88" i="21"/>
  <c r="N156" i="23"/>
  <c r="E1476" i="1"/>
  <c r="G1081" i="1"/>
  <c r="G1694" i="1"/>
  <c r="C416" i="23"/>
  <c r="D933" i="23"/>
  <c r="C662" i="23"/>
  <c r="D503" i="23"/>
  <c r="H247" i="1"/>
  <c r="G1521" i="1"/>
  <c r="N896" i="23"/>
  <c r="D489" i="23"/>
  <c r="E2113" i="1"/>
  <c r="D760" i="23"/>
  <c r="W55" i="21"/>
  <c r="C61" i="21"/>
  <c r="N872" i="23"/>
  <c r="M24" i="20"/>
  <c r="K47" i="20"/>
  <c r="C470" i="23"/>
  <c r="H1124" i="1"/>
  <c r="D166" i="23"/>
  <c r="D568" i="23"/>
  <c r="G2288" i="1"/>
  <c r="B8" i="16"/>
  <c r="G358" i="1"/>
  <c r="G1642" i="1"/>
  <c r="G2157" i="1"/>
  <c r="D687" i="23"/>
  <c r="N188" i="23"/>
  <c r="G2177" i="1"/>
  <c r="E1628" i="1"/>
  <c r="N85" i="23"/>
  <c r="D616" i="23"/>
  <c r="G899" i="1"/>
  <c r="O80" i="21"/>
  <c r="H1863" i="1"/>
  <c r="C595" i="23"/>
  <c r="K109" i="20"/>
  <c r="H916" i="1"/>
  <c r="C715" i="23"/>
  <c r="C63" i="23"/>
  <c r="M88" i="20"/>
  <c r="E19" i="16"/>
  <c r="C981" i="23"/>
  <c r="D98" i="21"/>
  <c r="G862" i="1"/>
  <c r="N352" i="23"/>
  <c r="E1515" i="1"/>
  <c r="H360" i="1"/>
  <c r="G1447" i="1"/>
  <c r="G2064" i="1"/>
  <c r="H850" i="1"/>
  <c r="G1848" i="1"/>
  <c r="C437" i="23"/>
  <c r="H1888" i="1"/>
  <c r="D126" i="23"/>
  <c r="H1706" i="1"/>
  <c r="D605" i="23"/>
  <c r="G1537" i="1"/>
  <c r="D648" i="23"/>
  <c r="C729" i="23"/>
  <c r="G1647" i="1"/>
  <c r="N626" i="23"/>
  <c r="D297" i="23"/>
  <c r="N234" i="23"/>
  <c r="D84" i="23"/>
  <c r="C870" i="23"/>
  <c r="G406" i="1"/>
  <c r="N288" i="23"/>
  <c r="K74" i="20"/>
  <c r="D978" i="23"/>
  <c r="N406" i="23"/>
  <c r="C480" i="23"/>
  <c r="C550" i="23"/>
  <c r="C405" i="23"/>
  <c r="D807" i="23"/>
  <c r="C953" i="23"/>
  <c r="D677" i="23"/>
  <c r="D775" i="23"/>
  <c r="G1984" i="1"/>
  <c r="E1824" i="1"/>
  <c r="C235" i="23"/>
  <c r="N716" i="23"/>
  <c r="O14" i="21"/>
  <c r="D984" i="23"/>
  <c r="J104" i="20"/>
  <c r="N163" i="23"/>
  <c r="E1518" i="1"/>
  <c r="H248" i="1"/>
  <c r="G1147" i="1"/>
  <c r="O35" i="21"/>
  <c r="C590" i="23"/>
  <c r="D671" i="23"/>
  <c r="L40" i="20"/>
  <c r="K10" i="20"/>
  <c r="D567" i="23"/>
  <c r="E2167" i="1"/>
  <c r="C544" i="23"/>
  <c r="N681" i="23"/>
  <c r="E1517" i="1"/>
  <c r="H1976" i="1"/>
  <c r="H1705" i="1"/>
  <c r="G2038" i="1"/>
  <c r="H116" i="1"/>
  <c r="C718" i="23"/>
  <c r="H1324" i="1"/>
  <c r="H2092" i="1"/>
  <c r="N365" i="23"/>
  <c r="N22" i="16"/>
  <c r="J43" i="20"/>
  <c r="G237" i="1"/>
  <c r="N173" i="23"/>
  <c r="D217" i="23"/>
  <c r="G792" i="1"/>
  <c r="C309" i="23"/>
  <c r="N396" i="23"/>
  <c r="N924" i="23"/>
  <c r="G2193" i="1"/>
  <c r="D440" i="23"/>
  <c r="D715" i="23"/>
  <c r="G304" i="1"/>
  <c r="H987" i="1"/>
  <c r="H1710" i="1"/>
  <c r="C482" i="23"/>
  <c r="N830" i="23"/>
  <c r="N625" i="23"/>
  <c r="C466" i="23"/>
  <c r="D208" i="23"/>
  <c r="C528" i="23"/>
  <c r="N474" i="23"/>
  <c r="C787" i="23"/>
  <c r="O20" i="21"/>
  <c r="D56" i="23"/>
  <c r="C209" i="23"/>
  <c r="H1487" i="1"/>
  <c r="C495" i="23"/>
  <c r="N715" i="23"/>
  <c r="D398" i="23"/>
  <c r="N854" i="23"/>
  <c r="N404" i="23"/>
  <c r="G1253" i="1"/>
  <c r="N680" i="23"/>
  <c r="N81" i="23"/>
  <c r="N922" i="23"/>
  <c r="G1457" i="1"/>
  <c r="C811" i="23"/>
  <c r="O95" i="21"/>
  <c r="I90" i="20"/>
  <c r="K100" i="20"/>
  <c r="N563" i="23"/>
  <c r="G489" i="1"/>
  <c r="W85" i="21"/>
  <c r="D660" i="23"/>
  <c r="C828" i="23"/>
  <c r="W91" i="21"/>
  <c r="G385" i="1"/>
  <c r="G707" i="1"/>
  <c r="G575" i="1"/>
  <c r="G559" i="1"/>
  <c r="N760" i="23"/>
  <c r="E2139" i="1"/>
  <c r="C983" i="23"/>
  <c r="N437" i="23"/>
  <c r="H714" i="1"/>
  <c r="N995" i="23"/>
  <c r="C367" i="23"/>
  <c r="H451" i="1"/>
  <c r="D763" i="23"/>
  <c r="C74" i="23"/>
  <c r="C238" i="23"/>
  <c r="H848" i="1"/>
  <c r="D417" i="23"/>
  <c r="C727" i="23"/>
  <c r="D672" i="23"/>
  <c r="N796" i="23"/>
  <c r="D14" i="23"/>
  <c r="D469" i="23"/>
  <c r="G91" i="1"/>
  <c r="D651" i="23"/>
  <c r="M29" i="20"/>
  <c r="C215" i="23"/>
  <c r="N643" i="23"/>
  <c r="C100" i="23"/>
  <c r="H544" i="1"/>
  <c r="C490" i="23"/>
  <c r="N204" i="23"/>
  <c r="E2091" i="1"/>
  <c r="N736" i="23"/>
  <c r="H1046" i="1"/>
  <c r="C570" i="23"/>
  <c r="H647" i="1"/>
  <c r="H1564" i="1"/>
  <c r="E2281" i="1"/>
  <c r="G2238" i="1"/>
  <c r="E1630" i="1"/>
  <c r="D765" i="23"/>
  <c r="N211" i="23"/>
  <c r="C455" i="23"/>
  <c r="E2148" i="1"/>
  <c r="H2073" i="1"/>
  <c r="D553" i="23"/>
  <c r="C73" i="23"/>
  <c r="G1259" i="1"/>
  <c r="N395" i="23"/>
  <c r="N213" i="23"/>
  <c r="W46" i="21"/>
  <c r="G1333" i="1"/>
  <c r="G800" i="1"/>
  <c r="E2141" i="1"/>
  <c r="I53" i="20"/>
  <c r="D88" i="21"/>
  <c r="E1884" i="1"/>
  <c r="G490" i="1"/>
  <c r="G1266" i="1"/>
  <c r="H1061" i="1"/>
  <c r="G993" i="1"/>
  <c r="N249" i="23"/>
  <c r="C347" i="23"/>
  <c r="N284" i="23"/>
  <c r="D754" i="23"/>
  <c r="C816" i="23"/>
  <c r="G557" i="1"/>
  <c r="G159" i="1"/>
  <c r="H890" i="1"/>
  <c r="N473" i="23"/>
  <c r="D400" i="23"/>
  <c r="M34" i="20"/>
  <c r="C613" i="23"/>
  <c r="G1575" i="1"/>
  <c r="A6" i="16"/>
  <c r="G1957" i="1"/>
  <c r="N970" i="23"/>
  <c r="M19" i="16"/>
  <c r="G864" i="1"/>
  <c r="G1069" i="1"/>
  <c r="C898" i="23"/>
  <c r="N976" i="23"/>
  <c r="N167" i="23"/>
  <c r="G504" i="1"/>
  <c r="C776" i="23"/>
  <c r="H358" i="1"/>
  <c r="D659" i="23"/>
  <c r="G314" i="1"/>
  <c r="C49" i="21"/>
  <c r="D245" i="23"/>
  <c r="W88" i="21"/>
  <c r="D34" i="23"/>
  <c r="D18" i="21"/>
  <c r="J19" i="20"/>
  <c r="N656" i="23"/>
  <c r="D322" i="23"/>
  <c r="I22" i="16"/>
  <c r="D366" i="23"/>
  <c r="H1089" i="1"/>
  <c r="G1600" i="1"/>
  <c r="N314" i="23"/>
  <c r="G1034" i="1"/>
  <c r="E1581" i="1"/>
  <c r="H1770" i="1"/>
  <c r="G866" i="1"/>
  <c r="D273" i="23"/>
  <c r="G2171" i="1"/>
  <c r="N910" i="23"/>
  <c r="H463" i="1"/>
  <c r="N94" i="23"/>
  <c r="H1757" i="1"/>
  <c r="G976" i="1"/>
  <c r="N989" i="23"/>
  <c r="G1954" i="1"/>
  <c r="G1240" i="1"/>
  <c r="D753" i="23"/>
  <c r="N422" i="23"/>
  <c r="K104" i="20"/>
  <c r="C9" i="21"/>
  <c r="E2300" i="1"/>
  <c r="C67" i="21"/>
  <c r="C486" i="23"/>
  <c r="C929" i="23"/>
  <c r="H1197" i="1"/>
  <c r="K106" i="20"/>
  <c r="C826" i="23"/>
  <c r="C208" i="23"/>
  <c r="C615" i="23"/>
  <c r="G1169" i="1"/>
  <c r="C604" i="23"/>
  <c r="W26" i="21"/>
  <c r="G1201" i="1"/>
  <c r="H40" i="1"/>
  <c r="N673" i="23"/>
  <c r="C165" i="23"/>
  <c r="N24" i="16"/>
  <c r="C914" i="23"/>
  <c r="E1757" i="1"/>
  <c r="H2021" i="1"/>
  <c r="D554" i="23"/>
  <c r="G1750" i="1"/>
  <c r="C277" i="23"/>
  <c r="E1895" i="1"/>
  <c r="C504" i="23"/>
  <c r="C104" i="21"/>
  <c r="L112" i="20"/>
  <c r="E2027" i="1"/>
  <c r="G1298" i="1"/>
  <c r="G1943" i="1"/>
  <c r="G2292" i="1"/>
  <c r="C926" i="23"/>
  <c r="G1768" i="1"/>
  <c r="G2302" i="1"/>
  <c r="E1529" i="1"/>
  <c r="W53" i="21"/>
  <c r="N613" i="23"/>
  <c r="K97" i="20"/>
  <c r="I26" i="20"/>
  <c r="N446" i="23"/>
  <c r="G2261" i="1"/>
  <c r="G461" i="1"/>
  <c r="G1235" i="1"/>
  <c r="G1655" i="1"/>
  <c r="H417" i="1"/>
  <c r="C328" i="23"/>
  <c r="N86" i="23"/>
  <c r="H69" i="1"/>
  <c r="D825" i="23"/>
  <c r="D179" i="23"/>
  <c r="H1858" i="1"/>
  <c r="E1899" i="1"/>
  <c r="H1771" i="1"/>
  <c r="D915" i="23"/>
  <c r="C797" i="23"/>
  <c r="C873" i="23"/>
  <c r="H1985" i="1"/>
  <c r="K48" i="20"/>
  <c r="N15" i="16"/>
  <c r="D59" i="21"/>
  <c r="O29" i="21"/>
  <c r="N652" i="23"/>
  <c r="C551" i="23"/>
  <c r="E1743" i="1"/>
  <c r="I25" i="20"/>
  <c r="H143" i="1"/>
  <c r="N255" i="23"/>
  <c r="H19" i="1"/>
  <c r="G693" i="1"/>
  <c r="M76" i="20"/>
  <c r="D220" i="23"/>
  <c r="I21" i="16"/>
  <c r="E1627" i="1"/>
  <c r="H12" i="16"/>
  <c r="D932" i="23"/>
  <c r="D910" i="23"/>
  <c r="N258" i="23"/>
  <c r="G1415" i="1"/>
  <c r="M77" i="20"/>
  <c r="D913" i="23"/>
  <c r="G925" i="1"/>
  <c r="G35" i="1"/>
  <c r="C44" i="21"/>
  <c r="D25" i="23"/>
  <c r="C305" i="23"/>
  <c r="H1462" i="1"/>
  <c r="D304" i="23"/>
  <c r="N345" i="23"/>
  <c r="N604" i="23"/>
  <c r="C31" i="21"/>
  <c r="E1858" i="1"/>
  <c r="N366" i="23"/>
  <c r="W80" i="21"/>
  <c r="D70" i="21"/>
  <c r="H1228" i="1"/>
  <c r="D907" i="23"/>
  <c r="N675" i="23"/>
  <c r="C84" i="23"/>
  <c r="N87" i="23"/>
  <c r="D30" i="23"/>
  <c r="H1708" i="1"/>
  <c r="E2155" i="1"/>
  <c r="G2135" i="1"/>
  <c r="N277" i="23"/>
  <c r="H811" i="1"/>
  <c r="N388" i="23"/>
  <c r="N126" i="23"/>
  <c r="D416" i="23"/>
  <c r="D557" i="23"/>
  <c r="D906" i="23"/>
  <c r="H131" i="1"/>
  <c r="D389" i="23"/>
  <c r="H856" i="1"/>
  <c r="C783" i="23"/>
  <c r="H1589" i="1"/>
  <c r="L54" i="20"/>
  <c r="G37" i="1"/>
  <c r="C818" i="23"/>
  <c r="N72" i="23"/>
  <c r="C534" i="23"/>
  <c r="G470" i="1"/>
  <c r="H688" i="1"/>
  <c r="G619" i="1"/>
  <c r="D411" i="23"/>
  <c r="N503" i="23"/>
  <c r="N316" i="23"/>
  <c r="H215" i="1"/>
  <c r="H912" i="1"/>
  <c r="C77" i="23"/>
  <c r="E13" i="16"/>
  <c r="G811" i="1"/>
  <c r="G1495" i="1"/>
  <c r="N329" i="23"/>
  <c r="G2242" i="1"/>
  <c r="G415" i="1"/>
  <c r="G1806" i="1"/>
  <c r="H892" i="1"/>
  <c r="E2219" i="1"/>
  <c r="H2224" i="1"/>
  <c r="M19" i="20"/>
  <c r="G912" i="1"/>
  <c r="C503" i="23"/>
  <c r="C428" i="23"/>
  <c r="L17" i="20"/>
  <c r="C319" i="23"/>
  <c r="H523" i="1"/>
  <c r="N37" i="23"/>
  <c r="H1592" i="1"/>
  <c r="E1700" i="1"/>
  <c r="C389" i="23"/>
  <c r="H1707" i="1"/>
  <c r="E1817" i="1"/>
  <c r="C891" i="23"/>
  <c r="D140" i="23"/>
  <c r="C525" i="23"/>
  <c r="O51" i="21"/>
  <c r="G775" i="1"/>
  <c r="N491" i="23"/>
  <c r="N196" i="23"/>
  <c r="E1590" i="1"/>
  <c r="D509" i="23"/>
  <c r="D45" i="23"/>
  <c r="N424" i="23"/>
  <c r="C429" i="23"/>
  <c r="I44" i="20"/>
  <c r="H1211" i="1"/>
  <c r="C24" i="21"/>
  <c r="D737" i="23"/>
  <c r="D111" i="23"/>
  <c r="H1515" i="1"/>
  <c r="C206" i="23"/>
  <c r="A16" i="16"/>
  <c r="N657" i="23"/>
  <c r="M15" i="16"/>
  <c r="D358" i="23"/>
  <c r="G88" i="1"/>
  <c r="I54" i="20"/>
  <c r="L48" i="20"/>
  <c r="C163" i="23"/>
  <c r="D667" i="23"/>
  <c r="D175" i="23"/>
  <c r="D690" i="23"/>
  <c r="C937" i="23"/>
  <c r="N14" i="16"/>
  <c r="C97" i="23"/>
  <c r="C82" i="23"/>
  <c r="H739" i="1"/>
  <c r="H695" i="1"/>
  <c r="G1587" i="1"/>
  <c r="N253" i="23"/>
  <c r="C275" i="23"/>
  <c r="C950" i="23"/>
  <c r="C611" i="23"/>
  <c r="C384" i="23"/>
  <c r="C75" i="21"/>
  <c r="H1995" i="1"/>
  <c r="H426" i="1"/>
  <c r="N570" i="23"/>
  <c r="C940" i="23"/>
  <c r="N653" i="23"/>
  <c r="D388" i="23"/>
  <c r="H2287" i="1"/>
  <c r="C677" i="23"/>
  <c r="H10" i="16"/>
  <c r="H865" i="1"/>
  <c r="M38" i="20"/>
  <c r="D532" i="23"/>
  <c r="C127" i="23"/>
  <c r="D34" i="21"/>
  <c r="G1737" i="1"/>
  <c r="C269" i="23"/>
  <c r="D81" i="23"/>
  <c r="D850" i="23"/>
  <c r="M57" i="20"/>
  <c r="G264" i="1"/>
  <c r="N601" i="23"/>
  <c r="N398" i="23"/>
  <c r="N463" i="23"/>
  <c r="G596" i="1"/>
  <c r="H874" i="1"/>
  <c r="D79" i="21"/>
  <c r="C339" i="23"/>
  <c r="H91" i="1"/>
  <c r="C607" i="23"/>
  <c r="N282" i="23"/>
  <c r="M16" i="16"/>
  <c r="D464" i="23"/>
  <c r="C229" i="23"/>
  <c r="C824" i="23"/>
  <c r="D200" i="23"/>
  <c r="G202" i="1"/>
  <c r="G1681" i="1"/>
  <c r="E1928" i="1"/>
  <c r="C799" i="23"/>
  <c r="D806" i="23"/>
  <c r="G584" i="1"/>
  <c r="C32" i="23"/>
  <c r="E1580" i="1"/>
  <c r="H965" i="1"/>
  <c r="H1421" i="1"/>
  <c r="E2182" i="1"/>
  <c r="W78" i="21"/>
  <c r="G1204" i="1"/>
  <c r="I12" i="20"/>
  <c r="C48" i="23"/>
  <c r="E1778" i="1"/>
  <c r="C59" i="23"/>
  <c r="H514" i="1"/>
  <c r="J48" i="20"/>
  <c r="G403" i="1"/>
  <c r="L104" i="20"/>
  <c r="G600" i="1"/>
  <c r="C540" i="23"/>
  <c r="N800" i="23"/>
  <c r="O13" i="21"/>
  <c r="D669" i="23"/>
  <c r="N691" i="23"/>
  <c r="N426" i="23"/>
  <c r="H319" i="1"/>
  <c r="G2052" i="1"/>
  <c r="J109" i="20"/>
  <c r="H2027" i="1"/>
  <c r="W82" i="21"/>
  <c r="G2108" i="1"/>
  <c r="G764" i="1"/>
  <c r="K87" i="20"/>
  <c r="G1140" i="1"/>
  <c r="C116" i="23"/>
  <c r="N747" i="23"/>
  <c r="N862" i="23"/>
  <c r="C980" i="23"/>
  <c r="N152" i="23"/>
  <c r="J69" i="20"/>
  <c r="H2199" i="1"/>
  <c r="C809" i="23"/>
  <c r="D299" i="23"/>
  <c r="N451" i="23"/>
  <c r="J92" i="20"/>
  <c r="N485" i="23"/>
  <c r="G1016" i="1"/>
  <c r="N883" i="23"/>
  <c r="D638" i="23"/>
  <c r="N136" i="23"/>
  <c r="D982" i="23"/>
  <c r="D485" i="23"/>
  <c r="I38" i="20"/>
  <c r="K13" i="20"/>
  <c r="E1602" i="1"/>
  <c r="H1125" i="1"/>
  <c r="D449" i="23"/>
  <c r="E1503" i="1"/>
  <c r="H575" i="1"/>
  <c r="D311" i="23"/>
  <c r="G1816" i="1"/>
  <c r="E1865" i="1"/>
  <c r="H578" i="1"/>
  <c r="D180" i="23"/>
  <c r="H325" i="1"/>
  <c r="N916" i="23"/>
  <c r="N294" i="23"/>
  <c r="D686" i="23"/>
  <c r="N606" i="23"/>
  <c r="D967" i="23"/>
  <c r="N458" i="23"/>
  <c r="H1390" i="1"/>
  <c r="D482" i="23"/>
  <c r="D947" i="23"/>
  <c r="N629" i="23"/>
  <c r="D263" i="23"/>
  <c r="D514" i="23"/>
  <c r="C40" i="23"/>
  <c r="D893" i="23"/>
  <c r="G1355" i="1"/>
  <c r="N518" i="23"/>
  <c r="E2276" i="1"/>
  <c r="J8" i="20"/>
  <c r="D33" i="21"/>
  <c r="N39" i="23"/>
  <c r="H519" i="1"/>
  <c r="H942" i="1"/>
  <c r="N547" i="23"/>
  <c r="C791" i="23"/>
  <c r="D855" i="23"/>
  <c r="N153" i="23"/>
  <c r="G2144" i="1"/>
  <c r="K57" i="20"/>
  <c r="E1735" i="1"/>
  <c r="D196" i="23"/>
  <c r="E1430" i="1"/>
  <c r="C502" i="23"/>
  <c r="E1635" i="1"/>
  <c r="G1271" i="1"/>
  <c r="C539" i="23"/>
  <c r="E1478" i="1"/>
  <c r="J111" i="20"/>
  <c r="H1476" i="1"/>
  <c r="D421" i="23"/>
  <c r="N936" i="23"/>
  <c r="G2078" i="1"/>
  <c r="I103" i="20"/>
  <c r="W101" i="21"/>
  <c r="C170" i="23"/>
  <c r="N73" i="23"/>
  <c r="G1075" i="1"/>
  <c r="O93" i="21"/>
  <c r="M25" i="16"/>
  <c r="D323" i="23"/>
  <c r="G1308" i="1"/>
  <c r="H989" i="1"/>
  <c r="D348" i="23"/>
  <c r="C68" i="23"/>
  <c r="H21" i="1"/>
  <c r="C889" i="23"/>
  <c r="H1068" i="1"/>
  <c r="C341" i="23"/>
  <c r="D664" i="23"/>
  <c r="H270" i="1"/>
  <c r="D919" i="23"/>
  <c r="I48" i="20"/>
  <c r="W66" i="21"/>
  <c r="D578" i="23"/>
  <c r="D396" i="23"/>
  <c r="M89" i="20"/>
  <c r="G145" i="1"/>
  <c r="D37" i="23"/>
  <c r="E1560" i="1"/>
  <c r="N291" i="23"/>
  <c r="D312" i="23"/>
  <c r="K44" i="20"/>
  <c r="E2115" i="1"/>
  <c r="C806" i="23"/>
  <c r="N764" i="23"/>
  <c r="L80" i="20"/>
  <c r="D103" i="23"/>
  <c r="C34" i="23"/>
  <c r="H945" i="1"/>
  <c r="L76" i="20"/>
  <c r="D898" i="23"/>
  <c r="F7" i="16"/>
  <c r="D283" i="23"/>
  <c r="C143" i="23"/>
  <c r="F17" i="16"/>
  <c r="N732" i="23"/>
  <c r="C620" i="23"/>
  <c r="G1380" i="1"/>
  <c r="D592" i="23"/>
  <c r="D826" i="23"/>
  <c r="N143" i="23"/>
  <c r="H930" i="1"/>
  <c r="D418" i="23"/>
  <c r="H1113" i="1"/>
  <c r="G521" i="1"/>
  <c r="C774" i="23"/>
  <c r="K15" i="20"/>
  <c r="N321" i="23"/>
  <c r="C192" i="23"/>
  <c r="I69" i="20"/>
  <c r="N372" i="23"/>
  <c r="G399" i="1"/>
  <c r="H1554" i="1"/>
  <c r="G812" i="1"/>
  <c r="N838" i="23"/>
  <c r="C800" i="23"/>
  <c r="N99" i="23"/>
  <c r="C446" i="23"/>
  <c r="G593" i="1"/>
  <c r="J95" i="20"/>
  <c r="D486" i="23"/>
  <c r="H1164" i="1"/>
  <c r="G1284" i="1"/>
  <c r="D87" i="21"/>
  <c r="G1787" i="1"/>
  <c r="G1549" i="1"/>
  <c r="E2206" i="1"/>
  <c r="H1234" i="1"/>
  <c r="N641" i="23"/>
  <c r="H1314" i="1"/>
  <c r="H381" i="1"/>
  <c r="D513" i="23"/>
  <c r="G1036" i="1"/>
  <c r="C12" i="21"/>
  <c r="H1847" i="1"/>
  <c r="H80" i="1"/>
  <c r="N499" i="23"/>
  <c r="G2215" i="1"/>
  <c r="N56" i="23"/>
  <c r="N441" i="23"/>
  <c r="C92" i="23"/>
  <c r="C884" i="23"/>
  <c r="K33" i="20"/>
  <c r="N571" i="23"/>
  <c r="G863" i="1"/>
  <c r="C409" i="23"/>
  <c r="K28" i="20"/>
  <c r="C345" i="23"/>
  <c r="F21" i="16"/>
  <c r="C931" i="23"/>
  <c r="C612" i="23"/>
  <c r="F8" i="16"/>
  <c r="H1398" i="1"/>
  <c r="G907" i="1"/>
  <c r="J68" i="20"/>
  <c r="C583" i="23"/>
  <c r="O17" i="21"/>
  <c r="D39" i="23"/>
  <c r="D903" i="23"/>
  <c r="H545" i="1"/>
  <c r="E2171" i="1"/>
  <c r="H491" i="1"/>
  <c r="N382" i="23"/>
  <c r="N19" i="23"/>
  <c r="O10" i="21"/>
  <c r="C796" i="23"/>
  <c r="H1426" i="1"/>
  <c r="H454" i="1"/>
  <c r="L28" i="20"/>
  <c r="N168" i="23"/>
  <c r="H579" i="1"/>
  <c r="D498" i="23"/>
  <c r="G284" i="1"/>
  <c r="E1804" i="1"/>
  <c r="D771" i="23"/>
  <c r="H896" i="1"/>
  <c r="C308" i="23"/>
  <c r="N459" i="23"/>
  <c r="H250" i="1"/>
  <c r="D459" i="23"/>
  <c r="G694" i="1"/>
  <c r="H1380" i="1"/>
  <c r="C76" i="23"/>
  <c r="C786" i="23"/>
  <c r="N215" i="23"/>
  <c r="N919" i="23"/>
  <c r="H60" i="1"/>
  <c r="D627" i="23"/>
  <c r="E1793" i="1"/>
  <c r="G1979" i="1"/>
  <c r="E2146" i="1"/>
  <c r="C702" i="23"/>
  <c r="G377" i="1"/>
  <c r="M62" i="20"/>
  <c r="N221" i="23"/>
  <c r="G1296" i="1"/>
  <c r="G632" i="1"/>
  <c r="D259" i="23"/>
  <c r="H1523" i="1"/>
  <c r="H339" i="1"/>
  <c r="D505" i="23"/>
  <c r="M55" i="20"/>
  <c r="H1977" i="1"/>
  <c r="H2244" i="1"/>
  <c r="M20" i="16"/>
  <c r="N693" i="23"/>
  <c r="M112" i="20"/>
  <c r="H1590" i="1"/>
  <c r="E1484" i="1"/>
  <c r="C928" i="23"/>
  <c r="H71" i="1"/>
  <c r="B22" i="16"/>
  <c r="H696" i="1"/>
  <c r="K41" i="20"/>
  <c r="G1225" i="1"/>
  <c r="H741" i="1"/>
  <c r="C27" i="21"/>
  <c r="N821" i="23"/>
  <c r="H551" i="1"/>
  <c r="W89" i="21"/>
  <c r="C71" i="21"/>
  <c r="C536" i="23"/>
  <c r="H265" i="1"/>
  <c r="G1009" i="1"/>
  <c r="E1838" i="1"/>
  <c r="C103" i="21"/>
  <c r="D958" i="23"/>
  <c r="H1059" i="1"/>
  <c r="H967" i="1"/>
  <c r="K7" i="20"/>
  <c r="G2231" i="1"/>
  <c r="N107" i="23"/>
  <c r="C941" i="23"/>
  <c r="N897" i="23"/>
  <c r="I22" i="20"/>
  <c r="G2083" i="1"/>
  <c r="G1825" i="1"/>
  <c r="C76" i="21"/>
  <c r="D48" i="23"/>
  <c r="W92" i="21"/>
  <c r="G1054" i="1"/>
  <c r="H107" i="1"/>
  <c r="C270" i="23"/>
  <c r="D782" i="23"/>
  <c r="N202" i="23"/>
  <c r="C876" i="23"/>
  <c r="H1276" i="1"/>
  <c r="C675" i="23"/>
  <c r="N219" i="23"/>
  <c r="N713" i="23"/>
  <c r="C790" i="23"/>
  <c r="C720" i="23"/>
  <c r="D265" i="23"/>
  <c r="N169" i="23"/>
  <c r="H385" i="1"/>
  <c r="G1896" i="1"/>
  <c r="H1370" i="1"/>
  <c r="N787" i="23"/>
  <c r="B11" i="16"/>
  <c r="C862" i="23"/>
  <c r="G1451" i="1"/>
  <c r="H212" i="1"/>
  <c r="H1958" i="1"/>
  <c r="L12" i="20"/>
  <c r="G709" i="1"/>
  <c r="I82" i="20"/>
  <c r="L91" i="20"/>
  <c r="C723" i="23"/>
  <c r="C934" i="23"/>
  <c r="N13" i="23"/>
  <c r="G1197" i="1"/>
  <c r="D661" i="23"/>
  <c r="D618" i="23"/>
  <c r="D66" i="21"/>
  <c r="G856" i="1"/>
  <c r="N610" i="23"/>
  <c r="N330" i="23"/>
  <c r="C175" i="23"/>
  <c r="C158" i="23"/>
  <c r="E1431" i="1"/>
  <c r="H972" i="1"/>
  <c r="C33" i="21"/>
  <c r="G2054" i="1"/>
  <c r="W38" i="21"/>
  <c r="D342" i="23"/>
  <c r="G321" i="1"/>
  <c r="C614" i="23"/>
  <c r="C794" i="23"/>
  <c r="H2034" i="1"/>
  <c r="D198" i="23"/>
  <c r="H1838" i="1"/>
  <c r="G28" i="1"/>
  <c r="N44" i="23"/>
  <c r="N818" i="23"/>
  <c r="D860" i="23"/>
  <c r="B26" i="16"/>
  <c r="L62" i="20"/>
  <c r="H16" i="1"/>
  <c r="D146" i="23"/>
  <c r="H2218" i="1"/>
  <c r="G671" i="1"/>
  <c r="N688" i="23"/>
  <c r="H1064" i="1"/>
  <c r="C438" i="23"/>
  <c r="C68" i="21"/>
  <c r="N708" i="23"/>
  <c r="G621" i="1"/>
  <c r="O36" i="21"/>
  <c r="D455" i="23"/>
  <c r="L18" i="20"/>
  <c r="D104" i="23"/>
  <c r="N780" i="23"/>
  <c r="D55" i="23"/>
  <c r="C585" i="23"/>
  <c r="C87" i="21"/>
  <c r="O37" i="21"/>
  <c r="G1632" i="1"/>
  <c r="K60" i="20"/>
  <c r="H8" i="16"/>
  <c r="C449" i="23"/>
  <c r="E1599" i="1"/>
  <c r="N356" i="23"/>
  <c r="D818" i="23"/>
  <c r="C247" i="23"/>
  <c r="H23" i="16"/>
  <c r="G1872" i="1"/>
  <c r="D852" i="23"/>
  <c r="C527" i="23"/>
  <c r="D892" i="23"/>
  <c r="D85" i="23"/>
  <c r="N746" i="23"/>
  <c r="E1752" i="1"/>
  <c r="D989" i="23"/>
  <c r="H2010" i="1"/>
  <c r="E2067" i="1"/>
  <c r="D614" i="23"/>
  <c r="C85" i="21"/>
  <c r="C920" i="23"/>
  <c r="O32" i="21"/>
  <c r="L49" i="20"/>
  <c r="D99" i="21"/>
  <c r="G989" i="1"/>
  <c r="C855" i="23"/>
  <c r="D579" i="23"/>
  <c r="G1612" i="1"/>
  <c r="C858" i="23"/>
  <c r="N471" i="23"/>
  <c r="C358" i="23"/>
  <c r="I10" i="20"/>
  <c r="C792" i="23"/>
  <c r="C337" i="23"/>
  <c r="D937" i="23"/>
  <c r="C574" i="23"/>
  <c r="C57" i="21"/>
  <c r="D285" i="23"/>
  <c r="N628" i="23"/>
  <c r="G181" i="1"/>
  <c r="H1740" i="1"/>
  <c r="H1716" i="1"/>
  <c r="G594" i="1"/>
  <c r="G1347" i="1"/>
  <c r="E2227" i="1"/>
  <c r="N508" i="23"/>
  <c r="N421" i="23"/>
  <c r="G1719" i="1"/>
  <c r="H1341" i="1"/>
  <c r="N761" i="23"/>
  <c r="M10" i="16"/>
  <c r="C366" i="23"/>
  <c r="H1182" i="1"/>
  <c r="D891" i="23"/>
  <c r="D507" i="23"/>
  <c r="E1525" i="1"/>
  <c r="H2197" i="1"/>
  <c r="H1721" i="1"/>
  <c r="N873" i="23"/>
  <c r="C698" i="23"/>
  <c r="D874" i="23"/>
  <c r="H1855" i="1"/>
  <c r="H1866" i="1"/>
  <c r="H1738" i="1"/>
  <c r="C314" i="23"/>
  <c r="E1768" i="1"/>
  <c r="C586" i="23"/>
  <c r="M59" i="20"/>
  <c r="H1387" i="1"/>
  <c r="N184" i="23"/>
  <c r="D423" i="23"/>
  <c r="W50" i="21"/>
  <c r="N10" i="16"/>
  <c r="N216" i="23"/>
  <c r="E2253" i="1"/>
  <c r="C11" i="16"/>
  <c r="G1272" i="1"/>
  <c r="O24" i="21"/>
  <c r="E2303" i="1"/>
  <c r="H1247" i="1"/>
  <c r="C801" i="23"/>
  <c r="D780" i="23"/>
  <c r="H1403" i="1"/>
  <c r="G1196" i="1"/>
  <c r="E2222" i="1"/>
  <c r="N149" i="23"/>
  <c r="L70" i="20"/>
  <c r="H334" i="1"/>
  <c r="B18" i="16"/>
  <c r="D689" i="23"/>
  <c r="G1360" i="1"/>
  <c r="H661" i="1"/>
  <c r="H1203" i="1"/>
  <c r="D91" i="23"/>
  <c r="D92" i="23"/>
  <c r="E1451" i="1"/>
  <c r="N917" i="23"/>
  <c r="D360" i="23"/>
  <c r="J36" i="20"/>
  <c r="D367" i="23"/>
  <c r="G240" i="1"/>
  <c r="E1723" i="1"/>
  <c r="N784" i="23"/>
  <c r="H377" i="1"/>
  <c r="F4" i="16"/>
  <c r="C533" i="23"/>
  <c r="D51" i="23"/>
  <c r="E1968" i="1"/>
  <c r="D303" i="23"/>
  <c r="N180" i="23"/>
  <c r="M96" i="20"/>
  <c r="C177" i="23"/>
  <c r="D516" i="23"/>
  <c r="D872" i="23"/>
  <c r="G821" i="1"/>
  <c r="D38" i="21"/>
  <c r="D23" i="21"/>
  <c r="W13" i="21"/>
  <c r="H1693" i="1"/>
  <c r="M22" i="16"/>
  <c r="N40" i="23"/>
  <c r="C734" i="23"/>
  <c r="C379" i="23"/>
  <c r="N824" i="23"/>
  <c r="N717" i="23"/>
  <c r="D699" i="23"/>
  <c r="G431" i="1"/>
  <c r="G1320" i="1"/>
  <c r="H717" i="1"/>
  <c r="K49" i="20"/>
  <c r="D456" i="23"/>
  <c r="W94" i="21"/>
  <c r="G1252" i="1"/>
  <c r="G1111" i="1"/>
  <c r="H495" i="1"/>
  <c r="N50" i="23"/>
  <c r="I101" i="20"/>
  <c r="N648" i="23"/>
  <c r="H439" i="1"/>
  <c r="C785" i="23"/>
  <c r="G1446" i="1"/>
  <c r="C878" i="23"/>
  <c r="N988" i="23"/>
  <c r="C663" i="23"/>
  <c r="C254" i="23"/>
  <c r="C253" i="23"/>
  <c r="N220" i="23"/>
  <c r="C223" i="23"/>
  <c r="O57" i="21"/>
  <c r="H1076" i="1"/>
  <c r="N453" i="23"/>
  <c r="E1679" i="1"/>
  <c r="G154" i="1"/>
  <c r="D269" i="23"/>
  <c r="N513" i="23"/>
  <c r="D841" i="23"/>
  <c r="G1924" i="1"/>
  <c r="N35" i="23"/>
  <c r="G2225" i="1"/>
  <c r="M47" i="20"/>
  <c r="H992" i="1"/>
  <c r="H988" i="1"/>
  <c r="H1326" i="1"/>
  <c r="H335" i="1"/>
  <c r="D706" i="23"/>
  <c r="E1906" i="1"/>
  <c r="C276" i="23"/>
  <c r="N60" i="23"/>
  <c r="I16" i="16"/>
  <c r="N804" i="23"/>
  <c r="N324" i="23"/>
  <c r="C982" i="23"/>
  <c r="D735" i="23"/>
  <c r="G380" i="1"/>
  <c r="C268" i="23"/>
  <c r="B21" i="16"/>
  <c r="I92" i="20"/>
  <c r="D69" i="21"/>
  <c r="G1592" i="1"/>
  <c r="D163" i="23"/>
  <c r="G1398" i="1"/>
  <c r="C123" i="23"/>
  <c r="C866" i="23"/>
  <c r="C404" i="23"/>
  <c r="H2108" i="1"/>
  <c r="N591" i="23"/>
  <c r="G1053" i="1"/>
  <c r="D537" i="23"/>
  <c r="D193" i="23"/>
  <c r="D703" i="23"/>
  <c r="G783" i="1"/>
  <c r="G1742" i="1"/>
  <c r="K64" i="20"/>
  <c r="C633" i="23"/>
  <c r="M95" i="20"/>
  <c r="K84" i="20"/>
  <c r="H1677" i="1"/>
  <c r="H225" i="1"/>
  <c r="D452" i="23"/>
  <c r="G19" i="16"/>
  <c r="G72" i="1"/>
  <c r="C717" i="23"/>
  <c r="E24" i="16"/>
  <c r="D340" i="23"/>
  <c r="O76" i="21"/>
  <c r="J83" i="20"/>
  <c r="G1912" i="1"/>
  <c r="D606" i="23"/>
  <c r="C401" i="23"/>
  <c r="C303" i="23"/>
  <c r="C453" i="23"/>
  <c r="C393" i="23"/>
  <c r="N852" i="23"/>
  <c r="N419" i="23"/>
  <c r="D623" i="23"/>
  <c r="H1877" i="1"/>
  <c r="H1142" i="1"/>
  <c r="N97" i="23"/>
  <c r="D954" i="23"/>
  <c r="N98" i="23"/>
  <c r="D31" i="23"/>
  <c r="N500" i="23"/>
  <c r="D584" i="23"/>
  <c r="O94" i="21"/>
  <c r="H1441" i="1"/>
  <c r="G285" i="1"/>
  <c r="N875" i="23"/>
  <c r="M8" i="16"/>
  <c r="E1439" i="1"/>
  <c r="D882" i="23"/>
  <c r="E1730" i="1"/>
  <c r="D610" i="23"/>
  <c r="G733" i="1"/>
  <c r="H958" i="1"/>
  <c r="G464" i="1"/>
  <c r="M24" i="16"/>
  <c r="G1167" i="1"/>
  <c r="M74" i="20"/>
  <c r="W31" i="21"/>
  <c r="D518" i="23"/>
  <c r="D968" i="23"/>
  <c r="D794" i="23"/>
  <c r="G580" i="1"/>
  <c r="D430" i="23"/>
  <c r="D32" i="21"/>
  <c r="G2264" i="1"/>
  <c r="H197" i="1"/>
  <c r="D481" i="23"/>
  <c r="H1207" i="1"/>
  <c r="B24" i="16"/>
  <c r="G2113" i="1"/>
  <c r="L67" i="20"/>
  <c r="D736" i="23"/>
  <c r="C580" i="23"/>
  <c r="O50" i="21"/>
  <c r="I99" i="20"/>
  <c r="D879" i="23"/>
  <c r="D310" i="23"/>
  <c r="D624" i="23"/>
  <c r="J108" i="20"/>
  <c r="N228" i="23"/>
  <c r="E1588" i="1"/>
  <c r="W32" i="21"/>
  <c r="G1031" i="1"/>
  <c r="N476" i="23"/>
  <c r="H2313" i="1"/>
  <c r="M64" i="20"/>
  <c r="D71" i="21"/>
  <c r="C9" i="23"/>
  <c r="G806" i="1"/>
  <c r="G11" i="1"/>
  <c r="D266" i="23"/>
  <c r="E1623" i="1"/>
  <c r="C871" i="23"/>
  <c r="C228" i="23"/>
  <c r="M52" i="20"/>
  <c r="H619" i="1"/>
  <c r="C388" i="23"/>
  <c r="D344" i="23"/>
  <c r="D543" i="23"/>
  <c r="D478" i="23"/>
  <c r="C678" i="23"/>
  <c r="C512" i="23"/>
  <c r="D847" i="23"/>
  <c r="G1547" i="1"/>
  <c r="C244" i="23"/>
  <c r="C560" i="23"/>
  <c r="D783" i="23"/>
  <c r="G820" i="1"/>
  <c r="D15" i="21"/>
  <c r="N179" i="23"/>
  <c r="D789" i="23"/>
  <c r="N720" i="23"/>
  <c r="D564" i="23"/>
  <c r="N753" i="23"/>
  <c r="I19" i="16"/>
  <c r="G784" i="1"/>
  <c r="G23" i="16"/>
  <c r="G271" i="1"/>
  <c r="N651" i="23"/>
  <c r="E1993" i="1"/>
  <c r="H623" i="1"/>
  <c r="D155" i="23"/>
  <c r="D277" i="23"/>
  <c r="O49" i="21"/>
  <c r="D580" i="23"/>
  <c r="C576" i="23"/>
  <c r="N815" i="23"/>
  <c r="H1270" i="1"/>
  <c r="E23" i="16"/>
  <c r="I46" i="20"/>
  <c r="G2024" i="1"/>
  <c r="C162" i="23"/>
  <c r="D368" i="23"/>
  <c r="E1934" i="1"/>
  <c r="E2124" i="1"/>
  <c r="N201" i="23"/>
  <c r="D28" i="21"/>
  <c r="W86" i="21"/>
  <c r="G1855" i="1"/>
  <c r="N566" i="23"/>
  <c r="C833" i="23"/>
  <c r="D725" i="23"/>
  <c r="D343" i="23"/>
  <c r="G2112" i="1"/>
  <c r="N140" i="23"/>
  <c r="D468" i="23"/>
  <c r="G1792" i="1"/>
  <c r="N509" i="23"/>
  <c r="N597" i="23"/>
  <c r="G829" i="1"/>
  <c r="H1224" i="1"/>
  <c r="N235" i="23"/>
  <c r="H26" i="16"/>
  <c r="O69" i="21"/>
  <c r="N781" i="23"/>
  <c r="C220" i="23"/>
  <c r="G567" i="1"/>
  <c r="K107" i="20"/>
  <c r="D230" i="23"/>
  <c r="D996" i="23"/>
  <c r="K66" i="20"/>
  <c r="G487" i="1"/>
  <c r="G943" i="1"/>
  <c r="G1504" i="1"/>
  <c r="C956" i="23"/>
  <c r="D637" i="23"/>
  <c r="H2249" i="1"/>
  <c r="G1530" i="1"/>
  <c r="A14" i="16"/>
  <c r="L60" i="20"/>
  <c r="C255" i="23"/>
  <c r="E1755" i="1"/>
  <c r="C45" i="21"/>
  <c r="G220" i="1"/>
  <c r="N245" i="23"/>
  <c r="D876" i="23"/>
  <c r="H716" i="1"/>
  <c r="D49" i="23"/>
  <c r="N660" i="23"/>
  <c r="W25" i="21"/>
  <c r="N371" i="23"/>
  <c r="H964" i="1"/>
  <c r="H1496" i="1"/>
  <c r="N105" i="23"/>
  <c r="J79" i="20"/>
  <c r="J9" i="20"/>
  <c r="G730" i="1"/>
  <c r="I40" i="20"/>
  <c r="G455" i="1"/>
  <c r="E1852" i="1"/>
  <c r="N537" i="23"/>
  <c r="N600" i="23"/>
  <c r="D357" i="23"/>
  <c r="I107" i="20"/>
  <c r="N811" i="23"/>
  <c r="G1046" i="1"/>
  <c r="C146" i="23"/>
  <c r="M9" i="16"/>
  <c r="M108" i="20"/>
  <c r="E1479" i="1"/>
  <c r="N819" i="23"/>
  <c r="D908" i="23"/>
  <c r="I80" i="20"/>
  <c r="D801" i="23"/>
  <c r="D983" i="23"/>
  <c r="H1141" i="1"/>
  <c r="C960" i="23"/>
  <c r="W28" i="21"/>
  <c r="C522" i="23"/>
  <c r="G1170" i="1"/>
  <c r="E2022" i="1"/>
  <c r="G1387" i="1"/>
  <c r="D493" i="23"/>
  <c r="N885" i="23"/>
  <c r="D997" i="23"/>
  <c r="N380" i="23"/>
  <c r="G844" i="1"/>
  <c r="H783" i="1"/>
  <c r="G1682" i="1"/>
  <c r="H2187" i="1"/>
  <c r="N533" i="23"/>
  <c r="J42" i="20"/>
  <c r="H1799" i="1"/>
  <c r="N755" i="23"/>
  <c r="C451" i="23"/>
  <c r="H229" i="1"/>
  <c r="G1350" i="1"/>
  <c r="C324" i="23"/>
  <c r="J28" i="20"/>
  <c r="D630" i="23"/>
  <c r="W74" i="21"/>
  <c r="E2094" i="1"/>
  <c r="G2165" i="1"/>
  <c r="H1519" i="1"/>
  <c r="G1525" i="1"/>
  <c r="D487" i="23"/>
  <c r="H2164" i="1"/>
  <c r="C955" i="23"/>
  <c r="H684" i="1"/>
  <c r="M8" i="20"/>
  <c r="C124" i="23"/>
  <c r="D120" i="23"/>
  <c r="J27" i="20"/>
  <c r="C32" i="21"/>
  <c r="J85" i="20"/>
  <c r="N17" i="16"/>
  <c r="I34" i="20"/>
  <c r="N534" i="23"/>
  <c r="W104" i="21"/>
  <c r="I31" i="20"/>
  <c r="N752" i="23"/>
  <c r="E2057" i="1"/>
  <c r="G501" i="1"/>
  <c r="D233" i="23"/>
  <c r="H2265" i="1"/>
  <c r="H1618" i="1"/>
  <c r="G1791" i="1"/>
  <c r="N175" i="23"/>
  <c r="W33" i="21"/>
  <c r="C12" i="27"/>
  <c r="I8" i="14"/>
  <c r="E8" i="14"/>
  <c r="G8" i="58"/>
  <c r="G8" i="14"/>
  <c r="R5" i="16"/>
  <c r="M11" i="20"/>
  <c r="L10" i="20"/>
  <c r="K9" i="20"/>
  <c r="W96" i="21"/>
  <c r="F8" i="58"/>
  <c r="E8" i="58"/>
  <c r="I8" i="58"/>
  <c r="F8" i="14"/>
  <c r="O9" i="20" l="1"/>
  <c r="B32" i="21"/>
  <c r="D119" i="15"/>
  <c r="A124" i="23"/>
  <c r="E124" i="23"/>
  <c r="H124" i="23"/>
  <c r="L124" i="23"/>
  <c r="G123" i="15" s="1"/>
  <c r="M124" i="23"/>
  <c r="C123" i="15"/>
  <c r="G124" i="23"/>
  <c r="J124" i="23"/>
  <c r="K124" i="23"/>
  <c r="H123" i="15" s="1"/>
  <c r="I124" i="23"/>
  <c r="F124" i="23" s="1"/>
  <c r="B124" i="23"/>
  <c r="B123" i="15" s="1"/>
  <c r="L955" i="23"/>
  <c r="B955" i="23"/>
  <c r="I955" i="23"/>
  <c r="J955" i="23"/>
  <c r="A955" i="23"/>
  <c r="H955" i="23"/>
  <c r="K955" i="23"/>
  <c r="M955" i="23"/>
  <c r="G955" i="23"/>
  <c r="F955" i="23"/>
  <c r="E955" i="23"/>
  <c r="A324" i="23"/>
  <c r="I324" i="23"/>
  <c r="K324" i="23"/>
  <c r="F324" i="23"/>
  <c r="B324" i="23"/>
  <c r="L324" i="23"/>
  <c r="H324" i="23"/>
  <c r="M324" i="23"/>
  <c r="E324" i="23"/>
  <c r="G324" i="23"/>
  <c r="J324" i="23"/>
  <c r="I451" i="23"/>
  <c r="H451" i="23"/>
  <c r="K451" i="23"/>
  <c r="E451" i="23"/>
  <c r="L451" i="23"/>
  <c r="A451" i="23"/>
  <c r="B451" i="23"/>
  <c r="F451" i="23"/>
  <c r="M451" i="23"/>
  <c r="G451" i="23"/>
  <c r="J451" i="23"/>
  <c r="M522" i="23"/>
  <c r="A522" i="23"/>
  <c r="K522" i="23"/>
  <c r="E522" i="23"/>
  <c r="L522" i="23"/>
  <c r="F522" i="23"/>
  <c r="B522" i="23"/>
  <c r="J522" i="23"/>
  <c r="I522" i="23"/>
  <c r="H522" i="23"/>
  <c r="G522" i="23"/>
  <c r="K960" i="23"/>
  <c r="I960" i="23"/>
  <c r="L960" i="23"/>
  <c r="M960" i="23"/>
  <c r="J960" i="23"/>
  <c r="G960" i="23"/>
  <c r="A960" i="23"/>
  <c r="E960" i="23"/>
  <c r="H960" i="23"/>
  <c r="B960" i="23"/>
  <c r="F960" i="23"/>
  <c r="A146" i="23"/>
  <c r="B146" i="23"/>
  <c r="B145" i="15" s="1"/>
  <c r="I146" i="23"/>
  <c r="F146" i="23" s="1"/>
  <c r="G146" i="23" s="1"/>
  <c r="M146" i="23"/>
  <c r="K146" i="23"/>
  <c r="H145" i="15" s="1"/>
  <c r="L146" i="23"/>
  <c r="G145" i="15" s="1"/>
  <c r="H146" i="23"/>
  <c r="C145" i="15"/>
  <c r="E146" i="23"/>
  <c r="J146" i="23"/>
  <c r="D48" i="15"/>
  <c r="B45" i="21"/>
  <c r="E255" i="23"/>
  <c r="A255" i="23"/>
  <c r="L255" i="23"/>
  <c r="J255" i="23"/>
  <c r="K255" i="23"/>
  <c r="G255" i="23"/>
  <c r="H255" i="23"/>
  <c r="I255" i="23"/>
  <c r="F255" i="23"/>
  <c r="B255" i="23"/>
  <c r="M255" i="23"/>
  <c r="D14" i="16"/>
  <c r="F956" i="23"/>
  <c r="M956" i="23"/>
  <c r="K956" i="23"/>
  <c r="J956" i="23"/>
  <c r="G956" i="23"/>
  <c r="I956" i="23"/>
  <c r="H956" i="23"/>
  <c r="L956" i="23"/>
  <c r="A956" i="23"/>
  <c r="E956" i="23"/>
  <c r="B956" i="23"/>
  <c r="O66" i="20"/>
  <c r="N66" i="20"/>
  <c r="N107" i="20"/>
  <c r="O107" i="20"/>
  <c r="A220" i="23"/>
  <c r="C219" i="15"/>
  <c r="J220" i="23"/>
  <c r="M220" i="23"/>
  <c r="F220" i="23"/>
  <c r="G220" i="23"/>
  <c r="L220" i="23"/>
  <c r="G219" i="15" s="1"/>
  <c r="B220" i="23"/>
  <c r="B219" i="15" s="1"/>
  <c r="K220" i="23"/>
  <c r="H219" i="15" s="1"/>
  <c r="H220" i="23"/>
  <c r="E220" i="23"/>
  <c r="I220" i="23"/>
  <c r="Y69" i="21"/>
  <c r="J833" i="23"/>
  <c r="G833" i="23"/>
  <c r="K833" i="23"/>
  <c r="M833" i="23"/>
  <c r="E833" i="23"/>
  <c r="I833" i="23"/>
  <c r="A833" i="23"/>
  <c r="F833" i="23"/>
  <c r="L833" i="23"/>
  <c r="H833" i="23"/>
  <c r="B833" i="23"/>
  <c r="B162" i="23"/>
  <c r="B161" i="15" s="1"/>
  <c r="K162" i="23"/>
  <c r="H161" i="15" s="1"/>
  <c r="E162" i="23"/>
  <c r="M162" i="23"/>
  <c r="I162" i="23"/>
  <c r="F162" i="23"/>
  <c r="G162" i="23"/>
  <c r="J162" i="23"/>
  <c r="A162" i="23"/>
  <c r="L162" i="23"/>
  <c r="G161" i="15" s="1"/>
  <c r="C161" i="15"/>
  <c r="H162" i="23"/>
  <c r="E576" i="23"/>
  <c r="J576" i="23"/>
  <c r="M576" i="23"/>
  <c r="A576" i="23"/>
  <c r="L576" i="23"/>
  <c r="B576" i="23"/>
  <c r="I576" i="23"/>
  <c r="H576" i="23"/>
  <c r="G576" i="23"/>
  <c r="F576" i="23"/>
  <c r="K576" i="23"/>
  <c r="Y49" i="21"/>
  <c r="D154" i="15"/>
  <c r="I560" i="23"/>
  <c r="J560" i="23"/>
  <c r="K560" i="23"/>
  <c r="L560" i="23"/>
  <c r="B560" i="23"/>
  <c r="G560" i="23"/>
  <c r="A560" i="23"/>
  <c r="E560" i="23"/>
  <c r="H560" i="23"/>
  <c r="M560" i="23"/>
  <c r="F560" i="23"/>
  <c r="M244" i="23"/>
  <c r="J244" i="23"/>
  <c r="I244" i="23"/>
  <c r="K244" i="23"/>
  <c r="F244" i="23"/>
  <c r="L244" i="23"/>
  <c r="G244" i="23"/>
  <c r="A244" i="23"/>
  <c r="H244" i="23"/>
  <c r="E244" i="23"/>
  <c r="B244" i="23"/>
  <c r="L512" i="23"/>
  <c r="G512" i="23"/>
  <c r="J512" i="23"/>
  <c r="M512" i="23"/>
  <c r="B512" i="23"/>
  <c r="E512" i="23"/>
  <c r="H512" i="23"/>
  <c r="A512" i="23"/>
  <c r="F512" i="23"/>
  <c r="I512" i="23"/>
  <c r="K512" i="23"/>
  <c r="I678" i="23"/>
  <c r="H678" i="23"/>
  <c r="B678" i="23"/>
  <c r="M678" i="23"/>
  <c r="L678" i="23"/>
  <c r="J678" i="23"/>
  <c r="F678" i="23"/>
  <c r="G678" i="23"/>
  <c r="E678" i="23"/>
  <c r="A678" i="23"/>
  <c r="K678" i="23"/>
  <c r="F388" i="23"/>
  <c r="K388" i="23"/>
  <c r="H388" i="23"/>
  <c r="G388" i="23"/>
  <c r="B388" i="23"/>
  <c r="I388" i="23"/>
  <c r="A388" i="23"/>
  <c r="E388" i="23"/>
  <c r="M388" i="23"/>
  <c r="L388" i="23"/>
  <c r="J388" i="23"/>
  <c r="H228" i="23"/>
  <c r="K228" i="23"/>
  <c r="G228" i="23"/>
  <c r="J228" i="23"/>
  <c r="B228" i="23"/>
  <c r="M228" i="23"/>
  <c r="I228" i="23"/>
  <c r="F228" i="23"/>
  <c r="A228" i="23"/>
  <c r="E228" i="23"/>
  <c r="L228" i="23"/>
  <c r="H871" i="23"/>
  <c r="A871" i="23"/>
  <c r="G871" i="23"/>
  <c r="E871" i="23"/>
  <c r="K871" i="23"/>
  <c r="F871" i="23"/>
  <c r="I871" i="23"/>
  <c r="J871" i="23"/>
  <c r="M871" i="23"/>
  <c r="B871" i="23"/>
  <c r="L871" i="23"/>
  <c r="E9" i="23"/>
  <c r="A9" i="23"/>
  <c r="M9" i="23"/>
  <c r="C8" i="15"/>
  <c r="B9" i="23"/>
  <c r="B8" i="15" s="1"/>
  <c r="Y50" i="21"/>
  <c r="L580" i="23"/>
  <c r="E580" i="23"/>
  <c r="A580" i="23"/>
  <c r="G580" i="23"/>
  <c r="M580" i="23"/>
  <c r="K580" i="23"/>
  <c r="F580" i="23"/>
  <c r="H580" i="23"/>
  <c r="I580" i="23"/>
  <c r="B580" i="23"/>
  <c r="J580" i="23"/>
  <c r="Y94" i="21"/>
  <c r="D30" i="15"/>
  <c r="J393" i="23"/>
  <c r="F393" i="23"/>
  <c r="H393" i="23"/>
  <c r="L393" i="23"/>
  <c r="B393" i="23"/>
  <c r="M393" i="23"/>
  <c r="G393" i="23"/>
  <c r="K393" i="23"/>
  <c r="A393" i="23"/>
  <c r="E393" i="23"/>
  <c r="I393" i="23"/>
  <c r="H453" i="23"/>
  <c r="F453" i="23"/>
  <c r="L453" i="23"/>
  <c r="A453" i="23"/>
  <c r="K453" i="23"/>
  <c r="I453" i="23"/>
  <c r="M453" i="23"/>
  <c r="G453" i="23"/>
  <c r="J453" i="23"/>
  <c r="E453" i="23"/>
  <c r="B453" i="23"/>
  <c r="B303" i="23"/>
  <c r="E303" i="23"/>
  <c r="F303" i="23"/>
  <c r="A303" i="23"/>
  <c r="L303" i="23"/>
  <c r="I303" i="23"/>
  <c r="K303" i="23"/>
  <c r="H303" i="23"/>
  <c r="G303" i="23"/>
  <c r="J303" i="23"/>
  <c r="M303" i="23"/>
  <c r="M401" i="23"/>
  <c r="E401" i="23"/>
  <c r="L401" i="23"/>
  <c r="A401" i="23"/>
  <c r="F401" i="23"/>
  <c r="H401" i="23"/>
  <c r="B401" i="23"/>
  <c r="J401" i="23"/>
  <c r="G401" i="23"/>
  <c r="I401" i="23"/>
  <c r="K401" i="23"/>
  <c r="Y76" i="21"/>
  <c r="A717" i="23"/>
  <c r="L717" i="23"/>
  <c r="J717" i="23"/>
  <c r="I717" i="23"/>
  <c r="G717" i="23"/>
  <c r="E717" i="23"/>
  <c r="M717" i="23"/>
  <c r="H717" i="23"/>
  <c r="K717" i="23"/>
  <c r="B717" i="23"/>
  <c r="F717" i="23"/>
  <c r="N84" i="20"/>
  <c r="O84" i="20"/>
  <c r="E633" i="23"/>
  <c r="F633" i="23"/>
  <c r="L633" i="23"/>
  <c r="G633" i="23"/>
  <c r="K633" i="23"/>
  <c r="A633" i="23"/>
  <c r="H633" i="23"/>
  <c r="I633" i="23"/>
  <c r="B633" i="23"/>
  <c r="J633" i="23"/>
  <c r="M633" i="23"/>
  <c r="N64" i="20"/>
  <c r="O64" i="20"/>
  <c r="D192" i="15"/>
  <c r="I404" i="23"/>
  <c r="F404" i="23"/>
  <c r="J404" i="23"/>
  <c r="H404" i="23"/>
  <c r="E404" i="23"/>
  <c r="G404" i="23"/>
  <c r="L404" i="23"/>
  <c r="A404" i="23"/>
  <c r="K404" i="23"/>
  <c r="M404" i="23"/>
  <c r="B404" i="23"/>
  <c r="K866" i="23"/>
  <c r="F866" i="23"/>
  <c r="A866" i="23"/>
  <c r="J866" i="23"/>
  <c r="B866" i="23"/>
  <c r="H866" i="23"/>
  <c r="L866" i="23"/>
  <c r="E866" i="23"/>
  <c r="G866" i="23"/>
  <c r="M866" i="23"/>
  <c r="I866" i="23"/>
  <c r="K123" i="23"/>
  <c r="H122" i="15" s="1"/>
  <c r="E123" i="23"/>
  <c r="L123" i="23"/>
  <c r="G122" i="15" s="1"/>
  <c r="F123" i="23"/>
  <c r="I123" i="23"/>
  <c r="J123" i="23"/>
  <c r="H123" i="23"/>
  <c r="A123" i="23"/>
  <c r="G123" i="23"/>
  <c r="C122" i="15"/>
  <c r="B123" i="23"/>
  <c r="B122" i="15" s="1"/>
  <c r="M123" i="23"/>
  <c r="D162" i="15"/>
  <c r="J268" i="23"/>
  <c r="I268" i="23"/>
  <c r="B268" i="23"/>
  <c r="A268" i="23"/>
  <c r="F268" i="23"/>
  <c r="M268" i="23"/>
  <c r="E268" i="23"/>
  <c r="L268" i="23"/>
  <c r="H268" i="23"/>
  <c r="G268" i="23"/>
  <c r="K268" i="23"/>
  <c r="L982" i="23"/>
  <c r="F982" i="23"/>
  <c r="M982" i="23"/>
  <c r="B982" i="23"/>
  <c r="K982" i="23"/>
  <c r="I982" i="23"/>
  <c r="G982" i="23"/>
  <c r="A982" i="23"/>
  <c r="H982" i="23"/>
  <c r="J982" i="23"/>
  <c r="E982" i="23"/>
  <c r="J276" i="23"/>
  <c r="H276" i="23"/>
  <c r="M276" i="23"/>
  <c r="L276" i="23"/>
  <c r="F276" i="23"/>
  <c r="E276" i="23"/>
  <c r="G276" i="23"/>
  <c r="B276" i="23"/>
  <c r="A276" i="23"/>
  <c r="I276" i="23"/>
  <c r="K276" i="23"/>
  <c r="Y57" i="21"/>
  <c r="E223" i="23"/>
  <c r="J223" i="23"/>
  <c r="A223" i="23"/>
  <c r="H223" i="23"/>
  <c r="M223" i="23"/>
  <c r="G223" i="23"/>
  <c r="L223" i="23"/>
  <c r="K223" i="23"/>
  <c r="I223" i="23"/>
  <c r="F223" i="23"/>
  <c r="B223" i="23"/>
  <c r="G253" i="23"/>
  <c r="K253" i="23"/>
  <c r="B253" i="23"/>
  <c r="H253" i="23"/>
  <c r="F253" i="23"/>
  <c r="M253" i="23"/>
  <c r="J253" i="23"/>
  <c r="E253" i="23"/>
  <c r="L253" i="23"/>
  <c r="I253" i="23"/>
  <c r="A253" i="23"/>
  <c r="E254" i="23"/>
  <c r="F254" i="23"/>
  <c r="H254" i="23"/>
  <c r="G254" i="23"/>
  <c r="K254" i="23"/>
  <c r="B254" i="23"/>
  <c r="A254" i="23"/>
  <c r="I254" i="23"/>
  <c r="J254" i="23"/>
  <c r="L254" i="23"/>
  <c r="M254" i="23"/>
  <c r="G663" i="23"/>
  <c r="I663" i="23"/>
  <c r="J663" i="23"/>
  <c r="E663" i="23"/>
  <c r="B663" i="23"/>
  <c r="A663" i="23"/>
  <c r="K663" i="23"/>
  <c r="F663" i="23"/>
  <c r="H663" i="23"/>
  <c r="L663" i="23"/>
  <c r="M663" i="23"/>
  <c r="H878" i="23"/>
  <c r="G878" i="23"/>
  <c r="M878" i="23"/>
  <c r="E878" i="23"/>
  <c r="L878" i="23"/>
  <c r="A878" i="23"/>
  <c r="J878" i="23"/>
  <c r="K878" i="23"/>
  <c r="B878" i="23"/>
  <c r="F878" i="23"/>
  <c r="I878" i="23"/>
  <c r="K785" i="23"/>
  <c r="A785" i="23"/>
  <c r="B785" i="23"/>
  <c r="G785" i="23"/>
  <c r="F785" i="23"/>
  <c r="I785" i="23"/>
  <c r="E785" i="23"/>
  <c r="J785" i="23"/>
  <c r="M785" i="23"/>
  <c r="H785" i="23"/>
  <c r="L785" i="23"/>
  <c r="N49" i="20"/>
  <c r="O49" i="20"/>
  <c r="H379" i="23"/>
  <c r="E379" i="23"/>
  <c r="K379" i="23"/>
  <c r="M379" i="23"/>
  <c r="A379" i="23"/>
  <c r="G379" i="23"/>
  <c r="B379" i="23"/>
  <c r="L379" i="23"/>
  <c r="I379" i="23"/>
  <c r="J379" i="23"/>
  <c r="F379" i="23"/>
  <c r="A734" i="23"/>
  <c r="I734" i="23"/>
  <c r="J734" i="23"/>
  <c r="H734" i="23"/>
  <c r="E734" i="23"/>
  <c r="L734" i="23"/>
  <c r="K734" i="23"/>
  <c r="G734" i="23"/>
  <c r="F734" i="23"/>
  <c r="B734" i="23"/>
  <c r="M734" i="23"/>
  <c r="L177" i="23"/>
  <c r="G176" i="15" s="1"/>
  <c r="H177" i="23"/>
  <c r="C176" i="15"/>
  <c r="I177" i="23"/>
  <c r="M177" i="23"/>
  <c r="G177" i="23"/>
  <c r="A177" i="23"/>
  <c r="K177" i="23"/>
  <c r="H176" i="15" s="1"/>
  <c r="F177" i="23"/>
  <c r="B177" i="23"/>
  <c r="B176" i="15" s="1"/>
  <c r="E177" i="23"/>
  <c r="J177" i="23"/>
  <c r="D50" i="15"/>
  <c r="J533" i="23"/>
  <c r="I533" i="23"/>
  <c r="K533" i="23"/>
  <c r="B533" i="23"/>
  <c r="F533" i="23"/>
  <c r="M533" i="23"/>
  <c r="G533" i="23"/>
  <c r="E533" i="23"/>
  <c r="A533" i="23"/>
  <c r="H533" i="23"/>
  <c r="L533" i="23"/>
  <c r="D91" i="15"/>
  <c r="D90" i="15"/>
  <c r="G801" i="23"/>
  <c r="M801" i="23"/>
  <c r="F801" i="23"/>
  <c r="E801" i="23"/>
  <c r="I801" i="23"/>
  <c r="L801" i="23"/>
  <c r="B801" i="23"/>
  <c r="K801" i="23"/>
  <c r="J801" i="23"/>
  <c r="H801" i="23"/>
  <c r="A801" i="23"/>
  <c r="B586" i="23"/>
  <c r="L586" i="23"/>
  <c r="H586" i="23"/>
  <c r="F586" i="23"/>
  <c r="J586" i="23"/>
  <c r="E586" i="23"/>
  <c r="I586" i="23"/>
  <c r="G586" i="23"/>
  <c r="K586" i="23"/>
  <c r="A586" i="23"/>
  <c r="M586" i="23"/>
  <c r="E314" i="23"/>
  <c r="B314" i="23"/>
  <c r="I314" i="23"/>
  <c r="F314" i="23"/>
  <c r="A314" i="23"/>
  <c r="M314" i="23"/>
  <c r="K314" i="23"/>
  <c r="G314" i="23"/>
  <c r="H314" i="23"/>
  <c r="J314" i="23"/>
  <c r="L314" i="23"/>
  <c r="I698" i="23"/>
  <c r="L698" i="23"/>
  <c r="B698" i="23"/>
  <c r="E698" i="23"/>
  <c r="K698" i="23"/>
  <c r="H698" i="23"/>
  <c r="F698" i="23"/>
  <c r="J698" i="23"/>
  <c r="A698" i="23"/>
  <c r="G698" i="23"/>
  <c r="M698" i="23"/>
  <c r="A366" i="23"/>
  <c r="F366" i="23"/>
  <c r="I366" i="23"/>
  <c r="G366" i="23"/>
  <c r="E366" i="23"/>
  <c r="H366" i="23"/>
  <c r="M366" i="23"/>
  <c r="L366" i="23"/>
  <c r="K366" i="23"/>
  <c r="B366" i="23"/>
  <c r="J366" i="23"/>
  <c r="B57" i="21"/>
  <c r="L574" i="23"/>
  <c r="E574" i="23"/>
  <c r="M574" i="23"/>
  <c r="I574" i="23"/>
  <c r="J574" i="23"/>
  <c r="A574" i="23"/>
  <c r="H574" i="23"/>
  <c r="F574" i="23"/>
  <c r="G574" i="23"/>
  <c r="B574" i="23"/>
  <c r="K574" i="23"/>
  <c r="G337" i="23"/>
  <c r="E337" i="23"/>
  <c r="F337" i="23"/>
  <c r="L337" i="23"/>
  <c r="M337" i="23"/>
  <c r="K337" i="23"/>
  <c r="B337" i="23"/>
  <c r="H337" i="23"/>
  <c r="J337" i="23"/>
  <c r="A337" i="23"/>
  <c r="I337" i="23"/>
  <c r="L792" i="23"/>
  <c r="K792" i="23"/>
  <c r="B792" i="23"/>
  <c r="G792" i="23"/>
  <c r="I792" i="23"/>
  <c r="E792" i="23"/>
  <c r="H792" i="23"/>
  <c r="F792" i="23"/>
  <c r="J792" i="23"/>
  <c r="A792" i="23"/>
  <c r="M792" i="23"/>
  <c r="H358" i="23"/>
  <c r="M358" i="23"/>
  <c r="J358" i="23"/>
  <c r="B358" i="23"/>
  <c r="L358" i="23"/>
  <c r="A358" i="23"/>
  <c r="E358" i="23"/>
  <c r="K358" i="23"/>
  <c r="G358" i="23"/>
  <c r="I358" i="23"/>
  <c r="F358" i="23"/>
  <c r="F858" i="23"/>
  <c r="H858" i="23"/>
  <c r="K858" i="23"/>
  <c r="L858" i="23"/>
  <c r="G858" i="23"/>
  <c r="I858" i="23"/>
  <c r="M858" i="23"/>
  <c r="A858" i="23"/>
  <c r="J858" i="23"/>
  <c r="E858" i="23"/>
  <c r="B858" i="23"/>
  <c r="M855" i="23"/>
  <c r="I855" i="23"/>
  <c r="E855" i="23"/>
  <c r="K855" i="23"/>
  <c r="L855" i="23"/>
  <c r="B855" i="23"/>
  <c r="F855" i="23"/>
  <c r="H855" i="23"/>
  <c r="J855" i="23"/>
  <c r="A855" i="23"/>
  <c r="G855" i="23"/>
  <c r="F920" i="23"/>
  <c r="A920" i="23"/>
  <c r="K920" i="23"/>
  <c r="E920" i="23"/>
  <c r="L920" i="23"/>
  <c r="G920" i="23"/>
  <c r="I920" i="23"/>
  <c r="H920" i="23"/>
  <c r="J920" i="23"/>
  <c r="B920" i="23"/>
  <c r="M920" i="23"/>
  <c r="B85" i="21"/>
  <c r="D84" i="15"/>
  <c r="A527" i="23"/>
  <c r="F527" i="23"/>
  <c r="L527" i="23"/>
  <c r="B527" i="23"/>
  <c r="J527" i="23"/>
  <c r="G527" i="23"/>
  <c r="I527" i="23"/>
  <c r="E527" i="23"/>
  <c r="K527" i="23"/>
  <c r="H527" i="23"/>
  <c r="M527" i="23"/>
  <c r="K247" i="23"/>
  <c r="E247" i="23"/>
  <c r="F247" i="23"/>
  <c r="I247" i="23"/>
  <c r="A247" i="23"/>
  <c r="J247" i="23"/>
  <c r="L247" i="23"/>
  <c r="M247" i="23"/>
  <c r="G247" i="23"/>
  <c r="H247" i="23"/>
  <c r="B247" i="23"/>
  <c r="F449" i="23"/>
  <c r="K449" i="23"/>
  <c r="M449" i="23"/>
  <c r="I449" i="23"/>
  <c r="A449" i="23"/>
  <c r="H449" i="23"/>
  <c r="G449" i="23"/>
  <c r="E449" i="23"/>
  <c r="B449" i="23"/>
  <c r="L449" i="23"/>
  <c r="J449" i="23"/>
  <c r="O60" i="20"/>
  <c r="N60" i="20"/>
  <c r="Y37" i="21"/>
  <c r="B87" i="21"/>
  <c r="L585" i="23"/>
  <c r="F585" i="23"/>
  <c r="M585" i="23"/>
  <c r="I585" i="23"/>
  <c r="B585" i="23"/>
  <c r="E585" i="23"/>
  <c r="H585" i="23"/>
  <c r="G585" i="23"/>
  <c r="A585" i="23"/>
  <c r="K585" i="23"/>
  <c r="J585" i="23"/>
  <c r="D54" i="15"/>
  <c r="D103" i="15"/>
  <c r="Y36" i="21"/>
  <c r="B68" i="21"/>
  <c r="J438" i="23"/>
  <c r="K438" i="23"/>
  <c r="F438" i="23"/>
  <c r="B438" i="23"/>
  <c r="L438" i="23"/>
  <c r="E438" i="23"/>
  <c r="I438" i="23"/>
  <c r="G438" i="23"/>
  <c r="A438" i="23"/>
  <c r="M438" i="23"/>
  <c r="H438" i="23"/>
  <c r="D145" i="15"/>
  <c r="D197" i="15"/>
  <c r="E794" i="23"/>
  <c r="K794" i="23"/>
  <c r="B794" i="23"/>
  <c r="A794" i="23"/>
  <c r="H794" i="23"/>
  <c r="J794" i="23"/>
  <c r="M794" i="23"/>
  <c r="L794" i="23"/>
  <c r="F794" i="23"/>
  <c r="I794" i="23"/>
  <c r="G794" i="23"/>
  <c r="I614" i="23"/>
  <c r="L614" i="23"/>
  <c r="J614" i="23"/>
  <c r="E614" i="23"/>
  <c r="G614" i="23"/>
  <c r="K614" i="23"/>
  <c r="M614" i="23"/>
  <c r="H614" i="23"/>
  <c r="A614" i="23"/>
  <c r="B614" i="23"/>
  <c r="F614" i="23"/>
  <c r="B33" i="21"/>
  <c r="A158" i="23"/>
  <c r="H158" i="23"/>
  <c r="J158" i="23"/>
  <c r="I158" i="23"/>
  <c r="F158" i="23" s="1"/>
  <c r="G158" i="23" s="1"/>
  <c r="B158" i="23"/>
  <c r="B157" i="15" s="1"/>
  <c r="K158" i="23"/>
  <c r="H157" i="15" s="1"/>
  <c r="C157" i="15"/>
  <c r="L158" i="23"/>
  <c r="G157" i="15" s="1"/>
  <c r="M158" i="23"/>
  <c r="E158" i="23"/>
  <c r="H175" i="23"/>
  <c r="A175" i="23"/>
  <c r="K175" i="23"/>
  <c r="H174" i="15" s="1"/>
  <c r="L175" i="23"/>
  <c r="G174" i="15" s="1"/>
  <c r="M175" i="23"/>
  <c r="E175" i="23"/>
  <c r="B175" i="23"/>
  <c r="B174" i="15" s="1"/>
  <c r="C174" i="15"/>
  <c r="I175" i="23"/>
  <c r="F175" i="23" s="1"/>
  <c r="G175" i="23" s="1"/>
  <c r="J175" i="23"/>
  <c r="E934" i="23"/>
  <c r="J934" i="23"/>
  <c r="B934" i="23"/>
  <c r="M934" i="23"/>
  <c r="K934" i="23"/>
  <c r="H934" i="23"/>
  <c r="F934" i="23"/>
  <c r="G934" i="23"/>
  <c r="I934" i="23"/>
  <c r="A934" i="23"/>
  <c r="L934" i="23"/>
  <c r="K723" i="23"/>
  <c r="F723" i="23"/>
  <c r="G723" i="23"/>
  <c r="E723" i="23"/>
  <c r="J723" i="23"/>
  <c r="A723" i="23"/>
  <c r="I723" i="23"/>
  <c r="B723" i="23"/>
  <c r="M723" i="23"/>
  <c r="H723" i="23"/>
  <c r="L723" i="23"/>
  <c r="G862" i="23"/>
  <c r="K862" i="23"/>
  <c r="F862" i="23"/>
  <c r="B862" i="23"/>
  <c r="A862" i="23"/>
  <c r="H862" i="23"/>
  <c r="J862" i="23"/>
  <c r="E862" i="23"/>
  <c r="L862" i="23"/>
  <c r="M862" i="23"/>
  <c r="I862" i="23"/>
  <c r="A720" i="23"/>
  <c r="I720" i="23"/>
  <c r="F720" i="23"/>
  <c r="B720" i="23"/>
  <c r="L720" i="23"/>
  <c r="G720" i="23"/>
  <c r="E720" i="23"/>
  <c r="M720" i="23"/>
  <c r="H720" i="23"/>
  <c r="K720" i="23"/>
  <c r="J720" i="23"/>
  <c r="I790" i="23"/>
  <c r="L790" i="23"/>
  <c r="E790" i="23"/>
  <c r="H790" i="23"/>
  <c r="A790" i="23"/>
  <c r="M790" i="23"/>
  <c r="B790" i="23"/>
  <c r="K790" i="23"/>
  <c r="J790" i="23"/>
  <c r="G790" i="23"/>
  <c r="F790" i="23"/>
  <c r="A675" i="23"/>
  <c r="F675" i="23"/>
  <c r="B675" i="23"/>
  <c r="L675" i="23"/>
  <c r="H675" i="23"/>
  <c r="K675" i="23"/>
  <c r="M675" i="23"/>
  <c r="I675" i="23"/>
  <c r="E675" i="23"/>
  <c r="J675" i="23"/>
  <c r="G675" i="23"/>
  <c r="I876" i="23"/>
  <c r="F876" i="23"/>
  <c r="L876" i="23"/>
  <c r="H876" i="23"/>
  <c r="M876" i="23"/>
  <c r="G876" i="23"/>
  <c r="A876" i="23"/>
  <c r="K876" i="23"/>
  <c r="E876" i="23"/>
  <c r="B876" i="23"/>
  <c r="J876" i="23"/>
  <c r="H270" i="23"/>
  <c r="A270" i="23"/>
  <c r="K270" i="23"/>
  <c r="I270" i="23"/>
  <c r="L270" i="23"/>
  <c r="E270" i="23"/>
  <c r="F270" i="23"/>
  <c r="G270" i="23"/>
  <c r="J270" i="23"/>
  <c r="M270" i="23"/>
  <c r="B270" i="23"/>
  <c r="D47" i="15"/>
  <c r="B76" i="21"/>
  <c r="M941" i="23"/>
  <c r="L941" i="23"/>
  <c r="F941" i="23"/>
  <c r="B941" i="23"/>
  <c r="I941" i="23"/>
  <c r="J941" i="23"/>
  <c r="A941" i="23"/>
  <c r="K941" i="23"/>
  <c r="H941" i="23"/>
  <c r="G941" i="23"/>
  <c r="E941" i="23"/>
  <c r="O7" i="20"/>
  <c r="B103" i="21"/>
  <c r="I536" i="23"/>
  <c r="G536" i="23"/>
  <c r="F536" i="23"/>
  <c r="H536" i="23"/>
  <c r="L536" i="23"/>
  <c r="J536" i="23"/>
  <c r="K536" i="23"/>
  <c r="B536" i="23"/>
  <c r="A536" i="23"/>
  <c r="M536" i="23"/>
  <c r="E536" i="23"/>
  <c r="B71" i="21"/>
  <c r="B27" i="21"/>
  <c r="O41" i="20"/>
  <c r="H928" i="23"/>
  <c r="I928" i="23"/>
  <c r="F928" i="23"/>
  <c r="L928" i="23"/>
  <c r="E928" i="23"/>
  <c r="A928" i="23"/>
  <c r="K928" i="23"/>
  <c r="M928" i="23"/>
  <c r="B928" i="23"/>
  <c r="G928" i="23"/>
  <c r="J928" i="23"/>
  <c r="M702" i="23"/>
  <c r="E702" i="23"/>
  <c r="I702" i="23"/>
  <c r="H702" i="23"/>
  <c r="L702" i="23"/>
  <c r="B702" i="23"/>
  <c r="G702" i="23"/>
  <c r="A702" i="23"/>
  <c r="F702" i="23"/>
  <c r="J702" i="23"/>
  <c r="K702" i="23"/>
  <c r="G786" i="23"/>
  <c r="I786" i="23"/>
  <c r="H786" i="23"/>
  <c r="A786" i="23"/>
  <c r="E786" i="23"/>
  <c r="F786" i="23"/>
  <c r="J786" i="23"/>
  <c r="M786" i="23"/>
  <c r="L786" i="23"/>
  <c r="B786" i="23"/>
  <c r="K786" i="23"/>
  <c r="C75" i="15"/>
  <c r="F75" i="15" s="1"/>
  <c r="M76" i="23"/>
  <c r="A76" i="23"/>
  <c r="B76" i="23"/>
  <c r="B75" i="15" s="1"/>
  <c r="E76" i="23"/>
  <c r="G308" i="23"/>
  <c r="K308" i="23"/>
  <c r="F308" i="23"/>
  <c r="B308" i="23"/>
  <c r="M308" i="23"/>
  <c r="A308" i="23"/>
  <c r="J308" i="23"/>
  <c r="L308" i="23"/>
  <c r="E308" i="23"/>
  <c r="H308" i="23"/>
  <c r="I308" i="23"/>
  <c r="J796" i="23"/>
  <c r="H796" i="23"/>
  <c r="A796" i="23"/>
  <c r="G796" i="23"/>
  <c r="I796" i="23"/>
  <c r="B796" i="23"/>
  <c r="L796" i="23"/>
  <c r="M796" i="23"/>
  <c r="K796" i="23"/>
  <c r="E796" i="23"/>
  <c r="F796" i="23"/>
  <c r="Y10" i="21"/>
  <c r="D38" i="15"/>
  <c r="A583" i="23"/>
  <c r="G583" i="23"/>
  <c r="B583" i="23"/>
  <c r="E583" i="23"/>
  <c r="F583" i="23"/>
  <c r="H583" i="23"/>
  <c r="L583" i="23"/>
  <c r="K583" i="23"/>
  <c r="I583" i="23"/>
  <c r="M583" i="23"/>
  <c r="J583" i="23"/>
  <c r="I612" i="23"/>
  <c r="L612" i="23"/>
  <c r="K612" i="23"/>
  <c r="J612" i="23"/>
  <c r="H612" i="23"/>
  <c r="G612" i="23"/>
  <c r="F612" i="23"/>
  <c r="B612" i="23"/>
  <c r="E612" i="23"/>
  <c r="M612" i="23"/>
  <c r="A612" i="23"/>
  <c r="F931" i="23"/>
  <c r="K931" i="23"/>
  <c r="E931" i="23"/>
  <c r="J931" i="23"/>
  <c r="L931" i="23"/>
  <c r="M931" i="23"/>
  <c r="G931" i="23"/>
  <c r="A931" i="23"/>
  <c r="H931" i="23"/>
  <c r="I931" i="23"/>
  <c r="B931" i="23"/>
  <c r="H345" i="23"/>
  <c r="M345" i="23"/>
  <c r="G345" i="23"/>
  <c r="B345" i="23"/>
  <c r="I345" i="23"/>
  <c r="L345" i="23"/>
  <c r="K345" i="23"/>
  <c r="A345" i="23"/>
  <c r="E345" i="23"/>
  <c r="J345" i="23"/>
  <c r="F345" i="23"/>
  <c r="O28" i="20"/>
  <c r="G76" i="20" s="1"/>
  <c r="J409" i="23"/>
  <c r="A409" i="23"/>
  <c r="M409" i="23"/>
  <c r="F409" i="23"/>
  <c r="B409" i="23"/>
  <c r="L409" i="23"/>
  <c r="G409" i="23"/>
  <c r="H409" i="23"/>
  <c r="E409" i="23"/>
  <c r="K409" i="23"/>
  <c r="I409" i="23"/>
  <c r="O33" i="20"/>
  <c r="K884" i="23"/>
  <c r="B884" i="23"/>
  <c r="L884" i="23"/>
  <c r="J884" i="23"/>
  <c r="H884" i="23"/>
  <c r="M884" i="23"/>
  <c r="E884" i="23"/>
  <c r="A884" i="23"/>
  <c r="I884" i="23"/>
  <c r="F884" i="23"/>
  <c r="G884" i="23"/>
  <c r="A92" i="23"/>
  <c r="M92" i="23"/>
  <c r="E92" i="23"/>
  <c r="B92" i="23"/>
  <c r="B91" i="15" s="1"/>
  <c r="C91" i="15"/>
  <c r="B12" i="21"/>
  <c r="A446" i="23"/>
  <c r="F446" i="23"/>
  <c r="J446" i="23"/>
  <c r="H446" i="23"/>
  <c r="M446" i="23"/>
  <c r="K446" i="23"/>
  <c r="E446" i="23"/>
  <c r="I446" i="23"/>
  <c r="G446" i="23"/>
  <c r="B446" i="23"/>
  <c r="L446" i="23"/>
  <c r="B800" i="23"/>
  <c r="A800" i="23"/>
  <c r="E800" i="23"/>
  <c r="I800" i="23"/>
  <c r="G800" i="23"/>
  <c r="L800" i="23"/>
  <c r="F800" i="23"/>
  <c r="M800" i="23"/>
  <c r="H800" i="23"/>
  <c r="J800" i="23"/>
  <c r="K800" i="23"/>
  <c r="A192" i="23"/>
  <c r="K192" i="23"/>
  <c r="H191" i="15" s="1"/>
  <c r="I192" i="23"/>
  <c r="L192" i="23"/>
  <c r="G191" i="15" s="1"/>
  <c r="J192" i="23"/>
  <c r="C191" i="15"/>
  <c r="B192" i="23"/>
  <c r="B191" i="15" s="1"/>
  <c r="F192" i="23"/>
  <c r="M192" i="23"/>
  <c r="E192" i="23"/>
  <c r="H192" i="23"/>
  <c r="G192" i="23"/>
  <c r="O15" i="20"/>
  <c r="L774" i="23"/>
  <c r="J774" i="23"/>
  <c r="F774" i="23"/>
  <c r="A774" i="23"/>
  <c r="G774" i="23"/>
  <c r="B774" i="23"/>
  <c r="M774" i="23"/>
  <c r="I774" i="23"/>
  <c r="K774" i="23"/>
  <c r="H774" i="23"/>
  <c r="E774" i="23"/>
  <c r="B620" i="23"/>
  <c r="K620" i="23"/>
  <c r="F620" i="23"/>
  <c r="G620" i="23"/>
  <c r="A620" i="23"/>
  <c r="I620" i="23"/>
  <c r="M620" i="23"/>
  <c r="L620" i="23"/>
  <c r="J620" i="23"/>
  <c r="H620" i="23"/>
  <c r="E620" i="23"/>
  <c r="L143" i="23"/>
  <c r="G142" i="15" s="1"/>
  <c r="E143" i="23"/>
  <c r="H143" i="23"/>
  <c r="A143" i="23"/>
  <c r="I143" i="23"/>
  <c r="F143" i="23" s="1"/>
  <c r="G143" i="23" s="1"/>
  <c r="B143" i="23"/>
  <c r="B142" i="15" s="1"/>
  <c r="J143" i="23"/>
  <c r="K143" i="23"/>
  <c r="H142" i="15" s="1"/>
  <c r="M143" i="23"/>
  <c r="C142" i="15"/>
  <c r="M34" i="23"/>
  <c r="E34" i="23"/>
  <c r="B34" i="23"/>
  <c r="B33" i="15" s="1"/>
  <c r="C33" i="15"/>
  <c r="A34" i="23"/>
  <c r="D102" i="15"/>
  <c r="E806" i="23"/>
  <c r="L806" i="23"/>
  <c r="K806" i="23"/>
  <c r="F806" i="23"/>
  <c r="B806" i="23"/>
  <c r="J806" i="23"/>
  <c r="H806" i="23"/>
  <c r="G806" i="23"/>
  <c r="I806" i="23"/>
  <c r="M806" i="23"/>
  <c r="A806" i="23"/>
  <c r="O44" i="20"/>
  <c r="N44" i="20"/>
  <c r="D36" i="15"/>
  <c r="M341" i="23"/>
  <c r="K341" i="23"/>
  <c r="A341" i="23"/>
  <c r="I341" i="23"/>
  <c r="J341" i="23"/>
  <c r="G341" i="23"/>
  <c r="H341" i="23"/>
  <c r="L341" i="23"/>
  <c r="B341" i="23"/>
  <c r="E341" i="23"/>
  <c r="F341" i="23"/>
  <c r="J889" i="23"/>
  <c r="F889" i="23"/>
  <c r="L889" i="23"/>
  <c r="I889" i="23"/>
  <c r="H889" i="23"/>
  <c r="G889" i="23"/>
  <c r="A889" i="23"/>
  <c r="B889" i="23"/>
  <c r="M889" i="23"/>
  <c r="E889" i="23"/>
  <c r="K889" i="23"/>
  <c r="B68" i="23"/>
  <c r="B67" i="15" s="1"/>
  <c r="A68" i="23"/>
  <c r="M68" i="23"/>
  <c r="E68" i="23"/>
  <c r="C67" i="15"/>
  <c r="Y93" i="21"/>
  <c r="C169" i="15"/>
  <c r="L170" i="23"/>
  <c r="G169" i="15" s="1"/>
  <c r="I170" i="23"/>
  <c r="F170" i="23" s="1"/>
  <c r="G170" i="23" s="1"/>
  <c r="E170" i="23"/>
  <c r="M170" i="23"/>
  <c r="A170" i="23"/>
  <c r="K170" i="23"/>
  <c r="H169" i="15" s="1"/>
  <c r="B170" i="23"/>
  <c r="B169" i="15" s="1"/>
  <c r="H170" i="23"/>
  <c r="J170" i="23"/>
  <c r="H539" i="23"/>
  <c r="K539" i="23"/>
  <c r="L539" i="23"/>
  <c r="F539" i="23"/>
  <c r="A539" i="23"/>
  <c r="M539" i="23"/>
  <c r="G539" i="23"/>
  <c r="I539" i="23"/>
  <c r="J539" i="23"/>
  <c r="B539" i="23"/>
  <c r="E539" i="23"/>
  <c r="F502" i="23"/>
  <c r="I502" i="23"/>
  <c r="M502" i="23"/>
  <c r="E502" i="23"/>
  <c r="G502" i="23"/>
  <c r="A502" i="23"/>
  <c r="L502" i="23"/>
  <c r="K502" i="23"/>
  <c r="B502" i="23"/>
  <c r="J502" i="23"/>
  <c r="H502" i="23"/>
  <c r="D195" i="15"/>
  <c r="N57" i="20"/>
  <c r="O57" i="20"/>
  <c r="L791" i="23"/>
  <c r="A791" i="23"/>
  <c r="H791" i="23"/>
  <c r="J791" i="23"/>
  <c r="B791" i="23"/>
  <c r="F791" i="23"/>
  <c r="G791" i="23"/>
  <c r="I791" i="23"/>
  <c r="K791" i="23"/>
  <c r="M791" i="23"/>
  <c r="E791" i="23"/>
  <c r="M40" i="23"/>
  <c r="B40" i="23"/>
  <c r="B39" i="15" s="1"/>
  <c r="C39" i="15"/>
  <c r="A40" i="23"/>
  <c r="E40" i="23"/>
  <c r="D179" i="15"/>
  <c r="O13" i="20"/>
  <c r="F809" i="23"/>
  <c r="E809" i="23"/>
  <c r="A809" i="23"/>
  <c r="J809" i="23"/>
  <c r="I809" i="23"/>
  <c r="L809" i="23"/>
  <c r="B809" i="23"/>
  <c r="K809" i="23"/>
  <c r="M809" i="23"/>
  <c r="G809" i="23"/>
  <c r="H809" i="23"/>
  <c r="G980" i="23"/>
  <c r="M980" i="23"/>
  <c r="I980" i="23"/>
  <c r="F980" i="23"/>
  <c r="B980" i="23"/>
  <c r="H980" i="23"/>
  <c r="E980" i="23"/>
  <c r="J980" i="23"/>
  <c r="K980" i="23"/>
  <c r="L980" i="23"/>
  <c r="A980" i="23"/>
  <c r="L116" i="23"/>
  <c r="G115" i="15" s="1"/>
  <c r="J116" i="23"/>
  <c r="M116" i="23"/>
  <c r="K116" i="23"/>
  <c r="H115" i="15" s="1"/>
  <c r="C115" i="15"/>
  <c r="H116" i="23"/>
  <c r="E116" i="23"/>
  <c r="I116" i="23"/>
  <c r="F116" i="23" s="1"/>
  <c r="G116" i="23" s="1"/>
  <c r="B116" i="23"/>
  <c r="B115" i="15" s="1"/>
  <c r="A116" i="23"/>
  <c r="N87" i="20"/>
  <c r="O87" i="20"/>
  <c r="H540" i="23"/>
  <c r="M540" i="23"/>
  <c r="A540" i="23"/>
  <c r="I540" i="23"/>
  <c r="F540" i="23"/>
  <c r="J540" i="23"/>
  <c r="B540" i="23"/>
  <c r="G540" i="23"/>
  <c r="L540" i="23"/>
  <c r="E540" i="23"/>
  <c r="K540" i="23"/>
  <c r="M59" i="23"/>
  <c r="E59" i="23"/>
  <c r="A59" i="23"/>
  <c r="C58" i="15"/>
  <c r="B59" i="23"/>
  <c r="B58" i="15" s="1"/>
  <c r="M48" i="23"/>
  <c r="B48" i="23"/>
  <c r="B47" i="15" s="1"/>
  <c r="E48" i="23"/>
  <c r="C47" i="15"/>
  <c r="A48" i="23"/>
  <c r="M32" i="23"/>
  <c r="A32" i="23"/>
  <c r="E32" i="23"/>
  <c r="B32" i="23"/>
  <c r="B31" i="15" s="1"/>
  <c r="C31" i="15"/>
  <c r="H799" i="23"/>
  <c r="M799" i="23"/>
  <c r="K799" i="23"/>
  <c r="B799" i="23"/>
  <c r="I799" i="23"/>
  <c r="F799" i="23"/>
  <c r="E799" i="23"/>
  <c r="A799" i="23"/>
  <c r="J799" i="23"/>
  <c r="G799" i="23"/>
  <c r="L799" i="23"/>
  <c r="D199" i="15"/>
  <c r="E824" i="23"/>
  <c r="B824" i="23"/>
  <c r="I824" i="23"/>
  <c r="M824" i="23"/>
  <c r="J824" i="23"/>
  <c r="L824" i="23"/>
  <c r="A824" i="23"/>
  <c r="H824" i="23"/>
  <c r="G824" i="23"/>
  <c r="K824" i="23"/>
  <c r="F824" i="23"/>
  <c r="H229" i="23"/>
  <c r="M229" i="23"/>
  <c r="K229" i="23"/>
  <c r="E229" i="23"/>
  <c r="J229" i="23"/>
  <c r="A229" i="23"/>
  <c r="B229" i="23"/>
  <c r="F229" i="23"/>
  <c r="L229" i="23"/>
  <c r="G229" i="23"/>
  <c r="I229" i="23"/>
  <c r="G607" i="23"/>
  <c r="A607" i="23"/>
  <c r="F607" i="23"/>
  <c r="E607" i="23"/>
  <c r="K607" i="23"/>
  <c r="L607" i="23"/>
  <c r="J607" i="23"/>
  <c r="B607" i="23"/>
  <c r="H607" i="23"/>
  <c r="M607" i="23"/>
  <c r="I607" i="23"/>
  <c r="B339" i="23"/>
  <c r="H339" i="23"/>
  <c r="E339" i="23"/>
  <c r="L339" i="23"/>
  <c r="G339" i="23"/>
  <c r="K339" i="23"/>
  <c r="M339" i="23"/>
  <c r="I339" i="23"/>
  <c r="J339" i="23"/>
  <c r="F339" i="23"/>
  <c r="A339" i="23"/>
  <c r="D80" i="15"/>
  <c r="E269" i="23"/>
  <c r="H269" i="23"/>
  <c r="A269" i="23"/>
  <c r="L269" i="23"/>
  <c r="K269" i="23"/>
  <c r="F269" i="23"/>
  <c r="M269" i="23"/>
  <c r="J269" i="23"/>
  <c r="I269" i="23"/>
  <c r="B269" i="23"/>
  <c r="G269" i="23"/>
  <c r="B127" i="23"/>
  <c r="B126" i="15" s="1"/>
  <c r="L127" i="23"/>
  <c r="G126" i="15" s="1"/>
  <c r="A127" i="23"/>
  <c r="I127" i="23"/>
  <c r="F127" i="23" s="1"/>
  <c r="G127" i="23" s="1"/>
  <c r="C126" i="15"/>
  <c r="K127" i="23"/>
  <c r="H126" i="15" s="1"/>
  <c r="H127" i="23"/>
  <c r="E127" i="23"/>
  <c r="J127" i="23"/>
  <c r="M127" i="23"/>
  <c r="I126" i="15" s="1"/>
  <c r="G677" i="23"/>
  <c r="E677" i="23"/>
  <c r="A677" i="23"/>
  <c r="K677" i="23"/>
  <c r="L677" i="23"/>
  <c r="H677" i="23"/>
  <c r="B677" i="23"/>
  <c r="J677" i="23"/>
  <c r="M677" i="23"/>
  <c r="F677" i="23"/>
  <c r="I677" i="23"/>
  <c r="M940" i="23"/>
  <c r="F940" i="23"/>
  <c r="K940" i="23"/>
  <c r="A940" i="23"/>
  <c r="L940" i="23"/>
  <c r="J940" i="23"/>
  <c r="G940" i="23"/>
  <c r="I940" i="23"/>
  <c r="E940" i="23"/>
  <c r="B940" i="23"/>
  <c r="H940" i="23"/>
  <c r="B75" i="21"/>
  <c r="I384" i="23"/>
  <c r="G384" i="23"/>
  <c r="H384" i="23"/>
  <c r="E384" i="23"/>
  <c r="M384" i="23"/>
  <c r="L384" i="23"/>
  <c r="K384" i="23"/>
  <c r="A384" i="23"/>
  <c r="J384" i="23"/>
  <c r="B384" i="23"/>
  <c r="F384" i="23"/>
  <c r="A611" i="23"/>
  <c r="I611" i="23"/>
  <c r="L611" i="23"/>
  <c r="K611" i="23"/>
  <c r="H611" i="23"/>
  <c r="B611" i="23"/>
  <c r="M611" i="23"/>
  <c r="F611" i="23"/>
  <c r="J611" i="23"/>
  <c r="E611" i="23"/>
  <c r="G611" i="23"/>
  <c r="L950" i="23"/>
  <c r="B950" i="23"/>
  <c r="I950" i="23"/>
  <c r="H950" i="23"/>
  <c r="M950" i="23"/>
  <c r="G950" i="23"/>
  <c r="A950" i="23"/>
  <c r="J950" i="23"/>
  <c r="K950" i="23"/>
  <c r="E950" i="23"/>
  <c r="F950" i="23"/>
  <c r="A275" i="23"/>
  <c r="B275" i="23"/>
  <c r="F275" i="23"/>
  <c r="H275" i="23"/>
  <c r="L275" i="23"/>
  <c r="J275" i="23"/>
  <c r="E275" i="23"/>
  <c r="M275" i="23"/>
  <c r="K275" i="23"/>
  <c r="I275" i="23"/>
  <c r="G275" i="23"/>
  <c r="E82" i="23"/>
  <c r="M82" i="23"/>
  <c r="B82" i="23"/>
  <c r="B81" i="15" s="1"/>
  <c r="A82" i="23"/>
  <c r="C81" i="15"/>
  <c r="L81" i="15" s="1"/>
  <c r="C96" i="15"/>
  <c r="M97" i="23"/>
  <c r="I96" i="15" s="1"/>
  <c r="B97" i="23"/>
  <c r="B96" i="15" s="1"/>
  <c r="A97" i="23"/>
  <c r="E97" i="23"/>
  <c r="G937" i="23"/>
  <c r="B937" i="23"/>
  <c r="E937" i="23"/>
  <c r="I937" i="23"/>
  <c r="F937" i="23"/>
  <c r="A937" i="23"/>
  <c r="L937" i="23"/>
  <c r="H937" i="23"/>
  <c r="J937" i="23"/>
  <c r="M937" i="23"/>
  <c r="K937" i="23"/>
  <c r="D174" i="15"/>
  <c r="M163" i="23"/>
  <c r="B163" i="23"/>
  <c r="B162" i="15" s="1"/>
  <c r="G163" i="23"/>
  <c r="C162" i="15"/>
  <c r="J163" i="23"/>
  <c r="L163" i="23"/>
  <c r="G162" i="15" s="1"/>
  <c r="A163" i="23"/>
  <c r="E163" i="23"/>
  <c r="H163" i="23"/>
  <c r="F163" i="23"/>
  <c r="I163" i="23"/>
  <c r="K163" i="23"/>
  <c r="H162" i="15" s="1"/>
  <c r="D16" i="16"/>
  <c r="J16" i="16"/>
  <c r="K16" i="16"/>
  <c r="K206" i="23"/>
  <c r="H205" i="15" s="1"/>
  <c r="M206" i="23"/>
  <c r="J206" i="23"/>
  <c r="I206" i="23"/>
  <c r="A206" i="23"/>
  <c r="H206" i="23"/>
  <c r="E206" i="23"/>
  <c r="L206" i="23"/>
  <c r="G205" i="15" s="1"/>
  <c r="B206" i="23"/>
  <c r="B205" i="15" s="1"/>
  <c r="F206" i="23"/>
  <c r="G206" i="23"/>
  <c r="C205" i="15"/>
  <c r="D110" i="15"/>
  <c r="B24" i="21"/>
  <c r="A429" i="23"/>
  <c r="L429" i="23"/>
  <c r="K429" i="23"/>
  <c r="M429" i="23"/>
  <c r="F429" i="23"/>
  <c r="J429" i="23"/>
  <c r="E429" i="23"/>
  <c r="I429" i="23"/>
  <c r="B429" i="23"/>
  <c r="H429" i="23"/>
  <c r="G429" i="23"/>
  <c r="D44" i="15"/>
  <c r="Y51" i="21"/>
  <c r="M525" i="23"/>
  <c r="B525" i="23"/>
  <c r="F525" i="23"/>
  <c r="E525" i="23"/>
  <c r="G525" i="23"/>
  <c r="K525" i="23"/>
  <c r="L525" i="23"/>
  <c r="J525" i="23"/>
  <c r="H525" i="23"/>
  <c r="I525" i="23"/>
  <c r="A525" i="23"/>
  <c r="D139" i="15"/>
  <c r="L891" i="23"/>
  <c r="F891" i="23"/>
  <c r="A891" i="23"/>
  <c r="G891" i="23"/>
  <c r="E891" i="23"/>
  <c r="I891" i="23"/>
  <c r="J891" i="23"/>
  <c r="M891" i="23"/>
  <c r="B891" i="23"/>
  <c r="H891" i="23"/>
  <c r="K891" i="23"/>
  <c r="M389" i="23"/>
  <c r="I389" i="23"/>
  <c r="B389" i="23"/>
  <c r="L389" i="23"/>
  <c r="J389" i="23"/>
  <c r="F389" i="23"/>
  <c r="E389" i="23"/>
  <c r="H389" i="23"/>
  <c r="K389" i="23"/>
  <c r="G389" i="23"/>
  <c r="A389" i="23"/>
  <c r="K319" i="23"/>
  <c r="E319" i="23"/>
  <c r="H319" i="23"/>
  <c r="B319" i="23"/>
  <c r="A319" i="23"/>
  <c r="M319" i="23"/>
  <c r="G319" i="23"/>
  <c r="I319" i="23"/>
  <c r="L319" i="23"/>
  <c r="J319" i="23"/>
  <c r="F319" i="23"/>
  <c r="F428" i="23"/>
  <c r="B428" i="23"/>
  <c r="M428" i="23"/>
  <c r="L428" i="23"/>
  <c r="J428" i="23"/>
  <c r="K428" i="23"/>
  <c r="G428" i="23"/>
  <c r="E428" i="23"/>
  <c r="A428" i="23"/>
  <c r="I428" i="23"/>
  <c r="H428" i="23"/>
  <c r="J503" i="23"/>
  <c r="K503" i="23"/>
  <c r="I503" i="23"/>
  <c r="L503" i="23"/>
  <c r="E503" i="23"/>
  <c r="A503" i="23"/>
  <c r="M503" i="23"/>
  <c r="G503" i="23"/>
  <c r="B503" i="23"/>
  <c r="H503" i="23"/>
  <c r="F503" i="23"/>
  <c r="C76" i="15"/>
  <c r="B77" i="23"/>
  <c r="B76" i="15" s="1"/>
  <c r="A77" i="23"/>
  <c r="M77" i="23"/>
  <c r="E77" i="23"/>
  <c r="B534" i="23"/>
  <c r="I534" i="23"/>
  <c r="A534" i="23"/>
  <c r="J534" i="23"/>
  <c r="E534" i="23"/>
  <c r="M534" i="23"/>
  <c r="K534" i="23"/>
  <c r="H534" i="23"/>
  <c r="G534" i="23"/>
  <c r="F534" i="23"/>
  <c r="L534" i="23"/>
  <c r="B818" i="23"/>
  <c r="H818" i="23"/>
  <c r="E818" i="23"/>
  <c r="I818" i="23"/>
  <c r="L818" i="23"/>
  <c r="A818" i="23"/>
  <c r="F818" i="23"/>
  <c r="G818" i="23"/>
  <c r="K818" i="23"/>
  <c r="J818" i="23"/>
  <c r="M818" i="23"/>
  <c r="G783" i="23"/>
  <c r="E783" i="23"/>
  <c r="L783" i="23"/>
  <c r="K783" i="23"/>
  <c r="F783" i="23"/>
  <c r="I783" i="23"/>
  <c r="A783" i="23"/>
  <c r="B783" i="23"/>
  <c r="M783" i="23"/>
  <c r="J783" i="23"/>
  <c r="H783" i="23"/>
  <c r="D29" i="15"/>
  <c r="M84" i="23"/>
  <c r="A84" i="23"/>
  <c r="B84" i="23"/>
  <c r="B83" i="15" s="1"/>
  <c r="C83" i="15"/>
  <c r="E84" i="23"/>
  <c r="B31" i="21"/>
  <c r="M305" i="23"/>
  <c r="A305" i="23"/>
  <c r="G305" i="23"/>
  <c r="E305" i="23"/>
  <c r="J305" i="23"/>
  <c r="F305" i="23"/>
  <c r="B305" i="23"/>
  <c r="K305" i="23"/>
  <c r="I305" i="23"/>
  <c r="H305" i="23"/>
  <c r="L305" i="23"/>
  <c r="D24" i="15"/>
  <c r="B44" i="21"/>
  <c r="D219" i="15"/>
  <c r="G551" i="23"/>
  <c r="J551" i="23"/>
  <c r="H551" i="23"/>
  <c r="E551" i="23"/>
  <c r="A551" i="23"/>
  <c r="K551" i="23"/>
  <c r="M551" i="23"/>
  <c r="I551" i="23"/>
  <c r="L551" i="23"/>
  <c r="B551" i="23"/>
  <c r="F551" i="23"/>
  <c r="N48" i="20"/>
  <c r="O48" i="20"/>
  <c r="B873" i="23"/>
  <c r="E873" i="23"/>
  <c r="G873" i="23"/>
  <c r="L873" i="23"/>
  <c r="F873" i="23"/>
  <c r="I873" i="23"/>
  <c r="H873" i="23"/>
  <c r="K873" i="23"/>
  <c r="J873" i="23"/>
  <c r="A873" i="23"/>
  <c r="M873" i="23"/>
  <c r="F797" i="23"/>
  <c r="I797" i="23"/>
  <c r="H797" i="23"/>
  <c r="K797" i="23"/>
  <c r="E797" i="23"/>
  <c r="J797" i="23"/>
  <c r="L797" i="23"/>
  <c r="G797" i="23"/>
  <c r="M797" i="23"/>
  <c r="A797" i="23"/>
  <c r="B797" i="23"/>
  <c r="D178" i="15"/>
  <c r="J328" i="23"/>
  <c r="A328" i="23"/>
  <c r="B328" i="23"/>
  <c r="F328" i="23"/>
  <c r="E328" i="23"/>
  <c r="H328" i="23"/>
  <c r="G328" i="23"/>
  <c r="K328" i="23"/>
  <c r="M328" i="23"/>
  <c r="I328" i="23"/>
  <c r="L328" i="23"/>
  <c r="N97" i="20"/>
  <c r="O97" i="20"/>
  <c r="B926" i="23"/>
  <c r="F926" i="23"/>
  <c r="A926" i="23"/>
  <c r="L926" i="23"/>
  <c r="K926" i="23"/>
  <c r="I926" i="23"/>
  <c r="J926" i="23"/>
  <c r="H926" i="23"/>
  <c r="M926" i="23"/>
  <c r="E926" i="23"/>
  <c r="G926" i="23"/>
  <c r="B104" i="21"/>
  <c r="J504" i="23"/>
  <c r="A504" i="23"/>
  <c r="F504" i="23"/>
  <c r="K504" i="23"/>
  <c r="G504" i="23"/>
  <c r="E504" i="23"/>
  <c r="M504" i="23"/>
  <c r="B504" i="23"/>
  <c r="I504" i="23"/>
  <c r="L504" i="23"/>
  <c r="H504" i="23"/>
  <c r="G277" i="23"/>
  <c r="E277" i="23"/>
  <c r="L277" i="23"/>
  <c r="K277" i="23"/>
  <c r="I277" i="23"/>
  <c r="A277" i="23"/>
  <c r="F277" i="23"/>
  <c r="M277" i="23"/>
  <c r="H277" i="23"/>
  <c r="J277" i="23"/>
  <c r="B277" i="23"/>
  <c r="L914" i="23"/>
  <c r="B914" i="23"/>
  <c r="K914" i="23"/>
  <c r="G914" i="23"/>
  <c r="F914" i="23"/>
  <c r="A914" i="23"/>
  <c r="M914" i="23"/>
  <c r="E914" i="23"/>
  <c r="H914" i="23"/>
  <c r="J914" i="23"/>
  <c r="I914" i="23"/>
  <c r="C164" i="15"/>
  <c r="E165" i="23"/>
  <c r="A165" i="23"/>
  <c r="B165" i="23"/>
  <c r="B164" i="15" s="1"/>
  <c r="M165" i="23"/>
  <c r="K165" i="23"/>
  <c r="H164" i="15" s="1"/>
  <c r="L165" i="23"/>
  <c r="G164" i="15" s="1"/>
  <c r="J165" i="23"/>
  <c r="I165" i="23"/>
  <c r="F165" i="23" s="1"/>
  <c r="G165" i="23" s="1"/>
  <c r="H165" i="23"/>
  <c r="A604" i="23"/>
  <c r="F604" i="23"/>
  <c r="E604" i="23"/>
  <c r="I604" i="23"/>
  <c r="K604" i="23"/>
  <c r="J604" i="23"/>
  <c r="L604" i="23"/>
  <c r="G604" i="23"/>
  <c r="M604" i="23"/>
  <c r="B604" i="23"/>
  <c r="H604" i="23"/>
  <c r="J615" i="23"/>
  <c r="B615" i="23"/>
  <c r="G615" i="23"/>
  <c r="I615" i="23"/>
  <c r="M615" i="23"/>
  <c r="A615" i="23"/>
  <c r="H615" i="23"/>
  <c r="E615" i="23"/>
  <c r="K615" i="23"/>
  <c r="F615" i="23"/>
  <c r="L615" i="23"/>
  <c r="K208" i="23"/>
  <c r="H207" i="15" s="1"/>
  <c r="J208" i="23"/>
  <c r="I208" i="23"/>
  <c r="A208" i="23"/>
  <c r="M208" i="23"/>
  <c r="L208" i="23"/>
  <c r="G207" i="15" s="1"/>
  <c r="F208" i="23"/>
  <c r="B208" i="23"/>
  <c r="B207" i="15" s="1"/>
  <c r="G208" i="23"/>
  <c r="H208" i="23"/>
  <c r="E208" i="23"/>
  <c r="C207" i="15"/>
  <c r="E826" i="23"/>
  <c r="G826" i="23"/>
  <c r="A826" i="23"/>
  <c r="B826" i="23"/>
  <c r="F826" i="23"/>
  <c r="K826" i="23"/>
  <c r="I826" i="23"/>
  <c r="J826" i="23"/>
  <c r="L826" i="23"/>
  <c r="H826" i="23"/>
  <c r="M826" i="23"/>
  <c r="O106" i="20"/>
  <c r="N106" i="20"/>
  <c r="G929" i="23"/>
  <c r="A929" i="23"/>
  <c r="M929" i="23"/>
  <c r="K929" i="23"/>
  <c r="E929" i="23"/>
  <c r="F929" i="23"/>
  <c r="J929" i="23"/>
  <c r="H929" i="23"/>
  <c r="B929" i="23"/>
  <c r="L929" i="23"/>
  <c r="I929" i="23"/>
  <c r="B486" i="23"/>
  <c r="A486" i="23"/>
  <c r="F486" i="23"/>
  <c r="L486" i="23"/>
  <c r="H486" i="23"/>
  <c r="M486" i="23"/>
  <c r="K486" i="23"/>
  <c r="J486" i="23"/>
  <c r="E486" i="23"/>
  <c r="I486" i="23"/>
  <c r="G486" i="23"/>
  <c r="B67" i="21"/>
  <c r="B9" i="21"/>
  <c r="O104" i="20"/>
  <c r="N104" i="20"/>
  <c r="D33" i="15"/>
  <c r="B49" i="21"/>
  <c r="G776" i="23"/>
  <c r="K776" i="23"/>
  <c r="E776" i="23"/>
  <c r="B776" i="23"/>
  <c r="A776" i="23"/>
  <c r="J776" i="23"/>
  <c r="F776" i="23"/>
  <c r="H776" i="23"/>
  <c r="I776" i="23"/>
  <c r="L776" i="23"/>
  <c r="M776" i="23"/>
  <c r="F898" i="23"/>
  <c r="J898" i="23"/>
  <c r="H898" i="23"/>
  <c r="G898" i="23"/>
  <c r="K898" i="23"/>
  <c r="M898" i="23"/>
  <c r="L898" i="23"/>
  <c r="E898" i="23"/>
  <c r="A898" i="23"/>
  <c r="B898" i="23"/>
  <c r="I898" i="23"/>
  <c r="D6" i="16"/>
  <c r="M613" i="23"/>
  <c r="G613" i="23"/>
  <c r="J613" i="23"/>
  <c r="A613" i="23"/>
  <c r="E613" i="23"/>
  <c r="F613" i="23"/>
  <c r="B613" i="23"/>
  <c r="I613" i="23"/>
  <c r="H613" i="23"/>
  <c r="K613" i="23"/>
  <c r="L613" i="23"/>
  <c r="H816" i="23"/>
  <c r="E816" i="23"/>
  <c r="L816" i="23"/>
  <c r="M816" i="23"/>
  <c r="K816" i="23"/>
  <c r="F816" i="23"/>
  <c r="B816" i="23"/>
  <c r="J816" i="23"/>
  <c r="A816" i="23"/>
  <c r="I816" i="23"/>
  <c r="G816" i="23"/>
  <c r="J347" i="23"/>
  <c r="A347" i="23"/>
  <c r="E347" i="23"/>
  <c r="B347" i="23"/>
  <c r="M347" i="23"/>
  <c r="G347" i="23"/>
  <c r="K347" i="23"/>
  <c r="I347" i="23"/>
  <c r="L347" i="23"/>
  <c r="H347" i="23"/>
  <c r="F347" i="23"/>
  <c r="M73" i="23"/>
  <c r="C72" i="15"/>
  <c r="E73" i="23"/>
  <c r="A73" i="23"/>
  <c r="B73" i="23"/>
  <c r="B72" i="15" s="1"/>
  <c r="A455" i="23"/>
  <c r="F455" i="23"/>
  <c r="H455" i="23"/>
  <c r="J455" i="23"/>
  <c r="E455" i="23"/>
  <c r="B455" i="23"/>
  <c r="M455" i="23"/>
  <c r="I455" i="23"/>
  <c r="G455" i="23"/>
  <c r="L455" i="23"/>
  <c r="K455" i="23"/>
  <c r="J570" i="23"/>
  <c r="G570" i="23"/>
  <c r="H570" i="23"/>
  <c r="B570" i="23"/>
  <c r="E570" i="23"/>
  <c r="A570" i="23"/>
  <c r="L570" i="23"/>
  <c r="I570" i="23"/>
  <c r="F570" i="23"/>
  <c r="K570" i="23"/>
  <c r="M570" i="23"/>
  <c r="M490" i="23"/>
  <c r="I490" i="23"/>
  <c r="J490" i="23"/>
  <c r="H490" i="23"/>
  <c r="F490" i="23"/>
  <c r="K490" i="23"/>
  <c r="B490" i="23"/>
  <c r="A490" i="23"/>
  <c r="G490" i="23"/>
  <c r="L490" i="23"/>
  <c r="E490" i="23"/>
  <c r="C99" i="15"/>
  <c r="B100" i="23"/>
  <c r="B99" i="15" s="1"/>
  <c r="A100" i="23"/>
  <c r="M100" i="23"/>
  <c r="E100" i="23"/>
  <c r="A215" i="23"/>
  <c r="G215" i="23"/>
  <c r="M215" i="23"/>
  <c r="C214" i="15"/>
  <c r="K215" i="23"/>
  <c r="H214" i="15" s="1"/>
  <c r="B215" i="23"/>
  <c r="B214" i="15" s="1"/>
  <c r="F215" i="23"/>
  <c r="E215" i="23"/>
  <c r="I215" i="23"/>
  <c r="H215" i="23"/>
  <c r="J215" i="23"/>
  <c r="L215" i="23"/>
  <c r="G214" i="15" s="1"/>
  <c r="D13" i="15"/>
  <c r="H727" i="23"/>
  <c r="B727" i="23"/>
  <c r="F727" i="23"/>
  <c r="E727" i="23"/>
  <c r="G727" i="23"/>
  <c r="I727" i="23"/>
  <c r="J727" i="23"/>
  <c r="L727" i="23"/>
  <c r="A727" i="23"/>
  <c r="K727" i="23"/>
  <c r="M727" i="23"/>
  <c r="H238" i="23"/>
  <c r="E238" i="23"/>
  <c r="A238" i="23"/>
  <c r="B238" i="23"/>
  <c r="L238" i="23"/>
  <c r="J238" i="23"/>
  <c r="K238" i="23"/>
  <c r="I238" i="23"/>
  <c r="G238" i="23"/>
  <c r="M238" i="23"/>
  <c r="F238" i="23"/>
  <c r="C73" i="15"/>
  <c r="E74" i="23"/>
  <c r="A74" i="23"/>
  <c r="M74" i="23"/>
  <c r="B74" i="23"/>
  <c r="B73" i="15" s="1"/>
  <c r="I367" i="23"/>
  <c r="A367" i="23"/>
  <c r="K367" i="23"/>
  <c r="L367" i="23"/>
  <c r="J367" i="23"/>
  <c r="F367" i="23"/>
  <c r="B367" i="23"/>
  <c r="E367" i="23"/>
  <c r="H367" i="23"/>
  <c r="G367" i="23"/>
  <c r="M367" i="23"/>
  <c r="I983" i="23"/>
  <c r="L983" i="23"/>
  <c r="K983" i="23"/>
  <c r="M983" i="23"/>
  <c r="H983" i="23"/>
  <c r="A983" i="23"/>
  <c r="J983" i="23"/>
  <c r="E983" i="23"/>
  <c r="B983" i="23"/>
  <c r="F983" i="23"/>
  <c r="G983" i="23"/>
  <c r="B828" i="23"/>
  <c r="G828" i="23"/>
  <c r="L828" i="23"/>
  <c r="A828" i="23"/>
  <c r="E828" i="23"/>
  <c r="H828" i="23"/>
  <c r="I828" i="23"/>
  <c r="J828" i="23"/>
  <c r="M828" i="23"/>
  <c r="F828" i="23"/>
  <c r="K828" i="23"/>
  <c r="N100" i="20"/>
  <c r="O100" i="20"/>
  <c r="Y95" i="21"/>
  <c r="E811" i="23"/>
  <c r="F811" i="23"/>
  <c r="J811" i="23"/>
  <c r="H811" i="23"/>
  <c r="B811" i="23"/>
  <c r="G811" i="23"/>
  <c r="L811" i="23"/>
  <c r="K811" i="23"/>
  <c r="A811" i="23"/>
  <c r="I811" i="23"/>
  <c r="M811" i="23"/>
  <c r="K495" i="23"/>
  <c r="H495" i="23"/>
  <c r="G495" i="23"/>
  <c r="F495" i="23"/>
  <c r="J495" i="23"/>
  <c r="E495" i="23"/>
  <c r="L495" i="23"/>
  <c r="I495" i="23"/>
  <c r="M495" i="23"/>
  <c r="B495" i="23"/>
  <c r="A495" i="23"/>
  <c r="G209" i="23"/>
  <c r="E209" i="23"/>
  <c r="J209" i="23"/>
  <c r="K209" i="23"/>
  <c r="H208" i="15" s="1"/>
  <c r="F209" i="23"/>
  <c r="L209" i="23"/>
  <c r="G208" i="15" s="1"/>
  <c r="B209" i="23"/>
  <c r="B208" i="15" s="1"/>
  <c r="A209" i="23"/>
  <c r="C208" i="15"/>
  <c r="H209" i="23"/>
  <c r="M209" i="23"/>
  <c r="I209" i="23"/>
  <c r="D55" i="15"/>
  <c r="A787" i="23"/>
  <c r="H787" i="23"/>
  <c r="G787" i="23"/>
  <c r="E787" i="23"/>
  <c r="I787" i="23"/>
  <c r="F787" i="23"/>
  <c r="B787" i="23"/>
  <c r="M787" i="23"/>
  <c r="K787" i="23"/>
  <c r="L787" i="23"/>
  <c r="J787" i="23"/>
  <c r="A528" i="23"/>
  <c r="H528" i="23"/>
  <c r="G528" i="23"/>
  <c r="F528" i="23"/>
  <c r="K528" i="23"/>
  <c r="I528" i="23"/>
  <c r="B528" i="23"/>
  <c r="L528" i="23"/>
  <c r="E528" i="23"/>
  <c r="M528" i="23"/>
  <c r="J528" i="23"/>
  <c r="D207" i="15"/>
  <c r="K466" i="23"/>
  <c r="A466" i="23"/>
  <c r="E466" i="23"/>
  <c r="J466" i="23"/>
  <c r="M466" i="23"/>
  <c r="G466" i="23"/>
  <c r="L466" i="23"/>
  <c r="H466" i="23"/>
  <c r="B466" i="23"/>
  <c r="I466" i="23"/>
  <c r="F466" i="23"/>
  <c r="M482" i="23"/>
  <c r="J482" i="23"/>
  <c r="K482" i="23"/>
  <c r="L482" i="23"/>
  <c r="F482" i="23"/>
  <c r="I482" i="23"/>
  <c r="E482" i="23"/>
  <c r="H482" i="23"/>
  <c r="B482" i="23"/>
  <c r="A482" i="23"/>
  <c r="G482" i="23"/>
  <c r="I309" i="23"/>
  <c r="F309" i="23"/>
  <c r="G309" i="23"/>
  <c r="M309" i="23"/>
  <c r="L309" i="23"/>
  <c r="K309" i="23"/>
  <c r="H309" i="23"/>
  <c r="J309" i="23"/>
  <c r="E309" i="23"/>
  <c r="A309" i="23"/>
  <c r="B309" i="23"/>
  <c r="D216" i="15"/>
  <c r="J718" i="23"/>
  <c r="E718" i="23"/>
  <c r="H718" i="23"/>
  <c r="A718" i="23"/>
  <c r="F718" i="23"/>
  <c r="B718" i="23"/>
  <c r="L718" i="23"/>
  <c r="G718" i="23"/>
  <c r="M718" i="23"/>
  <c r="I718" i="23"/>
  <c r="K718" i="23"/>
  <c r="G544" i="23"/>
  <c r="A544" i="23"/>
  <c r="I544" i="23"/>
  <c r="B544" i="23"/>
  <c r="L544" i="23"/>
  <c r="F544" i="23"/>
  <c r="K544" i="23"/>
  <c r="E544" i="23"/>
  <c r="H544" i="23"/>
  <c r="M544" i="23"/>
  <c r="J544" i="23"/>
  <c r="O10" i="20"/>
  <c r="H590" i="23"/>
  <c r="G590" i="23"/>
  <c r="E590" i="23"/>
  <c r="J590" i="23"/>
  <c r="L590" i="23"/>
  <c r="M590" i="23"/>
  <c r="A590" i="23"/>
  <c r="I590" i="23"/>
  <c r="B590" i="23"/>
  <c r="K590" i="23"/>
  <c r="F590" i="23"/>
  <c r="Y35" i="21"/>
  <c r="K235" i="23"/>
  <c r="J235" i="23"/>
  <c r="E235" i="23"/>
  <c r="M235" i="23"/>
  <c r="B235" i="23"/>
  <c r="F235" i="23"/>
  <c r="L235" i="23"/>
  <c r="A235" i="23"/>
  <c r="I235" i="23"/>
  <c r="H235" i="23"/>
  <c r="G235" i="23"/>
  <c r="A953" i="23"/>
  <c r="E953" i="23"/>
  <c r="J953" i="23"/>
  <c r="I953" i="23"/>
  <c r="G953" i="23"/>
  <c r="K953" i="23"/>
  <c r="F953" i="23"/>
  <c r="L953" i="23"/>
  <c r="H953" i="23"/>
  <c r="B953" i="23"/>
  <c r="M953" i="23"/>
  <c r="A405" i="23"/>
  <c r="G405" i="23"/>
  <c r="E405" i="23"/>
  <c r="J405" i="23"/>
  <c r="B405" i="23"/>
  <c r="L405" i="23"/>
  <c r="K405" i="23"/>
  <c r="M405" i="23"/>
  <c r="F405" i="23"/>
  <c r="I405" i="23"/>
  <c r="H405" i="23"/>
  <c r="K550" i="23"/>
  <c r="L550" i="23"/>
  <c r="G550" i="23"/>
  <c r="F550" i="23"/>
  <c r="J550" i="23"/>
  <c r="B550" i="23"/>
  <c r="E550" i="23"/>
  <c r="H550" i="23"/>
  <c r="I550" i="23"/>
  <c r="A550" i="23"/>
  <c r="M550" i="23"/>
  <c r="F480" i="23"/>
  <c r="I480" i="23"/>
  <c r="K480" i="23"/>
  <c r="M480" i="23"/>
  <c r="H480" i="23"/>
  <c r="B480" i="23"/>
  <c r="E480" i="23"/>
  <c r="J480" i="23"/>
  <c r="A480" i="23"/>
  <c r="L480" i="23"/>
  <c r="G480" i="23"/>
  <c r="O74" i="20"/>
  <c r="N74" i="20"/>
  <c r="E870" i="23"/>
  <c r="B870" i="23"/>
  <c r="F870" i="23"/>
  <c r="I870" i="23"/>
  <c r="M870" i="23"/>
  <c r="G870" i="23"/>
  <c r="K870" i="23"/>
  <c r="H870" i="23"/>
  <c r="L870" i="23"/>
  <c r="A870" i="23"/>
  <c r="J870" i="23"/>
  <c r="D83" i="15"/>
  <c r="L729" i="23"/>
  <c r="G729" i="23"/>
  <c r="E729" i="23"/>
  <c r="B729" i="23"/>
  <c r="A729" i="23"/>
  <c r="I729" i="23"/>
  <c r="K729" i="23"/>
  <c r="J729" i="23"/>
  <c r="F729" i="23"/>
  <c r="H729" i="23"/>
  <c r="M729" i="23"/>
  <c r="D125" i="15"/>
  <c r="E437" i="23"/>
  <c r="J437" i="23"/>
  <c r="I437" i="23"/>
  <c r="M437" i="23"/>
  <c r="H437" i="23"/>
  <c r="F437" i="23"/>
  <c r="A437" i="23"/>
  <c r="G437" i="23"/>
  <c r="B437" i="23"/>
  <c r="K437" i="23"/>
  <c r="L437" i="23"/>
  <c r="H981" i="23"/>
  <c r="B981" i="23"/>
  <c r="A981" i="23"/>
  <c r="K981" i="23"/>
  <c r="M981" i="23"/>
  <c r="F981" i="23"/>
  <c r="E981" i="23"/>
  <c r="L981" i="23"/>
  <c r="I981" i="23"/>
  <c r="J981" i="23"/>
  <c r="G981" i="23"/>
  <c r="M63" i="23"/>
  <c r="E63" i="23"/>
  <c r="A63" i="23"/>
  <c r="B63" i="23"/>
  <c r="B62" i="15" s="1"/>
  <c r="C62" i="15"/>
  <c r="K715" i="23"/>
  <c r="F715" i="23"/>
  <c r="H715" i="23"/>
  <c r="J715" i="23"/>
  <c r="I715" i="23"/>
  <c r="M715" i="23"/>
  <c r="B715" i="23"/>
  <c r="A715" i="23"/>
  <c r="G715" i="23"/>
  <c r="L715" i="23"/>
  <c r="E715" i="23"/>
  <c r="O109" i="20"/>
  <c r="N109" i="20"/>
  <c r="L595" i="23"/>
  <c r="I595" i="23"/>
  <c r="M595" i="23"/>
  <c r="J595" i="23"/>
  <c r="E595" i="23"/>
  <c r="F595" i="23"/>
  <c r="H595" i="23"/>
  <c r="A595" i="23"/>
  <c r="G595" i="23"/>
  <c r="B595" i="23"/>
  <c r="K595" i="23"/>
  <c r="Y80" i="21"/>
  <c r="D165" i="15"/>
  <c r="M470" i="23"/>
  <c r="B470" i="23"/>
  <c r="G470" i="23"/>
  <c r="L470" i="23"/>
  <c r="J470" i="23"/>
  <c r="A470" i="23"/>
  <c r="E470" i="23"/>
  <c r="I470" i="23"/>
  <c r="F470" i="23"/>
  <c r="K470" i="23"/>
  <c r="H470" i="23"/>
  <c r="O47" i="20"/>
  <c r="N47" i="20"/>
  <c r="B61" i="21"/>
  <c r="B662" i="23"/>
  <c r="H662" i="23"/>
  <c r="E662" i="23"/>
  <c r="G662" i="23"/>
  <c r="A662" i="23"/>
  <c r="F662" i="23"/>
  <c r="I662" i="23"/>
  <c r="J662" i="23"/>
  <c r="M662" i="23"/>
  <c r="L662" i="23"/>
  <c r="K662" i="23"/>
  <c r="F416" i="23"/>
  <c r="A416" i="23"/>
  <c r="J416" i="23"/>
  <c r="I416" i="23"/>
  <c r="E416" i="23"/>
  <c r="G416" i="23"/>
  <c r="K416" i="23"/>
  <c r="H416" i="23"/>
  <c r="M416" i="23"/>
  <c r="B416" i="23"/>
  <c r="L416" i="23"/>
  <c r="Y88" i="21"/>
  <c r="A189" i="23"/>
  <c r="C188" i="15"/>
  <c r="B189" i="23"/>
  <c r="B188" i="15" s="1"/>
  <c r="E189" i="23"/>
  <c r="L189" i="23"/>
  <c r="G188" i="15" s="1"/>
  <c r="I189" i="23"/>
  <c r="H189" i="23"/>
  <c r="M189" i="23"/>
  <c r="K189" i="23"/>
  <c r="H188" i="15" s="1"/>
  <c r="J189" i="23"/>
  <c r="G189" i="23"/>
  <c r="F189" i="23"/>
  <c r="N102" i="20"/>
  <c r="O102" i="20"/>
  <c r="E56" i="23"/>
  <c r="C55" i="15"/>
  <c r="B56" i="23"/>
  <c r="B55" i="15" s="1"/>
  <c r="M56" i="23"/>
  <c r="A56" i="23"/>
  <c r="G547" i="23"/>
  <c r="J547" i="23"/>
  <c r="H547" i="23"/>
  <c r="A547" i="23"/>
  <c r="E547" i="23"/>
  <c r="L547" i="23"/>
  <c r="I547" i="23"/>
  <c r="F547" i="23"/>
  <c r="M547" i="23"/>
  <c r="K547" i="23"/>
  <c r="B547" i="23"/>
  <c r="C121" i="15"/>
  <c r="K122" i="23"/>
  <c r="H121" i="15" s="1"/>
  <c r="H122" i="23"/>
  <c r="M122" i="23"/>
  <c r="E122" i="23"/>
  <c r="L122" i="23"/>
  <c r="G121" i="15" s="1"/>
  <c r="A122" i="23"/>
  <c r="B122" i="23"/>
  <c r="B121" i="15" s="1"/>
  <c r="I122" i="23"/>
  <c r="F122" i="23" s="1"/>
  <c r="G122" i="23" s="1"/>
  <c r="J122" i="23"/>
  <c r="J149" i="23"/>
  <c r="M149" i="23"/>
  <c r="H149" i="23"/>
  <c r="E149" i="23"/>
  <c r="K149" i="23"/>
  <c r="H148" i="15" s="1"/>
  <c r="C148" i="15"/>
  <c r="I149" i="23"/>
  <c r="L149" i="23"/>
  <c r="G148" i="15" s="1"/>
  <c r="G149" i="23"/>
  <c r="B149" i="23"/>
  <c r="B148" i="15" s="1"/>
  <c r="A149" i="23"/>
  <c r="F149" i="23"/>
  <c r="J260" i="23"/>
  <c r="B260" i="23"/>
  <c r="K260" i="23"/>
  <c r="I260" i="23"/>
  <c r="E260" i="23"/>
  <c r="M260" i="23"/>
  <c r="L260" i="23"/>
  <c r="A260" i="23"/>
  <c r="G260" i="23"/>
  <c r="F260" i="23"/>
  <c r="H260" i="23"/>
  <c r="J386" i="23"/>
  <c r="B386" i="23"/>
  <c r="A386" i="23"/>
  <c r="K386" i="23"/>
  <c r="M386" i="23"/>
  <c r="G386" i="23"/>
  <c r="L386" i="23"/>
  <c r="H386" i="23"/>
  <c r="I386" i="23"/>
  <c r="E386" i="23"/>
  <c r="F386" i="23"/>
  <c r="D19" i="15"/>
  <c r="K687" i="23"/>
  <c r="H687" i="23"/>
  <c r="E687" i="23"/>
  <c r="J687" i="23"/>
  <c r="M687" i="23"/>
  <c r="F687" i="23"/>
  <c r="I687" i="23"/>
  <c r="L687" i="23"/>
  <c r="B687" i="23"/>
  <c r="A687" i="23"/>
  <c r="G687" i="23"/>
  <c r="A240" i="23"/>
  <c r="E240" i="23"/>
  <c r="H240" i="23"/>
  <c r="L240" i="23"/>
  <c r="I240" i="23"/>
  <c r="F240" i="23"/>
  <c r="B240" i="23"/>
  <c r="G240" i="23"/>
  <c r="J240" i="23"/>
  <c r="K240" i="23"/>
  <c r="M240" i="23"/>
  <c r="M501" i="23"/>
  <c r="E501" i="23"/>
  <c r="I501" i="23"/>
  <c r="J501" i="23"/>
  <c r="L501" i="23"/>
  <c r="K501" i="23"/>
  <c r="G501" i="23"/>
  <c r="B501" i="23"/>
  <c r="F501" i="23"/>
  <c r="A501" i="23"/>
  <c r="H501" i="23"/>
  <c r="H676" i="23"/>
  <c r="M676" i="23"/>
  <c r="L676" i="23"/>
  <c r="K676" i="23"/>
  <c r="B676" i="23"/>
  <c r="I676" i="23"/>
  <c r="J676" i="23"/>
  <c r="G676" i="23"/>
  <c r="E676" i="23"/>
  <c r="F676" i="23"/>
  <c r="A676" i="23"/>
  <c r="I648" i="23"/>
  <c r="M648" i="23"/>
  <c r="J648" i="23"/>
  <c r="L648" i="23"/>
  <c r="H648" i="23"/>
  <c r="E648" i="23"/>
  <c r="F648" i="23"/>
  <c r="G648" i="23"/>
  <c r="B648" i="23"/>
  <c r="K648" i="23"/>
  <c r="A648" i="23"/>
  <c r="M243" i="23"/>
  <c r="A243" i="23"/>
  <c r="L243" i="23"/>
  <c r="G243" i="23"/>
  <c r="J243" i="23"/>
  <c r="K243" i="23"/>
  <c r="F243" i="23"/>
  <c r="E243" i="23"/>
  <c r="B243" i="23"/>
  <c r="I243" i="23"/>
  <c r="H243" i="23"/>
  <c r="B44" i="23"/>
  <c r="B43" i="15" s="1"/>
  <c r="M44" i="23"/>
  <c r="A44" i="23"/>
  <c r="C43" i="15"/>
  <c r="E44" i="23"/>
  <c r="D150" i="15"/>
  <c r="B47" i="21"/>
  <c r="I278" i="23"/>
  <c r="A278" i="23"/>
  <c r="E278" i="23"/>
  <c r="K278" i="23"/>
  <c r="B278" i="23"/>
  <c r="J278" i="23"/>
  <c r="G278" i="23"/>
  <c r="F278" i="23"/>
  <c r="M278" i="23"/>
  <c r="L278" i="23"/>
  <c r="H278" i="23"/>
  <c r="A514" i="23"/>
  <c r="M514" i="23"/>
  <c r="B514" i="23"/>
  <c r="J514" i="23"/>
  <c r="I514" i="23"/>
  <c r="L514" i="23"/>
  <c r="H514" i="23"/>
  <c r="E514" i="23"/>
  <c r="K514" i="23"/>
  <c r="F514" i="23"/>
  <c r="G514" i="23"/>
  <c r="K924" i="23"/>
  <c r="B924" i="23"/>
  <c r="A924" i="23"/>
  <c r="G924" i="23"/>
  <c r="H924" i="23"/>
  <c r="J924" i="23"/>
  <c r="F924" i="23"/>
  <c r="M924" i="23"/>
  <c r="I924" i="23"/>
  <c r="E924" i="23"/>
  <c r="L924" i="23"/>
  <c r="A864" i="23"/>
  <c r="E864" i="23"/>
  <c r="L864" i="23"/>
  <c r="B864" i="23"/>
  <c r="K864" i="23"/>
  <c r="G864" i="23"/>
  <c r="H864" i="23"/>
  <c r="F864" i="23"/>
  <c r="I864" i="23"/>
  <c r="M864" i="23"/>
  <c r="J864" i="23"/>
  <c r="A394" i="23"/>
  <c r="K394" i="23"/>
  <c r="M394" i="23"/>
  <c r="F394" i="23"/>
  <c r="L394" i="23"/>
  <c r="I394" i="23"/>
  <c r="G394" i="23"/>
  <c r="H394" i="23"/>
  <c r="E394" i="23"/>
  <c r="B394" i="23"/>
  <c r="J394" i="23"/>
  <c r="B79" i="21"/>
  <c r="A704" i="23"/>
  <c r="J704" i="23"/>
  <c r="G704" i="23"/>
  <c r="I704" i="23"/>
  <c r="H704" i="23"/>
  <c r="B704" i="23"/>
  <c r="L704" i="23"/>
  <c r="E704" i="23"/>
  <c r="M704" i="23"/>
  <c r="K704" i="23"/>
  <c r="F704" i="23"/>
  <c r="Y86" i="21"/>
  <c r="D171" i="15"/>
  <c r="B819" i="23"/>
  <c r="M819" i="23"/>
  <c r="I819" i="23"/>
  <c r="A819" i="23"/>
  <c r="H819" i="23"/>
  <c r="K819" i="23"/>
  <c r="L819" i="23"/>
  <c r="E819" i="23"/>
  <c r="F819" i="23"/>
  <c r="J819" i="23"/>
  <c r="G819" i="23"/>
  <c r="B28" i="21"/>
  <c r="J913" i="23"/>
  <c r="G913" i="23"/>
  <c r="K913" i="23"/>
  <c r="M913" i="23"/>
  <c r="I913" i="23"/>
  <c r="E913" i="23"/>
  <c r="H913" i="23"/>
  <c r="B913" i="23"/>
  <c r="A913" i="23"/>
  <c r="F913" i="23"/>
  <c r="L913" i="23"/>
  <c r="D43" i="15"/>
  <c r="F249" i="23"/>
  <c r="H249" i="23"/>
  <c r="B249" i="23"/>
  <c r="L249" i="23"/>
  <c r="J249" i="23"/>
  <c r="M249" i="23"/>
  <c r="G249" i="23"/>
  <c r="K249" i="23"/>
  <c r="I249" i="23"/>
  <c r="A249" i="23"/>
  <c r="E249" i="23"/>
  <c r="B360" i="23"/>
  <c r="E360" i="23"/>
  <c r="A360" i="23"/>
  <c r="H360" i="23"/>
  <c r="G360" i="23"/>
  <c r="I360" i="23"/>
  <c r="K360" i="23"/>
  <c r="L360" i="23"/>
  <c r="M360" i="23"/>
  <c r="F360" i="23"/>
  <c r="J360" i="23"/>
  <c r="I696" i="23"/>
  <c r="H696" i="23"/>
  <c r="E696" i="23"/>
  <c r="B696" i="23"/>
  <c r="M696" i="23"/>
  <c r="A696" i="23"/>
  <c r="K696" i="23"/>
  <c r="F696" i="23"/>
  <c r="J696" i="23"/>
  <c r="G696" i="23"/>
  <c r="L696" i="23"/>
  <c r="D217" i="15"/>
  <c r="I302" i="23"/>
  <c r="B302" i="23"/>
  <c r="L302" i="23"/>
  <c r="K302" i="23"/>
  <c r="A302" i="23"/>
  <c r="G302" i="23"/>
  <c r="H302" i="23"/>
  <c r="M302" i="23"/>
  <c r="E302" i="23"/>
  <c r="F302" i="23"/>
  <c r="J302" i="23"/>
  <c r="B14" i="21"/>
  <c r="A779" i="23"/>
  <c r="H779" i="23"/>
  <c r="I779" i="23"/>
  <c r="G779" i="23"/>
  <c r="L779" i="23"/>
  <c r="E779" i="23"/>
  <c r="K779" i="23"/>
  <c r="M779" i="23"/>
  <c r="B779" i="23"/>
  <c r="J779" i="23"/>
  <c r="F779" i="23"/>
  <c r="D7" i="16"/>
  <c r="D149" i="15"/>
  <c r="D41" i="15"/>
  <c r="J426" i="23"/>
  <c r="M426" i="23"/>
  <c r="H426" i="23"/>
  <c r="L426" i="23"/>
  <c r="F426" i="23"/>
  <c r="I426" i="23"/>
  <c r="A426" i="23"/>
  <c r="E426" i="23"/>
  <c r="G426" i="23"/>
  <c r="B426" i="23"/>
  <c r="K426" i="23"/>
  <c r="I691" i="23"/>
  <c r="H691" i="23"/>
  <c r="G691" i="23"/>
  <c r="A691" i="23"/>
  <c r="E691" i="23"/>
  <c r="J691" i="23"/>
  <c r="F691" i="23"/>
  <c r="M691" i="23"/>
  <c r="L691" i="23"/>
  <c r="B691" i="23"/>
  <c r="K691" i="23"/>
  <c r="L815" i="23"/>
  <c r="B815" i="23"/>
  <c r="G815" i="23"/>
  <c r="K815" i="23"/>
  <c r="I815" i="23"/>
  <c r="F815" i="23"/>
  <c r="A815" i="23"/>
  <c r="E815" i="23"/>
  <c r="J815" i="23"/>
  <c r="M815" i="23"/>
  <c r="H815" i="23"/>
  <c r="D68" i="15"/>
  <c r="D8" i="15"/>
  <c r="O27" i="20"/>
  <c r="A849" i="23"/>
  <c r="B849" i="23"/>
  <c r="L849" i="23"/>
  <c r="F849" i="23"/>
  <c r="K849" i="23"/>
  <c r="M849" i="23"/>
  <c r="J849" i="23"/>
  <c r="H849" i="23"/>
  <c r="I849" i="23"/>
  <c r="G849" i="23"/>
  <c r="E849" i="23"/>
  <c r="K217" i="23"/>
  <c r="H216" i="15" s="1"/>
  <c r="I217" i="23"/>
  <c r="A217" i="23"/>
  <c r="C216" i="15"/>
  <c r="E217" i="23"/>
  <c r="F217" i="23"/>
  <c r="M217" i="23"/>
  <c r="I216" i="15" s="1"/>
  <c r="L217" i="23"/>
  <c r="G216" i="15" s="1"/>
  <c r="B217" i="23"/>
  <c r="B216" i="15" s="1"/>
  <c r="H217" i="23"/>
  <c r="J217" i="23"/>
  <c r="G217" i="23"/>
  <c r="D26" i="15"/>
  <c r="B808" i="23"/>
  <c r="F808" i="23"/>
  <c r="E808" i="23"/>
  <c r="H808" i="23"/>
  <c r="I808" i="23"/>
  <c r="G808" i="23"/>
  <c r="L808" i="23"/>
  <c r="J808" i="23"/>
  <c r="K808" i="23"/>
  <c r="M808" i="23"/>
  <c r="A808" i="23"/>
  <c r="Y62" i="21"/>
  <c r="D215" i="15"/>
  <c r="A200" i="23"/>
  <c r="E200" i="23"/>
  <c r="B200" i="23"/>
  <c r="B199" i="15" s="1"/>
  <c r="K200" i="23"/>
  <c r="H199" i="15" s="1"/>
  <c r="C199" i="15"/>
  <c r="F199" i="15" s="1"/>
  <c r="G200" i="23"/>
  <c r="L200" i="23"/>
  <c r="G199" i="15" s="1"/>
  <c r="H200" i="23"/>
  <c r="I200" i="23"/>
  <c r="M200" i="23"/>
  <c r="J200" i="23"/>
  <c r="F200" i="23"/>
  <c r="F392" i="23"/>
  <c r="J392" i="23"/>
  <c r="E392" i="23"/>
  <c r="B392" i="23"/>
  <c r="I392" i="23"/>
  <c r="A392" i="23"/>
  <c r="K392" i="23"/>
  <c r="H392" i="23"/>
  <c r="G392" i="23"/>
  <c r="L392" i="23"/>
  <c r="M392" i="23"/>
  <c r="E735" i="23"/>
  <c r="J735" i="23"/>
  <c r="B735" i="23"/>
  <c r="H735" i="23"/>
  <c r="A735" i="23"/>
  <c r="F735" i="23"/>
  <c r="M735" i="23"/>
  <c r="K735" i="23"/>
  <c r="L735" i="23"/>
  <c r="G735" i="23"/>
  <c r="I735" i="23"/>
  <c r="K433" i="23"/>
  <c r="G433" i="23"/>
  <c r="J433" i="23"/>
  <c r="B433" i="23"/>
  <c r="E433" i="23"/>
  <c r="H433" i="23"/>
  <c r="L433" i="23"/>
  <c r="M433" i="23"/>
  <c r="A433" i="23"/>
  <c r="F433" i="23"/>
  <c r="I433" i="23"/>
  <c r="M21" i="23"/>
  <c r="A21" i="23"/>
  <c r="B21" i="23"/>
  <c r="B20" i="15" s="1"/>
  <c r="C20" i="15"/>
  <c r="E21" i="23"/>
  <c r="A559" i="23"/>
  <c r="I559" i="23"/>
  <c r="H559" i="23"/>
  <c r="E559" i="23"/>
  <c r="B559" i="23"/>
  <c r="J559" i="23"/>
  <c r="F559" i="23"/>
  <c r="M559" i="23"/>
  <c r="L559" i="23"/>
  <c r="G559" i="23"/>
  <c r="K559" i="23"/>
  <c r="E538" i="23"/>
  <c r="L538" i="23"/>
  <c r="I538" i="23"/>
  <c r="H538" i="23"/>
  <c r="G538" i="23"/>
  <c r="K538" i="23"/>
  <c r="M538" i="23"/>
  <c r="B538" i="23"/>
  <c r="J538" i="23"/>
  <c r="F538" i="23"/>
  <c r="A538" i="23"/>
  <c r="D189" i="15"/>
  <c r="L741" i="23"/>
  <c r="B741" i="23"/>
  <c r="H741" i="23"/>
  <c r="M741" i="23"/>
  <c r="F741" i="23"/>
  <c r="E741" i="23"/>
  <c r="K741" i="23"/>
  <c r="A741" i="23"/>
  <c r="I741" i="23"/>
  <c r="G741" i="23"/>
  <c r="J741" i="23"/>
  <c r="M62" i="23"/>
  <c r="I61" i="15" s="1"/>
  <c r="B62" i="23"/>
  <c r="B61" i="15" s="1"/>
  <c r="E62" i="23"/>
  <c r="C61" i="15"/>
  <c r="A62" i="23"/>
  <c r="Y67" i="21"/>
  <c r="O110" i="20"/>
  <c r="N110" i="20"/>
  <c r="D151" i="15"/>
  <c r="J17" i="16"/>
  <c r="K17" i="16"/>
  <c r="D17" i="16"/>
  <c r="B417" i="23"/>
  <c r="G417" i="23"/>
  <c r="H417" i="23"/>
  <c r="J417" i="23"/>
  <c r="F417" i="23"/>
  <c r="A417" i="23"/>
  <c r="I417" i="23"/>
  <c r="L417" i="23"/>
  <c r="K417" i="23"/>
  <c r="E417" i="23"/>
  <c r="M417" i="23"/>
  <c r="K524" i="23"/>
  <c r="A524" i="23"/>
  <c r="J524" i="23"/>
  <c r="L524" i="23"/>
  <c r="I524" i="23"/>
  <c r="B524" i="23"/>
  <c r="E524" i="23"/>
  <c r="M524" i="23"/>
  <c r="G524" i="23"/>
  <c r="F524" i="23"/>
  <c r="H524" i="23"/>
  <c r="A284" i="23"/>
  <c r="E284" i="23"/>
  <c r="B284" i="23"/>
  <c r="I284" i="23"/>
  <c r="H284" i="23"/>
  <c r="J284" i="23"/>
  <c r="L284" i="23"/>
  <c r="F284" i="23"/>
  <c r="M284" i="23"/>
  <c r="G284" i="23"/>
  <c r="K284" i="23"/>
  <c r="F923" i="23"/>
  <c r="G923" i="23"/>
  <c r="E923" i="23"/>
  <c r="K923" i="23"/>
  <c r="J923" i="23"/>
  <c r="H923" i="23"/>
  <c r="A923" i="23"/>
  <c r="B923" i="23"/>
  <c r="I923" i="23"/>
  <c r="M923" i="23"/>
  <c r="L923" i="23"/>
  <c r="D23" i="15"/>
  <c r="D173" i="15"/>
  <c r="A850" i="23"/>
  <c r="L850" i="23"/>
  <c r="B850" i="23"/>
  <c r="G850" i="23"/>
  <c r="F850" i="23"/>
  <c r="J850" i="23"/>
  <c r="M850" i="23"/>
  <c r="I850" i="23"/>
  <c r="K850" i="23"/>
  <c r="H850" i="23"/>
  <c r="E850" i="23"/>
  <c r="E985" i="23"/>
  <c r="F985" i="23"/>
  <c r="B985" i="23"/>
  <c r="M985" i="23"/>
  <c r="K985" i="23"/>
  <c r="L985" i="23"/>
  <c r="A985" i="23"/>
  <c r="J985" i="23"/>
  <c r="I985" i="23"/>
  <c r="H985" i="23"/>
  <c r="G985" i="23"/>
  <c r="K24" i="16"/>
  <c r="D24" i="16"/>
  <c r="J24" i="16"/>
  <c r="D158" i="15"/>
  <c r="L686" i="23"/>
  <c r="H686" i="23"/>
  <c r="J686" i="23"/>
  <c r="M686" i="23"/>
  <c r="A686" i="23"/>
  <c r="I686" i="23"/>
  <c r="B686" i="23"/>
  <c r="K686" i="23"/>
  <c r="G686" i="23"/>
  <c r="E686" i="23"/>
  <c r="F686" i="23"/>
  <c r="A901" i="23"/>
  <c r="B901" i="23"/>
  <c r="I901" i="23"/>
  <c r="L901" i="23"/>
  <c r="G901" i="23"/>
  <c r="E901" i="23"/>
  <c r="H901" i="23"/>
  <c r="M901" i="23"/>
  <c r="K901" i="23"/>
  <c r="J901" i="23"/>
  <c r="F901" i="23"/>
  <c r="N91" i="20"/>
  <c r="O91" i="20"/>
  <c r="N63" i="20"/>
  <c r="O63" i="20"/>
  <c r="Y54" i="21"/>
  <c r="B81" i="21"/>
  <c r="D65" i="15"/>
  <c r="I242" i="23"/>
  <c r="B242" i="23"/>
  <c r="M242" i="23"/>
  <c r="L242" i="23"/>
  <c r="H242" i="23"/>
  <c r="E242" i="23"/>
  <c r="A242" i="23"/>
  <c r="J242" i="23"/>
  <c r="F242" i="23"/>
  <c r="G242" i="23"/>
  <c r="K242" i="23"/>
  <c r="O26" i="20"/>
  <c r="K195" i="23"/>
  <c r="H194" i="15" s="1"/>
  <c r="I195" i="23"/>
  <c r="H195" i="23"/>
  <c r="M195" i="23"/>
  <c r="B195" i="23"/>
  <c r="B194" i="15" s="1"/>
  <c r="L195" i="23"/>
  <c r="G194" i="15" s="1"/>
  <c r="G195" i="23"/>
  <c r="J195" i="23"/>
  <c r="E195" i="23"/>
  <c r="C194" i="15"/>
  <c r="A195" i="23"/>
  <c r="F195" i="23"/>
  <c r="J173" i="23"/>
  <c r="B173" i="23"/>
  <c r="B172" i="15" s="1"/>
  <c r="E173" i="23"/>
  <c r="G173" i="23"/>
  <c r="I173" i="23"/>
  <c r="L173" i="23"/>
  <c r="G172" i="15" s="1"/>
  <c r="K173" i="23"/>
  <c r="H172" i="15" s="1"/>
  <c r="H173" i="23"/>
  <c r="A173" i="23"/>
  <c r="C172" i="15"/>
  <c r="M173" i="23"/>
  <c r="F173" i="23"/>
  <c r="I517" i="23"/>
  <c r="M517" i="23"/>
  <c r="E517" i="23"/>
  <c r="G517" i="23"/>
  <c r="F517" i="23"/>
  <c r="A517" i="23"/>
  <c r="J517" i="23"/>
  <c r="B517" i="23"/>
  <c r="K517" i="23"/>
  <c r="H517" i="23"/>
  <c r="L517" i="23"/>
  <c r="A333" i="23"/>
  <c r="L333" i="23"/>
  <c r="F333" i="23"/>
  <c r="H333" i="23"/>
  <c r="J333" i="23"/>
  <c r="I333" i="23"/>
  <c r="M333" i="23"/>
  <c r="K333" i="23"/>
  <c r="B333" i="23"/>
  <c r="G333" i="23"/>
  <c r="E333" i="23"/>
  <c r="H159" i="23"/>
  <c r="A159" i="23"/>
  <c r="K159" i="23"/>
  <c r="H158" i="15" s="1"/>
  <c r="E159" i="23"/>
  <c r="F159" i="23"/>
  <c r="G159" i="23"/>
  <c r="C158" i="15"/>
  <c r="B159" i="23"/>
  <c r="B158" i="15" s="1"/>
  <c r="J159" i="23"/>
  <c r="I159" i="23"/>
  <c r="M159" i="23"/>
  <c r="L159" i="23"/>
  <c r="G158" i="15" s="1"/>
  <c r="G279" i="23"/>
  <c r="F279" i="23"/>
  <c r="A279" i="23"/>
  <c r="K279" i="23"/>
  <c r="I279" i="23"/>
  <c r="H279" i="23"/>
  <c r="B279" i="23"/>
  <c r="L279" i="23"/>
  <c r="J279" i="23"/>
  <c r="M279" i="23"/>
  <c r="E279" i="23"/>
  <c r="F949" i="23"/>
  <c r="M949" i="23"/>
  <c r="B949" i="23"/>
  <c r="G949" i="23"/>
  <c r="I949" i="23"/>
  <c r="L949" i="23"/>
  <c r="E949" i="23"/>
  <c r="A949" i="23"/>
  <c r="K949" i="23"/>
  <c r="H949" i="23"/>
  <c r="J949" i="23"/>
  <c r="I137" i="23"/>
  <c r="F137" i="23" s="1"/>
  <c r="G137" i="23" s="1"/>
  <c r="J137" i="23"/>
  <c r="E137" i="23"/>
  <c r="M137" i="23"/>
  <c r="I136" i="15" s="1"/>
  <c r="L137" i="23"/>
  <c r="G136" i="15" s="1"/>
  <c r="A137" i="23"/>
  <c r="H137" i="23"/>
  <c r="K137" i="23"/>
  <c r="H136" i="15" s="1"/>
  <c r="C136" i="15"/>
  <c r="B137" i="23"/>
  <c r="B136" i="15" s="1"/>
  <c r="F789" i="23"/>
  <c r="G789" i="23"/>
  <c r="H789" i="23"/>
  <c r="A789" i="23"/>
  <c r="L789" i="23"/>
  <c r="J789" i="23"/>
  <c r="E789" i="23"/>
  <c r="K789" i="23"/>
  <c r="B789" i="23"/>
  <c r="M789" i="23"/>
  <c r="I789" i="23"/>
  <c r="D87" i="15"/>
  <c r="G847" i="23"/>
  <c r="E847" i="23"/>
  <c r="F847" i="23"/>
  <c r="M847" i="23"/>
  <c r="B847" i="23"/>
  <c r="A847" i="23"/>
  <c r="H847" i="23"/>
  <c r="J847" i="23"/>
  <c r="L847" i="23"/>
  <c r="I847" i="23"/>
  <c r="K847" i="23"/>
  <c r="Y44" i="21"/>
  <c r="D144" i="15"/>
  <c r="C88" i="15"/>
  <c r="A89" i="23"/>
  <c r="M89" i="23"/>
  <c r="E89" i="23"/>
  <c r="B89" i="23"/>
  <c r="B88" i="15" s="1"/>
  <c r="E478" i="23"/>
  <c r="G478" i="23"/>
  <c r="M478" i="23"/>
  <c r="B478" i="23"/>
  <c r="J478" i="23"/>
  <c r="L478" i="23"/>
  <c r="F478" i="23"/>
  <c r="H478" i="23"/>
  <c r="K478" i="23"/>
  <c r="I478" i="23"/>
  <c r="A478" i="23"/>
  <c r="I306" i="23"/>
  <c r="F306" i="23"/>
  <c r="E306" i="23"/>
  <c r="H306" i="23"/>
  <c r="K306" i="23"/>
  <c r="G306" i="23"/>
  <c r="L306" i="23"/>
  <c r="B306" i="23"/>
  <c r="M306" i="23"/>
  <c r="J306" i="23"/>
  <c r="A306" i="23"/>
  <c r="Y61" i="21"/>
  <c r="B99" i="21"/>
  <c r="F984" i="23"/>
  <c r="E984" i="23"/>
  <c r="A984" i="23"/>
  <c r="G984" i="23"/>
  <c r="K984" i="23"/>
  <c r="L984" i="23"/>
  <c r="H984" i="23"/>
  <c r="B984" i="23"/>
  <c r="M984" i="23"/>
  <c r="I984" i="23"/>
  <c r="J984" i="23"/>
  <c r="M489" i="23"/>
  <c r="I489" i="23"/>
  <c r="H489" i="23"/>
  <c r="K489" i="23"/>
  <c r="L489" i="23"/>
  <c r="B489" i="23"/>
  <c r="J489" i="23"/>
  <c r="E489" i="23"/>
  <c r="A489" i="23"/>
  <c r="F489" i="23"/>
  <c r="G489" i="23"/>
  <c r="K194" i="23"/>
  <c r="H193" i="15" s="1"/>
  <c r="L194" i="23"/>
  <c r="G193" i="15" s="1"/>
  <c r="F194" i="23"/>
  <c r="H194" i="23"/>
  <c r="E194" i="23"/>
  <c r="M194" i="23"/>
  <c r="I193" i="15" s="1"/>
  <c r="C193" i="15"/>
  <c r="A194" i="23"/>
  <c r="G194" i="23"/>
  <c r="I194" i="23"/>
  <c r="J194" i="23"/>
  <c r="B194" i="23"/>
  <c r="B193" i="15" s="1"/>
  <c r="Y64" i="21"/>
  <c r="J508" i="23"/>
  <c r="E508" i="23"/>
  <c r="A508" i="23"/>
  <c r="B508" i="23"/>
  <c r="K508" i="23"/>
  <c r="M508" i="23"/>
  <c r="I508" i="23"/>
  <c r="F508" i="23"/>
  <c r="H508" i="23"/>
  <c r="L508" i="23"/>
  <c r="G508" i="23"/>
  <c r="M610" i="23"/>
  <c r="K610" i="23"/>
  <c r="B610" i="23"/>
  <c r="J610" i="23"/>
  <c r="L610" i="23"/>
  <c r="G610" i="23"/>
  <c r="E610" i="23"/>
  <c r="A610" i="23"/>
  <c r="H610" i="23"/>
  <c r="F610" i="23"/>
  <c r="I610" i="23"/>
  <c r="D75" i="15"/>
  <c r="E462" i="23"/>
  <c r="B462" i="23"/>
  <c r="G462" i="23"/>
  <c r="K462" i="23"/>
  <c r="F462" i="23"/>
  <c r="J462" i="23"/>
  <c r="H462" i="23"/>
  <c r="I462" i="23"/>
  <c r="A462" i="23"/>
  <c r="L462" i="23"/>
  <c r="M462" i="23"/>
  <c r="A600" i="23"/>
  <c r="G600" i="23"/>
  <c r="B600" i="23"/>
  <c r="K600" i="23"/>
  <c r="L600" i="23"/>
  <c r="E600" i="23"/>
  <c r="F600" i="23"/>
  <c r="I600" i="23"/>
  <c r="J600" i="23"/>
  <c r="H600" i="23"/>
  <c r="M600" i="23"/>
  <c r="M43" i="23"/>
  <c r="C42" i="15"/>
  <c r="E43" i="23"/>
  <c r="A43" i="23"/>
  <c r="B43" i="23"/>
  <c r="B42" i="15" s="1"/>
  <c r="M292" i="23"/>
  <c r="J292" i="23"/>
  <c r="H292" i="23"/>
  <c r="A292" i="23"/>
  <c r="L292" i="23"/>
  <c r="K292" i="23"/>
  <c r="F292" i="23"/>
  <c r="I292" i="23"/>
  <c r="G292" i="23"/>
  <c r="E292" i="23"/>
  <c r="B292" i="23"/>
  <c r="L872" i="23"/>
  <c r="H872" i="23"/>
  <c r="J872" i="23"/>
  <c r="G872" i="23"/>
  <c r="I872" i="23"/>
  <c r="F872" i="23"/>
  <c r="A872" i="23"/>
  <c r="M872" i="23"/>
  <c r="K872" i="23"/>
  <c r="E872" i="23"/>
  <c r="B872" i="23"/>
  <c r="K682" i="23"/>
  <c r="B682" i="23"/>
  <c r="J682" i="23"/>
  <c r="E682" i="23"/>
  <c r="L682" i="23"/>
  <c r="I682" i="23"/>
  <c r="F682" i="23"/>
  <c r="H682" i="23"/>
  <c r="M682" i="23"/>
  <c r="G682" i="23"/>
  <c r="A682" i="23"/>
  <c r="C106" i="15"/>
  <c r="K107" i="23"/>
  <c r="H106" i="15" s="1"/>
  <c r="L107" i="23"/>
  <c r="G106" i="15" s="1"/>
  <c r="G107" i="23"/>
  <c r="J107" i="23"/>
  <c r="F107" i="23"/>
  <c r="E107" i="23"/>
  <c r="B107" i="23"/>
  <c r="B106" i="15" s="1"/>
  <c r="A107" i="23"/>
  <c r="H107" i="23"/>
  <c r="M107" i="23"/>
  <c r="I107" i="23"/>
  <c r="H280" i="23"/>
  <c r="E280" i="23"/>
  <c r="I280" i="23"/>
  <c r="J280" i="23"/>
  <c r="B280" i="23"/>
  <c r="L280" i="23"/>
  <c r="G280" i="23"/>
  <c r="M280" i="23"/>
  <c r="K280" i="23"/>
  <c r="A280" i="23"/>
  <c r="F280" i="23"/>
  <c r="Y58" i="21"/>
  <c r="G465" i="23"/>
  <c r="J465" i="23"/>
  <c r="B465" i="23"/>
  <c r="I465" i="23"/>
  <c r="K465" i="23"/>
  <c r="F465" i="23"/>
  <c r="A465" i="23"/>
  <c r="E465" i="23"/>
  <c r="M465" i="23"/>
  <c r="L465" i="23"/>
  <c r="H465" i="23"/>
  <c r="D85" i="15"/>
  <c r="E447" i="23"/>
  <c r="L447" i="23"/>
  <c r="H447" i="23"/>
  <c r="J447" i="23"/>
  <c r="K447" i="23"/>
  <c r="I447" i="23"/>
  <c r="M447" i="23"/>
  <c r="B447" i="23"/>
  <c r="G447" i="23"/>
  <c r="A447" i="23"/>
  <c r="F447" i="23"/>
  <c r="Y66" i="21"/>
  <c r="A546" i="23"/>
  <c r="L546" i="23"/>
  <c r="E546" i="23"/>
  <c r="K546" i="23"/>
  <c r="H546" i="23"/>
  <c r="M546" i="23"/>
  <c r="B546" i="23"/>
  <c r="J546" i="23"/>
  <c r="I546" i="23"/>
  <c r="F546" i="23"/>
  <c r="G546" i="23"/>
  <c r="I338" i="23"/>
  <c r="L338" i="23"/>
  <c r="G338" i="23"/>
  <c r="K338" i="23"/>
  <c r="A338" i="23"/>
  <c r="H338" i="23"/>
  <c r="E338" i="23"/>
  <c r="J338" i="23"/>
  <c r="B338" i="23"/>
  <c r="M338" i="23"/>
  <c r="F338" i="23"/>
  <c r="I733" i="23"/>
  <c r="J733" i="23"/>
  <c r="B733" i="23"/>
  <c r="E733" i="23"/>
  <c r="A733" i="23"/>
  <c r="M733" i="23"/>
  <c r="H733" i="23"/>
  <c r="L733" i="23"/>
  <c r="K733" i="23"/>
  <c r="F733" i="23"/>
  <c r="G733" i="23"/>
  <c r="I1000" i="23"/>
  <c r="K1000" i="23"/>
  <c r="G1000" i="23"/>
  <c r="J1000" i="23"/>
  <c r="M1000" i="23"/>
  <c r="L1000" i="23"/>
  <c r="H1000" i="23"/>
  <c r="A1000" i="23"/>
  <c r="E1000" i="23"/>
  <c r="B1000" i="23"/>
  <c r="F1000" i="23"/>
  <c r="B555" i="23"/>
  <c r="I555" i="23"/>
  <c r="M555" i="23"/>
  <c r="J555" i="23"/>
  <c r="E555" i="23"/>
  <c r="L555" i="23"/>
  <c r="A555" i="23"/>
  <c r="F555" i="23"/>
  <c r="H555" i="23"/>
  <c r="K555" i="23"/>
  <c r="G555" i="23"/>
  <c r="F385" i="23"/>
  <c r="I385" i="23"/>
  <c r="J385" i="23"/>
  <c r="G385" i="23"/>
  <c r="M385" i="23"/>
  <c r="L385" i="23"/>
  <c r="K385" i="23"/>
  <c r="H385" i="23"/>
  <c r="B385" i="23"/>
  <c r="E385" i="23"/>
  <c r="A385" i="23"/>
  <c r="D169" i="15"/>
  <c r="G999" i="23"/>
  <c r="J999" i="23"/>
  <c r="L999" i="23"/>
  <c r="I999" i="23"/>
  <c r="H999" i="23"/>
  <c r="F999" i="23"/>
  <c r="M999" i="23"/>
  <c r="B999" i="23"/>
  <c r="K999" i="23"/>
  <c r="A999" i="23"/>
  <c r="E999" i="23"/>
  <c r="B22" i="21"/>
  <c r="D20" i="15"/>
  <c r="B50" i="21"/>
  <c r="Y89" i="21"/>
  <c r="D5" i="16"/>
  <c r="G424" i="23"/>
  <c r="B424" i="23"/>
  <c r="M424" i="23"/>
  <c r="I424" i="23"/>
  <c r="H424" i="23"/>
  <c r="K424" i="23"/>
  <c r="J424" i="23"/>
  <c r="A424" i="23"/>
  <c r="L424" i="23"/>
  <c r="F424" i="23"/>
  <c r="E424" i="23"/>
  <c r="D200" i="15"/>
  <c r="F930" i="23"/>
  <c r="G930" i="23"/>
  <c r="L930" i="23"/>
  <c r="K930" i="23"/>
  <c r="H930" i="23"/>
  <c r="E930" i="23"/>
  <c r="M930" i="23"/>
  <c r="B930" i="23"/>
  <c r="J930" i="23"/>
  <c r="I930" i="23"/>
  <c r="A930" i="23"/>
  <c r="A128" i="23"/>
  <c r="L128" i="23"/>
  <c r="G127" i="15" s="1"/>
  <c r="H128" i="23"/>
  <c r="K128" i="23"/>
  <c r="H127" i="15" s="1"/>
  <c r="I128" i="23"/>
  <c r="F128" i="23"/>
  <c r="E128" i="23"/>
  <c r="M128" i="23"/>
  <c r="J128" i="23"/>
  <c r="G128" i="23"/>
  <c r="C127" i="15"/>
  <c r="B128" i="23"/>
  <c r="B127" i="15" s="1"/>
  <c r="J454" i="23"/>
  <c r="B454" i="23"/>
  <c r="I454" i="23"/>
  <c r="F454" i="23"/>
  <c r="G454" i="23"/>
  <c r="A454" i="23"/>
  <c r="H454" i="23"/>
  <c r="M454" i="23"/>
  <c r="L454" i="23"/>
  <c r="E454" i="23"/>
  <c r="K454" i="23"/>
  <c r="B40" i="21"/>
  <c r="G689" i="23"/>
  <c r="B689" i="23"/>
  <c r="A689" i="23"/>
  <c r="F689" i="23"/>
  <c r="H689" i="23"/>
  <c r="K689" i="23"/>
  <c r="M689" i="23"/>
  <c r="J689" i="23"/>
  <c r="L689" i="23"/>
  <c r="I689" i="23"/>
  <c r="E689" i="23"/>
  <c r="B49" i="23"/>
  <c r="B48" i="15" s="1"/>
  <c r="A49" i="23"/>
  <c r="C48" i="15"/>
  <c r="E49" i="23"/>
  <c r="M49" i="23"/>
  <c r="G905" i="23"/>
  <c r="I905" i="23"/>
  <c r="J905" i="23"/>
  <c r="A905" i="23"/>
  <c r="M905" i="23"/>
  <c r="E905" i="23"/>
  <c r="L905" i="23"/>
  <c r="K905" i="23"/>
  <c r="H905" i="23"/>
  <c r="F905" i="23"/>
  <c r="B905" i="23"/>
  <c r="B492" i="23"/>
  <c r="M492" i="23"/>
  <c r="H492" i="23"/>
  <c r="G492" i="23"/>
  <c r="A492" i="23"/>
  <c r="J492" i="23"/>
  <c r="L492" i="23"/>
  <c r="I492" i="23"/>
  <c r="F492" i="23"/>
  <c r="K492" i="23"/>
  <c r="E492" i="23"/>
  <c r="D77" i="15"/>
  <c r="M79" i="23"/>
  <c r="E79" i="23"/>
  <c r="A79" i="23"/>
  <c r="B79" i="23"/>
  <c r="B78" i="15" s="1"/>
  <c r="C78" i="15"/>
  <c r="B56" i="21"/>
  <c r="B990" i="23"/>
  <c r="I990" i="23"/>
  <c r="L990" i="23"/>
  <c r="A990" i="23"/>
  <c r="J990" i="23"/>
  <c r="F990" i="23"/>
  <c r="E990" i="23"/>
  <c r="M990" i="23"/>
  <c r="K990" i="23"/>
  <c r="G990" i="23"/>
  <c r="H990" i="23"/>
  <c r="Y83" i="21"/>
  <c r="H473" i="23"/>
  <c r="I473" i="23"/>
  <c r="B473" i="23"/>
  <c r="M473" i="23"/>
  <c r="K473" i="23"/>
  <c r="G473" i="23"/>
  <c r="E473" i="23"/>
  <c r="A473" i="23"/>
  <c r="J473" i="23"/>
  <c r="F473" i="23"/>
  <c r="L473" i="23"/>
  <c r="I777" i="23"/>
  <c r="M777" i="23"/>
  <c r="E777" i="23"/>
  <c r="F777" i="23"/>
  <c r="H777" i="23"/>
  <c r="J777" i="23"/>
  <c r="B777" i="23"/>
  <c r="A777" i="23"/>
  <c r="G777" i="23"/>
  <c r="K777" i="23"/>
  <c r="L777" i="23"/>
  <c r="M42" i="23"/>
  <c r="A42" i="23"/>
  <c r="C41" i="15"/>
  <c r="E42" i="23"/>
  <c r="B42" i="23"/>
  <c r="B41" i="15" s="1"/>
  <c r="G421" i="23"/>
  <c r="B421" i="23"/>
  <c r="J421" i="23"/>
  <c r="A421" i="23"/>
  <c r="I421" i="23"/>
  <c r="M421" i="23"/>
  <c r="H421" i="23"/>
  <c r="L421" i="23"/>
  <c r="E421" i="23"/>
  <c r="K421" i="23"/>
  <c r="F421" i="23"/>
  <c r="B90" i="21"/>
  <c r="D175" i="15"/>
  <c r="I915" i="23"/>
  <c r="J915" i="23"/>
  <c r="H915" i="23"/>
  <c r="E915" i="23"/>
  <c r="B915" i="23"/>
  <c r="K915" i="23"/>
  <c r="G915" i="23"/>
  <c r="A915" i="23"/>
  <c r="L915" i="23"/>
  <c r="F915" i="23"/>
  <c r="M915" i="23"/>
  <c r="D128" i="15"/>
  <c r="D142" i="15"/>
  <c r="A830" i="23"/>
  <c r="L830" i="23"/>
  <c r="H830" i="23"/>
  <c r="B830" i="23"/>
  <c r="G830" i="23"/>
  <c r="I830" i="23"/>
  <c r="J830" i="23"/>
  <c r="F830" i="23"/>
  <c r="K830" i="23"/>
  <c r="E830" i="23"/>
  <c r="M830" i="23"/>
  <c r="E568" i="23"/>
  <c r="B568" i="23"/>
  <c r="J568" i="23"/>
  <c r="A568" i="23"/>
  <c r="M568" i="23"/>
  <c r="I568" i="23"/>
  <c r="H568" i="23"/>
  <c r="L568" i="23"/>
  <c r="F568" i="23"/>
  <c r="K568" i="23"/>
  <c r="G568" i="23"/>
  <c r="D198" i="15"/>
  <c r="D193" i="15"/>
  <c r="K987" i="23"/>
  <c r="B987" i="23"/>
  <c r="G987" i="23"/>
  <c r="J987" i="23"/>
  <c r="I987" i="23"/>
  <c r="E987" i="23"/>
  <c r="M987" i="23"/>
  <c r="H987" i="23"/>
  <c r="A987" i="23"/>
  <c r="F987" i="23"/>
  <c r="L987" i="23"/>
  <c r="D214" i="15"/>
  <c r="O36" i="20"/>
  <c r="C206" i="15"/>
  <c r="J206" i="15" s="1"/>
  <c r="H207" i="23"/>
  <c r="L207" i="23"/>
  <c r="G206" i="15" s="1"/>
  <c r="E207" i="23"/>
  <c r="G207" i="23"/>
  <c r="F207" i="23"/>
  <c r="M207" i="23"/>
  <c r="K207" i="23"/>
  <c r="H206" i="15" s="1"/>
  <c r="I207" i="23"/>
  <c r="B207" i="23"/>
  <c r="B206" i="15" s="1"/>
  <c r="A207" i="23"/>
  <c r="J207" i="23"/>
  <c r="H798" i="23"/>
  <c r="A798" i="23"/>
  <c r="L798" i="23"/>
  <c r="B798" i="23"/>
  <c r="F798" i="23"/>
  <c r="J798" i="23"/>
  <c r="I798" i="23"/>
  <c r="E798" i="23"/>
  <c r="K798" i="23"/>
  <c r="G798" i="23"/>
  <c r="M798" i="23"/>
  <c r="D117" i="15"/>
  <c r="H967" i="23"/>
  <c r="E967" i="23"/>
  <c r="L967" i="23"/>
  <c r="G967" i="23"/>
  <c r="I967" i="23"/>
  <c r="K967" i="23"/>
  <c r="A967" i="23"/>
  <c r="B967" i="23"/>
  <c r="M967" i="23"/>
  <c r="F967" i="23"/>
  <c r="J967" i="23"/>
  <c r="B51" i="23"/>
  <c r="B50" i="15" s="1"/>
  <c r="A51" i="23"/>
  <c r="E51" i="23"/>
  <c r="M51" i="23"/>
  <c r="C50" i="15"/>
  <c r="A842" i="23"/>
  <c r="E842" i="23"/>
  <c r="K842" i="23"/>
  <c r="H842" i="23"/>
  <c r="M842" i="23"/>
  <c r="L842" i="23"/>
  <c r="B842" i="23"/>
  <c r="G842" i="23"/>
  <c r="F842" i="23"/>
  <c r="J842" i="23"/>
  <c r="I842" i="23"/>
  <c r="G748" i="23"/>
  <c r="A748" i="23"/>
  <c r="J748" i="23"/>
  <c r="F748" i="23"/>
  <c r="L748" i="23"/>
  <c r="H748" i="23"/>
  <c r="I748" i="23"/>
  <c r="E748" i="23"/>
  <c r="M748" i="23"/>
  <c r="K748" i="23"/>
  <c r="B748" i="23"/>
  <c r="D127" i="15"/>
  <c r="A641" i="23"/>
  <c r="M641" i="23"/>
  <c r="E641" i="23"/>
  <c r="H641" i="23"/>
  <c r="L641" i="23"/>
  <c r="B641" i="23"/>
  <c r="G641" i="23"/>
  <c r="F641" i="23"/>
  <c r="J641" i="23"/>
  <c r="K641" i="23"/>
  <c r="I641" i="23"/>
  <c r="D69" i="15"/>
  <c r="A667" i="23"/>
  <c r="G667" i="23"/>
  <c r="J667" i="23"/>
  <c r="E667" i="23"/>
  <c r="I667" i="23"/>
  <c r="L667" i="23"/>
  <c r="K667" i="23"/>
  <c r="H667" i="23"/>
  <c r="M667" i="23"/>
  <c r="F667" i="23"/>
  <c r="B667" i="23"/>
  <c r="D133" i="15"/>
  <c r="C154" i="15"/>
  <c r="I155" i="23"/>
  <c r="A155" i="23"/>
  <c r="H155" i="23"/>
  <c r="G155" i="23"/>
  <c r="F155" i="23"/>
  <c r="B155" i="23"/>
  <c r="B154" i="15" s="1"/>
  <c r="M155" i="23"/>
  <c r="J155" i="23"/>
  <c r="K155" i="23"/>
  <c r="H154" i="15" s="1"/>
  <c r="E155" i="23"/>
  <c r="L155" i="23"/>
  <c r="G154" i="15" s="1"/>
  <c r="B976" i="23"/>
  <c r="F976" i="23"/>
  <c r="E976" i="23"/>
  <c r="J976" i="23"/>
  <c r="G976" i="23"/>
  <c r="A976" i="23"/>
  <c r="M976" i="23"/>
  <c r="I976" i="23"/>
  <c r="K976" i="23"/>
  <c r="L976" i="23"/>
  <c r="H976" i="23"/>
  <c r="J460" i="23"/>
  <c r="B460" i="23"/>
  <c r="H460" i="23"/>
  <c r="G460" i="23"/>
  <c r="M460" i="23"/>
  <c r="I460" i="23"/>
  <c r="E460" i="23"/>
  <c r="K460" i="23"/>
  <c r="A460" i="23"/>
  <c r="L460" i="23"/>
  <c r="F460" i="23"/>
  <c r="I110" i="23"/>
  <c r="F110" i="23" s="1"/>
  <c r="G110" i="23" s="1"/>
  <c r="A110" i="23"/>
  <c r="L110" i="23"/>
  <c r="G109" i="15" s="1"/>
  <c r="J110" i="23"/>
  <c r="C109" i="15"/>
  <c r="M110" i="23"/>
  <c r="K110" i="23"/>
  <c r="H109" i="15" s="1"/>
  <c r="B110" i="23"/>
  <c r="B109" i="15" s="1"/>
  <c r="H110" i="23"/>
  <c r="E110" i="23"/>
  <c r="A461" i="23"/>
  <c r="J461" i="23"/>
  <c r="B461" i="23"/>
  <c r="E461" i="23"/>
  <c r="M461" i="23"/>
  <c r="L461" i="23"/>
  <c r="I461" i="23"/>
  <c r="F461" i="23"/>
  <c r="K461" i="23"/>
  <c r="H461" i="23"/>
  <c r="G461" i="23"/>
  <c r="E434" i="23"/>
  <c r="M434" i="23"/>
  <c r="J434" i="23"/>
  <c r="G434" i="23"/>
  <c r="F434" i="23"/>
  <c r="I434" i="23"/>
  <c r="L434" i="23"/>
  <c r="H434" i="23"/>
  <c r="B434" i="23"/>
  <c r="A434" i="23"/>
  <c r="K434" i="23"/>
  <c r="H897" i="23"/>
  <c r="B897" i="23"/>
  <c r="K897" i="23"/>
  <c r="J897" i="23"/>
  <c r="F897" i="23"/>
  <c r="L897" i="23"/>
  <c r="I897" i="23"/>
  <c r="A897" i="23"/>
  <c r="M897" i="23"/>
  <c r="E897" i="23"/>
  <c r="G897" i="23"/>
  <c r="K497" i="23"/>
  <c r="G497" i="23"/>
  <c r="E497" i="23"/>
  <c r="A497" i="23"/>
  <c r="F497" i="23"/>
  <c r="B497" i="23"/>
  <c r="L497" i="23"/>
  <c r="H497" i="23"/>
  <c r="J497" i="23"/>
  <c r="I497" i="23"/>
  <c r="M497" i="23"/>
  <c r="H530" i="23"/>
  <c r="J530" i="23"/>
  <c r="M530" i="23"/>
  <c r="L530" i="23"/>
  <c r="E530" i="23"/>
  <c r="I530" i="23"/>
  <c r="G530" i="23"/>
  <c r="F530" i="23"/>
  <c r="B530" i="23"/>
  <c r="A530" i="23"/>
  <c r="K530" i="23"/>
  <c r="M494" i="23"/>
  <c r="G494" i="23"/>
  <c r="I494" i="23"/>
  <c r="J494" i="23"/>
  <c r="F494" i="23"/>
  <c r="B494" i="23"/>
  <c r="H494" i="23"/>
  <c r="L494" i="23"/>
  <c r="E494" i="23"/>
  <c r="A494" i="23"/>
  <c r="K494" i="23"/>
  <c r="J831" i="23"/>
  <c r="E831" i="23"/>
  <c r="B831" i="23"/>
  <c r="A831" i="23"/>
  <c r="M831" i="23"/>
  <c r="L831" i="23"/>
  <c r="H831" i="23"/>
  <c r="G831" i="23"/>
  <c r="F831" i="23"/>
  <c r="K831" i="23"/>
  <c r="I831" i="23"/>
  <c r="G267" i="23"/>
  <c r="F267" i="23"/>
  <c r="I267" i="23"/>
  <c r="L267" i="23"/>
  <c r="B267" i="23"/>
  <c r="H267" i="23"/>
  <c r="E267" i="23"/>
  <c r="J267" i="23"/>
  <c r="A267" i="23"/>
  <c r="K267" i="23"/>
  <c r="M267" i="23"/>
  <c r="O82" i="20"/>
  <c r="N82" i="20"/>
  <c r="B232" i="23"/>
  <c r="M232" i="23"/>
  <c r="E232" i="23"/>
  <c r="L232" i="23"/>
  <c r="J232" i="23"/>
  <c r="A232" i="23"/>
  <c r="H232" i="23"/>
  <c r="F232" i="23"/>
  <c r="K232" i="23"/>
  <c r="G232" i="23"/>
  <c r="I232" i="23"/>
  <c r="E577" i="23"/>
  <c r="I577" i="23"/>
  <c r="M577" i="23"/>
  <c r="K577" i="23"/>
  <c r="H577" i="23"/>
  <c r="L577" i="23"/>
  <c r="G577" i="23"/>
  <c r="A577" i="23"/>
  <c r="J577" i="23"/>
  <c r="F577" i="23"/>
  <c r="B577" i="23"/>
  <c r="J935" i="23"/>
  <c r="L935" i="23"/>
  <c r="A935" i="23"/>
  <c r="K935" i="23"/>
  <c r="G935" i="23"/>
  <c r="I935" i="23"/>
  <c r="M935" i="23"/>
  <c r="H935" i="23"/>
  <c r="E935" i="23"/>
  <c r="F935" i="23"/>
  <c r="B935" i="23"/>
  <c r="I391" i="23"/>
  <c r="L391" i="23"/>
  <c r="H391" i="23"/>
  <c r="J391" i="23"/>
  <c r="B391" i="23"/>
  <c r="F391" i="23"/>
  <c r="E391" i="23"/>
  <c r="K391" i="23"/>
  <c r="G391" i="23"/>
  <c r="A391" i="23"/>
  <c r="M391" i="23"/>
  <c r="B348" i="23"/>
  <c r="K348" i="23"/>
  <c r="A348" i="23"/>
  <c r="L348" i="23"/>
  <c r="F348" i="23"/>
  <c r="E348" i="23"/>
  <c r="G348" i="23"/>
  <c r="J348" i="23"/>
  <c r="M348" i="23"/>
  <c r="H348" i="23"/>
  <c r="I348" i="23"/>
  <c r="F874" i="23"/>
  <c r="H874" i="23"/>
  <c r="B874" i="23"/>
  <c r="G874" i="23"/>
  <c r="M874" i="23"/>
  <c r="J874" i="23"/>
  <c r="E874" i="23"/>
  <c r="L874" i="23"/>
  <c r="I874" i="23"/>
  <c r="K874" i="23"/>
  <c r="A874" i="23"/>
  <c r="B212" i="23"/>
  <c r="B211" i="15" s="1"/>
  <c r="A212" i="23"/>
  <c r="F212" i="23"/>
  <c r="K212" i="23"/>
  <c r="H211" i="15" s="1"/>
  <c r="C211" i="15"/>
  <c r="L212" i="23"/>
  <c r="G211" i="15" s="1"/>
  <c r="I212" i="23"/>
  <c r="E212" i="23"/>
  <c r="J212" i="23"/>
  <c r="M212" i="23"/>
  <c r="I211" i="15" s="1"/>
  <c r="H212" i="23"/>
  <c r="G212" i="23"/>
  <c r="A357" i="23"/>
  <c r="G357" i="23"/>
  <c r="K357" i="23"/>
  <c r="B357" i="23"/>
  <c r="F357" i="23"/>
  <c r="I357" i="23"/>
  <c r="H357" i="23"/>
  <c r="E357" i="23"/>
  <c r="L357" i="23"/>
  <c r="M357" i="23"/>
  <c r="J357" i="23"/>
  <c r="B157" i="23"/>
  <c r="B156" i="15" s="1"/>
  <c r="I157" i="23"/>
  <c r="F157" i="23" s="1"/>
  <c r="G157" i="23" s="1"/>
  <c r="M157" i="23"/>
  <c r="C156" i="15"/>
  <c r="L157" i="23"/>
  <c r="G156" i="15" s="1"/>
  <c r="J157" i="23"/>
  <c r="E157" i="23"/>
  <c r="A157" i="23"/>
  <c r="H157" i="23"/>
  <c r="K157" i="23"/>
  <c r="H156" i="15" s="1"/>
  <c r="B205" i="23"/>
  <c r="B204" i="15" s="1"/>
  <c r="E205" i="23"/>
  <c r="G205" i="23"/>
  <c r="I205" i="23"/>
  <c r="A205" i="23"/>
  <c r="L205" i="23"/>
  <c r="G204" i="15" s="1"/>
  <c r="K205" i="23"/>
  <c r="H204" i="15" s="1"/>
  <c r="H205" i="23"/>
  <c r="F205" i="23"/>
  <c r="J205" i="23"/>
  <c r="M205" i="23"/>
  <c r="C204" i="15"/>
  <c r="D9" i="15"/>
  <c r="A827" i="23"/>
  <c r="G827" i="23"/>
  <c r="F827" i="23"/>
  <c r="L827" i="23"/>
  <c r="E827" i="23"/>
  <c r="M827" i="23"/>
  <c r="K827" i="23"/>
  <c r="H827" i="23"/>
  <c r="B827" i="23"/>
  <c r="I827" i="23"/>
  <c r="J827" i="23"/>
  <c r="J261" i="23"/>
  <c r="I261" i="23"/>
  <c r="B261" i="23"/>
  <c r="F261" i="23"/>
  <c r="M261" i="23"/>
  <c r="H261" i="23"/>
  <c r="K261" i="23"/>
  <c r="E261" i="23"/>
  <c r="L261" i="23"/>
  <c r="A261" i="23"/>
  <c r="G261" i="23"/>
  <c r="I326" i="23"/>
  <c r="J326" i="23"/>
  <c r="L326" i="23"/>
  <c r="B326" i="23"/>
  <c r="M326" i="23"/>
  <c r="G326" i="23"/>
  <c r="E326" i="23"/>
  <c r="F326" i="23"/>
  <c r="A326" i="23"/>
  <c r="K326" i="23"/>
  <c r="H326" i="23"/>
  <c r="E479" i="23"/>
  <c r="F479" i="23"/>
  <c r="I479" i="23"/>
  <c r="J479" i="23"/>
  <c r="H479" i="23"/>
  <c r="M479" i="23"/>
  <c r="B479" i="23"/>
  <c r="L479" i="23"/>
  <c r="K479" i="23"/>
  <c r="A479" i="23"/>
  <c r="G479" i="23"/>
  <c r="I948" i="23"/>
  <c r="K948" i="23"/>
  <c r="J948" i="23"/>
  <c r="B948" i="23"/>
  <c r="A948" i="23"/>
  <c r="E948" i="23"/>
  <c r="M948" i="23"/>
  <c r="F948" i="23"/>
  <c r="H948" i="23"/>
  <c r="G948" i="23"/>
  <c r="L948" i="23"/>
  <c r="J452" i="23"/>
  <c r="A452" i="23"/>
  <c r="M452" i="23"/>
  <c r="K452" i="23"/>
  <c r="H452" i="23"/>
  <c r="B452" i="23"/>
  <c r="E452" i="23"/>
  <c r="F452" i="23"/>
  <c r="G452" i="23"/>
  <c r="L452" i="23"/>
  <c r="I452" i="23"/>
  <c r="E102" i="23"/>
  <c r="M102" i="23"/>
  <c r="C101" i="15"/>
  <c r="A102" i="23"/>
  <c r="B102" i="23"/>
  <c r="B101" i="15" s="1"/>
  <c r="B51" i="21"/>
  <c r="D8" i="16"/>
  <c r="L474" i="23"/>
  <c r="M474" i="23"/>
  <c r="A474" i="23"/>
  <c r="F474" i="23"/>
  <c r="J474" i="23"/>
  <c r="E474" i="23"/>
  <c r="K474" i="23"/>
  <c r="I474" i="23"/>
  <c r="H474" i="23"/>
  <c r="G474" i="23"/>
  <c r="B474" i="23"/>
  <c r="K968" i="23"/>
  <c r="J968" i="23"/>
  <c r="B968" i="23"/>
  <c r="A968" i="23"/>
  <c r="M968" i="23"/>
  <c r="I968" i="23"/>
  <c r="G968" i="23"/>
  <c r="H968" i="23"/>
  <c r="L968" i="23"/>
  <c r="F968" i="23"/>
  <c r="E968" i="23"/>
  <c r="K902" i="23"/>
  <c r="H902" i="23"/>
  <c r="I902" i="23"/>
  <c r="E902" i="23"/>
  <c r="J902" i="23"/>
  <c r="G902" i="23"/>
  <c r="A902" i="23"/>
  <c r="B902" i="23"/>
  <c r="M902" i="23"/>
  <c r="F902" i="23"/>
  <c r="L902" i="23"/>
  <c r="C165" i="15"/>
  <c r="J166" i="23"/>
  <c r="K166" i="23"/>
  <c r="H165" i="15" s="1"/>
  <c r="L166" i="23"/>
  <c r="G165" i="15" s="1"/>
  <c r="M166" i="23"/>
  <c r="H166" i="23"/>
  <c r="E166" i="23"/>
  <c r="B166" i="23"/>
  <c r="B165" i="15" s="1"/>
  <c r="I166" i="23"/>
  <c r="F166" i="23" s="1"/>
  <c r="G166" i="23" s="1"/>
  <c r="A166" i="23"/>
  <c r="D122" i="15"/>
  <c r="D130" i="15"/>
  <c r="E64" i="23"/>
  <c r="A64" i="23"/>
  <c r="B64" i="23"/>
  <c r="B63" i="15" s="1"/>
  <c r="C63" i="15"/>
  <c r="M64" i="23"/>
  <c r="K557" i="23"/>
  <c r="L557" i="23"/>
  <c r="B557" i="23"/>
  <c r="M557" i="23"/>
  <c r="E557" i="23"/>
  <c r="H557" i="23"/>
  <c r="A557" i="23"/>
  <c r="J557" i="23"/>
  <c r="F557" i="23"/>
  <c r="I557" i="23"/>
  <c r="G557" i="23"/>
  <c r="I896" i="23"/>
  <c r="F896" i="23"/>
  <c r="E896" i="23"/>
  <c r="L896" i="23"/>
  <c r="H896" i="23"/>
  <c r="B896" i="23"/>
  <c r="J896" i="23"/>
  <c r="A896" i="23"/>
  <c r="M896" i="23"/>
  <c r="G896" i="23"/>
  <c r="K896" i="23"/>
  <c r="N54" i="20"/>
  <c r="O54" i="20"/>
  <c r="Y53" i="21"/>
  <c r="N96" i="20"/>
  <c r="O96" i="20"/>
  <c r="F784" i="23"/>
  <c r="K784" i="23"/>
  <c r="H784" i="23"/>
  <c r="G784" i="23"/>
  <c r="J784" i="23"/>
  <c r="E784" i="23"/>
  <c r="L784" i="23"/>
  <c r="I784" i="23"/>
  <c r="A784" i="23"/>
  <c r="M784" i="23"/>
  <c r="B784" i="23"/>
  <c r="G856" i="23"/>
  <c r="H856" i="23"/>
  <c r="B856" i="23"/>
  <c r="F856" i="23"/>
  <c r="A856" i="23"/>
  <c r="J856" i="23"/>
  <c r="E856" i="23"/>
  <c r="L856" i="23"/>
  <c r="K856" i="23"/>
  <c r="I856" i="23"/>
  <c r="M856" i="23"/>
  <c r="K690" i="23"/>
  <c r="E690" i="23"/>
  <c r="M690" i="23"/>
  <c r="L690" i="23"/>
  <c r="G690" i="23"/>
  <c r="I690" i="23"/>
  <c r="B690" i="23"/>
  <c r="A690" i="23"/>
  <c r="J690" i="23"/>
  <c r="H690" i="23"/>
  <c r="F690" i="23"/>
  <c r="B834" i="23"/>
  <c r="F834" i="23"/>
  <c r="M834" i="23"/>
  <c r="A834" i="23"/>
  <c r="G834" i="23"/>
  <c r="H834" i="23"/>
  <c r="I834" i="23"/>
  <c r="J834" i="23"/>
  <c r="K834" i="23"/>
  <c r="E834" i="23"/>
  <c r="L834" i="23"/>
  <c r="D108" i="15"/>
  <c r="I491" i="23"/>
  <c r="F491" i="23"/>
  <c r="B491" i="23"/>
  <c r="A491" i="23"/>
  <c r="M491" i="23"/>
  <c r="J491" i="23"/>
  <c r="K491" i="23"/>
  <c r="H491" i="23"/>
  <c r="L491" i="23"/>
  <c r="G491" i="23"/>
  <c r="E491" i="23"/>
  <c r="A184" i="23"/>
  <c r="E184" i="23"/>
  <c r="J184" i="23"/>
  <c r="B184" i="23"/>
  <c r="B183" i="15" s="1"/>
  <c r="C183" i="15"/>
  <c r="G184" i="23"/>
  <c r="H184" i="23"/>
  <c r="L184" i="23"/>
  <c r="G183" i="15" s="1"/>
  <c r="F184" i="23"/>
  <c r="K184" i="23"/>
  <c r="H183" i="15" s="1"/>
  <c r="M184" i="23"/>
  <c r="I184" i="23"/>
  <c r="E23" i="23"/>
  <c r="B23" i="23"/>
  <c r="B22" i="15" s="1"/>
  <c r="C22" i="15"/>
  <c r="M23" i="23"/>
  <c r="A23" i="23"/>
  <c r="O92" i="20"/>
  <c r="N92" i="20"/>
  <c r="E15" i="23"/>
  <c r="M15" i="23"/>
  <c r="C14" i="15"/>
  <c r="B15" i="23"/>
  <c r="B14" i="15" s="1"/>
  <c r="A15" i="23"/>
  <c r="D53" i="15"/>
  <c r="E151" i="23"/>
  <c r="C150" i="15"/>
  <c r="M151" i="23"/>
  <c r="L151" i="23"/>
  <c r="G150" i="15" s="1"/>
  <c r="G151" i="23"/>
  <c r="I151" i="23"/>
  <c r="F151" i="23" s="1"/>
  <c r="J151" i="23"/>
  <c r="B151" i="23"/>
  <c r="B150" i="15" s="1"/>
  <c r="K151" i="23"/>
  <c r="H150" i="15" s="1"/>
  <c r="H151" i="23"/>
  <c r="A151" i="23"/>
  <c r="H575" i="23"/>
  <c r="I575" i="23"/>
  <c r="M575" i="23"/>
  <c r="E575" i="23"/>
  <c r="K575" i="23"/>
  <c r="G575" i="23"/>
  <c r="L575" i="23"/>
  <c r="B575" i="23"/>
  <c r="J575" i="23"/>
  <c r="A575" i="23"/>
  <c r="F575" i="23"/>
  <c r="G518" i="23"/>
  <c r="L518" i="23"/>
  <c r="E518" i="23"/>
  <c r="K518" i="23"/>
  <c r="J518" i="23"/>
  <c r="I518" i="23"/>
  <c r="H518" i="23"/>
  <c r="M518" i="23"/>
  <c r="A518" i="23"/>
  <c r="F518" i="23"/>
  <c r="B518" i="23"/>
  <c r="A78" i="23"/>
  <c r="C77" i="15"/>
  <c r="B78" i="23"/>
  <c r="B77" i="15" s="1"/>
  <c r="E78" i="23"/>
  <c r="M78" i="23"/>
  <c r="D60" i="15"/>
  <c r="D187" i="15"/>
  <c r="D184" i="15"/>
  <c r="D98" i="15"/>
  <c r="Y63" i="21"/>
  <c r="M12" i="23"/>
  <c r="C11" i="15"/>
  <c r="B12" i="23"/>
  <c r="B11" i="15" s="1"/>
  <c r="A12" i="23"/>
  <c r="E12" i="23"/>
  <c r="G297" i="23"/>
  <c r="A297" i="23"/>
  <c r="K297" i="23"/>
  <c r="I297" i="23"/>
  <c r="J297" i="23"/>
  <c r="E297" i="23"/>
  <c r="B297" i="23"/>
  <c r="H297" i="23"/>
  <c r="L297" i="23"/>
  <c r="F297" i="23"/>
  <c r="M297" i="23"/>
  <c r="A814" i="23"/>
  <c r="M814" i="23"/>
  <c r="I814" i="23"/>
  <c r="G814" i="23"/>
  <c r="J814" i="23"/>
  <c r="F814" i="23"/>
  <c r="K814" i="23"/>
  <c r="B814" i="23"/>
  <c r="L814" i="23"/>
  <c r="H814" i="23"/>
  <c r="E814" i="23"/>
  <c r="F186" i="23"/>
  <c r="I186" i="23"/>
  <c r="M186" i="23"/>
  <c r="A186" i="23"/>
  <c r="K186" i="23"/>
  <c r="H185" i="15" s="1"/>
  <c r="B186" i="23"/>
  <c r="B185" i="15" s="1"/>
  <c r="J186" i="23"/>
  <c r="C185" i="15"/>
  <c r="E186" i="23"/>
  <c r="L186" i="23"/>
  <c r="G185" i="15" s="1"/>
  <c r="H186" i="23"/>
  <c r="G186" i="23"/>
  <c r="B13" i="21"/>
  <c r="D107" i="15"/>
  <c r="D101" i="15"/>
  <c r="M113" i="23"/>
  <c r="K113" i="23"/>
  <c r="H112" i="15" s="1"/>
  <c r="B113" i="23"/>
  <c r="B112" i="15" s="1"/>
  <c r="H113" i="23"/>
  <c r="J113" i="23"/>
  <c r="I113" i="23"/>
  <c r="F113" i="23" s="1"/>
  <c r="G113" i="23" s="1"/>
  <c r="E113" i="23"/>
  <c r="C112" i="15"/>
  <c r="E112" i="15" s="1"/>
  <c r="A113" i="23"/>
  <c r="L113" i="23"/>
  <c r="G112" i="15" s="1"/>
  <c r="B910" i="23"/>
  <c r="F910" i="23"/>
  <c r="I910" i="23"/>
  <c r="L910" i="23"/>
  <c r="J910" i="23"/>
  <c r="A910" i="23"/>
  <c r="H910" i="23"/>
  <c r="G910" i="23"/>
  <c r="M910" i="23"/>
  <c r="E910" i="23"/>
  <c r="K910" i="23"/>
  <c r="K969" i="23"/>
  <c r="M969" i="23"/>
  <c r="I969" i="23"/>
  <c r="B969" i="23"/>
  <c r="A969" i="23"/>
  <c r="H969" i="23"/>
  <c r="J969" i="23"/>
  <c r="L969" i="23"/>
  <c r="G969" i="23"/>
  <c r="E969" i="23"/>
  <c r="F969" i="23"/>
  <c r="N72" i="20"/>
  <c r="O72" i="20"/>
  <c r="B86" i="21"/>
  <c r="H193" i="23"/>
  <c r="E193" i="23"/>
  <c r="B193" i="23"/>
  <c r="B192" i="15" s="1"/>
  <c r="L193" i="23"/>
  <c r="G192" i="15" s="1"/>
  <c r="K193" i="23"/>
  <c r="H192" i="15" s="1"/>
  <c r="M193" i="23"/>
  <c r="F193" i="23"/>
  <c r="J193" i="23"/>
  <c r="A193" i="23"/>
  <c r="G193" i="23"/>
  <c r="I193" i="23"/>
  <c r="C192" i="15"/>
  <c r="J218" i="23"/>
  <c r="E218" i="23"/>
  <c r="A218" i="23"/>
  <c r="K218" i="23"/>
  <c r="H217" i="15" s="1"/>
  <c r="H218" i="23"/>
  <c r="I218" i="23"/>
  <c r="F218" i="23"/>
  <c r="B218" i="23"/>
  <c r="B217" i="15" s="1"/>
  <c r="M218" i="23"/>
  <c r="I217" i="15" s="1"/>
  <c r="L218" i="23"/>
  <c r="G217" i="15" s="1"/>
  <c r="G218" i="23"/>
  <c r="C217" i="15"/>
  <c r="M625" i="23"/>
  <c r="K625" i="23"/>
  <c r="I625" i="23"/>
  <c r="L625" i="23"/>
  <c r="F625" i="23"/>
  <c r="B625" i="23"/>
  <c r="H625" i="23"/>
  <c r="E625" i="23"/>
  <c r="A625" i="23"/>
  <c r="J625" i="23"/>
  <c r="G625" i="23"/>
  <c r="H450" i="23"/>
  <c r="K450" i="23"/>
  <c r="F450" i="23"/>
  <c r="A450" i="23"/>
  <c r="G450" i="23"/>
  <c r="M450" i="23"/>
  <c r="B450" i="23"/>
  <c r="I450" i="23"/>
  <c r="L450" i="23"/>
  <c r="E450" i="23"/>
  <c r="J450" i="23"/>
  <c r="K997" i="23"/>
  <c r="B997" i="23"/>
  <c r="M997" i="23"/>
  <c r="L997" i="23"/>
  <c r="A997" i="23"/>
  <c r="F997" i="23"/>
  <c r="I997" i="23"/>
  <c r="E997" i="23"/>
  <c r="H997" i="23"/>
  <c r="G997" i="23"/>
  <c r="J997" i="23"/>
  <c r="F320" i="23"/>
  <c r="H320" i="23"/>
  <c r="E320" i="23"/>
  <c r="B320" i="23"/>
  <c r="G320" i="23"/>
  <c r="A320" i="23"/>
  <c r="L320" i="23"/>
  <c r="K320" i="23"/>
  <c r="I320" i="23"/>
  <c r="J320" i="23"/>
  <c r="M320" i="23"/>
  <c r="E829" i="23"/>
  <c r="K829" i="23"/>
  <c r="I829" i="23"/>
  <c r="J829" i="23"/>
  <c r="L829" i="23"/>
  <c r="F829" i="23"/>
  <c r="B829" i="23"/>
  <c r="H829" i="23"/>
  <c r="A829" i="23"/>
  <c r="G829" i="23"/>
  <c r="M829" i="23"/>
  <c r="H171" i="23"/>
  <c r="G171" i="23"/>
  <c r="F171" i="23"/>
  <c r="B171" i="23"/>
  <c r="B170" i="15" s="1"/>
  <c r="A171" i="23"/>
  <c r="M171" i="23"/>
  <c r="I170" i="15" s="1"/>
  <c r="C170" i="15"/>
  <c r="J171" i="23"/>
  <c r="I171" i="23"/>
  <c r="K171" i="23"/>
  <c r="H170" i="15" s="1"/>
  <c r="L171" i="23"/>
  <c r="G170" i="15" s="1"/>
  <c r="E171" i="23"/>
  <c r="A852" i="23"/>
  <c r="G852" i="23"/>
  <c r="E852" i="23"/>
  <c r="M852" i="23"/>
  <c r="J852" i="23"/>
  <c r="I852" i="23"/>
  <c r="L852" i="23"/>
  <c r="K852" i="23"/>
  <c r="B852" i="23"/>
  <c r="F852" i="23"/>
  <c r="H852" i="23"/>
  <c r="Y48" i="21"/>
  <c r="Y98" i="21"/>
  <c r="F737" i="23"/>
  <c r="B737" i="23"/>
  <c r="G737" i="23"/>
  <c r="H737" i="23"/>
  <c r="E737" i="23"/>
  <c r="J737" i="23"/>
  <c r="M737" i="23"/>
  <c r="I737" i="23"/>
  <c r="K737" i="23"/>
  <c r="L737" i="23"/>
  <c r="A737" i="23"/>
  <c r="M120" i="23"/>
  <c r="A120" i="23"/>
  <c r="B120" i="23"/>
  <c r="B119" i="15" s="1"/>
  <c r="J120" i="23"/>
  <c r="L120" i="23"/>
  <c r="G119" i="15" s="1"/>
  <c r="C119" i="15"/>
  <c r="H120" i="23"/>
  <c r="E120" i="23"/>
  <c r="K120" i="23"/>
  <c r="H119" i="15" s="1"/>
  <c r="I120" i="23"/>
  <c r="F120" i="23" s="1"/>
  <c r="G120" i="23" s="1"/>
  <c r="B78" i="21"/>
  <c r="I632" i="23"/>
  <c r="F632" i="23"/>
  <c r="M632" i="23"/>
  <c r="H632" i="23"/>
  <c r="G632" i="23"/>
  <c r="A632" i="23"/>
  <c r="K632" i="23"/>
  <c r="L632" i="23"/>
  <c r="E632" i="23"/>
  <c r="J632" i="23"/>
  <c r="B632" i="23"/>
  <c r="N94" i="20"/>
  <c r="O94" i="20"/>
  <c r="H481" i="23"/>
  <c r="I481" i="23"/>
  <c r="M481" i="23"/>
  <c r="L481" i="23"/>
  <c r="J481" i="23"/>
  <c r="F481" i="23"/>
  <c r="K481" i="23"/>
  <c r="E481" i="23"/>
  <c r="G481" i="23"/>
  <c r="B481" i="23"/>
  <c r="A481" i="23"/>
  <c r="B39" i="21"/>
  <c r="A442" i="23"/>
  <c r="J442" i="23"/>
  <c r="B442" i="23"/>
  <c r="L442" i="23"/>
  <c r="I442" i="23"/>
  <c r="K442" i="23"/>
  <c r="F442" i="23"/>
  <c r="G442" i="23"/>
  <c r="E442" i="23"/>
  <c r="H442" i="23"/>
  <c r="M442" i="23"/>
  <c r="G535" i="23"/>
  <c r="A535" i="23"/>
  <c r="L535" i="23"/>
  <c r="I535" i="23"/>
  <c r="F535" i="23"/>
  <c r="M535" i="23"/>
  <c r="J535" i="23"/>
  <c r="B535" i="23"/>
  <c r="E535" i="23"/>
  <c r="K535" i="23"/>
  <c r="H535" i="23"/>
  <c r="D126" i="15"/>
  <c r="L851" i="23"/>
  <c r="A851" i="23"/>
  <c r="B851" i="23"/>
  <c r="F851" i="23"/>
  <c r="I851" i="23"/>
  <c r="M851" i="23"/>
  <c r="H851" i="23"/>
  <c r="K851" i="23"/>
  <c r="G851" i="23"/>
  <c r="J851" i="23"/>
  <c r="E851" i="23"/>
  <c r="I977" i="23"/>
  <c r="G977" i="23"/>
  <c r="A977" i="23"/>
  <c r="M977" i="23"/>
  <c r="F977" i="23"/>
  <c r="K977" i="23"/>
  <c r="J977" i="23"/>
  <c r="L977" i="23"/>
  <c r="B977" i="23"/>
  <c r="E977" i="23"/>
  <c r="H977" i="23"/>
  <c r="D14" i="15"/>
  <c r="D51" i="15"/>
  <c r="B597" i="23"/>
  <c r="J597" i="23"/>
  <c r="A597" i="23"/>
  <c r="I597" i="23"/>
  <c r="G597" i="23"/>
  <c r="K597" i="23"/>
  <c r="H597" i="23"/>
  <c r="M597" i="23"/>
  <c r="E597" i="23"/>
  <c r="F597" i="23"/>
  <c r="L597" i="23"/>
  <c r="B346" i="23"/>
  <c r="G346" i="23"/>
  <c r="I346" i="23"/>
  <c r="M346" i="23"/>
  <c r="E346" i="23"/>
  <c r="F346" i="23"/>
  <c r="L346" i="23"/>
  <c r="H346" i="23"/>
  <c r="A346" i="23"/>
  <c r="K346" i="23"/>
  <c r="J346" i="23"/>
  <c r="J420" i="23"/>
  <c r="K420" i="23"/>
  <c r="L420" i="23"/>
  <c r="B420" i="23"/>
  <c r="I420" i="23"/>
  <c r="G420" i="23"/>
  <c r="H420" i="23"/>
  <c r="F420" i="23"/>
  <c r="A420" i="23"/>
  <c r="M420" i="23"/>
  <c r="E420" i="23"/>
  <c r="M652" i="23"/>
  <c r="K652" i="23"/>
  <c r="F652" i="23"/>
  <c r="B652" i="23"/>
  <c r="I652" i="23"/>
  <c r="H652" i="23"/>
  <c r="A652" i="23"/>
  <c r="J652" i="23"/>
  <c r="E652" i="23"/>
  <c r="L652" i="23"/>
  <c r="G652" i="23"/>
  <c r="A55" i="23"/>
  <c r="E55" i="23"/>
  <c r="C54" i="15"/>
  <c r="E54" i="15" s="1"/>
  <c r="M55" i="23"/>
  <c r="B55" i="23"/>
  <c r="B54" i="15" s="1"/>
  <c r="D172" i="15"/>
  <c r="C137" i="15"/>
  <c r="A138" i="23"/>
  <c r="I138" i="23"/>
  <c r="F138" i="23" s="1"/>
  <c r="G138" i="23" s="1"/>
  <c r="M138" i="23"/>
  <c r="B138" i="23"/>
  <c r="B137" i="15" s="1"/>
  <c r="L138" i="23"/>
  <c r="G137" i="15" s="1"/>
  <c r="J138" i="23"/>
  <c r="K138" i="23"/>
  <c r="H137" i="15" s="1"/>
  <c r="H138" i="23"/>
  <c r="E138" i="23"/>
  <c r="L945" i="23"/>
  <c r="H945" i="23"/>
  <c r="J945" i="23"/>
  <c r="A945" i="23"/>
  <c r="E945" i="23"/>
  <c r="M945" i="23"/>
  <c r="F945" i="23"/>
  <c r="G945" i="23"/>
  <c r="B945" i="23"/>
  <c r="K945" i="23"/>
  <c r="I945" i="23"/>
  <c r="J414" i="23"/>
  <c r="M414" i="23"/>
  <c r="F414" i="23"/>
  <c r="E414" i="23"/>
  <c r="B414" i="23"/>
  <c r="H414" i="23"/>
  <c r="L414" i="23"/>
  <c r="K414" i="23"/>
  <c r="A414" i="23"/>
  <c r="I414" i="23"/>
  <c r="G414" i="23"/>
  <c r="F435" i="23"/>
  <c r="M435" i="23"/>
  <c r="I435" i="23"/>
  <c r="G435" i="23"/>
  <c r="H435" i="23"/>
  <c r="K435" i="23"/>
  <c r="B435" i="23"/>
  <c r="A435" i="23"/>
  <c r="E435" i="23"/>
  <c r="J435" i="23"/>
  <c r="L435" i="23"/>
  <c r="K477" i="23"/>
  <c r="I477" i="23"/>
  <c r="M477" i="23"/>
  <c r="L477" i="23"/>
  <c r="F477" i="23"/>
  <c r="G477" i="23"/>
  <c r="B477" i="23"/>
  <c r="A477" i="23"/>
  <c r="E477" i="23"/>
  <c r="J477" i="23"/>
  <c r="H477" i="23"/>
  <c r="C209" i="15"/>
  <c r="A210" i="23"/>
  <c r="M210" i="23"/>
  <c r="H210" i="23"/>
  <c r="E210" i="23"/>
  <c r="I210" i="23"/>
  <c r="J210" i="23"/>
  <c r="K210" i="23"/>
  <c r="H209" i="15" s="1"/>
  <c r="B210" i="23"/>
  <c r="B209" i="15" s="1"/>
  <c r="G210" i="23"/>
  <c r="L210" i="23"/>
  <c r="G209" i="15" s="1"/>
  <c r="F210" i="23"/>
  <c r="D57" i="15"/>
  <c r="H778" i="23"/>
  <c r="M778" i="23"/>
  <c r="B778" i="23"/>
  <c r="L778" i="23"/>
  <c r="J778" i="23"/>
  <c r="E778" i="23"/>
  <c r="A778" i="23"/>
  <c r="K778" i="23"/>
  <c r="F778" i="23"/>
  <c r="G778" i="23"/>
  <c r="I778" i="23"/>
  <c r="D62" i="15"/>
  <c r="O35" i="20"/>
  <c r="N51" i="20"/>
  <c r="O51" i="20"/>
  <c r="D105" i="15"/>
  <c r="B38" i="21"/>
  <c r="E752" i="23"/>
  <c r="L752" i="23"/>
  <c r="M752" i="23"/>
  <c r="H752" i="23"/>
  <c r="K752" i="23"/>
  <c r="B752" i="23"/>
  <c r="A752" i="23"/>
  <c r="J752" i="23"/>
  <c r="G752" i="23"/>
  <c r="F752" i="23"/>
  <c r="I752" i="23"/>
  <c r="H498" i="23"/>
  <c r="J498" i="23"/>
  <c r="B498" i="23"/>
  <c r="M498" i="23"/>
  <c r="L498" i="23"/>
  <c r="E498" i="23"/>
  <c r="I498" i="23"/>
  <c r="A498" i="23"/>
  <c r="G498" i="23"/>
  <c r="F498" i="23"/>
  <c r="K498" i="23"/>
  <c r="G564" i="23"/>
  <c r="M564" i="23"/>
  <c r="F564" i="23"/>
  <c r="B564" i="23"/>
  <c r="J564" i="23"/>
  <c r="A564" i="23"/>
  <c r="L564" i="23"/>
  <c r="K564" i="23"/>
  <c r="E564" i="23"/>
  <c r="H564" i="23"/>
  <c r="I564" i="23"/>
  <c r="L810" i="23"/>
  <c r="G810" i="23"/>
  <c r="A810" i="23"/>
  <c r="J810" i="23"/>
  <c r="E810" i="23"/>
  <c r="M810" i="23"/>
  <c r="H810" i="23"/>
  <c r="F810" i="23"/>
  <c r="B810" i="23"/>
  <c r="I810" i="23"/>
  <c r="K810" i="23"/>
  <c r="B54" i="23"/>
  <c r="B53" i="15" s="1"/>
  <c r="E54" i="23"/>
  <c r="C53" i="15"/>
  <c r="M54" i="23"/>
  <c r="A54" i="23"/>
  <c r="A199" i="23"/>
  <c r="C198" i="15"/>
  <c r="G199" i="23"/>
  <c r="L199" i="23"/>
  <c r="G198" i="15" s="1"/>
  <c r="M199" i="23"/>
  <c r="E199" i="23"/>
  <c r="I199" i="23"/>
  <c r="H199" i="23"/>
  <c r="B199" i="23"/>
  <c r="B198" i="15" s="1"/>
  <c r="J199" i="23"/>
  <c r="K199" i="23"/>
  <c r="H198" i="15" s="1"/>
  <c r="F199" i="23"/>
  <c r="E41" i="23"/>
  <c r="A41" i="23"/>
  <c r="M41" i="23"/>
  <c r="C40" i="15"/>
  <c r="B41" i="23"/>
  <c r="B40" i="15" s="1"/>
  <c r="B598" i="23"/>
  <c r="F598" i="23"/>
  <c r="I598" i="23"/>
  <c r="L598" i="23"/>
  <c r="E598" i="23"/>
  <c r="G598" i="23"/>
  <c r="K598" i="23"/>
  <c r="M598" i="23"/>
  <c r="A598" i="23"/>
  <c r="H598" i="23"/>
  <c r="J598" i="23"/>
  <c r="F287" i="23"/>
  <c r="I287" i="23"/>
  <c r="G287" i="23"/>
  <c r="K287" i="23"/>
  <c r="E287" i="23"/>
  <c r="M287" i="23"/>
  <c r="B287" i="23"/>
  <c r="J287" i="23"/>
  <c r="L287" i="23"/>
  <c r="A287" i="23"/>
  <c r="H287" i="23"/>
  <c r="B16" i="21"/>
  <c r="O29" i="20"/>
  <c r="H750" i="23"/>
  <c r="A750" i="23"/>
  <c r="I750" i="23"/>
  <c r="G750" i="23"/>
  <c r="K750" i="23"/>
  <c r="F750" i="23"/>
  <c r="M750" i="23"/>
  <c r="L750" i="23"/>
  <c r="J750" i="23"/>
  <c r="B750" i="23"/>
  <c r="E750" i="23"/>
  <c r="J674" i="23"/>
  <c r="E674" i="23"/>
  <c r="F674" i="23"/>
  <c r="I674" i="23"/>
  <c r="M674" i="23"/>
  <c r="L674" i="23"/>
  <c r="G674" i="23"/>
  <c r="H674" i="23"/>
  <c r="B674" i="23"/>
  <c r="A674" i="23"/>
  <c r="K674" i="23"/>
  <c r="D218" i="15"/>
  <c r="C138" i="15"/>
  <c r="G139" i="23"/>
  <c r="L139" i="23"/>
  <c r="G138" i="15" s="1"/>
  <c r="A139" i="23"/>
  <c r="M139" i="23"/>
  <c r="B139" i="23"/>
  <c r="B138" i="15" s="1"/>
  <c r="J139" i="23"/>
  <c r="K139" i="23"/>
  <c r="H138" i="15" s="1"/>
  <c r="E139" i="23"/>
  <c r="H139" i="23"/>
  <c r="I139" i="23"/>
  <c r="F139" i="23" s="1"/>
  <c r="M655" i="23"/>
  <c r="F655" i="23"/>
  <c r="E655" i="23"/>
  <c r="I655" i="23"/>
  <c r="B655" i="23"/>
  <c r="H655" i="23"/>
  <c r="J655" i="23"/>
  <c r="K655" i="23"/>
  <c r="L655" i="23"/>
  <c r="A655" i="23"/>
  <c r="G655" i="23"/>
  <c r="O11" i="20"/>
  <c r="G13" i="20" s="1"/>
  <c r="L222" i="23"/>
  <c r="K222" i="23"/>
  <c r="I222" i="23"/>
  <c r="A222" i="23"/>
  <c r="H222" i="23"/>
  <c r="F222" i="23"/>
  <c r="G222" i="23"/>
  <c r="E222" i="23"/>
  <c r="B222" i="23"/>
  <c r="J222" i="23"/>
  <c r="M222" i="23"/>
  <c r="B60" i="21"/>
  <c r="L846" i="23"/>
  <c r="A846" i="23"/>
  <c r="E846" i="23"/>
  <c r="K846" i="23"/>
  <c r="F846" i="23"/>
  <c r="M846" i="23"/>
  <c r="H846" i="23"/>
  <c r="B846" i="23"/>
  <c r="J846" i="23"/>
  <c r="G846" i="23"/>
  <c r="I846" i="23"/>
  <c r="H125" i="23"/>
  <c r="B125" i="23"/>
  <c r="B124" i="15" s="1"/>
  <c r="M125" i="23"/>
  <c r="G125" i="23"/>
  <c r="E125" i="23"/>
  <c r="J125" i="23"/>
  <c r="C124" i="15"/>
  <c r="A125" i="23"/>
  <c r="I125" i="23"/>
  <c r="F125" i="23" s="1"/>
  <c r="L125" i="23"/>
  <c r="G124" i="15" s="1"/>
  <c r="K125" i="23"/>
  <c r="H124" i="15" s="1"/>
  <c r="D170" i="15"/>
  <c r="B904" i="23"/>
  <c r="G904" i="23"/>
  <c r="J904" i="23"/>
  <c r="H904" i="23"/>
  <c r="L904" i="23"/>
  <c r="K904" i="23"/>
  <c r="E904" i="23"/>
  <c r="A904" i="23"/>
  <c r="F904" i="23"/>
  <c r="I904" i="23"/>
  <c r="M904" i="23"/>
  <c r="F250" i="23"/>
  <c r="E250" i="23"/>
  <c r="J250" i="23"/>
  <c r="G250" i="23"/>
  <c r="L250" i="23"/>
  <c r="H250" i="23"/>
  <c r="A250" i="23"/>
  <c r="M250" i="23"/>
  <c r="K250" i="23"/>
  <c r="I250" i="23"/>
  <c r="B250" i="23"/>
  <c r="L812" i="23"/>
  <c r="G812" i="23"/>
  <c r="E812" i="23"/>
  <c r="H812" i="23"/>
  <c r="K812" i="23"/>
  <c r="A812" i="23"/>
  <c r="F812" i="23"/>
  <c r="I812" i="23"/>
  <c r="J812" i="23"/>
  <c r="M812" i="23"/>
  <c r="B812" i="23"/>
  <c r="H699" i="23"/>
  <c r="A699" i="23"/>
  <c r="F699" i="23"/>
  <c r="G699" i="23"/>
  <c r="J699" i="23"/>
  <c r="L699" i="23"/>
  <c r="E699" i="23"/>
  <c r="M699" i="23"/>
  <c r="B699" i="23"/>
  <c r="I699" i="23"/>
  <c r="K699" i="23"/>
  <c r="E135" i="23"/>
  <c r="L135" i="23"/>
  <c r="G134" i="15" s="1"/>
  <c r="K135" i="23"/>
  <c r="H134" i="15" s="1"/>
  <c r="H135" i="23"/>
  <c r="I135" i="23"/>
  <c r="G135" i="23"/>
  <c r="J135" i="23"/>
  <c r="A135" i="23"/>
  <c r="F135" i="23"/>
  <c r="M135" i="23"/>
  <c r="I134" i="15" s="1"/>
  <c r="C134" i="15"/>
  <c r="B135" i="23"/>
  <c r="B134" i="15" s="1"/>
  <c r="D97" i="15"/>
  <c r="K332" i="23"/>
  <c r="B332" i="23"/>
  <c r="H332" i="23"/>
  <c r="L332" i="23"/>
  <c r="M332" i="23"/>
  <c r="E332" i="23"/>
  <c r="J332" i="23"/>
  <c r="A332" i="23"/>
  <c r="F332" i="23"/>
  <c r="G332" i="23"/>
  <c r="I332" i="23"/>
  <c r="F241" i="23"/>
  <c r="M241" i="23"/>
  <c r="K241" i="23"/>
  <c r="J241" i="23"/>
  <c r="A241" i="23"/>
  <c r="G241" i="23"/>
  <c r="E241" i="23"/>
  <c r="I241" i="23"/>
  <c r="B241" i="23"/>
  <c r="H241" i="23"/>
  <c r="L241" i="23"/>
  <c r="B336" i="23"/>
  <c r="E336" i="23"/>
  <c r="K336" i="23"/>
  <c r="A336" i="23"/>
  <c r="L336" i="23"/>
  <c r="M336" i="23"/>
  <c r="I336" i="23"/>
  <c r="H336" i="23"/>
  <c r="F336" i="23"/>
  <c r="G336" i="23"/>
  <c r="J336" i="23"/>
  <c r="A813" i="23"/>
  <c r="B813" i="23"/>
  <c r="M813" i="23"/>
  <c r="K813" i="23"/>
  <c r="G813" i="23"/>
  <c r="F813" i="23"/>
  <c r="L813" i="23"/>
  <c r="E813" i="23"/>
  <c r="J813" i="23"/>
  <c r="I813" i="23"/>
  <c r="H813" i="23"/>
  <c r="Y101" i="21"/>
  <c r="B264" i="23"/>
  <c r="K264" i="23"/>
  <c r="E264" i="23"/>
  <c r="G264" i="23"/>
  <c r="L264" i="23"/>
  <c r="A264" i="23"/>
  <c r="F264" i="23"/>
  <c r="H264" i="23"/>
  <c r="I264" i="23"/>
  <c r="J264" i="23"/>
  <c r="M264" i="23"/>
  <c r="M441" i="23"/>
  <c r="F441" i="23"/>
  <c r="H441" i="23"/>
  <c r="K441" i="23"/>
  <c r="G441" i="23"/>
  <c r="I441" i="23"/>
  <c r="A441" i="23"/>
  <c r="J441" i="23"/>
  <c r="L441" i="23"/>
  <c r="E441" i="23"/>
  <c r="B441" i="23"/>
  <c r="E845" i="23"/>
  <c r="J845" i="23"/>
  <c r="I845" i="23"/>
  <c r="K845" i="23"/>
  <c r="A845" i="23"/>
  <c r="H845" i="23"/>
  <c r="M845" i="23"/>
  <c r="B845" i="23"/>
  <c r="F845" i="23"/>
  <c r="L845" i="23"/>
  <c r="G845" i="23"/>
  <c r="D109" i="15"/>
  <c r="O95" i="20"/>
  <c r="N95" i="20"/>
  <c r="E708" i="23"/>
  <c r="J708" i="23"/>
  <c r="A708" i="23"/>
  <c r="F708" i="23"/>
  <c r="I708" i="23"/>
  <c r="M708" i="23"/>
  <c r="G708" i="23"/>
  <c r="K708" i="23"/>
  <c r="L708" i="23"/>
  <c r="H708" i="23"/>
  <c r="B708" i="23"/>
  <c r="A239" i="23"/>
  <c r="I239" i="23"/>
  <c r="K239" i="23"/>
  <c r="L239" i="23"/>
  <c r="B239" i="23"/>
  <c r="G239" i="23"/>
  <c r="J239" i="23"/>
  <c r="F239" i="23"/>
  <c r="M239" i="23"/>
  <c r="E239" i="23"/>
  <c r="H239" i="23"/>
  <c r="B921" i="23"/>
  <c r="A921" i="23"/>
  <c r="M921" i="23"/>
  <c r="J921" i="23"/>
  <c r="I921" i="23"/>
  <c r="L921" i="23"/>
  <c r="F921" i="23"/>
  <c r="G921" i="23"/>
  <c r="H921" i="23"/>
  <c r="E921" i="23"/>
  <c r="K921" i="23"/>
  <c r="D177" i="15"/>
  <c r="F422" i="23"/>
  <c r="A422" i="23"/>
  <c r="H422" i="23"/>
  <c r="E422" i="23"/>
  <c r="B422" i="23"/>
  <c r="G422" i="23"/>
  <c r="L422" i="23"/>
  <c r="J422" i="23"/>
  <c r="K422" i="23"/>
  <c r="M422" i="23"/>
  <c r="I422" i="23"/>
  <c r="O71" i="20"/>
  <c r="N71" i="20"/>
  <c r="E765" i="23"/>
  <c r="F765" i="23"/>
  <c r="K765" i="23"/>
  <c r="M765" i="23"/>
  <c r="J765" i="23"/>
  <c r="L765" i="23"/>
  <c r="B765" i="23"/>
  <c r="A765" i="23"/>
  <c r="I765" i="23"/>
  <c r="H765" i="23"/>
  <c r="G765" i="23"/>
  <c r="D204" i="15"/>
  <c r="F606" i="23"/>
  <c r="H606" i="23"/>
  <c r="J606" i="23"/>
  <c r="A606" i="23"/>
  <c r="E606" i="23"/>
  <c r="G606" i="23"/>
  <c r="B606" i="23"/>
  <c r="I606" i="23"/>
  <c r="K606" i="23"/>
  <c r="M606" i="23"/>
  <c r="L606" i="23"/>
  <c r="D74" i="15"/>
  <c r="K351" i="23"/>
  <c r="E351" i="23"/>
  <c r="H351" i="23"/>
  <c r="B351" i="23"/>
  <c r="M351" i="23"/>
  <c r="J351" i="23"/>
  <c r="F351" i="23"/>
  <c r="L351" i="23"/>
  <c r="G351" i="23"/>
  <c r="A351" i="23"/>
  <c r="I351" i="23"/>
  <c r="E132" i="23"/>
  <c r="M132" i="23"/>
  <c r="I131" i="15" s="1"/>
  <c r="A132" i="23"/>
  <c r="I132" i="23"/>
  <c r="F132" i="23" s="1"/>
  <c r="G132" i="23" s="1"/>
  <c r="J132" i="23"/>
  <c r="K132" i="23"/>
  <c r="H131" i="15" s="1"/>
  <c r="L132" i="23"/>
  <c r="G131" i="15" s="1"/>
  <c r="B132" i="23"/>
  <c r="B131" i="15" s="1"/>
  <c r="H132" i="23"/>
  <c r="C131" i="15"/>
  <c r="E131" i="15" s="1"/>
  <c r="L182" i="23"/>
  <c r="G181" i="15" s="1"/>
  <c r="G182" i="23"/>
  <c r="E182" i="23"/>
  <c r="H182" i="23"/>
  <c r="C181" i="15"/>
  <c r="A182" i="23"/>
  <c r="F182" i="23"/>
  <c r="I182" i="23"/>
  <c r="J182" i="23"/>
  <c r="B182" i="23"/>
  <c r="B181" i="15" s="1"/>
  <c r="K182" i="23"/>
  <c r="H181" i="15" s="1"/>
  <c r="M182" i="23"/>
  <c r="J617" i="23"/>
  <c r="K617" i="23"/>
  <c r="G617" i="23"/>
  <c r="L617" i="23"/>
  <c r="H617" i="23"/>
  <c r="M617" i="23"/>
  <c r="F617" i="23"/>
  <c r="A617" i="23"/>
  <c r="B617" i="23"/>
  <c r="I617" i="23"/>
  <c r="E617" i="23"/>
  <c r="M888" i="23"/>
  <c r="K888" i="23"/>
  <c r="E888" i="23"/>
  <c r="A888" i="23"/>
  <c r="H888" i="23"/>
  <c r="F888" i="23"/>
  <c r="B888" i="23"/>
  <c r="L888" i="23"/>
  <c r="I888" i="23"/>
  <c r="G888" i="23"/>
  <c r="J888" i="23"/>
  <c r="L505" i="23"/>
  <c r="K505" i="23"/>
  <c r="I505" i="23"/>
  <c r="M505" i="23"/>
  <c r="F505" i="23"/>
  <c r="A505" i="23"/>
  <c r="H505" i="23"/>
  <c r="J505" i="23"/>
  <c r="B505" i="23"/>
  <c r="G505" i="23"/>
  <c r="E505" i="23"/>
  <c r="D9" i="16"/>
  <c r="D188" i="15"/>
  <c r="D81" i="15"/>
  <c r="H670" i="23"/>
  <c r="J670" i="23"/>
  <c r="A670" i="23"/>
  <c r="B670" i="23"/>
  <c r="F670" i="23"/>
  <c r="G670" i="23"/>
  <c r="K670" i="23"/>
  <c r="M670" i="23"/>
  <c r="E670" i="23"/>
  <c r="L670" i="23"/>
  <c r="I670" i="23"/>
  <c r="J836" i="23"/>
  <c r="B836" i="23"/>
  <c r="H836" i="23"/>
  <c r="M836" i="23"/>
  <c r="A836" i="23"/>
  <c r="G836" i="23"/>
  <c r="I836" i="23"/>
  <c r="K836" i="23"/>
  <c r="F836" i="23"/>
  <c r="L836" i="23"/>
  <c r="E836" i="23"/>
  <c r="D129" i="15"/>
  <c r="E567" i="23"/>
  <c r="J567" i="23"/>
  <c r="B567" i="23"/>
  <c r="F567" i="23"/>
  <c r="H567" i="23"/>
  <c r="A567" i="23"/>
  <c r="M567" i="23"/>
  <c r="G567" i="23"/>
  <c r="I567" i="23"/>
  <c r="L567" i="23"/>
  <c r="K567" i="23"/>
  <c r="L380" i="23"/>
  <c r="F380" i="23"/>
  <c r="M380" i="23"/>
  <c r="J380" i="23"/>
  <c r="E380" i="23"/>
  <c r="I380" i="23"/>
  <c r="A380" i="23"/>
  <c r="H380" i="23"/>
  <c r="G380" i="23"/>
  <c r="B380" i="23"/>
  <c r="K380" i="23"/>
  <c r="M440" i="23"/>
  <c r="G440" i="23"/>
  <c r="H440" i="23"/>
  <c r="K440" i="23"/>
  <c r="B440" i="23"/>
  <c r="I440" i="23"/>
  <c r="L440" i="23"/>
  <c r="J440" i="23"/>
  <c r="E440" i="23"/>
  <c r="A440" i="23"/>
  <c r="F440" i="23"/>
  <c r="I377" i="23"/>
  <c r="L377" i="23"/>
  <c r="E377" i="23"/>
  <c r="G377" i="23"/>
  <c r="K377" i="23"/>
  <c r="M377" i="23"/>
  <c r="F377" i="23"/>
  <c r="H377" i="23"/>
  <c r="B377" i="23"/>
  <c r="J377" i="23"/>
  <c r="A377" i="23"/>
  <c r="B50" i="23"/>
  <c r="B49" i="15" s="1"/>
  <c r="C49" i="15"/>
  <c r="A50" i="23"/>
  <c r="E50" i="23"/>
  <c r="M50" i="23"/>
  <c r="A36" i="23"/>
  <c r="M36" i="23"/>
  <c r="C35" i="15"/>
  <c r="E36" i="23"/>
  <c r="B36" i="23"/>
  <c r="B35" i="15" s="1"/>
  <c r="A591" i="23"/>
  <c r="L591" i="23"/>
  <c r="M591" i="23"/>
  <c r="G591" i="23"/>
  <c r="I591" i="23"/>
  <c r="E591" i="23"/>
  <c r="B591" i="23"/>
  <c r="K591" i="23"/>
  <c r="J591" i="23"/>
  <c r="H591" i="23"/>
  <c r="F591" i="23"/>
  <c r="B80" i="21"/>
  <c r="I900" i="23"/>
  <c r="M900" i="23"/>
  <c r="F900" i="23"/>
  <c r="H900" i="23"/>
  <c r="K900" i="23"/>
  <c r="E900" i="23"/>
  <c r="J900" i="23"/>
  <c r="G900" i="23"/>
  <c r="L900" i="23"/>
  <c r="A900" i="23"/>
  <c r="B900" i="23"/>
  <c r="H371" i="23"/>
  <c r="I371" i="23"/>
  <c r="G371" i="23"/>
  <c r="B371" i="23"/>
  <c r="L371" i="23"/>
  <c r="K371" i="23"/>
  <c r="E371" i="23"/>
  <c r="F371" i="23"/>
  <c r="J371" i="23"/>
  <c r="M371" i="23"/>
  <c r="A371" i="23"/>
  <c r="D136" i="15"/>
  <c r="L909" i="23"/>
  <c r="A909" i="23"/>
  <c r="H909" i="23"/>
  <c r="J909" i="23"/>
  <c r="F909" i="23"/>
  <c r="B909" i="23"/>
  <c r="I909" i="23"/>
  <c r="M909" i="23"/>
  <c r="K909" i="23"/>
  <c r="E909" i="23"/>
  <c r="G909" i="23"/>
  <c r="E117" i="23"/>
  <c r="B117" i="23"/>
  <c r="B116" i="15" s="1"/>
  <c r="M117" i="23"/>
  <c r="C116" i="15"/>
  <c r="L117" i="23"/>
  <c r="G116" i="15" s="1"/>
  <c r="I117" i="23"/>
  <c r="F117" i="23" s="1"/>
  <c r="G117" i="23" s="1"/>
  <c r="A117" i="23"/>
  <c r="J117" i="23"/>
  <c r="H117" i="23"/>
  <c r="K117" i="23"/>
  <c r="H116" i="15" s="1"/>
  <c r="K582" i="23"/>
  <c r="B582" i="23"/>
  <c r="L582" i="23"/>
  <c r="E582" i="23"/>
  <c r="H582" i="23"/>
  <c r="J582" i="23"/>
  <c r="G582" i="23"/>
  <c r="M582" i="23"/>
  <c r="F582" i="23"/>
  <c r="A582" i="23"/>
  <c r="I582" i="23"/>
  <c r="H869" i="23"/>
  <c r="I869" i="23"/>
  <c r="G869" i="23"/>
  <c r="E869" i="23"/>
  <c r="J869" i="23"/>
  <c r="L869" i="23"/>
  <c r="A869" i="23"/>
  <c r="K869" i="23"/>
  <c r="M869" i="23"/>
  <c r="B869" i="23"/>
  <c r="F869" i="23"/>
  <c r="I822" i="23"/>
  <c r="B822" i="23"/>
  <c r="A822" i="23"/>
  <c r="F822" i="23"/>
  <c r="M822" i="23"/>
  <c r="K822" i="23"/>
  <c r="H822" i="23"/>
  <c r="J822" i="23"/>
  <c r="L822" i="23"/>
  <c r="G822" i="23"/>
  <c r="E822" i="23"/>
  <c r="J911" i="23"/>
  <c r="F911" i="23"/>
  <c r="I911" i="23"/>
  <c r="B911" i="23"/>
  <c r="H911" i="23"/>
  <c r="E911" i="23"/>
  <c r="A911" i="23"/>
  <c r="K911" i="23"/>
  <c r="G911" i="23"/>
  <c r="L911" i="23"/>
  <c r="M911" i="23"/>
  <c r="I745" i="23"/>
  <c r="G745" i="23"/>
  <c r="A745" i="23"/>
  <c r="E745" i="23"/>
  <c r="L745" i="23"/>
  <c r="J745" i="23"/>
  <c r="K745" i="23"/>
  <c r="B745" i="23"/>
  <c r="F745" i="23"/>
  <c r="H745" i="23"/>
  <c r="M745" i="23"/>
  <c r="O59" i="20"/>
  <c r="N59" i="20"/>
  <c r="O6" i="20"/>
  <c r="G6" i="20" s="1"/>
  <c r="G88" i="20"/>
  <c r="G103" i="20"/>
  <c r="G17" i="20"/>
  <c r="G100" i="20"/>
  <c r="G102" i="20"/>
  <c r="G8" i="20"/>
  <c r="G11" i="20"/>
  <c r="G101" i="20"/>
  <c r="G87" i="20"/>
  <c r="G99" i="20"/>
  <c r="G75" i="20"/>
  <c r="G12" i="20"/>
  <c r="G104" i="20"/>
  <c r="G9" i="20"/>
  <c r="G887" i="23"/>
  <c r="E887" i="23"/>
  <c r="A887" i="23"/>
  <c r="B887" i="23"/>
  <c r="K887" i="23"/>
  <c r="F887" i="23"/>
  <c r="H887" i="23"/>
  <c r="I887" i="23"/>
  <c r="J887" i="23"/>
  <c r="L887" i="23"/>
  <c r="M887" i="23"/>
  <c r="C110" i="15"/>
  <c r="K111" i="23"/>
  <c r="H110" i="15" s="1"/>
  <c r="H111" i="23"/>
  <c r="L111" i="23"/>
  <c r="G110" i="15" s="1"/>
  <c r="A111" i="23"/>
  <c r="J111" i="23"/>
  <c r="M111" i="23"/>
  <c r="E111" i="23"/>
  <c r="I111" i="23"/>
  <c r="F111" i="23" s="1"/>
  <c r="G111" i="23" s="1"/>
  <c r="B111" i="23"/>
  <c r="B110" i="15" s="1"/>
  <c r="I361" i="23"/>
  <c r="H361" i="23"/>
  <c r="E361" i="23"/>
  <c r="A361" i="23"/>
  <c r="G361" i="23"/>
  <c r="K361" i="23"/>
  <c r="L361" i="23"/>
  <c r="B361" i="23"/>
  <c r="J361" i="23"/>
  <c r="M361" i="23"/>
  <c r="F361" i="23"/>
  <c r="D100" i="15"/>
  <c r="I545" i="23"/>
  <c r="L545" i="23"/>
  <c r="M545" i="23"/>
  <c r="B545" i="23"/>
  <c r="K545" i="23"/>
  <c r="J545" i="23"/>
  <c r="A545" i="23"/>
  <c r="E545" i="23"/>
  <c r="F545" i="23"/>
  <c r="G545" i="23"/>
  <c r="H545" i="23"/>
  <c r="D113" i="15"/>
  <c r="B57" i="23"/>
  <c r="B56" i="15" s="1"/>
  <c r="C56" i="15"/>
  <c r="M57" i="23"/>
  <c r="A57" i="23"/>
  <c r="E57" i="23"/>
  <c r="J316" i="23"/>
  <c r="M316" i="23"/>
  <c r="H316" i="23"/>
  <c r="A316" i="23"/>
  <c r="B316" i="23"/>
  <c r="I316" i="23"/>
  <c r="K316" i="23"/>
  <c r="F316" i="23"/>
  <c r="G316" i="23"/>
  <c r="E316" i="23"/>
  <c r="L316" i="23"/>
  <c r="B43" i="21"/>
  <c r="D34" i="15"/>
  <c r="A624" i="23"/>
  <c r="K624" i="23"/>
  <c r="F624" i="23"/>
  <c r="I624" i="23"/>
  <c r="B624" i="23"/>
  <c r="E624" i="23"/>
  <c r="L624" i="23"/>
  <c r="H624" i="23"/>
  <c r="G624" i="23"/>
  <c r="J624" i="23"/>
  <c r="M624" i="23"/>
  <c r="B82" i="21"/>
  <c r="E10" i="23"/>
  <c r="M10" i="23"/>
  <c r="C9" i="15"/>
  <c r="B10" i="23"/>
  <c r="B9" i="15" s="1"/>
  <c r="A10" i="23"/>
  <c r="F825" i="23"/>
  <c r="I825" i="23"/>
  <c r="L825" i="23"/>
  <c r="A825" i="23"/>
  <c r="E825" i="23"/>
  <c r="G825" i="23"/>
  <c r="J825" i="23"/>
  <c r="H825" i="23"/>
  <c r="M825" i="23"/>
  <c r="K825" i="23"/>
  <c r="B825" i="23"/>
  <c r="F331" i="23"/>
  <c r="L331" i="23"/>
  <c r="G331" i="23"/>
  <c r="H331" i="23"/>
  <c r="A331" i="23"/>
  <c r="I331" i="23"/>
  <c r="M331" i="23"/>
  <c r="E331" i="23"/>
  <c r="J331" i="23"/>
  <c r="K331" i="23"/>
  <c r="B331" i="23"/>
  <c r="E161" i="23"/>
  <c r="J161" i="23"/>
  <c r="A161" i="23"/>
  <c r="C160" i="15"/>
  <c r="I161" i="23"/>
  <c r="F161" i="23" s="1"/>
  <c r="G161" i="23" s="1"/>
  <c r="L161" i="23"/>
  <c r="G160" i="15" s="1"/>
  <c r="M161" i="23"/>
  <c r="K161" i="23"/>
  <c r="H160" i="15" s="1"/>
  <c r="B161" i="23"/>
  <c r="B160" i="15" s="1"/>
  <c r="H161" i="23"/>
  <c r="F936" i="23"/>
  <c r="M936" i="23"/>
  <c r="I936" i="23"/>
  <c r="K936" i="23"/>
  <c r="L936" i="23"/>
  <c r="A936" i="23"/>
  <c r="E936" i="23"/>
  <c r="H936" i="23"/>
  <c r="G936" i="23"/>
  <c r="J936" i="23"/>
  <c r="B936" i="23"/>
  <c r="I436" i="23"/>
  <c r="L436" i="23"/>
  <c r="K436" i="23"/>
  <c r="A436" i="23"/>
  <c r="E436" i="23"/>
  <c r="F436" i="23"/>
  <c r="J436" i="23"/>
  <c r="M436" i="23"/>
  <c r="H436" i="23"/>
  <c r="G436" i="23"/>
  <c r="B436" i="23"/>
  <c r="D181" i="15"/>
  <c r="A103" i="23"/>
  <c r="I103" i="23"/>
  <c r="F103" i="23" s="1"/>
  <c r="G103" i="23" s="1"/>
  <c r="L103" i="23"/>
  <c r="G102" i="15" s="1"/>
  <c r="E103" i="23"/>
  <c r="J103" i="23"/>
  <c r="B103" i="23"/>
  <c r="B102" i="15" s="1"/>
  <c r="M103" i="23"/>
  <c r="K103" i="23"/>
  <c r="H102" i="15" s="1"/>
  <c r="C102" i="15"/>
  <c r="H103" i="23"/>
  <c r="M554" i="23"/>
  <c r="H554" i="23"/>
  <c r="J554" i="23"/>
  <c r="A554" i="23"/>
  <c r="G554" i="23"/>
  <c r="L554" i="23"/>
  <c r="F554" i="23"/>
  <c r="B554" i="23"/>
  <c r="K554" i="23"/>
  <c r="I554" i="23"/>
  <c r="E554" i="23"/>
  <c r="H892" i="23"/>
  <c r="L892" i="23"/>
  <c r="G892" i="23"/>
  <c r="A892" i="23"/>
  <c r="M892" i="23"/>
  <c r="I892" i="23"/>
  <c r="J892" i="23"/>
  <c r="B892" i="23"/>
  <c r="F892" i="23"/>
  <c r="K892" i="23"/>
  <c r="E892" i="23"/>
  <c r="D146" i="15"/>
  <c r="D155" i="15"/>
  <c r="N45" i="20"/>
  <c r="O45" i="20"/>
  <c r="L844" i="23"/>
  <c r="K844" i="23"/>
  <c r="E844" i="23"/>
  <c r="B844" i="23"/>
  <c r="G844" i="23"/>
  <c r="J844" i="23"/>
  <c r="A844" i="23"/>
  <c r="F844" i="23"/>
  <c r="H844" i="23"/>
  <c r="I844" i="23"/>
  <c r="M844" i="23"/>
  <c r="Y68" i="21"/>
  <c r="D52" i="15"/>
  <c r="B20" i="21"/>
  <c r="K349" i="23"/>
  <c r="F349" i="23"/>
  <c r="J349" i="23"/>
  <c r="H349" i="23"/>
  <c r="E349" i="23"/>
  <c r="M349" i="23"/>
  <c r="L349" i="23"/>
  <c r="A349" i="23"/>
  <c r="I349" i="23"/>
  <c r="B349" i="23"/>
  <c r="G349" i="23"/>
  <c r="H484" i="23"/>
  <c r="A484" i="23"/>
  <c r="M484" i="23"/>
  <c r="G484" i="23"/>
  <c r="L484" i="23"/>
  <c r="I484" i="23"/>
  <c r="B484" i="23"/>
  <c r="J484" i="23"/>
  <c r="E484" i="23"/>
  <c r="F484" i="23"/>
  <c r="K484" i="23"/>
  <c r="E53" i="23"/>
  <c r="C52" i="15"/>
  <c r="M53" i="23"/>
  <c r="B53" i="23"/>
  <c r="B52" i="15" s="1"/>
  <c r="A53" i="23"/>
  <c r="F658" i="23"/>
  <c r="M658" i="23"/>
  <c r="E658" i="23"/>
  <c r="K658" i="23"/>
  <c r="I658" i="23"/>
  <c r="B658" i="23"/>
  <c r="H658" i="23"/>
  <c r="A658" i="23"/>
  <c r="L658" i="23"/>
  <c r="G658" i="23"/>
  <c r="J658" i="23"/>
  <c r="F526" i="23"/>
  <c r="B526" i="23"/>
  <c r="J526" i="23"/>
  <c r="M526" i="23"/>
  <c r="A526" i="23"/>
  <c r="I526" i="23"/>
  <c r="K526" i="23"/>
  <c r="L526" i="23"/>
  <c r="H526" i="23"/>
  <c r="G526" i="23"/>
  <c r="E526" i="23"/>
  <c r="G731" i="23"/>
  <c r="H731" i="23"/>
  <c r="A731" i="23"/>
  <c r="F731" i="23"/>
  <c r="B731" i="23"/>
  <c r="J731" i="23"/>
  <c r="K731" i="23"/>
  <c r="M731" i="23"/>
  <c r="E731" i="23"/>
  <c r="L731" i="23"/>
  <c r="I731" i="23"/>
  <c r="L725" i="23"/>
  <c r="A725" i="23"/>
  <c r="J725" i="23"/>
  <c r="E725" i="23"/>
  <c r="M725" i="23"/>
  <c r="I725" i="23"/>
  <c r="B725" i="23"/>
  <c r="G725" i="23"/>
  <c r="F725" i="23"/>
  <c r="H725" i="23"/>
  <c r="K725" i="23"/>
  <c r="H867" i="23"/>
  <c r="E867" i="23"/>
  <c r="A867" i="23"/>
  <c r="I867" i="23"/>
  <c r="B867" i="23"/>
  <c r="K867" i="23"/>
  <c r="M867" i="23"/>
  <c r="J867" i="23"/>
  <c r="G867" i="23"/>
  <c r="L867" i="23"/>
  <c r="F867" i="23"/>
  <c r="A927" i="23"/>
  <c r="F927" i="23"/>
  <c r="M927" i="23"/>
  <c r="I927" i="23"/>
  <c r="J927" i="23"/>
  <c r="L927" i="23"/>
  <c r="G927" i="23"/>
  <c r="H927" i="23"/>
  <c r="B927" i="23"/>
  <c r="E927" i="23"/>
  <c r="K927" i="23"/>
  <c r="B34" i="21"/>
  <c r="D86" i="15"/>
  <c r="F467" i="23"/>
  <c r="H467" i="23"/>
  <c r="K467" i="23"/>
  <c r="G467" i="23"/>
  <c r="L467" i="23"/>
  <c r="J467" i="23"/>
  <c r="M467" i="23"/>
  <c r="E467" i="23"/>
  <c r="I467" i="23"/>
  <c r="B467" i="23"/>
  <c r="A467" i="23"/>
  <c r="B46" i="21"/>
  <c r="J203" i="23"/>
  <c r="A203" i="23"/>
  <c r="F203" i="23"/>
  <c r="L203" i="23"/>
  <c r="G202" i="15" s="1"/>
  <c r="H203" i="23"/>
  <c r="K203" i="23"/>
  <c r="H202" i="15" s="1"/>
  <c r="E203" i="23"/>
  <c r="M203" i="23"/>
  <c r="B203" i="23"/>
  <c r="B202" i="15" s="1"/>
  <c r="G203" i="23"/>
  <c r="I203" i="23"/>
  <c r="C202" i="15"/>
  <c r="D166" i="15"/>
  <c r="G407" i="23"/>
  <c r="I407" i="23"/>
  <c r="K407" i="23"/>
  <c r="B407" i="23"/>
  <c r="E407" i="23"/>
  <c r="M407" i="23"/>
  <c r="H407" i="23"/>
  <c r="J407" i="23"/>
  <c r="F407" i="23"/>
  <c r="L407" i="23"/>
  <c r="A407" i="23"/>
  <c r="B62" i="21"/>
  <c r="D210" i="15"/>
  <c r="K387" i="23"/>
  <c r="I387" i="23"/>
  <c r="M387" i="23"/>
  <c r="L387" i="23"/>
  <c r="E387" i="23"/>
  <c r="A387" i="23"/>
  <c r="B387" i="23"/>
  <c r="F387" i="23"/>
  <c r="G387" i="23"/>
  <c r="H387" i="23"/>
  <c r="J387" i="23"/>
  <c r="E841" i="23"/>
  <c r="A841" i="23"/>
  <c r="G841" i="23"/>
  <c r="I841" i="23"/>
  <c r="F841" i="23"/>
  <c r="M841" i="23"/>
  <c r="H841" i="23"/>
  <c r="L841" i="23"/>
  <c r="K841" i="23"/>
  <c r="J841" i="23"/>
  <c r="B841" i="23"/>
  <c r="B15" i="21"/>
  <c r="G974" i="23"/>
  <c r="B974" i="23"/>
  <c r="E974" i="23"/>
  <c r="K974" i="23"/>
  <c r="I974" i="23"/>
  <c r="M974" i="23"/>
  <c r="J974" i="23"/>
  <c r="L974" i="23"/>
  <c r="F974" i="23"/>
  <c r="A974" i="23"/>
  <c r="H974" i="23"/>
  <c r="E881" i="23"/>
  <c r="B881" i="23"/>
  <c r="M881" i="23"/>
  <c r="J881" i="23"/>
  <c r="I881" i="23"/>
  <c r="G881" i="23"/>
  <c r="F881" i="23"/>
  <c r="L881" i="23"/>
  <c r="H881" i="23"/>
  <c r="A881" i="23"/>
  <c r="K881" i="23"/>
  <c r="A507" i="23"/>
  <c r="L507" i="23"/>
  <c r="E507" i="23"/>
  <c r="H507" i="23"/>
  <c r="F507" i="23"/>
  <c r="I507" i="23"/>
  <c r="B507" i="23"/>
  <c r="G507" i="23"/>
  <c r="M507" i="23"/>
  <c r="J507" i="23"/>
  <c r="K507" i="23"/>
  <c r="K714" i="23"/>
  <c r="J714" i="23"/>
  <c r="B714" i="23"/>
  <c r="M714" i="23"/>
  <c r="H714" i="23"/>
  <c r="E714" i="23"/>
  <c r="L714" i="23"/>
  <c r="I714" i="23"/>
  <c r="G714" i="23"/>
  <c r="F714" i="23"/>
  <c r="A714" i="23"/>
  <c r="K587" i="23"/>
  <c r="J587" i="23"/>
  <c r="G587" i="23"/>
  <c r="F587" i="23"/>
  <c r="H587" i="23"/>
  <c r="B587" i="23"/>
  <c r="A587" i="23"/>
  <c r="E587" i="23"/>
  <c r="M587" i="23"/>
  <c r="I587" i="23"/>
  <c r="L587" i="23"/>
  <c r="D121" i="15"/>
  <c r="N68" i="20"/>
  <c r="O68" i="20"/>
  <c r="A584" i="23"/>
  <c r="B584" i="23"/>
  <c r="H584" i="23"/>
  <c r="I584" i="23"/>
  <c r="G584" i="23"/>
  <c r="K584" i="23"/>
  <c r="J584" i="23"/>
  <c r="E584" i="23"/>
  <c r="M584" i="23"/>
  <c r="F584" i="23"/>
  <c r="L584" i="23"/>
  <c r="D31" i="15"/>
  <c r="J665" i="23"/>
  <c r="M665" i="23"/>
  <c r="K665" i="23"/>
  <c r="L665" i="23"/>
  <c r="I665" i="23"/>
  <c r="F665" i="23"/>
  <c r="H665" i="23"/>
  <c r="B665" i="23"/>
  <c r="G665" i="23"/>
  <c r="A665" i="23"/>
  <c r="E665" i="23"/>
  <c r="F510" i="23"/>
  <c r="J510" i="23"/>
  <c r="K510" i="23"/>
  <c r="B510" i="23"/>
  <c r="L510" i="23"/>
  <c r="E510" i="23"/>
  <c r="H510" i="23"/>
  <c r="M510" i="23"/>
  <c r="I510" i="23"/>
  <c r="G510" i="23"/>
  <c r="A510" i="23"/>
  <c r="B685" i="23"/>
  <c r="G685" i="23"/>
  <c r="K685" i="23"/>
  <c r="H685" i="23"/>
  <c r="I685" i="23"/>
  <c r="A685" i="23"/>
  <c r="J685" i="23"/>
  <c r="L685" i="23"/>
  <c r="E685" i="23"/>
  <c r="M685" i="23"/>
  <c r="F685" i="23"/>
  <c r="E516" i="23"/>
  <c r="G516" i="23"/>
  <c r="H516" i="23"/>
  <c r="F516" i="23"/>
  <c r="A516" i="23"/>
  <c r="L516" i="23"/>
  <c r="M516" i="23"/>
  <c r="K516" i="23"/>
  <c r="B516" i="23"/>
  <c r="J516" i="23"/>
  <c r="I516" i="23"/>
  <c r="D148" i="15"/>
  <c r="M19" i="23"/>
  <c r="A19" i="23"/>
  <c r="B19" i="23"/>
  <c r="B18" i="15" s="1"/>
  <c r="E19" i="23"/>
  <c r="C18" i="15"/>
  <c r="J552" i="23"/>
  <c r="K552" i="23"/>
  <c r="B552" i="23"/>
  <c r="L552" i="23"/>
  <c r="F552" i="23"/>
  <c r="M552" i="23"/>
  <c r="G552" i="23"/>
  <c r="I552" i="23"/>
  <c r="E552" i="23"/>
  <c r="A552" i="23"/>
  <c r="H552" i="23"/>
  <c r="D79" i="15"/>
  <c r="D157" i="15"/>
  <c r="J684" i="23"/>
  <c r="I684" i="23"/>
  <c r="B684" i="23"/>
  <c r="A684" i="23"/>
  <c r="H684" i="23"/>
  <c r="F684" i="23"/>
  <c r="G684" i="23"/>
  <c r="E684" i="23"/>
  <c r="L684" i="23"/>
  <c r="M684" i="23"/>
  <c r="K684" i="23"/>
  <c r="K563" i="23"/>
  <c r="J563" i="23"/>
  <c r="H563" i="23"/>
  <c r="F563" i="23"/>
  <c r="B563" i="23"/>
  <c r="G563" i="23"/>
  <c r="M563" i="23"/>
  <c r="E563" i="23"/>
  <c r="A563" i="23"/>
  <c r="L563" i="23"/>
  <c r="I563" i="23"/>
  <c r="N77" i="20"/>
  <c r="O77" i="20"/>
  <c r="D19" i="16"/>
  <c r="K19" i="16"/>
  <c r="J19" i="16"/>
  <c r="C71" i="15"/>
  <c r="M72" i="23"/>
  <c r="B72" i="23"/>
  <c r="B71" i="15" s="1"/>
  <c r="E72" i="23"/>
  <c r="A72" i="23"/>
  <c r="A995" i="23"/>
  <c r="J995" i="23"/>
  <c r="L995" i="23"/>
  <c r="G995" i="23"/>
  <c r="B995" i="23"/>
  <c r="I995" i="23"/>
  <c r="E995" i="23"/>
  <c r="H995" i="23"/>
  <c r="M995" i="23"/>
  <c r="F995" i="23"/>
  <c r="K995" i="23"/>
  <c r="H431" i="23"/>
  <c r="I431" i="23"/>
  <c r="K431" i="23"/>
  <c r="J431" i="23"/>
  <c r="F431" i="23"/>
  <c r="G431" i="23"/>
  <c r="E431" i="23"/>
  <c r="A431" i="23"/>
  <c r="M431" i="23"/>
  <c r="B431" i="23"/>
  <c r="L431" i="23"/>
  <c r="I197" i="23"/>
  <c r="E197" i="23"/>
  <c r="J197" i="23"/>
  <c r="K197" i="23"/>
  <c r="H196" i="15" s="1"/>
  <c r="M197" i="23"/>
  <c r="C196" i="15"/>
  <c r="G197" i="23"/>
  <c r="B197" i="23"/>
  <c r="B196" i="15" s="1"/>
  <c r="L197" i="23"/>
  <c r="G196" i="15" s="1"/>
  <c r="F197" i="23"/>
  <c r="A197" i="23"/>
  <c r="H197" i="23"/>
  <c r="I679" i="23"/>
  <c r="J679" i="23"/>
  <c r="B679" i="23"/>
  <c r="H679" i="23"/>
  <c r="F679" i="23"/>
  <c r="M679" i="23"/>
  <c r="E679" i="23"/>
  <c r="G679" i="23"/>
  <c r="K679" i="23"/>
  <c r="A679" i="23"/>
  <c r="L679" i="23"/>
  <c r="B883" i="23"/>
  <c r="F883" i="23"/>
  <c r="K883" i="23"/>
  <c r="E883" i="23"/>
  <c r="J883" i="23"/>
  <c r="I883" i="23"/>
  <c r="A883" i="23"/>
  <c r="H883" i="23"/>
  <c r="M883" i="23"/>
  <c r="G883" i="23"/>
  <c r="L883" i="23"/>
  <c r="C213" i="15"/>
  <c r="H214" i="23"/>
  <c r="J214" i="23"/>
  <c r="I214" i="23"/>
  <c r="E214" i="23"/>
  <c r="A214" i="23"/>
  <c r="L214" i="23"/>
  <c r="G213" i="15" s="1"/>
  <c r="G214" i="23"/>
  <c r="F214" i="23"/>
  <c r="M214" i="23"/>
  <c r="K214" i="23"/>
  <c r="H213" i="15" s="1"/>
  <c r="B214" i="23"/>
  <c r="B213" i="15" s="1"/>
  <c r="K325" i="23"/>
  <c r="B325" i="23"/>
  <c r="G325" i="23"/>
  <c r="A325" i="23"/>
  <c r="J325" i="23"/>
  <c r="L325" i="23"/>
  <c r="H325" i="23"/>
  <c r="M325" i="23"/>
  <c r="F325" i="23"/>
  <c r="I325" i="23"/>
  <c r="E325" i="23"/>
  <c r="D137" i="15"/>
  <c r="D112" i="15"/>
  <c r="L365" i="23"/>
  <c r="H365" i="23"/>
  <c r="E365" i="23"/>
  <c r="J365" i="23"/>
  <c r="F365" i="23"/>
  <c r="K365" i="23"/>
  <c r="G365" i="23"/>
  <c r="A365" i="23"/>
  <c r="B365" i="23"/>
  <c r="M365" i="23"/>
  <c r="I365" i="23"/>
  <c r="B37" i="21"/>
  <c r="K281" i="23"/>
  <c r="L281" i="23"/>
  <c r="H281" i="23"/>
  <c r="J281" i="23"/>
  <c r="F281" i="23"/>
  <c r="A281" i="23"/>
  <c r="M281" i="23"/>
  <c r="G281" i="23"/>
  <c r="B281" i="23"/>
  <c r="I281" i="23"/>
  <c r="E281" i="23"/>
  <c r="D96" i="15"/>
  <c r="G895" i="23"/>
  <c r="H895" i="23"/>
  <c r="M895" i="23"/>
  <c r="B895" i="23"/>
  <c r="F895" i="23"/>
  <c r="K895" i="23"/>
  <c r="A895" i="23"/>
  <c r="J895" i="23"/>
  <c r="L895" i="23"/>
  <c r="E895" i="23"/>
  <c r="I895" i="23"/>
  <c r="C155" i="15"/>
  <c r="L155" i="15" s="1"/>
  <c r="J156" i="23"/>
  <c r="M156" i="23"/>
  <c r="H156" i="23"/>
  <c r="L156" i="23"/>
  <c r="G155" i="15" s="1"/>
  <c r="A156" i="23"/>
  <c r="B156" i="23"/>
  <c r="B155" i="15" s="1"/>
  <c r="K156" i="23"/>
  <c r="H155" i="15" s="1"/>
  <c r="I156" i="23"/>
  <c r="F156" i="23" s="1"/>
  <c r="G156" i="23" s="1"/>
  <c r="E156" i="23"/>
  <c r="Y70" i="21"/>
  <c r="B74" i="21"/>
  <c r="I755" i="23"/>
  <c r="J755" i="23"/>
  <c r="K755" i="23"/>
  <c r="H755" i="23"/>
  <c r="M755" i="23"/>
  <c r="B755" i="23"/>
  <c r="E755" i="23"/>
  <c r="L755" i="23"/>
  <c r="F755" i="23"/>
  <c r="G755" i="23"/>
  <c r="A755" i="23"/>
  <c r="D42" i="15"/>
  <c r="B77" i="21"/>
  <c r="D16" i="15"/>
  <c r="B890" i="23"/>
  <c r="H890" i="23"/>
  <c r="A890" i="23"/>
  <c r="E890" i="23"/>
  <c r="G890" i="23"/>
  <c r="L890" i="23"/>
  <c r="J890" i="23"/>
  <c r="I890" i="23"/>
  <c r="M890" i="23"/>
  <c r="F890" i="23"/>
  <c r="K890" i="23"/>
  <c r="M152" i="23"/>
  <c r="J152" i="23"/>
  <c r="C151" i="15"/>
  <c r="A152" i="23"/>
  <c r="K152" i="23"/>
  <c r="H151" i="15" s="1"/>
  <c r="I152" i="23"/>
  <c r="F152" i="23" s="1"/>
  <c r="G152" i="23" s="1"/>
  <c r="H152" i="23"/>
  <c r="L152" i="23"/>
  <c r="G151" i="15" s="1"/>
  <c r="E152" i="23"/>
  <c r="B152" i="23"/>
  <c r="B151" i="15" s="1"/>
  <c r="B10" i="21"/>
  <c r="Y104" i="21"/>
  <c r="O79" i="20"/>
  <c r="N79" i="20"/>
  <c r="B36" i="21"/>
  <c r="M635" i="23"/>
  <c r="K635" i="23"/>
  <c r="A635" i="23"/>
  <c r="I635" i="23"/>
  <c r="L635" i="23"/>
  <c r="H635" i="23"/>
  <c r="F635" i="23"/>
  <c r="E635" i="23"/>
  <c r="B635" i="23"/>
  <c r="G635" i="23"/>
  <c r="J635" i="23"/>
  <c r="O40" i="20"/>
  <c r="B72" i="21"/>
  <c r="E751" i="23"/>
  <c r="G751" i="23"/>
  <c r="I751" i="23"/>
  <c r="F751" i="23"/>
  <c r="M751" i="23"/>
  <c r="H751" i="23"/>
  <c r="L751" i="23"/>
  <c r="J751" i="23"/>
  <c r="B751" i="23"/>
  <c r="A751" i="23"/>
  <c r="K751" i="23"/>
  <c r="D220" i="15"/>
  <c r="D209" i="15"/>
  <c r="F188" i="23"/>
  <c r="M188" i="23"/>
  <c r="A188" i="23"/>
  <c r="K188" i="23"/>
  <c r="H187" i="15" s="1"/>
  <c r="G188" i="23"/>
  <c r="B188" i="23"/>
  <c r="B187" i="15" s="1"/>
  <c r="H188" i="23"/>
  <c r="I188" i="23"/>
  <c r="C187" i="15"/>
  <c r="E187" i="15" s="1"/>
  <c r="E188" i="23"/>
  <c r="L188" i="23"/>
  <c r="G187" i="15" s="1"/>
  <c r="J188" i="23"/>
  <c r="A311" i="23"/>
  <c r="L311" i="23"/>
  <c r="J311" i="23"/>
  <c r="M311" i="23"/>
  <c r="B311" i="23"/>
  <c r="H311" i="23"/>
  <c r="E311" i="23"/>
  <c r="K311" i="23"/>
  <c r="G311" i="23"/>
  <c r="I311" i="23"/>
  <c r="F311" i="23"/>
  <c r="O58" i="20"/>
  <c r="N58" i="20"/>
  <c r="J457" i="23"/>
  <c r="B457" i="23"/>
  <c r="G457" i="23"/>
  <c r="A457" i="23"/>
  <c r="E457" i="23"/>
  <c r="K457" i="23"/>
  <c r="F457" i="23"/>
  <c r="L457" i="23"/>
  <c r="H457" i="23"/>
  <c r="I457" i="23"/>
  <c r="M457" i="23"/>
  <c r="J903" i="23"/>
  <c r="E903" i="23"/>
  <c r="F903" i="23"/>
  <c r="B903" i="23"/>
  <c r="H903" i="23"/>
  <c r="M903" i="23"/>
  <c r="A903" i="23"/>
  <c r="K903" i="23"/>
  <c r="G903" i="23"/>
  <c r="I903" i="23"/>
  <c r="L903" i="23"/>
  <c r="H992" i="23"/>
  <c r="M992" i="23"/>
  <c r="I992" i="23"/>
  <c r="J992" i="23"/>
  <c r="G992" i="23"/>
  <c r="A992" i="23"/>
  <c r="E992" i="23"/>
  <c r="K992" i="23"/>
  <c r="B992" i="23"/>
  <c r="F992" i="23"/>
  <c r="L992" i="23"/>
  <c r="Y97" i="21"/>
  <c r="K666" i="23"/>
  <c r="M666" i="23"/>
  <c r="F666" i="23"/>
  <c r="I666" i="23"/>
  <c r="G666" i="23"/>
  <c r="A666" i="23"/>
  <c r="L666" i="23"/>
  <c r="J666" i="23"/>
  <c r="H666" i="23"/>
  <c r="B666" i="23"/>
  <c r="E666" i="23"/>
  <c r="H963" i="23"/>
  <c r="F963" i="23"/>
  <c r="K963" i="23"/>
  <c r="L963" i="23"/>
  <c r="J963" i="23"/>
  <c r="A963" i="23"/>
  <c r="B963" i="23"/>
  <c r="E963" i="23"/>
  <c r="I963" i="23"/>
  <c r="G963" i="23"/>
  <c r="M963" i="23"/>
  <c r="M4" i="20"/>
  <c r="B782" i="23"/>
  <c r="A782" i="23"/>
  <c r="E782" i="23"/>
  <c r="L782" i="23"/>
  <c r="G782" i="23"/>
  <c r="F782" i="23"/>
  <c r="I782" i="23"/>
  <c r="M782" i="23"/>
  <c r="J782" i="23"/>
  <c r="K782" i="23"/>
  <c r="H782" i="23"/>
  <c r="M908" i="23"/>
  <c r="I908" i="23"/>
  <c r="L908" i="23"/>
  <c r="F908" i="23"/>
  <c r="J908" i="23"/>
  <c r="K908" i="23"/>
  <c r="G908" i="23"/>
  <c r="E908" i="23"/>
  <c r="B908" i="23"/>
  <c r="H908" i="23"/>
  <c r="A908" i="23"/>
  <c r="Y74" i="21"/>
  <c r="F761" i="23"/>
  <c r="E761" i="23"/>
  <c r="G761" i="23"/>
  <c r="A761" i="23"/>
  <c r="K761" i="23"/>
  <c r="L761" i="23"/>
  <c r="B761" i="23"/>
  <c r="H761" i="23"/>
  <c r="I761" i="23"/>
  <c r="J761" i="23"/>
  <c r="M761" i="23"/>
  <c r="D78" i="15"/>
  <c r="N105" i="20"/>
  <c r="O105" i="20"/>
  <c r="G807" i="23"/>
  <c r="M807" i="23"/>
  <c r="K807" i="23"/>
  <c r="A807" i="23"/>
  <c r="J807" i="23"/>
  <c r="E807" i="23"/>
  <c r="B807" i="23"/>
  <c r="I807" i="23"/>
  <c r="F807" i="23"/>
  <c r="H807" i="23"/>
  <c r="L807" i="23"/>
  <c r="Y52" i="21"/>
  <c r="Y59" i="21"/>
  <c r="H964" i="23"/>
  <c r="L964" i="23"/>
  <c r="F964" i="23"/>
  <c r="B964" i="23"/>
  <c r="J964" i="23"/>
  <c r="K964" i="23"/>
  <c r="A964" i="23"/>
  <c r="G964" i="23"/>
  <c r="E964" i="23"/>
  <c r="I964" i="23"/>
  <c r="M964" i="23"/>
  <c r="M654" i="23"/>
  <c r="L654" i="23"/>
  <c r="J654" i="23"/>
  <c r="G654" i="23"/>
  <c r="E654" i="23"/>
  <c r="A654" i="23"/>
  <c r="I654" i="23"/>
  <c r="K654" i="23"/>
  <c r="B654" i="23"/>
  <c r="H654" i="23"/>
  <c r="F654" i="23"/>
  <c r="E415" i="23"/>
  <c r="I415" i="23"/>
  <c r="K415" i="23"/>
  <c r="L415" i="23"/>
  <c r="B415" i="23"/>
  <c r="F415" i="23"/>
  <c r="H415" i="23"/>
  <c r="A415" i="23"/>
  <c r="M415" i="23"/>
  <c r="G415" i="23"/>
  <c r="J415" i="23"/>
  <c r="L716" i="23"/>
  <c r="J716" i="23"/>
  <c r="E716" i="23"/>
  <c r="F716" i="23"/>
  <c r="K716" i="23"/>
  <c r="M716" i="23"/>
  <c r="H716" i="23"/>
  <c r="B716" i="23"/>
  <c r="I716" i="23"/>
  <c r="G716" i="23"/>
  <c r="A716" i="23"/>
  <c r="M30" i="23"/>
  <c r="I29" i="15" s="1"/>
  <c r="A30" i="23"/>
  <c r="E30" i="23"/>
  <c r="C29" i="15"/>
  <c r="B30" i="23"/>
  <c r="B29" i="15" s="1"/>
  <c r="D27" i="15"/>
  <c r="Y56" i="21"/>
  <c r="M660" i="23"/>
  <c r="K660" i="23"/>
  <c r="G660" i="23"/>
  <c r="A660" i="23"/>
  <c r="B660" i="23"/>
  <c r="H660" i="23"/>
  <c r="F660" i="23"/>
  <c r="L660" i="23"/>
  <c r="E660" i="23"/>
  <c r="J660" i="23"/>
  <c r="I660" i="23"/>
  <c r="B13" i="23"/>
  <c r="B12" i="15" s="1"/>
  <c r="A13" i="23"/>
  <c r="C12" i="15"/>
  <c r="M13" i="23"/>
  <c r="E13" i="23"/>
  <c r="D89" i="15"/>
  <c r="I321" i="23"/>
  <c r="B321" i="23"/>
  <c r="E321" i="23"/>
  <c r="J321" i="23"/>
  <c r="M321" i="23"/>
  <c r="L321" i="23"/>
  <c r="G321" i="23"/>
  <c r="K321" i="23"/>
  <c r="A321" i="23"/>
  <c r="H321" i="23"/>
  <c r="F321" i="23"/>
  <c r="G746" i="23"/>
  <c r="M746" i="23"/>
  <c r="I746" i="23"/>
  <c r="K746" i="23"/>
  <c r="H746" i="23"/>
  <c r="E746" i="23"/>
  <c r="F746" i="23"/>
  <c r="B746" i="23"/>
  <c r="A746" i="23"/>
  <c r="L746" i="23"/>
  <c r="J746" i="23"/>
  <c r="B868" i="23"/>
  <c r="F868" i="23"/>
  <c r="E868" i="23"/>
  <c r="H868" i="23"/>
  <c r="M868" i="23"/>
  <c r="J868" i="23"/>
  <c r="K868" i="23"/>
  <c r="A868" i="23"/>
  <c r="L868" i="23"/>
  <c r="I868" i="23"/>
  <c r="G868" i="23"/>
  <c r="B26" i="21"/>
  <c r="F694" i="23"/>
  <c r="M694" i="23"/>
  <c r="B694" i="23"/>
  <c r="J694" i="23"/>
  <c r="E694" i="23"/>
  <c r="G694" i="23"/>
  <c r="K694" i="23"/>
  <c r="L694" i="23"/>
  <c r="A694" i="23"/>
  <c r="H694" i="23"/>
  <c r="I694" i="23"/>
  <c r="B35" i="23"/>
  <c r="B34" i="15" s="1"/>
  <c r="E35" i="23"/>
  <c r="A35" i="23"/>
  <c r="M35" i="23"/>
  <c r="C34" i="15"/>
  <c r="L34" i="15" s="1"/>
  <c r="H917" i="23"/>
  <c r="I917" i="23"/>
  <c r="L917" i="23"/>
  <c r="F917" i="23"/>
  <c r="G917" i="23"/>
  <c r="B917" i="23"/>
  <c r="E917" i="23"/>
  <c r="A917" i="23"/>
  <c r="J917" i="23"/>
  <c r="K917" i="23"/>
  <c r="M917" i="23"/>
  <c r="B780" i="23"/>
  <c r="A780" i="23"/>
  <c r="M780" i="23"/>
  <c r="G780" i="23"/>
  <c r="L780" i="23"/>
  <c r="E780" i="23"/>
  <c r="F780" i="23"/>
  <c r="J780" i="23"/>
  <c r="H780" i="23"/>
  <c r="I780" i="23"/>
  <c r="K780" i="23"/>
  <c r="N61" i="20"/>
  <c r="O61" i="20"/>
  <c r="E60" i="23"/>
  <c r="A60" i="23"/>
  <c r="C59" i="15"/>
  <c r="B60" i="23"/>
  <c r="B59" i="15" s="1"/>
  <c r="M60" i="23"/>
  <c r="E768" i="23"/>
  <c r="L768" i="23"/>
  <c r="G768" i="23"/>
  <c r="J768" i="23"/>
  <c r="I768" i="23"/>
  <c r="A768" i="23"/>
  <c r="B768" i="23"/>
  <c r="M768" i="23"/>
  <c r="H768" i="23"/>
  <c r="K768" i="23"/>
  <c r="F768" i="23"/>
  <c r="B848" i="23"/>
  <c r="K848" i="23"/>
  <c r="I848" i="23"/>
  <c r="G848" i="23"/>
  <c r="A848" i="23"/>
  <c r="L848" i="23"/>
  <c r="J848" i="23"/>
  <c r="H848" i="23"/>
  <c r="M848" i="23"/>
  <c r="F848" i="23"/>
  <c r="E848" i="23"/>
  <c r="K355" i="23"/>
  <c r="A355" i="23"/>
  <c r="G355" i="23"/>
  <c r="L355" i="23"/>
  <c r="M355" i="23"/>
  <c r="F355" i="23"/>
  <c r="B355" i="23"/>
  <c r="I355" i="23"/>
  <c r="H355" i="23"/>
  <c r="E355" i="23"/>
  <c r="J355" i="23"/>
  <c r="M38" i="23"/>
  <c r="I37" i="15" s="1"/>
  <c r="C37" i="15"/>
  <c r="B38" i="23"/>
  <c r="B37" i="15" s="1"/>
  <c r="A38" i="23"/>
  <c r="E38" i="23"/>
  <c r="I643" i="23"/>
  <c r="B643" i="23"/>
  <c r="F643" i="23"/>
  <c r="M643" i="23"/>
  <c r="E643" i="23"/>
  <c r="A643" i="23"/>
  <c r="K643" i="23"/>
  <c r="G643" i="23"/>
  <c r="H643" i="23"/>
  <c r="J643" i="23"/>
  <c r="L643" i="23"/>
  <c r="A296" i="23"/>
  <c r="H296" i="23"/>
  <c r="F296" i="23"/>
  <c r="L296" i="23"/>
  <c r="E296" i="23"/>
  <c r="M296" i="23"/>
  <c r="B296" i="23"/>
  <c r="G296" i="23"/>
  <c r="K296" i="23"/>
  <c r="I296" i="23"/>
  <c r="J296" i="23"/>
  <c r="D95" i="15"/>
  <c r="M664" i="23"/>
  <c r="E664" i="23"/>
  <c r="L664" i="23"/>
  <c r="K664" i="23"/>
  <c r="I664" i="23"/>
  <c r="G664" i="23"/>
  <c r="A664" i="23"/>
  <c r="J664" i="23"/>
  <c r="F664" i="23"/>
  <c r="B664" i="23"/>
  <c r="H664" i="23"/>
  <c r="D140" i="15"/>
  <c r="I483" i="23"/>
  <c r="B483" i="23"/>
  <c r="H483" i="23"/>
  <c r="A483" i="23"/>
  <c r="F483" i="23"/>
  <c r="K483" i="23"/>
  <c r="M483" i="23"/>
  <c r="L483" i="23"/>
  <c r="J483" i="23"/>
  <c r="E483" i="23"/>
  <c r="G483" i="23"/>
  <c r="F946" i="23"/>
  <c r="A946" i="23"/>
  <c r="H946" i="23"/>
  <c r="M946" i="23"/>
  <c r="B946" i="23"/>
  <c r="K946" i="23"/>
  <c r="G946" i="23"/>
  <c r="L946" i="23"/>
  <c r="I946" i="23"/>
  <c r="E946" i="23"/>
  <c r="J946" i="23"/>
  <c r="H443" i="23"/>
  <c r="I443" i="23"/>
  <c r="F443" i="23"/>
  <c r="J443" i="23"/>
  <c r="B443" i="23"/>
  <c r="G443" i="23"/>
  <c r="E443" i="23"/>
  <c r="A443" i="23"/>
  <c r="M443" i="23"/>
  <c r="L443" i="23"/>
  <c r="K443" i="23"/>
  <c r="B97" i="21"/>
  <c r="M588" i="23"/>
  <c r="G588" i="23"/>
  <c r="E588" i="23"/>
  <c r="A588" i="23"/>
  <c r="K588" i="23"/>
  <c r="L588" i="23"/>
  <c r="H588" i="23"/>
  <c r="I588" i="23"/>
  <c r="F588" i="23"/>
  <c r="J588" i="23"/>
  <c r="B588" i="23"/>
  <c r="D106" i="15"/>
  <c r="O85" i="20"/>
  <c r="N85" i="20"/>
  <c r="B11" i="21"/>
  <c r="B519" i="23"/>
  <c r="G519" i="23"/>
  <c r="E519" i="23"/>
  <c r="L519" i="23"/>
  <c r="A519" i="23"/>
  <c r="H519" i="23"/>
  <c r="I519" i="23"/>
  <c r="M519" i="23"/>
  <c r="J519" i="23"/>
  <c r="F519" i="23"/>
  <c r="K519" i="23"/>
  <c r="D94" i="15"/>
  <c r="Y82" i="21"/>
  <c r="G354" i="23"/>
  <c r="B354" i="23"/>
  <c r="M354" i="23"/>
  <c r="I354" i="23"/>
  <c r="L354" i="23"/>
  <c r="F354" i="23"/>
  <c r="A354" i="23"/>
  <c r="E354" i="23"/>
  <c r="K354" i="23"/>
  <c r="H354" i="23"/>
  <c r="J354" i="23"/>
  <c r="B312" i="23"/>
  <c r="J312" i="23"/>
  <c r="K312" i="23"/>
  <c r="M312" i="23"/>
  <c r="F312" i="23"/>
  <c r="A312" i="23"/>
  <c r="L312" i="23"/>
  <c r="H312" i="23"/>
  <c r="I312" i="23"/>
  <c r="G312" i="23"/>
  <c r="E312" i="23"/>
  <c r="H973" i="23"/>
  <c r="M973" i="23"/>
  <c r="G973" i="23"/>
  <c r="J973" i="23"/>
  <c r="I973" i="23"/>
  <c r="K973" i="23"/>
  <c r="L973" i="23"/>
  <c r="E973" i="23"/>
  <c r="A973" i="23"/>
  <c r="F973" i="23"/>
  <c r="B973" i="23"/>
  <c r="B126" i="23"/>
  <c r="B125" i="15" s="1"/>
  <c r="L126" i="23"/>
  <c r="G125" i="15" s="1"/>
  <c r="M126" i="23"/>
  <c r="I126" i="23"/>
  <c r="F126" i="23" s="1"/>
  <c r="G126" i="23" s="1"/>
  <c r="C125" i="15"/>
  <c r="H126" i="23"/>
  <c r="J126" i="23"/>
  <c r="E126" i="23"/>
  <c r="A126" i="23"/>
  <c r="K126" i="23"/>
  <c r="H125" i="15" s="1"/>
  <c r="L506" i="23"/>
  <c r="J506" i="23"/>
  <c r="G506" i="23"/>
  <c r="H506" i="23"/>
  <c r="F506" i="23"/>
  <c r="A506" i="23"/>
  <c r="K506" i="23"/>
  <c r="E506" i="23"/>
  <c r="I506" i="23"/>
  <c r="B506" i="23"/>
  <c r="M506" i="23"/>
  <c r="E31" i="23"/>
  <c r="C30" i="15"/>
  <c r="M31" i="23"/>
  <c r="I30" i="15" s="1"/>
  <c r="A31" i="23"/>
  <c r="B31" i="23"/>
  <c r="B30" i="15" s="1"/>
  <c r="I681" i="23"/>
  <c r="J681" i="23"/>
  <c r="A681" i="23"/>
  <c r="F681" i="23"/>
  <c r="E681" i="23"/>
  <c r="L681" i="23"/>
  <c r="H681" i="23"/>
  <c r="K681" i="23"/>
  <c r="B681" i="23"/>
  <c r="M681" i="23"/>
  <c r="G681" i="23"/>
  <c r="L272" i="23"/>
  <c r="G272" i="23"/>
  <c r="H272" i="23"/>
  <c r="K272" i="23"/>
  <c r="J272" i="23"/>
  <c r="I272" i="23"/>
  <c r="F272" i="23"/>
  <c r="E272" i="23"/>
  <c r="M272" i="23"/>
  <c r="B272" i="23"/>
  <c r="A272" i="23"/>
  <c r="I231" i="23"/>
  <c r="K231" i="23"/>
  <c r="A231" i="23"/>
  <c r="E231" i="23"/>
  <c r="G231" i="23"/>
  <c r="L231" i="23"/>
  <c r="M231" i="23"/>
  <c r="F231" i="23"/>
  <c r="B231" i="23"/>
  <c r="H231" i="23"/>
  <c r="J231" i="23"/>
  <c r="H226" i="23"/>
  <c r="I226" i="23"/>
  <c r="G226" i="23"/>
  <c r="B226" i="23"/>
  <c r="L226" i="23"/>
  <c r="J226" i="23"/>
  <c r="A226" i="23"/>
  <c r="K226" i="23"/>
  <c r="M226" i="23"/>
  <c r="E226" i="23"/>
  <c r="F226" i="23"/>
  <c r="L957" i="23"/>
  <c r="B957" i="23"/>
  <c r="H957" i="23"/>
  <c r="K957" i="23"/>
  <c r="E957" i="23"/>
  <c r="G957" i="23"/>
  <c r="F957" i="23"/>
  <c r="I957" i="23"/>
  <c r="M957" i="23"/>
  <c r="J957" i="23"/>
  <c r="A957" i="23"/>
  <c r="K781" i="23"/>
  <c r="H781" i="23"/>
  <c r="F781" i="23"/>
  <c r="M781" i="23"/>
  <c r="J781" i="23"/>
  <c r="E781" i="23"/>
  <c r="L781" i="23"/>
  <c r="B781" i="23"/>
  <c r="A781" i="23"/>
  <c r="I781" i="23"/>
  <c r="G781" i="23"/>
  <c r="E638" i="23"/>
  <c r="L638" i="23"/>
  <c r="K638" i="23"/>
  <c r="M638" i="23"/>
  <c r="G638" i="23"/>
  <c r="H638" i="23"/>
  <c r="F638" i="23"/>
  <c r="I638" i="23"/>
  <c r="B638" i="23"/>
  <c r="J638" i="23"/>
  <c r="A638" i="23"/>
  <c r="D49" i="15"/>
  <c r="D206" i="15"/>
  <c r="C92" i="15"/>
  <c r="A93" i="23"/>
  <c r="M93" i="23"/>
  <c r="B93" i="23"/>
  <c r="B92" i="15" s="1"/>
  <c r="E93" i="23"/>
  <c r="B227" i="23"/>
  <c r="M227" i="23"/>
  <c r="F227" i="23"/>
  <c r="L227" i="23"/>
  <c r="G227" i="23"/>
  <c r="I227" i="23"/>
  <c r="E227" i="23"/>
  <c r="A227" i="23"/>
  <c r="J227" i="23"/>
  <c r="H227" i="23"/>
  <c r="K227" i="23"/>
  <c r="L283" i="23"/>
  <c r="G283" i="23"/>
  <c r="B283" i="23"/>
  <c r="M283" i="23"/>
  <c r="A283" i="23"/>
  <c r="H283" i="23"/>
  <c r="F283" i="23"/>
  <c r="E283" i="23"/>
  <c r="I283" i="23"/>
  <c r="J283" i="23"/>
  <c r="K283" i="23"/>
  <c r="I271" i="23"/>
  <c r="J271" i="23"/>
  <c r="E271" i="23"/>
  <c r="H271" i="23"/>
  <c r="F271" i="23"/>
  <c r="G271" i="23"/>
  <c r="A271" i="23"/>
  <c r="B271" i="23"/>
  <c r="K271" i="23"/>
  <c r="M271" i="23"/>
  <c r="L271" i="23"/>
  <c r="B25" i="21"/>
  <c r="M709" i="23"/>
  <c r="I709" i="23"/>
  <c r="B709" i="23"/>
  <c r="G709" i="23"/>
  <c r="A709" i="23"/>
  <c r="J709" i="23"/>
  <c r="K709" i="23"/>
  <c r="L709" i="23"/>
  <c r="E709" i="23"/>
  <c r="F709" i="23"/>
  <c r="H709" i="23"/>
  <c r="B66" i="21"/>
  <c r="M140" i="23"/>
  <c r="H140" i="23"/>
  <c r="C139" i="15"/>
  <c r="J140" i="23"/>
  <c r="B140" i="23"/>
  <c r="B139" i="15" s="1"/>
  <c r="K140" i="23"/>
  <c r="H139" i="15" s="1"/>
  <c r="E140" i="23"/>
  <c r="I140" i="23"/>
  <c r="F140" i="23" s="1"/>
  <c r="G140" i="23" s="1"/>
  <c r="L140" i="23"/>
  <c r="G139" i="15" s="1"/>
  <c r="A140" i="23"/>
  <c r="N55" i="20"/>
  <c r="O55" i="20"/>
  <c r="Y87" i="21"/>
  <c r="F758" i="23"/>
  <c r="G758" i="23"/>
  <c r="I758" i="23"/>
  <c r="J758" i="23"/>
  <c r="B758" i="23"/>
  <c r="K758" i="23"/>
  <c r="L758" i="23"/>
  <c r="E758" i="23"/>
  <c r="A758" i="23"/>
  <c r="M758" i="23"/>
  <c r="H758" i="23"/>
  <c r="D40" i="15"/>
  <c r="B596" i="23"/>
  <c r="G596" i="23"/>
  <c r="H596" i="23"/>
  <c r="K596" i="23"/>
  <c r="I596" i="23"/>
  <c r="M596" i="23"/>
  <c r="A596" i="23"/>
  <c r="E596" i="23"/>
  <c r="L596" i="23"/>
  <c r="J596" i="23"/>
  <c r="F596" i="23"/>
  <c r="Y43" i="21"/>
  <c r="L998" i="23"/>
  <c r="K998" i="23"/>
  <c r="I998" i="23"/>
  <c r="A998" i="23"/>
  <c r="B998" i="23"/>
  <c r="F998" i="23"/>
  <c r="H998" i="23"/>
  <c r="M998" i="23"/>
  <c r="J998" i="23"/>
  <c r="G998" i="23"/>
  <c r="E998" i="23"/>
  <c r="M942" i="23"/>
  <c r="A942" i="23"/>
  <c r="B942" i="23"/>
  <c r="K942" i="23"/>
  <c r="G942" i="23"/>
  <c r="I942" i="23"/>
  <c r="H942" i="23"/>
  <c r="F942" i="23"/>
  <c r="E942" i="23"/>
  <c r="L942" i="23"/>
  <c r="J942" i="23"/>
  <c r="J374" i="23"/>
  <c r="E374" i="23"/>
  <c r="G374" i="23"/>
  <c r="L374" i="23"/>
  <c r="K374" i="23"/>
  <c r="H374" i="23"/>
  <c r="A374" i="23"/>
  <c r="M374" i="23"/>
  <c r="I374" i="23"/>
  <c r="F374" i="23"/>
  <c r="B374" i="23"/>
  <c r="H558" i="23"/>
  <c r="B558" i="23"/>
  <c r="F558" i="23"/>
  <c r="G558" i="23"/>
  <c r="A558" i="23"/>
  <c r="E558" i="23"/>
  <c r="J558" i="23"/>
  <c r="M558" i="23"/>
  <c r="K558" i="23"/>
  <c r="L558" i="23"/>
  <c r="I558" i="23"/>
  <c r="O70" i="20"/>
  <c r="N70" i="20"/>
  <c r="I802" i="23"/>
  <c r="L802" i="23"/>
  <c r="B802" i="23"/>
  <c r="F802" i="23"/>
  <c r="J802" i="23"/>
  <c r="G802" i="23"/>
  <c r="H802" i="23"/>
  <c r="M802" i="23"/>
  <c r="A802" i="23"/>
  <c r="K802" i="23"/>
  <c r="E802" i="23"/>
  <c r="B100" i="21"/>
  <c r="J419" i="23"/>
  <c r="G419" i="23"/>
  <c r="I419" i="23"/>
  <c r="H419" i="23"/>
  <c r="F419" i="23"/>
  <c r="B419" i="23"/>
  <c r="E419" i="23"/>
  <c r="L419" i="23"/>
  <c r="K419" i="23"/>
  <c r="A419" i="23"/>
  <c r="M419" i="23"/>
  <c r="B804" i="23"/>
  <c r="F804" i="23"/>
  <c r="K804" i="23"/>
  <c r="L804" i="23"/>
  <c r="G804" i="23"/>
  <c r="A804" i="23"/>
  <c r="J804" i="23"/>
  <c r="E804" i="23"/>
  <c r="H804" i="23"/>
  <c r="M804" i="23"/>
  <c r="I804" i="23"/>
  <c r="Y78" i="21"/>
  <c r="O88" i="20"/>
  <c r="N88" i="20"/>
  <c r="Y81" i="21"/>
  <c r="K363" i="23"/>
  <c r="A363" i="23"/>
  <c r="E363" i="23"/>
  <c r="G363" i="23"/>
  <c r="B363" i="23"/>
  <c r="J363" i="23"/>
  <c r="M363" i="23"/>
  <c r="H363" i="23"/>
  <c r="F363" i="23"/>
  <c r="L363" i="23"/>
  <c r="I363" i="23"/>
  <c r="M344" i="23"/>
  <c r="L344" i="23"/>
  <c r="G344" i="23"/>
  <c r="E344" i="23"/>
  <c r="F344" i="23"/>
  <c r="H344" i="23"/>
  <c r="A344" i="23"/>
  <c r="J344" i="23"/>
  <c r="B344" i="23"/>
  <c r="K344" i="23"/>
  <c r="I344" i="23"/>
  <c r="B91" i="21"/>
  <c r="B629" i="23"/>
  <c r="E629" i="23"/>
  <c r="I629" i="23"/>
  <c r="F629" i="23"/>
  <c r="L629" i="23"/>
  <c r="M629" i="23"/>
  <c r="K629" i="23"/>
  <c r="A629" i="23"/>
  <c r="H629" i="23"/>
  <c r="J629" i="23"/>
  <c r="G629" i="23"/>
  <c r="Y84" i="21"/>
  <c r="J295" i="23"/>
  <c r="L295" i="23"/>
  <c r="F295" i="23"/>
  <c r="K295" i="23"/>
  <c r="G295" i="23"/>
  <c r="E295" i="23"/>
  <c r="I295" i="23"/>
  <c r="M295" i="23"/>
  <c r="B295" i="23"/>
  <c r="H295" i="23"/>
  <c r="A295" i="23"/>
  <c r="F169" i="23"/>
  <c r="K169" i="23"/>
  <c r="H168" i="15" s="1"/>
  <c r="H169" i="23"/>
  <c r="M169" i="23"/>
  <c r="L169" i="23"/>
  <c r="G168" i="15" s="1"/>
  <c r="B169" i="23"/>
  <c r="B168" i="15" s="1"/>
  <c r="G169" i="23"/>
  <c r="E169" i="23"/>
  <c r="J169" i="23"/>
  <c r="A169" i="23"/>
  <c r="I169" i="23"/>
  <c r="C168" i="15"/>
  <c r="J364" i="23"/>
  <c r="L364" i="23"/>
  <c r="H364" i="23"/>
  <c r="F364" i="23"/>
  <c r="I364" i="23"/>
  <c r="K364" i="23"/>
  <c r="A364" i="23"/>
  <c r="B364" i="23"/>
  <c r="G364" i="23"/>
  <c r="M364" i="23"/>
  <c r="E364" i="23"/>
  <c r="D99" i="15"/>
  <c r="B710" i="23"/>
  <c r="J710" i="23"/>
  <c r="F710" i="23"/>
  <c r="A710" i="23"/>
  <c r="E710" i="23"/>
  <c r="L710" i="23"/>
  <c r="K710" i="23"/>
  <c r="G710" i="23"/>
  <c r="I710" i="23"/>
  <c r="H710" i="23"/>
  <c r="M710" i="23"/>
  <c r="D168" i="15"/>
  <c r="D11" i="15"/>
  <c r="D167" i="15"/>
  <c r="D132" i="15"/>
  <c r="A712" i="23"/>
  <c r="J712" i="23"/>
  <c r="I712" i="23"/>
  <c r="H712" i="23"/>
  <c r="G712" i="23"/>
  <c r="K712" i="23"/>
  <c r="B712" i="23"/>
  <c r="M712" i="23"/>
  <c r="E712" i="23"/>
  <c r="L712" i="23"/>
  <c r="F712" i="23"/>
  <c r="D114" i="15"/>
  <c r="E820" i="23"/>
  <c r="J820" i="23"/>
  <c r="L820" i="23"/>
  <c r="G820" i="23"/>
  <c r="F820" i="23"/>
  <c r="B820" i="23"/>
  <c r="H820" i="23"/>
  <c r="I820" i="23"/>
  <c r="M820" i="23"/>
  <c r="K820" i="23"/>
  <c r="A820" i="23"/>
  <c r="B496" i="23"/>
  <c r="G496" i="23"/>
  <c r="A496" i="23"/>
  <c r="J496" i="23"/>
  <c r="E496" i="23"/>
  <c r="F496" i="23"/>
  <c r="M496" i="23"/>
  <c r="K496" i="23"/>
  <c r="L496" i="23"/>
  <c r="I496" i="23"/>
  <c r="H496" i="23"/>
  <c r="Y46" i="21"/>
  <c r="L402" i="23"/>
  <c r="K402" i="23"/>
  <c r="H402" i="23"/>
  <c r="J402" i="23"/>
  <c r="G402" i="23"/>
  <c r="F402" i="23"/>
  <c r="I402" i="23"/>
  <c r="A402" i="23"/>
  <c r="B402" i="23"/>
  <c r="M402" i="23"/>
  <c r="E402" i="23"/>
  <c r="C89" i="15"/>
  <c r="A90" i="23"/>
  <c r="E90" i="23"/>
  <c r="M90" i="23"/>
  <c r="B90" i="23"/>
  <c r="B89" i="15" s="1"/>
  <c r="J839" i="23"/>
  <c r="B839" i="23"/>
  <c r="H839" i="23"/>
  <c r="A839" i="23"/>
  <c r="I839" i="23"/>
  <c r="F839" i="23"/>
  <c r="K839" i="23"/>
  <c r="G839" i="23"/>
  <c r="E839" i="23"/>
  <c r="M839" i="23"/>
  <c r="L839" i="23"/>
  <c r="C51" i="15"/>
  <c r="B52" i="23"/>
  <c r="B51" i="15" s="1"/>
  <c r="E52" i="23"/>
  <c r="M52" i="23"/>
  <c r="A52" i="23"/>
  <c r="H131" i="23"/>
  <c r="C130" i="15"/>
  <c r="J130" i="15" s="1"/>
  <c r="M131" i="23"/>
  <c r="I131" i="23"/>
  <c r="F131" i="23" s="1"/>
  <c r="G131" i="23" s="1"/>
  <c r="E131" i="23"/>
  <c r="L131" i="23"/>
  <c r="G130" i="15" s="1"/>
  <c r="J131" i="23"/>
  <c r="K131" i="23"/>
  <c r="H130" i="15" s="1"/>
  <c r="A131" i="23"/>
  <c r="B131" i="23"/>
  <c r="B130" i="15" s="1"/>
  <c r="B313" i="23"/>
  <c r="M313" i="23"/>
  <c r="K313" i="23"/>
  <c r="E313" i="23"/>
  <c r="H313" i="23"/>
  <c r="I313" i="23"/>
  <c r="L313" i="23"/>
  <c r="G313" i="23"/>
  <c r="F313" i="23"/>
  <c r="J313" i="23"/>
  <c r="A313" i="23"/>
  <c r="O32" i="20"/>
  <c r="G82" i="20" s="1"/>
  <c r="A17" i="23"/>
  <c r="B17" i="23"/>
  <c r="B16" i="15" s="1"/>
  <c r="E17" i="23"/>
  <c r="C16" i="15"/>
  <c r="M17" i="23"/>
  <c r="I16" i="15" s="1"/>
  <c r="O22" i="20"/>
  <c r="G21" i="20" s="1"/>
  <c r="M840" i="23"/>
  <c r="J840" i="23"/>
  <c r="I840" i="23"/>
  <c r="H840" i="23"/>
  <c r="K840" i="23"/>
  <c r="E840" i="23"/>
  <c r="B840" i="23"/>
  <c r="G840" i="23"/>
  <c r="L840" i="23"/>
  <c r="F840" i="23"/>
  <c r="A840" i="23"/>
  <c r="D124" i="15"/>
  <c r="O50" i="20"/>
  <c r="N50" i="20"/>
  <c r="M114" i="23"/>
  <c r="K114" i="23"/>
  <c r="H113" i="15" s="1"/>
  <c r="E114" i="23"/>
  <c r="L114" i="23"/>
  <c r="G113" i="15" s="1"/>
  <c r="J114" i="23"/>
  <c r="H114" i="23"/>
  <c r="I114" i="23"/>
  <c r="F114" i="23" s="1"/>
  <c r="G114" i="23" s="1"/>
  <c r="C113" i="15"/>
  <c r="B114" i="23"/>
  <c r="B113" i="15" s="1"/>
  <c r="A114" i="23"/>
  <c r="O25" i="20"/>
  <c r="G27" i="20" s="1"/>
  <c r="E464" i="23"/>
  <c r="M464" i="23"/>
  <c r="F464" i="23"/>
  <c r="K464" i="23"/>
  <c r="H464" i="23"/>
  <c r="J464" i="23"/>
  <c r="G464" i="23"/>
  <c r="I464" i="23"/>
  <c r="A464" i="23"/>
  <c r="L464" i="23"/>
  <c r="B464" i="23"/>
  <c r="D186" i="15"/>
  <c r="J136" i="23"/>
  <c r="H136" i="23"/>
  <c r="E136" i="23"/>
  <c r="B136" i="23"/>
  <c r="B135" i="15" s="1"/>
  <c r="I136" i="23"/>
  <c r="F136" i="23" s="1"/>
  <c r="G136" i="23" s="1"/>
  <c r="M136" i="23"/>
  <c r="K136" i="23"/>
  <c r="H135" i="15" s="1"/>
  <c r="A136" i="23"/>
  <c r="L136" i="23"/>
  <c r="G135" i="15" s="1"/>
  <c r="C135" i="15"/>
  <c r="L135" i="15" s="1"/>
  <c r="A22" i="23"/>
  <c r="C21" i="15"/>
  <c r="B22" i="23"/>
  <c r="B21" i="15" s="1"/>
  <c r="E22" i="23"/>
  <c r="M22" i="23"/>
  <c r="H644" i="23"/>
  <c r="G644" i="23"/>
  <c r="B644" i="23"/>
  <c r="E644" i="23"/>
  <c r="K644" i="23"/>
  <c r="F644" i="23"/>
  <c r="L644" i="23"/>
  <c r="M644" i="23"/>
  <c r="I644" i="23"/>
  <c r="J644" i="23"/>
  <c r="A644" i="23"/>
  <c r="J246" i="23"/>
  <c r="F246" i="23"/>
  <c r="I246" i="23"/>
  <c r="A246" i="23"/>
  <c r="E246" i="23"/>
  <c r="K246" i="23"/>
  <c r="B246" i="23"/>
  <c r="H246" i="23"/>
  <c r="G246" i="23"/>
  <c r="L246" i="23"/>
  <c r="M246" i="23"/>
  <c r="A756" i="23"/>
  <c r="F756" i="23"/>
  <c r="K756" i="23"/>
  <c r="H756" i="23"/>
  <c r="J756" i="23"/>
  <c r="L756" i="23"/>
  <c r="G756" i="23"/>
  <c r="M756" i="23"/>
  <c r="B756" i="23"/>
  <c r="I756" i="23"/>
  <c r="E756" i="23"/>
  <c r="O24" i="20"/>
  <c r="G26" i="20" s="1"/>
  <c r="I211" i="23"/>
  <c r="J211" i="23"/>
  <c r="A211" i="23"/>
  <c r="H211" i="23"/>
  <c r="M211" i="23"/>
  <c r="F211" i="23"/>
  <c r="E211" i="23"/>
  <c r="G211" i="23"/>
  <c r="K211" i="23"/>
  <c r="H210" i="15" s="1"/>
  <c r="B211" i="23"/>
  <c r="B210" i="15" s="1"/>
  <c r="L211" i="23"/>
  <c r="G210" i="15" s="1"/>
  <c r="C210" i="15"/>
  <c r="K210" i="15" s="1"/>
  <c r="J104" i="23"/>
  <c r="M104" i="23"/>
  <c r="G104" i="23"/>
  <c r="A104" i="23"/>
  <c r="K104" i="23"/>
  <c r="H103" i="15" s="1"/>
  <c r="C103" i="15"/>
  <c r="E104" i="23"/>
  <c r="H104" i="23"/>
  <c r="B104" i="23"/>
  <c r="B103" i="15" s="1"/>
  <c r="F104" i="23"/>
  <c r="L104" i="23"/>
  <c r="G103" i="15" s="1"/>
  <c r="I104" i="23"/>
  <c r="G700" i="23"/>
  <c r="E700" i="23"/>
  <c r="I700" i="23"/>
  <c r="K700" i="23"/>
  <c r="A700" i="23"/>
  <c r="M700" i="23"/>
  <c r="F700" i="23"/>
  <c r="B700" i="23"/>
  <c r="H700" i="23"/>
  <c r="J700" i="23"/>
  <c r="L700" i="23"/>
  <c r="I561" i="23"/>
  <c r="J561" i="23"/>
  <c r="E561" i="23"/>
  <c r="H561" i="23"/>
  <c r="G561" i="23"/>
  <c r="F561" i="23"/>
  <c r="B561" i="23"/>
  <c r="A561" i="23"/>
  <c r="K561" i="23"/>
  <c r="L561" i="23"/>
  <c r="M561" i="23"/>
  <c r="H286" i="23"/>
  <c r="F286" i="23"/>
  <c r="L286" i="23"/>
  <c r="I286" i="23"/>
  <c r="M286" i="23"/>
  <c r="G286" i="23"/>
  <c r="B286" i="23"/>
  <c r="E286" i="23"/>
  <c r="A286" i="23"/>
  <c r="J286" i="23"/>
  <c r="K286" i="23"/>
  <c r="H837" i="23"/>
  <c r="M837" i="23"/>
  <c r="F837" i="23"/>
  <c r="I837" i="23"/>
  <c r="L837" i="23"/>
  <c r="G837" i="23"/>
  <c r="A837" i="23"/>
  <c r="K837" i="23"/>
  <c r="J837" i="23"/>
  <c r="B837" i="23"/>
  <c r="E837" i="23"/>
  <c r="J616" i="23"/>
  <c r="H616" i="23"/>
  <c r="B616" i="23"/>
  <c r="F616" i="23"/>
  <c r="G616" i="23"/>
  <c r="L616" i="23"/>
  <c r="E616" i="23"/>
  <c r="K616" i="23"/>
  <c r="I616" i="23"/>
  <c r="A616" i="23"/>
  <c r="M616" i="23"/>
  <c r="D131" i="15"/>
  <c r="Y85" i="21"/>
  <c r="A569" i="23"/>
  <c r="L569" i="23"/>
  <c r="E569" i="23"/>
  <c r="M569" i="23"/>
  <c r="G569" i="23"/>
  <c r="I569" i="23"/>
  <c r="K569" i="23"/>
  <c r="H569" i="23"/>
  <c r="F569" i="23"/>
  <c r="J569" i="23"/>
  <c r="B569" i="23"/>
  <c r="D10" i="15"/>
  <c r="M593" i="23"/>
  <c r="G593" i="23"/>
  <c r="K593" i="23"/>
  <c r="J593" i="23"/>
  <c r="E593" i="23"/>
  <c r="L593" i="23"/>
  <c r="I593" i="23"/>
  <c r="B593" i="23"/>
  <c r="F593" i="23"/>
  <c r="A593" i="23"/>
  <c r="H593" i="23"/>
  <c r="G362" i="23"/>
  <c r="F362" i="23"/>
  <c r="K362" i="23"/>
  <c r="E362" i="23"/>
  <c r="L362" i="23"/>
  <c r="H362" i="23"/>
  <c r="A362" i="23"/>
  <c r="J362" i="23"/>
  <c r="I362" i="23"/>
  <c r="M362" i="23"/>
  <c r="B362" i="23"/>
  <c r="F944" i="23"/>
  <c r="G944" i="23"/>
  <c r="I944" i="23"/>
  <c r="L944" i="23"/>
  <c r="A944" i="23"/>
  <c r="E944" i="23"/>
  <c r="K944" i="23"/>
  <c r="M944" i="23"/>
  <c r="J944" i="23"/>
  <c r="B944" i="23"/>
  <c r="H944" i="23"/>
  <c r="G408" i="23"/>
  <c r="A408" i="23"/>
  <c r="I408" i="23"/>
  <c r="M408" i="23"/>
  <c r="J408" i="23"/>
  <c r="H408" i="23"/>
  <c r="E408" i="23"/>
  <c r="B408" i="23"/>
  <c r="K408" i="23"/>
  <c r="F408" i="23"/>
  <c r="L408" i="23"/>
  <c r="Y102" i="21"/>
  <c r="E179" i="23"/>
  <c r="J179" i="23"/>
  <c r="L179" i="23"/>
  <c r="G178" i="15" s="1"/>
  <c r="M179" i="23"/>
  <c r="C178" i="15"/>
  <c r="E178" i="15" s="1"/>
  <c r="I179" i="23"/>
  <c r="F179" i="23" s="1"/>
  <c r="G179" i="23" s="1"/>
  <c r="K179" i="23"/>
  <c r="H178" i="15" s="1"/>
  <c r="B179" i="23"/>
  <c r="B178" i="15" s="1"/>
  <c r="H179" i="23"/>
  <c r="A179" i="23"/>
  <c r="O43" i="20"/>
  <c r="N43" i="20"/>
  <c r="L932" i="23"/>
  <c r="M932" i="23"/>
  <c r="J932" i="23"/>
  <c r="F932" i="23"/>
  <c r="E932" i="23"/>
  <c r="B932" i="23"/>
  <c r="H932" i="23"/>
  <c r="I932" i="23"/>
  <c r="K932" i="23"/>
  <c r="A932" i="23"/>
  <c r="G932" i="23"/>
  <c r="E70" i="23"/>
  <c r="M70" i="23"/>
  <c r="I69" i="15" s="1"/>
  <c r="A70" i="23"/>
  <c r="B70" i="23"/>
  <c r="B69" i="15" s="1"/>
  <c r="C69" i="15"/>
  <c r="E69" i="15" s="1"/>
  <c r="M101" i="23"/>
  <c r="E101" i="23"/>
  <c r="B101" i="23"/>
  <c r="B100" i="15" s="1"/>
  <c r="A101" i="23"/>
  <c r="C100" i="15"/>
  <c r="E918" i="23"/>
  <c r="H918" i="23"/>
  <c r="K918" i="23"/>
  <c r="A918" i="23"/>
  <c r="J918" i="23"/>
  <c r="M918" i="23"/>
  <c r="L918" i="23"/>
  <c r="G918" i="23"/>
  <c r="I918" i="23"/>
  <c r="F918" i="23"/>
  <c r="B918" i="23"/>
  <c r="D11" i="16"/>
  <c r="H300" i="23"/>
  <c r="M300" i="23"/>
  <c r="E300" i="23"/>
  <c r="G300" i="23"/>
  <c r="I300" i="23"/>
  <c r="F300" i="23"/>
  <c r="A300" i="23"/>
  <c r="J300" i="23"/>
  <c r="L300" i="23"/>
  <c r="K300" i="23"/>
  <c r="B300" i="23"/>
  <c r="A190" i="23"/>
  <c r="B190" i="23"/>
  <c r="B189" i="15" s="1"/>
  <c r="H190" i="23"/>
  <c r="E190" i="23"/>
  <c r="J190" i="23"/>
  <c r="L190" i="23"/>
  <c r="G189" i="15" s="1"/>
  <c r="F190" i="23"/>
  <c r="G190" i="23"/>
  <c r="C189" i="15"/>
  <c r="F189" i="15" s="1"/>
  <c r="K190" i="23"/>
  <c r="H189" i="15" s="1"/>
  <c r="I190" i="23"/>
  <c r="M190" i="23"/>
  <c r="J174" i="23"/>
  <c r="K174" i="23"/>
  <c r="H173" i="15" s="1"/>
  <c r="H174" i="23"/>
  <c r="M174" i="23"/>
  <c r="A174" i="23"/>
  <c r="G174" i="23"/>
  <c r="B174" i="23"/>
  <c r="B173" i="15" s="1"/>
  <c r="C173" i="15"/>
  <c r="L174" i="23"/>
  <c r="G173" i="15" s="1"/>
  <c r="I174" i="23"/>
  <c r="F174" i="23"/>
  <c r="E174" i="23"/>
  <c r="J395" i="23"/>
  <c r="F395" i="23"/>
  <c r="B395" i="23"/>
  <c r="A395" i="23"/>
  <c r="L395" i="23"/>
  <c r="G395" i="23"/>
  <c r="E395" i="23"/>
  <c r="I395" i="23"/>
  <c r="M395" i="23"/>
  <c r="K395" i="23"/>
  <c r="H395" i="23"/>
  <c r="B572" i="23"/>
  <c r="J572" i="23"/>
  <c r="G572" i="23"/>
  <c r="K572" i="23"/>
  <c r="A572" i="23"/>
  <c r="E572" i="23"/>
  <c r="L572" i="23"/>
  <c r="H572" i="23"/>
  <c r="M572" i="23"/>
  <c r="I572" i="23"/>
  <c r="F572" i="23"/>
  <c r="J907" i="23"/>
  <c r="E907" i="23"/>
  <c r="K907" i="23"/>
  <c r="L907" i="23"/>
  <c r="I907" i="23"/>
  <c r="F907" i="23"/>
  <c r="B907" i="23"/>
  <c r="G907" i="23"/>
  <c r="M907" i="23"/>
  <c r="H907" i="23"/>
  <c r="A907" i="23"/>
  <c r="G236" i="23"/>
  <c r="J236" i="23"/>
  <c r="K236" i="23"/>
  <c r="A236" i="23"/>
  <c r="F236" i="23"/>
  <c r="M236" i="23"/>
  <c r="L236" i="23"/>
  <c r="B236" i="23"/>
  <c r="E236" i="23"/>
  <c r="I236" i="23"/>
  <c r="H236" i="23"/>
  <c r="D116" i="15"/>
  <c r="A523" i="23"/>
  <c r="E523" i="23"/>
  <c r="B523" i="23"/>
  <c r="G523" i="23"/>
  <c r="H523" i="23"/>
  <c r="F523" i="23"/>
  <c r="M523" i="23"/>
  <c r="K523" i="23"/>
  <c r="I523" i="23"/>
  <c r="J523" i="23"/>
  <c r="L523" i="23"/>
  <c r="F459" i="23"/>
  <c r="G459" i="23"/>
  <c r="M459" i="23"/>
  <c r="L459" i="23"/>
  <c r="B459" i="23"/>
  <c r="H459" i="23"/>
  <c r="K459" i="23"/>
  <c r="E459" i="23"/>
  <c r="I459" i="23"/>
  <c r="J459" i="23"/>
  <c r="A459" i="23"/>
  <c r="L383" i="23"/>
  <c r="M383" i="23"/>
  <c r="I383" i="23"/>
  <c r="B383" i="23"/>
  <c r="J383" i="23"/>
  <c r="G383" i="23"/>
  <c r="F383" i="23"/>
  <c r="A383" i="23"/>
  <c r="H383" i="23"/>
  <c r="E383" i="23"/>
  <c r="K383" i="23"/>
  <c r="O23" i="20"/>
  <c r="G23" i="20" s="1"/>
  <c r="D211" i="15"/>
  <c r="J183" i="23"/>
  <c r="B183" i="23"/>
  <c r="B182" i="15" s="1"/>
  <c r="A183" i="23"/>
  <c r="G183" i="23"/>
  <c r="L183" i="23"/>
  <c r="G182" i="15" s="1"/>
  <c r="C182" i="15"/>
  <c r="E183" i="23"/>
  <c r="M183" i="23"/>
  <c r="H183" i="23"/>
  <c r="I183" i="23"/>
  <c r="K183" i="23"/>
  <c r="H182" i="15" s="1"/>
  <c r="F183" i="23"/>
  <c r="C64" i="15"/>
  <c r="E64" i="15" s="1"/>
  <c r="B65" i="23"/>
  <c r="B64" i="15" s="1"/>
  <c r="M65" i="23"/>
  <c r="I64" i="15" s="1"/>
  <c r="A65" i="23"/>
  <c r="E65" i="23"/>
  <c r="N86" i="20"/>
  <c r="O86" i="20"/>
  <c r="A368" i="23"/>
  <c r="M368" i="23"/>
  <c r="E368" i="23"/>
  <c r="J368" i="23"/>
  <c r="K368" i="23"/>
  <c r="I368" i="23"/>
  <c r="H368" i="23"/>
  <c r="B368" i="23"/>
  <c r="L368" i="23"/>
  <c r="G368" i="23"/>
  <c r="F368" i="23"/>
  <c r="Y99" i="21"/>
  <c r="N46" i="20"/>
  <c r="O46" i="20"/>
  <c r="B42" i="21"/>
  <c r="O20" i="20"/>
  <c r="E399" i="23"/>
  <c r="I399" i="23"/>
  <c r="F399" i="23"/>
  <c r="G399" i="23"/>
  <c r="J399" i="23"/>
  <c r="M399" i="23"/>
  <c r="K399" i="23"/>
  <c r="L399" i="23"/>
  <c r="H399" i="23"/>
  <c r="B399" i="23"/>
  <c r="A399" i="23"/>
  <c r="E605" i="23"/>
  <c r="K605" i="23"/>
  <c r="M605" i="23"/>
  <c r="J605" i="23"/>
  <c r="F605" i="23"/>
  <c r="A605" i="23"/>
  <c r="G605" i="23"/>
  <c r="B605" i="23"/>
  <c r="H605" i="23"/>
  <c r="L605" i="23"/>
  <c r="I605" i="23"/>
  <c r="F993" i="23"/>
  <c r="K993" i="23"/>
  <c r="G993" i="23"/>
  <c r="I993" i="23"/>
  <c r="B993" i="23"/>
  <c r="E993" i="23"/>
  <c r="A993" i="23"/>
  <c r="L993" i="23"/>
  <c r="H993" i="23"/>
  <c r="J993" i="23"/>
  <c r="M993" i="23"/>
  <c r="B330" i="23"/>
  <c r="A330" i="23"/>
  <c r="L330" i="23"/>
  <c r="K330" i="23"/>
  <c r="M330" i="23"/>
  <c r="F330" i="23"/>
  <c r="G330" i="23"/>
  <c r="I330" i="23"/>
  <c r="H330" i="23"/>
  <c r="J330" i="23"/>
  <c r="E330" i="23"/>
  <c r="B84" i="21"/>
  <c r="A742" i="23"/>
  <c r="B742" i="23"/>
  <c r="H742" i="23"/>
  <c r="E742" i="23"/>
  <c r="I742" i="23"/>
  <c r="M742" i="23"/>
  <c r="J742" i="23"/>
  <c r="G742" i="23"/>
  <c r="K742" i="23"/>
  <c r="L742" i="23"/>
  <c r="F742" i="23"/>
  <c r="I673" i="23"/>
  <c r="J673" i="23"/>
  <c r="F673" i="23"/>
  <c r="G673" i="23"/>
  <c r="M673" i="23"/>
  <c r="L673" i="23"/>
  <c r="K673" i="23"/>
  <c r="B673" i="23"/>
  <c r="A673" i="23"/>
  <c r="E673" i="23"/>
  <c r="H673" i="23"/>
  <c r="I565" i="23"/>
  <c r="A565" i="23"/>
  <c r="J565" i="23"/>
  <c r="F565" i="23"/>
  <c r="G565" i="23"/>
  <c r="K565" i="23"/>
  <c r="L565" i="23"/>
  <c r="M565" i="23"/>
  <c r="H565" i="23"/>
  <c r="B565" i="23"/>
  <c r="E565" i="23"/>
  <c r="G711" i="23"/>
  <c r="E711" i="23"/>
  <c r="H711" i="23"/>
  <c r="K711" i="23"/>
  <c r="B711" i="23"/>
  <c r="A711" i="23"/>
  <c r="L711" i="23"/>
  <c r="F711" i="23"/>
  <c r="M711" i="23"/>
  <c r="J711" i="23"/>
  <c r="I711" i="23"/>
  <c r="B661" i="23"/>
  <c r="E661" i="23"/>
  <c r="L661" i="23"/>
  <c r="M661" i="23"/>
  <c r="J661" i="23"/>
  <c r="K661" i="23"/>
  <c r="A661" i="23"/>
  <c r="F661" i="23"/>
  <c r="H661" i="23"/>
  <c r="I661" i="23"/>
  <c r="G661" i="23"/>
  <c r="G390" i="23"/>
  <c r="F390" i="23"/>
  <c r="A390" i="23"/>
  <c r="L390" i="23"/>
  <c r="K390" i="23"/>
  <c r="E390" i="23"/>
  <c r="J390" i="23"/>
  <c r="H390" i="23"/>
  <c r="I390" i="23"/>
  <c r="M390" i="23"/>
  <c r="B390" i="23"/>
  <c r="K520" i="23"/>
  <c r="J520" i="23"/>
  <c r="A520" i="23"/>
  <c r="I520" i="23"/>
  <c r="L520" i="23"/>
  <c r="H520" i="23"/>
  <c r="E520" i="23"/>
  <c r="F520" i="23"/>
  <c r="G520" i="23"/>
  <c r="B520" i="23"/>
  <c r="M520" i="23"/>
  <c r="B951" i="23"/>
  <c r="E951" i="23"/>
  <c r="F951" i="23"/>
  <c r="J951" i="23"/>
  <c r="L951" i="23"/>
  <c r="I951" i="23"/>
  <c r="A951" i="23"/>
  <c r="G951" i="23"/>
  <c r="M951" i="23"/>
  <c r="K951" i="23"/>
  <c r="H951" i="23"/>
  <c r="A971" i="23"/>
  <c r="F971" i="23"/>
  <c r="L971" i="23"/>
  <c r="E971" i="23"/>
  <c r="G971" i="23"/>
  <c r="I971" i="23"/>
  <c r="B971" i="23"/>
  <c r="M971" i="23"/>
  <c r="K971" i="23"/>
  <c r="J971" i="23"/>
  <c r="H971" i="23"/>
  <c r="A703" i="23"/>
  <c r="F703" i="23"/>
  <c r="H703" i="23"/>
  <c r="M703" i="23"/>
  <c r="J703" i="23"/>
  <c r="K703" i="23"/>
  <c r="I703" i="23"/>
  <c r="G703" i="23"/>
  <c r="L703" i="23"/>
  <c r="B703" i="23"/>
  <c r="E703" i="23"/>
  <c r="H722" i="23"/>
  <c r="E722" i="23"/>
  <c r="K722" i="23"/>
  <c r="M722" i="23"/>
  <c r="J722" i="23"/>
  <c r="G722" i="23"/>
  <c r="B722" i="23"/>
  <c r="A722" i="23"/>
  <c r="F722" i="23"/>
  <c r="I722" i="23"/>
  <c r="L722" i="23"/>
  <c r="L764" i="23"/>
  <c r="G764" i="23"/>
  <c r="B764" i="23"/>
  <c r="E764" i="23"/>
  <c r="H764" i="23"/>
  <c r="M764" i="23"/>
  <c r="I764" i="23"/>
  <c r="K764" i="23"/>
  <c r="F764" i="23"/>
  <c r="J764" i="23"/>
  <c r="A764" i="23"/>
  <c r="D88" i="15"/>
  <c r="J634" i="23"/>
  <c r="E634" i="23"/>
  <c r="A634" i="23"/>
  <c r="F634" i="23"/>
  <c r="L634" i="23"/>
  <c r="M634" i="23"/>
  <c r="I634" i="23"/>
  <c r="H634" i="23"/>
  <c r="K634" i="23"/>
  <c r="B634" i="23"/>
  <c r="G634" i="23"/>
  <c r="Y91" i="21"/>
  <c r="O39" i="20"/>
  <c r="G155" i="20" s="1"/>
  <c r="B41" i="21"/>
  <c r="I248" i="23"/>
  <c r="K248" i="23"/>
  <c r="J248" i="23"/>
  <c r="L248" i="23"/>
  <c r="A248" i="23"/>
  <c r="H248" i="23"/>
  <c r="F248" i="23"/>
  <c r="M248" i="23"/>
  <c r="G248" i="23"/>
  <c r="E248" i="23"/>
  <c r="B248" i="23"/>
  <c r="H315" i="23"/>
  <c r="J315" i="23"/>
  <c r="B315" i="23"/>
  <c r="K315" i="23"/>
  <c r="E315" i="23"/>
  <c r="L315" i="23"/>
  <c r="F315" i="23"/>
  <c r="I315" i="23"/>
  <c r="A315" i="23"/>
  <c r="M315" i="23"/>
  <c r="G315" i="23"/>
  <c r="G237" i="23"/>
  <c r="E237" i="23"/>
  <c r="M237" i="23"/>
  <c r="I237" i="23"/>
  <c r="K237" i="23"/>
  <c r="J237" i="23"/>
  <c r="B237" i="23"/>
  <c r="L237" i="23"/>
  <c r="A237" i="23"/>
  <c r="H237" i="23"/>
  <c r="F237" i="23"/>
  <c r="B412" i="23"/>
  <c r="F412" i="23"/>
  <c r="E412" i="23"/>
  <c r="H412" i="23"/>
  <c r="M412" i="23"/>
  <c r="J412" i="23"/>
  <c r="G412" i="23"/>
  <c r="A412" i="23"/>
  <c r="I412" i="23"/>
  <c r="K412" i="23"/>
  <c r="L412" i="23"/>
  <c r="A553" i="23"/>
  <c r="L553" i="23"/>
  <c r="M553" i="23"/>
  <c r="I553" i="23"/>
  <c r="H553" i="23"/>
  <c r="K553" i="23"/>
  <c r="E553" i="23"/>
  <c r="G553" i="23"/>
  <c r="F553" i="23"/>
  <c r="J553" i="23"/>
  <c r="B553" i="23"/>
  <c r="D201" i="15"/>
  <c r="A373" i="23"/>
  <c r="H373" i="23"/>
  <c r="I373" i="23"/>
  <c r="B373" i="23"/>
  <c r="K373" i="23"/>
  <c r="E373" i="23"/>
  <c r="L373" i="23"/>
  <c r="M373" i="23"/>
  <c r="G373" i="23"/>
  <c r="J373" i="23"/>
  <c r="F373" i="23"/>
  <c r="E108" i="23"/>
  <c r="A108" i="23"/>
  <c r="L108" i="23"/>
  <c r="G107" i="15" s="1"/>
  <c r="J108" i="23"/>
  <c r="G108" i="23"/>
  <c r="M108" i="23"/>
  <c r="C107" i="15"/>
  <c r="I108" i="23"/>
  <c r="H108" i="23"/>
  <c r="F108" i="23"/>
  <c r="B108" i="23"/>
  <c r="B107" i="15" s="1"/>
  <c r="K108" i="23"/>
  <c r="H107" i="15" s="1"/>
  <c r="J938" i="23"/>
  <c r="E938" i="23"/>
  <c r="K938" i="23"/>
  <c r="F938" i="23"/>
  <c r="A938" i="23"/>
  <c r="H938" i="23"/>
  <c r="M938" i="23"/>
  <c r="I938" i="23"/>
  <c r="B938" i="23"/>
  <c r="G938" i="23"/>
  <c r="L938" i="23"/>
  <c r="E96" i="23"/>
  <c r="C95" i="15"/>
  <c r="E95" i="15" s="1"/>
  <c r="B96" i="23"/>
  <c r="B95" i="15" s="1"/>
  <c r="A96" i="23"/>
  <c r="M96" i="23"/>
  <c r="I95" i="15" s="1"/>
  <c r="F445" i="23"/>
  <c r="G445" i="23"/>
  <c r="K445" i="23"/>
  <c r="A445" i="23"/>
  <c r="M445" i="23"/>
  <c r="I445" i="23"/>
  <c r="E445" i="23"/>
  <c r="L445" i="23"/>
  <c r="J445" i="23"/>
  <c r="H445" i="23"/>
  <c r="B445" i="23"/>
  <c r="J671" i="23"/>
  <c r="G671" i="23"/>
  <c r="H671" i="23"/>
  <c r="F671" i="23"/>
  <c r="M671" i="23"/>
  <c r="E671" i="23"/>
  <c r="A671" i="23"/>
  <c r="I671" i="23"/>
  <c r="K671" i="23"/>
  <c r="L671" i="23"/>
  <c r="B671" i="23"/>
  <c r="B623" i="23"/>
  <c r="E623" i="23"/>
  <c r="I623" i="23"/>
  <c r="A623" i="23"/>
  <c r="F623" i="23"/>
  <c r="G623" i="23"/>
  <c r="L623" i="23"/>
  <c r="M623" i="23"/>
  <c r="J623" i="23"/>
  <c r="K623" i="23"/>
  <c r="H623" i="23"/>
  <c r="M318" i="23"/>
  <c r="H318" i="23"/>
  <c r="F318" i="23"/>
  <c r="J318" i="23"/>
  <c r="K318" i="23"/>
  <c r="L318" i="23"/>
  <c r="A318" i="23"/>
  <c r="B318" i="23"/>
  <c r="E318" i="23"/>
  <c r="G318" i="23"/>
  <c r="I318" i="23"/>
  <c r="O53" i="20"/>
  <c r="N53" i="20"/>
  <c r="J853" i="23"/>
  <c r="M853" i="23"/>
  <c r="I853" i="23"/>
  <c r="G853" i="23"/>
  <c r="H853" i="23"/>
  <c r="F853" i="23"/>
  <c r="E853" i="23"/>
  <c r="A853" i="23"/>
  <c r="L853" i="23"/>
  <c r="K853" i="23"/>
  <c r="B853" i="23"/>
  <c r="F688" i="23"/>
  <c r="L688" i="23"/>
  <c r="J688" i="23"/>
  <c r="I688" i="23"/>
  <c r="K688" i="23"/>
  <c r="M688" i="23"/>
  <c r="E688" i="23"/>
  <c r="A688" i="23"/>
  <c r="B688" i="23"/>
  <c r="H688" i="23"/>
  <c r="G688" i="23"/>
  <c r="A432" i="23"/>
  <c r="F432" i="23"/>
  <c r="K432" i="23"/>
  <c r="L432" i="23"/>
  <c r="H432" i="23"/>
  <c r="G432" i="23"/>
  <c r="I432" i="23"/>
  <c r="E432" i="23"/>
  <c r="B432" i="23"/>
  <c r="J432" i="23"/>
  <c r="M432" i="23"/>
  <c r="B98" i="21"/>
  <c r="O76" i="20"/>
  <c r="N76" i="20"/>
  <c r="B378" i="23"/>
  <c r="A378" i="23"/>
  <c r="I378" i="23"/>
  <c r="K378" i="23"/>
  <c r="G378" i="23"/>
  <c r="J378" i="23"/>
  <c r="L378" i="23"/>
  <c r="M378" i="23"/>
  <c r="H378" i="23"/>
  <c r="F378" i="23"/>
  <c r="E378" i="23"/>
  <c r="D111" i="15"/>
  <c r="B17" i="21"/>
  <c r="M651" i="23"/>
  <c r="J651" i="23"/>
  <c r="B651" i="23"/>
  <c r="F651" i="23"/>
  <c r="G651" i="23"/>
  <c r="H651" i="23"/>
  <c r="I651" i="23"/>
  <c r="L651" i="23"/>
  <c r="K651" i="23"/>
  <c r="A651" i="23"/>
  <c r="E651" i="23"/>
  <c r="I692" i="23"/>
  <c r="L692" i="23"/>
  <c r="H692" i="23"/>
  <c r="F692" i="23"/>
  <c r="B692" i="23"/>
  <c r="A692" i="23"/>
  <c r="K692" i="23"/>
  <c r="G692" i="23"/>
  <c r="E692" i="23"/>
  <c r="M692" i="23"/>
  <c r="J692" i="23"/>
  <c r="B291" i="23"/>
  <c r="H291" i="23"/>
  <c r="K291" i="23"/>
  <c r="I291" i="23"/>
  <c r="A291" i="23"/>
  <c r="G291" i="23"/>
  <c r="M291" i="23"/>
  <c r="F291" i="23"/>
  <c r="J291" i="23"/>
  <c r="L291" i="23"/>
  <c r="E291" i="23"/>
  <c r="B970" i="23"/>
  <c r="H970" i="23"/>
  <c r="M970" i="23"/>
  <c r="G970" i="23"/>
  <c r="I970" i="23"/>
  <c r="E970" i="23"/>
  <c r="J970" i="23"/>
  <c r="K970" i="23"/>
  <c r="L970" i="23"/>
  <c r="A970" i="23"/>
  <c r="F970" i="23"/>
  <c r="K21" i="16"/>
  <c r="D21" i="16"/>
  <c r="J21" i="16"/>
  <c r="O31" i="20"/>
  <c r="G77" i="20" s="1"/>
  <c r="L499" i="23"/>
  <c r="M499" i="23"/>
  <c r="B499" i="23"/>
  <c r="I499" i="23"/>
  <c r="E499" i="23"/>
  <c r="H499" i="23"/>
  <c r="G499" i="23"/>
  <c r="F499" i="23"/>
  <c r="A499" i="23"/>
  <c r="K499" i="23"/>
  <c r="J499" i="23"/>
  <c r="B37" i="23"/>
  <c r="B36" i="15" s="1"/>
  <c r="E37" i="23"/>
  <c r="A37" i="23"/>
  <c r="C36" i="15"/>
  <c r="M37" i="23"/>
  <c r="I406" i="23"/>
  <c r="H406" i="23"/>
  <c r="J406" i="23"/>
  <c r="B406" i="23"/>
  <c r="A406" i="23"/>
  <c r="G406" i="23"/>
  <c r="F406" i="23"/>
  <c r="M406" i="23"/>
  <c r="K406" i="23"/>
  <c r="L406" i="23"/>
  <c r="E406" i="23"/>
  <c r="E95" i="23"/>
  <c r="B95" i="23"/>
  <c r="B94" i="15" s="1"/>
  <c r="C94" i="15"/>
  <c r="M95" i="23"/>
  <c r="A95" i="23"/>
  <c r="K15" i="16"/>
  <c r="J15" i="16"/>
  <c r="D15" i="16"/>
  <c r="D163" i="15"/>
  <c r="D191" i="15"/>
  <c r="Y103" i="21"/>
  <c r="M763" i="23"/>
  <c r="L763" i="23"/>
  <c r="B763" i="23"/>
  <c r="J763" i="23"/>
  <c r="F763" i="23"/>
  <c r="A763" i="23"/>
  <c r="K763" i="23"/>
  <c r="H763" i="23"/>
  <c r="I763" i="23"/>
  <c r="G763" i="23"/>
  <c r="E763" i="23"/>
  <c r="B54" i="21"/>
  <c r="A150" i="23"/>
  <c r="H150" i="23"/>
  <c r="C149" i="15"/>
  <c r="J150" i="23"/>
  <c r="I150" i="23"/>
  <c r="E150" i="23"/>
  <c r="B150" i="23"/>
  <c r="B149" i="15" s="1"/>
  <c r="F150" i="23"/>
  <c r="L150" i="23"/>
  <c r="G149" i="15" s="1"/>
  <c r="G150" i="23"/>
  <c r="K150" i="23"/>
  <c r="H149" i="15" s="1"/>
  <c r="M150" i="23"/>
  <c r="I149" i="15" s="1"/>
  <c r="H382" i="23"/>
  <c r="A382" i="23"/>
  <c r="M382" i="23"/>
  <c r="G382" i="23"/>
  <c r="B382" i="23"/>
  <c r="L382" i="23"/>
  <c r="K382" i="23"/>
  <c r="F382" i="23"/>
  <c r="J382" i="23"/>
  <c r="I382" i="23"/>
  <c r="E382" i="23"/>
  <c r="D64" i="15"/>
  <c r="E989" i="23"/>
  <c r="L989" i="23"/>
  <c r="A989" i="23"/>
  <c r="K989" i="23"/>
  <c r="F989" i="23"/>
  <c r="H989" i="23"/>
  <c r="I989" i="23"/>
  <c r="G989" i="23"/>
  <c r="B989" i="23"/>
  <c r="J989" i="23"/>
  <c r="M989" i="23"/>
  <c r="D56" i="15"/>
  <c r="J121" i="23"/>
  <c r="B121" i="23"/>
  <c r="B120" i="15" s="1"/>
  <c r="A121" i="23"/>
  <c r="K121" i="23"/>
  <c r="H120" i="15" s="1"/>
  <c r="H121" i="23"/>
  <c r="C120" i="15"/>
  <c r="E121" i="23"/>
  <c r="L121" i="23"/>
  <c r="G120" i="15" s="1"/>
  <c r="M121" i="23"/>
  <c r="I121" i="23"/>
  <c r="F121" i="23" s="1"/>
  <c r="G121" i="23" s="1"/>
  <c r="C97" i="15"/>
  <c r="B98" i="23"/>
  <c r="B97" i="15" s="1"/>
  <c r="A98" i="23"/>
  <c r="M98" i="23"/>
  <c r="E98" i="23"/>
  <c r="I180" i="23"/>
  <c r="F180" i="23" s="1"/>
  <c r="G180" i="23" s="1"/>
  <c r="E180" i="23"/>
  <c r="H180" i="23"/>
  <c r="J180" i="23"/>
  <c r="K180" i="23"/>
  <c r="H179" i="15" s="1"/>
  <c r="L180" i="23"/>
  <c r="G179" i="15" s="1"/>
  <c r="B180" i="23"/>
  <c r="B179" i="15" s="1"/>
  <c r="C179" i="15"/>
  <c r="M180" i="23"/>
  <c r="I179" i="15" s="1"/>
  <c r="A180" i="23"/>
  <c r="M578" i="23"/>
  <c r="K578" i="23"/>
  <c r="H578" i="23"/>
  <c r="F578" i="23"/>
  <c r="E578" i="23"/>
  <c r="I578" i="23"/>
  <c r="B578" i="23"/>
  <c r="A578" i="23"/>
  <c r="G578" i="23"/>
  <c r="L578" i="23"/>
  <c r="J578" i="23"/>
  <c r="D61" i="15"/>
  <c r="B532" i="23"/>
  <c r="J532" i="23"/>
  <c r="A532" i="23"/>
  <c r="H532" i="23"/>
  <c r="G532" i="23"/>
  <c r="M532" i="23"/>
  <c r="K532" i="23"/>
  <c r="F532" i="23"/>
  <c r="E532" i="23"/>
  <c r="L532" i="23"/>
  <c r="I532" i="23"/>
  <c r="M83" i="23"/>
  <c r="A83" i="23"/>
  <c r="C82" i="15"/>
  <c r="E83" i="23"/>
  <c r="B83" i="23"/>
  <c r="B82" i="15" s="1"/>
  <c r="B96" i="21"/>
  <c r="O30" i="20"/>
  <c r="K299" i="23"/>
  <c r="G299" i="23"/>
  <c r="E299" i="23"/>
  <c r="A299" i="23"/>
  <c r="L299" i="23"/>
  <c r="F299" i="23"/>
  <c r="I299" i="23"/>
  <c r="J299" i="23"/>
  <c r="B299" i="23"/>
  <c r="H299" i="23"/>
  <c r="M299" i="23"/>
  <c r="E256" i="23"/>
  <c r="M256" i="23"/>
  <c r="F256" i="23"/>
  <c r="K256" i="23"/>
  <c r="G256" i="23"/>
  <c r="I256" i="23"/>
  <c r="J256" i="23"/>
  <c r="H256" i="23"/>
  <c r="B256" i="23"/>
  <c r="A256" i="23"/>
  <c r="L256" i="23"/>
  <c r="L693" i="23"/>
  <c r="J693" i="23"/>
  <c r="B693" i="23"/>
  <c r="A693" i="23"/>
  <c r="H693" i="23"/>
  <c r="I693" i="23"/>
  <c r="F693" i="23"/>
  <c r="K693" i="23"/>
  <c r="E693" i="23"/>
  <c r="M693" i="23"/>
  <c r="G693" i="23"/>
  <c r="N98" i="20"/>
  <c r="O98" i="20"/>
  <c r="F187" i="23"/>
  <c r="J187" i="23"/>
  <c r="M187" i="23"/>
  <c r="A187" i="23"/>
  <c r="B187" i="23"/>
  <c r="B186" i="15" s="1"/>
  <c r="K187" i="23"/>
  <c r="H186" i="15" s="1"/>
  <c r="I187" i="23"/>
  <c r="H187" i="23"/>
  <c r="E187" i="23"/>
  <c r="C186" i="15"/>
  <c r="G187" i="23"/>
  <c r="L187" i="23"/>
  <c r="G186" i="15" s="1"/>
  <c r="M398" i="23"/>
  <c r="H398" i="23"/>
  <c r="F398" i="23"/>
  <c r="I398" i="23"/>
  <c r="A398" i="23"/>
  <c r="B398" i="23"/>
  <c r="J398" i="23"/>
  <c r="G398" i="23"/>
  <c r="E398" i="23"/>
  <c r="K398" i="23"/>
  <c r="L398" i="23"/>
  <c r="B23" i="21"/>
  <c r="L879" i="23"/>
  <c r="H879" i="23"/>
  <c r="J879" i="23"/>
  <c r="K879" i="23"/>
  <c r="I879" i="23"/>
  <c r="A879" i="23"/>
  <c r="M879" i="23"/>
  <c r="B879" i="23"/>
  <c r="F879" i="23"/>
  <c r="G879" i="23"/>
  <c r="E879" i="23"/>
  <c r="O21" i="20"/>
  <c r="Y55" i="21"/>
  <c r="D194" i="15"/>
  <c r="G738" i="23"/>
  <c r="K738" i="23"/>
  <c r="L738" i="23"/>
  <c r="I738" i="23"/>
  <c r="H738" i="23"/>
  <c r="E738" i="23"/>
  <c r="M738" i="23"/>
  <c r="F738" i="23"/>
  <c r="J738" i="23"/>
  <c r="B738" i="23"/>
  <c r="A738" i="23"/>
  <c r="M11" i="23"/>
  <c r="E11" i="23"/>
  <c r="A11" i="23"/>
  <c r="C10" i="15"/>
  <c r="B11" i="23"/>
  <c r="B10" i="15" s="1"/>
  <c r="G145" i="23"/>
  <c r="C144" i="15"/>
  <c r="L144" i="15" s="1"/>
  <c r="E145" i="23"/>
  <c r="J145" i="23"/>
  <c r="F145" i="23"/>
  <c r="B145" i="23"/>
  <c r="B144" i="15" s="1"/>
  <c r="M145" i="23"/>
  <c r="A145" i="23"/>
  <c r="L145" i="23"/>
  <c r="G144" i="15" s="1"/>
  <c r="K145" i="23"/>
  <c r="H144" i="15" s="1"/>
  <c r="H145" i="23"/>
  <c r="I145" i="23"/>
  <c r="B53" i="21"/>
  <c r="D20" i="16"/>
  <c r="J20" i="16"/>
  <c r="K20" i="16"/>
  <c r="B566" i="23"/>
  <c r="A566" i="23"/>
  <c r="E566" i="23"/>
  <c r="F566" i="23"/>
  <c r="K566" i="23"/>
  <c r="G566" i="23"/>
  <c r="H566" i="23"/>
  <c r="M566" i="23"/>
  <c r="J566" i="23"/>
  <c r="I566" i="23"/>
  <c r="L566" i="23"/>
  <c r="G893" i="23"/>
  <c r="B893" i="23"/>
  <c r="M893" i="23"/>
  <c r="F893" i="23"/>
  <c r="A893" i="23"/>
  <c r="E893" i="23"/>
  <c r="J893" i="23"/>
  <c r="I893" i="23"/>
  <c r="L893" i="23"/>
  <c r="H893" i="23"/>
  <c r="K893" i="23"/>
  <c r="J838" i="23"/>
  <c r="A838" i="23"/>
  <c r="G838" i="23"/>
  <c r="M838" i="23"/>
  <c r="F838" i="23"/>
  <c r="B838" i="23"/>
  <c r="K838" i="23"/>
  <c r="L838" i="23"/>
  <c r="H838" i="23"/>
  <c r="I838" i="23"/>
  <c r="E838" i="23"/>
  <c r="D115" i="15"/>
  <c r="B26" i="23"/>
  <c r="B25" i="15" s="1"/>
  <c r="E26" i="23"/>
  <c r="M26" i="23"/>
  <c r="A26" i="23"/>
  <c r="C25" i="15"/>
  <c r="F25" i="15" s="1"/>
  <c r="A906" i="23"/>
  <c r="B906" i="23"/>
  <c r="E906" i="23"/>
  <c r="J906" i="23"/>
  <c r="G906" i="23"/>
  <c r="H906" i="23"/>
  <c r="M906" i="23"/>
  <c r="F906" i="23"/>
  <c r="L906" i="23"/>
  <c r="I906" i="23"/>
  <c r="K906" i="23"/>
  <c r="B21" i="21"/>
  <c r="B19" i="21"/>
  <c r="L472" i="23"/>
  <c r="B472" i="23"/>
  <c r="E472" i="23"/>
  <c r="A472" i="23"/>
  <c r="F472" i="23"/>
  <c r="H472" i="23"/>
  <c r="J472" i="23"/>
  <c r="K472" i="23"/>
  <c r="I472" i="23"/>
  <c r="G472" i="23"/>
  <c r="M472" i="23"/>
  <c r="I628" i="23"/>
  <c r="B628" i="23"/>
  <c r="F628" i="23"/>
  <c r="A628" i="23"/>
  <c r="K628" i="23"/>
  <c r="L628" i="23"/>
  <c r="E628" i="23"/>
  <c r="M628" i="23"/>
  <c r="G628" i="23"/>
  <c r="J628" i="23"/>
  <c r="H628" i="23"/>
  <c r="A456" i="23"/>
  <c r="G456" i="23"/>
  <c r="K456" i="23"/>
  <c r="L456" i="23"/>
  <c r="M456" i="23"/>
  <c r="J456" i="23"/>
  <c r="F456" i="23"/>
  <c r="H456" i="23"/>
  <c r="B456" i="23"/>
  <c r="I456" i="23"/>
  <c r="E456" i="23"/>
  <c r="O12" i="20"/>
  <c r="G16" i="20" s="1"/>
  <c r="M877" i="23"/>
  <c r="G877" i="23"/>
  <c r="F877" i="23"/>
  <c r="L877" i="23"/>
  <c r="A877" i="23"/>
  <c r="J877" i="23"/>
  <c r="H877" i="23"/>
  <c r="K877" i="23"/>
  <c r="E877" i="23"/>
  <c r="B877" i="23"/>
  <c r="I877" i="23"/>
  <c r="D76" i="15"/>
  <c r="K803" i="23"/>
  <c r="I803" i="23"/>
  <c r="L803" i="23"/>
  <c r="J803" i="23"/>
  <c r="M803" i="23"/>
  <c r="B803" i="23"/>
  <c r="F803" i="23"/>
  <c r="E803" i="23"/>
  <c r="G803" i="23"/>
  <c r="H803" i="23"/>
  <c r="A803" i="23"/>
  <c r="B95" i="21"/>
  <c r="O111" i="20"/>
  <c r="N111" i="20"/>
  <c r="A672" i="23"/>
  <c r="E672" i="23"/>
  <c r="H672" i="23"/>
  <c r="B672" i="23"/>
  <c r="M672" i="23"/>
  <c r="J672" i="23"/>
  <c r="G672" i="23"/>
  <c r="F672" i="23"/>
  <c r="K672" i="23"/>
  <c r="L672" i="23"/>
  <c r="I672" i="23"/>
  <c r="M130" i="23"/>
  <c r="H130" i="23"/>
  <c r="A130" i="23"/>
  <c r="J130" i="23"/>
  <c r="K130" i="23"/>
  <c r="H129" i="15" s="1"/>
  <c r="L130" i="23"/>
  <c r="G129" i="15" s="1"/>
  <c r="B130" i="23"/>
  <c r="B129" i="15" s="1"/>
  <c r="I130" i="23"/>
  <c r="F130" i="23" s="1"/>
  <c r="G130" i="23" s="1"/>
  <c r="C129" i="15"/>
  <c r="E130" i="23"/>
  <c r="G618" i="23"/>
  <c r="M618" i="23"/>
  <c r="A618" i="23"/>
  <c r="L618" i="23"/>
  <c r="E618" i="23"/>
  <c r="F618" i="23"/>
  <c r="I618" i="23"/>
  <c r="B618" i="23"/>
  <c r="H618" i="23"/>
  <c r="J618" i="23"/>
  <c r="K618" i="23"/>
  <c r="F965" i="23"/>
  <c r="J965" i="23"/>
  <c r="A965" i="23"/>
  <c r="I965" i="23"/>
  <c r="K965" i="23"/>
  <c r="H965" i="23"/>
  <c r="B965" i="23"/>
  <c r="M965" i="23"/>
  <c r="G965" i="23"/>
  <c r="E965" i="23"/>
  <c r="L965" i="23"/>
  <c r="D59" i="15"/>
  <c r="B93" i="21"/>
  <c r="Y60" i="21"/>
  <c r="O37" i="20"/>
  <c r="G147" i="20" s="1"/>
  <c r="I581" i="23"/>
  <c r="M581" i="23"/>
  <c r="H581" i="23"/>
  <c r="A581" i="23"/>
  <c r="E581" i="23"/>
  <c r="L581" i="23"/>
  <c r="F581" i="23"/>
  <c r="B581" i="23"/>
  <c r="K581" i="23"/>
  <c r="J581" i="23"/>
  <c r="G581" i="23"/>
  <c r="D22" i="15"/>
  <c r="C203" i="15"/>
  <c r="M204" i="23"/>
  <c r="F204" i="23"/>
  <c r="J204" i="23"/>
  <c r="A204" i="23"/>
  <c r="E204" i="23"/>
  <c r="B204" i="23"/>
  <c r="B203" i="15" s="1"/>
  <c r="L204" i="23"/>
  <c r="G203" i="15" s="1"/>
  <c r="H204" i="23"/>
  <c r="G204" i="23"/>
  <c r="I204" i="23"/>
  <c r="K204" i="23"/>
  <c r="H203" i="15" s="1"/>
  <c r="J396" i="23"/>
  <c r="F396" i="23"/>
  <c r="G396" i="23"/>
  <c r="B396" i="23"/>
  <c r="E396" i="23"/>
  <c r="K396" i="23"/>
  <c r="L396" i="23"/>
  <c r="A396" i="23"/>
  <c r="M396" i="23"/>
  <c r="I396" i="23"/>
  <c r="H396" i="23"/>
  <c r="Y34" i="21"/>
  <c r="M739" i="23"/>
  <c r="B739" i="23"/>
  <c r="F739" i="23"/>
  <c r="H739" i="23"/>
  <c r="L739" i="23"/>
  <c r="G739" i="23"/>
  <c r="J739" i="23"/>
  <c r="E739" i="23"/>
  <c r="I739" i="23"/>
  <c r="K739" i="23"/>
  <c r="A739" i="23"/>
  <c r="D118" i="15"/>
  <c r="B35" i="21"/>
  <c r="O112" i="20"/>
  <c r="N112" i="20"/>
  <c r="C84" i="15"/>
  <c r="A85" i="23"/>
  <c r="E85" i="23"/>
  <c r="B85" i="23"/>
  <c r="B84" i="15" s="1"/>
  <c r="M85" i="23"/>
  <c r="E216" i="23"/>
  <c r="C215" i="15"/>
  <c r="J216" i="23"/>
  <c r="K216" i="23"/>
  <c r="H215" i="15" s="1"/>
  <c r="M216" i="23"/>
  <c r="I216" i="23"/>
  <c r="H216" i="23"/>
  <c r="B216" i="23"/>
  <c r="B215" i="15" s="1"/>
  <c r="G216" i="23"/>
  <c r="A216" i="23"/>
  <c r="L216" i="23"/>
  <c r="G215" i="15" s="1"/>
  <c r="F216" i="23"/>
  <c r="H509" i="23"/>
  <c r="E509" i="23"/>
  <c r="B509" i="23"/>
  <c r="I509" i="23"/>
  <c r="K509" i="23"/>
  <c r="J509" i="23"/>
  <c r="A509" i="23"/>
  <c r="M509" i="23"/>
  <c r="L509" i="23"/>
  <c r="F509" i="23"/>
  <c r="G509" i="23"/>
  <c r="D13" i="16"/>
  <c r="D35" i="15"/>
  <c r="H854" i="23"/>
  <c r="A854" i="23"/>
  <c r="B854" i="23"/>
  <c r="I854" i="23"/>
  <c r="M854" i="23"/>
  <c r="E854" i="23"/>
  <c r="K854" i="23"/>
  <c r="J854" i="23"/>
  <c r="G854" i="23"/>
  <c r="L854" i="23"/>
  <c r="F854" i="23"/>
  <c r="E859" i="23"/>
  <c r="A859" i="23"/>
  <c r="G859" i="23"/>
  <c r="H859" i="23"/>
  <c r="J859" i="23"/>
  <c r="K859" i="23"/>
  <c r="M859" i="23"/>
  <c r="L859" i="23"/>
  <c r="F859" i="23"/>
  <c r="B859" i="23"/>
  <c r="I859" i="23"/>
  <c r="B70" i="21"/>
  <c r="O34" i="20"/>
  <c r="G97" i="20" s="1"/>
  <c r="M706" i="23"/>
  <c r="G706" i="23"/>
  <c r="E706" i="23"/>
  <c r="A706" i="23"/>
  <c r="B706" i="23"/>
  <c r="F706" i="23"/>
  <c r="H706" i="23"/>
  <c r="K706" i="23"/>
  <c r="L706" i="23"/>
  <c r="J706" i="23"/>
  <c r="I706" i="23"/>
  <c r="J289" i="23"/>
  <c r="K289" i="23"/>
  <c r="L289" i="23"/>
  <c r="F289" i="23"/>
  <c r="M289" i="23"/>
  <c r="I289" i="23"/>
  <c r="E289" i="23"/>
  <c r="B289" i="23"/>
  <c r="H289" i="23"/>
  <c r="A289" i="23"/>
  <c r="G289" i="23"/>
  <c r="A947" i="23"/>
  <c r="I947" i="23"/>
  <c r="H947" i="23"/>
  <c r="B947" i="23"/>
  <c r="J947" i="23"/>
  <c r="L947" i="23"/>
  <c r="M947" i="23"/>
  <c r="E947" i="23"/>
  <c r="G947" i="23"/>
  <c r="K947" i="23"/>
  <c r="F947" i="23"/>
  <c r="F979" i="23"/>
  <c r="E979" i="23"/>
  <c r="I979" i="23"/>
  <c r="J979" i="23"/>
  <c r="G979" i="23"/>
  <c r="K979" i="23"/>
  <c r="L979" i="23"/>
  <c r="H979" i="23"/>
  <c r="B979" i="23"/>
  <c r="A979" i="23"/>
  <c r="M979" i="23"/>
  <c r="K701" i="23"/>
  <c r="F701" i="23"/>
  <c r="A701" i="23"/>
  <c r="J701" i="23"/>
  <c r="M701" i="23"/>
  <c r="H701" i="23"/>
  <c r="B701" i="23"/>
  <c r="I701" i="23"/>
  <c r="L701" i="23"/>
  <c r="G701" i="23"/>
  <c r="E701" i="23"/>
  <c r="B427" i="23"/>
  <c r="G427" i="23"/>
  <c r="K427" i="23"/>
  <c r="F427" i="23"/>
  <c r="M427" i="23"/>
  <c r="E427" i="23"/>
  <c r="L427" i="23"/>
  <c r="A427" i="23"/>
  <c r="J427" i="23"/>
  <c r="I427" i="23"/>
  <c r="H427" i="23"/>
  <c r="O56" i="20"/>
  <c r="N56" i="20"/>
  <c r="F471" i="23"/>
  <c r="A471" i="23"/>
  <c r="J471" i="23"/>
  <c r="G471" i="23"/>
  <c r="L471" i="23"/>
  <c r="B471" i="23"/>
  <c r="I471" i="23"/>
  <c r="E471" i="23"/>
  <c r="K471" i="23"/>
  <c r="M471" i="23"/>
  <c r="H471" i="23"/>
  <c r="L285" i="23"/>
  <c r="M285" i="23"/>
  <c r="E285" i="23"/>
  <c r="K285" i="23"/>
  <c r="B285" i="23"/>
  <c r="A285" i="23"/>
  <c r="I285" i="23"/>
  <c r="H285" i="23"/>
  <c r="F285" i="23"/>
  <c r="J285" i="23"/>
  <c r="G285" i="23"/>
  <c r="Y75" i="21"/>
  <c r="A119" i="23"/>
  <c r="C118" i="15"/>
  <c r="L119" i="23"/>
  <c r="G118" i="15" s="1"/>
  <c r="M119" i="23"/>
  <c r="E119" i="23"/>
  <c r="B119" i="23"/>
  <c r="B118" i="15" s="1"/>
  <c r="K119" i="23"/>
  <c r="H118" i="15" s="1"/>
  <c r="I119" i="23"/>
  <c r="F119" i="23" s="1"/>
  <c r="G119" i="23" s="1"/>
  <c r="H119" i="23"/>
  <c r="J119" i="23"/>
  <c r="F463" i="23"/>
  <c r="B463" i="23"/>
  <c r="E463" i="23"/>
  <c r="I463" i="23"/>
  <c r="A463" i="23"/>
  <c r="K463" i="23"/>
  <c r="H463" i="23"/>
  <c r="J463" i="23"/>
  <c r="M463" i="23"/>
  <c r="L463" i="23"/>
  <c r="G463" i="23"/>
  <c r="B59" i="21"/>
  <c r="N93" i="20"/>
  <c r="O93" i="20"/>
  <c r="Y96" i="21"/>
  <c r="A894" i="23"/>
  <c r="E894" i="23"/>
  <c r="B894" i="23"/>
  <c r="I894" i="23"/>
  <c r="F894" i="23"/>
  <c r="J894" i="23"/>
  <c r="L894" i="23"/>
  <c r="M894" i="23"/>
  <c r="G894" i="23"/>
  <c r="H894" i="23"/>
  <c r="K894" i="23"/>
  <c r="D73" i="15"/>
  <c r="J22" i="16"/>
  <c r="K22" i="16"/>
  <c r="D22" i="16"/>
  <c r="G266" i="23"/>
  <c r="A266" i="23"/>
  <c r="I266" i="23"/>
  <c r="B266" i="23"/>
  <c r="E266" i="23"/>
  <c r="F266" i="23"/>
  <c r="H266" i="23"/>
  <c r="M266" i="23"/>
  <c r="K266" i="23"/>
  <c r="J266" i="23"/>
  <c r="L266" i="23"/>
  <c r="B94" i="21"/>
  <c r="B245" i="23"/>
  <c r="H245" i="23"/>
  <c r="E245" i="23"/>
  <c r="G245" i="23"/>
  <c r="J245" i="23"/>
  <c r="A245" i="23"/>
  <c r="I245" i="23"/>
  <c r="M245" i="23"/>
  <c r="L245" i="23"/>
  <c r="K245" i="23"/>
  <c r="F245" i="23"/>
  <c r="B73" i="21"/>
  <c r="K863" i="23"/>
  <c r="B863" i="23"/>
  <c r="I863" i="23"/>
  <c r="M863" i="23"/>
  <c r="L863" i="23"/>
  <c r="G863" i="23"/>
  <c r="E863" i="23"/>
  <c r="A863" i="23"/>
  <c r="F863" i="23"/>
  <c r="H863" i="23"/>
  <c r="J863" i="23"/>
  <c r="I282" i="23"/>
  <c r="G282" i="23"/>
  <c r="B282" i="23"/>
  <c r="H282" i="23"/>
  <c r="J282" i="23"/>
  <c r="L282" i="23"/>
  <c r="M282" i="23"/>
  <c r="E282" i="23"/>
  <c r="A282" i="23"/>
  <c r="F282" i="23"/>
  <c r="K282" i="23"/>
  <c r="B293" i="23"/>
  <c r="I293" i="23"/>
  <c r="L293" i="23"/>
  <c r="A293" i="23"/>
  <c r="M293" i="23"/>
  <c r="K293" i="23"/>
  <c r="H293" i="23"/>
  <c r="G293" i="23"/>
  <c r="J293" i="23"/>
  <c r="E293" i="23"/>
  <c r="F293" i="23"/>
  <c r="L821" i="23"/>
  <c r="K821" i="23"/>
  <c r="I821" i="23"/>
  <c r="F821" i="23"/>
  <c r="H821" i="23"/>
  <c r="A821" i="23"/>
  <c r="G821" i="23"/>
  <c r="B821" i="23"/>
  <c r="E821" i="23"/>
  <c r="M821" i="23"/>
  <c r="J821" i="23"/>
  <c r="N99" i="20"/>
  <c r="O99" i="20"/>
  <c r="I548" i="23"/>
  <c r="M548" i="23"/>
  <c r="H548" i="23"/>
  <c r="E548" i="23"/>
  <c r="K548" i="23"/>
  <c r="A548" i="23"/>
  <c r="J548" i="23"/>
  <c r="B548" i="23"/>
  <c r="F548" i="23"/>
  <c r="L548" i="23"/>
  <c r="G548" i="23"/>
  <c r="M860" i="23"/>
  <c r="I860" i="23"/>
  <c r="G860" i="23"/>
  <c r="H860" i="23"/>
  <c r="K860" i="23"/>
  <c r="E860" i="23"/>
  <c r="F860" i="23"/>
  <c r="L860" i="23"/>
  <c r="B860" i="23"/>
  <c r="J860" i="23"/>
  <c r="A860" i="23"/>
  <c r="H153" i="23"/>
  <c r="F153" i="23"/>
  <c r="B153" i="23"/>
  <c r="B152" i="15" s="1"/>
  <c r="L153" i="23"/>
  <c r="G152" i="15" s="1"/>
  <c r="J153" i="23"/>
  <c r="I153" i="23"/>
  <c r="C152" i="15"/>
  <c r="M153" i="23"/>
  <c r="K153" i="23"/>
  <c r="H152" i="15" s="1"/>
  <c r="A153" i="23"/>
  <c r="G153" i="23"/>
  <c r="E153" i="23"/>
  <c r="D202" i="15"/>
  <c r="G601" i="23"/>
  <c r="K601" i="23"/>
  <c r="M601" i="23"/>
  <c r="E601" i="23"/>
  <c r="A601" i="23"/>
  <c r="L601" i="23"/>
  <c r="I601" i="23"/>
  <c r="H601" i="23"/>
  <c r="F601" i="23"/>
  <c r="B601" i="23"/>
  <c r="J601" i="23"/>
  <c r="B58" i="23"/>
  <c r="B57" i="15" s="1"/>
  <c r="A58" i="23"/>
  <c r="C57" i="15"/>
  <c r="L57" i="15" s="1"/>
  <c r="M58" i="23"/>
  <c r="E58" i="23"/>
  <c r="J766" i="23"/>
  <c r="E766" i="23"/>
  <c r="K766" i="23"/>
  <c r="M766" i="23"/>
  <c r="H766" i="23"/>
  <c r="A766" i="23"/>
  <c r="B766" i="23"/>
  <c r="F766" i="23"/>
  <c r="G766" i="23"/>
  <c r="I766" i="23"/>
  <c r="L766" i="23"/>
  <c r="L882" i="23"/>
  <c r="K882" i="23"/>
  <c r="B882" i="23"/>
  <c r="F882" i="23"/>
  <c r="A882" i="23"/>
  <c r="E882" i="23"/>
  <c r="J882" i="23"/>
  <c r="M882" i="23"/>
  <c r="H882" i="23"/>
  <c r="G882" i="23"/>
  <c r="I882" i="23"/>
  <c r="K767" i="23"/>
  <c r="J767" i="23"/>
  <c r="H767" i="23"/>
  <c r="B767" i="23"/>
  <c r="A767" i="23"/>
  <c r="G767" i="23"/>
  <c r="E767" i="23"/>
  <c r="I767" i="23"/>
  <c r="F767" i="23"/>
  <c r="L767" i="23"/>
  <c r="M767" i="23"/>
  <c r="F317" i="23"/>
  <c r="E317" i="23"/>
  <c r="K317" i="23"/>
  <c r="I317" i="23"/>
  <c r="G317" i="23"/>
  <c r="M317" i="23"/>
  <c r="J317" i="23"/>
  <c r="H317" i="23"/>
  <c r="L317" i="23"/>
  <c r="A317" i="23"/>
  <c r="B317" i="23"/>
  <c r="B988" i="23"/>
  <c r="J988" i="23"/>
  <c r="H988" i="23"/>
  <c r="G988" i="23"/>
  <c r="L988" i="23"/>
  <c r="A988" i="23"/>
  <c r="K988" i="23"/>
  <c r="I988" i="23"/>
  <c r="E988" i="23"/>
  <c r="M988" i="23"/>
  <c r="F988" i="23"/>
  <c r="O80" i="20"/>
  <c r="N80" i="20"/>
  <c r="D12" i="15"/>
  <c r="G556" i="23"/>
  <c r="I556" i="23"/>
  <c r="H556" i="23"/>
  <c r="J556" i="23"/>
  <c r="K556" i="23"/>
  <c r="B556" i="23"/>
  <c r="E556" i="23"/>
  <c r="L556" i="23"/>
  <c r="F556" i="23"/>
  <c r="M556" i="23"/>
  <c r="A556" i="23"/>
  <c r="D15" i="15"/>
  <c r="L916" i="23"/>
  <c r="F916" i="23"/>
  <c r="K916" i="23"/>
  <c r="I916" i="23"/>
  <c r="B916" i="23"/>
  <c r="G916" i="23"/>
  <c r="M916" i="23"/>
  <c r="H916" i="23"/>
  <c r="E916" i="23"/>
  <c r="J916" i="23"/>
  <c r="A916" i="23"/>
  <c r="I589" i="23"/>
  <c r="J589" i="23"/>
  <c r="K589" i="23"/>
  <c r="M589" i="23"/>
  <c r="H589" i="23"/>
  <c r="L589" i="23"/>
  <c r="G589" i="23"/>
  <c r="A589" i="23"/>
  <c r="B589" i="23"/>
  <c r="E589" i="23"/>
  <c r="F589" i="23"/>
  <c r="A966" i="23"/>
  <c r="L966" i="23"/>
  <c r="J966" i="23"/>
  <c r="G966" i="23"/>
  <c r="B966" i="23"/>
  <c r="H966" i="23"/>
  <c r="K966" i="23"/>
  <c r="I966" i="23"/>
  <c r="M966" i="23"/>
  <c r="E966" i="23"/>
  <c r="F966" i="23"/>
  <c r="D21" i="15"/>
  <c r="A919" i="23"/>
  <c r="J919" i="23"/>
  <c r="L919" i="23"/>
  <c r="B919" i="23"/>
  <c r="E919" i="23"/>
  <c r="F919" i="23"/>
  <c r="K919" i="23"/>
  <c r="H919" i="23"/>
  <c r="I919" i="23"/>
  <c r="G919" i="23"/>
  <c r="M919" i="23"/>
  <c r="E14" i="23"/>
  <c r="C13" i="15"/>
  <c r="B14" i="23"/>
  <c r="B13" i="15" s="1"/>
  <c r="M14" i="23"/>
  <c r="A14" i="23"/>
  <c r="M81" i="23"/>
  <c r="C80" i="15"/>
  <c r="A81" i="23"/>
  <c r="B81" i="23"/>
  <c r="B80" i="15" s="1"/>
  <c r="E81" i="23"/>
  <c r="D66" i="15"/>
  <c r="M353" i="23"/>
  <c r="H353" i="23"/>
  <c r="L353" i="23"/>
  <c r="B353" i="23"/>
  <c r="G353" i="23"/>
  <c r="K353" i="23"/>
  <c r="I353" i="23"/>
  <c r="E353" i="23"/>
  <c r="J353" i="23"/>
  <c r="F353" i="23"/>
  <c r="A353" i="23"/>
  <c r="M154" i="23"/>
  <c r="C153" i="15"/>
  <c r="L154" i="23"/>
  <c r="G153" i="15" s="1"/>
  <c r="B154" i="23"/>
  <c r="B153" i="15" s="1"/>
  <c r="H154" i="23"/>
  <c r="A154" i="23"/>
  <c r="K154" i="23"/>
  <c r="H153" i="15" s="1"/>
  <c r="I154" i="23"/>
  <c r="F154" i="23" s="1"/>
  <c r="G154" i="23" s="1"/>
  <c r="E154" i="23"/>
  <c r="D153" i="15"/>
  <c r="M352" i="23"/>
  <c r="K352" i="23"/>
  <c r="F352" i="23"/>
  <c r="B352" i="23"/>
  <c r="A352" i="23"/>
  <c r="E352" i="23"/>
  <c r="G352" i="23"/>
  <c r="J352" i="23"/>
  <c r="I352" i="23"/>
  <c r="H352" i="23"/>
  <c r="L352" i="23"/>
  <c r="Y73" i="21"/>
  <c r="O14" i="20"/>
  <c r="B747" i="23"/>
  <c r="L747" i="23"/>
  <c r="M747" i="23"/>
  <c r="H747" i="23"/>
  <c r="E747" i="23"/>
  <c r="J747" i="23"/>
  <c r="G747" i="23"/>
  <c r="A747" i="23"/>
  <c r="F747" i="23"/>
  <c r="I747" i="23"/>
  <c r="K747" i="23"/>
  <c r="O17" i="20"/>
  <c r="G18" i="20" s="1"/>
  <c r="M925" i="23"/>
  <c r="B925" i="23"/>
  <c r="I925" i="23"/>
  <c r="E925" i="23"/>
  <c r="K925" i="23"/>
  <c r="J925" i="23"/>
  <c r="H925" i="23"/>
  <c r="L925" i="23"/>
  <c r="F925" i="23"/>
  <c r="A925" i="23"/>
  <c r="G925" i="23"/>
  <c r="E403" i="23"/>
  <c r="L403" i="23"/>
  <c r="G403" i="23"/>
  <c r="M403" i="23"/>
  <c r="K403" i="23"/>
  <c r="I403" i="23"/>
  <c r="B403" i="23"/>
  <c r="F403" i="23"/>
  <c r="A403" i="23"/>
  <c r="H403" i="23"/>
  <c r="J403" i="23"/>
  <c r="A91" i="23"/>
  <c r="B91" i="23"/>
  <c r="B90" i="15" s="1"/>
  <c r="M91" i="23"/>
  <c r="C90" i="15"/>
  <c r="E91" i="23"/>
  <c r="B63" i="21"/>
  <c r="D25" i="15"/>
  <c r="A69" i="23"/>
  <c r="B69" i="23"/>
  <c r="B68" i="15" s="1"/>
  <c r="C68" i="15"/>
  <c r="E69" i="23"/>
  <c r="M69" i="23"/>
  <c r="I68" i="15" s="1"/>
  <c r="A335" i="23"/>
  <c r="I335" i="23"/>
  <c r="K335" i="23"/>
  <c r="L335" i="23"/>
  <c r="J335" i="23"/>
  <c r="B335" i="23"/>
  <c r="F335" i="23"/>
  <c r="G335" i="23"/>
  <c r="H335" i="23"/>
  <c r="M335" i="23"/>
  <c r="E335" i="23"/>
  <c r="B45" i="23"/>
  <c r="B44" i="15" s="1"/>
  <c r="A45" i="23"/>
  <c r="C44" i="15"/>
  <c r="M45" i="23"/>
  <c r="E45" i="23"/>
  <c r="E201" i="23"/>
  <c r="B201" i="23"/>
  <c r="B200" i="15" s="1"/>
  <c r="H201" i="23"/>
  <c r="L201" i="23"/>
  <c r="G200" i="15" s="1"/>
  <c r="K201" i="23"/>
  <c r="H200" i="15" s="1"/>
  <c r="C200" i="15"/>
  <c r="I201" i="23"/>
  <c r="A201" i="23"/>
  <c r="G201" i="23"/>
  <c r="F201" i="23"/>
  <c r="J201" i="23"/>
  <c r="M201" i="23"/>
  <c r="D156" i="15"/>
  <c r="E430" i="23"/>
  <c r="J430" i="23"/>
  <c r="A430" i="23"/>
  <c r="I430" i="23"/>
  <c r="L430" i="23"/>
  <c r="B430" i="23"/>
  <c r="F430" i="23"/>
  <c r="H430" i="23"/>
  <c r="M430" i="23"/>
  <c r="G430" i="23"/>
  <c r="K430" i="23"/>
  <c r="H650" i="23"/>
  <c r="F650" i="23"/>
  <c r="L650" i="23"/>
  <c r="I650" i="23"/>
  <c r="B650" i="23"/>
  <c r="G650" i="23"/>
  <c r="M650" i="23"/>
  <c r="E650" i="23"/>
  <c r="A650" i="23"/>
  <c r="J650" i="23"/>
  <c r="K650" i="23"/>
  <c r="D58" i="15"/>
  <c r="A448" i="23"/>
  <c r="F448" i="23"/>
  <c r="G448" i="23"/>
  <c r="I448" i="23"/>
  <c r="M448" i="23"/>
  <c r="B448" i="23"/>
  <c r="L448" i="23"/>
  <c r="J448" i="23"/>
  <c r="H448" i="23"/>
  <c r="E448" i="23"/>
  <c r="K448" i="23"/>
  <c r="C175" i="15"/>
  <c r="K175" i="15" s="1"/>
  <c r="A176" i="23"/>
  <c r="E176" i="23"/>
  <c r="B176" i="23"/>
  <c r="B175" i="15" s="1"/>
  <c r="H176" i="23"/>
  <c r="K176" i="23"/>
  <c r="H175" i="15" s="1"/>
  <c r="L176" i="23"/>
  <c r="G175" i="15" s="1"/>
  <c r="M176" i="23"/>
  <c r="J176" i="23"/>
  <c r="I176" i="23"/>
  <c r="F176" i="23" s="1"/>
  <c r="G176" i="23" s="1"/>
  <c r="F835" i="23"/>
  <c r="E835" i="23"/>
  <c r="M835" i="23"/>
  <c r="G835" i="23"/>
  <c r="J835" i="23"/>
  <c r="K835" i="23"/>
  <c r="H835" i="23"/>
  <c r="L835" i="23"/>
  <c r="I835" i="23"/>
  <c r="B835" i="23"/>
  <c r="A835" i="23"/>
  <c r="A99" i="23"/>
  <c r="M99" i="23"/>
  <c r="B99" i="23"/>
  <c r="B98" i="15" s="1"/>
  <c r="E99" i="23"/>
  <c r="C98" i="15"/>
  <c r="F98" i="15" s="1"/>
  <c r="H656" i="23"/>
  <c r="M656" i="23"/>
  <c r="I656" i="23"/>
  <c r="L656" i="23"/>
  <c r="K656" i="23"/>
  <c r="A656" i="23"/>
  <c r="G656" i="23"/>
  <c r="F656" i="23"/>
  <c r="B656" i="23"/>
  <c r="J656" i="23"/>
  <c r="E656" i="23"/>
  <c r="D176" i="15"/>
  <c r="A294" i="23"/>
  <c r="J294" i="23"/>
  <c r="B294" i="23"/>
  <c r="M294" i="23"/>
  <c r="F294" i="23"/>
  <c r="G294" i="23"/>
  <c r="L294" i="23"/>
  <c r="I294" i="23"/>
  <c r="E294" i="23"/>
  <c r="H294" i="23"/>
  <c r="K294" i="23"/>
  <c r="D32" i="15"/>
  <c r="I695" i="23"/>
  <c r="L695" i="23"/>
  <c r="M695" i="23"/>
  <c r="F695" i="23"/>
  <c r="G695" i="23"/>
  <c r="A695" i="23"/>
  <c r="E695" i="23"/>
  <c r="B695" i="23"/>
  <c r="H695" i="23"/>
  <c r="K695" i="23"/>
  <c r="J695" i="23"/>
  <c r="E322" i="23"/>
  <c r="J322" i="23"/>
  <c r="B322" i="23"/>
  <c r="M322" i="23"/>
  <c r="K322" i="23"/>
  <c r="A322" i="23"/>
  <c r="F322" i="23"/>
  <c r="I322" i="23"/>
  <c r="H322" i="23"/>
  <c r="G322" i="23"/>
  <c r="L322" i="23"/>
  <c r="M626" i="23"/>
  <c r="E626" i="23"/>
  <c r="B626" i="23"/>
  <c r="L626" i="23"/>
  <c r="F626" i="23"/>
  <c r="K626" i="23"/>
  <c r="A626" i="23"/>
  <c r="I626" i="23"/>
  <c r="G626" i="23"/>
  <c r="H626" i="23"/>
  <c r="J626" i="23"/>
  <c r="D185" i="15"/>
  <c r="J571" i="23"/>
  <c r="M571" i="23"/>
  <c r="E571" i="23"/>
  <c r="K571" i="23"/>
  <c r="G571" i="23"/>
  <c r="L571" i="23"/>
  <c r="A571" i="23"/>
  <c r="F571" i="23"/>
  <c r="I571" i="23"/>
  <c r="H571" i="23"/>
  <c r="B571" i="23"/>
  <c r="G599" i="23"/>
  <c r="H599" i="23"/>
  <c r="M599" i="23"/>
  <c r="B599" i="23"/>
  <c r="I599" i="23"/>
  <c r="K599" i="23"/>
  <c r="E599" i="23"/>
  <c r="F599" i="23"/>
  <c r="A599" i="23"/>
  <c r="L599" i="23"/>
  <c r="J599" i="23"/>
  <c r="F423" i="23"/>
  <c r="E423" i="23"/>
  <c r="I423" i="23"/>
  <c r="L423" i="23"/>
  <c r="A423" i="23"/>
  <c r="H423" i="23"/>
  <c r="K423" i="23"/>
  <c r="G423" i="23"/>
  <c r="M423" i="23"/>
  <c r="B423" i="23"/>
  <c r="J423" i="23"/>
  <c r="D67" i="15"/>
  <c r="I370" i="23"/>
  <c r="J370" i="23"/>
  <c r="L370" i="23"/>
  <c r="K370" i="23"/>
  <c r="G370" i="23"/>
  <c r="E370" i="23"/>
  <c r="B370" i="23"/>
  <c r="M370" i="23"/>
  <c r="A370" i="23"/>
  <c r="H370" i="23"/>
  <c r="F370" i="23"/>
  <c r="Y9" i="21"/>
  <c r="Y65" i="21"/>
  <c r="A954" i="23"/>
  <c r="F954" i="23"/>
  <c r="K954" i="23"/>
  <c r="E954" i="23"/>
  <c r="L954" i="23"/>
  <c r="J954" i="23"/>
  <c r="I954" i="23"/>
  <c r="H954" i="23"/>
  <c r="B954" i="23"/>
  <c r="G954" i="23"/>
  <c r="M954" i="23"/>
  <c r="D18" i="15"/>
  <c r="D46" i="15"/>
  <c r="B511" i="23"/>
  <c r="G511" i="23"/>
  <c r="J511" i="23"/>
  <c r="L511" i="23"/>
  <c r="M511" i="23"/>
  <c r="K511" i="23"/>
  <c r="I511" i="23"/>
  <c r="H511" i="23"/>
  <c r="F511" i="23"/>
  <c r="A511" i="23"/>
  <c r="E511" i="23"/>
  <c r="J263" i="23"/>
  <c r="H263" i="23"/>
  <c r="F263" i="23"/>
  <c r="L263" i="23"/>
  <c r="K263" i="23"/>
  <c r="G263" i="23"/>
  <c r="M263" i="23"/>
  <c r="B263" i="23"/>
  <c r="A263" i="23"/>
  <c r="I263" i="23"/>
  <c r="E263" i="23"/>
  <c r="A425" i="23"/>
  <c r="M425" i="23"/>
  <c r="E425" i="23"/>
  <c r="L425" i="23"/>
  <c r="F425" i="23"/>
  <c r="B425" i="23"/>
  <c r="K425" i="23"/>
  <c r="G425" i="23"/>
  <c r="I425" i="23"/>
  <c r="J425" i="23"/>
  <c r="H425" i="23"/>
  <c r="H631" i="23"/>
  <c r="K631" i="23"/>
  <c r="M631" i="23"/>
  <c r="L631" i="23"/>
  <c r="B631" i="23"/>
  <c r="E631" i="23"/>
  <c r="J631" i="23"/>
  <c r="I631" i="23"/>
  <c r="G631" i="23"/>
  <c r="F631" i="23"/>
  <c r="A631" i="23"/>
  <c r="F230" i="23"/>
  <c r="I230" i="23"/>
  <c r="B230" i="23"/>
  <c r="J230" i="23"/>
  <c r="M230" i="23"/>
  <c r="L230" i="23"/>
  <c r="G230" i="23"/>
  <c r="H230" i="23"/>
  <c r="E230" i="23"/>
  <c r="K230" i="23"/>
  <c r="A230" i="23"/>
  <c r="O89" i="20"/>
  <c r="N89" i="20"/>
  <c r="H487" i="23"/>
  <c r="E487" i="23"/>
  <c r="A487" i="23"/>
  <c r="J487" i="23"/>
  <c r="K487" i="23"/>
  <c r="L487" i="23"/>
  <c r="G487" i="23"/>
  <c r="F487" i="23"/>
  <c r="M487" i="23"/>
  <c r="B487" i="23"/>
  <c r="I487" i="23"/>
  <c r="B16" i="23"/>
  <c r="B15" i="15" s="1"/>
  <c r="C15" i="15"/>
  <c r="M16" i="23"/>
  <c r="E16" i="23"/>
  <c r="A16" i="23"/>
  <c r="B89" i="20"/>
  <c r="B29" i="20"/>
  <c r="B40" i="20"/>
  <c r="B79" i="20"/>
  <c r="B52" i="20"/>
  <c r="B55" i="20"/>
  <c r="B106" i="20"/>
  <c r="B44" i="20"/>
  <c r="B78" i="20"/>
  <c r="B58" i="20"/>
  <c r="B15" i="20"/>
  <c r="B107" i="20"/>
  <c r="B93" i="20"/>
  <c r="B104" i="20"/>
  <c r="B21" i="20"/>
  <c r="B60" i="20"/>
  <c r="B18" i="20"/>
  <c r="B95" i="20"/>
  <c r="B111" i="20"/>
  <c r="B38" i="20"/>
  <c r="B86" i="20"/>
  <c r="B45" i="20"/>
  <c r="B103" i="20"/>
  <c r="B108" i="20"/>
  <c r="B12" i="20"/>
  <c r="B48" i="20"/>
  <c r="B63" i="20"/>
  <c r="B81" i="20"/>
  <c r="B32" i="20"/>
  <c r="B36" i="20"/>
  <c r="B83" i="20"/>
  <c r="B54" i="20"/>
  <c r="B62" i="20"/>
  <c r="B27" i="20"/>
  <c r="B99" i="20"/>
  <c r="B96" i="20"/>
  <c r="B39" i="20"/>
  <c r="B67" i="20"/>
  <c r="B87" i="20"/>
  <c r="B105" i="20"/>
  <c r="B84" i="20"/>
  <c r="B28" i="20"/>
  <c r="B59" i="20"/>
  <c r="B76" i="20"/>
  <c r="B35" i="20"/>
  <c r="B46" i="20"/>
  <c r="B30" i="20"/>
  <c r="B37" i="20"/>
  <c r="B26" i="20"/>
  <c r="B6" i="20"/>
  <c r="B73" i="20"/>
  <c r="B50" i="20"/>
  <c r="B57" i="20"/>
  <c r="B80" i="20"/>
  <c r="B75" i="20"/>
  <c r="D4" i="16"/>
  <c r="B71" i="20"/>
  <c r="B51" i="20"/>
  <c r="B113" i="20"/>
  <c r="B64" i="20"/>
  <c r="B74" i="20"/>
  <c r="B56" i="20"/>
  <c r="B19" i="20"/>
  <c r="B13" i="20"/>
  <c r="F77" i="24" s="1"/>
  <c r="B42" i="20"/>
  <c r="B82" i="20"/>
  <c r="B9" i="20"/>
  <c r="B72" i="20"/>
  <c r="B34" i="20"/>
  <c r="B16" i="20"/>
  <c r="B100" i="20"/>
  <c r="B110" i="20"/>
  <c r="B91" i="20"/>
  <c r="B66" i="20"/>
  <c r="B61" i="20"/>
  <c r="B102" i="20"/>
  <c r="B101" i="20"/>
  <c r="B49" i="20"/>
  <c r="B112" i="20"/>
  <c r="B77" i="20"/>
  <c r="B88" i="20"/>
  <c r="B14" i="20"/>
  <c r="B69" i="20"/>
  <c r="B7" i="20"/>
  <c r="B23" i="20"/>
  <c r="B98" i="20"/>
  <c r="B20" i="20"/>
  <c r="B31" i="20"/>
  <c r="B65" i="20"/>
  <c r="B33" i="20"/>
  <c r="B25" i="20"/>
  <c r="B68" i="20"/>
  <c r="B22" i="20"/>
  <c r="B24" i="20"/>
  <c r="B11" i="20"/>
  <c r="B97" i="20"/>
  <c r="B8" i="20"/>
  <c r="B53" i="20"/>
  <c r="B94" i="20"/>
  <c r="B17" i="20"/>
  <c r="B10" i="20"/>
  <c r="B70" i="20"/>
  <c r="B90" i="20"/>
  <c r="B109" i="20"/>
  <c r="B85" i="20"/>
  <c r="B43" i="20"/>
  <c r="B92" i="20"/>
  <c r="B41" i="20"/>
  <c r="B47" i="20"/>
  <c r="I458" i="23"/>
  <c r="H458" i="23"/>
  <c r="M458" i="23"/>
  <c r="F458" i="23"/>
  <c r="G458" i="23"/>
  <c r="B458" i="23"/>
  <c r="A458" i="23"/>
  <c r="E458" i="23"/>
  <c r="L458" i="23"/>
  <c r="K458" i="23"/>
  <c r="J458" i="23"/>
  <c r="Y41" i="21"/>
  <c r="A959" i="23"/>
  <c r="B959" i="23"/>
  <c r="I959" i="23"/>
  <c r="H959" i="23"/>
  <c r="E959" i="23"/>
  <c r="K959" i="23"/>
  <c r="G959" i="23"/>
  <c r="J959" i="23"/>
  <c r="M959" i="23"/>
  <c r="F959" i="23"/>
  <c r="L959" i="23"/>
  <c r="A943" i="23"/>
  <c r="J943" i="23"/>
  <c r="F943" i="23"/>
  <c r="B943" i="23"/>
  <c r="G943" i="23"/>
  <c r="I943" i="23"/>
  <c r="L943" i="23"/>
  <c r="H943" i="23"/>
  <c r="E943" i="23"/>
  <c r="K943" i="23"/>
  <c r="M943" i="23"/>
  <c r="J609" i="23"/>
  <c r="E609" i="23"/>
  <c r="F609" i="23"/>
  <c r="H609" i="23"/>
  <c r="A609" i="23"/>
  <c r="M609" i="23"/>
  <c r="K609" i="23"/>
  <c r="I609" i="23"/>
  <c r="L609" i="23"/>
  <c r="B609" i="23"/>
  <c r="G609" i="23"/>
  <c r="M444" i="23"/>
  <c r="B444" i="23"/>
  <c r="H444" i="23"/>
  <c r="A444" i="23"/>
  <c r="E444" i="23"/>
  <c r="G444" i="23"/>
  <c r="F444" i="23"/>
  <c r="J444" i="23"/>
  <c r="K444" i="23"/>
  <c r="L444" i="23"/>
  <c r="I444" i="23"/>
  <c r="G788" i="23"/>
  <c r="K788" i="23"/>
  <c r="A788" i="23"/>
  <c r="L788" i="23"/>
  <c r="M788" i="23"/>
  <c r="E788" i="23"/>
  <c r="H788" i="23"/>
  <c r="F788" i="23"/>
  <c r="J788" i="23"/>
  <c r="I788" i="23"/>
  <c r="B788" i="23"/>
  <c r="D93" i="15"/>
  <c r="D152" i="15"/>
  <c r="B69" i="21"/>
  <c r="E529" i="23"/>
  <c r="A529" i="23"/>
  <c r="L529" i="23"/>
  <c r="J529" i="23"/>
  <c r="F529" i="23"/>
  <c r="M529" i="23"/>
  <c r="H529" i="23"/>
  <c r="K529" i="23"/>
  <c r="B529" i="23"/>
  <c r="I529" i="23"/>
  <c r="G529" i="23"/>
  <c r="F772" i="23"/>
  <c r="L772" i="23"/>
  <c r="B772" i="23"/>
  <c r="H772" i="23"/>
  <c r="A772" i="23"/>
  <c r="I772" i="23"/>
  <c r="J772" i="23"/>
  <c r="G772" i="23"/>
  <c r="E772" i="23"/>
  <c r="K772" i="23"/>
  <c r="M772" i="23"/>
  <c r="K875" i="23"/>
  <c r="G875" i="23"/>
  <c r="L875" i="23"/>
  <c r="J875" i="23"/>
  <c r="I875" i="23"/>
  <c r="B875" i="23"/>
  <c r="F875" i="23"/>
  <c r="E875" i="23"/>
  <c r="M875" i="23"/>
  <c r="H875" i="23"/>
  <c r="A875" i="23"/>
  <c r="M476" i="23"/>
  <c r="E476" i="23"/>
  <c r="B476" i="23"/>
  <c r="I476" i="23"/>
  <c r="G476" i="23"/>
  <c r="F476" i="23"/>
  <c r="K476" i="23"/>
  <c r="L476" i="23"/>
  <c r="H476" i="23"/>
  <c r="J476" i="23"/>
  <c r="A476" i="23"/>
  <c r="I334" i="23"/>
  <c r="L334" i="23"/>
  <c r="J334" i="23"/>
  <c r="H334" i="23"/>
  <c r="A334" i="23"/>
  <c r="F334" i="23"/>
  <c r="G334" i="23"/>
  <c r="M334" i="23"/>
  <c r="E334" i="23"/>
  <c r="K334" i="23"/>
  <c r="B334" i="23"/>
  <c r="E181" i="23"/>
  <c r="L181" i="23"/>
  <c r="G180" i="15" s="1"/>
  <c r="C180" i="15"/>
  <c r="I181" i="23"/>
  <c r="F181" i="23"/>
  <c r="G181" i="23"/>
  <c r="A181" i="23"/>
  <c r="K181" i="23"/>
  <c r="H180" i="15" s="1"/>
  <c r="B181" i="23"/>
  <c r="B180" i="15" s="1"/>
  <c r="J181" i="23"/>
  <c r="H181" i="23"/>
  <c r="M181" i="23"/>
  <c r="I180" i="15" s="1"/>
  <c r="L167" i="23"/>
  <c r="G166" i="15" s="1"/>
  <c r="I167" i="23"/>
  <c r="F167" i="23" s="1"/>
  <c r="G167" i="23" s="1"/>
  <c r="K167" i="23"/>
  <c r="H166" i="15" s="1"/>
  <c r="M167" i="23"/>
  <c r="B167" i="23"/>
  <c r="B166" i="15" s="1"/>
  <c r="H167" i="23"/>
  <c r="E167" i="23"/>
  <c r="A167" i="23"/>
  <c r="J167" i="23"/>
  <c r="C166" i="15"/>
  <c r="O18" i="20"/>
  <c r="M25" i="23"/>
  <c r="A25" i="23"/>
  <c r="B25" i="23"/>
  <c r="B24" i="15" s="1"/>
  <c r="E25" i="23"/>
  <c r="C24" i="15"/>
  <c r="G258" i="23"/>
  <c r="J258" i="23"/>
  <c r="E258" i="23"/>
  <c r="M258" i="23"/>
  <c r="K258" i="23"/>
  <c r="L258" i="23"/>
  <c r="A258" i="23"/>
  <c r="I258" i="23"/>
  <c r="B258" i="23"/>
  <c r="F258" i="23"/>
  <c r="H258" i="23"/>
  <c r="J191" i="23"/>
  <c r="L191" i="23"/>
  <c r="G190" i="15" s="1"/>
  <c r="F191" i="23"/>
  <c r="K191" i="23"/>
  <c r="H190" i="15" s="1"/>
  <c r="E191" i="23"/>
  <c r="M191" i="23"/>
  <c r="I191" i="23"/>
  <c r="C190" i="15"/>
  <c r="G191" i="23"/>
  <c r="H191" i="23"/>
  <c r="A191" i="23"/>
  <c r="B191" i="23"/>
  <c r="B190" i="15" s="1"/>
  <c r="E29" i="23"/>
  <c r="B29" i="23"/>
  <c r="B28" i="15" s="1"/>
  <c r="A29" i="23"/>
  <c r="M29" i="23"/>
  <c r="C28" i="15"/>
  <c r="L221" i="23"/>
  <c r="G220" i="15" s="1"/>
  <c r="K221" i="23"/>
  <c r="H220" i="15" s="1"/>
  <c r="I221" i="23"/>
  <c r="J221" i="23"/>
  <c r="F221" i="23"/>
  <c r="A221" i="23"/>
  <c r="H221" i="23"/>
  <c r="E221" i="23"/>
  <c r="B221" i="23"/>
  <c r="B220" i="15" s="1"/>
  <c r="G221" i="23"/>
  <c r="C220" i="15"/>
  <c r="M221" i="23"/>
  <c r="D160" i="15"/>
  <c r="D134" i="15"/>
  <c r="A594" i="23"/>
  <c r="L594" i="23"/>
  <c r="K594" i="23"/>
  <c r="H594" i="23"/>
  <c r="F594" i="23"/>
  <c r="E594" i="23"/>
  <c r="B594" i="23"/>
  <c r="M594" i="23"/>
  <c r="J594" i="23"/>
  <c r="I594" i="23"/>
  <c r="G594" i="23"/>
  <c r="D39" i="15"/>
  <c r="Y47" i="21"/>
  <c r="B757" i="23"/>
  <c r="I757" i="23"/>
  <c r="M757" i="23"/>
  <c r="H757" i="23"/>
  <c r="A757" i="23"/>
  <c r="F757" i="23"/>
  <c r="L757" i="23"/>
  <c r="G757" i="23"/>
  <c r="E757" i="23"/>
  <c r="K757" i="23"/>
  <c r="J757" i="23"/>
  <c r="N73" i="20"/>
  <c r="O73" i="20"/>
  <c r="O103" i="20"/>
  <c r="N103" i="20"/>
  <c r="D135" i="15"/>
  <c r="L740" i="23"/>
  <c r="I740" i="23"/>
  <c r="H740" i="23"/>
  <c r="B740" i="23"/>
  <c r="K740" i="23"/>
  <c r="M740" i="23"/>
  <c r="E740" i="23"/>
  <c r="F740" i="23"/>
  <c r="A740" i="23"/>
  <c r="G740" i="23"/>
  <c r="J740" i="23"/>
  <c r="H147" i="23"/>
  <c r="A147" i="23"/>
  <c r="B147" i="23"/>
  <c r="B146" i="15" s="1"/>
  <c r="M147" i="23"/>
  <c r="J147" i="23"/>
  <c r="I147" i="23"/>
  <c r="F147" i="23" s="1"/>
  <c r="G147" i="23" s="1"/>
  <c r="K147" i="23"/>
  <c r="H146" i="15" s="1"/>
  <c r="E147" i="23"/>
  <c r="C146" i="15"/>
  <c r="F146" i="15" s="1"/>
  <c r="L147" i="23"/>
  <c r="G146" i="15" s="1"/>
  <c r="M112" i="23"/>
  <c r="L112" i="23"/>
  <c r="G111" i="15" s="1"/>
  <c r="B112" i="23"/>
  <c r="B111" i="15" s="1"/>
  <c r="K112" i="23"/>
  <c r="H111" i="15" s="1"/>
  <c r="C111" i="15"/>
  <c r="H112" i="23"/>
  <c r="A112" i="23"/>
  <c r="E112" i="23"/>
  <c r="I112" i="23"/>
  <c r="F112" i="23" s="1"/>
  <c r="G112" i="23" s="1"/>
  <c r="J112" i="23"/>
  <c r="K196" i="23"/>
  <c r="H195" i="15" s="1"/>
  <c r="F196" i="23"/>
  <c r="C195" i="15"/>
  <c r="A196" i="23"/>
  <c r="G196" i="23"/>
  <c r="M196" i="23"/>
  <c r="B196" i="23"/>
  <c r="B195" i="15" s="1"/>
  <c r="H196" i="23"/>
  <c r="L196" i="23"/>
  <c r="G195" i="15" s="1"/>
  <c r="I196" i="23"/>
  <c r="J196" i="23"/>
  <c r="E196" i="23"/>
  <c r="D82" i="15"/>
  <c r="N78" i="20"/>
  <c r="O78" i="20"/>
  <c r="L749" i="23"/>
  <c r="E749" i="23"/>
  <c r="M749" i="23"/>
  <c r="K749" i="23"/>
  <c r="B749" i="23"/>
  <c r="A749" i="23"/>
  <c r="J749" i="23"/>
  <c r="G749" i="23"/>
  <c r="H749" i="23"/>
  <c r="F749" i="23"/>
  <c r="I749" i="23"/>
  <c r="J148" i="23"/>
  <c r="E148" i="23"/>
  <c r="B148" i="23"/>
  <c r="B147" i="15" s="1"/>
  <c r="G148" i="23"/>
  <c r="H148" i="23"/>
  <c r="C147" i="15"/>
  <c r="F147" i="15" s="1"/>
  <c r="F148" i="23"/>
  <c r="M148" i="23"/>
  <c r="I147" i="15" s="1"/>
  <c r="K148" i="23"/>
  <c r="H147" i="15" s="1"/>
  <c r="L148" i="23"/>
  <c r="G147" i="15" s="1"/>
  <c r="I148" i="23"/>
  <c r="A148" i="23"/>
  <c r="A376" i="23"/>
  <c r="I376" i="23"/>
  <c r="F376" i="23"/>
  <c r="G376" i="23"/>
  <c r="B376" i="23"/>
  <c r="H376" i="23"/>
  <c r="L376" i="23"/>
  <c r="J376" i="23"/>
  <c r="E376" i="23"/>
  <c r="K376" i="23"/>
  <c r="M376" i="23"/>
  <c r="D212" i="15"/>
  <c r="F636" i="23"/>
  <c r="A636" i="23"/>
  <c r="H636" i="23"/>
  <c r="B636" i="23"/>
  <c r="K636" i="23"/>
  <c r="G636" i="23"/>
  <c r="I636" i="23"/>
  <c r="J636" i="23"/>
  <c r="E636" i="23"/>
  <c r="M636" i="23"/>
  <c r="L636" i="23"/>
  <c r="F603" i="23"/>
  <c r="I603" i="23"/>
  <c r="M603" i="23"/>
  <c r="A603" i="23"/>
  <c r="G603" i="23"/>
  <c r="K603" i="23"/>
  <c r="E603" i="23"/>
  <c r="H603" i="23"/>
  <c r="L603" i="23"/>
  <c r="B603" i="23"/>
  <c r="J603" i="23"/>
  <c r="Y92" i="21"/>
  <c r="N108" i="20"/>
  <c r="O108" i="20"/>
  <c r="O16" i="20"/>
  <c r="D208" i="15"/>
  <c r="D190" i="15"/>
  <c r="A653" i="23"/>
  <c r="M653" i="23"/>
  <c r="J653" i="23"/>
  <c r="G653" i="23"/>
  <c r="F653" i="23"/>
  <c r="B653" i="23"/>
  <c r="K653" i="23"/>
  <c r="H653" i="23"/>
  <c r="L653" i="23"/>
  <c r="I653" i="23"/>
  <c r="E653" i="23"/>
  <c r="A20" i="23"/>
  <c r="E20" i="23"/>
  <c r="B20" i="23"/>
  <c r="B19" i="15" s="1"/>
  <c r="C19" i="15"/>
  <c r="M20" i="23"/>
  <c r="H657" i="23"/>
  <c r="F657" i="23"/>
  <c r="B657" i="23"/>
  <c r="M657" i="23"/>
  <c r="A657" i="23"/>
  <c r="E657" i="23"/>
  <c r="J657" i="23"/>
  <c r="K657" i="23"/>
  <c r="I657" i="23"/>
  <c r="L657" i="23"/>
  <c r="G657" i="23"/>
  <c r="E109" i="23"/>
  <c r="K109" i="23"/>
  <c r="H108" i="15" s="1"/>
  <c r="M109" i="23"/>
  <c r="I108" i="15" s="1"/>
  <c r="A109" i="23"/>
  <c r="L109" i="23"/>
  <c r="G108" i="15" s="1"/>
  <c r="H109" i="23"/>
  <c r="C108" i="15"/>
  <c r="I109" i="23"/>
  <c r="F109" i="23" s="1"/>
  <c r="G109" i="23" s="1"/>
  <c r="J109" i="23"/>
  <c r="B109" i="23"/>
  <c r="B108" i="15" s="1"/>
  <c r="D182" i="15"/>
  <c r="J639" i="23"/>
  <c r="F639" i="23"/>
  <c r="B639" i="23"/>
  <c r="I639" i="23"/>
  <c r="M639" i="23"/>
  <c r="L639" i="23"/>
  <c r="A639" i="23"/>
  <c r="K639" i="23"/>
  <c r="G639" i="23"/>
  <c r="E639" i="23"/>
  <c r="H639" i="23"/>
  <c r="M857" i="23"/>
  <c r="I857" i="23"/>
  <c r="L857" i="23"/>
  <c r="F857" i="23"/>
  <c r="B857" i="23"/>
  <c r="G857" i="23"/>
  <c r="H857" i="23"/>
  <c r="E857" i="23"/>
  <c r="K857" i="23"/>
  <c r="J857" i="23"/>
  <c r="A857" i="23"/>
  <c r="A619" i="23"/>
  <c r="B619" i="23"/>
  <c r="H619" i="23"/>
  <c r="J619" i="23"/>
  <c r="E619" i="23"/>
  <c r="L619" i="23"/>
  <c r="G619" i="23"/>
  <c r="F619" i="23"/>
  <c r="K619" i="23"/>
  <c r="I619" i="23"/>
  <c r="M619" i="23"/>
  <c r="E769" i="23"/>
  <c r="B769" i="23"/>
  <c r="I769" i="23"/>
  <c r="G769" i="23"/>
  <c r="H769" i="23"/>
  <c r="K769" i="23"/>
  <c r="L769" i="23"/>
  <c r="F769" i="23"/>
  <c r="M769" i="23"/>
  <c r="A769" i="23"/>
  <c r="J769" i="23"/>
  <c r="E705" i="23"/>
  <c r="M705" i="23"/>
  <c r="J705" i="23"/>
  <c r="L705" i="23"/>
  <c r="B705" i="23"/>
  <c r="K705" i="23"/>
  <c r="F705" i="23"/>
  <c r="I705" i="23"/>
  <c r="A705" i="23"/>
  <c r="G705" i="23"/>
  <c r="H705" i="23"/>
  <c r="H118" i="23"/>
  <c r="M118" i="23"/>
  <c r="I118" i="23"/>
  <c r="F118" i="23" s="1"/>
  <c r="G118" i="23" s="1"/>
  <c r="B118" i="23"/>
  <c r="B117" i="15" s="1"/>
  <c r="L118" i="23"/>
  <c r="G117" i="15" s="1"/>
  <c r="A118" i="23"/>
  <c r="K118" i="23"/>
  <c r="H117" i="15" s="1"/>
  <c r="J118" i="23"/>
  <c r="E118" i="23"/>
  <c r="C117" i="15"/>
  <c r="G795" i="23"/>
  <c r="L795" i="23"/>
  <c r="K795" i="23"/>
  <c r="A795" i="23"/>
  <c r="H795" i="23"/>
  <c r="J795" i="23"/>
  <c r="F795" i="23"/>
  <c r="M795" i="23"/>
  <c r="B795" i="23"/>
  <c r="E795" i="23"/>
  <c r="I795" i="23"/>
  <c r="N83" i="20"/>
  <c r="O83" i="20"/>
  <c r="K986" i="23"/>
  <c r="G986" i="23"/>
  <c r="E986" i="23"/>
  <c r="L986" i="23"/>
  <c r="B986" i="23"/>
  <c r="J986" i="23"/>
  <c r="A986" i="23"/>
  <c r="H986" i="23"/>
  <c r="F986" i="23"/>
  <c r="M986" i="23"/>
  <c r="I986" i="23"/>
  <c r="Y38" i="21"/>
  <c r="I262" i="23"/>
  <c r="B262" i="23"/>
  <c r="G262" i="23"/>
  <c r="J262" i="23"/>
  <c r="M262" i="23"/>
  <c r="A262" i="23"/>
  <c r="F262" i="23"/>
  <c r="K262" i="23"/>
  <c r="L262" i="23"/>
  <c r="H262" i="23"/>
  <c r="E262" i="23"/>
  <c r="E543" i="23"/>
  <c r="K543" i="23"/>
  <c r="A543" i="23"/>
  <c r="M543" i="23"/>
  <c r="L543" i="23"/>
  <c r="I543" i="23"/>
  <c r="H543" i="23"/>
  <c r="J543" i="23"/>
  <c r="F543" i="23"/>
  <c r="B543" i="23"/>
  <c r="G543" i="23"/>
  <c r="Y45" i="21"/>
  <c r="F562" i="23"/>
  <c r="E562" i="23"/>
  <c r="B562" i="23"/>
  <c r="M562" i="23"/>
  <c r="L562" i="23"/>
  <c r="G562" i="23"/>
  <c r="I562" i="23"/>
  <c r="J562" i="23"/>
  <c r="H562" i="23"/>
  <c r="K562" i="23"/>
  <c r="A562" i="23"/>
  <c r="I627" i="23"/>
  <c r="A627" i="23"/>
  <c r="L627" i="23"/>
  <c r="H627" i="23"/>
  <c r="M627" i="23"/>
  <c r="G627" i="23"/>
  <c r="J627" i="23"/>
  <c r="K627" i="23"/>
  <c r="B627" i="23"/>
  <c r="E627" i="23"/>
  <c r="F627" i="23"/>
  <c r="C114" i="15"/>
  <c r="E114" i="15" s="1"/>
  <c r="H115" i="23"/>
  <c r="J115" i="23"/>
  <c r="A115" i="23"/>
  <c r="L115" i="23"/>
  <c r="G114" i="15" s="1"/>
  <c r="E115" i="23"/>
  <c r="M115" i="23"/>
  <c r="I114" i="15" s="1"/>
  <c r="I115" i="23"/>
  <c r="F115" i="23" s="1"/>
  <c r="G115" i="23" s="1"/>
  <c r="K115" i="23"/>
  <c r="H114" i="15" s="1"/>
  <c r="B115" i="23"/>
  <c r="B114" i="15" s="1"/>
  <c r="B172" i="23"/>
  <c r="B171" i="15" s="1"/>
  <c r="H172" i="23"/>
  <c r="I172" i="23"/>
  <c r="F172" i="23" s="1"/>
  <c r="G172" i="23" s="1"/>
  <c r="J172" i="23"/>
  <c r="M172" i="23"/>
  <c r="E172" i="23"/>
  <c r="K172" i="23"/>
  <c r="H171" i="15" s="1"/>
  <c r="A172" i="23"/>
  <c r="L172" i="23"/>
  <c r="G171" i="15" s="1"/>
  <c r="C171" i="15"/>
  <c r="L886" i="23"/>
  <c r="H886" i="23"/>
  <c r="A886" i="23"/>
  <c r="E886" i="23"/>
  <c r="B886" i="23"/>
  <c r="J886" i="23"/>
  <c r="I886" i="23"/>
  <c r="M886" i="23"/>
  <c r="K886" i="23"/>
  <c r="G886" i="23"/>
  <c r="F886" i="23"/>
  <c r="B101" i="21"/>
  <c r="K213" i="23"/>
  <c r="H212" i="15" s="1"/>
  <c r="I213" i="23"/>
  <c r="A213" i="23"/>
  <c r="J213" i="23"/>
  <c r="H213" i="23"/>
  <c r="C212" i="15"/>
  <c r="M213" i="23"/>
  <c r="I212" i="15" s="1"/>
  <c r="L213" i="23"/>
  <c r="G212" i="15" s="1"/>
  <c r="F213" i="23"/>
  <c r="E213" i="23"/>
  <c r="G213" i="23"/>
  <c r="B213" i="23"/>
  <c r="B212" i="15" s="1"/>
  <c r="N62" i="20"/>
  <c r="O62" i="20"/>
  <c r="E39" i="23"/>
  <c r="C38" i="15"/>
  <c r="E38" i="15" s="1"/>
  <c r="M39" i="23"/>
  <c r="I38" i="15" s="1"/>
  <c r="B39" i="23"/>
  <c r="B38" i="15" s="1"/>
  <c r="A39" i="23"/>
  <c r="I219" i="23"/>
  <c r="J219" i="23"/>
  <c r="E219" i="23"/>
  <c r="B219" i="23"/>
  <c r="B218" i="15" s="1"/>
  <c r="C218" i="15"/>
  <c r="F219" i="23"/>
  <c r="M219" i="23"/>
  <c r="L219" i="23"/>
  <c r="G218" i="15" s="1"/>
  <c r="A219" i="23"/>
  <c r="G219" i="23"/>
  <c r="K219" i="23"/>
  <c r="H218" i="15" s="1"/>
  <c r="H219" i="23"/>
  <c r="M762" i="23"/>
  <c r="H762" i="23"/>
  <c r="J762" i="23"/>
  <c r="I762" i="23"/>
  <c r="A762" i="23"/>
  <c r="G762" i="23"/>
  <c r="F762" i="23"/>
  <c r="B762" i="23"/>
  <c r="K762" i="23"/>
  <c r="L762" i="23"/>
  <c r="E762" i="23"/>
  <c r="J413" i="23"/>
  <c r="H413" i="23"/>
  <c r="B413" i="23"/>
  <c r="F413" i="23"/>
  <c r="G413" i="23"/>
  <c r="I413" i="23"/>
  <c r="A413" i="23"/>
  <c r="L413" i="23"/>
  <c r="M413" i="23"/>
  <c r="K413" i="23"/>
  <c r="E413" i="23"/>
  <c r="B18" i="21"/>
  <c r="Y79" i="21"/>
  <c r="H646" i="23"/>
  <c r="M646" i="23"/>
  <c r="E646" i="23"/>
  <c r="A646" i="23"/>
  <c r="K646" i="23"/>
  <c r="J646" i="23"/>
  <c r="G646" i="23"/>
  <c r="L646" i="23"/>
  <c r="B646" i="23"/>
  <c r="I646" i="23"/>
  <c r="F646" i="23"/>
  <c r="K669" i="23"/>
  <c r="H669" i="23"/>
  <c r="E669" i="23"/>
  <c r="M669" i="23"/>
  <c r="B669" i="23"/>
  <c r="G669" i="23"/>
  <c r="J669" i="23"/>
  <c r="I669" i="23"/>
  <c r="A669" i="23"/>
  <c r="F669" i="23"/>
  <c r="L669" i="23"/>
  <c r="F288" i="23"/>
  <c r="L288" i="23"/>
  <c r="H288" i="23"/>
  <c r="E288" i="23"/>
  <c r="M288" i="23"/>
  <c r="K288" i="23"/>
  <c r="B288" i="23"/>
  <c r="J288" i="23"/>
  <c r="A288" i="23"/>
  <c r="I288" i="23"/>
  <c r="G288" i="23"/>
  <c r="K861" i="23"/>
  <c r="I861" i="23"/>
  <c r="J861" i="23"/>
  <c r="E861" i="23"/>
  <c r="L861" i="23"/>
  <c r="B861" i="23"/>
  <c r="G861" i="23"/>
  <c r="F861" i="23"/>
  <c r="H861" i="23"/>
  <c r="M861" i="23"/>
  <c r="A861" i="23"/>
  <c r="D196" i="15"/>
  <c r="D213" i="15"/>
  <c r="M513" i="23"/>
  <c r="K513" i="23"/>
  <c r="H513" i="23"/>
  <c r="F513" i="23"/>
  <c r="A513" i="23"/>
  <c r="J513" i="23"/>
  <c r="L513" i="23"/>
  <c r="B513" i="23"/>
  <c r="G513" i="23"/>
  <c r="E513" i="23"/>
  <c r="I513" i="23"/>
  <c r="N90" i="20"/>
  <c r="O90" i="20"/>
  <c r="K439" i="23"/>
  <c r="E439" i="23"/>
  <c r="B439" i="23"/>
  <c r="F439" i="23"/>
  <c r="L439" i="23"/>
  <c r="A439" i="23"/>
  <c r="I439" i="23"/>
  <c r="H439" i="23"/>
  <c r="M439" i="23"/>
  <c r="G439" i="23"/>
  <c r="J439" i="23"/>
  <c r="J469" i="23"/>
  <c r="K469" i="23"/>
  <c r="B469" i="23"/>
  <c r="G469" i="23"/>
  <c r="E469" i="23"/>
  <c r="A469" i="23"/>
  <c r="M469" i="23"/>
  <c r="H469" i="23"/>
  <c r="L469" i="23"/>
  <c r="I469" i="23"/>
  <c r="F469" i="23"/>
  <c r="N65" i="20"/>
  <c r="O65" i="20"/>
  <c r="D37" i="15"/>
  <c r="B144" i="23"/>
  <c r="B143" i="15" s="1"/>
  <c r="M144" i="23"/>
  <c r="K144" i="23"/>
  <c r="H143" i="15" s="1"/>
  <c r="J144" i="23"/>
  <c r="C143" i="15"/>
  <c r="K143" i="15" s="1"/>
  <c r="H144" i="23"/>
  <c r="A144" i="23"/>
  <c r="I144" i="23"/>
  <c r="F144" i="23" s="1"/>
  <c r="G144" i="23" s="1"/>
  <c r="E144" i="23"/>
  <c r="L144" i="23"/>
  <c r="G143" i="15" s="1"/>
  <c r="D143" i="15"/>
  <c r="H991" i="23"/>
  <c r="K991" i="23"/>
  <c r="A991" i="23"/>
  <c r="J991" i="23"/>
  <c r="F991" i="23"/>
  <c r="I991" i="23"/>
  <c r="M991" i="23"/>
  <c r="L991" i="23"/>
  <c r="E991" i="23"/>
  <c r="B991" i="23"/>
  <c r="G991" i="23"/>
  <c r="J375" i="23"/>
  <c r="L375" i="23"/>
  <c r="B375" i="23"/>
  <c r="F375" i="23"/>
  <c r="A375" i="23"/>
  <c r="K375" i="23"/>
  <c r="H375" i="23"/>
  <c r="M375" i="23"/>
  <c r="G375" i="23"/>
  <c r="I375" i="23"/>
  <c r="E375" i="23"/>
  <c r="M356" i="23"/>
  <c r="G356" i="23"/>
  <c r="K356" i="23"/>
  <c r="E356" i="23"/>
  <c r="A356" i="23"/>
  <c r="B356" i="23"/>
  <c r="J356" i="23"/>
  <c r="I356" i="23"/>
  <c r="L356" i="23"/>
  <c r="H356" i="23"/>
  <c r="F356" i="23"/>
  <c r="L721" i="23"/>
  <c r="A721" i="23"/>
  <c r="I721" i="23"/>
  <c r="H721" i="23"/>
  <c r="F721" i="23"/>
  <c r="B721" i="23"/>
  <c r="G721" i="23"/>
  <c r="K721" i="23"/>
  <c r="M721" i="23"/>
  <c r="J721" i="23"/>
  <c r="E721" i="23"/>
  <c r="F773" i="23"/>
  <c r="E773" i="23"/>
  <c r="I773" i="23"/>
  <c r="G773" i="23"/>
  <c r="B773" i="23"/>
  <c r="A773" i="23"/>
  <c r="H773" i="23"/>
  <c r="J773" i="23"/>
  <c r="L773" i="23"/>
  <c r="K773" i="23"/>
  <c r="M773" i="23"/>
  <c r="L622" i="23"/>
  <c r="A622" i="23"/>
  <c r="B622" i="23"/>
  <c r="I622" i="23"/>
  <c r="M622" i="23"/>
  <c r="H622" i="23"/>
  <c r="G622" i="23"/>
  <c r="F622" i="23"/>
  <c r="E622" i="23"/>
  <c r="J622" i="23"/>
  <c r="K622" i="23"/>
  <c r="A88" i="23"/>
  <c r="C87" i="15"/>
  <c r="F87" i="15" s="1"/>
  <c r="M88" i="23"/>
  <c r="B88" i="23"/>
  <c r="B87" i="15" s="1"/>
  <c r="E88" i="23"/>
  <c r="F381" i="23"/>
  <c r="A381" i="23"/>
  <c r="H381" i="23"/>
  <c r="M381" i="23"/>
  <c r="B381" i="23"/>
  <c r="I381" i="23"/>
  <c r="L381" i="23"/>
  <c r="J381" i="23"/>
  <c r="E381" i="23"/>
  <c r="G381" i="23"/>
  <c r="K381" i="23"/>
  <c r="G343" i="23"/>
  <c r="A343" i="23"/>
  <c r="M343" i="23"/>
  <c r="L343" i="23"/>
  <c r="J343" i="23"/>
  <c r="B343" i="23"/>
  <c r="H343" i="23"/>
  <c r="I343" i="23"/>
  <c r="K343" i="23"/>
  <c r="E343" i="23"/>
  <c r="F343" i="23"/>
  <c r="M71" i="23"/>
  <c r="C70" i="15"/>
  <c r="L70" i="15" s="1"/>
  <c r="A71" i="23"/>
  <c r="E71" i="23"/>
  <c r="B71" i="23"/>
  <c r="B70" i="15" s="1"/>
  <c r="D159" i="15"/>
  <c r="D12" i="16"/>
  <c r="E47" i="23"/>
  <c r="M47" i="23"/>
  <c r="A47" i="23"/>
  <c r="B47" i="23"/>
  <c r="B46" i="15" s="1"/>
  <c r="C46" i="15"/>
  <c r="E46" i="15" s="1"/>
  <c r="D72" i="15"/>
  <c r="O8" i="20"/>
  <c r="I899" i="23"/>
  <c r="B899" i="23"/>
  <c r="A899" i="23"/>
  <c r="M899" i="23"/>
  <c r="E899" i="23"/>
  <c r="G899" i="23"/>
  <c r="K899" i="23"/>
  <c r="F899" i="23"/>
  <c r="J899" i="23"/>
  <c r="H899" i="23"/>
  <c r="L899" i="23"/>
  <c r="D138" i="15"/>
  <c r="F683" i="23"/>
  <c r="M683" i="23"/>
  <c r="A683" i="23"/>
  <c r="I683" i="23"/>
  <c r="H683" i="23"/>
  <c r="L683" i="23"/>
  <c r="G683" i="23"/>
  <c r="J683" i="23"/>
  <c r="E683" i="23"/>
  <c r="K683" i="23"/>
  <c r="B683" i="23"/>
  <c r="A168" i="23"/>
  <c r="J168" i="23"/>
  <c r="C167" i="15"/>
  <c r="E167" i="15" s="1"/>
  <c r="L168" i="23"/>
  <c r="G167" i="15" s="1"/>
  <c r="B168" i="23"/>
  <c r="B167" i="15" s="1"/>
  <c r="M168" i="23"/>
  <c r="H168" i="23"/>
  <c r="I168" i="23"/>
  <c r="F168" i="23" s="1"/>
  <c r="G168" i="23" s="1"/>
  <c r="E168" i="23"/>
  <c r="K168" i="23"/>
  <c r="H167" i="15" s="1"/>
  <c r="I307" i="23"/>
  <c r="J307" i="23"/>
  <c r="E307" i="23"/>
  <c r="G307" i="23"/>
  <c r="M307" i="23"/>
  <c r="H307" i="23"/>
  <c r="K307" i="23"/>
  <c r="F307" i="23"/>
  <c r="L307" i="23"/>
  <c r="A307" i="23"/>
  <c r="B307" i="23"/>
  <c r="Y71" i="21"/>
  <c r="A86" i="23"/>
  <c r="C85" i="15"/>
  <c r="L85" i="15" s="1"/>
  <c r="E86" i="23"/>
  <c r="M86" i="23"/>
  <c r="B86" i="23"/>
  <c r="B85" i="15" s="1"/>
  <c r="D203" i="15"/>
  <c r="B88" i="21"/>
  <c r="E592" i="23"/>
  <c r="B592" i="23"/>
  <c r="M592" i="23"/>
  <c r="G592" i="23"/>
  <c r="F592" i="23"/>
  <c r="A592" i="23"/>
  <c r="K592" i="23"/>
  <c r="I592" i="23"/>
  <c r="H592" i="23"/>
  <c r="L592" i="23"/>
  <c r="J592" i="23"/>
  <c r="D183" i="15"/>
  <c r="L418" i="23"/>
  <c r="H418" i="23"/>
  <c r="J418" i="23"/>
  <c r="F418" i="23"/>
  <c r="E418" i="23"/>
  <c r="G418" i="23"/>
  <c r="K418" i="23"/>
  <c r="M418" i="23"/>
  <c r="A418" i="23"/>
  <c r="B418" i="23"/>
  <c r="I418" i="23"/>
  <c r="A75" i="23"/>
  <c r="M75" i="23"/>
  <c r="E75" i="23"/>
  <c r="C74" i="15"/>
  <c r="E74" i="15" s="1"/>
  <c r="B75" i="23"/>
  <c r="B74" i="15" s="1"/>
  <c r="K397" i="23"/>
  <c r="F397" i="23"/>
  <c r="H397" i="23"/>
  <c r="E397" i="23"/>
  <c r="L397" i="23"/>
  <c r="G397" i="23"/>
  <c r="M397" i="23"/>
  <c r="A397" i="23"/>
  <c r="B397" i="23"/>
  <c r="J397" i="23"/>
  <c r="I397" i="23"/>
  <c r="L732" i="23"/>
  <c r="F732" i="23"/>
  <c r="E732" i="23"/>
  <c r="K732" i="23"/>
  <c r="I732" i="23"/>
  <c r="H732" i="23"/>
  <c r="G732" i="23"/>
  <c r="A732" i="23"/>
  <c r="J732" i="23"/>
  <c r="B732" i="23"/>
  <c r="M732" i="23"/>
  <c r="D71" i="15"/>
  <c r="E18" i="23"/>
  <c r="M18" i="23"/>
  <c r="B18" i="23"/>
  <c r="B17" i="15" s="1"/>
  <c r="A18" i="23"/>
  <c r="C17" i="15"/>
  <c r="F17" i="15" s="1"/>
  <c r="B55" i="21"/>
  <c r="Y90" i="21"/>
  <c r="B92" i="21"/>
  <c r="H771" i="23"/>
  <c r="F771" i="23"/>
  <c r="J771" i="23"/>
  <c r="E771" i="23"/>
  <c r="M771" i="23"/>
  <c r="B771" i="23"/>
  <c r="G771" i="23"/>
  <c r="I771" i="23"/>
  <c r="K771" i="23"/>
  <c r="A771" i="23"/>
  <c r="L771" i="23"/>
  <c r="J310" i="23"/>
  <c r="K310" i="23"/>
  <c r="I310" i="23"/>
  <c r="M310" i="23"/>
  <c r="E310" i="23"/>
  <c r="A310" i="23"/>
  <c r="B310" i="23"/>
  <c r="H310" i="23"/>
  <c r="L310" i="23"/>
  <c r="F310" i="23"/>
  <c r="G310" i="23"/>
  <c r="H198" i="23"/>
  <c r="B198" i="23"/>
  <c r="B197" i="15" s="1"/>
  <c r="C197" i="15"/>
  <c r="K197" i="15" s="1"/>
  <c r="J198" i="23"/>
  <c r="L198" i="23"/>
  <c r="G197" i="15" s="1"/>
  <c r="A198" i="23"/>
  <c r="F198" i="23"/>
  <c r="E198" i="23"/>
  <c r="G198" i="23"/>
  <c r="K198" i="23"/>
  <c r="H197" i="15" s="1"/>
  <c r="I198" i="23"/>
  <c r="M198" i="23"/>
  <c r="F775" i="23"/>
  <c r="H775" i="23"/>
  <c r="L775" i="23"/>
  <c r="A775" i="23"/>
  <c r="I775" i="23"/>
  <c r="J775" i="23"/>
  <c r="B775" i="23"/>
  <c r="G775" i="23"/>
  <c r="E775" i="23"/>
  <c r="K775" i="23"/>
  <c r="M775" i="23"/>
  <c r="O19" i="20"/>
  <c r="G19" i="20" s="1"/>
  <c r="B94" i="23"/>
  <c r="B93" i="15" s="1"/>
  <c r="E94" i="23"/>
  <c r="C93" i="15"/>
  <c r="A94" i="23"/>
  <c r="M94" i="23"/>
  <c r="J843" i="23"/>
  <c r="K843" i="23"/>
  <c r="F843" i="23"/>
  <c r="M843" i="23"/>
  <c r="L843" i="23"/>
  <c r="G843" i="23"/>
  <c r="A843" i="23"/>
  <c r="B843" i="23"/>
  <c r="E843" i="23"/>
  <c r="H843" i="23"/>
  <c r="I843" i="23"/>
  <c r="E359" i="23"/>
  <c r="F359" i="23"/>
  <c r="H359" i="23"/>
  <c r="M359" i="23"/>
  <c r="G359" i="23"/>
  <c r="L359" i="23"/>
  <c r="I359" i="23"/>
  <c r="B359" i="23"/>
  <c r="J359" i="23"/>
  <c r="A359" i="23"/>
  <c r="K359" i="23"/>
  <c r="D28" i="15"/>
  <c r="E760" i="23"/>
  <c r="A760" i="23"/>
  <c r="G760" i="23"/>
  <c r="K760" i="23"/>
  <c r="M760" i="23"/>
  <c r="F760" i="23"/>
  <c r="L760" i="23"/>
  <c r="I760" i="23"/>
  <c r="B760" i="23"/>
  <c r="H760" i="23"/>
  <c r="J760" i="23"/>
  <c r="L178" i="23"/>
  <c r="G177" i="15" s="1"/>
  <c r="B178" i="23"/>
  <c r="B177" i="15" s="1"/>
  <c r="I178" i="23"/>
  <c r="F178" i="23" s="1"/>
  <c r="G178" i="23" s="1"/>
  <c r="M178" i="23"/>
  <c r="I177" i="15" s="1"/>
  <c r="C177" i="15"/>
  <c r="E178" i="23"/>
  <c r="A178" i="23"/>
  <c r="H178" i="23"/>
  <c r="K178" i="23"/>
  <c r="H177" i="15" s="1"/>
  <c r="J178" i="23"/>
  <c r="J680" i="23"/>
  <c r="H680" i="23"/>
  <c r="G680" i="23"/>
  <c r="F680" i="23"/>
  <c r="B680" i="23"/>
  <c r="M680" i="23"/>
  <c r="K680" i="23"/>
  <c r="A680" i="23"/>
  <c r="I680" i="23"/>
  <c r="L680" i="23"/>
  <c r="E680" i="23"/>
  <c r="B298" i="23"/>
  <c r="J298" i="23"/>
  <c r="H298" i="23"/>
  <c r="F298" i="23"/>
  <c r="A298" i="23"/>
  <c r="E298" i="23"/>
  <c r="I298" i="23"/>
  <c r="K298" i="23"/>
  <c r="L298" i="23"/>
  <c r="G298" i="23"/>
  <c r="M298" i="23"/>
  <c r="D123" i="15"/>
  <c r="H202" i="23"/>
  <c r="G202" i="23"/>
  <c r="I202" i="23"/>
  <c r="K202" i="23"/>
  <c r="H201" i="15" s="1"/>
  <c r="E202" i="23"/>
  <c r="A202" i="23"/>
  <c r="M202" i="23"/>
  <c r="F202" i="23"/>
  <c r="L202" i="23"/>
  <c r="G201" i="15" s="1"/>
  <c r="C201" i="15"/>
  <c r="J202" i="23"/>
  <c r="B202" i="23"/>
  <c r="B201" i="15" s="1"/>
  <c r="F233" i="23"/>
  <c r="B233" i="23"/>
  <c r="I233" i="23"/>
  <c r="A233" i="23"/>
  <c r="K233" i="23"/>
  <c r="H233" i="23"/>
  <c r="E233" i="23"/>
  <c r="L233" i="23"/>
  <c r="M233" i="23"/>
  <c r="J233" i="23"/>
  <c r="G233" i="23"/>
  <c r="G329" i="23"/>
  <c r="F329" i="23"/>
  <c r="B329" i="23"/>
  <c r="E329" i="23"/>
  <c r="J329" i="23"/>
  <c r="H329" i="23"/>
  <c r="M329" i="23"/>
  <c r="A329" i="23"/>
  <c r="L329" i="23"/>
  <c r="I329" i="23"/>
  <c r="K329" i="23"/>
  <c r="D92" i="15"/>
  <c r="I817" i="23"/>
  <c r="K817" i="23"/>
  <c r="M817" i="23"/>
  <c r="F817" i="23"/>
  <c r="A817" i="23"/>
  <c r="G817" i="23"/>
  <c r="B817" i="23"/>
  <c r="L817" i="23"/>
  <c r="J817" i="23"/>
  <c r="E817" i="23"/>
  <c r="H817" i="23"/>
  <c r="J134" i="23"/>
  <c r="B134" i="23"/>
  <c r="B133" i="15" s="1"/>
  <c r="H134" i="23"/>
  <c r="G134" i="23"/>
  <c r="A134" i="23"/>
  <c r="F134" i="23"/>
  <c r="C133" i="15"/>
  <c r="E134" i="23"/>
  <c r="K134" i="23"/>
  <c r="H133" i="15" s="1"/>
  <c r="L134" i="23"/>
  <c r="G133" i="15" s="1"/>
  <c r="I134" i="23"/>
  <c r="M134" i="23"/>
  <c r="K468" i="23"/>
  <c r="M468" i="23"/>
  <c r="G468" i="23"/>
  <c r="I468" i="23"/>
  <c r="J468" i="23"/>
  <c r="L468" i="23"/>
  <c r="E468" i="23"/>
  <c r="H468" i="23"/>
  <c r="A468" i="23"/>
  <c r="F468" i="23"/>
  <c r="B468" i="23"/>
  <c r="Y77" i="21"/>
  <c r="D141" i="15"/>
  <c r="A880" i="23"/>
  <c r="J880" i="23"/>
  <c r="E880" i="23"/>
  <c r="B880" i="23"/>
  <c r="K880" i="23"/>
  <c r="G880" i="23"/>
  <c r="M880" i="23"/>
  <c r="F880" i="23"/>
  <c r="H880" i="23"/>
  <c r="L880" i="23"/>
  <c r="I880" i="23"/>
  <c r="B46" i="23"/>
  <c r="B45" i="15" s="1"/>
  <c r="A46" i="23"/>
  <c r="E46" i="23"/>
  <c r="C45" i="15"/>
  <c r="L45" i="15" s="1"/>
  <c r="M46" i="23"/>
  <c r="A106" i="23"/>
  <c r="C105" i="15"/>
  <c r="F105" i="15" s="1"/>
  <c r="M106" i="23"/>
  <c r="J106" i="23"/>
  <c r="K106" i="23"/>
  <c r="H105" i="15" s="1"/>
  <c r="L106" i="23"/>
  <c r="G105" i="15" s="1"/>
  <c r="I106" i="23"/>
  <c r="F106" i="23" s="1"/>
  <c r="G106" i="23" s="1"/>
  <c r="B106" i="23"/>
  <c r="B105" i="15" s="1"/>
  <c r="H106" i="23"/>
  <c r="E106" i="23"/>
  <c r="D205" i="15"/>
  <c r="B64" i="21"/>
  <c r="J958" i="23"/>
  <c r="M958" i="23"/>
  <c r="L958" i="23"/>
  <c r="F958" i="23"/>
  <c r="H958" i="23"/>
  <c r="I958" i="23"/>
  <c r="B958" i="23"/>
  <c r="G958" i="23"/>
  <c r="E958" i="23"/>
  <c r="K958" i="23"/>
  <c r="A958" i="23"/>
  <c r="H549" i="23"/>
  <c r="K549" i="23"/>
  <c r="B549" i="23"/>
  <c r="A549" i="23"/>
  <c r="L549" i="23"/>
  <c r="I549" i="23"/>
  <c r="E549" i="23"/>
  <c r="M549" i="23"/>
  <c r="F549" i="23"/>
  <c r="J549" i="23"/>
  <c r="G549" i="23"/>
  <c r="A697" i="23"/>
  <c r="F697" i="23"/>
  <c r="B697" i="23"/>
  <c r="J697" i="23"/>
  <c r="K697" i="23"/>
  <c r="M697" i="23"/>
  <c r="L697" i="23"/>
  <c r="G697" i="23"/>
  <c r="E697" i="23"/>
  <c r="I697" i="23"/>
  <c r="H697" i="23"/>
  <c r="A579" i="23"/>
  <c r="E579" i="23"/>
  <c r="G579" i="23"/>
  <c r="L579" i="23"/>
  <c r="I579" i="23"/>
  <c r="F579" i="23"/>
  <c r="H579" i="23"/>
  <c r="J579" i="23"/>
  <c r="M579" i="23"/>
  <c r="B579" i="23"/>
  <c r="K579" i="23"/>
  <c r="B252" i="23"/>
  <c r="G252" i="23"/>
  <c r="F252" i="23"/>
  <c r="A252" i="23"/>
  <c r="J252" i="23"/>
  <c r="I252" i="23"/>
  <c r="M252" i="23"/>
  <c r="E252" i="23"/>
  <c r="H252" i="23"/>
  <c r="K252" i="23"/>
  <c r="L252" i="23"/>
  <c r="J770" i="23"/>
  <c r="H770" i="23"/>
  <c r="L770" i="23"/>
  <c r="M770" i="23"/>
  <c r="G770" i="23"/>
  <c r="I770" i="23"/>
  <c r="A770" i="23"/>
  <c r="B770" i="23"/>
  <c r="K770" i="23"/>
  <c r="E770" i="23"/>
  <c r="F770" i="23"/>
  <c r="A257" i="23"/>
  <c r="L257" i="23"/>
  <c r="J257" i="23"/>
  <c r="B257" i="23"/>
  <c r="E257" i="23"/>
  <c r="M257" i="23"/>
  <c r="F257" i="23"/>
  <c r="I257" i="23"/>
  <c r="K257" i="23"/>
  <c r="H257" i="23"/>
  <c r="G257" i="23"/>
  <c r="D147" i="15"/>
  <c r="Y40" i="21"/>
  <c r="I411" i="23"/>
  <c r="B411" i="23"/>
  <c r="E411" i="23"/>
  <c r="G411" i="23"/>
  <c r="J411" i="23"/>
  <c r="H411" i="23"/>
  <c r="F411" i="23"/>
  <c r="K411" i="23"/>
  <c r="M411" i="23"/>
  <c r="L411" i="23"/>
  <c r="A411" i="23"/>
  <c r="B29" i="21"/>
  <c r="H659" i="23"/>
  <c r="B659" i="23"/>
  <c r="J659" i="23"/>
  <c r="G659" i="23"/>
  <c r="M659" i="23"/>
  <c r="K659" i="23"/>
  <c r="F659" i="23"/>
  <c r="I659" i="23"/>
  <c r="L659" i="23"/>
  <c r="E659" i="23"/>
  <c r="A659" i="23"/>
  <c r="B48" i="21"/>
  <c r="J23" i="16"/>
  <c r="K23" i="16"/>
  <c r="D23" i="16"/>
  <c r="B28" i="23"/>
  <c r="B27" i="15" s="1"/>
  <c r="E28" i="23"/>
  <c r="M28" i="23"/>
  <c r="C27" i="15"/>
  <c r="E27" i="15" s="1"/>
  <c r="A28" i="23"/>
  <c r="D164" i="15"/>
  <c r="E640" i="23"/>
  <c r="A640" i="23"/>
  <c r="F640" i="23"/>
  <c r="H640" i="23"/>
  <c r="K640" i="23"/>
  <c r="J640" i="23"/>
  <c r="G640" i="23"/>
  <c r="B640" i="23"/>
  <c r="M640" i="23"/>
  <c r="I640" i="23"/>
  <c r="L640" i="23"/>
  <c r="N75" i="20"/>
  <c r="O75" i="20"/>
  <c r="G340" i="23"/>
  <c r="M340" i="23"/>
  <c r="B340" i="23"/>
  <c r="E340" i="23"/>
  <c r="A340" i="23"/>
  <c r="K340" i="23"/>
  <c r="L340" i="23"/>
  <c r="J340" i="23"/>
  <c r="H340" i="23"/>
  <c r="I340" i="23"/>
  <c r="F340" i="23"/>
  <c r="A142" i="23"/>
  <c r="I142" i="23"/>
  <c r="G142" i="23"/>
  <c r="F142" i="23"/>
  <c r="B142" i="23"/>
  <c r="B141" i="15" s="1"/>
  <c r="E142" i="23"/>
  <c r="H142" i="23"/>
  <c r="L142" i="23"/>
  <c r="G141" i="15" s="1"/>
  <c r="M142" i="23"/>
  <c r="K142" i="23"/>
  <c r="H141" i="15" s="1"/>
  <c r="J142" i="23"/>
  <c r="C141" i="15"/>
  <c r="L141" i="15" s="1"/>
  <c r="B83" i="21"/>
  <c r="B542" i="23"/>
  <c r="J542" i="23"/>
  <c r="E542" i="23"/>
  <c r="F542" i="23"/>
  <c r="A542" i="23"/>
  <c r="K542" i="23"/>
  <c r="G542" i="23"/>
  <c r="H542" i="23"/>
  <c r="M542" i="23"/>
  <c r="L542" i="23"/>
  <c r="I542" i="23"/>
  <c r="O38" i="20"/>
  <c r="G112" i="20" s="1"/>
  <c r="B52" i="21"/>
  <c r="I251" i="23"/>
  <c r="A251" i="23"/>
  <c r="G251" i="23"/>
  <c r="J251" i="23"/>
  <c r="F251" i="23"/>
  <c r="E251" i="23"/>
  <c r="H251" i="23"/>
  <c r="B251" i="23"/>
  <c r="M251" i="23"/>
  <c r="K251" i="23"/>
  <c r="L251" i="23"/>
  <c r="B58" i="21"/>
  <c r="J962" i="23"/>
  <c r="I962" i="23"/>
  <c r="F962" i="23"/>
  <c r="H962" i="23"/>
  <c r="K962" i="23"/>
  <c r="A962" i="23"/>
  <c r="G962" i="23"/>
  <c r="M962" i="23"/>
  <c r="B962" i="23"/>
  <c r="E962" i="23"/>
  <c r="L962" i="23"/>
  <c r="G350" i="23"/>
  <c r="J350" i="23"/>
  <c r="K350" i="23"/>
  <c r="M350" i="23"/>
  <c r="H350" i="23"/>
  <c r="I350" i="23"/>
  <c r="L350" i="23"/>
  <c r="A350" i="23"/>
  <c r="B350" i="23"/>
  <c r="F350" i="23"/>
  <c r="E350" i="23"/>
  <c r="K369" i="23"/>
  <c r="A369" i="23"/>
  <c r="M369" i="23"/>
  <c r="H369" i="23"/>
  <c r="F369" i="23"/>
  <c r="J369" i="23"/>
  <c r="I369" i="23"/>
  <c r="G369" i="23"/>
  <c r="B369" i="23"/>
  <c r="E369" i="23"/>
  <c r="L369" i="23"/>
  <c r="H972" i="23"/>
  <c r="G972" i="23"/>
  <c r="I972" i="23"/>
  <c r="F972" i="23"/>
  <c r="M972" i="23"/>
  <c r="L972" i="23"/>
  <c r="B972" i="23"/>
  <c r="K972" i="23"/>
  <c r="A972" i="23"/>
  <c r="E972" i="23"/>
  <c r="J972" i="23"/>
  <c r="H630" i="23"/>
  <c r="I630" i="23"/>
  <c r="E630" i="23"/>
  <c r="F630" i="23"/>
  <c r="L630" i="23"/>
  <c r="G630" i="23"/>
  <c r="J630" i="23"/>
  <c r="K630" i="23"/>
  <c r="B630" i="23"/>
  <c r="M630" i="23"/>
  <c r="A630" i="23"/>
  <c r="O42" i="20"/>
  <c r="M342" i="23"/>
  <c r="G342" i="23"/>
  <c r="F342" i="23"/>
  <c r="K342" i="23"/>
  <c r="J342" i="23"/>
  <c r="A342" i="23"/>
  <c r="B342" i="23"/>
  <c r="H342" i="23"/>
  <c r="E342" i="23"/>
  <c r="I342" i="23"/>
  <c r="L342" i="23"/>
  <c r="G912" i="23"/>
  <c r="K912" i="23"/>
  <c r="M912" i="23"/>
  <c r="A912" i="23"/>
  <c r="J912" i="23"/>
  <c r="H912" i="23"/>
  <c r="B912" i="23"/>
  <c r="F912" i="23"/>
  <c r="I912" i="23"/>
  <c r="E912" i="23"/>
  <c r="L912" i="23"/>
  <c r="L185" i="23"/>
  <c r="G184" i="15" s="1"/>
  <c r="M185" i="23"/>
  <c r="H185" i="23"/>
  <c r="C184" i="15"/>
  <c r="E184" i="15" s="1"/>
  <c r="I185" i="23"/>
  <c r="F185" i="23"/>
  <c r="B185" i="23"/>
  <c r="B184" i="15" s="1"/>
  <c r="K185" i="23"/>
  <c r="H184" i="15" s="1"/>
  <c r="A185" i="23"/>
  <c r="E185" i="23"/>
  <c r="J185" i="23"/>
  <c r="G185" i="23"/>
  <c r="M726" i="23"/>
  <c r="J726" i="23"/>
  <c r="A726" i="23"/>
  <c r="H726" i="23"/>
  <c r="K726" i="23"/>
  <c r="E726" i="23"/>
  <c r="B726" i="23"/>
  <c r="L726" i="23"/>
  <c r="I726" i="23"/>
  <c r="F726" i="23"/>
  <c r="G726" i="23"/>
  <c r="K707" i="23"/>
  <c r="M707" i="23"/>
  <c r="J707" i="23"/>
  <c r="L707" i="23"/>
  <c r="G707" i="23"/>
  <c r="B707" i="23"/>
  <c r="E707" i="23"/>
  <c r="I707" i="23"/>
  <c r="H707" i="23"/>
  <c r="F707" i="23"/>
  <c r="A707" i="23"/>
  <c r="Y72" i="21"/>
  <c r="H649" i="23"/>
  <c r="F649" i="23"/>
  <c r="E649" i="23"/>
  <c r="B649" i="23"/>
  <c r="J649" i="23"/>
  <c r="G649" i="23"/>
  <c r="L649" i="23"/>
  <c r="K649" i="23"/>
  <c r="A649" i="23"/>
  <c r="M649" i="23"/>
  <c r="I649" i="23"/>
  <c r="K759" i="23"/>
  <c r="F759" i="23"/>
  <c r="L759" i="23"/>
  <c r="G759" i="23"/>
  <c r="I759" i="23"/>
  <c r="J759" i="23"/>
  <c r="M759" i="23"/>
  <c r="B759" i="23"/>
  <c r="A759" i="23"/>
  <c r="E759" i="23"/>
  <c r="H759" i="23"/>
  <c r="E87" i="23"/>
  <c r="C86" i="15"/>
  <c r="L86" i="15" s="1"/>
  <c r="B87" i="23"/>
  <c r="B86" i="15" s="1"/>
  <c r="M87" i="23"/>
  <c r="A87" i="23"/>
  <c r="B65" i="21"/>
  <c r="A978" i="23"/>
  <c r="E978" i="23"/>
  <c r="M978" i="23"/>
  <c r="B978" i="23"/>
  <c r="F978" i="23"/>
  <c r="L978" i="23"/>
  <c r="K978" i="23"/>
  <c r="G978" i="23"/>
  <c r="J978" i="23"/>
  <c r="I978" i="23"/>
  <c r="H978" i="23"/>
  <c r="B30" i="21"/>
  <c r="L637" i="23"/>
  <c r="F637" i="23"/>
  <c r="B637" i="23"/>
  <c r="I637" i="23"/>
  <c r="A637" i="23"/>
  <c r="J637" i="23"/>
  <c r="E637" i="23"/>
  <c r="K637" i="23"/>
  <c r="M637" i="23"/>
  <c r="G637" i="23"/>
  <c r="H637" i="23"/>
  <c r="D45" i="15"/>
  <c r="H304" i="23"/>
  <c r="L304" i="23"/>
  <c r="J304" i="23"/>
  <c r="G304" i="23"/>
  <c r="I304" i="23"/>
  <c r="B304" i="23"/>
  <c r="K304" i="23"/>
  <c r="M304" i="23"/>
  <c r="A304" i="23"/>
  <c r="E304" i="23"/>
  <c r="F304" i="23"/>
  <c r="B102" i="21"/>
  <c r="J961" i="23"/>
  <c r="K961" i="23"/>
  <c r="L961" i="23"/>
  <c r="B961" i="23"/>
  <c r="H961" i="23"/>
  <c r="G961" i="23"/>
  <c r="M961" i="23"/>
  <c r="A961" i="23"/>
  <c r="E961" i="23"/>
  <c r="F961" i="23"/>
  <c r="I961" i="23"/>
  <c r="J793" i="23"/>
  <c r="E793" i="23"/>
  <c r="M793" i="23"/>
  <c r="L793" i="23"/>
  <c r="F793" i="23"/>
  <c r="A793" i="23"/>
  <c r="K793" i="23"/>
  <c r="I793" i="23"/>
  <c r="B793" i="23"/>
  <c r="H793" i="23"/>
  <c r="G793" i="23"/>
  <c r="H129" i="23"/>
  <c r="K129" i="23"/>
  <c r="H128" i="15" s="1"/>
  <c r="B129" i="23"/>
  <c r="B128" i="15" s="1"/>
  <c r="E129" i="23"/>
  <c r="M129" i="23"/>
  <c r="J129" i="23"/>
  <c r="I129" i="23"/>
  <c r="F129" i="23" s="1"/>
  <c r="G129" i="23" s="1"/>
  <c r="A129" i="23"/>
  <c r="L129" i="23"/>
  <c r="G128" i="15" s="1"/>
  <c r="C128" i="15"/>
  <c r="M80" i="23"/>
  <c r="I79" i="15" s="1"/>
  <c r="C79" i="15"/>
  <c r="E79" i="15" s="1"/>
  <c r="A80" i="23"/>
  <c r="B80" i="23"/>
  <c r="B79" i="15" s="1"/>
  <c r="E80" i="23"/>
  <c r="C159" i="15"/>
  <c r="J159" i="15" s="1"/>
  <c r="L160" i="23"/>
  <c r="G159" i="15" s="1"/>
  <c r="I160" i="23"/>
  <c r="F160" i="23" s="1"/>
  <c r="G160" i="23" s="1"/>
  <c r="B160" i="23"/>
  <c r="B159" i="15" s="1"/>
  <c r="E160" i="23"/>
  <c r="H160" i="23"/>
  <c r="K160" i="23"/>
  <c r="H159" i="15" s="1"/>
  <c r="J160" i="23"/>
  <c r="A160" i="23"/>
  <c r="M160" i="23"/>
  <c r="I159" i="15" s="1"/>
  <c r="J647" i="23"/>
  <c r="B647" i="23"/>
  <c r="L647" i="23"/>
  <c r="H647" i="23"/>
  <c r="I647" i="23"/>
  <c r="E647" i="23"/>
  <c r="M647" i="23"/>
  <c r="A647" i="23"/>
  <c r="K647" i="23"/>
  <c r="G647" i="23"/>
  <c r="F647" i="23"/>
  <c r="Y42" i="21"/>
  <c r="D70" i="15"/>
  <c r="Y100" i="21"/>
  <c r="K265" i="23"/>
  <c r="L265" i="23"/>
  <c r="I265" i="23"/>
  <c r="E265" i="23"/>
  <c r="M265" i="23"/>
  <c r="H265" i="23"/>
  <c r="F265" i="23"/>
  <c r="A265" i="23"/>
  <c r="B265" i="23"/>
  <c r="G265" i="23"/>
  <c r="J265" i="23"/>
  <c r="H743" i="23"/>
  <c r="M743" i="23"/>
  <c r="F743" i="23"/>
  <c r="I743" i="23"/>
  <c r="A743" i="23"/>
  <c r="K743" i="23"/>
  <c r="J743" i="23"/>
  <c r="E743" i="23"/>
  <c r="B743" i="23"/>
  <c r="G743" i="23"/>
  <c r="L743" i="23"/>
  <c r="H541" i="23"/>
  <c r="L541" i="23"/>
  <c r="I541" i="23"/>
  <c r="A541" i="23"/>
  <c r="J541" i="23"/>
  <c r="E541" i="23"/>
  <c r="M541" i="23"/>
  <c r="B541" i="23"/>
  <c r="K541" i="23"/>
  <c r="F541" i="23"/>
  <c r="G541" i="23"/>
  <c r="A724" i="23"/>
  <c r="E724" i="23"/>
  <c r="L724" i="23"/>
  <c r="F724" i="23"/>
  <c r="M724" i="23"/>
  <c r="J724" i="23"/>
  <c r="B724" i="23"/>
  <c r="K724" i="23"/>
  <c r="H724" i="23"/>
  <c r="I724" i="23"/>
  <c r="G724" i="23"/>
  <c r="F500" i="23"/>
  <c r="G500" i="23"/>
  <c r="I500" i="23"/>
  <c r="J500" i="23"/>
  <c r="H500" i="23"/>
  <c r="L500" i="23"/>
  <c r="M500" i="23"/>
  <c r="E500" i="23"/>
  <c r="B500" i="23"/>
  <c r="K500" i="23"/>
  <c r="A500" i="23"/>
  <c r="L975" i="23"/>
  <c r="J975" i="23"/>
  <c r="M975" i="23"/>
  <c r="H975" i="23"/>
  <c r="K975" i="23"/>
  <c r="G975" i="23"/>
  <c r="E975" i="23"/>
  <c r="B975" i="23"/>
  <c r="F975" i="23"/>
  <c r="I975" i="23"/>
  <c r="A975" i="23"/>
  <c r="K105" i="23"/>
  <c r="H104" i="15" s="1"/>
  <c r="C104" i="15"/>
  <c r="F104" i="15" s="1"/>
  <c r="A105" i="23"/>
  <c r="H105" i="23"/>
  <c r="I105" i="23"/>
  <c r="F105" i="23" s="1"/>
  <c r="G105" i="23" s="1"/>
  <c r="J105" i="23"/>
  <c r="E105" i="23"/>
  <c r="B105" i="23"/>
  <c r="B104" i="15" s="1"/>
  <c r="L105" i="23"/>
  <c r="G104" i="15" s="1"/>
  <c r="M105" i="23"/>
  <c r="I104" i="15" s="1"/>
  <c r="B939" i="23"/>
  <c r="I939" i="23"/>
  <c r="M939" i="23"/>
  <c r="L939" i="23"/>
  <c r="J939" i="23"/>
  <c r="H939" i="23"/>
  <c r="F939" i="23"/>
  <c r="E939" i="23"/>
  <c r="K939" i="23"/>
  <c r="G939" i="23"/>
  <c r="A939" i="23"/>
  <c r="L273" i="23"/>
  <c r="H273" i="23"/>
  <c r="K273" i="23"/>
  <c r="M273" i="23"/>
  <c r="J273" i="23"/>
  <c r="F273" i="23"/>
  <c r="I273" i="23"/>
  <c r="E273" i="23"/>
  <c r="G273" i="23"/>
  <c r="B273" i="23"/>
  <c r="A273" i="23"/>
  <c r="D104" i="15"/>
  <c r="L730" i="23"/>
  <c r="E730" i="23"/>
  <c r="B730" i="23"/>
  <c r="J730" i="23"/>
  <c r="H730" i="23"/>
  <c r="F730" i="23"/>
  <c r="G730" i="23"/>
  <c r="A730" i="23"/>
  <c r="I730" i="23"/>
  <c r="K730" i="23"/>
  <c r="M730" i="23"/>
  <c r="Y39" i="21"/>
  <c r="N81" i="20"/>
  <c r="O81" i="20"/>
  <c r="B952" i="23"/>
  <c r="I952" i="23"/>
  <c r="M952" i="23"/>
  <c r="K952" i="23"/>
  <c r="G952" i="23"/>
  <c r="F952" i="23"/>
  <c r="H952" i="23"/>
  <c r="E952" i="23"/>
  <c r="J952" i="23"/>
  <c r="L952" i="23"/>
  <c r="A952" i="23"/>
  <c r="B89" i="21"/>
  <c r="I823" i="23"/>
  <c r="B823" i="23"/>
  <c r="K823" i="23"/>
  <c r="L823" i="23"/>
  <c r="E823" i="23"/>
  <c r="M823" i="23"/>
  <c r="H823" i="23"/>
  <c r="J823" i="23"/>
  <c r="A823" i="23"/>
  <c r="F823" i="23"/>
  <c r="G823" i="23"/>
  <c r="G933" i="23"/>
  <c r="F933" i="23"/>
  <c r="L933" i="23"/>
  <c r="B933" i="23"/>
  <c r="A933" i="23"/>
  <c r="I933" i="23"/>
  <c r="K933" i="23"/>
  <c r="M933" i="23"/>
  <c r="E933" i="23"/>
  <c r="J933" i="23"/>
  <c r="H933" i="23"/>
  <c r="K234" i="23"/>
  <c r="G234" i="23"/>
  <c r="H234" i="23"/>
  <c r="I234" i="23"/>
  <c r="L234" i="23"/>
  <c r="M234" i="23"/>
  <c r="E234" i="23"/>
  <c r="F234" i="23"/>
  <c r="J234" i="23"/>
  <c r="B234" i="23"/>
  <c r="A234" i="23"/>
  <c r="I488" i="23"/>
  <c r="L488" i="23"/>
  <c r="F488" i="23"/>
  <c r="K488" i="23"/>
  <c r="M488" i="23"/>
  <c r="E488" i="23"/>
  <c r="B488" i="23"/>
  <c r="J488" i="23"/>
  <c r="A488" i="23"/>
  <c r="G488" i="23"/>
  <c r="H488" i="23"/>
  <c r="B327" i="23"/>
  <c r="K327" i="23"/>
  <c r="L327" i="23"/>
  <c r="J327" i="23"/>
  <c r="A327" i="23"/>
  <c r="M327" i="23"/>
  <c r="E327" i="23"/>
  <c r="I327" i="23"/>
  <c r="F327" i="23"/>
  <c r="G327" i="23"/>
  <c r="H327" i="23"/>
  <c r="M66" i="23"/>
  <c r="C65" i="15"/>
  <c r="F65" i="15" s="1"/>
  <c r="A66" i="23"/>
  <c r="B66" i="23"/>
  <c r="B65" i="15" s="1"/>
  <c r="E66" i="23"/>
  <c r="M753" i="23"/>
  <c r="H753" i="23"/>
  <c r="J753" i="23"/>
  <c r="B753" i="23"/>
  <c r="I753" i="23"/>
  <c r="F753" i="23"/>
  <c r="A753" i="23"/>
  <c r="G753" i="23"/>
  <c r="L753" i="23"/>
  <c r="K753" i="23"/>
  <c r="E753" i="23"/>
  <c r="M602" i="23"/>
  <c r="L602" i="23"/>
  <c r="J602" i="23"/>
  <c r="E602" i="23"/>
  <c r="A602" i="23"/>
  <c r="G602" i="23"/>
  <c r="H602" i="23"/>
  <c r="B602" i="23"/>
  <c r="F602" i="23"/>
  <c r="K602" i="23"/>
  <c r="I602" i="23"/>
  <c r="D63" i="15"/>
  <c r="N69" i="20"/>
  <c r="O69" i="20"/>
  <c r="F372" i="23"/>
  <c r="B372" i="23"/>
  <c r="A372" i="23"/>
  <c r="I372" i="23"/>
  <c r="K372" i="23"/>
  <c r="J372" i="23"/>
  <c r="E372" i="23"/>
  <c r="H372" i="23"/>
  <c r="M372" i="23"/>
  <c r="L372" i="23"/>
  <c r="G372" i="23"/>
  <c r="F225" i="23"/>
  <c r="H225" i="23"/>
  <c r="G225" i="23"/>
  <c r="K225" i="23"/>
  <c r="J225" i="23"/>
  <c r="M225" i="23"/>
  <c r="L225" i="23"/>
  <c r="A225" i="23"/>
  <c r="B225" i="23"/>
  <c r="E225" i="23"/>
  <c r="I225" i="23"/>
  <c r="C26" i="15"/>
  <c r="L26" i="15" s="1"/>
  <c r="B27" i="23"/>
  <c r="B26" i="15" s="1"/>
  <c r="A27" i="23"/>
  <c r="M27" i="23"/>
  <c r="I26" i="15" s="1"/>
  <c r="E27" i="23"/>
  <c r="K26" i="16"/>
  <c r="J26" i="16"/>
  <c r="D26" i="16"/>
  <c r="B728" i="23"/>
  <c r="J728" i="23"/>
  <c r="H728" i="23"/>
  <c r="L728" i="23"/>
  <c r="A728" i="23"/>
  <c r="E728" i="23"/>
  <c r="M728" i="23"/>
  <c r="F728" i="23"/>
  <c r="K728" i="23"/>
  <c r="G728" i="23"/>
  <c r="I728" i="23"/>
  <c r="K274" i="23"/>
  <c r="H274" i="23"/>
  <c r="I274" i="23"/>
  <c r="F274" i="23"/>
  <c r="J274" i="23"/>
  <c r="G274" i="23"/>
  <c r="B274" i="23"/>
  <c r="A274" i="23"/>
  <c r="E274" i="23"/>
  <c r="M274" i="23"/>
  <c r="L274" i="23"/>
  <c r="H713" i="23"/>
  <c r="M713" i="23"/>
  <c r="F713" i="23"/>
  <c r="L713" i="23"/>
  <c r="J713" i="23"/>
  <c r="E713" i="23"/>
  <c r="B713" i="23"/>
  <c r="A713" i="23"/>
  <c r="K713" i="23"/>
  <c r="I713" i="23"/>
  <c r="G713" i="23"/>
  <c r="B290" i="23"/>
  <c r="E290" i="23"/>
  <c r="J290" i="23"/>
  <c r="I290" i="23"/>
  <c r="G290" i="23"/>
  <c r="M290" i="23"/>
  <c r="K290" i="23"/>
  <c r="H290" i="23"/>
  <c r="F290" i="23"/>
  <c r="A290" i="23"/>
  <c r="L290" i="23"/>
  <c r="L668" i="23"/>
  <c r="B668" i="23"/>
  <c r="H668" i="23"/>
  <c r="G668" i="23"/>
  <c r="K668" i="23"/>
  <c r="J668" i="23"/>
  <c r="M668" i="23"/>
  <c r="A668" i="23"/>
  <c r="E668" i="23"/>
  <c r="I668" i="23"/>
  <c r="F668" i="23"/>
  <c r="N101" i="20"/>
  <c r="O101" i="20"/>
  <c r="C32" i="15"/>
  <c r="F32" i="15" s="1"/>
  <c r="E33" i="23"/>
  <c r="B33" i="23"/>
  <c r="B32" i="15" s="1"/>
  <c r="A33" i="23"/>
  <c r="M33" i="23"/>
  <c r="K301" i="23"/>
  <c r="M301" i="23"/>
  <c r="J301" i="23"/>
  <c r="F301" i="23"/>
  <c r="B301" i="23"/>
  <c r="G301" i="23"/>
  <c r="H301" i="23"/>
  <c r="E301" i="23"/>
  <c r="I301" i="23"/>
  <c r="A301" i="23"/>
  <c r="L301" i="23"/>
  <c r="A719" i="23"/>
  <c r="F719" i="23"/>
  <c r="G719" i="23"/>
  <c r="K719" i="23"/>
  <c r="B719" i="23"/>
  <c r="L719" i="23"/>
  <c r="M719" i="23"/>
  <c r="J719" i="23"/>
  <c r="I719" i="23"/>
  <c r="E719" i="23"/>
  <c r="H719" i="23"/>
  <c r="H645" i="23"/>
  <c r="J645" i="23"/>
  <c r="I645" i="23"/>
  <c r="M645" i="23"/>
  <c r="B645" i="23"/>
  <c r="L645" i="23"/>
  <c r="F645" i="23"/>
  <c r="A645" i="23"/>
  <c r="E645" i="23"/>
  <c r="G645" i="23"/>
  <c r="K645" i="23"/>
  <c r="B573" i="23"/>
  <c r="M573" i="23"/>
  <c r="F573" i="23"/>
  <c r="A573" i="23"/>
  <c r="E573" i="23"/>
  <c r="K573" i="23"/>
  <c r="L573" i="23"/>
  <c r="I573" i="23"/>
  <c r="G573" i="23"/>
  <c r="J573" i="23"/>
  <c r="H573" i="23"/>
  <c r="I485" i="23"/>
  <c r="M485" i="23"/>
  <c r="K485" i="23"/>
  <c r="F485" i="23"/>
  <c r="A485" i="23"/>
  <c r="J485" i="23"/>
  <c r="E485" i="23"/>
  <c r="L485" i="23"/>
  <c r="G485" i="23"/>
  <c r="B485" i="23"/>
  <c r="H485" i="23"/>
  <c r="B67" i="23"/>
  <c r="B66" i="15" s="1"/>
  <c r="M67" i="23"/>
  <c r="E67" i="23"/>
  <c r="C66" i="15"/>
  <c r="A67" i="23"/>
  <c r="M164" i="23"/>
  <c r="A164" i="23"/>
  <c r="H164" i="23"/>
  <c r="G164" i="23"/>
  <c r="F164" i="23"/>
  <c r="L164" i="23"/>
  <c r="G163" i="15" s="1"/>
  <c r="J164" i="23"/>
  <c r="C163" i="15"/>
  <c r="K163" i="15" s="1"/>
  <c r="I164" i="23"/>
  <c r="E164" i="23"/>
  <c r="B164" i="23"/>
  <c r="B163" i="15" s="1"/>
  <c r="K164" i="23"/>
  <c r="H163" i="15" s="1"/>
  <c r="H736" i="23"/>
  <c r="M736" i="23"/>
  <c r="B736" i="23"/>
  <c r="G736" i="23"/>
  <c r="K736" i="23"/>
  <c r="A736" i="23"/>
  <c r="L736" i="23"/>
  <c r="E736" i="23"/>
  <c r="I736" i="23"/>
  <c r="F736" i="23"/>
  <c r="J736" i="23"/>
  <c r="M996" i="23"/>
  <c r="J996" i="23"/>
  <c r="L996" i="23"/>
  <c r="K996" i="23"/>
  <c r="H996" i="23"/>
  <c r="A996" i="23"/>
  <c r="B996" i="23"/>
  <c r="I996" i="23"/>
  <c r="E996" i="23"/>
  <c r="G996" i="23"/>
  <c r="F996" i="23"/>
  <c r="K475" i="23"/>
  <c r="B475" i="23"/>
  <c r="E475" i="23"/>
  <c r="H475" i="23"/>
  <c r="J475" i="23"/>
  <c r="G475" i="23"/>
  <c r="A475" i="23"/>
  <c r="F475" i="23"/>
  <c r="I475" i="23"/>
  <c r="M475" i="23"/>
  <c r="L475" i="23"/>
  <c r="H521" i="23"/>
  <c r="B521" i="23"/>
  <c r="A521" i="23"/>
  <c r="M521" i="23"/>
  <c r="E521" i="23"/>
  <c r="L521" i="23"/>
  <c r="F521" i="23"/>
  <c r="I521" i="23"/>
  <c r="G521" i="23"/>
  <c r="J521" i="23"/>
  <c r="K521" i="23"/>
  <c r="A141" i="23"/>
  <c r="H141" i="23"/>
  <c r="G141" i="23"/>
  <c r="K141" i="23"/>
  <c r="H140" i="15" s="1"/>
  <c r="I141" i="23"/>
  <c r="F141" i="23"/>
  <c r="M141" i="23"/>
  <c r="B141" i="23"/>
  <c r="B140" i="15" s="1"/>
  <c r="E141" i="23"/>
  <c r="C140" i="15"/>
  <c r="L141" i="23"/>
  <c r="G140" i="15" s="1"/>
  <c r="J141" i="23"/>
  <c r="E515" i="23"/>
  <c r="M515" i="23"/>
  <c r="B515" i="23"/>
  <c r="A515" i="23"/>
  <c r="G515" i="23"/>
  <c r="H515" i="23"/>
  <c r="I515" i="23"/>
  <c r="F515" i="23"/>
  <c r="J515" i="23"/>
  <c r="K515" i="23"/>
  <c r="L515" i="23"/>
  <c r="N67" i="20"/>
  <c r="O67" i="20"/>
  <c r="B754" i="23"/>
  <c r="A754" i="23"/>
  <c r="E754" i="23"/>
  <c r="F754" i="23"/>
  <c r="H754" i="23"/>
  <c r="K754" i="23"/>
  <c r="G754" i="23"/>
  <c r="M754" i="23"/>
  <c r="L754" i="23"/>
  <c r="I754" i="23"/>
  <c r="J754" i="23"/>
  <c r="L832" i="23"/>
  <c r="E832" i="23"/>
  <c r="I832" i="23"/>
  <c r="H832" i="23"/>
  <c r="B832" i="23"/>
  <c r="M832" i="23"/>
  <c r="A832" i="23"/>
  <c r="G832" i="23"/>
  <c r="J832" i="23"/>
  <c r="K832" i="23"/>
  <c r="F832" i="23"/>
  <c r="I323" i="23"/>
  <c r="H323" i="23"/>
  <c r="A323" i="23"/>
  <c r="M323" i="23"/>
  <c r="K323" i="23"/>
  <c r="J323" i="23"/>
  <c r="B323" i="23"/>
  <c r="L323" i="23"/>
  <c r="G323" i="23"/>
  <c r="E323" i="23"/>
  <c r="F323" i="23"/>
  <c r="L885" i="23"/>
  <c r="J885" i="23"/>
  <c r="E885" i="23"/>
  <c r="K885" i="23"/>
  <c r="I885" i="23"/>
  <c r="H885" i="23"/>
  <c r="A885" i="23"/>
  <c r="F885" i="23"/>
  <c r="B885" i="23"/>
  <c r="M885" i="23"/>
  <c r="G885" i="23"/>
  <c r="B744" i="23"/>
  <c r="M744" i="23"/>
  <c r="J744" i="23"/>
  <c r="A744" i="23"/>
  <c r="I744" i="23"/>
  <c r="K744" i="23"/>
  <c r="L744" i="23"/>
  <c r="H744" i="23"/>
  <c r="E744" i="23"/>
  <c r="F744" i="23"/>
  <c r="G744" i="23"/>
  <c r="D120" i="15"/>
  <c r="D18" i="16"/>
  <c r="K18" i="16"/>
  <c r="J18" i="16"/>
  <c r="B865" i="23"/>
  <c r="I865" i="23"/>
  <c r="M865" i="23"/>
  <c r="A865" i="23"/>
  <c r="E865" i="23"/>
  <c r="L865" i="23"/>
  <c r="J865" i="23"/>
  <c r="F865" i="23"/>
  <c r="H865" i="23"/>
  <c r="K865" i="23"/>
  <c r="G865" i="23"/>
  <c r="D10" i="16"/>
  <c r="D180" i="15"/>
  <c r="A61" i="23"/>
  <c r="C60" i="15"/>
  <c r="M61" i="23"/>
  <c r="E61" i="23"/>
  <c r="B61" i="23"/>
  <c r="B60" i="15" s="1"/>
  <c r="C23" i="15"/>
  <c r="L23" i="15" s="1"/>
  <c r="B24" i="23"/>
  <c r="B23" i="15" s="1"/>
  <c r="E24" i="23"/>
  <c r="M24" i="23"/>
  <c r="A24" i="23"/>
  <c r="J493" i="23"/>
  <c r="I493" i="23"/>
  <c r="L493" i="23"/>
  <c r="E493" i="23"/>
  <c r="M493" i="23"/>
  <c r="B493" i="23"/>
  <c r="G493" i="23"/>
  <c r="F493" i="23"/>
  <c r="H493" i="23"/>
  <c r="A493" i="23"/>
  <c r="K493" i="23"/>
  <c r="D25" i="16"/>
  <c r="J25" i="16"/>
  <c r="K25" i="16"/>
  <c r="N52" i="20"/>
  <c r="O52" i="20"/>
  <c r="G205" i="20" s="1"/>
  <c r="D17" i="15"/>
  <c r="E133" i="23"/>
  <c r="C132" i="15"/>
  <c r="K132" i="15" s="1"/>
  <c r="M133" i="23"/>
  <c r="B133" i="23"/>
  <c r="B132" i="15" s="1"/>
  <c r="H133" i="23"/>
  <c r="A133" i="23"/>
  <c r="J133" i="23"/>
  <c r="L133" i="23"/>
  <c r="G132" i="15" s="1"/>
  <c r="I133" i="23"/>
  <c r="F133" i="23" s="1"/>
  <c r="G133" i="23" s="1"/>
  <c r="K133" i="23"/>
  <c r="H132" i="15" s="1"/>
  <c r="A537" i="23"/>
  <c r="B537" i="23"/>
  <c r="E537" i="23"/>
  <c r="G537" i="23"/>
  <c r="F537" i="23"/>
  <c r="I537" i="23"/>
  <c r="J537" i="23"/>
  <c r="M537" i="23"/>
  <c r="L537" i="23"/>
  <c r="H537" i="23"/>
  <c r="K537" i="23"/>
  <c r="H994" i="23"/>
  <c r="B994" i="23"/>
  <c r="E994" i="23"/>
  <c r="K994" i="23"/>
  <c r="J994" i="23"/>
  <c r="G994" i="23"/>
  <c r="I994" i="23"/>
  <c r="F994" i="23"/>
  <c r="M994" i="23"/>
  <c r="A994" i="23"/>
  <c r="L994" i="23"/>
  <c r="K922" i="23"/>
  <c r="A922" i="23"/>
  <c r="M922" i="23"/>
  <c r="G922" i="23"/>
  <c r="E922" i="23"/>
  <c r="J922" i="23"/>
  <c r="F922" i="23"/>
  <c r="I922" i="23"/>
  <c r="L922" i="23"/>
  <c r="B922" i="23"/>
  <c r="H922" i="23"/>
  <c r="H621" i="23"/>
  <c r="A621" i="23"/>
  <c r="B621" i="23"/>
  <c r="F621" i="23"/>
  <c r="J621" i="23"/>
  <c r="G621" i="23"/>
  <c r="K621" i="23"/>
  <c r="L621" i="23"/>
  <c r="E621" i="23"/>
  <c r="M621" i="23"/>
  <c r="I621" i="23"/>
  <c r="K410" i="23"/>
  <c r="E410" i="23"/>
  <c r="J410" i="23"/>
  <c r="G410" i="23"/>
  <c r="L410" i="23"/>
  <c r="H410" i="23"/>
  <c r="I410" i="23"/>
  <c r="A410" i="23"/>
  <c r="B410" i="23"/>
  <c r="F410" i="23"/>
  <c r="M410" i="23"/>
  <c r="E642" i="23"/>
  <c r="A642" i="23"/>
  <c r="H642" i="23"/>
  <c r="K642" i="23"/>
  <c r="F642" i="23"/>
  <c r="M642" i="23"/>
  <c r="G642" i="23"/>
  <c r="L642" i="23"/>
  <c r="B642" i="23"/>
  <c r="I642" i="23"/>
  <c r="J642" i="23"/>
  <c r="G400" i="23"/>
  <c r="I400" i="23"/>
  <c r="L400" i="23"/>
  <c r="B400" i="23"/>
  <c r="F400" i="23"/>
  <c r="H400" i="23"/>
  <c r="E400" i="23"/>
  <c r="J400" i="23"/>
  <c r="K400" i="23"/>
  <c r="A400" i="23"/>
  <c r="M400" i="23"/>
  <c r="F224" i="23"/>
  <c r="J224" i="23"/>
  <c r="G224" i="23"/>
  <c r="L224" i="23"/>
  <c r="B224" i="23"/>
  <c r="M224" i="23"/>
  <c r="H224" i="23"/>
  <c r="I224" i="23"/>
  <c r="K224" i="23"/>
  <c r="A224" i="23"/>
  <c r="E224" i="23"/>
  <c r="H608" i="23"/>
  <c r="J608" i="23"/>
  <c r="A608" i="23"/>
  <c r="B608" i="23"/>
  <c r="L608" i="23"/>
  <c r="G608" i="23"/>
  <c r="F608" i="23"/>
  <c r="E608" i="23"/>
  <c r="M608" i="23"/>
  <c r="K608" i="23"/>
  <c r="I608" i="23"/>
  <c r="J531" i="23"/>
  <c r="E531" i="23"/>
  <c r="B531" i="23"/>
  <c r="K531" i="23"/>
  <c r="I531" i="23"/>
  <c r="M531" i="23"/>
  <c r="F531" i="23"/>
  <c r="G531" i="23"/>
  <c r="A531" i="23"/>
  <c r="L531" i="23"/>
  <c r="H531" i="23"/>
  <c r="G259" i="23"/>
  <c r="M259" i="23"/>
  <c r="J259" i="23"/>
  <c r="I259" i="23"/>
  <c r="K259" i="23"/>
  <c r="H259" i="23"/>
  <c r="A259" i="23"/>
  <c r="B259" i="23"/>
  <c r="L259" i="23"/>
  <c r="E259" i="23"/>
  <c r="F259" i="23"/>
  <c r="E805" i="23"/>
  <c r="M805" i="23"/>
  <c r="K805" i="23"/>
  <c r="H805" i="23"/>
  <c r="L805" i="23"/>
  <c r="G805" i="23"/>
  <c r="B805" i="23"/>
  <c r="I805" i="23"/>
  <c r="J805" i="23"/>
  <c r="A805" i="23"/>
  <c r="F805" i="23"/>
  <c r="D161" i="15"/>
  <c r="G105" i="20"/>
  <c r="K114" i="15"/>
  <c r="F74" i="15"/>
  <c r="L74" i="15"/>
  <c r="G107" i="20"/>
  <c r="G108" i="20"/>
  <c r="F26" i="15"/>
  <c r="E177" i="15"/>
  <c r="G106" i="20"/>
  <c r="F141" i="15"/>
  <c r="E141" i="15"/>
  <c r="F195" i="15"/>
  <c r="J4" i="16"/>
  <c r="F130" i="15"/>
  <c r="J210" i="15"/>
  <c r="K151" i="15"/>
  <c r="G93" i="20"/>
  <c r="G91" i="20"/>
  <c r="J215" i="15"/>
  <c r="J194" i="15"/>
  <c r="G20" i="20"/>
  <c r="L181" i="15"/>
  <c r="F83" i="15"/>
  <c r="G22" i="20"/>
  <c r="K141" i="15"/>
  <c r="J147" i="15"/>
  <c r="E130" i="15"/>
  <c r="J186" i="15"/>
  <c r="K196" i="15"/>
  <c r="E151" i="15"/>
  <c r="K144" i="15"/>
  <c r="J117" i="15"/>
  <c r="L171" i="15"/>
  <c r="F205" i="15"/>
  <c r="L147" i="15"/>
  <c r="E53" i="15"/>
  <c r="K181" i="15"/>
  <c r="L50" i="15"/>
  <c r="G89" i="20"/>
  <c r="G96" i="20"/>
  <c r="L190" i="15"/>
  <c r="E25" i="15"/>
  <c r="J201" i="15"/>
  <c r="G90" i="20"/>
  <c r="F54" i="15"/>
  <c r="K147" i="15"/>
  <c r="E218" i="15"/>
  <c r="L196" i="15"/>
  <c r="G92" i="20"/>
  <c r="E212" i="15"/>
  <c r="L25" i="15"/>
  <c r="G94" i="20"/>
  <c r="K130" i="15"/>
  <c r="K186" i="15"/>
  <c r="J171" i="15"/>
  <c r="L69" i="15"/>
  <c r="L168" i="15"/>
  <c r="L130" i="15"/>
  <c r="E45" i="15"/>
  <c r="E39" i="15"/>
  <c r="L72" i="15"/>
  <c r="L186" i="15"/>
  <c r="F165" i="15"/>
  <c r="F171" i="15"/>
  <c r="L96" i="15"/>
  <c r="F69" i="15"/>
  <c r="E147" i="15"/>
  <c r="F215" i="15"/>
  <c r="F218" i="15"/>
  <c r="E68" i="15"/>
  <c r="L94" i="15"/>
  <c r="E201" i="15"/>
  <c r="L162" i="15"/>
  <c r="K139" i="15"/>
  <c r="F45" i="15"/>
  <c r="L189" i="15"/>
  <c r="K190" i="15"/>
  <c r="J196" i="15"/>
  <c r="J190" i="15"/>
  <c r="L167" i="15"/>
  <c r="K167" i="15"/>
  <c r="F132" i="15"/>
  <c r="E195" i="15"/>
  <c r="L195" i="15"/>
  <c r="L105" i="15"/>
  <c r="G111" i="20"/>
  <c r="F70" i="15"/>
  <c r="F23" i="15"/>
  <c r="G109" i="20"/>
  <c r="J104" i="15"/>
  <c r="G113" i="20"/>
  <c r="L87" i="15"/>
  <c r="E23" i="15"/>
  <c r="K159" i="15"/>
  <c r="E70" i="15"/>
  <c r="E87" i="15"/>
  <c r="M2" i="16"/>
  <c r="E2" i="16"/>
  <c r="F2" i="16"/>
  <c r="H2" i="16"/>
  <c r="N2" i="16"/>
  <c r="F66" i="15"/>
  <c r="E66" i="15"/>
  <c r="L66" i="15"/>
  <c r="J10" i="16"/>
  <c r="K10" i="16"/>
  <c r="K4" i="16"/>
  <c r="J12" i="16"/>
  <c r="F38" i="15"/>
  <c r="L38" i="15"/>
  <c r="I60" i="15"/>
  <c r="J146" i="15"/>
  <c r="E146" i="15"/>
  <c r="K146" i="15"/>
  <c r="L146" i="15"/>
  <c r="E143" i="15"/>
  <c r="F143" i="15"/>
  <c r="J143" i="15"/>
  <c r="L143" i="15"/>
  <c r="F43" i="24"/>
  <c r="F41" i="24"/>
  <c r="I171" i="15"/>
  <c r="F95" i="15"/>
  <c r="L95" i="15"/>
  <c r="J220" i="15"/>
  <c r="K220" i="15"/>
  <c r="L220" i="15"/>
  <c r="E220" i="15"/>
  <c r="F220" i="15"/>
  <c r="G14" i="20"/>
  <c r="G15" i="20"/>
  <c r="I27" i="15"/>
  <c r="J167" i="15"/>
  <c r="F167" i="15"/>
  <c r="E17" i="15"/>
  <c r="L17" i="15"/>
  <c r="I200" i="15"/>
  <c r="I28" i="15"/>
  <c r="I166" i="15"/>
  <c r="L129" i="15"/>
  <c r="K129" i="15"/>
  <c r="E129" i="15"/>
  <c r="J129" i="15"/>
  <c r="F129" i="15"/>
  <c r="I13" i="15"/>
  <c r="E84" i="15"/>
  <c r="L84" i="15"/>
  <c r="F84" i="15"/>
  <c r="I130" i="15"/>
  <c r="I92" i="15"/>
  <c r="L210" i="15"/>
  <c r="F210" i="15"/>
  <c r="E210" i="15"/>
  <c r="L12" i="15"/>
  <c r="F12" i="15"/>
  <c r="E12" i="15"/>
  <c r="J155" i="15"/>
  <c r="E155" i="15"/>
  <c r="K155" i="15"/>
  <c r="F155" i="15"/>
  <c r="I137" i="15"/>
  <c r="I116" i="15"/>
  <c r="L198" i="15"/>
  <c r="F198" i="15"/>
  <c r="K198" i="15"/>
  <c r="E198" i="15"/>
  <c r="J198" i="15"/>
  <c r="I119" i="15"/>
  <c r="I83" i="15"/>
  <c r="K208" i="15"/>
  <c r="L208" i="15"/>
  <c r="J208" i="15"/>
  <c r="K217" i="15"/>
  <c r="J217" i="15"/>
  <c r="E217" i="15"/>
  <c r="F217" i="15"/>
  <c r="L217" i="15"/>
  <c r="I48" i="15"/>
  <c r="I205" i="15"/>
  <c r="I150" i="15"/>
  <c r="L154" i="15"/>
  <c r="F154" i="15"/>
  <c r="E154" i="15"/>
  <c r="K154" i="15"/>
  <c r="J154" i="15"/>
  <c r="I106" i="15"/>
  <c r="I115" i="15"/>
  <c r="I165" i="15"/>
  <c r="J123" i="15"/>
  <c r="F123" i="15"/>
  <c r="I157" i="15"/>
  <c r="L173" i="15"/>
  <c r="K173" i="15"/>
  <c r="E173" i="15"/>
  <c r="E125" i="15"/>
  <c r="K125" i="15"/>
  <c r="J125" i="15"/>
  <c r="L125" i="15"/>
  <c r="F125" i="15"/>
  <c r="I209" i="15"/>
  <c r="I138" i="15"/>
  <c r="I54" i="15"/>
  <c r="F173" i="15"/>
  <c r="I111" i="15"/>
  <c r="I15" i="15"/>
  <c r="I24" i="15"/>
  <c r="I120" i="15"/>
  <c r="I189" i="15"/>
  <c r="I210" i="15"/>
  <c r="J178" i="15"/>
  <c r="K178" i="15"/>
  <c r="L178" i="15"/>
  <c r="F178" i="15"/>
  <c r="I178" i="15"/>
  <c r="I135" i="15"/>
  <c r="E182" i="15"/>
  <c r="K182" i="15"/>
  <c r="J182" i="15"/>
  <c r="L182" i="15"/>
  <c r="F182" i="15"/>
  <c r="I168" i="15"/>
  <c r="I110" i="15"/>
  <c r="I53" i="15"/>
  <c r="I88" i="15"/>
  <c r="I169" i="15"/>
  <c r="E204" i="15"/>
  <c r="F204" i="15"/>
  <c r="L211" i="15"/>
  <c r="E211" i="15"/>
  <c r="F211" i="15"/>
  <c r="I33" i="15"/>
  <c r="I112" i="15"/>
  <c r="E76" i="15"/>
  <c r="L76" i="15"/>
  <c r="F76" i="15"/>
  <c r="I185" i="15"/>
  <c r="L91" i="15"/>
  <c r="F91" i="15"/>
  <c r="E91" i="15"/>
  <c r="E81" i="15"/>
  <c r="E150" i="15"/>
  <c r="L150" i="15"/>
  <c r="F150" i="15"/>
  <c r="K150" i="15"/>
  <c r="J150" i="15"/>
  <c r="L55" i="15"/>
  <c r="F55" i="15"/>
  <c r="E55" i="15"/>
  <c r="I22" i="15"/>
  <c r="I62" i="15"/>
  <c r="I206" i="15"/>
  <c r="F145" i="15"/>
  <c r="L145" i="15"/>
  <c r="E145" i="15"/>
  <c r="I182" i="15"/>
  <c r="I102" i="15"/>
  <c r="E160" i="15"/>
  <c r="F160" i="15"/>
  <c r="J160" i="15"/>
  <c r="K160" i="15"/>
  <c r="L160" i="15"/>
  <c r="I67" i="15"/>
  <c r="I55" i="15"/>
  <c r="K172" i="15"/>
  <c r="J172" i="15"/>
  <c r="L132" i="15"/>
  <c r="I66" i="15"/>
  <c r="I65" i="15"/>
  <c r="I44" i="15"/>
  <c r="I80" i="15"/>
  <c r="I51" i="15"/>
  <c r="I152" i="15"/>
  <c r="I89" i="15"/>
  <c r="I125" i="15"/>
  <c r="F59" i="15"/>
  <c r="E59" i="15"/>
  <c r="L59" i="15"/>
  <c r="F64" i="15"/>
  <c r="L64" i="15"/>
  <c r="I181" i="15"/>
  <c r="J131" i="15"/>
  <c r="J214" i="15"/>
  <c r="L214" i="15"/>
  <c r="E214" i="15"/>
  <c r="K214" i="15"/>
  <c r="F214" i="15"/>
  <c r="I154" i="15"/>
  <c r="I188" i="15"/>
  <c r="I199" i="15"/>
  <c r="I63" i="15"/>
  <c r="I174" i="15"/>
  <c r="L8" i="15"/>
  <c r="F8" i="15"/>
  <c r="E8" i="15"/>
  <c r="I176" i="15"/>
  <c r="E202" i="15"/>
  <c r="J202" i="15"/>
  <c r="F18" i="15"/>
  <c r="E26" i="15"/>
  <c r="I23" i="15"/>
  <c r="I132" i="15"/>
  <c r="I17" i="15"/>
  <c r="I141" i="15"/>
  <c r="I143" i="15"/>
  <c r="I118" i="15"/>
  <c r="L152" i="15"/>
  <c r="J152" i="15"/>
  <c r="F152" i="15"/>
  <c r="E152" i="15"/>
  <c r="K152" i="15"/>
  <c r="I173" i="15"/>
  <c r="I103" i="15"/>
  <c r="F34" i="15"/>
  <c r="E34" i="15"/>
  <c r="J134" i="15"/>
  <c r="L134" i="15"/>
  <c r="K134" i="15"/>
  <c r="L187" i="15"/>
  <c r="F137" i="15"/>
  <c r="J137" i="15"/>
  <c r="K137" i="15"/>
  <c r="I40" i="15"/>
  <c r="I151" i="15"/>
  <c r="K156" i="15"/>
  <c r="E156" i="15"/>
  <c r="L156" i="15"/>
  <c r="L192" i="15"/>
  <c r="K192" i="15"/>
  <c r="E192" i="15"/>
  <c r="F192" i="15"/>
  <c r="J192" i="15"/>
  <c r="I172" i="15"/>
  <c r="I73" i="15"/>
  <c r="I75" i="15"/>
  <c r="K188" i="15"/>
  <c r="F188" i="15"/>
  <c r="F47" i="15"/>
  <c r="E47" i="15"/>
  <c r="L47" i="15"/>
  <c r="I58" i="15"/>
  <c r="I50" i="15"/>
  <c r="I42" i="15"/>
  <c r="I8" i="15"/>
  <c r="I32" i="15"/>
  <c r="I85" i="15"/>
  <c r="I70" i="15"/>
  <c r="I146" i="15"/>
  <c r="I218" i="15"/>
  <c r="I90" i="15"/>
  <c r="L98" i="15"/>
  <c r="E98" i="15"/>
  <c r="F153" i="15"/>
  <c r="E153" i="15"/>
  <c r="K153" i="15"/>
  <c r="I25" i="15"/>
  <c r="I10" i="15"/>
  <c r="I36" i="15"/>
  <c r="J203" i="15"/>
  <c r="L203" i="15"/>
  <c r="E203" i="15"/>
  <c r="F120" i="15"/>
  <c r="K120" i="15"/>
  <c r="J120" i="15"/>
  <c r="L120" i="15"/>
  <c r="E120" i="15"/>
  <c r="I34" i="15"/>
  <c r="I21" i="15"/>
  <c r="J168" i="15"/>
  <c r="K168" i="15"/>
  <c r="J113" i="15"/>
  <c r="E113" i="15"/>
  <c r="K113" i="15"/>
  <c r="L113" i="15"/>
  <c r="F113" i="15"/>
  <c r="L9" i="15"/>
  <c r="E9" i="15"/>
  <c r="F9" i="15"/>
  <c r="I202" i="15"/>
  <c r="I71" i="15"/>
  <c r="I198" i="15"/>
  <c r="I160" i="15"/>
  <c r="I192" i="15"/>
  <c r="K185" i="15"/>
  <c r="E185" i="15"/>
  <c r="J185" i="15"/>
  <c r="I99" i="15"/>
  <c r="L126" i="15"/>
  <c r="J126" i="15"/>
  <c r="I183" i="15"/>
  <c r="F206" i="15"/>
  <c r="I145" i="15"/>
  <c r="I167" i="15"/>
  <c r="I190" i="15"/>
  <c r="E19" i="15"/>
  <c r="F19" i="15"/>
  <c r="L19" i="15"/>
  <c r="E36" i="15"/>
  <c r="L36" i="15"/>
  <c r="F36" i="15"/>
  <c r="I186" i="15"/>
  <c r="I100" i="15"/>
  <c r="I155" i="15"/>
  <c r="I52" i="15"/>
  <c r="I213" i="15"/>
  <c r="I208" i="15"/>
  <c r="I76" i="15"/>
  <c r="I11" i="15"/>
  <c r="J127" i="15"/>
  <c r="L127" i="15"/>
  <c r="E127" i="15"/>
  <c r="I91" i="15"/>
  <c r="I148" i="15"/>
  <c r="L121" i="15"/>
  <c r="F121" i="15"/>
  <c r="K121" i="15"/>
  <c r="I47" i="15"/>
  <c r="F207" i="15"/>
  <c r="E207" i="15"/>
  <c r="J207" i="15"/>
  <c r="L207" i="15"/>
  <c r="K207" i="15"/>
  <c r="I20" i="15"/>
  <c r="I122" i="15"/>
  <c r="I201" i="15"/>
  <c r="I184" i="15"/>
  <c r="E85" i="15"/>
  <c r="F85" i="15"/>
  <c r="I129" i="15"/>
  <c r="E149" i="15"/>
  <c r="K149" i="15"/>
  <c r="F149" i="15"/>
  <c r="J149" i="15"/>
  <c r="L149" i="15"/>
  <c r="I94" i="15"/>
  <c r="I97" i="15"/>
  <c r="L37" i="15"/>
  <c r="E37" i="15"/>
  <c r="F37" i="15"/>
  <c r="I124" i="15"/>
  <c r="F52" i="15"/>
  <c r="E52" i="15"/>
  <c r="L52" i="15"/>
  <c r="K102" i="15"/>
  <c r="E102" i="15"/>
  <c r="F102" i="15"/>
  <c r="L102" i="15"/>
  <c r="J102" i="15"/>
  <c r="L35" i="15"/>
  <c r="F35" i="15"/>
  <c r="E35" i="15"/>
  <c r="F49" i="15"/>
  <c r="L49" i="15"/>
  <c r="E49" i="15"/>
  <c r="I18" i="15"/>
  <c r="I162" i="15"/>
  <c r="I77" i="15"/>
  <c r="I109" i="15"/>
  <c r="K199" i="15"/>
  <c r="L193" i="15"/>
  <c r="F193" i="15"/>
  <c r="J193" i="15"/>
  <c r="E193" i="15"/>
  <c r="K193" i="15"/>
  <c r="I39" i="15"/>
  <c r="L161" i="15"/>
  <c r="K161" i="15"/>
  <c r="E161" i="15"/>
  <c r="F161" i="15"/>
  <c r="J161" i="15"/>
  <c r="O325" i="23"/>
  <c r="P324" i="23"/>
  <c r="O147" i="23"/>
  <c r="P146" i="23"/>
  <c r="O872" i="23"/>
  <c r="P871" i="23"/>
  <c r="O304" i="23"/>
  <c r="P303" i="23"/>
  <c r="G93" i="1"/>
  <c r="G1270" i="1"/>
  <c r="P734" i="23"/>
  <c r="O735" i="23"/>
  <c r="P920" i="23"/>
  <c r="O921" i="23"/>
  <c r="O439" i="23"/>
  <c r="P438" i="23"/>
  <c r="O791" i="23"/>
  <c r="P790" i="23"/>
  <c r="O309" i="23"/>
  <c r="P308" i="23"/>
  <c r="O613" i="23"/>
  <c r="P612" i="23"/>
  <c r="P539" i="23"/>
  <c r="O540" i="23"/>
  <c r="O41" i="23"/>
  <c r="P40" i="23"/>
  <c r="O608" i="23"/>
  <c r="P607" i="23"/>
  <c r="P339" i="23"/>
  <c r="O340" i="23"/>
  <c r="O164" i="23"/>
  <c r="P163" i="23"/>
  <c r="P206" i="23"/>
  <c r="O207" i="23"/>
  <c r="P429" i="23"/>
  <c r="O430" i="23"/>
  <c r="P503" i="23"/>
  <c r="O504" i="23"/>
  <c r="P77" i="23"/>
  <c r="O78" i="23"/>
  <c r="P328" i="23"/>
  <c r="O329" i="23"/>
  <c r="C11" i="27"/>
  <c r="O827" i="23"/>
  <c r="P826" i="23"/>
  <c r="O899" i="23"/>
  <c r="P898" i="23"/>
  <c r="P73" i="23"/>
  <c r="O74" i="23"/>
  <c r="K74" i="23"/>
  <c r="O210" i="23"/>
  <c r="P209" i="23"/>
  <c r="O545" i="23"/>
  <c r="P544" i="23"/>
  <c r="P590" i="23"/>
  <c r="O591" i="23"/>
  <c r="P470" i="23"/>
  <c r="O471" i="23"/>
  <c r="K56" i="23"/>
  <c r="P122" i="23"/>
  <c r="O123" i="23"/>
  <c r="P149" i="23"/>
  <c r="O150" i="23"/>
  <c r="P260" i="23"/>
  <c r="O261" i="23"/>
  <c r="P240" i="23"/>
  <c r="O241" i="23"/>
  <c r="O649" i="23"/>
  <c r="P648" i="23"/>
  <c r="O865" i="23"/>
  <c r="P864" i="23"/>
  <c r="P249" i="23"/>
  <c r="O250" i="23"/>
  <c r="P779" i="23"/>
  <c r="O780" i="23"/>
  <c r="P426" i="23"/>
  <c r="O427" i="23"/>
  <c r="P849" i="23"/>
  <c r="O850" i="23"/>
  <c r="O902" i="23"/>
  <c r="P901" i="23"/>
  <c r="P517" i="23"/>
  <c r="O518" i="23"/>
  <c r="O334" i="23"/>
  <c r="P333" i="23"/>
  <c r="K89" i="23"/>
  <c r="P610" i="23"/>
  <c r="O611" i="23"/>
  <c r="P682" i="23"/>
  <c r="O683" i="23"/>
  <c r="P338" i="23"/>
  <c r="O339" i="23"/>
  <c r="K49" i="23"/>
  <c r="O80" i="23"/>
  <c r="P79" i="23"/>
  <c r="O778" i="23"/>
  <c r="P777" i="23"/>
  <c r="H42" i="23"/>
  <c r="P915" i="23"/>
  <c r="O916" i="23"/>
  <c r="P842" i="23"/>
  <c r="O843" i="23"/>
  <c r="P667" i="23"/>
  <c r="O668" i="23"/>
  <c r="G1326" i="1"/>
  <c r="O898" i="23"/>
  <c r="P897" i="23"/>
  <c r="O531" i="23"/>
  <c r="P530" i="23"/>
  <c r="O832" i="23"/>
  <c r="P831" i="23"/>
  <c r="P391" i="23"/>
  <c r="O392" i="23"/>
  <c r="O875" i="23"/>
  <c r="P874" i="23"/>
  <c r="P212" i="23"/>
  <c r="O213" i="23"/>
  <c r="O158" i="23"/>
  <c r="P157" i="23"/>
  <c r="O103" i="23"/>
  <c r="P102" i="23"/>
  <c r="O969" i="23"/>
  <c r="P968" i="23"/>
  <c r="O24" i="23"/>
  <c r="P23" i="23"/>
  <c r="P15" i="23"/>
  <c r="O16" i="23"/>
  <c r="P814" i="23"/>
  <c r="O815" i="23"/>
  <c r="O219" i="23"/>
  <c r="P218" i="23"/>
  <c r="P320" i="23"/>
  <c r="O321" i="23"/>
  <c r="P120" i="23"/>
  <c r="O121" i="23"/>
  <c r="O852" i="23"/>
  <c r="P851" i="23"/>
  <c r="O211" i="23"/>
  <c r="P210" i="23"/>
  <c r="K41" i="23"/>
  <c r="O751" i="23"/>
  <c r="P750" i="23"/>
  <c r="G150" i="1"/>
  <c r="O846" i="23"/>
  <c r="P845" i="23"/>
  <c r="O922" i="23"/>
  <c r="P921" i="23"/>
  <c r="O381" i="23"/>
  <c r="P380" i="23"/>
  <c r="O37" i="23"/>
  <c r="P36" i="23"/>
  <c r="O592" i="23"/>
  <c r="P591" i="23"/>
  <c r="O910" i="23"/>
  <c r="P909" i="23"/>
  <c r="O823" i="23"/>
  <c r="P822" i="23"/>
  <c r="H1070" i="1"/>
  <c r="P658" i="23"/>
  <c r="O659" i="23"/>
  <c r="O928" i="23"/>
  <c r="P927" i="23"/>
  <c r="O511" i="23"/>
  <c r="P510" i="23"/>
  <c r="H19" i="23"/>
  <c r="P552" i="23"/>
  <c r="O553" i="23"/>
  <c r="P156" i="23"/>
  <c r="O157" i="23"/>
  <c r="P890" i="23"/>
  <c r="O891" i="23"/>
  <c r="O458" i="23"/>
  <c r="P457" i="23"/>
  <c r="O416" i="23"/>
  <c r="P415" i="23"/>
  <c r="P716" i="23"/>
  <c r="O717" i="23"/>
  <c r="O661" i="23"/>
  <c r="P660" i="23"/>
  <c r="H13" i="23"/>
  <c r="H176" i="1"/>
  <c r="O297" i="23"/>
  <c r="P296" i="23"/>
  <c r="O974" i="23"/>
  <c r="P973" i="23"/>
  <c r="P781" i="23"/>
  <c r="O782" i="23"/>
  <c r="O559" i="23"/>
  <c r="P558" i="23"/>
  <c r="O630" i="23"/>
  <c r="P629" i="23"/>
  <c r="O713" i="23"/>
  <c r="P712" i="23"/>
  <c r="O23" i="23"/>
  <c r="P22" i="23"/>
  <c r="P246" i="23"/>
  <c r="O247" i="23"/>
  <c r="O287" i="23"/>
  <c r="P286" i="23"/>
  <c r="P837" i="23"/>
  <c r="O838" i="23"/>
  <c r="O945" i="23"/>
  <c r="P944" i="23"/>
  <c r="O71" i="23"/>
  <c r="P70" i="23"/>
  <c r="O384" i="23"/>
  <c r="P383" i="23"/>
  <c r="O712" i="23"/>
  <c r="P711" i="23"/>
  <c r="P412" i="23"/>
  <c r="O413" i="23"/>
  <c r="O939" i="23"/>
  <c r="P938" i="23"/>
  <c r="P445" i="23"/>
  <c r="O446" i="23"/>
  <c r="P578" i="23"/>
  <c r="O579" i="23"/>
  <c r="O188" i="23"/>
  <c r="P187" i="23"/>
  <c r="P838" i="23"/>
  <c r="O839" i="23"/>
  <c r="O473" i="23"/>
  <c r="P472" i="23"/>
  <c r="O629" i="23"/>
  <c r="P628" i="23"/>
  <c r="P456" i="23"/>
  <c r="O457" i="23"/>
  <c r="P877" i="23"/>
  <c r="O878" i="23"/>
  <c r="P803" i="23"/>
  <c r="O804" i="23"/>
  <c r="P618" i="23"/>
  <c r="O619" i="23"/>
  <c r="O86" i="23"/>
  <c r="P85" i="23"/>
  <c r="P216" i="23"/>
  <c r="O217" i="23"/>
  <c r="P979" i="23"/>
  <c r="O980" i="23"/>
  <c r="P427" i="23"/>
  <c r="O428" i="23"/>
  <c r="P894" i="23"/>
  <c r="O895" i="23"/>
  <c r="O989" i="23"/>
  <c r="P988" i="23"/>
  <c r="P916" i="23"/>
  <c r="O917" i="23"/>
  <c r="O590" i="23"/>
  <c r="P589" i="23"/>
  <c r="P966" i="23"/>
  <c r="O967" i="23"/>
  <c r="P353" i="23"/>
  <c r="O354" i="23"/>
  <c r="O572" i="23"/>
  <c r="P571" i="23"/>
  <c r="O371" i="23"/>
  <c r="P370" i="23"/>
  <c r="P954" i="23"/>
  <c r="O955" i="23"/>
  <c r="P959" i="23"/>
  <c r="O960" i="23"/>
  <c r="P788" i="23"/>
  <c r="O789" i="23"/>
  <c r="P772" i="23"/>
  <c r="O773" i="23"/>
  <c r="K29" i="23"/>
  <c r="G865" i="1"/>
  <c r="P144" i="23"/>
  <c r="O145" i="23"/>
  <c r="P991" i="23"/>
  <c r="O992" i="23"/>
  <c r="O357" i="23"/>
  <c r="P356" i="23"/>
  <c r="P773" i="23"/>
  <c r="O774" i="23"/>
  <c r="P86" i="23"/>
  <c r="O87" i="23"/>
  <c r="P592" i="23"/>
  <c r="O593" i="23"/>
  <c r="P202" i="23"/>
  <c r="O203" i="23"/>
  <c r="O881" i="23"/>
  <c r="P880" i="23"/>
  <c r="O29" i="23"/>
  <c r="P28" i="23"/>
  <c r="P972" i="23"/>
  <c r="O973" i="23"/>
  <c r="P630" i="23"/>
  <c r="O631" i="23"/>
  <c r="P912" i="23"/>
  <c r="O913" i="23"/>
  <c r="O979" i="23"/>
  <c r="P978" i="23"/>
  <c r="O266" i="23"/>
  <c r="P265" i="23"/>
  <c r="O744" i="23"/>
  <c r="P743" i="23"/>
  <c r="P541" i="23"/>
  <c r="O542" i="23"/>
  <c r="P273" i="23"/>
  <c r="O274" i="23"/>
  <c r="P713" i="23"/>
  <c r="O714" i="23"/>
  <c r="H246" i="1"/>
  <c r="H25" i="23" s="1"/>
  <c r="H33" i="23"/>
  <c r="O165" i="23"/>
  <c r="P164" i="23"/>
  <c r="O522" i="23"/>
  <c r="P521" i="23"/>
  <c r="O755" i="23"/>
  <c r="P754" i="23"/>
  <c r="G1099" i="1"/>
  <c r="H61" i="23"/>
  <c r="K24" i="23"/>
  <c r="O494" i="23"/>
  <c r="P493" i="23"/>
  <c r="G1392" i="1"/>
  <c r="P994" i="23"/>
  <c r="O995" i="23"/>
  <c r="G432" i="1"/>
  <c r="G895" i="1"/>
  <c r="O806" i="23"/>
  <c r="P805" i="23"/>
  <c r="O245" i="23"/>
  <c r="P244" i="23"/>
  <c r="K9" i="23"/>
  <c r="P453" i="23"/>
  <c r="O454" i="23"/>
  <c r="P401" i="23"/>
  <c r="O402" i="23"/>
  <c r="O269" i="23"/>
  <c r="P268" i="23"/>
  <c r="O983" i="23"/>
  <c r="P982" i="23"/>
  <c r="P663" i="23"/>
  <c r="O664" i="23"/>
  <c r="O587" i="23"/>
  <c r="P586" i="23"/>
  <c r="P175" i="23"/>
  <c r="O176" i="23"/>
  <c r="O942" i="23"/>
  <c r="P941" i="23"/>
  <c r="P786" i="23"/>
  <c r="O787" i="23"/>
  <c r="P92" i="23"/>
  <c r="O93" i="23"/>
  <c r="P502" i="23"/>
  <c r="O503" i="23"/>
  <c r="P809" i="23"/>
  <c r="O810" i="23"/>
  <c r="O117" i="23"/>
  <c r="P116" i="23"/>
  <c r="H97" i="23"/>
  <c r="O390" i="23"/>
  <c r="P389" i="23"/>
  <c r="O320" i="23"/>
  <c r="P319" i="23"/>
  <c r="P428" i="23"/>
  <c r="O429" i="23"/>
  <c r="P534" i="23"/>
  <c r="O535" i="23"/>
  <c r="P818" i="23"/>
  <c r="O819" i="23"/>
  <c r="P347" i="23"/>
  <c r="O348" i="23"/>
  <c r="O239" i="23"/>
  <c r="P238" i="23"/>
  <c r="O984" i="23"/>
  <c r="P983" i="23"/>
  <c r="G570" i="1"/>
  <c r="P416" i="23"/>
  <c r="O417" i="23"/>
  <c r="H56" i="23"/>
  <c r="P501" i="23"/>
  <c r="O502" i="23"/>
  <c r="O692" i="23"/>
  <c r="P691" i="23"/>
  <c r="P200" i="23"/>
  <c r="O201" i="23"/>
  <c r="P850" i="23"/>
  <c r="O851" i="23"/>
  <c r="P985" i="23"/>
  <c r="O986" i="23"/>
  <c r="O687" i="23"/>
  <c r="P686" i="23"/>
  <c r="O848" i="23"/>
  <c r="P847" i="23"/>
  <c r="H89" i="23"/>
  <c r="P600" i="23"/>
  <c r="O601" i="23"/>
  <c r="H43" i="23"/>
  <c r="P546" i="23"/>
  <c r="O547" i="23"/>
  <c r="P385" i="23"/>
  <c r="O386" i="23"/>
  <c r="P967" i="23"/>
  <c r="O968" i="23"/>
  <c r="H51" i="23"/>
  <c r="O495" i="23"/>
  <c r="P494" i="23"/>
  <c r="O268" i="23"/>
  <c r="P267" i="23"/>
  <c r="P935" i="23"/>
  <c r="O936" i="23"/>
  <c r="O349" i="23"/>
  <c r="P348" i="23"/>
  <c r="O558" i="23"/>
  <c r="P557" i="23"/>
  <c r="O897" i="23"/>
  <c r="P896" i="23"/>
  <c r="O691" i="23"/>
  <c r="P690" i="23"/>
  <c r="P151" i="23"/>
  <c r="O152" i="23"/>
  <c r="O114" i="23"/>
  <c r="P113" i="23"/>
  <c r="P193" i="23"/>
  <c r="O194" i="23"/>
  <c r="P171" i="23"/>
  <c r="O172" i="23"/>
  <c r="P977" i="23"/>
  <c r="O978" i="23"/>
  <c r="G161" i="1"/>
  <c r="P435" i="23"/>
  <c r="O436" i="23"/>
  <c r="H41" i="23"/>
  <c r="P598" i="23"/>
  <c r="O599" i="23"/>
  <c r="P674" i="23"/>
  <c r="O675" i="23"/>
  <c r="P846" i="23"/>
  <c r="O847" i="23"/>
  <c r="O126" i="23"/>
  <c r="P125" i="23"/>
  <c r="O136" i="23"/>
  <c r="P135" i="23"/>
  <c r="P332" i="23"/>
  <c r="O333" i="23"/>
  <c r="P336" i="23"/>
  <c r="O337" i="23"/>
  <c r="P813" i="23"/>
  <c r="O814" i="23"/>
  <c r="P505" i="23"/>
  <c r="O506" i="23"/>
  <c r="P567" i="23"/>
  <c r="O568" i="23"/>
  <c r="P440" i="23"/>
  <c r="O441" i="23"/>
  <c r="O378" i="23"/>
  <c r="P377" i="23"/>
  <c r="P869" i="23"/>
  <c r="O870" i="23"/>
  <c r="O912" i="23"/>
  <c r="P911" i="23"/>
  <c r="P361" i="23"/>
  <c r="O362" i="23"/>
  <c r="O317" i="23"/>
  <c r="P316" i="23"/>
  <c r="P825" i="23"/>
  <c r="O826" i="23"/>
  <c r="O893" i="23"/>
  <c r="P892" i="23"/>
  <c r="P867" i="23"/>
  <c r="O868" i="23"/>
  <c r="O468" i="23"/>
  <c r="P467" i="23"/>
  <c r="P407" i="23"/>
  <c r="O408" i="23"/>
  <c r="O842" i="23"/>
  <c r="P841" i="23"/>
  <c r="K19" i="23"/>
  <c r="O685" i="23"/>
  <c r="P684" i="23"/>
  <c r="P563" i="23"/>
  <c r="O564" i="23"/>
  <c r="K72" i="23"/>
  <c r="O680" i="23"/>
  <c r="P679" i="23"/>
  <c r="P666" i="23"/>
  <c r="O667" i="23"/>
  <c r="P761" i="23"/>
  <c r="O762" i="23"/>
  <c r="K13" i="23"/>
  <c r="O356" i="23"/>
  <c r="P355" i="23"/>
  <c r="P38" i="23"/>
  <c r="O39" i="23"/>
  <c r="P483" i="23"/>
  <c r="O484" i="23"/>
  <c r="O947" i="23"/>
  <c r="P946" i="23"/>
  <c r="P443" i="23"/>
  <c r="O444" i="23"/>
  <c r="O32" i="23"/>
  <c r="P31" i="23"/>
  <c r="P272" i="23"/>
  <c r="O273" i="23"/>
  <c r="P758" i="23"/>
  <c r="O759" i="23"/>
  <c r="O597" i="23"/>
  <c r="P596" i="23"/>
  <c r="P131" i="23"/>
  <c r="O132" i="23"/>
  <c r="O18" i="23"/>
  <c r="P17" i="23"/>
  <c r="H22" i="23"/>
  <c r="G585" i="1"/>
  <c r="O757" i="23"/>
  <c r="P756" i="23"/>
  <c r="P918" i="23"/>
  <c r="O919" i="23"/>
  <c r="P300" i="23"/>
  <c r="O301" i="23"/>
  <c r="P907" i="23"/>
  <c r="O908" i="23"/>
  <c r="O237" i="23"/>
  <c r="P236" i="23"/>
  <c r="O723" i="23"/>
  <c r="P722" i="23"/>
  <c r="P553" i="23"/>
  <c r="O554" i="23"/>
  <c r="P623" i="23"/>
  <c r="O624" i="23"/>
  <c r="O533" i="23"/>
  <c r="P532" i="23"/>
  <c r="G953" i="1"/>
  <c r="J74" i="23" s="1"/>
  <c r="P965" i="23"/>
  <c r="O966" i="23"/>
  <c r="P396" i="23"/>
  <c r="O397" i="23"/>
  <c r="K85" i="23"/>
  <c r="P854" i="23"/>
  <c r="O855" i="23"/>
  <c r="O948" i="23"/>
  <c r="P947" i="23"/>
  <c r="O283" i="23"/>
  <c r="P282" i="23"/>
  <c r="O861" i="23"/>
  <c r="P860" i="23"/>
  <c r="K58" i="23"/>
  <c r="O318" i="23"/>
  <c r="P317" i="23"/>
  <c r="K91" i="23"/>
  <c r="O70" i="23"/>
  <c r="P69" i="23"/>
  <c r="P448" i="23"/>
  <c r="O449" i="23"/>
  <c r="P444" i="23"/>
  <c r="O445" i="23"/>
  <c r="O876" i="23"/>
  <c r="P875" i="23"/>
  <c r="O197" i="23"/>
  <c r="P196" i="23"/>
  <c r="G673" i="1"/>
  <c r="O637" i="23"/>
  <c r="P636" i="23"/>
  <c r="P857" i="23"/>
  <c r="O858" i="23"/>
  <c r="O763" i="23"/>
  <c r="P762" i="23"/>
  <c r="K88" i="23"/>
  <c r="P381" i="23"/>
  <c r="O382" i="23"/>
  <c r="P418" i="23"/>
  <c r="O419" i="23"/>
  <c r="O199" i="23"/>
  <c r="P198" i="23"/>
  <c r="O844" i="23"/>
  <c r="P843" i="23"/>
  <c r="P760" i="23"/>
  <c r="O761" i="23"/>
  <c r="G765" i="1"/>
  <c r="P46" i="23"/>
  <c r="O47" i="23"/>
  <c r="P257" i="23"/>
  <c r="O258" i="23"/>
  <c r="O412" i="23"/>
  <c r="P411" i="23"/>
  <c r="O660" i="23"/>
  <c r="P659" i="23"/>
  <c r="P350" i="23"/>
  <c r="O351" i="23"/>
  <c r="G104" i="1"/>
  <c r="K87" i="23"/>
  <c r="G1362" i="1"/>
  <c r="P793" i="23"/>
  <c r="O794" i="23"/>
  <c r="H80" i="23"/>
  <c r="P105" i="23"/>
  <c r="O106" i="23"/>
  <c r="P952" i="23"/>
  <c r="O953" i="23"/>
  <c r="O824" i="23"/>
  <c r="P823" i="23"/>
  <c r="P488" i="23"/>
  <c r="O489" i="23"/>
  <c r="K27" i="23"/>
  <c r="K33" i="23"/>
  <c r="G639" i="1"/>
  <c r="O25" i="23"/>
  <c r="P24" i="23"/>
  <c r="P922" i="23"/>
  <c r="O923" i="23"/>
  <c r="G664" i="1"/>
  <c r="O577" i="23"/>
  <c r="P576" i="23"/>
  <c r="O679" i="23"/>
  <c r="P678" i="23"/>
  <c r="O389" i="23"/>
  <c r="P388" i="23"/>
  <c r="P228" i="23"/>
  <c r="O229" i="23"/>
  <c r="O405" i="23"/>
  <c r="P404" i="23"/>
  <c r="P123" i="23"/>
  <c r="O124" i="23"/>
  <c r="O224" i="23"/>
  <c r="P223" i="23"/>
  <c r="P585" i="23"/>
  <c r="O586" i="23"/>
  <c r="P794" i="23"/>
  <c r="O795" i="23"/>
  <c r="P934" i="23"/>
  <c r="O935" i="23"/>
  <c r="O724" i="23"/>
  <c r="P723" i="23"/>
  <c r="P884" i="23"/>
  <c r="O885" i="23"/>
  <c r="O775" i="23"/>
  <c r="P774" i="23"/>
  <c r="K34" i="23"/>
  <c r="K48" i="23"/>
  <c r="H32" i="23"/>
  <c r="P127" i="23"/>
  <c r="O128" i="23"/>
  <c r="O276" i="23"/>
  <c r="P275" i="23"/>
  <c r="O526" i="23"/>
  <c r="P525" i="23"/>
  <c r="K77" i="23"/>
  <c r="P783" i="23"/>
  <c r="O784" i="23"/>
  <c r="P551" i="23"/>
  <c r="O552" i="23"/>
  <c r="O777" i="23"/>
  <c r="P776" i="23"/>
  <c r="O216" i="23"/>
  <c r="P215" i="23"/>
  <c r="H74" i="23"/>
  <c r="P828" i="23"/>
  <c r="O829" i="23"/>
  <c r="O812" i="23"/>
  <c r="P811" i="23"/>
  <c r="O788" i="23"/>
  <c r="P787" i="23"/>
  <c r="O236" i="23"/>
  <c r="P235" i="23"/>
  <c r="P550" i="23"/>
  <c r="O551" i="23"/>
  <c r="O548" i="23"/>
  <c r="P547" i="23"/>
  <c r="P243" i="23"/>
  <c r="O244" i="23"/>
  <c r="K44" i="23"/>
  <c r="P514" i="23"/>
  <c r="O515" i="23"/>
  <c r="P913" i="23"/>
  <c r="O914" i="23"/>
  <c r="G686" i="1"/>
  <c r="P433" i="23"/>
  <c r="O434" i="23"/>
  <c r="O196" i="23"/>
  <c r="P195" i="23"/>
  <c r="P279" i="23"/>
  <c r="O280" i="23"/>
  <c r="O138" i="23"/>
  <c r="P137" i="23"/>
  <c r="P789" i="23"/>
  <c r="O790" i="23"/>
  <c r="P984" i="23"/>
  <c r="O985" i="23"/>
  <c r="P508" i="23"/>
  <c r="O509" i="23"/>
  <c r="P43" i="23"/>
  <c r="O44" i="23"/>
  <c r="P292" i="23"/>
  <c r="O293" i="23"/>
  <c r="P1000" i="23"/>
  <c r="P42" i="23"/>
  <c r="O43" i="23"/>
  <c r="O569" i="23"/>
  <c r="P568" i="23"/>
  <c r="O988" i="23"/>
  <c r="P987" i="23"/>
  <c r="K51" i="23"/>
  <c r="P577" i="23"/>
  <c r="O578" i="23"/>
  <c r="O206" i="23"/>
  <c r="P205" i="23"/>
  <c r="P827" i="23"/>
  <c r="O828" i="23"/>
  <c r="P474" i="23"/>
  <c r="O475" i="23"/>
  <c r="O65" i="23"/>
  <c r="P64" i="23"/>
  <c r="O785" i="23"/>
  <c r="P784" i="23"/>
  <c r="O492" i="23"/>
  <c r="P491" i="23"/>
  <c r="H12" i="23"/>
  <c r="G230" i="1"/>
  <c r="O482" i="23"/>
  <c r="P481" i="23"/>
  <c r="O347" i="23"/>
  <c r="P346" i="23"/>
  <c r="P498" i="23"/>
  <c r="O499" i="23"/>
  <c r="P810" i="23"/>
  <c r="O811" i="23"/>
  <c r="O200" i="23"/>
  <c r="P199" i="23"/>
  <c r="O288" i="23"/>
  <c r="P287" i="23"/>
  <c r="O223" i="23"/>
  <c r="P222" i="23"/>
  <c r="O242" i="23"/>
  <c r="P241" i="23"/>
  <c r="G655" i="1"/>
  <c r="O766" i="23"/>
  <c r="P765" i="23"/>
  <c r="O837" i="23"/>
  <c r="P836" i="23"/>
  <c r="O58" i="23"/>
  <c r="P57" i="23"/>
  <c r="O11" i="23"/>
  <c r="P10" i="23"/>
  <c r="P331" i="23"/>
  <c r="O332" i="23"/>
  <c r="O937" i="23"/>
  <c r="P936" i="23"/>
  <c r="P554" i="23"/>
  <c r="O555" i="23"/>
  <c r="O54" i="23"/>
  <c r="P53" i="23"/>
  <c r="P584" i="23"/>
  <c r="O585" i="23"/>
  <c r="G598" i="1"/>
  <c r="O996" i="23"/>
  <c r="P995" i="23"/>
  <c r="G1070" i="1"/>
  <c r="P908" i="23"/>
  <c r="O909" i="23"/>
  <c r="P917" i="23"/>
  <c r="O918" i="23"/>
  <c r="P848" i="23"/>
  <c r="O849" i="23"/>
  <c r="P231" i="23"/>
  <c r="O232" i="23"/>
  <c r="O958" i="23"/>
  <c r="P957" i="23"/>
  <c r="H93" i="23"/>
  <c r="P363" i="23"/>
  <c r="O364" i="23"/>
  <c r="P90" i="23"/>
  <c r="O91" i="23"/>
  <c r="O314" i="23"/>
  <c r="P313" i="23"/>
  <c r="H17" i="23"/>
  <c r="K22" i="23"/>
  <c r="O645" i="23"/>
  <c r="P644" i="23"/>
  <c r="P211" i="23"/>
  <c r="O212" i="23"/>
  <c r="P569" i="23"/>
  <c r="O570" i="23"/>
  <c r="H101" i="23"/>
  <c r="O175" i="23"/>
  <c r="P174" i="23"/>
  <c r="O66" i="23"/>
  <c r="P65" i="23"/>
  <c r="P993" i="23"/>
  <c r="O994" i="23"/>
  <c r="P634" i="23"/>
  <c r="O635" i="23"/>
  <c r="O249" i="23"/>
  <c r="P248" i="23"/>
  <c r="O374" i="23"/>
  <c r="P373" i="23"/>
  <c r="K96" i="23"/>
  <c r="O689" i="23"/>
  <c r="P688" i="23"/>
  <c r="P432" i="23"/>
  <c r="O433" i="23"/>
  <c r="O38" i="23"/>
  <c r="P37" i="23"/>
  <c r="P98" i="23"/>
  <c r="O99" i="23"/>
  <c r="G982" i="1"/>
  <c r="O694" i="23"/>
  <c r="P693" i="23"/>
  <c r="O399" i="23"/>
  <c r="P398" i="23"/>
  <c r="O739" i="23"/>
  <c r="P738" i="23"/>
  <c r="P581" i="23"/>
  <c r="O582" i="23"/>
  <c r="O472" i="23"/>
  <c r="P471" i="23"/>
  <c r="P463" i="23"/>
  <c r="O464" i="23"/>
  <c r="O294" i="23"/>
  <c r="P293" i="23"/>
  <c r="O822" i="23"/>
  <c r="P821" i="23"/>
  <c r="H58" i="23"/>
  <c r="O15" i="23"/>
  <c r="P14" i="23"/>
  <c r="H91" i="23"/>
  <c r="K99" i="23"/>
  <c r="P425" i="23"/>
  <c r="O426" i="23"/>
  <c r="P16" i="23"/>
  <c r="O17" i="23"/>
  <c r="P167" i="23"/>
  <c r="O168" i="23"/>
  <c r="G908" i="1"/>
  <c r="J71" i="23" s="1"/>
  <c r="K25" i="23"/>
  <c r="O741" i="23"/>
  <c r="P740" i="23"/>
  <c r="O113" i="23"/>
  <c r="P112" i="23"/>
  <c r="O640" i="23"/>
  <c r="P639" i="23"/>
  <c r="P886" i="23"/>
  <c r="O887" i="23"/>
  <c r="O647" i="23"/>
  <c r="P646" i="23"/>
  <c r="K71" i="23"/>
  <c r="H86" i="23"/>
  <c r="H18" i="23"/>
  <c r="P94" i="23"/>
  <c r="O95" i="23"/>
  <c r="J46" i="23"/>
  <c r="O959" i="23"/>
  <c r="P958" i="23"/>
  <c r="O580" i="23"/>
  <c r="P579" i="23"/>
  <c r="O341" i="23"/>
  <c r="P340" i="23"/>
  <c r="O543" i="23"/>
  <c r="P542" i="23"/>
  <c r="O963" i="23"/>
  <c r="P962" i="23"/>
  <c r="O708" i="23"/>
  <c r="P707" i="23"/>
  <c r="H87" i="23"/>
  <c r="G444" i="1"/>
  <c r="O962" i="23"/>
  <c r="P961" i="23"/>
  <c r="P724" i="23"/>
  <c r="O725" i="23"/>
  <c r="H1212" i="1"/>
  <c r="G123" i="1"/>
  <c r="O68" i="23"/>
  <c r="P67" i="23"/>
  <c r="O745" i="23"/>
  <c r="P744" i="23"/>
  <c r="K61" i="23"/>
  <c r="O538" i="23"/>
  <c r="P537" i="23"/>
  <c r="G744" i="1"/>
  <c r="H664" i="1"/>
  <c r="P255" i="23"/>
  <c r="O256" i="23"/>
  <c r="H17" i="1"/>
  <c r="O718" i="23"/>
  <c r="P717" i="23"/>
  <c r="O534" i="23"/>
  <c r="P533" i="23"/>
  <c r="G1212" i="1"/>
  <c r="P337" i="23"/>
  <c r="O338" i="23"/>
  <c r="O856" i="23"/>
  <c r="P855" i="23"/>
  <c r="O450" i="23"/>
  <c r="P449" i="23"/>
  <c r="P158" i="23"/>
  <c r="O159" i="23"/>
  <c r="P928" i="23"/>
  <c r="O929" i="23"/>
  <c r="K76" i="23"/>
  <c r="P409" i="23"/>
  <c r="O410" i="23"/>
  <c r="O801" i="23"/>
  <c r="P800" i="23"/>
  <c r="O144" i="23"/>
  <c r="P143" i="23"/>
  <c r="H34" i="23"/>
  <c r="P341" i="23"/>
  <c r="O342" i="23"/>
  <c r="O69" i="23"/>
  <c r="P68" i="23"/>
  <c r="K59" i="23"/>
  <c r="J48" i="23"/>
  <c r="K32" i="23"/>
  <c r="P677" i="23"/>
  <c r="O678" i="23"/>
  <c r="O612" i="23"/>
  <c r="P611" i="23"/>
  <c r="K82" i="23"/>
  <c r="K97" i="23"/>
  <c r="H77" i="23"/>
  <c r="H84" i="23"/>
  <c r="O874" i="23"/>
  <c r="P873" i="23"/>
  <c r="O278" i="23"/>
  <c r="P277" i="23"/>
  <c r="P615" i="23"/>
  <c r="O616" i="23"/>
  <c r="O487" i="23"/>
  <c r="P486" i="23"/>
  <c r="P100" i="23"/>
  <c r="O101" i="23"/>
  <c r="P495" i="23"/>
  <c r="O496" i="23"/>
  <c r="O310" i="23"/>
  <c r="P309" i="23"/>
  <c r="O438" i="23"/>
  <c r="P437" i="23"/>
  <c r="K63" i="23"/>
  <c r="O716" i="23"/>
  <c r="P715" i="23"/>
  <c r="P386" i="23"/>
  <c r="O387" i="23"/>
  <c r="H44" i="23"/>
  <c r="O925" i="23"/>
  <c r="P924" i="23"/>
  <c r="K21" i="23"/>
  <c r="P284" i="23"/>
  <c r="O285" i="23"/>
  <c r="P465" i="23"/>
  <c r="O466" i="23"/>
  <c r="G974" i="1"/>
  <c r="P555" i="23"/>
  <c r="O556" i="23"/>
  <c r="P424" i="23"/>
  <c r="O425" i="23"/>
  <c r="P930" i="23"/>
  <c r="O931" i="23"/>
  <c r="O455" i="23"/>
  <c r="P454" i="23"/>
  <c r="G839" i="1"/>
  <c r="P155" i="23"/>
  <c r="O156" i="23"/>
  <c r="P110" i="23"/>
  <c r="O111" i="23"/>
  <c r="O480" i="23"/>
  <c r="P479" i="23"/>
  <c r="K64" i="23"/>
  <c r="O185" i="23"/>
  <c r="P184" i="23"/>
  <c r="K23" i="23"/>
  <c r="K12" i="23"/>
  <c r="P910" i="23"/>
  <c r="O911" i="23"/>
  <c r="O830" i="23"/>
  <c r="P829" i="23"/>
  <c r="P852" i="23"/>
  <c r="O853" i="23"/>
  <c r="O738" i="23"/>
  <c r="P737" i="23"/>
  <c r="P597" i="23"/>
  <c r="O598" i="23"/>
  <c r="O421" i="23"/>
  <c r="P420" i="23"/>
  <c r="O56" i="23"/>
  <c r="P55" i="23"/>
  <c r="P138" i="23"/>
  <c r="O139" i="23"/>
  <c r="O565" i="23"/>
  <c r="P564" i="23"/>
  <c r="P54" i="23"/>
  <c r="O55" i="23"/>
  <c r="O813" i="23"/>
  <c r="P812" i="23"/>
  <c r="P239" i="23"/>
  <c r="O240" i="23"/>
  <c r="P422" i="23"/>
  <c r="O423" i="23"/>
  <c r="P351" i="23"/>
  <c r="O352" i="23"/>
  <c r="O133" i="23"/>
  <c r="P132" i="23"/>
  <c r="O889" i="23"/>
  <c r="P888" i="23"/>
  <c r="P670" i="23"/>
  <c r="O671" i="23"/>
  <c r="P50" i="23"/>
  <c r="O51" i="23"/>
  <c r="O901" i="23"/>
  <c r="P900" i="23"/>
  <c r="P436" i="23"/>
  <c r="O437" i="23"/>
  <c r="O388" i="23"/>
  <c r="P387" i="23"/>
  <c r="O20" i="23"/>
  <c r="P19" i="23"/>
  <c r="O215" i="23"/>
  <c r="P214" i="23"/>
  <c r="O153" i="23"/>
  <c r="P152" i="23"/>
  <c r="O636" i="23"/>
  <c r="P635" i="23"/>
  <c r="H30" i="23"/>
  <c r="O36" i="23"/>
  <c r="P35" i="23"/>
  <c r="O644" i="23"/>
  <c r="P643" i="23"/>
  <c r="P519" i="23"/>
  <c r="O520" i="23"/>
  <c r="P354" i="23"/>
  <c r="O355" i="23"/>
  <c r="O639" i="23"/>
  <c r="P638" i="23"/>
  <c r="K93" i="23"/>
  <c r="P283" i="23"/>
  <c r="O284" i="23"/>
  <c r="O141" i="23"/>
  <c r="P140" i="23"/>
  <c r="P942" i="23"/>
  <c r="O943" i="23"/>
  <c r="O53" i="23"/>
  <c r="P52" i="23"/>
  <c r="K17" i="23"/>
  <c r="P114" i="23"/>
  <c r="O115" i="23"/>
  <c r="O105" i="23"/>
  <c r="P104" i="23"/>
  <c r="O701" i="23"/>
  <c r="P700" i="23"/>
  <c r="P561" i="23"/>
  <c r="O562" i="23"/>
  <c r="O594" i="23"/>
  <c r="P593" i="23"/>
  <c r="P179" i="23"/>
  <c r="O180" i="23"/>
  <c r="K101" i="23"/>
  <c r="P395" i="23"/>
  <c r="O396" i="23"/>
  <c r="G71" i="1"/>
  <c r="O184" i="23"/>
  <c r="P183" i="23"/>
  <c r="P368" i="23"/>
  <c r="O369" i="23"/>
  <c r="P520" i="23"/>
  <c r="O521" i="23"/>
  <c r="O238" i="23"/>
  <c r="P237" i="23"/>
  <c r="P108" i="23"/>
  <c r="O109" i="23"/>
  <c r="H96" i="23"/>
  <c r="O672" i="23"/>
  <c r="P671" i="23"/>
  <c r="P853" i="23"/>
  <c r="O854" i="23"/>
  <c r="O652" i="23"/>
  <c r="P651" i="23"/>
  <c r="H37" i="23"/>
  <c r="O96" i="23"/>
  <c r="P95" i="23"/>
  <c r="P989" i="23"/>
  <c r="O990" i="23"/>
  <c r="O27" i="23"/>
  <c r="P26" i="23"/>
  <c r="H85" i="23"/>
  <c r="O120" i="23"/>
  <c r="P119" i="23"/>
  <c r="P245" i="23"/>
  <c r="O246" i="23"/>
  <c r="O864" i="23"/>
  <c r="P863" i="23"/>
  <c r="O154" i="23"/>
  <c r="P153" i="23"/>
  <c r="O602" i="23"/>
  <c r="P601" i="23"/>
  <c r="P767" i="23"/>
  <c r="O768" i="23"/>
  <c r="O155" i="23"/>
  <c r="P154" i="23"/>
  <c r="K69" i="23"/>
  <c r="O46" i="23"/>
  <c r="P45" i="23"/>
  <c r="P201" i="23"/>
  <c r="O202" i="23"/>
  <c r="G330" i="1"/>
  <c r="H99" i="23"/>
  <c r="P322" i="23"/>
  <c r="O323" i="23"/>
  <c r="P626" i="23"/>
  <c r="O627" i="23"/>
  <c r="P609" i="23"/>
  <c r="O610" i="23"/>
  <c r="O26" i="23"/>
  <c r="P25" i="23"/>
  <c r="O192" i="23"/>
  <c r="P191" i="23"/>
  <c r="O148" i="23"/>
  <c r="P147" i="23"/>
  <c r="G807" i="1"/>
  <c r="G727" i="1"/>
  <c r="P657" i="23"/>
  <c r="O658" i="23"/>
  <c r="O706" i="23"/>
  <c r="P705" i="23"/>
  <c r="P562" i="23"/>
  <c r="O563" i="23"/>
  <c r="H39" i="23"/>
  <c r="P219" i="23"/>
  <c r="O220" i="23"/>
  <c r="O289" i="23"/>
  <c r="P288" i="23"/>
  <c r="P861" i="23"/>
  <c r="O862" i="23"/>
  <c r="O722" i="23"/>
  <c r="P721" i="23"/>
  <c r="H88" i="23"/>
  <c r="P343" i="23"/>
  <c r="O344" i="23"/>
  <c r="H71" i="23"/>
  <c r="H47" i="23"/>
  <c r="P899" i="23"/>
  <c r="O900" i="23"/>
  <c r="K86" i="23"/>
  <c r="O733" i="23"/>
  <c r="P732" i="23"/>
  <c r="K18" i="23"/>
  <c r="O179" i="23"/>
  <c r="P178" i="23"/>
  <c r="O135" i="23"/>
  <c r="P134" i="23"/>
  <c r="K46" i="23"/>
  <c r="P549" i="23"/>
  <c r="O550" i="23"/>
  <c r="O370" i="23"/>
  <c r="P369" i="23"/>
  <c r="P342" i="23"/>
  <c r="O343" i="23"/>
  <c r="O186" i="23"/>
  <c r="P185" i="23"/>
  <c r="K80" i="23"/>
  <c r="P730" i="23"/>
  <c r="O731" i="23"/>
  <c r="P66" i="23"/>
  <c r="O67" i="23"/>
  <c r="O754" i="23"/>
  <c r="P753" i="23"/>
  <c r="G404" i="1"/>
  <c r="P668" i="23"/>
  <c r="O669" i="23"/>
  <c r="O302" i="23"/>
  <c r="P301" i="23"/>
  <c r="O720" i="23"/>
  <c r="P719" i="23"/>
  <c r="P645" i="23"/>
  <c r="O646" i="23"/>
  <c r="O476" i="23"/>
  <c r="P475" i="23"/>
  <c r="O866" i="23"/>
  <c r="P865" i="23"/>
  <c r="J61" i="23"/>
  <c r="H24" i="23"/>
  <c r="P133" i="23"/>
  <c r="O134" i="23"/>
  <c r="G853" i="1"/>
  <c r="G246" i="1"/>
  <c r="J25" i="23" s="1"/>
  <c r="G367" i="1"/>
  <c r="O452" i="23"/>
  <c r="P451" i="23"/>
  <c r="C8" i="14"/>
  <c r="C8" i="58"/>
  <c r="P833" i="23"/>
  <c r="O834" i="23"/>
  <c r="O277" i="23"/>
  <c r="P276" i="23"/>
  <c r="P878" i="23"/>
  <c r="O879" i="23"/>
  <c r="P792" i="23"/>
  <c r="O793" i="23"/>
  <c r="O676" i="23"/>
  <c r="P675" i="23"/>
  <c r="O541" i="23"/>
  <c r="P540" i="23"/>
  <c r="H59" i="23"/>
  <c r="H48" i="23"/>
  <c r="P824" i="23"/>
  <c r="O825" i="23"/>
  <c r="O270" i="23"/>
  <c r="P269" i="23"/>
  <c r="P950" i="23"/>
  <c r="O951" i="23"/>
  <c r="K84" i="23"/>
  <c r="O798" i="23"/>
  <c r="P797" i="23"/>
  <c r="P604" i="23"/>
  <c r="O605" i="23"/>
  <c r="P570" i="23"/>
  <c r="O571" i="23"/>
  <c r="O719" i="23"/>
  <c r="P718" i="23"/>
  <c r="P953" i="23"/>
  <c r="O954" i="23"/>
  <c r="P405" i="23"/>
  <c r="O406" i="23"/>
  <c r="P870" i="23"/>
  <c r="O871" i="23"/>
  <c r="P189" i="23"/>
  <c r="O190" i="23"/>
  <c r="O395" i="23"/>
  <c r="P394" i="23"/>
  <c r="O820" i="23"/>
  <c r="P819" i="23"/>
  <c r="O303" i="23"/>
  <c r="P302" i="23"/>
  <c r="P217" i="23"/>
  <c r="O218" i="23"/>
  <c r="O809" i="23"/>
  <c r="P808" i="23"/>
  <c r="H21" i="23"/>
  <c r="P559" i="23"/>
  <c r="O560" i="23"/>
  <c r="K62" i="23"/>
  <c r="G277" i="1"/>
  <c r="P478" i="23"/>
  <c r="O479" i="23"/>
  <c r="P872" i="23"/>
  <c r="O873" i="23"/>
  <c r="G416" i="1"/>
  <c r="P641" i="23"/>
  <c r="O642" i="23"/>
  <c r="G59" i="1"/>
  <c r="G312" i="1"/>
  <c r="O358" i="23"/>
  <c r="P357" i="23"/>
  <c r="O262" i="23"/>
  <c r="P261" i="23"/>
  <c r="K102" i="23"/>
  <c r="H64" i="23"/>
  <c r="O835" i="23"/>
  <c r="P834" i="23"/>
  <c r="H23" i="23"/>
  <c r="H15" i="23"/>
  <c r="O576" i="23"/>
  <c r="P575" i="23"/>
  <c r="O519" i="23"/>
  <c r="P518" i="23"/>
  <c r="O79" i="23"/>
  <c r="P78" i="23"/>
  <c r="O187" i="23"/>
  <c r="P186" i="23"/>
  <c r="O626" i="23"/>
  <c r="P625" i="23"/>
  <c r="O451" i="23"/>
  <c r="P450" i="23"/>
  <c r="O536" i="23"/>
  <c r="P535" i="23"/>
  <c r="O779" i="23"/>
  <c r="P778" i="23"/>
  <c r="O42" i="23"/>
  <c r="P41" i="23"/>
  <c r="P655" i="23"/>
  <c r="O656" i="23"/>
  <c r="P699" i="23"/>
  <c r="O700" i="23"/>
  <c r="O607" i="23"/>
  <c r="P606" i="23"/>
  <c r="H36" i="23"/>
  <c r="O746" i="23"/>
  <c r="P745" i="23"/>
  <c r="O112" i="23"/>
  <c r="P111" i="23"/>
  <c r="P731" i="23"/>
  <c r="O732" i="23"/>
  <c r="P725" i="23"/>
  <c r="O726" i="23"/>
  <c r="O715" i="23"/>
  <c r="P714" i="23"/>
  <c r="P587" i="23"/>
  <c r="O588" i="23"/>
  <c r="O73" i="23"/>
  <c r="P72" i="23"/>
  <c r="O198" i="23"/>
  <c r="P197" i="23"/>
  <c r="P365" i="23"/>
  <c r="O366" i="23"/>
  <c r="P751" i="23"/>
  <c r="O752" i="23"/>
  <c r="O312" i="23"/>
  <c r="P311" i="23"/>
  <c r="O965" i="23"/>
  <c r="P964" i="23"/>
  <c r="K30" i="23"/>
  <c r="P60" i="23"/>
  <c r="O61" i="23"/>
  <c r="O127" i="23"/>
  <c r="P126" i="23"/>
  <c r="H31" i="23"/>
  <c r="G1079" i="1"/>
  <c r="O272" i="23"/>
  <c r="P271" i="23"/>
  <c r="O420" i="23"/>
  <c r="P419" i="23"/>
  <c r="O711" i="23"/>
  <c r="P710" i="23"/>
  <c r="K90" i="23"/>
  <c r="O617" i="23"/>
  <c r="P616" i="23"/>
  <c r="K70" i="23"/>
  <c r="P742" i="23"/>
  <c r="O743" i="23"/>
  <c r="P565" i="23"/>
  <c r="O566" i="23"/>
  <c r="O952" i="23"/>
  <c r="P951" i="23"/>
  <c r="P499" i="23"/>
  <c r="O500" i="23"/>
  <c r="K37" i="23"/>
  <c r="O407" i="23"/>
  <c r="P406" i="23"/>
  <c r="P150" i="23"/>
  <c r="O151" i="23"/>
  <c r="H98" i="23"/>
  <c r="K83" i="23"/>
  <c r="P879" i="23"/>
  <c r="O880" i="23"/>
  <c r="H11" i="23"/>
  <c r="P893" i="23"/>
  <c r="O894" i="23"/>
  <c r="P289" i="23"/>
  <c r="O290" i="23"/>
  <c r="K14" i="23"/>
  <c r="H81" i="23"/>
  <c r="O748" i="23"/>
  <c r="P747" i="23"/>
  <c r="O404" i="23"/>
  <c r="P403" i="23"/>
  <c r="H69" i="23"/>
  <c r="O836" i="23"/>
  <c r="P835" i="23"/>
  <c r="P294" i="23"/>
  <c r="O295" i="23"/>
  <c r="O600" i="23"/>
  <c r="P599" i="23"/>
  <c r="P263" i="23"/>
  <c r="O264" i="23"/>
  <c r="G1010" i="1"/>
  <c r="P230" i="23"/>
  <c r="O231" i="23"/>
  <c r="H610" i="1"/>
  <c r="P221" i="23"/>
  <c r="O222" i="23"/>
  <c r="G17" i="1"/>
  <c r="O116" i="23"/>
  <c r="P115" i="23"/>
  <c r="K39" i="23"/>
  <c r="O414" i="23"/>
  <c r="P413" i="23"/>
  <c r="G386" i="1"/>
  <c r="O376" i="23"/>
  <c r="P375" i="23"/>
  <c r="G1251" i="1"/>
  <c r="O72" i="23"/>
  <c r="P71" i="23"/>
  <c r="J47" i="23"/>
  <c r="P168" i="23"/>
  <c r="O169" i="23"/>
  <c r="K75" i="23"/>
  <c r="O398" i="23"/>
  <c r="P397" i="23"/>
  <c r="G1026" i="1"/>
  <c r="O772" i="23"/>
  <c r="P771" i="23"/>
  <c r="O776" i="23"/>
  <c r="P775" i="23"/>
  <c r="K94" i="23"/>
  <c r="O360" i="23"/>
  <c r="P359" i="23"/>
  <c r="H46" i="23"/>
  <c r="P697" i="23"/>
  <c r="O698" i="23"/>
  <c r="O253" i="23"/>
  <c r="P252" i="23"/>
  <c r="O771" i="23"/>
  <c r="P770" i="23"/>
  <c r="P640" i="23"/>
  <c r="O641" i="23"/>
  <c r="G822" i="1"/>
  <c r="G1129" i="1"/>
  <c r="P637" i="23"/>
  <c r="O638" i="23"/>
  <c r="P80" i="23"/>
  <c r="O81" i="23"/>
  <c r="O648" i="23"/>
  <c r="P647" i="23"/>
  <c r="H982" i="1"/>
  <c r="H76" i="23" s="1"/>
  <c r="O940" i="23"/>
  <c r="P939" i="23"/>
  <c r="P372" i="23"/>
  <c r="O373" i="23"/>
  <c r="O574" i="23"/>
  <c r="P573" i="23"/>
  <c r="K67" i="23"/>
  <c r="G295" i="1"/>
  <c r="H262" i="1"/>
  <c r="G322" i="1"/>
  <c r="G502" i="1"/>
  <c r="G1195" i="1"/>
  <c r="O622" i="23"/>
  <c r="P621" i="23"/>
  <c r="H617" i="1"/>
  <c r="H50" i="23" s="1"/>
  <c r="O956" i="23"/>
  <c r="P955" i="23"/>
  <c r="O961" i="23"/>
  <c r="P960" i="23"/>
  <c r="H822" i="1"/>
  <c r="O394" i="23"/>
  <c r="P393" i="23"/>
  <c r="O634" i="23"/>
  <c r="P633" i="23"/>
  <c r="P866" i="23"/>
  <c r="O867" i="23"/>
  <c r="P785" i="23"/>
  <c r="O786" i="23"/>
  <c r="P177" i="23"/>
  <c r="O178" i="23"/>
  <c r="P801" i="23"/>
  <c r="O802" i="23"/>
  <c r="P527" i="23"/>
  <c r="O528" i="23"/>
  <c r="O248" i="23"/>
  <c r="P247" i="23"/>
  <c r="O615" i="23"/>
  <c r="P614" i="23"/>
  <c r="O877" i="23"/>
  <c r="P876" i="23"/>
  <c r="O271" i="23"/>
  <c r="P270" i="23"/>
  <c r="O584" i="23"/>
  <c r="P583" i="23"/>
  <c r="K92" i="23"/>
  <c r="P446" i="23"/>
  <c r="O447" i="23"/>
  <c r="O35" i="23"/>
  <c r="P34" i="23"/>
  <c r="P170" i="23"/>
  <c r="O171" i="23"/>
  <c r="H40" i="23"/>
  <c r="P980" i="23"/>
  <c r="O981" i="23"/>
  <c r="P48" i="23"/>
  <c r="O49" i="23"/>
  <c r="P32" i="23"/>
  <c r="O33" i="23"/>
  <c r="O800" i="23"/>
  <c r="P799" i="23"/>
  <c r="O230" i="23"/>
  <c r="P229" i="23"/>
  <c r="P937" i="23"/>
  <c r="O938" i="23"/>
  <c r="P891" i="23"/>
  <c r="O892" i="23"/>
  <c r="O927" i="23"/>
  <c r="P926" i="23"/>
  <c r="P914" i="23"/>
  <c r="O915" i="23"/>
  <c r="P929" i="23"/>
  <c r="O930" i="23"/>
  <c r="G881" i="1"/>
  <c r="J69" i="23" s="1"/>
  <c r="O817" i="23"/>
  <c r="P816" i="23"/>
  <c r="H73" i="23"/>
  <c r="O456" i="23"/>
  <c r="P455" i="23"/>
  <c r="P490" i="23"/>
  <c r="O491" i="23"/>
  <c r="J100" i="23"/>
  <c r="P367" i="23"/>
  <c r="O368" i="23"/>
  <c r="P482" i="23"/>
  <c r="O483" i="23"/>
  <c r="H63" i="23"/>
  <c r="O596" i="23"/>
  <c r="P595" i="23"/>
  <c r="O677" i="23"/>
  <c r="P676" i="23"/>
  <c r="P696" i="23"/>
  <c r="O697" i="23"/>
  <c r="O736" i="23"/>
  <c r="P735" i="23"/>
  <c r="H62" i="23"/>
  <c r="O243" i="23"/>
  <c r="P242" i="23"/>
  <c r="O174" i="23"/>
  <c r="P173" i="23"/>
  <c r="P949" i="23"/>
  <c r="O950" i="23"/>
  <c r="G1309" i="1"/>
  <c r="P89" i="23"/>
  <c r="O90" i="23"/>
  <c r="P306" i="23"/>
  <c r="O307" i="23"/>
  <c r="O490" i="23"/>
  <c r="P489" i="23"/>
  <c r="P194" i="23"/>
  <c r="O195" i="23"/>
  <c r="P107" i="23"/>
  <c r="O108" i="23"/>
  <c r="P447" i="23"/>
  <c r="O448" i="23"/>
  <c r="G928" i="1"/>
  <c r="P905" i="23"/>
  <c r="O906" i="23"/>
  <c r="P492" i="23"/>
  <c r="O493" i="23"/>
  <c r="H79" i="23"/>
  <c r="P830" i="23"/>
  <c r="O831" i="23"/>
  <c r="P461" i="23"/>
  <c r="O462" i="23"/>
  <c r="O498" i="23"/>
  <c r="P497" i="23"/>
  <c r="H102" i="23"/>
  <c r="J64" i="23"/>
  <c r="K15" i="23"/>
  <c r="H78" i="23"/>
  <c r="P12" i="23"/>
  <c r="O13" i="23"/>
  <c r="P997" i="23"/>
  <c r="O998" i="23"/>
  <c r="O633" i="23"/>
  <c r="P632" i="23"/>
  <c r="O653" i="23"/>
  <c r="P652" i="23"/>
  <c r="K55" i="23"/>
  <c r="P477" i="23"/>
  <c r="O478" i="23"/>
  <c r="K54" i="23"/>
  <c r="P139" i="23"/>
  <c r="O140" i="23"/>
  <c r="P904" i="23"/>
  <c r="O905" i="23"/>
  <c r="O709" i="23"/>
  <c r="P708" i="23"/>
  <c r="O618" i="23"/>
  <c r="P617" i="23"/>
  <c r="K50" i="23"/>
  <c r="K36" i="23"/>
  <c r="P582" i="23"/>
  <c r="O583" i="23"/>
  <c r="O888" i="23"/>
  <c r="P887" i="23"/>
  <c r="P161" i="23"/>
  <c r="O162" i="23"/>
  <c r="K53" i="23"/>
  <c r="O527" i="23"/>
  <c r="P526" i="23"/>
  <c r="O975" i="23"/>
  <c r="P974" i="23"/>
  <c r="O882" i="23"/>
  <c r="P881" i="23"/>
  <c r="O686" i="23"/>
  <c r="P685" i="23"/>
  <c r="P516" i="23"/>
  <c r="O517" i="23"/>
  <c r="O432" i="23"/>
  <c r="P431" i="23"/>
  <c r="P325" i="23"/>
  <c r="O326" i="23"/>
  <c r="P281" i="23"/>
  <c r="O282" i="23"/>
  <c r="O896" i="23"/>
  <c r="P895" i="23"/>
  <c r="P992" i="23"/>
  <c r="O993" i="23"/>
  <c r="O964" i="23"/>
  <c r="P963" i="23"/>
  <c r="O655" i="23"/>
  <c r="P654" i="23"/>
  <c r="J30" i="23"/>
  <c r="O869" i="23"/>
  <c r="P868" i="23"/>
  <c r="H35" i="23"/>
  <c r="P780" i="23"/>
  <c r="O781" i="23"/>
  <c r="H60" i="23"/>
  <c r="O589" i="23"/>
  <c r="P588" i="23"/>
  <c r="K31" i="23"/>
  <c r="P374" i="23"/>
  <c r="O375" i="23"/>
  <c r="P802" i="23"/>
  <c r="O803" i="23"/>
  <c r="O170" i="23"/>
  <c r="P169" i="23"/>
  <c r="O821" i="23"/>
  <c r="P820" i="23"/>
  <c r="P402" i="23"/>
  <c r="O403" i="23"/>
  <c r="H52" i="23"/>
  <c r="P840" i="23"/>
  <c r="O841" i="23"/>
  <c r="O933" i="23"/>
  <c r="P932" i="23"/>
  <c r="O102" i="23"/>
  <c r="P101" i="23"/>
  <c r="J65" i="23"/>
  <c r="P703" i="23"/>
  <c r="O704" i="23"/>
  <c r="G1151" i="1"/>
  <c r="J87" i="23" s="1"/>
  <c r="O319" i="23"/>
  <c r="P318" i="23"/>
  <c r="P378" i="23"/>
  <c r="O379" i="23"/>
  <c r="H95" i="23"/>
  <c r="O764" i="23"/>
  <c r="P763" i="23"/>
  <c r="P121" i="23"/>
  <c r="O122" i="23"/>
  <c r="K98" i="23"/>
  <c r="O300" i="23"/>
  <c r="P299" i="23"/>
  <c r="K11" i="23"/>
  <c r="P145" i="23"/>
  <c r="O146" i="23"/>
  <c r="O131" i="23"/>
  <c r="P130" i="23"/>
  <c r="P739" i="23"/>
  <c r="O740" i="23"/>
  <c r="P706" i="23"/>
  <c r="O707" i="23"/>
  <c r="O702" i="23"/>
  <c r="P701" i="23"/>
  <c r="O286" i="23"/>
  <c r="P285" i="23"/>
  <c r="P882" i="23"/>
  <c r="O883" i="23"/>
  <c r="G630" i="1"/>
  <c r="J51" i="23" s="1"/>
  <c r="H14" i="23"/>
  <c r="K81" i="23"/>
  <c r="P352" i="23"/>
  <c r="O353" i="23"/>
  <c r="K45" i="23"/>
  <c r="P430" i="23"/>
  <c r="O431" i="23"/>
  <c r="P423" i="23"/>
  <c r="O424" i="23"/>
  <c r="O488" i="23"/>
  <c r="P487" i="23"/>
  <c r="K16" i="23"/>
  <c r="P943" i="23"/>
  <c r="O944" i="23"/>
  <c r="G610" i="1"/>
  <c r="O477" i="23"/>
  <c r="P476" i="23"/>
  <c r="P29" i="23"/>
  <c r="O30" i="23"/>
  <c r="O21" i="23"/>
  <c r="P20" i="23"/>
  <c r="O110" i="23"/>
  <c r="P109" i="23"/>
  <c r="O263" i="23"/>
  <c r="P262" i="23"/>
  <c r="O173" i="23"/>
  <c r="P172" i="23"/>
  <c r="O214" i="23"/>
  <c r="P213" i="23"/>
  <c r="G794" i="1"/>
  <c r="J63" i="23" s="1"/>
  <c r="O623" i="23"/>
  <c r="P622" i="23"/>
  <c r="G137" i="1"/>
  <c r="K47" i="23"/>
  <c r="P683" i="23"/>
  <c r="O684" i="23"/>
  <c r="P307" i="23"/>
  <c r="O308" i="23"/>
  <c r="G919" i="1"/>
  <c r="J72" i="23" s="1"/>
  <c r="J75" i="23"/>
  <c r="H94" i="23"/>
  <c r="O469" i="23"/>
  <c r="P468" i="23"/>
  <c r="G1238" i="1"/>
  <c r="K28" i="23"/>
  <c r="P142" i="23"/>
  <c r="O143" i="23"/>
  <c r="G1378" i="1"/>
  <c r="P160" i="23"/>
  <c r="O161" i="23"/>
  <c r="G520" i="1"/>
  <c r="O328" i="23"/>
  <c r="P327" i="23"/>
  <c r="K66" i="23"/>
  <c r="O226" i="23"/>
  <c r="P225" i="23"/>
  <c r="O275" i="23"/>
  <c r="P274" i="23"/>
  <c r="O737" i="23"/>
  <c r="P736" i="23"/>
  <c r="P515" i="23"/>
  <c r="O516" i="23"/>
  <c r="G1119" i="1"/>
  <c r="J85" i="23" s="1"/>
  <c r="P832" i="23"/>
  <c r="O833" i="23"/>
  <c r="G201" i="1"/>
  <c r="G262" i="1"/>
  <c r="J26" i="23" s="1"/>
  <c r="G1048" i="1"/>
  <c r="J80" i="23" s="1"/>
  <c r="P224" i="23"/>
  <c r="O225" i="23"/>
  <c r="G617" i="1"/>
  <c r="O260" i="23"/>
  <c r="P259" i="23"/>
  <c r="J60" i="23"/>
  <c r="H82" i="23"/>
  <c r="J19" i="23"/>
  <c r="H54" i="23"/>
  <c r="J34" i="23"/>
  <c r="H90" i="23"/>
  <c r="J28" i="23"/>
  <c r="J76" i="23"/>
  <c r="J16" i="23"/>
  <c r="P956" i="23"/>
  <c r="O957" i="23"/>
  <c r="P9" i="23"/>
  <c r="O9" i="23"/>
  <c r="O10" i="23"/>
  <c r="P253" i="23"/>
  <c r="O254" i="23"/>
  <c r="P254" i="23"/>
  <c r="O255" i="23"/>
  <c r="O380" i="23"/>
  <c r="P379" i="23"/>
  <c r="P366" i="23"/>
  <c r="O367" i="23"/>
  <c r="P574" i="23"/>
  <c r="O575" i="23"/>
  <c r="O359" i="23"/>
  <c r="P358" i="23"/>
  <c r="O859" i="23"/>
  <c r="P858" i="23"/>
  <c r="O863" i="23"/>
  <c r="P862" i="23"/>
  <c r="P76" i="23"/>
  <c r="O77" i="23"/>
  <c r="O797" i="23"/>
  <c r="P796" i="23"/>
  <c r="P345" i="23"/>
  <c r="O346" i="23"/>
  <c r="J92" i="23"/>
  <c r="O621" i="23"/>
  <c r="P620" i="23"/>
  <c r="O807" i="23"/>
  <c r="P806" i="23"/>
  <c r="P889" i="23"/>
  <c r="O890" i="23"/>
  <c r="K68" i="23"/>
  <c r="G1286" i="1"/>
  <c r="J94" i="23" s="1"/>
  <c r="P791" i="23"/>
  <c r="O792" i="23"/>
  <c r="K40" i="23"/>
  <c r="O60" i="23"/>
  <c r="P59" i="23"/>
  <c r="O941" i="23"/>
  <c r="P940" i="23"/>
  <c r="O385" i="23"/>
  <c r="P384" i="23"/>
  <c r="P84" i="23"/>
  <c r="O85" i="23"/>
  <c r="O306" i="23"/>
  <c r="P305" i="23"/>
  <c r="P165" i="23"/>
  <c r="O166" i="23"/>
  <c r="O209" i="23"/>
  <c r="P208" i="23"/>
  <c r="K73" i="23"/>
  <c r="H100" i="23"/>
  <c r="O75" i="23"/>
  <c r="P74" i="23"/>
  <c r="O467" i="23"/>
  <c r="P466" i="23"/>
  <c r="O481" i="23"/>
  <c r="P480" i="23"/>
  <c r="O730" i="23"/>
  <c r="P729" i="23"/>
  <c r="P63" i="23"/>
  <c r="O64" i="23"/>
  <c r="O663" i="23"/>
  <c r="P662" i="23"/>
  <c r="O57" i="23"/>
  <c r="P56" i="23"/>
  <c r="H1079" i="1"/>
  <c r="H83" i="23" s="1"/>
  <c r="O45" i="23"/>
  <c r="P44" i="23"/>
  <c r="P278" i="23"/>
  <c r="O279" i="23"/>
  <c r="O705" i="23"/>
  <c r="P704" i="23"/>
  <c r="P360" i="23"/>
  <c r="O361" i="23"/>
  <c r="O816" i="23"/>
  <c r="P815" i="23"/>
  <c r="O393" i="23"/>
  <c r="P392" i="23"/>
  <c r="P21" i="23"/>
  <c r="O22" i="23"/>
  <c r="O539" i="23"/>
  <c r="P538" i="23"/>
  <c r="O463" i="23"/>
  <c r="P462" i="23"/>
  <c r="O281" i="23"/>
  <c r="P280" i="23"/>
  <c r="P689" i="23"/>
  <c r="O690" i="23"/>
  <c r="K79" i="23"/>
  <c r="P421" i="23"/>
  <c r="O422" i="23"/>
  <c r="P976" i="23"/>
  <c r="O977" i="23"/>
  <c r="O435" i="23"/>
  <c r="P434" i="23"/>
  <c r="P232" i="23"/>
  <c r="O233" i="23"/>
  <c r="O453" i="23"/>
  <c r="P452" i="23"/>
  <c r="J102" i="23"/>
  <c r="P166" i="23"/>
  <c r="O167" i="23"/>
  <c r="O857" i="23"/>
  <c r="P856" i="23"/>
  <c r="K78" i="23"/>
  <c r="O298" i="23"/>
  <c r="P297" i="23"/>
  <c r="P442" i="23"/>
  <c r="O443" i="23"/>
  <c r="H55" i="23"/>
  <c r="P414" i="23"/>
  <c r="O415" i="23"/>
  <c r="P752" i="23"/>
  <c r="O753" i="23"/>
  <c r="H853" i="1"/>
  <c r="O251" i="23"/>
  <c r="P250" i="23"/>
  <c r="P264" i="23"/>
  <c r="O265" i="23"/>
  <c r="J50" i="23"/>
  <c r="O372" i="23"/>
  <c r="P371" i="23"/>
  <c r="O118" i="23"/>
  <c r="P117" i="23"/>
  <c r="O546" i="23"/>
  <c r="P545" i="23"/>
  <c r="H57" i="23"/>
  <c r="K10" i="23"/>
  <c r="P103" i="23"/>
  <c r="O104" i="23"/>
  <c r="O845" i="23"/>
  <c r="P844" i="23"/>
  <c r="H53" i="23"/>
  <c r="P203" i="23"/>
  <c r="O204" i="23"/>
  <c r="P507" i="23"/>
  <c r="O508" i="23"/>
  <c r="O756" i="23"/>
  <c r="P755" i="23"/>
  <c r="O189" i="23"/>
  <c r="P188" i="23"/>
  <c r="P903" i="23"/>
  <c r="O904" i="23"/>
  <c r="O783" i="23"/>
  <c r="P782" i="23"/>
  <c r="H919" i="1"/>
  <c r="O808" i="23"/>
  <c r="P807" i="23"/>
  <c r="O31" i="23"/>
  <c r="P30" i="23"/>
  <c r="P13" i="23"/>
  <c r="O14" i="23"/>
  <c r="O695" i="23"/>
  <c r="P694" i="23"/>
  <c r="K35" i="23"/>
  <c r="K60" i="23"/>
  <c r="O769" i="23"/>
  <c r="P768" i="23"/>
  <c r="H38" i="23"/>
  <c r="P506" i="23"/>
  <c r="O507" i="23"/>
  <c r="P227" i="23"/>
  <c r="O228" i="23"/>
  <c r="P804" i="23"/>
  <c r="O805" i="23"/>
  <c r="P295" i="23"/>
  <c r="O296" i="23"/>
  <c r="P496" i="23"/>
  <c r="O497" i="23"/>
  <c r="O840" i="23"/>
  <c r="P839" i="23"/>
  <c r="K52" i="23"/>
  <c r="P190" i="23"/>
  <c r="O191" i="23"/>
  <c r="O573" i="23"/>
  <c r="P572" i="23"/>
  <c r="P523" i="23"/>
  <c r="O524" i="23"/>
  <c r="O460" i="23"/>
  <c r="P459" i="23"/>
  <c r="H65" i="23"/>
  <c r="P673" i="23"/>
  <c r="O674" i="23"/>
  <c r="P661" i="23"/>
  <c r="O662" i="23"/>
  <c r="P971" i="23"/>
  <c r="O972" i="23"/>
  <c r="O765" i="23"/>
  <c r="P764" i="23"/>
  <c r="P970" i="23"/>
  <c r="O971" i="23"/>
  <c r="K95" i="23"/>
  <c r="P180" i="23"/>
  <c r="O181" i="23"/>
  <c r="P566" i="23"/>
  <c r="O567" i="23"/>
  <c r="H26" i="23"/>
  <c r="P672" i="23"/>
  <c r="O673" i="23"/>
  <c r="P204" i="23"/>
  <c r="O205" i="23"/>
  <c r="O860" i="23"/>
  <c r="P859" i="23"/>
  <c r="P766" i="23"/>
  <c r="O767" i="23"/>
  <c r="O920" i="23"/>
  <c r="P919" i="23"/>
  <c r="J14" i="23"/>
  <c r="P925" i="23"/>
  <c r="O926" i="23"/>
  <c r="O92" i="23"/>
  <c r="P91" i="23"/>
  <c r="P335" i="23"/>
  <c r="O336" i="23"/>
  <c r="H45" i="23"/>
  <c r="O651" i="23"/>
  <c r="P650" i="23"/>
  <c r="P99" i="23"/>
  <c r="O100" i="23"/>
  <c r="P656" i="23"/>
  <c r="O657" i="23"/>
  <c r="H16" i="23"/>
  <c r="P458" i="23"/>
  <c r="O459" i="23"/>
  <c r="O182" i="23"/>
  <c r="P181" i="23"/>
  <c r="P258" i="23"/>
  <c r="O259" i="23"/>
  <c r="O595" i="23"/>
  <c r="P594" i="23"/>
  <c r="P749" i="23"/>
  <c r="O750" i="23"/>
  <c r="P148" i="23"/>
  <c r="O149" i="23"/>
  <c r="O377" i="23"/>
  <c r="P376" i="23"/>
  <c r="P603" i="23"/>
  <c r="O604" i="23"/>
  <c r="H20" i="23"/>
  <c r="O620" i="23"/>
  <c r="P619" i="23"/>
  <c r="O119" i="23"/>
  <c r="P118" i="23"/>
  <c r="O987" i="23"/>
  <c r="P986" i="23"/>
  <c r="P439" i="23"/>
  <c r="O440" i="23"/>
  <c r="P88" i="23"/>
  <c r="O89" i="23"/>
  <c r="O19" i="23"/>
  <c r="P18" i="23"/>
  <c r="P310" i="23"/>
  <c r="O311" i="23"/>
  <c r="P233" i="23"/>
  <c r="O234" i="23"/>
  <c r="H28" i="23"/>
  <c r="P726" i="23"/>
  <c r="O727" i="23"/>
  <c r="O650" i="23"/>
  <c r="P649" i="23"/>
  <c r="P759" i="23"/>
  <c r="O760" i="23"/>
  <c r="P87" i="23"/>
  <c r="O88" i="23"/>
  <c r="O130" i="23"/>
  <c r="P129" i="23"/>
  <c r="P933" i="23"/>
  <c r="O934" i="23"/>
  <c r="H66" i="23"/>
  <c r="O603" i="23"/>
  <c r="P602" i="23"/>
  <c r="P27" i="23"/>
  <c r="O28" i="23"/>
  <c r="G462" i="1"/>
  <c r="P728" i="23"/>
  <c r="O729" i="23"/>
  <c r="O142" i="23"/>
  <c r="P141" i="23"/>
  <c r="G780" i="1"/>
  <c r="P323" i="23"/>
  <c r="O324" i="23"/>
  <c r="G558" i="1"/>
  <c r="O62" i="23"/>
  <c r="P61" i="23"/>
  <c r="G1318" i="1"/>
  <c r="J97" i="23" s="1"/>
  <c r="G29" i="1"/>
  <c r="G718" i="1"/>
  <c r="O411" i="23"/>
  <c r="P410" i="23"/>
  <c r="O643" i="23"/>
  <c r="P642" i="23"/>
  <c r="O401" i="23"/>
  <c r="P400" i="23"/>
  <c r="P608" i="23"/>
  <c r="O609" i="23"/>
  <c r="O532" i="23"/>
  <c r="P531" i="23"/>
  <c r="J9" i="23"/>
  <c r="J84" i="23"/>
  <c r="J27" i="23"/>
  <c r="J22" i="23"/>
  <c r="P124" i="23"/>
  <c r="O125" i="23"/>
  <c r="P522" i="23"/>
  <c r="O523" i="23"/>
  <c r="P220" i="23"/>
  <c r="O221" i="23"/>
  <c r="O163" i="23"/>
  <c r="P162" i="23"/>
  <c r="O561" i="23"/>
  <c r="P560" i="23"/>
  <c r="O513" i="23"/>
  <c r="P512" i="23"/>
  <c r="P580" i="23"/>
  <c r="O581" i="23"/>
  <c r="P314" i="23"/>
  <c r="O315" i="23"/>
  <c r="O699" i="23"/>
  <c r="P698" i="23"/>
  <c r="O721" i="23"/>
  <c r="P720" i="23"/>
  <c r="P536" i="23"/>
  <c r="O537" i="23"/>
  <c r="P702" i="23"/>
  <c r="O703" i="23"/>
  <c r="O932" i="23"/>
  <c r="P931" i="23"/>
  <c r="H92" i="23"/>
  <c r="O193" i="23"/>
  <c r="P192" i="23"/>
  <c r="G532" i="1"/>
  <c r="J43" i="23" s="1"/>
  <c r="H68" i="23"/>
  <c r="G218" i="1"/>
  <c r="J23" i="23" s="1"/>
  <c r="O83" i="23"/>
  <c r="P82" i="23"/>
  <c r="O505" i="23"/>
  <c r="P504" i="23"/>
  <c r="O614" i="23"/>
  <c r="P613" i="23"/>
  <c r="K100" i="23"/>
  <c r="O728" i="23"/>
  <c r="P727" i="23"/>
  <c r="O529" i="23"/>
  <c r="P528" i="23"/>
  <c r="P981" i="23"/>
  <c r="O982" i="23"/>
  <c r="O688" i="23"/>
  <c r="P687" i="23"/>
  <c r="O742" i="23"/>
  <c r="P741" i="23"/>
  <c r="P62" i="23"/>
  <c r="O63" i="23"/>
  <c r="P417" i="23"/>
  <c r="O418" i="23"/>
  <c r="P524" i="23"/>
  <c r="O525" i="23"/>
  <c r="P923" i="23"/>
  <c r="O924" i="23"/>
  <c r="P159" i="23"/>
  <c r="O160" i="23"/>
  <c r="K43" i="23"/>
  <c r="O734" i="23"/>
  <c r="P733" i="23"/>
  <c r="C10" i="27"/>
  <c r="P999" i="23"/>
  <c r="O1000" i="23"/>
  <c r="P128" i="23"/>
  <c r="O129" i="23"/>
  <c r="P49" i="23"/>
  <c r="O50" i="23"/>
  <c r="O991" i="23"/>
  <c r="P990" i="23"/>
  <c r="O474" i="23"/>
  <c r="P473" i="23"/>
  <c r="K42" i="23"/>
  <c r="O208" i="23"/>
  <c r="P207" i="23"/>
  <c r="P798" i="23"/>
  <c r="O799" i="23"/>
  <c r="O52" i="23"/>
  <c r="P51" i="23"/>
  <c r="P748" i="23"/>
  <c r="O749" i="23"/>
  <c r="O461" i="23"/>
  <c r="P460" i="23"/>
  <c r="P326" i="23"/>
  <c r="O327" i="23"/>
  <c r="P948" i="23"/>
  <c r="O949" i="23"/>
  <c r="P902" i="23"/>
  <c r="O903" i="23"/>
  <c r="J78" i="23"/>
  <c r="O970" i="23"/>
  <c r="P969" i="23"/>
  <c r="P945" i="23"/>
  <c r="O946" i="23"/>
  <c r="J41" i="23"/>
  <c r="P441" i="23"/>
  <c r="O442" i="23"/>
  <c r="P182" i="23"/>
  <c r="O183" i="23"/>
  <c r="K57" i="23"/>
  <c r="O625" i="23"/>
  <c r="P624" i="23"/>
  <c r="H10" i="23"/>
  <c r="P349" i="23"/>
  <c r="O350" i="23"/>
  <c r="P484" i="23"/>
  <c r="O485" i="23"/>
  <c r="P665" i="23"/>
  <c r="O666" i="23"/>
  <c r="P883" i="23"/>
  <c r="O884" i="23"/>
  <c r="P321" i="23"/>
  <c r="O322" i="23"/>
  <c r="P746" i="23"/>
  <c r="O747" i="23"/>
  <c r="J35" i="23"/>
  <c r="K38" i="23"/>
  <c r="O665" i="23"/>
  <c r="P664" i="23"/>
  <c r="O313" i="23"/>
  <c r="P312" i="23"/>
  <c r="P681" i="23"/>
  <c r="O682" i="23"/>
  <c r="O227" i="23"/>
  <c r="P226" i="23"/>
  <c r="O94" i="23"/>
  <c r="P93" i="23"/>
  <c r="P709" i="23"/>
  <c r="O710" i="23"/>
  <c r="O999" i="23"/>
  <c r="P998" i="23"/>
  <c r="P344" i="23"/>
  <c r="O345" i="23"/>
  <c r="P364" i="23"/>
  <c r="O365" i="23"/>
  <c r="O465" i="23"/>
  <c r="P464" i="23"/>
  <c r="P136" i="23"/>
  <c r="O137" i="23"/>
  <c r="P362" i="23"/>
  <c r="O363" i="23"/>
  <c r="O409" i="23"/>
  <c r="P408" i="23"/>
  <c r="K65" i="23"/>
  <c r="O400" i="23"/>
  <c r="P399" i="23"/>
  <c r="P605" i="23"/>
  <c r="O606" i="23"/>
  <c r="O331" i="23"/>
  <c r="P330" i="23"/>
  <c r="P390" i="23"/>
  <c r="O391" i="23"/>
  <c r="P315" i="23"/>
  <c r="O316" i="23"/>
  <c r="P692" i="23"/>
  <c r="O693" i="23"/>
  <c r="O292" i="23"/>
  <c r="P291" i="23"/>
  <c r="O383" i="23"/>
  <c r="P382" i="23"/>
  <c r="O84" i="23"/>
  <c r="P83" i="23"/>
  <c r="G41" i="1"/>
  <c r="J11" i="23" s="1"/>
  <c r="O257" i="23"/>
  <c r="P256" i="23"/>
  <c r="P11" i="23"/>
  <c r="O12" i="23"/>
  <c r="K26" i="23"/>
  <c r="O907" i="23"/>
  <c r="P906" i="23"/>
  <c r="P509" i="23"/>
  <c r="O510" i="23"/>
  <c r="O267" i="23"/>
  <c r="P266" i="23"/>
  <c r="P548" i="23"/>
  <c r="O549" i="23"/>
  <c r="O59" i="23"/>
  <c r="P58" i="23"/>
  <c r="P556" i="23"/>
  <c r="O557" i="23"/>
  <c r="P81" i="23"/>
  <c r="O82" i="23"/>
  <c r="J45" i="23"/>
  <c r="O177" i="23"/>
  <c r="P176" i="23"/>
  <c r="O696" i="23"/>
  <c r="P695" i="23"/>
  <c r="P511" i="23"/>
  <c r="O512" i="23"/>
  <c r="P631" i="23"/>
  <c r="O632" i="23"/>
  <c r="P529" i="23"/>
  <c r="O530" i="23"/>
  <c r="O335" i="23"/>
  <c r="P334" i="23"/>
  <c r="H29" i="23"/>
  <c r="P757" i="23"/>
  <c r="O758" i="23"/>
  <c r="G1345" i="1"/>
  <c r="J99" i="23" s="1"/>
  <c r="P653" i="23"/>
  <c r="O654" i="23"/>
  <c r="K20" i="23"/>
  <c r="P769" i="23"/>
  <c r="O770" i="23"/>
  <c r="H974" i="1"/>
  <c r="H75" i="23" s="1"/>
  <c r="O796" i="23"/>
  <c r="P795" i="23"/>
  <c r="O544" i="23"/>
  <c r="P543" i="23"/>
  <c r="O628" i="23"/>
  <c r="P627" i="23"/>
  <c r="O40" i="23"/>
  <c r="P39" i="23"/>
  <c r="O670" i="23"/>
  <c r="P669" i="23"/>
  <c r="O514" i="23"/>
  <c r="P513" i="23"/>
  <c r="O470" i="23"/>
  <c r="P469" i="23"/>
  <c r="O48" i="23"/>
  <c r="P47" i="23"/>
  <c r="P75" i="23"/>
  <c r="O76" i="23"/>
  <c r="O681" i="23"/>
  <c r="P680" i="23"/>
  <c r="P298" i="23"/>
  <c r="O299" i="23"/>
  <c r="P329" i="23"/>
  <c r="O330" i="23"/>
  <c r="P817" i="23"/>
  <c r="O818" i="23"/>
  <c r="G1299" i="1"/>
  <c r="P106" i="23"/>
  <c r="O107" i="23"/>
  <c r="O252" i="23"/>
  <c r="P251" i="23"/>
  <c r="O305" i="23"/>
  <c r="P304" i="23"/>
  <c r="O501" i="23"/>
  <c r="P500" i="23"/>
  <c r="P975" i="23"/>
  <c r="O976" i="23"/>
  <c r="P234" i="23"/>
  <c r="O235" i="23"/>
  <c r="J66" i="23"/>
  <c r="G481" i="1"/>
  <c r="J39" i="23" s="1"/>
  <c r="H27" i="23"/>
  <c r="G999" i="1"/>
  <c r="P290" i="23"/>
  <c r="O291" i="23"/>
  <c r="O34" i="23"/>
  <c r="P33" i="23"/>
  <c r="O486" i="23"/>
  <c r="P485" i="23"/>
  <c r="G549" i="1"/>
  <c r="P996" i="23"/>
  <c r="O997" i="23"/>
  <c r="G491" i="1"/>
  <c r="O886" i="23"/>
  <c r="C8" i="27" s="1"/>
  <c r="P885" i="23"/>
  <c r="C9" i="27" s="1"/>
  <c r="W93" i="21"/>
  <c r="G1060" i="1"/>
  <c r="J81" i="23" s="1"/>
  <c r="G176" i="1"/>
  <c r="G1177" i="1"/>
  <c r="J88" i="23" s="1"/>
  <c r="G702" i="1"/>
  <c r="J57" i="23" s="1"/>
  <c r="H895" i="1"/>
  <c r="G186" i="1"/>
  <c r="J54" i="23"/>
  <c r="H70" i="23"/>
  <c r="J79" i="23"/>
  <c r="J29" i="23"/>
  <c r="J21" i="23"/>
  <c r="J24" i="23"/>
  <c r="J15" i="23"/>
  <c r="J49" i="23"/>
  <c r="J68" i="23"/>
  <c r="J12" i="23"/>
  <c r="J13" i="23"/>
  <c r="J18" i="23"/>
  <c r="J38" i="23"/>
  <c r="J53" i="23"/>
  <c r="H67" i="23"/>
  <c r="J77" i="23"/>
  <c r="H9" i="23"/>
  <c r="E58" i="21"/>
  <c r="E45" i="21"/>
  <c r="E43" i="21"/>
  <c r="E32" i="21"/>
  <c r="E17" i="21"/>
  <c r="E73" i="21"/>
  <c r="E27" i="21"/>
  <c r="E44" i="21"/>
  <c r="E84" i="21"/>
  <c r="E99" i="21"/>
  <c r="E13" i="21"/>
  <c r="E46" i="21"/>
  <c r="E50" i="21"/>
  <c r="E74" i="21"/>
  <c r="E92" i="21"/>
  <c r="E60" i="21"/>
  <c r="E90" i="21"/>
  <c r="E54" i="21"/>
  <c r="E86" i="21"/>
  <c r="E22" i="21"/>
  <c r="E89" i="21"/>
  <c r="E34" i="21"/>
  <c r="E76" i="21"/>
  <c r="E10" i="21"/>
  <c r="E40" i="21"/>
  <c r="E91" i="21"/>
  <c r="E16" i="21"/>
  <c r="E83" i="21"/>
  <c r="E103" i="21"/>
  <c r="E66" i="21"/>
  <c r="E39" i="21"/>
  <c r="E9" i="21"/>
  <c r="E41" i="21"/>
  <c r="E12" i="21"/>
  <c r="E57" i="21"/>
  <c r="E15" i="21"/>
  <c r="E81" i="21"/>
  <c r="E87" i="21"/>
  <c r="E96" i="21"/>
  <c r="E19" i="21"/>
  <c r="E38" i="21"/>
  <c r="E78" i="21"/>
  <c r="E31" i="21"/>
  <c r="E56" i="21"/>
  <c r="E30" i="21"/>
  <c r="E26" i="21"/>
  <c r="E77" i="21"/>
  <c r="E75" i="21"/>
  <c r="E51" i="21"/>
  <c r="E52" i="21"/>
  <c r="E24" i="21"/>
  <c r="E25" i="21"/>
  <c r="E68" i="21"/>
  <c r="E55" i="21"/>
  <c r="E88" i="21"/>
  <c r="E62" i="21"/>
  <c r="E101" i="21"/>
  <c r="E37" i="21"/>
  <c r="E61" i="21"/>
  <c r="E48" i="21"/>
  <c r="E100" i="21"/>
  <c r="E63" i="21"/>
  <c r="E93" i="21"/>
  <c r="E18" i="21"/>
  <c r="E11" i="21"/>
  <c r="E97" i="21"/>
  <c r="E70" i="21"/>
  <c r="E82" i="21"/>
  <c r="E47" i="21"/>
  <c r="E14" i="21"/>
  <c r="E42" i="21"/>
  <c r="E71" i="21"/>
  <c r="E21" i="21"/>
  <c r="E20" i="21"/>
  <c r="E85" i="21"/>
  <c r="E36" i="21"/>
  <c r="E53" i="21"/>
  <c r="E35" i="21"/>
  <c r="E29" i="21"/>
  <c r="E28" i="21"/>
  <c r="E79" i="21"/>
  <c r="E23" i="21"/>
  <c r="E95" i="21"/>
  <c r="E49" i="21"/>
  <c r="E94" i="21"/>
  <c r="E59" i="21"/>
  <c r="E102" i="21"/>
  <c r="E69" i="21"/>
  <c r="E64" i="21"/>
  <c r="E67" i="21"/>
  <c r="E33" i="21"/>
  <c r="E80" i="21"/>
  <c r="E65" i="21"/>
  <c r="E104" i="21"/>
  <c r="E72" i="21"/>
  <c r="E98" i="21"/>
  <c r="F42" i="21"/>
  <c r="F33" i="21"/>
  <c r="F66" i="21"/>
  <c r="F18" i="21"/>
  <c r="F12" i="21"/>
  <c r="F85" i="21"/>
  <c r="F84" i="21"/>
  <c r="F40" i="21"/>
  <c r="F98" i="21"/>
  <c r="F92" i="21"/>
  <c r="F55" i="21"/>
  <c r="F29" i="21"/>
  <c r="F48" i="21"/>
  <c r="F76" i="21"/>
  <c r="F26" i="21"/>
  <c r="F87" i="21"/>
  <c r="F68" i="21"/>
  <c r="F23" i="21"/>
  <c r="F72" i="21"/>
  <c r="F103" i="21"/>
  <c r="F74" i="21"/>
  <c r="F35" i="21"/>
  <c r="F102" i="21"/>
  <c r="F54" i="21"/>
  <c r="F53" i="21"/>
  <c r="F52" i="21"/>
  <c r="F30" i="21"/>
  <c r="F27" i="21"/>
  <c r="F70" i="21"/>
  <c r="F83" i="21"/>
  <c r="F14" i="21"/>
  <c r="F63" i="21"/>
  <c r="F75" i="21"/>
  <c r="F47" i="21"/>
  <c r="F71" i="21"/>
  <c r="F59" i="21"/>
  <c r="F64" i="21"/>
  <c r="F96" i="21"/>
  <c r="F10" i="21"/>
  <c r="F28" i="21"/>
  <c r="F31" i="21"/>
  <c r="F56" i="21"/>
  <c r="F21" i="21"/>
  <c r="F16" i="21"/>
  <c r="F91" i="21"/>
  <c r="F82" i="21"/>
  <c r="F39" i="21"/>
  <c r="F50" i="21"/>
  <c r="F89" i="21"/>
  <c r="F100" i="21"/>
  <c r="F36" i="21"/>
  <c r="F88" i="21"/>
  <c r="F51" i="21"/>
  <c r="F62" i="21"/>
  <c r="F94" i="21"/>
  <c r="F77" i="21"/>
  <c r="F65" i="21"/>
  <c r="F32" i="21"/>
  <c r="F19" i="21"/>
  <c r="F46" i="21"/>
  <c r="F44" i="21"/>
  <c r="F101" i="21"/>
  <c r="F41" i="21"/>
  <c r="F24" i="21"/>
  <c r="F67" i="21"/>
  <c r="F99" i="21"/>
  <c r="F58" i="21"/>
  <c r="F73" i="21"/>
  <c r="F104" i="21"/>
  <c r="F37" i="21"/>
  <c r="F34" i="21"/>
  <c r="F60" i="21"/>
  <c r="F80" i="21"/>
  <c r="F81" i="21"/>
  <c r="F9" i="21"/>
  <c r="F93" i="21"/>
  <c r="F79" i="21"/>
  <c r="F57" i="21"/>
  <c r="F97" i="21"/>
  <c r="F78" i="21"/>
  <c r="F86" i="21"/>
  <c r="F61" i="21"/>
  <c r="F13" i="21"/>
  <c r="F45" i="21"/>
  <c r="F20" i="21"/>
  <c r="F38" i="21"/>
  <c r="F15" i="21"/>
  <c r="F17" i="21"/>
  <c r="F43" i="21"/>
  <c r="F25" i="21"/>
  <c r="F49" i="21"/>
  <c r="F90" i="21"/>
  <c r="F69" i="21"/>
  <c r="F22" i="21"/>
  <c r="F11" i="21"/>
  <c r="F95" i="21"/>
  <c r="L199" i="15" l="1"/>
  <c r="E206" i="15"/>
  <c r="F187" i="15"/>
  <c r="F57" i="15"/>
  <c r="F81" i="15"/>
  <c r="F175" i="15"/>
  <c r="F28" i="24"/>
  <c r="E163" i="15"/>
  <c r="E132" i="15"/>
  <c r="F12" i="24"/>
  <c r="K105" i="15"/>
  <c r="F197" i="15"/>
  <c r="F114" i="15"/>
  <c r="L131" i="15"/>
  <c r="E57" i="15"/>
  <c r="J175" i="15"/>
  <c r="L206" i="15"/>
  <c r="F6" i="24"/>
  <c r="L54" i="15"/>
  <c r="E199" i="15"/>
  <c r="J163" i="15"/>
  <c r="E75" i="15"/>
  <c r="K131" i="15"/>
  <c r="L175" i="15"/>
  <c r="F35" i="24"/>
  <c r="E104" i="15"/>
  <c r="F163" i="15"/>
  <c r="F27" i="15"/>
  <c r="J197" i="15"/>
  <c r="L79" i="15"/>
  <c r="F79" i="15"/>
  <c r="J141" i="15"/>
  <c r="L197" i="15"/>
  <c r="J199" i="15"/>
  <c r="J187" i="15"/>
  <c r="E105" i="15"/>
  <c r="J135" i="15"/>
  <c r="J144" i="15"/>
  <c r="F184" i="15"/>
  <c r="L163" i="15"/>
  <c r="L75" i="15"/>
  <c r="F131" i="15"/>
  <c r="E175" i="15"/>
  <c r="F57" i="24"/>
  <c r="E197" i="15"/>
  <c r="L46" i="15"/>
  <c r="F64" i="24"/>
  <c r="J114" i="15"/>
  <c r="F19" i="24"/>
  <c r="K104" i="15"/>
  <c r="K187" i="15"/>
  <c r="L104" i="15"/>
  <c r="K206" i="15"/>
  <c r="F54" i="24"/>
  <c r="L27" i="15"/>
  <c r="J105" i="15"/>
  <c r="F46" i="15"/>
  <c r="L114" i="15"/>
  <c r="G110" i="20"/>
  <c r="K12" i="16"/>
  <c r="G70" i="20"/>
  <c r="G24" i="20"/>
  <c r="G32" i="20"/>
  <c r="G59" i="20"/>
  <c r="G10" i="20"/>
  <c r="G47" i="20"/>
  <c r="G48" i="20"/>
  <c r="G7" i="20"/>
  <c r="N32" i="20" s="1"/>
  <c r="F55" i="24" s="1"/>
  <c r="J57" i="24" s="1"/>
  <c r="G57" i="20"/>
  <c r="G95" i="21"/>
  <c r="L95" i="21"/>
  <c r="K95" i="21"/>
  <c r="J95" i="21"/>
  <c r="M95" i="21"/>
  <c r="N95" i="21"/>
  <c r="H95" i="21"/>
  <c r="K69" i="21"/>
  <c r="M69" i="21"/>
  <c r="L69" i="21"/>
  <c r="N69" i="21"/>
  <c r="G69" i="21"/>
  <c r="H69" i="21"/>
  <c r="J69" i="21"/>
  <c r="K90" i="21"/>
  <c r="J90" i="21"/>
  <c r="H90" i="21"/>
  <c r="N90" i="21"/>
  <c r="G90" i="21"/>
  <c r="L90" i="21"/>
  <c r="M90" i="21"/>
  <c r="M49" i="21"/>
  <c r="J49" i="21"/>
  <c r="N49" i="21"/>
  <c r="G49" i="21"/>
  <c r="K49" i="21"/>
  <c r="H49" i="21"/>
  <c r="L49" i="21"/>
  <c r="H43" i="21"/>
  <c r="G43" i="21"/>
  <c r="L43" i="21"/>
  <c r="J43" i="21"/>
  <c r="K43" i="21"/>
  <c r="M43" i="21"/>
  <c r="N43" i="21"/>
  <c r="J132" i="15" s="1"/>
  <c r="J38" i="21"/>
  <c r="K38" i="21"/>
  <c r="H38" i="21"/>
  <c r="M38" i="21"/>
  <c r="G38" i="21"/>
  <c r="N38" i="21"/>
  <c r="J109" i="15" s="1"/>
  <c r="L38" i="21"/>
  <c r="M45" i="21"/>
  <c r="G45" i="21"/>
  <c r="L45" i="21"/>
  <c r="H45" i="21"/>
  <c r="K45" i="21"/>
  <c r="J45" i="21"/>
  <c r="N45" i="21"/>
  <c r="H61" i="21"/>
  <c r="J61" i="21"/>
  <c r="K61" i="21"/>
  <c r="M61" i="21"/>
  <c r="G61" i="21"/>
  <c r="L61" i="21"/>
  <c r="N61" i="21"/>
  <c r="K86" i="21"/>
  <c r="M86" i="21"/>
  <c r="G86" i="21"/>
  <c r="L86" i="21"/>
  <c r="H86" i="21"/>
  <c r="N86" i="21"/>
  <c r="J86" i="21"/>
  <c r="J78" i="21"/>
  <c r="M78" i="21"/>
  <c r="N78" i="21"/>
  <c r="K78" i="21"/>
  <c r="L78" i="21"/>
  <c r="H78" i="21"/>
  <c r="G78" i="21"/>
  <c r="G97" i="21"/>
  <c r="H97" i="21"/>
  <c r="N97" i="21"/>
  <c r="L97" i="21"/>
  <c r="M97" i="21"/>
  <c r="J97" i="21"/>
  <c r="K97" i="21"/>
  <c r="H57" i="21"/>
  <c r="N57" i="21"/>
  <c r="G57" i="21"/>
  <c r="J57" i="21"/>
  <c r="L57" i="21"/>
  <c r="M57" i="21"/>
  <c r="K57" i="21"/>
  <c r="M79" i="21"/>
  <c r="G79" i="21"/>
  <c r="K79" i="21"/>
  <c r="J79" i="21"/>
  <c r="H79" i="21"/>
  <c r="N79" i="21"/>
  <c r="L79" i="21"/>
  <c r="H93" i="21"/>
  <c r="K93" i="21"/>
  <c r="J93" i="21"/>
  <c r="M93" i="21"/>
  <c r="G93" i="21"/>
  <c r="L93" i="21"/>
  <c r="N93" i="21"/>
  <c r="L81" i="21"/>
  <c r="M81" i="21"/>
  <c r="H81" i="21"/>
  <c r="J81" i="21"/>
  <c r="K81" i="21"/>
  <c r="G81" i="21"/>
  <c r="N81" i="21"/>
  <c r="G80" i="21"/>
  <c r="M80" i="21"/>
  <c r="H80" i="21"/>
  <c r="L80" i="21"/>
  <c r="N80" i="21"/>
  <c r="K80" i="21"/>
  <c r="J80" i="21"/>
  <c r="M60" i="21"/>
  <c r="J60" i="21"/>
  <c r="K60" i="21"/>
  <c r="H60" i="21"/>
  <c r="G60" i="21"/>
  <c r="L60" i="21"/>
  <c r="N60" i="21"/>
  <c r="M37" i="21"/>
  <c r="G37" i="21"/>
  <c r="K37" i="21"/>
  <c r="N37" i="21"/>
  <c r="L37" i="21"/>
  <c r="J37" i="21"/>
  <c r="H37" i="21"/>
  <c r="N104" i="21"/>
  <c r="H104" i="21"/>
  <c r="J104" i="21"/>
  <c r="L104" i="21"/>
  <c r="G104" i="21"/>
  <c r="K104" i="21"/>
  <c r="M104" i="21"/>
  <c r="H73" i="21"/>
  <c r="N73" i="21"/>
  <c r="J73" i="21"/>
  <c r="M73" i="21"/>
  <c r="G73" i="21"/>
  <c r="L73" i="21"/>
  <c r="K73" i="21"/>
  <c r="L58" i="21"/>
  <c r="H58" i="21"/>
  <c r="G58" i="21"/>
  <c r="J58" i="21"/>
  <c r="M58" i="21"/>
  <c r="N58" i="21"/>
  <c r="K58" i="21"/>
  <c r="G99" i="21"/>
  <c r="K99" i="21"/>
  <c r="J99" i="21"/>
  <c r="M99" i="21"/>
  <c r="L99" i="21"/>
  <c r="N99" i="21"/>
  <c r="H99" i="21"/>
  <c r="L67" i="21"/>
  <c r="G67" i="21"/>
  <c r="K67" i="21"/>
  <c r="M67" i="21"/>
  <c r="H67" i="21"/>
  <c r="N67" i="21"/>
  <c r="J67" i="21"/>
  <c r="M41" i="21"/>
  <c r="H41" i="21"/>
  <c r="L41" i="21"/>
  <c r="J41" i="21"/>
  <c r="K41" i="21"/>
  <c r="G41" i="21"/>
  <c r="N41" i="21"/>
  <c r="N101" i="21"/>
  <c r="J101" i="21"/>
  <c r="H101" i="21"/>
  <c r="L101" i="21"/>
  <c r="M101" i="21"/>
  <c r="G101" i="21"/>
  <c r="K101" i="21"/>
  <c r="J44" i="21"/>
  <c r="N44" i="21"/>
  <c r="K44" i="21"/>
  <c r="L44" i="21"/>
  <c r="H44" i="21"/>
  <c r="M44" i="21"/>
  <c r="G44" i="21"/>
  <c r="M46" i="21"/>
  <c r="H46" i="21"/>
  <c r="G46" i="21"/>
  <c r="J46" i="21"/>
  <c r="K46" i="21"/>
  <c r="N46" i="21"/>
  <c r="L46" i="21"/>
  <c r="G65" i="21"/>
  <c r="N65" i="21"/>
  <c r="J65" i="21"/>
  <c r="H65" i="21"/>
  <c r="L65" i="21"/>
  <c r="M65" i="21"/>
  <c r="K65" i="21"/>
  <c r="G77" i="21"/>
  <c r="J77" i="21"/>
  <c r="M77" i="21"/>
  <c r="H77" i="21"/>
  <c r="L77" i="21"/>
  <c r="N77" i="21"/>
  <c r="K77" i="21"/>
  <c r="G94" i="21"/>
  <c r="N94" i="21"/>
  <c r="K94" i="21"/>
  <c r="J94" i="21"/>
  <c r="H94" i="21"/>
  <c r="L94" i="21"/>
  <c r="M94" i="21"/>
  <c r="G62" i="21"/>
  <c r="L62" i="21"/>
  <c r="M62" i="21"/>
  <c r="J62" i="21"/>
  <c r="N62" i="21"/>
  <c r="H62" i="21"/>
  <c r="K62" i="21"/>
  <c r="L51" i="21"/>
  <c r="G51" i="21"/>
  <c r="M51" i="21"/>
  <c r="J51" i="21"/>
  <c r="N51" i="21"/>
  <c r="J164" i="15" s="1"/>
  <c r="H51" i="21"/>
  <c r="K51" i="21"/>
  <c r="L88" i="21"/>
  <c r="K88" i="21"/>
  <c r="H88" i="21"/>
  <c r="M88" i="21"/>
  <c r="G88" i="21"/>
  <c r="N88" i="21"/>
  <c r="J88" i="21"/>
  <c r="L36" i="21"/>
  <c r="N36" i="21"/>
  <c r="M36" i="21"/>
  <c r="H36" i="21"/>
  <c r="J36" i="21"/>
  <c r="G36" i="21"/>
  <c r="K36" i="21"/>
  <c r="N100" i="21"/>
  <c r="H100" i="21"/>
  <c r="G100" i="21"/>
  <c r="K100" i="21"/>
  <c r="J100" i="21"/>
  <c r="L100" i="21"/>
  <c r="M100" i="21"/>
  <c r="N89" i="21"/>
  <c r="M89" i="21"/>
  <c r="J89" i="21"/>
  <c r="K89" i="21"/>
  <c r="G89" i="21"/>
  <c r="H89" i="21"/>
  <c r="L89" i="21"/>
  <c r="G50" i="21"/>
  <c r="K50" i="21"/>
  <c r="L50" i="21"/>
  <c r="J50" i="21"/>
  <c r="H50" i="21"/>
  <c r="N50" i="21"/>
  <c r="J158" i="15" s="1"/>
  <c r="M50" i="21"/>
  <c r="G39" i="21"/>
  <c r="L39" i="21"/>
  <c r="M39" i="21"/>
  <c r="N39" i="21"/>
  <c r="J112" i="15" s="1"/>
  <c r="K39" i="21"/>
  <c r="H39" i="21"/>
  <c r="J39" i="21"/>
  <c r="K82" i="21"/>
  <c r="J82" i="21"/>
  <c r="L82" i="21"/>
  <c r="M82" i="21"/>
  <c r="G82" i="21"/>
  <c r="H82" i="21"/>
  <c r="N82" i="21"/>
  <c r="L91" i="21"/>
  <c r="N91" i="21"/>
  <c r="K91" i="21"/>
  <c r="G91" i="21"/>
  <c r="H91" i="21"/>
  <c r="J91" i="21"/>
  <c r="M91" i="21"/>
  <c r="M56" i="21"/>
  <c r="K56" i="21"/>
  <c r="G56" i="21"/>
  <c r="N56" i="21"/>
  <c r="H56" i="21"/>
  <c r="L56" i="21"/>
  <c r="J56" i="21"/>
  <c r="M96" i="21"/>
  <c r="K96" i="21"/>
  <c r="H96" i="21"/>
  <c r="L96" i="21"/>
  <c r="G96" i="21"/>
  <c r="J96" i="21"/>
  <c r="N96" i="21"/>
  <c r="J64" i="21"/>
  <c r="K64" i="21"/>
  <c r="G64" i="21"/>
  <c r="N64" i="21"/>
  <c r="M64" i="21"/>
  <c r="H64" i="21"/>
  <c r="L64" i="21"/>
  <c r="G59" i="21"/>
  <c r="N59" i="21"/>
  <c r="M59" i="21"/>
  <c r="K59" i="21"/>
  <c r="H59" i="21"/>
  <c r="L59" i="21"/>
  <c r="J59" i="21"/>
  <c r="K71" i="21"/>
  <c r="L71" i="21"/>
  <c r="G71" i="21"/>
  <c r="M71" i="21"/>
  <c r="N71" i="21"/>
  <c r="J71" i="21"/>
  <c r="H71" i="21"/>
  <c r="K47" i="21"/>
  <c r="L47" i="21"/>
  <c r="H47" i="21"/>
  <c r="N47" i="21"/>
  <c r="J151" i="15" s="1"/>
  <c r="M47" i="21"/>
  <c r="J47" i="21"/>
  <c r="G47" i="21"/>
  <c r="H75" i="21"/>
  <c r="K75" i="21"/>
  <c r="N75" i="21"/>
  <c r="G75" i="21"/>
  <c r="J75" i="21"/>
  <c r="M75" i="21"/>
  <c r="L75" i="21"/>
  <c r="G63" i="21"/>
  <c r="M63" i="21"/>
  <c r="N63" i="21"/>
  <c r="K63" i="21"/>
  <c r="H63" i="21"/>
  <c r="J63" i="21"/>
  <c r="L63" i="21"/>
  <c r="G83" i="21"/>
  <c r="L83" i="21"/>
  <c r="N83" i="21"/>
  <c r="M83" i="21"/>
  <c r="K83" i="21"/>
  <c r="J83" i="21"/>
  <c r="H83" i="21"/>
  <c r="G70" i="21"/>
  <c r="L70" i="21"/>
  <c r="N70" i="21"/>
  <c r="H70" i="21"/>
  <c r="M70" i="21"/>
  <c r="K70" i="21"/>
  <c r="J70" i="21"/>
  <c r="H52" i="21"/>
  <c r="G52" i="21"/>
  <c r="J52" i="21"/>
  <c r="N52" i="21"/>
  <c r="L52" i="21"/>
  <c r="K52" i="21"/>
  <c r="M52" i="21"/>
  <c r="N53" i="21"/>
  <c r="J173" i="15" s="1"/>
  <c r="L53" i="21"/>
  <c r="H53" i="21"/>
  <c r="G53" i="21"/>
  <c r="K53" i="21"/>
  <c r="M53" i="21"/>
  <c r="J53" i="21"/>
  <c r="G54" i="21"/>
  <c r="M54" i="21"/>
  <c r="L54" i="21"/>
  <c r="J54" i="21"/>
  <c r="H54" i="21"/>
  <c r="K54" i="21"/>
  <c r="N54" i="21"/>
  <c r="K102" i="21"/>
  <c r="J102" i="21"/>
  <c r="M102" i="21"/>
  <c r="N102" i="21"/>
  <c r="G102" i="21"/>
  <c r="H102" i="21"/>
  <c r="L102" i="21"/>
  <c r="L35" i="21"/>
  <c r="M35" i="21"/>
  <c r="G35" i="21"/>
  <c r="K35" i="21"/>
  <c r="N35" i="21"/>
  <c r="J35" i="21"/>
  <c r="H35" i="21"/>
  <c r="M74" i="21"/>
  <c r="G74" i="21"/>
  <c r="N74" i="21"/>
  <c r="J74" i="21"/>
  <c r="H74" i="21"/>
  <c r="L74" i="21"/>
  <c r="K74" i="21"/>
  <c r="M103" i="21"/>
  <c r="K103" i="21"/>
  <c r="N103" i="21"/>
  <c r="H103" i="21"/>
  <c r="G103" i="21"/>
  <c r="L103" i="21"/>
  <c r="J103" i="21"/>
  <c r="M72" i="21"/>
  <c r="N72" i="21"/>
  <c r="L72" i="21"/>
  <c r="K72" i="21"/>
  <c r="J72" i="21"/>
  <c r="G72" i="21"/>
  <c r="H72" i="21"/>
  <c r="G68" i="21"/>
  <c r="L68" i="21"/>
  <c r="J68" i="21"/>
  <c r="H68" i="21"/>
  <c r="N68" i="21"/>
  <c r="M68" i="21"/>
  <c r="K68" i="21"/>
  <c r="N87" i="21"/>
  <c r="G87" i="21"/>
  <c r="J87" i="21"/>
  <c r="L87" i="21"/>
  <c r="H87" i="21"/>
  <c r="K87" i="21"/>
  <c r="M87" i="21"/>
  <c r="M76" i="21"/>
  <c r="K76" i="21"/>
  <c r="H76" i="21"/>
  <c r="G76" i="21"/>
  <c r="L76" i="21"/>
  <c r="J76" i="21"/>
  <c r="N76" i="21"/>
  <c r="N48" i="21"/>
  <c r="M48" i="21"/>
  <c r="H48" i="21"/>
  <c r="K48" i="21"/>
  <c r="J48" i="21"/>
  <c r="L48" i="21"/>
  <c r="G48" i="21"/>
  <c r="N55" i="21"/>
  <c r="J55" i="21"/>
  <c r="L55" i="21"/>
  <c r="H55" i="21"/>
  <c r="G55" i="21"/>
  <c r="K55" i="21"/>
  <c r="M55" i="21"/>
  <c r="G92" i="21"/>
  <c r="K92" i="21"/>
  <c r="M92" i="21"/>
  <c r="J92" i="21"/>
  <c r="N92" i="21"/>
  <c r="H92" i="21"/>
  <c r="L92" i="21"/>
  <c r="N98" i="21"/>
  <c r="G98" i="21"/>
  <c r="H98" i="21"/>
  <c r="K98" i="21"/>
  <c r="M98" i="21"/>
  <c r="J98" i="21"/>
  <c r="L98" i="21"/>
  <c r="M40" i="21"/>
  <c r="K40" i="21"/>
  <c r="L40" i="21"/>
  <c r="G40" i="21"/>
  <c r="N40" i="21"/>
  <c r="J115" i="15" s="1"/>
  <c r="J40" i="21"/>
  <c r="H40" i="21"/>
  <c r="L84" i="21"/>
  <c r="H84" i="21"/>
  <c r="K84" i="21"/>
  <c r="G84" i="21"/>
  <c r="N84" i="21"/>
  <c r="M84" i="21"/>
  <c r="J84" i="21"/>
  <c r="G85" i="21"/>
  <c r="K85" i="21"/>
  <c r="J85" i="21"/>
  <c r="N85" i="21"/>
  <c r="H85" i="21"/>
  <c r="L85" i="21"/>
  <c r="M85" i="21"/>
  <c r="J66" i="21"/>
  <c r="G66" i="21"/>
  <c r="H66" i="21"/>
  <c r="K66" i="21"/>
  <c r="N66" i="21"/>
  <c r="M66" i="21"/>
  <c r="L66" i="21"/>
  <c r="N42" i="21"/>
  <c r="J42" i="21"/>
  <c r="M42" i="21"/>
  <c r="K42" i="21"/>
  <c r="G42" i="21"/>
  <c r="L42" i="21"/>
  <c r="H42" i="21"/>
  <c r="I98" i="21"/>
  <c r="I72" i="21"/>
  <c r="I104" i="21"/>
  <c r="I65" i="21"/>
  <c r="I80" i="21"/>
  <c r="I67" i="21"/>
  <c r="I64" i="21"/>
  <c r="I69" i="21"/>
  <c r="I102" i="21"/>
  <c r="I59" i="21"/>
  <c r="I94" i="21"/>
  <c r="I49" i="21"/>
  <c r="I95" i="21"/>
  <c r="I79" i="21"/>
  <c r="I35" i="21"/>
  <c r="I53" i="21"/>
  <c r="I36" i="21"/>
  <c r="I85" i="21"/>
  <c r="I71" i="21"/>
  <c r="I42" i="21"/>
  <c r="I47" i="21"/>
  <c r="I82" i="21"/>
  <c r="I70" i="21"/>
  <c r="I97" i="21"/>
  <c r="I93" i="21"/>
  <c r="I63" i="21"/>
  <c r="I100" i="21"/>
  <c r="I48" i="21"/>
  <c r="I61" i="21"/>
  <c r="I37" i="21"/>
  <c r="I101" i="21"/>
  <c r="I62" i="21"/>
  <c r="I88" i="21"/>
  <c r="I55" i="21"/>
  <c r="I68" i="21"/>
  <c r="I52" i="21"/>
  <c r="I51" i="21"/>
  <c r="I75" i="21"/>
  <c r="I77" i="21"/>
  <c r="I56" i="21"/>
  <c r="I78" i="21"/>
  <c r="I38" i="21"/>
  <c r="I96" i="21"/>
  <c r="I87" i="21"/>
  <c r="I81" i="21"/>
  <c r="I57" i="21"/>
  <c r="I41" i="21"/>
  <c r="I39" i="21"/>
  <c r="I66" i="21"/>
  <c r="I103" i="21"/>
  <c r="I83" i="21"/>
  <c r="I91" i="21"/>
  <c r="I40" i="21"/>
  <c r="I76" i="21"/>
  <c r="I89" i="21"/>
  <c r="I86" i="21"/>
  <c r="I54" i="21"/>
  <c r="I90" i="21"/>
  <c r="I60" i="21"/>
  <c r="I92" i="21"/>
  <c r="I74" i="21"/>
  <c r="I50" i="21"/>
  <c r="I46" i="21"/>
  <c r="I99" i="21"/>
  <c r="I84" i="21"/>
  <c r="I44" i="21"/>
  <c r="I73" i="21"/>
  <c r="I43" i="21"/>
  <c r="I45" i="21"/>
  <c r="I58" i="21"/>
  <c r="I57" i="23"/>
  <c r="I88" i="23"/>
  <c r="I81" i="23"/>
  <c r="W6" i="21"/>
  <c r="I39" i="23"/>
  <c r="I66" i="23"/>
  <c r="F66" i="23" s="1"/>
  <c r="G66" i="23" s="1"/>
  <c r="H19" i="15"/>
  <c r="L20" i="23"/>
  <c r="G19" i="15" s="1"/>
  <c r="I99" i="23"/>
  <c r="I45" i="23"/>
  <c r="F45" i="23" s="1"/>
  <c r="G45" i="23" s="1"/>
  <c r="L26" i="23"/>
  <c r="G25" i="15" s="1"/>
  <c r="H25" i="15"/>
  <c r="I11" i="23"/>
  <c r="H64" i="15"/>
  <c r="L65" i="23"/>
  <c r="G64" i="15" s="1"/>
  <c r="L38" i="23"/>
  <c r="G37" i="15" s="1"/>
  <c r="H37" i="15"/>
  <c r="I35" i="23"/>
  <c r="F35" i="23" s="1"/>
  <c r="G35" i="23" s="1"/>
  <c r="L57" i="23"/>
  <c r="G56" i="15" s="1"/>
  <c r="H56" i="15"/>
  <c r="I41" i="23"/>
  <c r="F41" i="23" s="1"/>
  <c r="G41" i="23" s="1"/>
  <c r="I78" i="23"/>
  <c r="H41" i="15"/>
  <c r="K45" i="15" s="1"/>
  <c r="L42" i="23"/>
  <c r="G41" i="15" s="1"/>
  <c r="L43" i="23"/>
  <c r="G42" i="15" s="1"/>
  <c r="H42" i="15"/>
  <c r="L100" i="23"/>
  <c r="G99" i="15" s="1"/>
  <c r="H99" i="15"/>
  <c r="I23" i="23"/>
  <c r="I43" i="23"/>
  <c r="F43" i="23" s="1"/>
  <c r="G43" i="23" s="1"/>
  <c r="I97" i="23"/>
  <c r="F97" i="23" s="1"/>
  <c r="G97" i="23" s="1"/>
  <c r="I14" i="23"/>
  <c r="L95" i="23"/>
  <c r="G94" i="15" s="1"/>
  <c r="H94" i="15"/>
  <c r="L52" i="23"/>
  <c r="G51" i="15" s="1"/>
  <c r="H51" i="15"/>
  <c r="L60" i="23"/>
  <c r="G59" i="15" s="1"/>
  <c r="H59" i="15"/>
  <c r="H34" i="15"/>
  <c r="L35" i="23"/>
  <c r="G34" i="15" s="1"/>
  <c r="L10" i="23"/>
  <c r="G9" i="15" s="1"/>
  <c r="H9" i="15"/>
  <c r="F57" i="23"/>
  <c r="I50" i="23"/>
  <c r="F50" i="23" s="1"/>
  <c r="H77" i="15"/>
  <c r="L78" i="23"/>
  <c r="G77" i="15" s="1"/>
  <c r="I102" i="23"/>
  <c r="F102" i="23" s="1"/>
  <c r="G102" i="23" s="1"/>
  <c r="L79" i="23"/>
  <c r="G78" i="15" s="1"/>
  <c r="H78" i="15"/>
  <c r="H72" i="15"/>
  <c r="L73" i="23"/>
  <c r="G72" i="15" s="1"/>
  <c r="L40" i="23"/>
  <c r="G39" i="15" s="1"/>
  <c r="H39" i="15"/>
  <c r="I94" i="23"/>
  <c r="F94" i="23" s="1"/>
  <c r="G94" i="23" s="1"/>
  <c r="L68" i="23"/>
  <c r="G67" i="15" s="1"/>
  <c r="H67" i="15"/>
  <c r="I92" i="23"/>
  <c r="F92" i="23" s="1"/>
  <c r="G92" i="23" s="1"/>
  <c r="I80" i="23"/>
  <c r="F80" i="23" s="1"/>
  <c r="G80" i="23" s="1"/>
  <c r="I26" i="23"/>
  <c r="F26" i="23" s="1"/>
  <c r="G26" i="23" s="1"/>
  <c r="I85" i="23"/>
  <c r="F85" i="23" s="1"/>
  <c r="G85" i="23" s="1"/>
  <c r="H65" i="15"/>
  <c r="L66" i="23"/>
  <c r="G65" i="15" s="1"/>
  <c r="H27" i="15"/>
  <c r="L28" i="23"/>
  <c r="G27" i="15" s="1"/>
  <c r="I75" i="23"/>
  <c r="F75" i="23" s="1"/>
  <c r="G75" i="23" s="1"/>
  <c r="L47" i="23"/>
  <c r="G46" i="15" s="1"/>
  <c r="H46" i="15"/>
  <c r="I63" i="23"/>
  <c r="F63" i="23" s="1"/>
  <c r="G63" i="23" s="1"/>
  <c r="H15" i="15"/>
  <c r="L16" i="23"/>
  <c r="G15" i="15" s="1"/>
  <c r="L45" i="23"/>
  <c r="G44" i="15" s="1"/>
  <c r="H44" i="15"/>
  <c r="H80" i="15"/>
  <c r="L81" i="23"/>
  <c r="G80" i="15" s="1"/>
  <c r="I51" i="23"/>
  <c r="F51" i="23" s="1"/>
  <c r="G51" i="23" s="1"/>
  <c r="L11" i="23"/>
  <c r="G10" i="15" s="1"/>
  <c r="H10" i="15"/>
  <c r="H97" i="15"/>
  <c r="L98" i="23"/>
  <c r="G97" i="15" s="1"/>
  <c r="I87" i="23"/>
  <c r="F87" i="23" s="1"/>
  <c r="G87" i="23" s="1"/>
  <c r="I65" i="23"/>
  <c r="F65" i="23" s="1"/>
  <c r="G65" i="23" s="1"/>
  <c r="H30" i="15"/>
  <c r="L31" i="23"/>
  <c r="G30" i="15" s="1"/>
  <c r="I30" i="23"/>
  <c r="H52" i="15"/>
  <c r="L53" i="23"/>
  <c r="G52" i="15" s="1"/>
  <c r="H35" i="15"/>
  <c r="L36" i="23"/>
  <c r="G35" i="15" s="1"/>
  <c r="H49" i="15"/>
  <c r="L50" i="23"/>
  <c r="G49" i="15" s="1"/>
  <c r="L54" i="23"/>
  <c r="G53" i="15" s="1"/>
  <c r="H53" i="15"/>
  <c r="H54" i="15"/>
  <c r="L55" i="23"/>
  <c r="G54" i="15" s="1"/>
  <c r="L15" i="23"/>
  <c r="G14" i="15" s="1"/>
  <c r="H14" i="15"/>
  <c r="I64" i="23"/>
  <c r="F64" i="23" s="1"/>
  <c r="G64" i="23" s="1"/>
  <c r="I100" i="23"/>
  <c r="F100" i="23" s="1"/>
  <c r="G100" i="23" s="1"/>
  <c r="I69" i="23"/>
  <c r="F69" i="23" s="1"/>
  <c r="G69" i="23" s="1"/>
  <c r="H91" i="15"/>
  <c r="L92" i="23"/>
  <c r="G91" i="15" s="1"/>
  <c r="H66" i="15"/>
  <c r="L67" i="23"/>
  <c r="G66" i="15" s="1"/>
  <c r="L94" i="23"/>
  <c r="G93" i="15" s="1"/>
  <c r="H93" i="15"/>
  <c r="L75" i="23"/>
  <c r="G74" i="15" s="1"/>
  <c r="H74" i="15"/>
  <c r="I47" i="23"/>
  <c r="H38" i="15"/>
  <c r="L39" i="23"/>
  <c r="G38" i="15" s="1"/>
  <c r="H13" i="15"/>
  <c r="L14" i="23"/>
  <c r="G13" i="15" s="1"/>
  <c r="L83" i="23"/>
  <c r="G82" i="15" s="1"/>
  <c r="H82" i="15"/>
  <c r="L37" i="23"/>
  <c r="G36" i="15" s="1"/>
  <c r="H36" i="15"/>
  <c r="H69" i="15"/>
  <c r="L70" i="23"/>
  <c r="G69" i="15" s="1"/>
  <c r="H89" i="15"/>
  <c r="L90" i="23"/>
  <c r="G89" i="15" s="1"/>
  <c r="L30" i="23"/>
  <c r="G29" i="15" s="1"/>
  <c r="H29" i="15"/>
  <c r="L102" i="23"/>
  <c r="G101" i="15" s="1"/>
  <c r="H101" i="15"/>
  <c r="L62" i="23"/>
  <c r="G61" i="15" s="1"/>
  <c r="H61" i="15"/>
  <c r="H83" i="15"/>
  <c r="L84" i="23"/>
  <c r="G83" i="15" s="1"/>
  <c r="I25" i="23"/>
  <c r="F25" i="23" s="1"/>
  <c r="G25" i="23" s="1"/>
  <c r="I61" i="23"/>
  <c r="F61" i="23" s="1"/>
  <c r="G61" i="23" s="1"/>
  <c r="L80" i="23"/>
  <c r="G79" i="15" s="1"/>
  <c r="H79" i="15"/>
  <c r="H45" i="15"/>
  <c r="L46" i="23"/>
  <c r="G45" i="15" s="1"/>
  <c r="H17" i="15"/>
  <c r="L18" i="23"/>
  <c r="G17" i="15" s="1"/>
  <c r="H85" i="15"/>
  <c r="L86" i="23"/>
  <c r="G85" i="15" s="1"/>
  <c r="F39" i="23"/>
  <c r="F99" i="23"/>
  <c r="H68" i="15"/>
  <c r="L69" i="23"/>
  <c r="G68" i="15" s="1"/>
  <c r="H100" i="15"/>
  <c r="L101" i="23"/>
  <c r="G100" i="15" s="1"/>
  <c r="H16" i="15"/>
  <c r="L17" i="23"/>
  <c r="G16" i="15" s="1"/>
  <c r="L93" i="23"/>
  <c r="G92" i="15" s="1"/>
  <c r="H92" i="15"/>
  <c r="L12" i="23"/>
  <c r="G11" i="15" s="1"/>
  <c r="H11" i="15"/>
  <c r="H22" i="15"/>
  <c r="K24" i="15" s="1"/>
  <c r="L23" i="23"/>
  <c r="G22" i="15" s="1"/>
  <c r="H63" i="15"/>
  <c r="L64" i="23"/>
  <c r="G63" i="15" s="1"/>
  <c r="H20" i="15"/>
  <c r="L21" i="23"/>
  <c r="G20" i="15" s="1"/>
  <c r="L63" i="23"/>
  <c r="G62" i="15" s="1"/>
  <c r="H62" i="15"/>
  <c r="L97" i="23"/>
  <c r="G96" i="15" s="1"/>
  <c r="H96" i="15"/>
  <c r="L82" i="23"/>
  <c r="G81" i="15" s="1"/>
  <c r="H81" i="15"/>
  <c r="L32" i="23"/>
  <c r="G31" i="15" s="1"/>
  <c r="H31" i="15"/>
  <c r="I48" i="23"/>
  <c r="F48" i="23" s="1"/>
  <c r="G48" i="23" s="1"/>
  <c r="H58" i="15"/>
  <c r="L59" i="23"/>
  <c r="G58" i="15" s="1"/>
  <c r="H75" i="15"/>
  <c r="L76" i="23"/>
  <c r="G75" i="15" s="1"/>
  <c r="L61" i="23"/>
  <c r="G60" i="15" s="1"/>
  <c r="H60" i="15"/>
  <c r="I46" i="23"/>
  <c r="F46" i="23" s="1"/>
  <c r="G46" i="23" s="1"/>
  <c r="H70" i="15"/>
  <c r="L71" i="23"/>
  <c r="G70" i="15" s="1"/>
  <c r="H24" i="15"/>
  <c r="L25" i="23"/>
  <c r="G24" i="15" s="1"/>
  <c r="I71" i="23"/>
  <c r="H98" i="15"/>
  <c r="L99" i="23"/>
  <c r="G98" i="15" s="1"/>
  <c r="H95" i="15"/>
  <c r="L96" i="23"/>
  <c r="G95" i="15" s="1"/>
  <c r="H21" i="15"/>
  <c r="L22" i="23"/>
  <c r="G21" i="15" s="1"/>
  <c r="H50" i="15"/>
  <c r="L51" i="23"/>
  <c r="G50" i="15" s="1"/>
  <c r="H43" i="15"/>
  <c r="L44" i="23"/>
  <c r="G43" i="15" s="1"/>
  <c r="H76" i="15"/>
  <c r="L77" i="23"/>
  <c r="G76" i="15" s="1"/>
  <c r="H47" i="15"/>
  <c r="L48" i="23"/>
  <c r="G47" i="15" s="1"/>
  <c r="L34" i="23"/>
  <c r="G33" i="15" s="1"/>
  <c r="H33" i="15"/>
  <c r="H32" i="15"/>
  <c r="L27" i="23"/>
  <c r="G26" i="15" s="1"/>
  <c r="H26" i="15"/>
  <c r="H86" i="15"/>
  <c r="L87" i="23"/>
  <c r="G86" i="15" s="1"/>
  <c r="H87" i="15"/>
  <c r="L88" i="23"/>
  <c r="G87" i="15" s="1"/>
  <c r="L91" i="23"/>
  <c r="G90" i="15" s="1"/>
  <c r="H90" i="15"/>
  <c r="H57" i="15"/>
  <c r="L58" i="23"/>
  <c r="G57" i="15" s="1"/>
  <c r="L85" i="23"/>
  <c r="G84" i="15" s="1"/>
  <c r="H84" i="15"/>
  <c r="I74" i="23"/>
  <c r="F74" i="23" s="1"/>
  <c r="G74" i="23" s="1"/>
  <c r="H12" i="15"/>
  <c r="L13" i="23"/>
  <c r="G12" i="15" s="1"/>
  <c r="L72" i="23"/>
  <c r="G71" i="15" s="1"/>
  <c r="H71" i="15"/>
  <c r="H18" i="15"/>
  <c r="L19" i="23"/>
  <c r="G18" i="15" s="1"/>
  <c r="K7" i="23"/>
  <c r="H8" i="15"/>
  <c r="K10" i="15" s="1"/>
  <c r="L9" i="23"/>
  <c r="G8" i="15" s="1"/>
  <c r="H23" i="15"/>
  <c r="L24" i="23"/>
  <c r="G23" i="15" s="1"/>
  <c r="L29" i="23"/>
  <c r="G28" i="15" s="1"/>
  <c r="H28" i="15"/>
  <c r="H40" i="15"/>
  <c r="L41" i="23"/>
  <c r="G40" i="15" s="1"/>
  <c r="L49" i="23"/>
  <c r="G48" i="15" s="1"/>
  <c r="H48" i="15"/>
  <c r="H88" i="15"/>
  <c r="L89" i="23"/>
  <c r="G88" i="15" s="1"/>
  <c r="H55" i="15"/>
  <c r="L56" i="23"/>
  <c r="G55" i="15" s="1"/>
  <c r="H73" i="15"/>
  <c r="L74" i="23"/>
  <c r="G73" i="15" s="1"/>
  <c r="L33" i="23"/>
  <c r="G32" i="15" s="1"/>
  <c r="E7" i="23"/>
  <c r="L7" i="23" s="1"/>
  <c r="L159" i="15"/>
  <c r="I105" i="15"/>
  <c r="I74" i="15"/>
  <c r="I46" i="15"/>
  <c r="F24" i="15"/>
  <c r="E24" i="15"/>
  <c r="L24" i="15"/>
  <c r="I175" i="15"/>
  <c r="F68" i="15"/>
  <c r="L68" i="15"/>
  <c r="F90" i="15"/>
  <c r="E90" i="15"/>
  <c r="L90" i="15"/>
  <c r="I57" i="15"/>
  <c r="F186" i="15"/>
  <c r="E186" i="15"/>
  <c r="I82" i="15"/>
  <c r="E97" i="15"/>
  <c r="F97" i="15"/>
  <c r="L97" i="15"/>
  <c r="L103" i="15"/>
  <c r="K103" i="15"/>
  <c r="J103" i="15"/>
  <c r="F103" i="15"/>
  <c r="E103" i="15"/>
  <c r="L89" i="15"/>
  <c r="E89" i="15"/>
  <c r="F89" i="15"/>
  <c r="L18" i="15"/>
  <c r="E18" i="15"/>
  <c r="G61" i="20"/>
  <c r="G51" i="20"/>
  <c r="G67" i="20"/>
  <c r="G85" i="20"/>
  <c r="G31" i="20"/>
  <c r="G68" i="20"/>
  <c r="G71" i="20"/>
  <c r="J116" i="15"/>
  <c r="E116" i="15"/>
  <c r="F116" i="15"/>
  <c r="L116" i="15"/>
  <c r="K116" i="15"/>
  <c r="F22" i="15"/>
  <c r="E22" i="15"/>
  <c r="L22" i="15"/>
  <c r="I127" i="15"/>
  <c r="E136" i="15"/>
  <c r="J136" i="15"/>
  <c r="K136" i="15"/>
  <c r="F136" i="15"/>
  <c r="L136" i="15"/>
  <c r="I158" i="15"/>
  <c r="I81" i="15"/>
  <c r="I191" i="15"/>
  <c r="I161" i="15"/>
  <c r="I219" i="15"/>
  <c r="I123" i="15"/>
  <c r="F159" i="15"/>
  <c r="L65" i="15"/>
  <c r="I140" i="15"/>
  <c r="I128" i="15"/>
  <c r="I86" i="15"/>
  <c r="J133" i="15"/>
  <c r="K133" i="15"/>
  <c r="L133" i="15"/>
  <c r="E133" i="15"/>
  <c r="F133" i="15"/>
  <c r="I87" i="15"/>
  <c r="F117" i="15"/>
  <c r="E117" i="15"/>
  <c r="L117" i="15"/>
  <c r="K117" i="15"/>
  <c r="I117" i="15"/>
  <c r="J195" i="15"/>
  <c r="K195" i="15"/>
  <c r="K111" i="15"/>
  <c r="F111" i="15"/>
  <c r="E111" i="15"/>
  <c r="L111" i="15"/>
  <c r="J111" i="15"/>
  <c r="L28" i="15"/>
  <c r="E28" i="15"/>
  <c r="F28" i="15"/>
  <c r="I98" i="15"/>
  <c r="I203" i="15"/>
  <c r="I12" i="15"/>
  <c r="I187" i="15"/>
  <c r="F110" i="15"/>
  <c r="J110" i="15"/>
  <c r="L110" i="15"/>
  <c r="E110" i="15"/>
  <c r="K110" i="15"/>
  <c r="G86" i="20"/>
  <c r="G40" i="20"/>
  <c r="G98" i="20"/>
  <c r="G73" i="20"/>
  <c r="G28" i="20"/>
  <c r="G74" i="20"/>
  <c r="G72" i="20"/>
  <c r="E209" i="15"/>
  <c r="F209" i="15"/>
  <c r="K209" i="15"/>
  <c r="J209" i="15"/>
  <c r="L209" i="15"/>
  <c r="E11" i="15"/>
  <c r="L11" i="15"/>
  <c r="F11" i="15"/>
  <c r="I43" i="15"/>
  <c r="J188" i="15"/>
  <c r="E188" i="15"/>
  <c r="L188" i="15"/>
  <c r="F208" i="15"/>
  <c r="E208" i="15"/>
  <c r="I207" i="15"/>
  <c r="I164" i="15"/>
  <c r="E159" i="15"/>
  <c r="E60" i="15"/>
  <c r="L60" i="15"/>
  <c r="F60" i="15"/>
  <c r="L184" i="15"/>
  <c r="J184" i="15"/>
  <c r="K184" i="15"/>
  <c r="I19" i="15"/>
  <c r="E190" i="15"/>
  <c r="F190" i="15"/>
  <c r="F180" i="15"/>
  <c r="L180" i="15"/>
  <c r="E180" i="15"/>
  <c r="J180" i="15"/>
  <c r="K180" i="15"/>
  <c r="E200" i="15"/>
  <c r="L200" i="15"/>
  <c r="F200" i="15"/>
  <c r="K200" i="15"/>
  <c r="J200" i="15"/>
  <c r="K215" i="15"/>
  <c r="L215" i="15"/>
  <c r="E215" i="15"/>
  <c r="K203" i="15"/>
  <c r="F203" i="15"/>
  <c r="I144" i="15"/>
  <c r="J179" i="15"/>
  <c r="E179" i="15"/>
  <c r="F179" i="15"/>
  <c r="K179" i="15"/>
  <c r="L179" i="15"/>
  <c r="E21" i="15"/>
  <c r="L21" i="15"/>
  <c r="F21" i="15"/>
  <c r="E168" i="15"/>
  <c r="F168" i="15"/>
  <c r="J139" i="15"/>
  <c r="E139" i="15"/>
  <c r="L139" i="15"/>
  <c r="F139" i="15"/>
  <c r="F92" i="15"/>
  <c r="E92" i="15"/>
  <c r="L92" i="15"/>
  <c r="L151" i="15"/>
  <c r="F151" i="15"/>
  <c r="F196" i="15"/>
  <c r="E196" i="15"/>
  <c r="G49" i="20"/>
  <c r="G34" i="20"/>
  <c r="G60" i="20"/>
  <c r="G80" i="20"/>
  <c r="G25" i="20"/>
  <c r="N22" i="20" s="1"/>
  <c r="F36" i="24" s="1"/>
  <c r="G41" i="20"/>
  <c r="G65" i="20"/>
  <c r="G64" i="20"/>
  <c r="F124" i="15"/>
  <c r="E124" i="15"/>
  <c r="J124" i="15"/>
  <c r="L124" i="15"/>
  <c r="K124" i="15"/>
  <c r="F40" i="15"/>
  <c r="L40" i="15"/>
  <c r="E40" i="15"/>
  <c r="K119" i="15"/>
  <c r="J119" i="15"/>
  <c r="L119" i="15"/>
  <c r="E119" i="15"/>
  <c r="F119" i="15"/>
  <c r="L183" i="15"/>
  <c r="K183" i="15"/>
  <c r="J183" i="15"/>
  <c r="F183" i="15"/>
  <c r="E183" i="15"/>
  <c r="E48" i="15"/>
  <c r="F48" i="15"/>
  <c r="L48" i="15"/>
  <c r="E121" i="15"/>
  <c r="J121" i="15"/>
  <c r="K126" i="15"/>
  <c r="F126" i="15"/>
  <c r="E126" i="15"/>
  <c r="I31" i="15"/>
  <c r="F67" i="15"/>
  <c r="L67" i="15"/>
  <c r="E67" i="15"/>
  <c r="J219" i="15"/>
  <c r="E219" i="15"/>
  <c r="F219" i="15"/>
  <c r="K219" i="15"/>
  <c r="L219" i="15"/>
  <c r="F177" i="15"/>
  <c r="J177" i="15"/>
  <c r="F212" i="15"/>
  <c r="L212" i="15"/>
  <c r="K212" i="15"/>
  <c r="J212" i="15"/>
  <c r="I220" i="15"/>
  <c r="J153" i="15"/>
  <c r="L153" i="15"/>
  <c r="K107" i="15"/>
  <c r="F107" i="15"/>
  <c r="J107" i="15"/>
  <c r="L107" i="15"/>
  <c r="E107" i="15"/>
  <c r="I59" i="15"/>
  <c r="I196" i="15"/>
  <c r="L41" i="15"/>
  <c r="F41" i="15"/>
  <c r="E41" i="15"/>
  <c r="F78" i="15"/>
  <c r="E78" i="15"/>
  <c r="L78" i="15"/>
  <c r="E172" i="15"/>
  <c r="L172" i="15"/>
  <c r="F172" i="15"/>
  <c r="E148" i="15"/>
  <c r="K148" i="15"/>
  <c r="J148" i="15"/>
  <c r="F148" i="15"/>
  <c r="L148" i="15"/>
  <c r="F96" i="15"/>
  <c r="E96" i="15"/>
  <c r="J142" i="15"/>
  <c r="K142" i="15"/>
  <c r="E142" i="15"/>
  <c r="L142" i="15"/>
  <c r="F142" i="15"/>
  <c r="E191" i="15"/>
  <c r="K191" i="15"/>
  <c r="F191" i="15"/>
  <c r="L191" i="15"/>
  <c r="J191" i="15"/>
  <c r="L174" i="15"/>
  <c r="F174" i="15"/>
  <c r="J174" i="15"/>
  <c r="E174" i="15"/>
  <c r="K174" i="15"/>
  <c r="J145" i="15"/>
  <c r="K145" i="15"/>
  <c r="L177" i="15"/>
  <c r="K177" i="15"/>
  <c r="E32" i="15"/>
  <c r="L32" i="15"/>
  <c r="K128" i="15"/>
  <c r="J128" i="15"/>
  <c r="L128" i="15"/>
  <c r="E128" i="15"/>
  <c r="F128" i="15"/>
  <c r="I133" i="15"/>
  <c r="L201" i="15"/>
  <c r="F201" i="15"/>
  <c r="K201" i="15"/>
  <c r="I153" i="15"/>
  <c r="I107" i="15"/>
  <c r="J189" i="15"/>
  <c r="E189" i="15"/>
  <c r="K189" i="15"/>
  <c r="E135" i="15"/>
  <c r="K135" i="15"/>
  <c r="F135" i="15"/>
  <c r="I113" i="15"/>
  <c r="I139" i="15"/>
  <c r="L71" i="15"/>
  <c r="F71" i="15"/>
  <c r="E71" i="15"/>
  <c r="G30" i="20"/>
  <c r="G66" i="20"/>
  <c r="G79" i="20"/>
  <c r="G46" i="20"/>
  <c r="G55" i="20"/>
  <c r="G38" i="20"/>
  <c r="G95" i="20"/>
  <c r="G84" i="20"/>
  <c r="G78" i="20"/>
  <c r="I49" i="15"/>
  <c r="K204" i="15"/>
  <c r="L204" i="15"/>
  <c r="J204" i="15"/>
  <c r="J211" i="15"/>
  <c r="K211" i="15"/>
  <c r="J106" i="15"/>
  <c r="K106" i="15"/>
  <c r="F106" i="15"/>
  <c r="L106" i="15"/>
  <c r="E106" i="15"/>
  <c r="F42" i="15"/>
  <c r="L42" i="15"/>
  <c r="E42" i="15"/>
  <c r="F88" i="15"/>
  <c r="E88" i="15"/>
  <c r="L88" i="15"/>
  <c r="L158" i="15"/>
  <c r="E158" i="15"/>
  <c r="K158" i="15"/>
  <c r="F158" i="15"/>
  <c r="F73" i="15"/>
  <c r="L73" i="15"/>
  <c r="E73" i="15"/>
  <c r="E162" i="15"/>
  <c r="K162" i="15"/>
  <c r="J162" i="15"/>
  <c r="F162" i="15"/>
  <c r="L115" i="15"/>
  <c r="E115" i="15"/>
  <c r="F115" i="15"/>
  <c r="K115" i="15"/>
  <c r="I142" i="15"/>
  <c r="F176" i="15"/>
  <c r="E176" i="15"/>
  <c r="K176" i="15"/>
  <c r="L176" i="15"/>
  <c r="J176" i="15"/>
  <c r="E65" i="15"/>
  <c r="E86" i="15"/>
  <c r="I93" i="15"/>
  <c r="K171" i="15"/>
  <c r="E171" i="15"/>
  <c r="F44" i="15"/>
  <c r="L44" i="15"/>
  <c r="E44" i="15"/>
  <c r="F10" i="15"/>
  <c r="L10" i="15"/>
  <c r="E10" i="15"/>
  <c r="E94" i="15"/>
  <c r="F94" i="15"/>
  <c r="F213" i="15"/>
  <c r="L213" i="15"/>
  <c r="E213" i="15"/>
  <c r="K213" i="15"/>
  <c r="J213" i="15"/>
  <c r="F202" i="15"/>
  <c r="L202" i="15"/>
  <c r="K202" i="15"/>
  <c r="I9" i="15"/>
  <c r="I56" i="15"/>
  <c r="G44" i="20"/>
  <c r="G56" i="20"/>
  <c r="G83" i="20"/>
  <c r="G37" i="20"/>
  <c r="G36" i="20"/>
  <c r="G52" i="20"/>
  <c r="G53" i="20"/>
  <c r="E134" i="15"/>
  <c r="F134" i="15"/>
  <c r="F53" i="15"/>
  <c r="L53" i="15"/>
  <c r="J170" i="15"/>
  <c r="E170" i="15"/>
  <c r="F170" i="15"/>
  <c r="K170" i="15"/>
  <c r="L170" i="15"/>
  <c r="K165" i="15"/>
  <c r="L165" i="15"/>
  <c r="J165" i="15"/>
  <c r="E165" i="15"/>
  <c r="I204" i="15"/>
  <c r="F109" i="15"/>
  <c r="E109" i="15"/>
  <c r="L109" i="15"/>
  <c r="K109" i="15"/>
  <c r="I41" i="15"/>
  <c r="F127" i="15"/>
  <c r="K127" i="15"/>
  <c r="I194" i="15"/>
  <c r="E61" i="15"/>
  <c r="L61" i="15"/>
  <c r="F61" i="15"/>
  <c r="F62" i="15"/>
  <c r="L62" i="15"/>
  <c r="E62" i="15"/>
  <c r="I214" i="15"/>
  <c r="L164" i="15"/>
  <c r="F164" i="15"/>
  <c r="E164" i="15"/>
  <c r="K164" i="15"/>
  <c r="L205" i="15"/>
  <c r="E205" i="15"/>
  <c r="J205" i="15"/>
  <c r="K205" i="15"/>
  <c r="F39" i="15"/>
  <c r="L39" i="15"/>
  <c r="F86" i="15"/>
  <c r="J140" i="15"/>
  <c r="K140" i="15"/>
  <c r="L140" i="15"/>
  <c r="F140" i="15"/>
  <c r="E140" i="15"/>
  <c r="I45" i="15"/>
  <c r="I197" i="15"/>
  <c r="J218" i="15"/>
  <c r="L218" i="15"/>
  <c r="K218" i="15"/>
  <c r="K108" i="15"/>
  <c r="E108" i="15"/>
  <c r="L108" i="15"/>
  <c r="J108" i="15"/>
  <c r="F108" i="15"/>
  <c r="I195" i="15"/>
  <c r="F15" i="15"/>
  <c r="L15" i="15"/>
  <c r="E15" i="15"/>
  <c r="F118" i="15"/>
  <c r="L118" i="15"/>
  <c r="K118" i="15"/>
  <c r="E118" i="15"/>
  <c r="J118" i="15"/>
  <c r="E82" i="15"/>
  <c r="L82" i="15"/>
  <c r="F82" i="15"/>
  <c r="E100" i="15"/>
  <c r="L100" i="15"/>
  <c r="F100" i="15"/>
  <c r="L29" i="15"/>
  <c r="E29" i="15"/>
  <c r="F29" i="15"/>
  <c r="E56" i="15"/>
  <c r="L56" i="15"/>
  <c r="F56" i="15"/>
  <c r="G42" i="20"/>
  <c r="G69" i="20"/>
  <c r="G81" i="20"/>
  <c r="G33" i="20"/>
  <c r="G45" i="20"/>
  <c r="G43" i="20"/>
  <c r="N15" i="20" s="1"/>
  <c r="F20" i="24" s="1"/>
  <c r="G39" i="20"/>
  <c r="G58" i="20"/>
  <c r="J138" i="15"/>
  <c r="L138" i="15"/>
  <c r="F138" i="15"/>
  <c r="K138" i="15"/>
  <c r="E138" i="15"/>
  <c r="F185" i="15"/>
  <c r="L185" i="15"/>
  <c r="F77" i="15"/>
  <c r="E77" i="15"/>
  <c r="L77" i="15"/>
  <c r="F14" i="15"/>
  <c r="E14" i="15"/>
  <c r="L14" i="15"/>
  <c r="E63" i="15"/>
  <c r="F63" i="15"/>
  <c r="L63" i="15"/>
  <c r="F101" i="15"/>
  <c r="E101" i="15"/>
  <c r="L101" i="15"/>
  <c r="F156" i="15"/>
  <c r="J156" i="15"/>
  <c r="E20" i="15"/>
  <c r="L20" i="15"/>
  <c r="F20" i="15"/>
  <c r="K216" i="15"/>
  <c r="F216" i="15"/>
  <c r="L216" i="15"/>
  <c r="E216" i="15"/>
  <c r="J216" i="15"/>
  <c r="E72" i="15"/>
  <c r="F72" i="15"/>
  <c r="L83" i="15"/>
  <c r="E83" i="15"/>
  <c r="F31" i="15"/>
  <c r="E31" i="15"/>
  <c r="L31" i="15"/>
  <c r="E58" i="15"/>
  <c r="L58" i="15"/>
  <c r="F58" i="15"/>
  <c r="K169" i="15"/>
  <c r="J169" i="15"/>
  <c r="L169" i="15"/>
  <c r="F169" i="15"/>
  <c r="E169" i="15"/>
  <c r="E157" i="15"/>
  <c r="L157" i="15"/>
  <c r="F157" i="15"/>
  <c r="K157" i="15"/>
  <c r="J157" i="15"/>
  <c r="I163" i="15"/>
  <c r="L93" i="15"/>
  <c r="E93" i="15"/>
  <c r="F93" i="15"/>
  <c r="F166" i="15"/>
  <c r="E166" i="15"/>
  <c r="L166" i="15"/>
  <c r="J166" i="15"/>
  <c r="K166" i="15"/>
  <c r="E80" i="15"/>
  <c r="L80" i="15"/>
  <c r="F80" i="15"/>
  <c r="L13" i="15"/>
  <c r="E13" i="15"/>
  <c r="F13" i="15"/>
  <c r="I215" i="15"/>
  <c r="I84" i="15"/>
  <c r="E144" i="15"/>
  <c r="F144" i="15"/>
  <c r="E16" i="15"/>
  <c r="F16" i="15"/>
  <c r="L16" i="15"/>
  <c r="E51" i="15"/>
  <c r="L51" i="15"/>
  <c r="F51" i="15"/>
  <c r="E30" i="15"/>
  <c r="L30" i="15"/>
  <c r="F30" i="15"/>
  <c r="G50" i="20"/>
  <c r="G62" i="20"/>
  <c r="G63" i="20"/>
  <c r="G35" i="20"/>
  <c r="G29" i="20"/>
  <c r="G54" i="20"/>
  <c r="I35" i="15"/>
  <c r="E181" i="15"/>
  <c r="J181" i="15"/>
  <c r="F181" i="15"/>
  <c r="E137" i="15"/>
  <c r="L137" i="15"/>
  <c r="K112" i="15"/>
  <c r="F112" i="15"/>
  <c r="L112" i="15"/>
  <c r="I14" i="15"/>
  <c r="K47" i="15" s="1"/>
  <c r="I101" i="15"/>
  <c r="I156" i="15"/>
  <c r="E50" i="15"/>
  <c r="F50" i="15"/>
  <c r="I78" i="15"/>
  <c r="K78" i="15" s="1"/>
  <c r="F194" i="15"/>
  <c r="E194" i="15"/>
  <c r="L194" i="15"/>
  <c r="K194" i="15"/>
  <c r="F43" i="15"/>
  <c r="L43" i="15"/>
  <c r="E43" i="15"/>
  <c r="I121" i="15"/>
  <c r="F99" i="15"/>
  <c r="L99" i="15"/>
  <c r="E99" i="15"/>
  <c r="I72" i="15"/>
  <c r="K32" i="15" s="1"/>
  <c r="E33" i="15"/>
  <c r="L33" i="15"/>
  <c r="F33" i="15"/>
  <c r="K122" i="15"/>
  <c r="F122" i="15"/>
  <c r="L122" i="15"/>
  <c r="J122" i="15"/>
  <c r="E122" i="15"/>
  <c r="E123" i="15"/>
  <c r="K123" i="15"/>
  <c r="L123" i="15"/>
  <c r="N29" i="20"/>
  <c r="F50" i="24" s="1"/>
  <c r="N33" i="20"/>
  <c r="F56" i="24" s="1"/>
  <c r="L57" i="24" s="1"/>
  <c r="N21" i="20"/>
  <c r="F33" i="24" s="1"/>
  <c r="N41" i="20"/>
  <c r="F74" i="24" s="1"/>
  <c r="K23" i="15"/>
  <c r="K77" i="15"/>
  <c r="K18" i="15"/>
  <c r="K81" i="15"/>
  <c r="K42" i="15"/>
  <c r="K99" i="15"/>
  <c r="K90" i="15"/>
  <c r="K26" i="15"/>
  <c r="F2" i="24"/>
  <c r="K39" i="15"/>
  <c r="K52" i="15"/>
  <c r="K48" i="15"/>
  <c r="K66" i="15"/>
  <c r="K62" i="15"/>
  <c r="K97" i="15"/>
  <c r="K57" i="15"/>
  <c r="K25" i="15"/>
  <c r="K20" i="15"/>
  <c r="K58" i="15"/>
  <c r="K46" i="15"/>
  <c r="K94" i="15"/>
  <c r="K28" i="15"/>
  <c r="K53" i="15"/>
  <c r="K29" i="15"/>
  <c r="K98" i="15"/>
  <c r="K61" i="15"/>
  <c r="K70" i="15"/>
  <c r="K9" i="15"/>
  <c r="K92" i="15"/>
  <c r="K15" i="15"/>
  <c r="K101" i="15"/>
  <c r="K19" i="15"/>
  <c r="K13" i="15"/>
  <c r="K40" i="15"/>
  <c r="K69" i="15"/>
  <c r="K37" i="15"/>
  <c r="K100" i="15"/>
  <c r="K71" i="15"/>
  <c r="K38" i="15"/>
  <c r="K82" i="15"/>
  <c r="K35" i="15"/>
  <c r="K36" i="15"/>
  <c r="K83" i="15"/>
  <c r="K60" i="15"/>
  <c r="K44" i="15"/>
  <c r="K88" i="15"/>
  <c r="K51" i="15"/>
  <c r="K80" i="15"/>
  <c r="K41" i="15"/>
  <c r="K73" i="15"/>
  <c r="K21" i="15"/>
  <c r="K33" i="15"/>
  <c r="K68" i="15"/>
  <c r="K49" i="15"/>
  <c r="I84" i="23"/>
  <c r="F84" i="23" s="1"/>
  <c r="G84" i="23" s="1"/>
  <c r="I19" i="23"/>
  <c r="F19" i="23" s="1"/>
  <c r="G19" i="23" s="1"/>
  <c r="I21" i="23"/>
  <c r="F21" i="23" s="1"/>
  <c r="G21" i="23" s="1"/>
  <c r="I34" i="23"/>
  <c r="I29" i="23"/>
  <c r="F29" i="23" s="1"/>
  <c r="G29" i="23" s="1"/>
  <c r="I77" i="23"/>
  <c r="F77" i="23" s="1"/>
  <c r="G77" i="23" s="1"/>
  <c r="I13" i="23"/>
  <c r="I68" i="23"/>
  <c r="F68" i="23" s="1"/>
  <c r="G68" i="23" s="1"/>
  <c r="I38" i="23"/>
  <c r="I9" i="23"/>
  <c r="F9" i="23" s="1"/>
  <c r="G9" i="23" s="1"/>
  <c r="I60" i="23"/>
  <c r="I12" i="23"/>
  <c r="F12" i="23" s="1"/>
  <c r="G12" i="23" s="1"/>
  <c r="I53" i="23"/>
  <c r="F53" i="23" s="1"/>
  <c r="G53" i="23" s="1"/>
  <c r="I16" i="23"/>
  <c r="F16" i="23" s="1"/>
  <c r="G16" i="23" s="1"/>
  <c r="I18" i="23"/>
  <c r="I22" i="23"/>
  <c r="F22" i="23" s="1"/>
  <c r="G22" i="23" s="1"/>
  <c r="I15" i="23"/>
  <c r="F15" i="23" s="1"/>
  <c r="G15" i="23" s="1"/>
  <c r="I79" i="23"/>
  <c r="F79" i="23" s="1"/>
  <c r="G79" i="23" s="1"/>
  <c r="I27" i="23"/>
  <c r="I28" i="23"/>
  <c r="F28" i="23" s="1"/>
  <c r="G28" i="23" s="1"/>
  <c r="I76" i="23"/>
  <c r="I24" i="23"/>
  <c r="I54" i="23"/>
  <c r="F54" i="23" s="1"/>
  <c r="G54" i="23" s="1"/>
  <c r="K87" i="15"/>
  <c r="K86" i="15"/>
  <c r="K16" i="15"/>
  <c r="K17" i="15"/>
  <c r="K34" i="15"/>
  <c r="K59" i="15"/>
  <c r="K75" i="15"/>
  <c r="K22" i="15"/>
  <c r="K8" i="15"/>
  <c r="K43" i="15"/>
  <c r="K56" i="15"/>
  <c r="K84" i="15"/>
  <c r="K31" i="15"/>
  <c r="G99" i="23"/>
  <c r="F71" i="23"/>
  <c r="F30" i="23"/>
  <c r="F81" i="23"/>
  <c r="F78" i="23"/>
  <c r="F88" i="23"/>
  <c r="F14" i="23"/>
  <c r="F23" i="23"/>
  <c r="F11" i="23"/>
  <c r="F47" i="23"/>
  <c r="G39" i="23"/>
  <c r="G57" i="23"/>
  <c r="G50" i="23"/>
  <c r="G11" i="21"/>
  <c r="M25" i="21"/>
  <c r="K32" i="21"/>
  <c r="G16" i="21"/>
  <c r="M31" i="21"/>
  <c r="J28" i="21"/>
  <c r="M14" i="21"/>
  <c r="M23" i="21"/>
  <c r="M26" i="21"/>
  <c r="M18" i="21"/>
  <c r="J33" i="21"/>
  <c r="J20" i="23"/>
  <c r="H40" i="14"/>
  <c r="C34" i="14"/>
  <c r="C42" i="14"/>
  <c r="H18" i="58"/>
  <c r="D46" i="14"/>
  <c r="I37" i="14"/>
  <c r="E22" i="14"/>
  <c r="G43" i="14"/>
  <c r="H31" i="14"/>
  <c r="E30" i="14"/>
  <c r="H30" i="14"/>
  <c r="F18" i="14"/>
  <c r="F47" i="14"/>
  <c r="I45" i="14"/>
  <c r="O28" i="14"/>
  <c r="F37" i="14"/>
  <c r="G36" i="14"/>
  <c r="F41" i="14"/>
  <c r="F26" i="14"/>
  <c r="I29" i="14"/>
  <c r="G22" i="14"/>
  <c r="E47" i="14"/>
  <c r="O20" i="14"/>
  <c r="H29" i="14"/>
  <c r="O42" i="14"/>
  <c r="I19" i="14"/>
  <c r="C38" i="14"/>
  <c r="G47" i="14"/>
  <c r="J83" i="23"/>
  <c r="J59" i="23"/>
  <c r="J90" i="23"/>
  <c r="J82" i="23"/>
  <c r="F60" i="14"/>
  <c r="F80" i="14"/>
  <c r="C55" i="14"/>
  <c r="G60" i="14"/>
  <c r="E82" i="14"/>
  <c r="F82" i="14"/>
  <c r="F59" i="14"/>
  <c r="I82" i="14"/>
  <c r="G81" i="14"/>
  <c r="I80" i="14"/>
  <c r="I74" i="14"/>
  <c r="K24" i="21"/>
  <c r="J11" i="21"/>
  <c r="L25" i="21"/>
  <c r="M17" i="21"/>
  <c r="J15" i="21"/>
  <c r="J20" i="21"/>
  <c r="J9" i="21"/>
  <c r="M32" i="21"/>
  <c r="J16" i="21"/>
  <c r="J14" i="21"/>
  <c r="G30" i="21"/>
  <c r="J26" i="21"/>
  <c r="D37" i="14"/>
  <c r="E43" i="14"/>
  <c r="I22" i="14"/>
  <c r="E27" i="14"/>
  <c r="D27" i="14"/>
  <c r="H45" i="14"/>
  <c r="I30" i="14"/>
  <c r="C43" i="14"/>
  <c r="O44" i="14"/>
  <c r="G34" i="14"/>
  <c r="C41" i="14"/>
  <c r="H20" i="14"/>
  <c r="E35" i="14"/>
  <c r="D44" i="14"/>
  <c r="O45" i="14"/>
  <c r="O34" i="14"/>
  <c r="C25" i="14"/>
  <c r="F39" i="14"/>
  <c r="C39" i="14"/>
  <c r="O32" i="14"/>
  <c r="H23" i="14"/>
  <c r="E21" i="14"/>
  <c r="C47" i="14"/>
  <c r="O43" i="14"/>
  <c r="C27" i="14"/>
  <c r="C20" i="14"/>
  <c r="H38" i="14"/>
  <c r="E29" i="14"/>
  <c r="J62" i="23"/>
  <c r="J89" i="23"/>
  <c r="C64" i="14"/>
  <c r="E53" i="58"/>
  <c r="I76" i="14"/>
  <c r="D61" i="14"/>
  <c r="G59" i="14"/>
  <c r="F63" i="14"/>
  <c r="D55" i="14"/>
  <c r="D63" i="14"/>
  <c r="F53" i="58"/>
  <c r="F57" i="14"/>
  <c r="G64" i="14"/>
  <c r="G12" i="16"/>
  <c r="F25" i="14"/>
  <c r="K13" i="21"/>
  <c r="M11" i="21"/>
  <c r="J17" i="21"/>
  <c r="G9" i="21"/>
  <c r="M34" i="21"/>
  <c r="M24" i="21"/>
  <c r="H32" i="21"/>
  <c r="M16" i="21"/>
  <c r="G31" i="21"/>
  <c r="L14" i="21"/>
  <c r="G27" i="21"/>
  <c r="J18" i="21"/>
  <c r="H34" i="14"/>
  <c r="F30" i="14"/>
  <c r="D42" i="14"/>
  <c r="E37" i="14"/>
  <c r="C33" i="14"/>
  <c r="D43" i="14"/>
  <c r="C40" i="14"/>
  <c r="O22" i="14"/>
  <c r="O24" i="14"/>
  <c r="I36" i="14"/>
  <c r="I32" i="14"/>
  <c r="G24" i="14"/>
  <c r="F23" i="14"/>
  <c r="D41" i="14"/>
  <c r="F44" i="14"/>
  <c r="I34" i="14"/>
  <c r="F34" i="14"/>
  <c r="H25" i="14"/>
  <c r="G41" i="14"/>
  <c r="G27" i="14"/>
  <c r="I41" i="14"/>
  <c r="G45" i="14"/>
  <c r="H36" i="14"/>
  <c r="G40" i="14"/>
  <c r="E32" i="14"/>
  <c r="O39" i="14"/>
  <c r="C21" i="14"/>
  <c r="J33" i="23"/>
  <c r="J31" i="23"/>
  <c r="D57" i="14"/>
  <c r="H80" i="14"/>
  <c r="C58" i="14"/>
  <c r="G56" i="14"/>
  <c r="C56" i="14"/>
  <c r="E64" i="14"/>
  <c r="G62" i="14"/>
  <c r="C60" i="14"/>
  <c r="C63" i="14"/>
  <c r="J93" i="23"/>
  <c r="I12" i="16"/>
  <c r="H14" i="21"/>
  <c r="K12" i="21"/>
  <c r="K17" i="21"/>
  <c r="G22" i="21"/>
  <c r="G17" i="21"/>
  <c r="G20" i="21"/>
  <c r="M9" i="21"/>
  <c r="J34" i="21"/>
  <c r="G78" i="14" s="1"/>
  <c r="L24" i="21"/>
  <c r="M19" i="21"/>
  <c r="G32" i="21"/>
  <c r="J21" i="21"/>
  <c r="J10" i="21"/>
  <c r="G14" i="21"/>
  <c r="M27" i="21"/>
  <c r="M30" i="21"/>
  <c r="J29" i="21"/>
  <c r="G12" i="21"/>
  <c r="G18" i="21"/>
  <c r="J40" i="23"/>
  <c r="I25" i="14"/>
  <c r="O37" i="14"/>
  <c r="D34" i="14"/>
  <c r="D30" i="14"/>
  <c r="C29" i="14"/>
  <c r="I44" i="14"/>
  <c r="G35" i="14"/>
  <c r="C19" i="14"/>
  <c r="H41" i="14"/>
  <c r="C44" i="14"/>
  <c r="I33" i="14"/>
  <c r="G29" i="14"/>
  <c r="H26" i="14"/>
  <c r="H39" i="14"/>
  <c r="D38" i="14"/>
  <c r="E39" i="14"/>
  <c r="C37" i="14"/>
  <c r="I20" i="14"/>
  <c r="E18" i="58"/>
  <c r="E44" i="14"/>
  <c r="E23" i="14"/>
  <c r="D21" i="14"/>
  <c r="I18" i="14"/>
  <c r="I43" i="14"/>
  <c r="D39" i="14"/>
  <c r="E25" i="14"/>
  <c r="F46" i="14"/>
  <c r="E36" i="14"/>
  <c r="H33" i="14"/>
  <c r="D18" i="58"/>
  <c r="E19" i="14"/>
  <c r="J42" i="23"/>
  <c r="J73" i="23"/>
  <c r="J32" i="23"/>
  <c r="J37" i="23"/>
  <c r="J56" i="23"/>
  <c r="G79" i="14"/>
  <c r="G61" i="14"/>
  <c r="H81" i="14"/>
  <c r="E56" i="14"/>
  <c r="D60" i="14"/>
  <c r="F56" i="14"/>
  <c r="G73" i="14"/>
  <c r="F58" i="14"/>
  <c r="E57" i="14"/>
  <c r="D59" i="14"/>
  <c r="L17" i="21"/>
  <c r="M20" i="21"/>
  <c r="M13" i="21"/>
  <c r="J24" i="21"/>
  <c r="G19" i="21"/>
  <c r="M21" i="21"/>
  <c r="M28" i="21"/>
  <c r="G10" i="21"/>
  <c r="L27" i="21"/>
  <c r="G23" i="21"/>
  <c r="G26" i="21"/>
  <c r="J12" i="21"/>
  <c r="M33" i="21"/>
  <c r="J44" i="23"/>
  <c r="H44" i="14"/>
  <c r="E41" i="14"/>
  <c r="E40" i="14"/>
  <c r="G46" i="14"/>
  <c r="O46" i="14"/>
  <c r="E45" i="14"/>
  <c r="H18" i="14"/>
  <c r="H42" i="14"/>
  <c r="C18" i="58"/>
  <c r="C31" i="14"/>
  <c r="I28" i="14"/>
  <c r="O25" i="14"/>
  <c r="O21" i="14"/>
  <c r="I18" i="58"/>
  <c r="E46" i="14"/>
  <c r="O31" i="14"/>
  <c r="E24" i="14"/>
  <c r="O40" i="14"/>
  <c r="H43" i="14"/>
  <c r="O36" i="14"/>
  <c r="F45" i="14"/>
  <c r="D26" i="14"/>
  <c r="O27" i="14"/>
  <c r="I23" i="14"/>
  <c r="G38" i="14"/>
  <c r="O26" i="14"/>
  <c r="G23" i="14"/>
  <c r="I47" i="14"/>
  <c r="G31" i="14"/>
  <c r="C28" i="14"/>
  <c r="H72" i="23"/>
  <c r="J101" i="23"/>
  <c r="J17" i="23"/>
  <c r="J96" i="23"/>
  <c r="J86" i="23"/>
  <c r="J52" i="23"/>
  <c r="J55" i="23"/>
  <c r="C53" i="58"/>
  <c r="E79" i="14"/>
  <c r="C57" i="14"/>
  <c r="H82" i="14"/>
  <c r="C59" i="14"/>
  <c r="I81" i="14"/>
  <c r="D64" i="14"/>
  <c r="F62" i="14"/>
  <c r="G82" i="14"/>
  <c r="F61" i="14"/>
  <c r="L22" i="21"/>
  <c r="M15" i="21"/>
  <c r="J13" i="21"/>
  <c r="G34" i="21"/>
  <c r="G24" i="21"/>
  <c r="M10" i="21"/>
  <c r="J27" i="21"/>
  <c r="L29" i="21"/>
  <c r="M12" i="21"/>
  <c r="H46" i="14"/>
  <c r="D25" i="14"/>
  <c r="I26" i="14"/>
  <c r="E34" i="14"/>
  <c r="E38" i="14"/>
  <c r="E42" i="14"/>
  <c r="D45" i="14"/>
  <c r="D18" i="14"/>
  <c r="O41" i="14"/>
  <c r="C26" i="14"/>
  <c r="G20" i="14"/>
  <c r="F43" i="14"/>
  <c r="H37" i="14"/>
  <c r="I46" i="14"/>
  <c r="I39" i="14"/>
  <c r="D32" i="14"/>
  <c r="H28" i="14"/>
  <c r="O47" i="14"/>
  <c r="C45" i="14"/>
  <c r="E31" i="14"/>
  <c r="I21" i="14"/>
  <c r="C46" i="14"/>
  <c r="O30" i="14"/>
  <c r="G33" i="14"/>
  <c r="D36" i="14"/>
  <c r="F42" i="14"/>
  <c r="F33" i="14"/>
  <c r="E26" i="14"/>
  <c r="I38" i="14"/>
  <c r="D22" i="14"/>
  <c r="F32" i="14"/>
  <c r="H49" i="23"/>
  <c r="J67" i="23"/>
  <c r="J70" i="23"/>
  <c r="J98" i="23"/>
  <c r="D58" i="14"/>
  <c r="I79" i="14"/>
  <c r="I73" i="14"/>
  <c r="E60" i="14"/>
  <c r="C61" i="14"/>
  <c r="G53" i="58"/>
  <c r="I78" i="14"/>
  <c r="G55" i="14"/>
  <c r="G80" i="14"/>
  <c r="F55" i="14"/>
  <c r="J22" i="21"/>
  <c r="G25" i="21"/>
  <c r="G15" i="21"/>
  <c r="L13" i="21"/>
  <c r="L32" i="21"/>
  <c r="G21" i="21"/>
  <c r="G28" i="21"/>
  <c r="L23" i="21"/>
  <c r="M29" i="21"/>
  <c r="L12" i="21"/>
  <c r="F20" i="14"/>
  <c r="G32" i="14"/>
  <c r="D40" i="14"/>
  <c r="F29" i="14"/>
  <c r="O29" i="14"/>
  <c r="E18" i="14"/>
  <c r="G37" i="14"/>
  <c r="F40" i="14"/>
  <c r="I35" i="14"/>
  <c r="F31" i="14"/>
  <c r="D24" i="14"/>
  <c r="E20" i="14"/>
  <c r="D19" i="14"/>
  <c r="C32" i="14"/>
  <c r="G42" i="14"/>
  <c r="C35" i="14"/>
  <c r="G18" i="58"/>
  <c r="C30" i="14"/>
  <c r="O38" i="14"/>
  <c r="D33" i="14"/>
  <c r="C22" i="14"/>
  <c r="D23" i="14"/>
  <c r="D29" i="14"/>
  <c r="I42" i="14"/>
  <c r="G25" i="14"/>
  <c r="I27" i="14"/>
  <c r="O19" i="14"/>
  <c r="I40" i="14"/>
  <c r="G19" i="14"/>
  <c r="E28" i="14"/>
  <c r="D35" i="14"/>
  <c r="J58" i="23"/>
  <c r="J36" i="23"/>
  <c r="G57" i="14"/>
  <c r="F79" i="14"/>
  <c r="I77" i="14"/>
  <c r="D62" i="14"/>
  <c r="E74" i="14"/>
  <c r="E63" i="14"/>
  <c r="E80" i="14"/>
  <c r="D53" i="58"/>
  <c r="C62" i="14"/>
  <c r="E55" i="14"/>
  <c r="E75" i="14"/>
  <c r="G58" i="14"/>
  <c r="L11" i="21"/>
  <c r="M22" i="21"/>
  <c r="J25" i="21"/>
  <c r="G13" i="21"/>
  <c r="J32" i="21"/>
  <c r="L16" i="21"/>
  <c r="J31" i="21"/>
  <c r="K14" i="21"/>
  <c r="J30" i="21"/>
  <c r="J23" i="21"/>
  <c r="G29" i="21"/>
  <c r="L18" i="21"/>
  <c r="G33" i="21"/>
  <c r="J95" i="23"/>
  <c r="H47" i="14"/>
  <c r="D20" i="14"/>
  <c r="C24" i="14"/>
  <c r="D47" i="14"/>
  <c r="H32" i="14"/>
  <c r="F36" i="14"/>
  <c r="I24" i="14"/>
  <c r="C36" i="14"/>
  <c r="G26" i="14"/>
  <c r="I31" i="14"/>
  <c r="F28" i="14"/>
  <c r="G44" i="14"/>
  <c r="D31" i="14"/>
  <c r="O35" i="14"/>
  <c r="F18" i="58"/>
  <c r="D28" i="14"/>
  <c r="G39" i="14"/>
  <c r="G21" i="14"/>
  <c r="E33" i="14"/>
  <c r="O18" i="14"/>
  <c r="G30" i="14"/>
  <c r="C23" i="14"/>
  <c r="G18" i="14"/>
  <c r="O23" i="14"/>
  <c r="C18" i="14"/>
  <c r="O33" i="14"/>
  <c r="F35" i="14"/>
  <c r="G28" i="14"/>
  <c r="F38" i="14"/>
  <c r="H35" i="14"/>
  <c r="J10" i="23"/>
  <c r="J91" i="23"/>
  <c r="H79" i="14"/>
  <c r="E61" i="14"/>
  <c r="E81" i="14"/>
  <c r="D56" i="14"/>
  <c r="F64" i="14"/>
  <c r="G63" i="14"/>
  <c r="E62" i="14"/>
  <c r="F81" i="14"/>
  <c r="E58" i="14"/>
  <c r="I75" i="14"/>
  <c r="E59" i="14"/>
  <c r="L15" i="21"/>
  <c r="E76" i="14"/>
  <c r="L20" i="21"/>
  <c r="L34" i="21"/>
  <c r="L10" i="21"/>
  <c r="L31" i="21"/>
  <c r="L26" i="21"/>
  <c r="L19" i="21"/>
  <c r="E78" i="14"/>
  <c r="J19" i="21"/>
  <c r="L21" i="21"/>
  <c r="L33" i="21"/>
  <c r="E73" i="14"/>
  <c r="E77" i="14"/>
  <c r="L30" i="21"/>
  <c r="L9" i="21"/>
  <c r="L28" i="21"/>
  <c r="K85" i="15" l="1"/>
  <c r="K54" i="15"/>
  <c r="K91" i="15"/>
  <c r="K64" i="15"/>
  <c r="K30" i="15"/>
  <c r="N26" i="20"/>
  <c r="F44" i="24" s="1"/>
  <c r="N19" i="20"/>
  <c r="F29" i="24" s="1"/>
  <c r="K74" i="15"/>
  <c r="K96" i="15"/>
  <c r="K95" i="15"/>
  <c r="K93" i="15"/>
  <c r="N13" i="20"/>
  <c r="F16" i="24" s="1"/>
  <c r="N25" i="20"/>
  <c r="F42" i="24" s="1"/>
  <c r="L43" i="24" s="1"/>
  <c r="K11" i="15"/>
  <c r="N8" i="20"/>
  <c r="F7" i="24" s="1"/>
  <c r="K55" i="15"/>
  <c r="N14" i="20"/>
  <c r="F18" i="24" s="1"/>
  <c r="K27" i="15"/>
  <c r="K14" i="15"/>
  <c r="K63" i="15"/>
  <c r="K72" i="15"/>
  <c r="N23" i="20"/>
  <c r="F38" i="24" s="1"/>
  <c r="N6" i="20"/>
  <c r="F4" i="24" s="1"/>
  <c r="J6" i="24" s="1"/>
  <c r="N40" i="20"/>
  <c r="F72" i="24" s="1"/>
  <c r="K12" i="15"/>
  <c r="N16" i="20"/>
  <c r="F23" i="24" s="1"/>
  <c r="N39" i="20"/>
  <c r="F70" i="24" s="1"/>
  <c r="N20" i="20"/>
  <c r="F31" i="24" s="1"/>
  <c r="L35" i="24" s="1"/>
  <c r="K65" i="15"/>
  <c r="N38" i="20"/>
  <c r="F68" i="24" s="1"/>
  <c r="N28" i="20"/>
  <c r="F48" i="24" s="1"/>
  <c r="N11" i="20"/>
  <c r="F13" i="24" s="1"/>
  <c r="J19" i="24" s="1"/>
  <c r="K76" i="15"/>
  <c r="K89" i="15"/>
  <c r="K79" i="15"/>
  <c r="N18" i="20"/>
  <c r="F27" i="24" s="1"/>
  <c r="K50" i="15"/>
  <c r="N24" i="20"/>
  <c r="F40" i="24" s="1"/>
  <c r="L41" i="24" s="1"/>
  <c r="N7" i="20"/>
  <c r="F5" i="24" s="1"/>
  <c r="L6" i="24" s="1"/>
  <c r="L7" i="21"/>
  <c r="K14" i="16" s="1"/>
  <c r="K5" i="16"/>
  <c r="K13" i="16"/>
  <c r="K9" i="16"/>
  <c r="I91" i="23"/>
  <c r="I10" i="23"/>
  <c r="J7" i="23"/>
  <c r="G48" i="14"/>
  <c r="I95" i="23"/>
  <c r="N33" i="21"/>
  <c r="J97" i="15" s="1"/>
  <c r="N29" i="21"/>
  <c r="J7" i="16"/>
  <c r="N13" i="21"/>
  <c r="J6" i="21"/>
  <c r="K6" i="16"/>
  <c r="I36" i="23"/>
  <c r="I58" i="23"/>
  <c r="F58" i="23" s="1"/>
  <c r="G19" i="58"/>
  <c r="E48" i="14"/>
  <c r="N28" i="21"/>
  <c r="J90" i="15" s="1"/>
  <c r="N21" i="21"/>
  <c r="J66" i="15" s="1"/>
  <c r="K7" i="16"/>
  <c r="N15" i="21"/>
  <c r="N25" i="21"/>
  <c r="J82" i="15" s="1"/>
  <c r="G6" i="21"/>
  <c r="I98" i="23"/>
  <c r="I70" i="23"/>
  <c r="F70" i="23" s="1"/>
  <c r="G70" i="23" s="1"/>
  <c r="I67" i="23"/>
  <c r="H7" i="23"/>
  <c r="I49" i="23"/>
  <c r="N24" i="21"/>
  <c r="J75" i="15" s="1"/>
  <c r="N34" i="21"/>
  <c r="J101" i="15" s="1"/>
  <c r="K11" i="16"/>
  <c r="I55" i="23"/>
  <c r="F55" i="23" s="1"/>
  <c r="G55" i="23" s="1"/>
  <c r="I52" i="23"/>
  <c r="F52" i="23" s="1"/>
  <c r="G52" i="23" s="1"/>
  <c r="I86" i="23"/>
  <c r="I96" i="23"/>
  <c r="I17" i="23"/>
  <c r="I101" i="23"/>
  <c r="I72" i="23"/>
  <c r="I44" i="23"/>
  <c r="F44" i="23" s="1"/>
  <c r="G44" i="23" s="1"/>
  <c r="N26" i="21"/>
  <c r="J85" i="15" s="1"/>
  <c r="J13" i="16"/>
  <c r="N23" i="21"/>
  <c r="N10" i="21"/>
  <c r="N19" i="21"/>
  <c r="J52" i="15" s="1"/>
  <c r="K8" i="16"/>
  <c r="I56" i="23"/>
  <c r="I37" i="23"/>
  <c r="F37" i="23" s="1"/>
  <c r="G37" i="23" s="1"/>
  <c r="I32" i="23"/>
  <c r="F32" i="23" s="1"/>
  <c r="G32" i="23" s="1"/>
  <c r="I73" i="23"/>
  <c r="I42" i="23"/>
  <c r="F42" i="23" s="1"/>
  <c r="G42" i="23" s="1"/>
  <c r="E19" i="58"/>
  <c r="I40" i="23"/>
  <c r="N18" i="21"/>
  <c r="J43" i="15" s="1"/>
  <c r="N12" i="21"/>
  <c r="J23" i="15" s="1"/>
  <c r="N14" i="21"/>
  <c r="J29" i="15" s="1"/>
  <c r="N32" i="21"/>
  <c r="J96" i="15" s="1"/>
  <c r="M7" i="21"/>
  <c r="N20" i="21"/>
  <c r="J9" i="16"/>
  <c r="J8" i="16"/>
  <c r="N17" i="21"/>
  <c r="J37" i="15" s="1"/>
  <c r="N22" i="21"/>
  <c r="J71" i="15" s="1"/>
  <c r="J11" i="16"/>
  <c r="I93" i="23"/>
  <c r="I31" i="23"/>
  <c r="I33" i="23"/>
  <c r="F33" i="23" s="1"/>
  <c r="N27" i="21"/>
  <c r="J87" i="15" s="1"/>
  <c r="N31" i="21"/>
  <c r="J95" i="15" s="1"/>
  <c r="I32" i="21"/>
  <c r="J5" i="16"/>
  <c r="G7" i="21"/>
  <c r="J14" i="16" s="1"/>
  <c r="N9" i="21"/>
  <c r="J8" i="15" s="1"/>
  <c r="I89" i="23"/>
  <c r="I62" i="23"/>
  <c r="F62" i="23" s="1"/>
  <c r="G62" i="23" s="1"/>
  <c r="N30" i="21"/>
  <c r="J94" i="15" s="1"/>
  <c r="J7" i="21"/>
  <c r="L6" i="21"/>
  <c r="I82" i="23"/>
  <c r="F82" i="23" s="1"/>
  <c r="I90" i="23"/>
  <c r="F90" i="23" s="1"/>
  <c r="I59" i="23"/>
  <c r="F59" i="23" s="1"/>
  <c r="G59" i="23" s="1"/>
  <c r="I83" i="23"/>
  <c r="F83" i="23" s="1"/>
  <c r="G83" i="23" s="1"/>
  <c r="H19" i="58"/>
  <c r="I20" i="23"/>
  <c r="N16" i="21"/>
  <c r="J35" i="15" s="1"/>
  <c r="M6" i="21"/>
  <c r="J6" i="16"/>
  <c r="N11" i="21"/>
  <c r="J18" i="15" s="1"/>
  <c r="K67" i="15"/>
  <c r="N37" i="20"/>
  <c r="F65" i="24" s="1"/>
  <c r="N42" i="20"/>
  <c r="F76" i="24" s="1"/>
  <c r="N30" i="20"/>
  <c r="F52" i="24" s="1"/>
  <c r="L54" i="24"/>
  <c r="N27" i="20"/>
  <c r="F46" i="24" s="1"/>
  <c r="N35" i="20"/>
  <c r="F61" i="24" s="1"/>
  <c r="O9" i="15"/>
  <c r="N10" i="20"/>
  <c r="F11" i="24" s="1"/>
  <c r="J12" i="24" s="1"/>
  <c r="N36" i="20"/>
  <c r="F63" i="24" s="1"/>
  <c r="N9" i="20"/>
  <c r="F9" i="24" s="1"/>
  <c r="L12" i="24" s="1"/>
  <c r="N34" i="20"/>
  <c r="F58" i="24" s="1"/>
  <c r="N31" i="20"/>
  <c r="F53" i="24" s="1"/>
  <c r="J54" i="24" s="1"/>
  <c r="N12" i="20"/>
  <c r="F14" i="24" s="1"/>
  <c r="L19" i="24" s="1"/>
  <c r="N17" i="20"/>
  <c r="F25" i="24" s="1"/>
  <c r="L28" i="24" s="1"/>
  <c r="J86" i="15"/>
  <c r="J88" i="15"/>
  <c r="J11" i="15"/>
  <c r="L77" i="24"/>
  <c r="J13" i="15"/>
  <c r="J16" i="15"/>
  <c r="J33" i="15"/>
  <c r="J46" i="15"/>
  <c r="J67" i="15"/>
  <c r="J49" i="15"/>
  <c r="J9" i="15"/>
  <c r="J34" i="15"/>
  <c r="J68" i="15"/>
  <c r="J54" i="15"/>
  <c r="J48" i="15"/>
  <c r="F67" i="23"/>
  <c r="J10" i="15"/>
  <c r="J40" i="15"/>
  <c r="J39" i="15"/>
  <c r="J42" i="15"/>
  <c r="F13" i="23"/>
  <c r="J79" i="15"/>
  <c r="J78" i="15"/>
  <c r="J77" i="15"/>
  <c r="J22" i="15"/>
  <c r="J24" i="15"/>
  <c r="F60" i="23"/>
  <c r="F18" i="23"/>
  <c r="J74" i="15"/>
  <c r="J72" i="15"/>
  <c r="J73" i="15"/>
  <c r="F24" i="23"/>
  <c r="F27" i="23"/>
  <c r="F34" i="23"/>
  <c r="J83" i="15"/>
  <c r="J81" i="15"/>
  <c r="F76" i="23"/>
  <c r="F38" i="23"/>
  <c r="J59" i="15"/>
  <c r="J65" i="15"/>
  <c r="I14" i="21"/>
  <c r="G58" i="23"/>
  <c r="G47" i="23"/>
  <c r="G23" i="23"/>
  <c r="G88" i="23"/>
  <c r="G33" i="23"/>
  <c r="G71" i="23"/>
  <c r="G11" i="23"/>
  <c r="G14" i="23"/>
  <c r="G30" i="23"/>
  <c r="G78" i="23"/>
  <c r="G81" i="23"/>
  <c r="I8" i="16"/>
  <c r="I10" i="16"/>
  <c r="I9" i="16"/>
  <c r="G4" i="16"/>
  <c r="I4" i="16"/>
  <c r="G6" i="16"/>
  <c r="L8" i="58"/>
  <c r="L8" i="14"/>
  <c r="K30" i="21"/>
  <c r="H74" i="14" s="1"/>
  <c r="H21" i="14"/>
  <c r="I7" i="16"/>
  <c r="K34" i="21"/>
  <c r="H78" i="14" s="1"/>
  <c r="H27" i="14"/>
  <c r="H12" i="21"/>
  <c r="H17" i="21"/>
  <c r="K16" i="21"/>
  <c r="K18" i="21"/>
  <c r="G77" i="14"/>
  <c r="H24" i="21"/>
  <c r="H25" i="21"/>
  <c r="F76" i="14"/>
  <c r="G74" i="14"/>
  <c r="K22" i="21"/>
  <c r="I5" i="16"/>
  <c r="K28" i="21"/>
  <c r="G75" i="14"/>
  <c r="K33" i="21"/>
  <c r="H24" i="14"/>
  <c r="K20" i="21"/>
  <c r="K25" i="21"/>
  <c r="H76" i="14"/>
  <c r="I11" i="16"/>
  <c r="K9" i="21"/>
  <c r="G76" i="14"/>
  <c r="K8" i="14"/>
  <c r="K8" i="58"/>
  <c r="K21" i="21"/>
  <c r="K26" i="21"/>
  <c r="H19" i="14"/>
  <c r="K29" i="21"/>
  <c r="H73" i="14" s="1"/>
  <c r="G11" i="16"/>
  <c r="H22" i="14"/>
  <c r="K31" i="21"/>
  <c r="K23" i="21"/>
  <c r="K15" i="21"/>
  <c r="K27" i="21"/>
  <c r="H21" i="21"/>
  <c r="K19" i="21"/>
  <c r="K10" i="21"/>
  <c r="I14" i="16"/>
  <c r="H13" i="21"/>
  <c r="K11" i="21"/>
  <c r="G5" i="16"/>
  <c r="I6" i="16"/>
  <c r="J8" i="14"/>
  <c r="J8" i="58"/>
  <c r="N6" i="21" l="1"/>
  <c r="K2" i="16"/>
  <c r="J2" i="16"/>
  <c r="J20" i="15"/>
  <c r="L64" i="24"/>
  <c r="J19" i="15"/>
  <c r="J80" i="15"/>
  <c r="J47" i="15"/>
  <c r="J99" i="15"/>
  <c r="J17" i="15"/>
  <c r="J84" i="15"/>
  <c r="J76" i="15"/>
  <c r="J51" i="15"/>
  <c r="J50" i="15"/>
  <c r="J69" i="15"/>
  <c r="J25" i="15"/>
  <c r="J53" i="15"/>
  <c r="J70" i="15"/>
  <c r="J21" i="15"/>
  <c r="J100" i="15"/>
  <c r="J89" i="15"/>
  <c r="N7" i="21"/>
  <c r="J98" i="15"/>
  <c r="G2" i="16"/>
  <c r="H48" i="14"/>
  <c r="K7" i="21"/>
  <c r="K6" i="21"/>
  <c r="F20" i="23"/>
  <c r="J44" i="15"/>
  <c r="J58" i="15"/>
  <c r="J62" i="15"/>
  <c r="J56" i="15"/>
  <c r="J63" i="15"/>
  <c r="J60" i="15"/>
  <c r="J64" i="15"/>
  <c r="J61" i="15"/>
  <c r="J55" i="15"/>
  <c r="J57" i="15"/>
  <c r="F17" i="23"/>
  <c r="J38" i="15"/>
  <c r="F49" i="23"/>
  <c r="J45" i="15"/>
  <c r="I7" i="23"/>
  <c r="F89" i="23"/>
  <c r="F31" i="23"/>
  <c r="F73" i="23"/>
  <c r="F96" i="23"/>
  <c r="J27" i="15"/>
  <c r="J28" i="15"/>
  <c r="J26" i="15"/>
  <c r="F93" i="23"/>
  <c r="F86" i="23"/>
  <c r="F10" i="23"/>
  <c r="F56" i="23"/>
  <c r="F98" i="23"/>
  <c r="F91" i="23"/>
  <c r="J2" i="24"/>
  <c r="J41" i="15"/>
  <c r="N4" i="20"/>
  <c r="J36" i="15"/>
  <c r="F40" i="23"/>
  <c r="F72" i="23"/>
  <c r="F36" i="23"/>
  <c r="J91" i="15"/>
  <c r="J93" i="15"/>
  <c r="J92" i="15"/>
  <c r="J12" i="15"/>
  <c r="J14" i="15"/>
  <c r="J15" i="15"/>
  <c r="F101" i="23"/>
  <c r="J31" i="15"/>
  <c r="J32" i="15"/>
  <c r="J30" i="15"/>
  <c r="F95" i="23"/>
  <c r="I25" i="21"/>
  <c r="I17" i="21"/>
  <c r="I13" i="21"/>
  <c r="I21" i="21"/>
  <c r="I24" i="21"/>
  <c r="I12" i="21"/>
  <c r="G60" i="23"/>
  <c r="G49" i="23"/>
  <c r="G82" i="23"/>
  <c r="G38" i="23"/>
  <c r="G27" i="23"/>
  <c r="G67" i="23"/>
  <c r="G13" i="23"/>
  <c r="G90" i="23"/>
  <c r="G34" i="23"/>
  <c r="G18" i="23"/>
  <c r="G76" i="23"/>
  <c r="G24" i="23"/>
  <c r="I13" i="16"/>
  <c r="H10" i="21"/>
  <c r="H31" i="21"/>
  <c r="H33" i="21"/>
  <c r="H16" i="21"/>
  <c r="H19" i="21"/>
  <c r="H29" i="21"/>
  <c r="H27" i="21"/>
  <c r="H77" i="14"/>
  <c r="H11" i="21"/>
  <c r="H15" i="21"/>
  <c r="H9" i="21"/>
  <c r="H18" i="21"/>
  <c r="H23" i="21"/>
  <c r="H20" i="21"/>
  <c r="H22" i="21"/>
  <c r="H75" i="14"/>
  <c r="H34" i="21"/>
  <c r="H28" i="21"/>
  <c r="H30" i="21"/>
  <c r="H26" i="21"/>
  <c r="I2" i="16" l="1"/>
  <c r="F7" i="23"/>
  <c r="G7" i="23" s="1"/>
  <c r="L2" i="24"/>
  <c r="I26" i="21"/>
  <c r="H6" i="21"/>
  <c r="I6" i="21" s="1"/>
  <c r="I30" i="21"/>
  <c r="I28" i="21"/>
  <c r="I34" i="21"/>
  <c r="I22" i="21"/>
  <c r="I20" i="21"/>
  <c r="I23" i="21"/>
  <c r="I18" i="21"/>
  <c r="I9" i="21"/>
  <c r="H7" i="21"/>
  <c r="I7" i="21" s="1"/>
  <c r="I15" i="21"/>
  <c r="I11" i="21"/>
  <c r="I27" i="21"/>
  <c r="I29" i="21"/>
  <c r="I19" i="21"/>
  <c r="I16" i="21"/>
  <c r="I33" i="21"/>
  <c r="I31" i="21"/>
  <c r="I10" i="21"/>
  <c r="G86" i="23"/>
  <c r="G95" i="23"/>
  <c r="G91" i="23"/>
  <c r="G101" i="23"/>
  <c r="G72" i="23"/>
  <c r="G56" i="23"/>
  <c r="G73" i="23"/>
  <c r="G40" i="23"/>
  <c r="G10" i="23"/>
  <c r="G31" i="23"/>
  <c r="G20" i="23"/>
  <c r="G89" i="23"/>
  <c r="G93" i="23"/>
  <c r="G36" i="23"/>
  <c r="G98" i="23"/>
  <c r="G96" i="23"/>
  <c r="G17" i="23"/>
  <c r="F22" i="14"/>
  <c r="F78" i="14"/>
  <c r="F21" i="14"/>
  <c r="F73" i="14"/>
  <c r="F27" i="14"/>
  <c r="F19" i="14"/>
  <c r="F77" i="14"/>
  <c r="F74" i="14"/>
  <c r="F75" i="14"/>
  <c r="F24" i="14"/>
</calcChain>
</file>

<file path=xl/sharedStrings.xml><?xml version="1.0" encoding="utf-8"?>
<sst xmlns="http://schemas.openxmlformats.org/spreadsheetml/2006/main" count="3397" uniqueCount="324">
  <si>
    <t>Gun</t>
    <phoneticPr fontId="3"/>
  </si>
  <si>
    <t>Mag</t>
    <phoneticPr fontId="3"/>
  </si>
  <si>
    <t>Mon</t>
    <phoneticPr fontId="3"/>
  </si>
  <si>
    <t>Vac</t>
    <phoneticPr fontId="3"/>
  </si>
  <si>
    <t>Control</t>
    <phoneticPr fontId="3"/>
  </si>
  <si>
    <t>Safety</t>
    <phoneticPr fontId="3"/>
  </si>
  <si>
    <t>Util</t>
    <phoneticPr fontId="3"/>
  </si>
  <si>
    <t>BL</t>
    <phoneticPr fontId="3"/>
  </si>
  <si>
    <t>Transmission</t>
    <phoneticPr fontId="3"/>
  </si>
  <si>
    <t>Operation</t>
    <phoneticPr fontId="3"/>
  </si>
  <si>
    <t>ユニット</t>
    <phoneticPr fontId="3"/>
  </si>
  <si>
    <t>期間</t>
    <rPh sb="0" eb="2">
      <t>キカン</t>
    </rPh>
    <phoneticPr fontId="3"/>
  </si>
  <si>
    <t>運転種別</t>
    <rPh sb="0" eb="2">
      <t>ウンテン</t>
    </rPh>
    <rPh sb="2" eb="4">
      <t>シュベツ</t>
    </rPh>
    <phoneticPr fontId="3"/>
  </si>
  <si>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3"/>
  </si>
  <si>
    <t>単位：時間</t>
    <rPh sb="0" eb="2">
      <t>タンイ</t>
    </rPh>
    <rPh sb="3" eb="5">
      <t>ジカン</t>
    </rPh>
    <phoneticPr fontId="3"/>
  </si>
  <si>
    <t>施設調整運転</t>
    <rPh sb="0" eb="2">
      <t>シセツ</t>
    </rPh>
    <rPh sb="2" eb="4">
      <t>チョウセイ</t>
    </rPh>
    <rPh sb="4" eb="6">
      <t>ウンテン</t>
    </rPh>
    <phoneticPr fontId="3"/>
  </si>
  <si>
    <t>利用調整運転</t>
    <rPh sb="0" eb="2">
      <t>リヨウ</t>
    </rPh>
    <rPh sb="2" eb="4">
      <t>チョウセイ</t>
    </rPh>
    <rPh sb="4" eb="6">
      <t>ウンテン</t>
    </rPh>
    <phoneticPr fontId="3"/>
  </si>
  <si>
    <t>利用運転</t>
    <rPh sb="0" eb="2">
      <t>リヨウ</t>
    </rPh>
    <rPh sb="2" eb="4">
      <t>ウンテン</t>
    </rPh>
    <phoneticPr fontId="3"/>
  </si>
  <si>
    <t>備考</t>
    <rPh sb="0" eb="2">
      <t>ビコウ</t>
    </rPh>
    <phoneticPr fontId="3"/>
  </si>
  <si>
    <t>(b)運転時間　シフト毎</t>
    <rPh sb="3" eb="5">
      <t>ウンテン</t>
    </rPh>
    <rPh sb="5" eb="7">
      <t>ジカン</t>
    </rPh>
    <rPh sb="11" eb="12">
      <t>ゴト</t>
    </rPh>
    <phoneticPr fontId="3"/>
  </si>
  <si>
    <t>シフト時間</t>
    <rPh sb="3" eb="5">
      <t>ジカン</t>
    </rPh>
    <phoneticPr fontId="3"/>
  </si>
  <si>
    <t>(c)運転条件</t>
    <rPh sb="3" eb="5">
      <t>ウンテン</t>
    </rPh>
    <rPh sb="5" eb="7">
      <t>ジョウケン</t>
    </rPh>
    <phoneticPr fontId="3"/>
  </si>
  <si>
    <t>繰り返し</t>
    <rPh sb="0" eb="1">
      <t>ク</t>
    </rPh>
    <rPh sb="2" eb="3">
      <t>カエ</t>
    </rPh>
    <phoneticPr fontId="3"/>
  </si>
  <si>
    <t>波長</t>
    <rPh sb="0" eb="2">
      <t>ハチョウ</t>
    </rPh>
    <phoneticPr fontId="3"/>
  </si>
  <si>
    <t>平均レーザー強度</t>
    <rPh sb="0" eb="2">
      <t>ヘイキン</t>
    </rPh>
    <rPh sb="6" eb="8">
      <t>キョウド</t>
    </rPh>
    <phoneticPr fontId="3"/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</si>
  <si>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3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</si>
  <si>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3"/>
  </si>
  <si>
    <t>ダウンタイム</t>
    <phoneticPr fontId="3"/>
  </si>
  <si>
    <t>利用率</t>
    <phoneticPr fontId="3"/>
  </si>
  <si>
    <t>ビーム調整時間</t>
    <phoneticPr fontId="3"/>
  </si>
  <si>
    <t>エネルギー</t>
    <phoneticPr fontId="3"/>
  </si>
  <si>
    <t>(GeV)</t>
    <phoneticPr fontId="3"/>
  </si>
  <si>
    <t>(pps)</t>
    <phoneticPr fontId="3"/>
  </si>
  <si>
    <t>(μJ)</t>
    <phoneticPr fontId="3"/>
  </si>
  <si>
    <t>エネルギー</t>
  </si>
  <si>
    <t>Fault間隔</t>
    <rPh sb="5" eb="7">
      <t>カンカク</t>
    </rPh>
    <phoneticPr fontId="3"/>
  </si>
  <si>
    <t>（時間）</t>
    <rPh sb="1" eb="3">
      <t>ジカン</t>
    </rPh>
    <phoneticPr fontId="3"/>
  </si>
  <si>
    <t>ユーザー</t>
    <phoneticPr fontId="1"/>
  </si>
  <si>
    <t>備考</t>
    <rPh sb="0" eb="2">
      <t>ビコウ</t>
    </rPh>
    <phoneticPr fontId="1"/>
  </si>
  <si>
    <t>運転時間
(計画)</t>
    <rPh sb="0" eb="2">
      <t>ウンテン</t>
    </rPh>
    <rPh sb="2" eb="4">
      <t>ジカン</t>
    </rPh>
    <phoneticPr fontId="3"/>
  </si>
  <si>
    <t>運転種別</t>
    <rPh sb="0" eb="2">
      <t>ウンテン</t>
    </rPh>
    <rPh sb="2" eb="4">
      <t>シュベツ</t>
    </rPh>
    <phoneticPr fontId="1"/>
  </si>
  <si>
    <t>開始時間</t>
    <rPh sb="0" eb="2">
      <t>カイシ</t>
    </rPh>
    <rPh sb="2" eb="4">
      <t>ジカン</t>
    </rPh>
    <phoneticPr fontId="3"/>
  </si>
  <si>
    <t>終了時間</t>
    <rPh sb="0" eb="2">
      <t>シュウリョウ</t>
    </rPh>
    <rPh sb="2" eb="4">
      <t>ジカン</t>
    </rPh>
    <phoneticPr fontId="3"/>
  </si>
  <si>
    <t>合計時間</t>
    <rPh sb="0" eb="2">
      <t>ゴウケイ</t>
    </rPh>
    <rPh sb="2" eb="4">
      <t>ジカン</t>
    </rPh>
    <phoneticPr fontId="3"/>
  </si>
  <si>
    <t>調整(入室)理由</t>
    <rPh sb="0" eb="2">
      <t>チョウセイ</t>
    </rPh>
    <rPh sb="3" eb="5">
      <t>ニュウシツ</t>
    </rPh>
    <rPh sb="6" eb="8">
      <t>リユウ</t>
    </rPh>
    <phoneticPr fontId="1"/>
  </si>
  <si>
    <t>Fault理由</t>
    <rPh sb="5" eb="7">
      <t>リユウ</t>
    </rPh>
    <phoneticPr fontId="1"/>
  </si>
  <si>
    <t>RF</t>
    <phoneticPr fontId="1"/>
  </si>
  <si>
    <t>Fault</t>
    <phoneticPr fontId="1"/>
  </si>
  <si>
    <t>調整時間</t>
    <rPh sb="0" eb="2">
      <t>チョウセイ</t>
    </rPh>
    <rPh sb="2" eb="4">
      <t>ジカン</t>
    </rPh>
    <phoneticPr fontId="1"/>
  </si>
  <si>
    <t>ユーザー運転</t>
    <rPh sb="4" eb="6">
      <t>ウンテン</t>
    </rPh>
    <phoneticPr fontId="1"/>
  </si>
  <si>
    <t>BL調整</t>
    <rPh sb="2" eb="4">
      <t>チョウセイ</t>
    </rPh>
    <phoneticPr fontId="1"/>
  </si>
  <si>
    <t>◎SACLA 集計記録</t>
    <rPh sb="7" eb="9">
      <t>シュウケイ</t>
    </rPh>
    <rPh sb="9" eb="11">
      <t>キロク</t>
    </rPh>
    <phoneticPr fontId="3"/>
  </si>
  <si>
    <t>※運転シフト： 10:00～22:00,  22:00～10:00  (1シフト12時間）</t>
    <rPh sb="1" eb="3">
      <t>ウンテン</t>
    </rPh>
    <rPh sb="42" eb="44">
      <t>ジカン</t>
    </rPh>
    <phoneticPr fontId="3"/>
  </si>
  <si>
    <t>調整合計</t>
    <rPh sb="0" eb="2">
      <t>チョウセイ</t>
    </rPh>
    <rPh sb="2" eb="4">
      <t>ゴウケイ</t>
    </rPh>
    <phoneticPr fontId="1"/>
  </si>
  <si>
    <t>Other</t>
    <phoneticPr fontId="1"/>
  </si>
  <si>
    <t>ユニット</t>
  </si>
  <si>
    <t>ユニット</t>
    <phoneticPr fontId="1"/>
  </si>
  <si>
    <t>運転種別(集計)</t>
    <rPh sb="0" eb="2">
      <t>ウンテン</t>
    </rPh>
    <rPh sb="2" eb="4">
      <t>シュベツ</t>
    </rPh>
    <rPh sb="5" eb="7">
      <t>シュウケイ</t>
    </rPh>
    <phoneticPr fontId="1"/>
  </si>
  <si>
    <t>運転種別(予定)</t>
    <rPh sb="0" eb="2">
      <t>ウンテン</t>
    </rPh>
    <rPh sb="2" eb="4">
      <t>シュベツ</t>
    </rPh>
    <rPh sb="5" eb="7">
      <t>ヨテイ</t>
    </rPh>
    <phoneticPr fontId="1"/>
  </si>
  <si>
    <t>利用調整</t>
    <phoneticPr fontId="1"/>
  </si>
  <si>
    <t>ユーザー</t>
    <phoneticPr fontId="1"/>
  </si>
  <si>
    <t>施設調整</t>
    <phoneticPr fontId="1"/>
  </si>
  <si>
    <t>停止期間</t>
    <phoneticPr fontId="1"/>
  </si>
  <si>
    <t>ユニット合計</t>
    <phoneticPr fontId="1"/>
  </si>
  <si>
    <t>ユニット</t>
    <phoneticPr fontId="1"/>
  </si>
  <si>
    <t>GUN HV OFF時間</t>
    <rPh sb="10" eb="12">
      <t>ジカン</t>
    </rPh>
    <phoneticPr fontId="1"/>
  </si>
  <si>
    <t>GUN HV ON時間</t>
    <rPh sb="9" eb="11">
      <t>ジカン</t>
    </rPh>
    <phoneticPr fontId="1"/>
  </si>
  <si>
    <t>合計時間</t>
    <rPh sb="0" eb="2">
      <t>ゴウケイ</t>
    </rPh>
    <rPh sb="2" eb="4">
      <t>ジカン</t>
    </rPh>
    <phoneticPr fontId="1"/>
  </si>
  <si>
    <t>入室理由</t>
    <rPh sb="0" eb="2">
      <t>ニュウシツ</t>
    </rPh>
    <rPh sb="2" eb="4">
      <t>リユウ</t>
    </rPh>
    <phoneticPr fontId="1"/>
  </si>
  <si>
    <t>ユーザー</t>
    <phoneticPr fontId="1"/>
  </si>
  <si>
    <t>ユニット</t>
    <phoneticPr fontId="1"/>
  </si>
  <si>
    <t>◎Fault原因</t>
    <rPh sb="6" eb="8">
      <t>ゲンイン</t>
    </rPh>
    <phoneticPr fontId="1"/>
  </si>
  <si>
    <t>◎運転種別(集計用)</t>
    <rPh sb="1" eb="3">
      <t>ウンテン</t>
    </rPh>
    <rPh sb="3" eb="5">
      <t>シュベツ</t>
    </rPh>
    <rPh sb="6" eb="9">
      <t>シュウケイヨウ</t>
    </rPh>
    <phoneticPr fontId="1"/>
  </si>
  <si>
    <t>◎運転種別(予定用)</t>
    <rPh sb="1" eb="3">
      <t>ウンテン</t>
    </rPh>
    <rPh sb="3" eb="5">
      <t>シュベツ</t>
    </rPh>
    <rPh sb="6" eb="8">
      <t>ヨテイ</t>
    </rPh>
    <rPh sb="8" eb="9">
      <t>ヨウ</t>
    </rPh>
    <phoneticPr fontId="1"/>
  </si>
  <si>
    <t>◎ユーザー利用時間記録</t>
    <phoneticPr fontId="1"/>
  </si>
  <si>
    <t>シフト時間</t>
    <rPh sb="3" eb="5">
      <t>ジカン</t>
    </rPh>
    <phoneticPr fontId="1"/>
  </si>
  <si>
    <t>シフト開始時間</t>
    <rPh sb="3" eb="5">
      <t>カイシ</t>
    </rPh>
    <rPh sb="5" eb="7">
      <t>ジカン</t>
    </rPh>
    <phoneticPr fontId="3"/>
  </si>
  <si>
    <t>シフト終了時間</t>
    <rPh sb="3" eb="5">
      <t>シュウリョウ</t>
    </rPh>
    <rPh sb="5" eb="7">
      <t>ジカン</t>
    </rPh>
    <phoneticPr fontId="1"/>
  </si>
  <si>
    <t>利用時間</t>
    <phoneticPr fontId="1"/>
  </si>
  <si>
    <t>◎調整理由</t>
    <rPh sb="1" eb="3">
      <t>チョウセイ</t>
    </rPh>
    <rPh sb="3" eb="5">
      <t>リユウ</t>
    </rPh>
    <phoneticPr fontId="1"/>
  </si>
  <si>
    <t>理由</t>
    <rPh sb="0" eb="2">
      <t>リユウ</t>
    </rPh>
    <phoneticPr fontId="1"/>
  </si>
  <si>
    <t>波長変更</t>
    <rPh sb="0" eb="2">
      <t>ハチョウ</t>
    </rPh>
    <rPh sb="2" eb="4">
      <t>ヘンコウ</t>
    </rPh>
    <phoneticPr fontId="1"/>
  </si>
  <si>
    <t>RFユニットの入替え</t>
  </si>
  <si>
    <t>レーザー強度の調整</t>
  </si>
  <si>
    <t>繰返し</t>
    <rPh sb="0" eb="2">
      <t>クリカエ</t>
    </rPh>
    <phoneticPr fontId="1"/>
  </si>
  <si>
    <t>使用BL</t>
    <rPh sb="0" eb="2">
      <t>シヨウ</t>
    </rPh>
    <phoneticPr fontId="3"/>
  </si>
  <si>
    <t>平均Fault間隔</t>
    <rPh sb="0" eb="2">
      <t>ヘイキン</t>
    </rPh>
    <rPh sb="7" eb="9">
      <t>カンカク</t>
    </rPh>
    <phoneticPr fontId="1"/>
  </si>
  <si>
    <t>エネルギー
(GeV)</t>
    <phoneticPr fontId="3"/>
  </si>
  <si>
    <t>Fault
間隔</t>
    <rPh sb="6" eb="8">
      <t>カンカク</t>
    </rPh>
    <phoneticPr fontId="3"/>
  </si>
  <si>
    <t>Fault
合計</t>
    <rPh sb="6" eb="8">
      <t>ゴウケイ</t>
    </rPh>
    <phoneticPr fontId="1"/>
  </si>
  <si>
    <t>Fault
時間</t>
    <rPh sb="6" eb="8">
      <t>ジカン</t>
    </rPh>
    <phoneticPr fontId="3"/>
  </si>
  <si>
    <t>調整
時間</t>
    <phoneticPr fontId="3"/>
  </si>
  <si>
    <t>ユーザー</t>
    <phoneticPr fontId="1"/>
  </si>
  <si>
    <t>ダウン
タイム</t>
    <phoneticPr fontId="1"/>
  </si>
  <si>
    <t>トラブル・調整理由など</t>
    <rPh sb="5" eb="7">
      <t>チョウセイ</t>
    </rPh>
    <rPh sb="7" eb="9">
      <t>リユウ</t>
    </rPh>
    <phoneticPr fontId="1"/>
  </si>
  <si>
    <t>利用率</t>
    <phoneticPr fontId="3"/>
  </si>
  <si>
    <t>ダウン
タイム</t>
    <phoneticPr fontId="3"/>
  </si>
  <si>
    <t>◎利用時間(ユーザー毎)</t>
    <rPh sb="1" eb="3">
      <t>リヨウ</t>
    </rPh>
    <rPh sb="3" eb="5">
      <t>ジカン</t>
    </rPh>
    <rPh sb="10" eb="11">
      <t>マイ</t>
    </rPh>
    <phoneticPr fontId="1"/>
  </si>
  <si>
    <t>◎利用時間(シフト毎)</t>
    <rPh sb="1" eb="3">
      <t>リヨウ</t>
    </rPh>
    <rPh sb="3" eb="5">
      <t>ジカン</t>
    </rPh>
    <rPh sb="9" eb="10">
      <t>ゴト</t>
    </rPh>
    <phoneticPr fontId="1"/>
  </si>
  <si>
    <t>開始予定時間</t>
    <rPh sb="0" eb="2">
      <t>カイシ</t>
    </rPh>
    <rPh sb="2" eb="4">
      <t>ヨテイ</t>
    </rPh>
    <rPh sb="4" eb="6">
      <t>ジカン</t>
    </rPh>
    <phoneticPr fontId="1"/>
  </si>
  <si>
    <t>終了予定時間</t>
    <rPh sb="0" eb="2">
      <t>シュウリョウ</t>
    </rPh>
    <rPh sb="2" eb="4">
      <t>ヨテイ</t>
    </rPh>
    <rPh sb="4" eb="6">
      <t>ジカン</t>
    </rPh>
    <phoneticPr fontId="1"/>
  </si>
  <si>
    <t>合計
時間</t>
    <rPh sb="0" eb="2">
      <t>ゴウケイ</t>
    </rPh>
    <rPh sb="3" eb="5">
      <t>ジカン</t>
    </rPh>
    <phoneticPr fontId="1"/>
  </si>
  <si>
    <t>利用
時間</t>
    <phoneticPr fontId="1"/>
  </si>
  <si>
    <t>ユニット開始時間</t>
    <phoneticPr fontId="1"/>
  </si>
  <si>
    <t>ユニット終了時間</t>
    <phoneticPr fontId="1"/>
  </si>
  <si>
    <t>total</t>
  </si>
  <si>
    <t>◎GUN HV OFF時間記録</t>
    <rPh sb="11" eb="13">
      <t>ジカン</t>
    </rPh>
    <phoneticPr fontId="1"/>
  </si>
  <si>
    <t>※分単位で表示(秒が含まれていると赤色表示になります)</t>
    <rPh sb="1" eb="2">
      <t>フン</t>
    </rPh>
    <rPh sb="2" eb="4">
      <t>タンイ</t>
    </rPh>
    <rPh sb="5" eb="7">
      <t>ヒョウジ</t>
    </rPh>
    <rPh sb="8" eb="9">
      <t>ビョウ</t>
    </rPh>
    <rPh sb="10" eb="11">
      <t>フク</t>
    </rPh>
    <rPh sb="17" eb="19">
      <t>アカイロ</t>
    </rPh>
    <rPh sb="19" eb="21">
      <t>ヒョウジ</t>
    </rPh>
    <phoneticPr fontId="1"/>
  </si>
  <si>
    <t>ユーザー</t>
  </si>
  <si>
    <t>運転時間
(計画)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</si>
  <si>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</si>
  <si>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集計記録</t>
    <rPh sb="0" eb="2">
      <t>シュウケイ</t>
    </rPh>
    <rPh sb="2" eb="4">
      <t>キロク</t>
    </rPh>
    <phoneticPr fontId="1"/>
  </si>
  <si>
    <t>シート</t>
    <phoneticPr fontId="1"/>
  </si>
  <si>
    <t>検索値</t>
    <rPh sb="0" eb="2">
      <t>ケンサク</t>
    </rPh>
    <rPh sb="2" eb="3">
      <t>チ</t>
    </rPh>
    <phoneticPr fontId="1"/>
  </si>
  <si>
    <t>配列</t>
    <rPh sb="0" eb="2">
      <t>ハイレツ</t>
    </rPh>
    <phoneticPr fontId="1"/>
  </si>
  <si>
    <t>利用時間(シフト)</t>
    <rPh sb="0" eb="2">
      <t>リヨウ</t>
    </rPh>
    <rPh sb="2" eb="4">
      <t>ジカン</t>
    </rPh>
    <phoneticPr fontId="1"/>
  </si>
  <si>
    <t>ユーザー開始</t>
    <rPh sb="4" eb="6">
      <t>カイシ</t>
    </rPh>
    <phoneticPr fontId="1"/>
  </si>
  <si>
    <t>ユーザー終了</t>
    <rPh sb="4" eb="6">
      <t>シュウリョウ</t>
    </rPh>
    <phoneticPr fontId="1"/>
  </si>
  <si>
    <t>ユーザー運転開始・終了</t>
    <rPh sb="4" eb="6">
      <t>ウンテン</t>
    </rPh>
    <rPh sb="6" eb="8">
      <t>カイシ</t>
    </rPh>
    <rPh sb="9" eb="11">
      <t>シュウリョウ</t>
    </rPh>
    <phoneticPr fontId="1"/>
  </si>
  <si>
    <t>Fault
合計</t>
    <rPh sb="6" eb="8">
      <t>ゴウケイ</t>
    </rPh>
    <phoneticPr fontId="3"/>
  </si>
  <si>
    <t>調整</t>
    <rPh sb="0" eb="2">
      <t>チョウセイ</t>
    </rPh>
    <phoneticPr fontId="1"/>
  </si>
  <si>
    <t>#</t>
    <phoneticPr fontId="1"/>
  </si>
  <si>
    <t>◎施設調整・利用調整時間記録</t>
    <rPh sb="1" eb="3">
      <t>シセツ</t>
    </rPh>
    <rPh sb="3" eb="5">
      <t>チョウセイ</t>
    </rPh>
    <rPh sb="8" eb="10">
      <t>チョウセイ</t>
    </rPh>
    <phoneticPr fontId="1"/>
  </si>
  <si>
    <t>対象ユニット</t>
    <rPh sb="0" eb="2">
      <t>タイショウ</t>
    </rPh>
    <phoneticPr fontId="1"/>
  </si>
  <si>
    <t>運転予定</t>
    <rPh sb="0" eb="2">
      <t>ウンテン</t>
    </rPh>
    <rPh sb="2" eb="4">
      <t>ヨテイ</t>
    </rPh>
    <phoneticPr fontId="1"/>
  </si>
  <si>
    <t>運転条件</t>
    <rPh sb="0" eb="2">
      <t>ウンテン</t>
    </rPh>
    <rPh sb="2" eb="4">
      <t>ジョウケン</t>
    </rPh>
    <phoneticPr fontId="1"/>
  </si>
  <si>
    <t>繰り返し
(pps)</t>
    <rPh sb="0" eb="1">
      <t>ク</t>
    </rPh>
    <rPh sb="2" eb="3">
      <t>カエ</t>
    </rPh>
    <phoneticPr fontId="3"/>
  </si>
  <si>
    <t>平均強度
(μJ)</t>
    <rPh sb="0" eb="2">
      <t>ヘイキン</t>
    </rPh>
    <rPh sb="2" eb="4">
      <t>キョウド</t>
    </rPh>
    <phoneticPr fontId="3"/>
  </si>
  <si>
    <t>利用時間(期間)</t>
    <rPh sb="0" eb="2">
      <t>リヨウ</t>
    </rPh>
    <rPh sb="2" eb="4">
      <t>ジカン</t>
    </rPh>
    <rPh sb="5" eb="7">
      <t>キカン</t>
    </rPh>
    <phoneticPr fontId="1"/>
  </si>
  <si>
    <t>対象ユニット</t>
    <rPh sb="0" eb="2">
      <t>タイショウ</t>
    </rPh>
    <phoneticPr fontId="1"/>
  </si>
  <si>
    <t>ユーザー</t>
    <phoneticPr fontId="1"/>
  </si>
  <si>
    <t>○計算用配列(編集不可)</t>
    <rPh sb="1" eb="4">
      <t>ケイサンヨウ</t>
    </rPh>
    <rPh sb="4" eb="6">
      <t>ハイレツ</t>
    </rPh>
    <rPh sb="7" eb="9">
      <t>ヘンシュウ</t>
    </rPh>
    <rPh sb="9" eb="11">
      <t>フカ</t>
    </rPh>
    <phoneticPr fontId="1"/>
  </si>
  <si>
    <t>※数式を使用しているので挿入する場合はコピーして挿入して下さい</t>
    <rPh sb="1" eb="3">
      <t>スウシキ</t>
    </rPh>
    <rPh sb="4" eb="6">
      <t>シヨウ</t>
    </rPh>
    <rPh sb="12" eb="14">
      <t>ソウニュウ</t>
    </rPh>
    <rPh sb="16" eb="18">
      <t>バアイ</t>
    </rPh>
    <rPh sb="24" eb="26">
      <t>ソウニュウ</t>
    </rPh>
    <rPh sb="28" eb="29">
      <t>クダ</t>
    </rPh>
    <phoneticPr fontId="1"/>
  </si>
  <si>
    <t>GUN HV 
OFF 時間</t>
    <rPh sb="12" eb="14">
      <t>ジカン</t>
    </rPh>
    <phoneticPr fontId="1"/>
  </si>
  <si>
    <t>※20秒以下で赤色</t>
    <rPh sb="3" eb="6">
      <t>ビョウイカ</t>
    </rPh>
    <rPh sb="7" eb="9">
      <t>アカイロ</t>
    </rPh>
    <phoneticPr fontId="1"/>
  </si>
  <si>
    <t>運転種別</t>
    <rPh sb="0" eb="2">
      <t>ウンテン</t>
    </rPh>
    <rPh sb="2" eb="4">
      <t>シュベツ</t>
    </rPh>
    <phoneticPr fontId="1"/>
  </si>
  <si>
    <t>※合計時間は分単位で表示(秒が含まれていると赤色表示になります)</t>
  </si>
  <si>
    <t>光軸の確認</t>
    <rPh sb="3" eb="5">
      <t>カクニン</t>
    </rPh>
    <phoneticPr fontId="1"/>
  </si>
  <si>
    <t>確認用</t>
    <rPh sb="0" eb="3">
      <t>カクニンヨウ</t>
    </rPh>
    <phoneticPr fontId="1"/>
  </si>
  <si>
    <t>ユーザー運転
時間(計画)</t>
    <rPh sb="4" eb="6">
      <t>ウンテン</t>
    </rPh>
    <rPh sb="7" eb="9">
      <t>ジカン</t>
    </rPh>
    <rPh sb="10" eb="12">
      <t>ケイカク</t>
    </rPh>
    <phoneticPr fontId="1"/>
  </si>
  <si>
    <t>シフト#</t>
    <phoneticPr fontId="1"/>
  </si>
  <si>
    <t>総運転時間
(計画）</t>
    <phoneticPr fontId="1"/>
  </si>
  <si>
    <t>未定</t>
    <rPh sb="0" eb="2">
      <t>ミテイ</t>
    </rPh>
    <phoneticPr fontId="1"/>
  </si>
  <si>
    <t>合計</t>
    <rPh sb="0" eb="2">
      <t>ゴウケイ</t>
    </rPh>
    <phoneticPr fontId="1"/>
  </si>
  <si>
    <t>Gun放電に伴うエミッション電流の低下</t>
    <phoneticPr fontId="1"/>
  </si>
  <si>
    <t>Fault回数</t>
    <rPh sb="5" eb="7">
      <t>カイスウ</t>
    </rPh>
    <phoneticPr fontId="1"/>
  </si>
  <si>
    <t>Fault回数
(合計)</t>
    <rPh sb="5" eb="7">
      <t>カイスウ</t>
    </rPh>
    <rPh sb="9" eb="11">
      <t>ゴウケイ</t>
    </rPh>
    <phoneticPr fontId="1"/>
  </si>
  <si>
    <t>シフト毎_開始行</t>
  </si>
  <si>
    <t>シフト毎_終了行</t>
  </si>
  <si>
    <t>条件_終了行</t>
  </si>
  <si>
    <t>シフトユーザー_開始行</t>
  </si>
  <si>
    <t>シフトユーザー_終了行</t>
  </si>
  <si>
    <t>ユーザー_total</t>
  </si>
  <si>
    <t>RFユニットのPLCリブート</t>
  </si>
  <si>
    <t>BL</t>
    <phoneticPr fontId="3"/>
  </si>
  <si>
    <t>計画</t>
    <rPh sb="0" eb="2">
      <t>ケイカク</t>
    </rPh>
    <phoneticPr fontId="3"/>
  </si>
  <si>
    <t>ダウンタイム</t>
    <phoneticPr fontId="3"/>
  </si>
  <si>
    <t>ダウンタイム</t>
  </si>
  <si>
    <t>BL2</t>
    <phoneticPr fontId="3"/>
  </si>
  <si>
    <t>BL3</t>
    <phoneticPr fontId="3"/>
  </si>
  <si>
    <t>期間</t>
    <rPh sb="0" eb="2">
      <t>キカン</t>
    </rPh>
    <phoneticPr fontId="1"/>
  </si>
  <si>
    <t>施設調整
ダウンタイム</t>
    <rPh sb="0" eb="2">
      <t>シセツ</t>
    </rPh>
    <rPh sb="2" eb="4">
      <t>チョウセイ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</si>
  <si>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</si>
  <si>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</si>
  <si>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ダウンタイム</t>
    <rPh sb="0" eb="2">
      <t>リヨウ</t>
    </rPh>
    <rPh sb="2" eb="4">
      <t>チョウセイ</t>
    </rPh>
    <phoneticPr fontId="1"/>
  </si>
  <si>
    <t>利用運転
計画</t>
    <rPh sb="0" eb="2">
      <t>リヨウ</t>
    </rPh>
    <rPh sb="2" eb="4">
      <t>ウンテン</t>
    </rPh>
    <rPh sb="5" eb="7">
      <t>ケイカク</t>
    </rPh>
    <phoneticPr fontId="1"/>
  </si>
  <si>
    <t>総運転時間
計画</t>
    <phoneticPr fontId="1"/>
  </si>
  <si>
    <t>利用運転
ダウンタイム</t>
    <rPh sb="0" eb="2">
      <t>リヨウ</t>
    </rPh>
    <rPh sb="2" eb="4">
      <t>ウンテン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</si>
  <si>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</si>
  <si>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運転時間
計画</t>
    <rPh sb="0" eb="2">
      <t>ウンテン</t>
    </rPh>
    <rPh sb="2" eb="4">
      <t>ジカン</t>
    </rPh>
    <rPh sb="5" eb="7">
      <t>ケイカク</t>
    </rPh>
    <phoneticPr fontId="1"/>
  </si>
  <si>
    <t>施設調整
GUN HV停止</t>
    <rPh sb="0" eb="2">
      <t>シセツ</t>
    </rPh>
    <rPh sb="2" eb="4">
      <t>チョウセイ</t>
    </rPh>
    <rPh sb="11" eb="13">
      <t>テイシ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</si>
  <si>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</si>
  <si>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GUN HV停止</t>
    <rPh sb="0" eb="2">
      <t>リヨウ</t>
    </rPh>
    <rPh sb="2" eb="4">
      <t>チョウセイ</t>
    </rPh>
    <rPh sb="11" eb="13">
      <t>テイシ</t>
    </rPh>
    <phoneticPr fontId="1"/>
  </si>
  <si>
    <t>ユーザー計画</t>
    <rPh sb="4" eb="6">
      <t>ケイカク</t>
    </rPh>
    <phoneticPr fontId="1"/>
  </si>
  <si>
    <t>選択中のユニット</t>
    <rPh sb="0" eb="2">
      <t>センタク</t>
    </rPh>
    <rPh sb="2" eb="3">
      <t>チュウ</t>
    </rPh>
    <phoneticPr fontId="1"/>
  </si>
  <si>
    <t>開始期間</t>
    <rPh sb="0" eb="2">
      <t>カイシ</t>
    </rPh>
    <rPh sb="2" eb="4">
      <t>キカン</t>
    </rPh>
    <phoneticPr fontId="1"/>
  </si>
  <si>
    <t>ユニット</t>
    <phoneticPr fontId="1"/>
  </si>
  <si>
    <t>備考</t>
    <rPh sb="0" eb="2">
      <t>ビコウ</t>
    </rPh>
    <phoneticPr fontId="1"/>
  </si>
  <si>
    <t>条件_開始行</t>
    <rPh sb="3" eb="5">
      <t>カイシ</t>
    </rPh>
    <phoneticPr fontId="1"/>
  </si>
  <si>
    <t>(b-1)BL2</t>
    <phoneticPr fontId="1"/>
  </si>
  <si>
    <t>(c-1)BL2</t>
    <phoneticPr fontId="1"/>
  </si>
  <si>
    <t>ユニット</t>
    <phoneticPr fontId="1"/>
  </si>
  <si>
    <t>ユーザーグループ</t>
    <phoneticPr fontId="3"/>
  </si>
  <si>
    <t>GeV</t>
    <phoneticPr fontId="3"/>
  </si>
  <si>
    <t>Hz</t>
    <phoneticPr fontId="1"/>
  </si>
  <si>
    <t>Fault回数合計</t>
    <rPh sb="7" eb="9">
      <t>ゴウケイ</t>
    </rPh>
    <phoneticPr fontId="1"/>
  </si>
  <si>
    <t>SACLA Fault間隔(BL2)</t>
    <phoneticPr fontId="1"/>
  </si>
  <si>
    <t>(keV)</t>
    <phoneticPr fontId="3"/>
  </si>
  <si>
    <t>keV</t>
    <phoneticPr fontId="3"/>
  </si>
  <si>
    <t/>
  </si>
  <si>
    <t>波長
(keV)</t>
    <rPh sb="0" eb="2">
      <t>ハチョウ</t>
    </rPh>
    <phoneticPr fontId="3"/>
  </si>
  <si>
    <t>貼り付け用</t>
    <rPh sb="0" eb="1">
      <t>ハ</t>
    </rPh>
    <rPh sb="2" eb="3">
      <t>ツ</t>
    </rPh>
    <rPh sb="4" eb="5">
      <t>ヨウ</t>
    </rPh>
    <phoneticPr fontId="1"/>
  </si>
  <si>
    <t>波長
(KeV)</t>
    <rPh sb="0" eb="2">
      <t>ハチョウ</t>
    </rPh>
    <phoneticPr fontId="3"/>
  </si>
  <si>
    <t>犬伏G</t>
  </si>
  <si>
    <t>start</t>
    <phoneticPr fontId="3"/>
  </si>
  <si>
    <t>end</t>
    <phoneticPr fontId="1"/>
  </si>
  <si>
    <t>SACLA Fault間隔(BL2)</t>
  </si>
  <si>
    <t>シフト時間</t>
  </si>
  <si>
    <t>波長</t>
  </si>
  <si>
    <t>Fault間隔</t>
  </si>
  <si>
    <t>Fault回数</t>
  </si>
  <si>
    <t>ユーザーグループ</t>
  </si>
  <si>
    <t>GeV</t>
  </si>
  <si>
    <t>keV</t>
  </si>
  <si>
    <t>（時間）</t>
  </si>
  <si>
    <t>SACLA 2024年度運転時間</t>
    <rPh sb="10" eb="12">
      <t>ネンド</t>
    </rPh>
    <rPh sb="12" eb="14">
      <t>ウンテン</t>
    </rPh>
    <rPh sb="14" eb="16">
      <t>ジカン</t>
    </rPh>
    <phoneticPr fontId="3"/>
  </si>
  <si>
    <t>施設調整</t>
  </si>
  <si>
    <t>利用調整</t>
  </si>
  <si>
    <t>ユニット合計</t>
  </si>
  <si>
    <t>加速器調整</t>
  </si>
  <si>
    <t>24-1</t>
  </si>
  <si>
    <t>24-1</t>
    <phoneticPr fontId="1"/>
  </si>
  <si>
    <t>一時立ち入り</t>
  </si>
  <si>
    <t>SACLA運転状況（期間毎）</t>
  </si>
  <si>
    <t>(a)運転時間　期間毎</t>
  </si>
  <si>
    <t>単位：時間</t>
  </si>
  <si>
    <t>期間</t>
  </si>
  <si>
    <t>総運転時間(計画）</t>
  </si>
  <si>
    <t>施設調整運転</t>
  </si>
  <si>
    <t>BL</t>
  </si>
  <si>
    <t>利用調整運転</t>
  </si>
  <si>
    <t>利用運転</t>
  </si>
  <si>
    <t>備考</t>
  </si>
  <si>
    <t>計画</t>
  </si>
  <si>
    <t>2024/04/01 10:00 - 2024/04/15 10:00</t>
  </si>
  <si>
    <t>BL2</t>
  </si>
  <si>
    <t>BL3</t>
  </si>
  <si>
    <t>(b)運転時間　シフト毎</t>
  </si>
  <si>
    <t>(b-1)BL2</t>
  </si>
  <si>
    <t>利用率</t>
  </si>
  <si>
    <t>ビーム調整時間</t>
  </si>
  <si>
    <t>(c)運転条件</t>
  </si>
  <si>
    <t>(c-1)BL2</t>
  </si>
  <si>
    <t>繰り返し</t>
  </si>
  <si>
    <t>平均レーザー強度</t>
  </si>
  <si>
    <t>(GeV)</t>
  </si>
  <si>
    <t>(pps)</t>
  </si>
  <si>
    <t>(keV)</t>
  </si>
  <si>
    <t>(μJ)</t>
  </si>
  <si>
    <t>24-2</t>
  </si>
  <si>
    <t>24-2</t>
    <phoneticPr fontId="1"/>
  </si>
  <si>
    <t>HohmanG</t>
  </si>
  <si>
    <t>姜G</t>
  </si>
  <si>
    <t>BL立ち下げ 10keV/30Hz /加速器調整</t>
  </si>
  <si>
    <t>RF</t>
  </si>
  <si>
    <t>調整時間</t>
  </si>
  <si>
    <t>SR入射</t>
  </si>
  <si>
    <t>ユーザー運転</t>
  </si>
  <si>
    <t>2024/04/15 10:00 - 2024/04/25 10:00</t>
  </si>
  <si>
    <t>24-3</t>
  </si>
  <si>
    <t>24-3</t>
    <phoneticPr fontId="1"/>
  </si>
  <si>
    <t>Gun放電に伴うエミッション電流の低下</t>
  </si>
  <si>
    <t>稲見G</t>
  </si>
  <si>
    <t>村川G</t>
  </si>
  <si>
    <t>6.4,7.2</t>
  </si>
  <si>
    <t>6.4,7.2</t>
    <phoneticPr fontId="1"/>
  </si>
  <si>
    <t>2024/05/07 10:00 - 2024/05/20 10:00</t>
  </si>
  <si>
    <t>24-4</t>
  </si>
  <si>
    <t>24-4</t>
    <phoneticPr fontId="1"/>
  </si>
  <si>
    <t>岩田G</t>
  </si>
  <si>
    <t>水野G</t>
  </si>
  <si>
    <t>藤原G</t>
  </si>
  <si>
    <t>川上G</t>
  </si>
  <si>
    <t>10,13.8</t>
  </si>
  <si>
    <t>10,13.8</t>
    <phoneticPr fontId="1"/>
  </si>
  <si>
    <t>2024/05/20 10:00 - 2024/06/03 10:00</t>
  </si>
  <si>
    <t>重森G</t>
  </si>
  <si>
    <t>山元G</t>
  </si>
  <si>
    <t>24-5</t>
    <phoneticPr fontId="1"/>
  </si>
  <si>
    <t>24-5</t>
  </si>
  <si>
    <t>波長変更</t>
  </si>
  <si>
    <t>重森G_2</t>
    <phoneticPr fontId="1"/>
  </si>
  <si>
    <t>8.05-9.17</t>
    <phoneticPr fontId="1"/>
  </si>
  <si>
    <t>7.12,11</t>
    <phoneticPr fontId="1"/>
  </si>
  <si>
    <t>2024/06/03 10:00 - 2024/06/17 10:00</t>
  </si>
  <si>
    <t>8.05-9.17</t>
  </si>
  <si>
    <t>7.12,11</t>
  </si>
  <si>
    <t>重森G</t>
    <phoneticPr fontId="1"/>
  </si>
  <si>
    <t>24-6</t>
    <phoneticPr fontId="1"/>
  </si>
  <si>
    <t>西野G</t>
  </si>
  <si>
    <t>島田G</t>
  </si>
  <si>
    <t>SR入射 , 波長変更</t>
  </si>
  <si>
    <t>24-6</t>
  </si>
  <si>
    <t>7.4,9.5</t>
  </si>
  <si>
    <t>7.4,9.5</t>
    <phoneticPr fontId="1"/>
  </si>
  <si>
    <t>重森G_2</t>
  </si>
  <si>
    <t>島田G</t>
    <phoneticPr fontId="1"/>
  </si>
  <si>
    <t>西野G</t>
    <phoneticPr fontId="1"/>
  </si>
  <si>
    <t>2024/06/17 10:00 - 2024/07/01 10:00</t>
  </si>
  <si>
    <t>24-7</t>
  </si>
  <si>
    <t>24-7</t>
    <phoneticPr fontId="1"/>
  </si>
  <si>
    <t>2024/07/01 10:00 - 2024/07/15 10:00</t>
  </si>
  <si>
    <t>(b-2)BL3</t>
  </si>
  <si>
    <t>KubicekG</t>
  </si>
  <si>
    <t>Feng WangG</t>
  </si>
  <si>
    <t>Gun放電に伴う機器保護インターロックGV全閉鎖</t>
  </si>
  <si>
    <t>KarrasG</t>
  </si>
  <si>
    <t>鈴木剛G</t>
  </si>
  <si>
    <t>(c-2)BL3</t>
  </si>
  <si>
    <t>30-&gt;60</t>
  </si>
  <si>
    <t>ユーザー運転無し</t>
    <rPh sb="4" eb="6">
      <t>ウンテン</t>
    </rPh>
    <rPh sb="6" eb="7">
      <t>ナ</t>
    </rPh>
    <phoneticPr fontId="1"/>
  </si>
  <si>
    <t>ユーザー運転無し</t>
    <rPh sb="4" eb="7">
      <t>ウンテンナ</t>
    </rPh>
    <phoneticPr fontId="1"/>
  </si>
  <si>
    <t>FCBT</t>
  </si>
  <si>
    <t>永野G</t>
  </si>
  <si>
    <t>WestenhoffG</t>
  </si>
  <si>
    <t>溝端G</t>
  </si>
  <si>
    <t>BL立ち下げ/加速器調整 10, 4.05 keV/30Hz</t>
  </si>
  <si>
    <t>24-8</t>
  </si>
  <si>
    <t>24-8</t>
    <phoneticPr fontId="1"/>
  </si>
  <si>
    <t>SR安全インタロック、電子銃停止</t>
  </si>
  <si>
    <t>SR入射 , SR安全インタロック、電子銃停止</t>
  </si>
  <si>
    <t>2024/07/15 10:00 - 2024/08/01 10:00</t>
  </si>
  <si>
    <t>24-9</t>
  </si>
  <si>
    <t>24-9</t>
    <phoneticPr fontId="1"/>
  </si>
  <si>
    <t>2024/09/17 10:00 - 2024/09/30 10:00</t>
  </si>
  <si>
    <t>上野G</t>
  </si>
  <si>
    <t>試験利用_南後G</t>
  </si>
  <si>
    <t>24-10</t>
  </si>
  <si>
    <t>試験利用_田上G</t>
  </si>
  <si>
    <t>24-11</t>
  </si>
  <si>
    <t>24-11</t>
    <phoneticPr fontId="1"/>
  </si>
  <si>
    <t>ユーザー終了</t>
  </si>
  <si>
    <t>ユーザー開始</t>
  </si>
  <si>
    <t>2024/10/14 10:00 - 2024/10/28 10:00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</si>
</sst>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[h]:mm"/>
    <numFmt numFmtId="177" formatCode="0.0%"/>
    <numFmt numFmtId="178" formatCode="0_);[Red]\(0\)"/>
    <numFmt numFmtId="179" formatCode="yyyy/mm/dd\ hh:mm;@"/>
    <numFmt numFmtId="180" formatCode="yyyy/mm/dd\ hh:mm"/>
    <numFmt numFmtId="181" formatCode="0.0_);[Red]\(0.0\)"/>
    <numFmt numFmtId="182" formatCode="h:mm;@"/>
    <numFmt numFmtId="183" formatCode="h:mm:ss;@"/>
    <numFmt numFmtId="184" formatCode="0.00_);[Red]\(0.00\)"/>
    <numFmt numFmtId="185" formatCode="0.00000000000_);[Red]\(0.00000000000\)"/>
    <numFmt numFmtId="186" formatCode="0.0_ "/>
    <numFmt numFmtId="187" formatCode="0.00_ "/>
    <numFmt numFmtId="188" formatCode="0_ "/>
    <numFmt numFmtId="189" formatCode="@&quot;まで表示&quot;"/>
    <numFmt numFmtId="190" formatCode="0.000000000000"/>
  </numFmts>
  <fonts count="4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u/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8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6"/>
      <name val="ＭＳ Ｐ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gray0625">
        <bgColor theme="0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45" applyNumberFormat="0" applyFill="0" applyAlignment="0" applyProtection="0">
      <alignment vertical="center"/>
    </xf>
    <xf numFmtId="0" fontId="29" fillId="0" borderId="46" applyNumberFormat="0" applyFill="0" applyAlignment="0" applyProtection="0">
      <alignment vertical="center"/>
    </xf>
    <xf numFmtId="0" fontId="30" fillId="0" borderId="4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2" borderId="48" applyNumberFormat="0" applyAlignment="0" applyProtection="0">
      <alignment vertical="center"/>
    </xf>
    <xf numFmtId="0" fontId="35" fillId="13" borderId="49" applyNumberFormat="0" applyAlignment="0" applyProtection="0">
      <alignment vertical="center"/>
    </xf>
    <xf numFmtId="0" fontId="36" fillId="13" borderId="48" applyNumberFormat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14" borderId="51" applyNumberFormat="0" applyAlignment="0" applyProtection="0">
      <alignment vertical="center"/>
    </xf>
    <xf numFmtId="0" fontId="26" fillId="15" borderId="52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</cellStyleXfs>
  <cellXfs count="378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8" fontId="7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6" fontId="0" fillId="0" borderId="0" xfId="0" applyNumberFormat="1">
      <alignment vertical="center"/>
    </xf>
    <xf numFmtId="178" fontId="0" fillId="4" borderId="0" xfId="0" applyNumberFormat="1" applyFill="1">
      <alignment vertical="center"/>
    </xf>
    <xf numFmtId="46" fontId="0" fillId="4" borderId="0" xfId="0" applyNumberFormat="1" applyFill="1">
      <alignment vertical="center"/>
    </xf>
    <xf numFmtId="0" fontId="11" fillId="0" borderId="0" xfId="0" applyFont="1">
      <alignment vertical="center"/>
    </xf>
    <xf numFmtId="180" fontId="2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80" fontId="8" fillId="0" borderId="0" xfId="0" applyNumberFormat="1" applyFont="1">
      <alignment vertical="center"/>
    </xf>
    <xf numFmtId="18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80" fontId="0" fillId="0" borderId="1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80" fontId="0" fillId="0" borderId="28" xfId="0" applyNumberFormat="1" applyBorder="1" applyAlignment="1">
      <alignment horizontal="center" vertical="center"/>
    </xf>
    <xf numFmtId="180" fontId="0" fillId="0" borderId="28" xfId="0" applyNumberFormat="1" applyBorder="1">
      <alignment vertical="center"/>
    </xf>
    <xf numFmtId="0" fontId="0" fillId="0" borderId="28" xfId="0" applyBorder="1">
      <alignment vertical="center"/>
    </xf>
    <xf numFmtId="182" fontId="11" fillId="0" borderId="0" xfId="0" applyNumberFormat="1" applyFont="1">
      <alignment vertical="center"/>
    </xf>
    <xf numFmtId="0" fontId="9" fillId="0" borderId="26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1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85" fontId="0" fillId="0" borderId="0" xfId="0" applyNumberFormat="1">
      <alignment vertical="center"/>
    </xf>
    <xf numFmtId="176" fontId="0" fillId="3" borderId="4" xfId="0" applyNumberForma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7" fontId="0" fillId="0" borderId="9" xfId="0" applyNumberFormat="1" applyBorder="1" applyAlignment="1">
      <alignment horizontal="center" vertical="center"/>
    </xf>
    <xf numFmtId="179" fontId="14" fillId="0" borderId="0" xfId="0" applyNumberFormat="1" applyFont="1">
      <alignment vertical="center"/>
    </xf>
    <xf numFmtId="186" fontId="0" fillId="0" borderId="2" xfId="0" applyNumberForma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6" fontId="0" fillId="0" borderId="9" xfId="0" applyNumberFormat="1" applyBorder="1" applyAlignment="1">
      <alignment horizontal="center" vertical="center"/>
    </xf>
    <xf numFmtId="188" fontId="0" fillId="0" borderId="9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80" fontId="0" fillId="5" borderId="0" xfId="0" applyNumberFormat="1" applyFill="1">
      <alignment vertical="center"/>
    </xf>
    <xf numFmtId="49" fontId="15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0" fontId="23" fillId="6" borderId="0" xfId="0" applyFont="1" applyFill="1">
      <alignment vertical="center"/>
    </xf>
    <xf numFmtId="46" fontId="0" fillId="6" borderId="0" xfId="0" applyNumberFormat="1" applyFill="1">
      <alignment vertical="center"/>
    </xf>
    <xf numFmtId="49" fontId="15" fillId="4" borderId="0" xfId="0" applyNumberFormat="1" applyFont="1" applyFill="1" applyAlignment="1">
      <alignment horizontal="center" vertical="center"/>
    </xf>
    <xf numFmtId="46" fontId="21" fillId="4" borderId="0" xfId="0" applyNumberFormat="1" applyFont="1" applyFill="1">
      <alignment vertical="center"/>
    </xf>
    <xf numFmtId="49" fontId="16" fillId="4" borderId="0" xfId="0" applyNumberFormat="1" applyFont="1" applyFill="1" applyAlignment="1">
      <alignment horizontal="center" vertical="center"/>
    </xf>
    <xf numFmtId="46" fontId="5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1" fillId="4" borderId="0" xfId="0" applyFont="1" applyFill="1" applyAlignment="1">
      <alignment vertical="center" wrapText="1"/>
    </xf>
    <xf numFmtId="0" fontId="24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/>
    </xf>
    <xf numFmtId="183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7" borderId="4" xfId="0" applyFill="1" applyBorder="1" applyAlignment="1">
      <alignment horizontal="center" vertical="center"/>
    </xf>
    <xf numFmtId="22" fontId="0" fillId="7" borderId="2" xfId="0" applyNumberFormat="1" applyFill="1" applyBorder="1">
      <alignment vertical="center"/>
    </xf>
    <xf numFmtId="0" fontId="0" fillId="7" borderId="4" xfId="0" applyFill="1" applyBorder="1">
      <alignment vertical="center"/>
    </xf>
    <xf numFmtId="184" fontId="0" fillId="7" borderId="2" xfId="0" applyNumberFormat="1" applyFill="1" applyBorder="1" applyAlignment="1">
      <alignment horizontal="center" vertical="center"/>
    </xf>
    <xf numFmtId="176" fontId="0" fillId="0" borderId="31" xfId="0" applyNumberFormat="1" applyBorder="1">
      <alignment vertical="center"/>
    </xf>
    <xf numFmtId="49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34" xfId="0" applyFont="1" applyBorder="1" applyAlignment="1">
      <alignment horizontal="center" vertical="center" wrapText="1"/>
    </xf>
    <xf numFmtId="176" fontId="0" fillId="0" borderId="4" xfId="0" applyNumberFormat="1" applyBorder="1" applyAlignment="1">
      <alignment horizontal="center" vertical="center"/>
    </xf>
    <xf numFmtId="49" fontId="20" fillId="0" borderId="0" xfId="0" applyNumberFormat="1" applyFont="1">
      <alignment vertical="center"/>
    </xf>
    <xf numFmtId="0" fontId="0" fillId="6" borderId="0" xfId="0" applyFill="1">
      <alignment vertical="center"/>
    </xf>
    <xf numFmtId="183" fontId="0" fillId="6" borderId="0" xfId="0" applyNumberFormat="1" applyFill="1">
      <alignment vertical="center"/>
    </xf>
    <xf numFmtId="180" fontId="0" fillId="6" borderId="2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180" fontId="0" fillId="0" borderId="25" xfId="0" applyNumberFormat="1" applyBorder="1" applyAlignment="1">
      <alignment horizontal="center"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6" borderId="0" xfId="0" applyNumberFormat="1" applyFill="1">
      <alignment vertical="center"/>
    </xf>
    <xf numFmtId="180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82" fontId="0" fillId="6" borderId="0" xfId="0" applyNumberFormat="1" applyFill="1">
      <alignment vertical="center"/>
    </xf>
    <xf numFmtId="177" fontId="0" fillId="6" borderId="2" xfId="0" applyNumberFormat="1" applyFill="1" applyBorder="1">
      <alignment vertical="center"/>
    </xf>
    <xf numFmtId="182" fontId="0" fillId="6" borderId="2" xfId="0" applyNumberFormat="1" applyFill="1" applyBorder="1">
      <alignment vertical="center"/>
    </xf>
    <xf numFmtId="177" fontId="0" fillId="6" borderId="4" xfId="0" applyNumberFormat="1" applyFill="1" applyBorder="1">
      <alignment vertical="center"/>
    </xf>
    <xf numFmtId="176" fontId="9" fillId="6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29" xfId="0" applyBorder="1">
      <alignment vertical="center"/>
    </xf>
    <xf numFmtId="180" fontId="0" fillId="0" borderId="29" xfId="0" applyNumberFormat="1" applyBorder="1">
      <alignment vertical="center"/>
    </xf>
    <xf numFmtId="0" fontId="9" fillId="0" borderId="25" xfId="0" applyFont="1" applyBorder="1" applyAlignment="1">
      <alignment horizontal="center" vertical="center"/>
    </xf>
    <xf numFmtId="176" fontId="9" fillId="0" borderId="25" xfId="0" applyNumberFormat="1" applyFont="1" applyBorder="1" applyAlignment="1">
      <alignment horizontal="center" vertical="center" wrapText="1"/>
    </xf>
    <xf numFmtId="177" fontId="9" fillId="0" borderId="25" xfId="0" applyNumberFormat="1" applyFont="1" applyBorder="1" applyAlignment="1">
      <alignment horizontal="center" vertical="center"/>
    </xf>
    <xf numFmtId="182" fontId="9" fillId="0" borderId="25" xfId="0" applyNumberFormat="1" applyFont="1" applyBorder="1" applyAlignment="1">
      <alignment horizontal="center" vertical="center" wrapText="1"/>
    </xf>
    <xf numFmtId="182" fontId="9" fillId="0" borderId="24" xfId="0" applyNumberFormat="1" applyFont="1" applyBorder="1" applyAlignment="1">
      <alignment horizontal="center" vertical="center" wrapText="1"/>
    </xf>
    <xf numFmtId="182" fontId="9" fillId="0" borderId="30" xfId="0" applyNumberFormat="1" applyFont="1" applyBorder="1" applyAlignment="1">
      <alignment horizontal="center" vertical="center" wrapText="1"/>
    </xf>
    <xf numFmtId="180" fontId="0" fillId="6" borderId="4" xfId="0" applyNumberFormat="1" applyFill="1" applyBorder="1">
      <alignment vertical="center"/>
    </xf>
    <xf numFmtId="183" fontId="0" fillId="6" borderId="2" xfId="0" applyNumberFormat="1" applyFill="1" applyBorder="1">
      <alignment vertical="center"/>
    </xf>
    <xf numFmtId="182" fontId="0" fillId="6" borderId="4" xfId="0" applyNumberFormat="1" applyFill="1" applyBorder="1">
      <alignment vertical="center"/>
    </xf>
    <xf numFmtId="0" fontId="0" fillId="6" borderId="23" xfId="0" applyFill="1" applyBorder="1">
      <alignment vertical="center"/>
    </xf>
    <xf numFmtId="49" fontId="19" fillId="0" borderId="24" xfId="0" applyNumberFormat="1" applyFont="1" applyBorder="1">
      <alignment vertical="center"/>
    </xf>
    <xf numFmtId="182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4" fillId="6" borderId="20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0" fillId="6" borderId="2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22" fillId="6" borderId="0" xfId="0" applyFont="1" applyFill="1">
      <alignment vertical="center"/>
    </xf>
    <xf numFmtId="0" fontId="0" fillId="6" borderId="4" xfId="0" applyFill="1" applyBorder="1" applyAlignment="1">
      <alignment horizontal="left" vertical="center"/>
    </xf>
    <xf numFmtId="180" fontId="0" fillId="0" borderId="19" xfId="0" applyNumberForma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6" fontId="0" fillId="6" borderId="4" xfId="0" applyNumberFormat="1" applyFill="1" applyBorder="1">
      <alignment vertical="center"/>
    </xf>
    <xf numFmtId="0" fontId="0" fillId="0" borderId="37" xfId="0" applyBorder="1" applyAlignment="1">
      <alignment horizontal="center" vertical="center"/>
    </xf>
    <xf numFmtId="180" fontId="0" fillId="0" borderId="38" xfId="0" applyNumberFormat="1" applyBorder="1">
      <alignment vertical="center"/>
    </xf>
    <xf numFmtId="0" fontId="0" fillId="0" borderId="38" xfId="0" applyBorder="1">
      <alignment vertical="center"/>
    </xf>
    <xf numFmtId="182" fontId="0" fillId="0" borderId="38" xfId="0" applyNumberFormat="1" applyBorder="1">
      <alignment vertical="center"/>
    </xf>
    <xf numFmtId="0" fontId="0" fillId="0" borderId="39" xfId="0" applyBorder="1">
      <alignment vertical="center"/>
    </xf>
    <xf numFmtId="0" fontId="0" fillId="6" borderId="40" xfId="0" applyFill="1" applyBorder="1" applyAlignment="1">
      <alignment horizontal="center" vertical="center"/>
    </xf>
    <xf numFmtId="0" fontId="0" fillId="6" borderId="27" xfId="0" applyFill="1" applyBorder="1">
      <alignment vertical="center"/>
    </xf>
    <xf numFmtId="0" fontId="0" fillId="6" borderId="43" xfId="0" applyFill="1" applyBorder="1">
      <alignment vertical="center"/>
    </xf>
    <xf numFmtId="49" fontId="0" fillId="0" borderId="37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 wrapText="1"/>
    </xf>
    <xf numFmtId="178" fontId="9" fillId="0" borderId="39" xfId="0" applyNumberFormat="1" applyFont="1" applyBorder="1" applyAlignment="1">
      <alignment horizontal="center" vertical="center"/>
    </xf>
    <xf numFmtId="180" fontId="0" fillId="6" borderId="42" xfId="0" applyNumberFormat="1" applyFill="1" applyBorder="1">
      <alignment vertical="center"/>
    </xf>
    <xf numFmtId="176" fontId="0" fillId="6" borderId="42" xfId="0" applyNumberFormat="1" applyFill="1" applyBorder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0" fillId="7" borderId="2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0" fillId="8" borderId="2" xfId="0" applyNumberFormat="1" applyFill="1" applyBorder="1">
      <alignment vertical="center"/>
    </xf>
    <xf numFmtId="176" fontId="0" fillId="8" borderId="23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0" fontId="12" fillId="0" borderId="7" xfId="0" applyFont="1" applyBorder="1" applyAlignment="1">
      <alignment vertical="center" wrapText="1"/>
    </xf>
    <xf numFmtId="0" fontId="0" fillId="6" borderId="16" xfId="0" applyFill="1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34" xfId="0" applyNumberFormat="1" applyBorder="1">
      <alignment vertical="center"/>
    </xf>
    <xf numFmtId="176" fontId="0" fillId="0" borderId="7" xfId="0" applyNumberFormat="1" applyBorder="1">
      <alignment vertical="center"/>
    </xf>
    <xf numFmtId="178" fontId="0" fillId="0" borderId="34" xfId="0" applyNumberFormat="1" applyBorder="1">
      <alignment vertical="center"/>
    </xf>
    <xf numFmtId="177" fontId="0" fillId="0" borderId="7" xfId="0" applyNumberFormat="1" applyBorder="1">
      <alignment vertical="center"/>
    </xf>
    <xf numFmtId="176" fontId="0" fillId="6" borderId="10" xfId="0" applyNumberFormat="1" applyFill="1" applyBorder="1">
      <alignment vertical="center"/>
    </xf>
    <xf numFmtId="176" fontId="0" fillId="8" borderId="15" xfId="0" applyNumberFormat="1" applyFill="1" applyBorder="1">
      <alignment vertical="center"/>
    </xf>
    <xf numFmtId="0" fontId="0" fillId="0" borderId="44" xfId="0" applyBorder="1">
      <alignment vertical="center"/>
    </xf>
    <xf numFmtId="176" fontId="25" fillId="0" borderId="43" xfId="0" applyNumberFormat="1" applyFont="1" applyBorder="1" applyAlignment="1">
      <alignment horizontal="center" vertical="center" wrapText="1"/>
    </xf>
    <xf numFmtId="180" fontId="0" fillId="7" borderId="4" xfId="0" applyNumberFormat="1" applyFill="1" applyBorder="1">
      <alignment vertical="center"/>
    </xf>
    <xf numFmtId="184" fontId="0" fillId="0" borderId="3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81" fontId="0" fillId="0" borderId="32" xfId="0" applyNumberFormat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 applyAlignment="1">
      <alignment horizontal="left" vertical="center"/>
    </xf>
    <xf numFmtId="0" fontId="0" fillId="7" borderId="4" xfId="0" applyFill="1" applyBorder="1" applyAlignment="1">
      <alignment horizontal="left" vertical="center"/>
    </xf>
    <xf numFmtId="189" fontId="13" fillId="0" borderId="0" xfId="0" applyNumberFormat="1" applyFont="1" applyAlignment="1">
      <alignment horizontal="right" vertical="center"/>
    </xf>
    <xf numFmtId="190" fontId="0" fillId="0" borderId="0" xfId="0" applyNumberFormat="1">
      <alignment vertical="center"/>
    </xf>
    <xf numFmtId="0" fontId="4" fillId="4" borderId="22" xfId="0" applyFont="1" applyFill="1" applyBorder="1">
      <alignment vertical="center"/>
    </xf>
    <xf numFmtId="180" fontId="4" fillId="4" borderId="54" xfId="0" applyNumberFormat="1" applyFont="1" applyFill="1" applyBorder="1" applyAlignment="1">
      <alignment horizontal="center" vertical="center"/>
    </xf>
    <xf numFmtId="180" fontId="4" fillId="4" borderId="32" xfId="0" applyNumberFormat="1" applyFont="1" applyFill="1" applyBorder="1" applyAlignment="1">
      <alignment horizontal="center" vertical="center"/>
    </xf>
    <xf numFmtId="46" fontId="4" fillId="4" borderId="33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6" fontId="4" fillId="4" borderId="31" xfId="0" applyNumberFormat="1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80" fontId="0" fillId="5" borderId="4" xfId="0" applyNumberFormat="1" applyFill="1" applyBorder="1">
      <alignment vertical="center"/>
    </xf>
    <xf numFmtId="0" fontId="15" fillId="5" borderId="4" xfId="0" applyFont="1" applyFill="1" applyBorder="1" applyAlignment="1">
      <alignment horizontal="center" vertical="center"/>
    </xf>
    <xf numFmtId="0" fontId="0" fillId="5" borderId="4" xfId="0" applyFill="1" applyBorder="1">
      <alignment vertical="center"/>
    </xf>
    <xf numFmtId="0" fontId="23" fillId="6" borderId="4" xfId="0" applyFont="1" applyFill="1" applyBorder="1">
      <alignment vertical="center"/>
    </xf>
    <xf numFmtId="0" fontId="42" fillId="0" borderId="0" xfId="0" applyFont="1">
      <alignment vertical="center"/>
    </xf>
    <xf numFmtId="176" fontId="16" fillId="0" borderId="0" xfId="0" applyNumberFormat="1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0" fillId="0" borderId="55" xfId="0" applyBorder="1">
      <alignment vertical="center"/>
    </xf>
    <xf numFmtId="176" fontId="44" fillId="0" borderId="2" xfId="0" applyNumberFormat="1" applyFont="1" applyBorder="1" applyAlignment="1">
      <alignment horizontal="center" vertical="center" wrapText="1"/>
    </xf>
    <xf numFmtId="176" fontId="12" fillId="0" borderId="2" xfId="0" applyNumberFormat="1" applyFont="1" applyBorder="1" applyAlignment="1">
      <alignment horizontal="center" vertical="center" wrapText="1"/>
    </xf>
    <xf numFmtId="176" fontId="17" fillId="0" borderId="2" xfId="0" applyNumberFormat="1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176" fontId="43" fillId="0" borderId="16" xfId="0" applyNumberFormat="1" applyFont="1" applyBorder="1" applyAlignment="1">
      <alignment horizontal="center" vertical="center" wrapText="1"/>
    </xf>
    <xf numFmtId="176" fontId="44" fillId="0" borderId="56" xfId="0" applyNumberFormat="1" applyFont="1" applyBorder="1" applyAlignment="1">
      <alignment horizontal="center" vertical="center" wrapText="1"/>
    </xf>
    <xf numFmtId="0" fontId="44" fillId="0" borderId="56" xfId="0" applyFont="1" applyBorder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176" fontId="44" fillId="0" borderId="56" xfId="0" applyNumberFormat="1" applyFont="1" applyBorder="1" applyAlignment="1">
      <alignment horizontal="center" vertical="center"/>
    </xf>
    <xf numFmtId="180" fontId="0" fillId="0" borderId="43" xfId="0" applyNumberFormat="1" applyBorder="1">
      <alignment vertical="center"/>
    </xf>
    <xf numFmtId="0" fontId="0" fillId="0" borderId="37" xfId="0" applyBorder="1">
      <alignment vertical="center"/>
    </xf>
    <xf numFmtId="49" fontId="0" fillId="0" borderId="41" xfId="0" applyNumberFormat="1" applyBorder="1">
      <alignment vertical="center"/>
    </xf>
    <xf numFmtId="0" fontId="0" fillId="0" borderId="58" xfId="0" applyBorder="1">
      <alignment vertical="center"/>
    </xf>
    <xf numFmtId="188" fontId="0" fillId="0" borderId="59" xfId="0" applyNumberFormat="1" applyBorder="1" applyAlignment="1">
      <alignment horizontal="center" vertical="center"/>
    </xf>
    <xf numFmtId="188" fontId="0" fillId="0" borderId="0" xfId="0" applyNumberFormat="1">
      <alignment vertical="center"/>
    </xf>
    <xf numFmtId="176" fontId="0" fillId="8" borderId="60" xfId="0" applyNumberFormat="1" applyFill="1" applyBorder="1">
      <alignment vertical="center"/>
    </xf>
    <xf numFmtId="46" fontId="0" fillId="8" borderId="7" xfId="0" applyNumberFormat="1" applyFill="1" applyBorder="1">
      <alignment vertical="center"/>
    </xf>
    <xf numFmtId="176" fontId="0" fillId="8" borderId="7" xfId="0" applyNumberFormat="1" applyFill="1" applyBorder="1">
      <alignment vertical="center"/>
    </xf>
    <xf numFmtId="0" fontId="0" fillId="0" borderId="61" xfId="0" applyBorder="1" applyAlignment="1">
      <alignment horizontal="center" vertical="center"/>
    </xf>
    <xf numFmtId="184" fontId="0" fillId="0" borderId="61" xfId="0" applyNumberFormat="1" applyBorder="1" applyAlignment="1">
      <alignment horizontal="center" vertical="center"/>
    </xf>
    <xf numFmtId="181" fontId="0" fillId="0" borderId="61" xfId="0" applyNumberFormat="1" applyBorder="1" applyAlignment="1">
      <alignment horizontal="center" vertical="center"/>
    </xf>
    <xf numFmtId="182" fontId="0" fillId="0" borderId="61" xfId="0" applyNumberFormat="1" applyBorder="1" applyAlignment="1">
      <alignment horizontal="center" vertical="center"/>
    </xf>
    <xf numFmtId="178" fontId="0" fillId="0" borderId="61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182" fontId="0" fillId="4" borderId="9" xfId="0" applyNumberFormat="1" applyFill="1" applyBorder="1">
      <alignment vertical="center"/>
    </xf>
    <xf numFmtId="178" fontId="0" fillId="4" borderId="9" xfId="0" applyNumberFormat="1" applyFill="1" applyBorder="1">
      <alignment vertical="center"/>
    </xf>
    <xf numFmtId="182" fontId="0" fillId="0" borderId="9" xfId="0" applyNumberFormat="1" applyBorder="1">
      <alignment vertical="center"/>
    </xf>
    <xf numFmtId="178" fontId="0" fillId="0" borderId="9" xfId="0" applyNumberFormat="1" applyBorder="1" applyAlignment="1">
      <alignment horizontal="right" vertical="center"/>
    </xf>
    <xf numFmtId="180" fontId="0" fillId="0" borderId="13" xfId="0" applyNumberFormat="1" applyBorder="1" applyAlignment="1">
      <alignment horizontal="center" vertical="center"/>
    </xf>
    <xf numFmtId="182" fontId="0" fillId="4" borderId="13" xfId="0" applyNumberFormat="1" applyFill="1" applyBorder="1">
      <alignment vertical="center"/>
    </xf>
    <xf numFmtId="178" fontId="0" fillId="4" borderId="13" xfId="0" applyNumberFormat="1" applyFill="1" applyBorder="1">
      <alignment vertical="center"/>
    </xf>
    <xf numFmtId="182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184" fontId="0" fillId="0" borderId="9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4" fontId="0" fillId="0" borderId="13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4" borderId="9" xfId="0" applyNumberFormat="1" applyFill="1" applyBorder="1" applyAlignment="1">
      <alignment horizontal="center" vertical="center"/>
    </xf>
    <xf numFmtId="182" fontId="0" fillId="4" borderId="13" xfId="0" applyNumberFormat="1" applyFill="1" applyBorder="1" applyAlignment="1">
      <alignment horizontal="center" vertical="center"/>
    </xf>
    <xf numFmtId="180" fontId="8" fillId="0" borderId="0" xfId="0" applyNumberFormat="1" applyFont="1" applyAlignment="1">
      <alignment horizontal="left" vertical="center"/>
    </xf>
    <xf numFmtId="0" fontId="0" fillId="2" borderId="0" xfId="0" applyFill="1">
      <alignment vertical="center"/>
    </xf>
    <xf numFmtId="178" fontId="0" fillId="8" borderId="7" xfId="0" applyNumberFormat="1" applyFill="1" applyBorder="1">
      <alignment vertical="center"/>
    </xf>
    <xf numFmtId="178" fontId="0" fillId="4" borderId="14" xfId="0" applyNumberFormat="1" applyFill="1" applyBorder="1">
      <alignment vertical="center"/>
    </xf>
    <xf numFmtId="0" fontId="0" fillId="7" borderId="61" xfId="0" applyFill="1" applyBorder="1" applyAlignment="1">
      <alignment horizontal="center" vertical="center"/>
    </xf>
    <xf numFmtId="184" fontId="0" fillId="7" borderId="61" xfId="0" applyNumberFormat="1" applyFill="1" applyBorder="1" applyAlignment="1">
      <alignment horizontal="center" vertical="center"/>
    </xf>
    <xf numFmtId="184" fontId="0" fillId="40" borderId="61" xfId="0" applyNumberFormat="1" applyFill="1" applyBorder="1" applyAlignment="1">
      <alignment horizontal="center" vertical="center"/>
    </xf>
    <xf numFmtId="0" fontId="0" fillId="40" borderId="61" xfId="0" applyFill="1" applyBorder="1" applyAlignment="1">
      <alignment horizontal="center" vertical="center"/>
    </xf>
    <xf numFmtId="181" fontId="0" fillId="40" borderId="61" xfId="0" applyNumberFormat="1" applyFill="1" applyBorder="1" applyAlignment="1">
      <alignment horizontal="center" vertical="center"/>
    </xf>
    <xf numFmtId="176" fontId="0" fillId="4" borderId="0" xfId="0" applyNumberFormat="1" applyFill="1">
      <alignment vertical="center"/>
    </xf>
    <xf numFmtId="177" fontId="0" fillId="4" borderId="0" xfId="0" applyNumberFormat="1" applyFill="1">
      <alignment vertical="center"/>
    </xf>
    <xf numFmtId="0" fontId="0" fillId="4" borderId="0" xfId="0" applyFill="1">
      <alignment vertical="center"/>
    </xf>
    <xf numFmtId="178" fontId="0" fillId="6" borderId="2" xfId="0" applyNumberFormat="1" applyFill="1" applyBorder="1">
      <alignment vertical="center"/>
    </xf>
    <xf numFmtId="0" fontId="0" fillId="0" borderId="30" xfId="0" applyBorder="1" applyAlignment="1">
      <alignment horizontal="center" vertical="center"/>
    </xf>
    <xf numFmtId="0" fontId="5" fillId="8" borderId="62" xfId="0" applyFont="1" applyFill="1" applyBorder="1">
      <alignment vertical="center"/>
    </xf>
    <xf numFmtId="181" fontId="0" fillId="7" borderId="61" xfId="0" applyNumberFormat="1" applyFill="1" applyBorder="1" applyAlignment="1">
      <alignment horizontal="center" vertical="center"/>
    </xf>
    <xf numFmtId="178" fontId="0" fillId="7" borderId="61" xfId="0" applyNumberFormat="1" applyFill="1" applyBorder="1" applyAlignment="1">
      <alignment horizontal="center" vertical="center"/>
    </xf>
    <xf numFmtId="187" fontId="0" fillId="0" borderId="64" xfId="0" applyNumberFormat="1" applyBorder="1" applyAlignment="1">
      <alignment horizontal="center" vertical="center"/>
    </xf>
    <xf numFmtId="188" fontId="0" fillId="0" borderId="64" xfId="0" applyNumberFormat="1" applyBorder="1" applyAlignment="1">
      <alignment horizontal="center" vertical="center"/>
    </xf>
    <xf numFmtId="186" fontId="0" fillId="0" borderId="64" xfId="0" applyNumberFormat="1" applyBorder="1" applyAlignment="1">
      <alignment horizontal="center" vertical="center"/>
    </xf>
    <xf numFmtId="182" fontId="5" fillId="41" borderId="65" xfId="0" applyNumberFormat="1" applyFont="1" applyFill="1" applyBorder="1">
      <alignment vertical="center"/>
    </xf>
    <xf numFmtId="178" fontId="5" fillId="41" borderId="66" xfId="0" applyNumberFormat="1" applyFont="1" applyFill="1" applyBorder="1">
      <alignment vertical="center"/>
    </xf>
    <xf numFmtId="187" fontId="0" fillId="0" borderId="70" xfId="0" applyNumberFormat="1" applyBorder="1" applyAlignment="1">
      <alignment horizontal="center" vertical="center"/>
    </xf>
    <xf numFmtId="188" fontId="0" fillId="0" borderId="70" xfId="0" applyNumberFormat="1" applyBorder="1" applyAlignment="1">
      <alignment horizontal="center" vertical="center"/>
    </xf>
    <xf numFmtId="186" fontId="0" fillId="0" borderId="70" xfId="0" applyNumberFormat="1" applyBorder="1" applyAlignment="1">
      <alignment horizontal="center" vertical="center"/>
    </xf>
    <xf numFmtId="3" fontId="0" fillId="40" borderId="61" xfId="0" applyNumberFormat="1" applyFill="1" applyBorder="1" applyAlignment="1">
      <alignment horizontal="center" vertical="center"/>
    </xf>
    <xf numFmtId="187" fontId="0" fillId="0" borderId="71" xfId="0" applyNumberFormat="1" applyBorder="1" applyAlignment="1">
      <alignment horizontal="center" vertical="center"/>
    </xf>
    <xf numFmtId="188" fontId="0" fillId="0" borderId="71" xfId="0" applyNumberFormat="1" applyBorder="1" applyAlignment="1">
      <alignment horizontal="center" vertical="center"/>
    </xf>
    <xf numFmtId="186" fontId="0" fillId="0" borderId="71" xfId="0" applyNumberFormat="1" applyBorder="1" applyAlignment="1">
      <alignment horizontal="center" vertical="center"/>
    </xf>
    <xf numFmtId="176" fontId="0" fillId="6" borderId="71" xfId="0" applyNumberFormat="1" applyFill="1" applyBorder="1">
      <alignment vertical="center"/>
    </xf>
    <xf numFmtId="0" fontId="0" fillId="7" borderId="71" xfId="0" applyFill="1" applyBorder="1">
      <alignment vertical="center"/>
    </xf>
    <xf numFmtId="187" fontId="0" fillId="0" borderId="72" xfId="0" applyNumberFormat="1" applyBorder="1" applyAlignment="1">
      <alignment horizontal="center" vertical="center"/>
    </xf>
    <xf numFmtId="188" fontId="0" fillId="0" borderId="72" xfId="0" applyNumberFormat="1" applyBorder="1" applyAlignment="1">
      <alignment horizontal="center" vertical="center"/>
    </xf>
    <xf numFmtId="186" fontId="0" fillId="0" borderId="72" xfId="0" applyNumberFormat="1" applyBorder="1" applyAlignment="1">
      <alignment horizontal="center" vertical="center"/>
    </xf>
    <xf numFmtId="187" fontId="0" fillId="0" borderId="73" xfId="0" applyNumberFormat="1" applyBorder="1" applyAlignment="1">
      <alignment horizontal="center" vertical="center"/>
    </xf>
    <xf numFmtId="188" fontId="0" fillId="0" borderId="73" xfId="0" applyNumberFormat="1" applyBorder="1" applyAlignment="1">
      <alignment horizontal="center" vertical="center"/>
    </xf>
    <xf numFmtId="186" fontId="0" fillId="0" borderId="73" xfId="0" applyNumberForma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176" fontId="0" fillId="0" borderId="73" xfId="0" applyNumberFormat="1" applyBorder="1" applyAlignment="1">
      <alignment horizontal="center" vertical="center"/>
    </xf>
    <xf numFmtId="180" fontId="0" fillId="0" borderId="73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74" xfId="0" applyNumberFormat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75" xfId="0" applyBorder="1">
      <alignment vertical="center"/>
    </xf>
    <xf numFmtId="0" fontId="0" fillId="0" borderId="28" xfId="0" applyBorder="1" applyAlignment="1">
      <alignment horizontal="left" vertical="center"/>
    </xf>
    <xf numFmtId="0" fontId="0" fillId="0" borderId="12" xfId="0" applyBorder="1">
      <alignment vertical="center"/>
    </xf>
    <xf numFmtId="176" fontId="0" fillId="0" borderId="76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59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176" fontId="0" fillId="3" borderId="73" xfId="0" applyNumberFormat="1" applyFill="1" applyBorder="1" applyAlignment="1">
      <alignment horizontal="center" vertical="center"/>
    </xf>
    <xf numFmtId="177" fontId="0" fillId="3" borderId="73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0" fontId="0" fillId="0" borderId="79" xfId="0" applyBorder="1" applyAlignment="1">
      <alignment horizontal="center" vertical="center"/>
    </xf>
    <xf numFmtId="180" fontId="0" fillId="0" borderId="79" xfId="0" applyNumberFormat="1" applyBorder="1" applyAlignment="1">
      <alignment horizontal="center" vertical="center"/>
    </xf>
    <xf numFmtId="186" fontId="0" fillId="0" borderId="79" xfId="0" applyNumberFormat="1" applyBorder="1" applyAlignment="1">
      <alignment horizontal="center" vertical="center"/>
    </xf>
    <xf numFmtId="187" fontId="0" fillId="0" borderId="80" xfId="0" applyNumberFormat="1" applyBorder="1" applyAlignment="1">
      <alignment horizontal="center" vertical="center"/>
    </xf>
    <xf numFmtId="188" fontId="0" fillId="0" borderId="80" xfId="0" applyNumberFormat="1" applyBorder="1" applyAlignment="1">
      <alignment horizontal="center" vertical="center"/>
    </xf>
    <xf numFmtId="186" fontId="0" fillId="0" borderId="80" xfId="0" applyNumberFormat="1" applyBorder="1" applyAlignment="1">
      <alignment horizontal="center" vertical="center"/>
    </xf>
    <xf numFmtId="0" fontId="0" fillId="0" borderId="0" xfId="0" applyAlignment="1"/>
    <xf numFmtId="187" fontId="0" fillId="0" borderId="81" xfId="0" applyNumberFormat="1" applyBorder="1" applyAlignment="1">
      <alignment horizontal="center" vertical="center"/>
    </xf>
    <xf numFmtId="188" fontId="0" fillId="0" borderId="81" xfId="0" applyNumberFormat="1" applyBorder="1" applyAlignment="1">
      <alignment horizontal="center" vertical="center"/>
    </xf>
    <xf numFmtId="186" fontId="0" fillId="0" borderId="81" xfId="0" applyNumberFormat="1" applyBorder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178" fontId="0" fillId="0" borderId="5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80" fontId="0" fillId="0" borderId="61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3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2" fontId="0" fillId="4" borderId="8" xfId="0" applyNumberFormat="1" applyFill="1" applyBorder="1" applyAlignment="1">
      <alignment horizontal="center" vertical="center"/>
    </xf>
    <xf numFmtId="182" fontId="0" fillId="4" borderId="63" xfId="0" applyNumberFormat="1" applyFill="1" applyBorder="1" applyAlignment="1">
      <alignment horizontal="center" vertical="center"/>
    </xf>
    <xf numFmtId="182" fontId="0" fillId="4" borderId="16" xfId="0" applyNumberFormat="1" applyFill="1" applyBorder="1" applyAlignment="1">
      <alignment horizontal="center" vertical="center"/>
    </xf>
    <xf numFmtId="180" fontId="0" fillId="0" borderId="67" xfId="0" applyNumberFormat="1" applyBorder="1" applyAlignment="1">
      <alignment horizontal="center" vertical="center"/>
    </xf>
    <xf numFmtId="180" fontId="0" fillId="0" borderId="68" xfId="0" applyNumberFormat="1" applyBorder="1" applyAlignment="1">
      <alignment horizontal="center" vertical="center"/>
    </xf>
    <xf numFmtId="180" fontId="0" fillId="0" borderId="6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22" fontId="0" fillId="3" borderId="73" xfId="0" applyNumberFormat="1" applyFill="1" applyBorder="1" applyAlignment="1">
      <alignment horizontal="center" vertical="center"/>
    </xf>
    <xf numFmtId="0" fontId="0" fillId="3" borderId="73" xfId="0" applyFill="1" applyBorder="1" applyAlignment="1">
      <alignment horizontal="left" vertical="center"/>
    </xf>
    <xf numFmtId="0" fontId="0" fillId="0" borderId="73" xfId="0" applyBorder="1" applyAlignment="1">
      <alignment horizontal="left" vertical="center"/>
    </xf>
    <xf numFmtId="22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0" borderId="80" xfId="0" applyBorder="1" applyAlignment="1">
      <alignment horizontal="center" vertical="center"/>
    </xf>
    <xf numFmtId="0" fontId="0" fillId="0" borderId="81" xfId="0" applyBorder="1" applyAlignment="1">
      <alignment horizontal="left" vertical="center"/>
    </xf>
    <xf numFmtId="0" fontId="0" fillId="0" borderId="81" xfId="0" applyBorder="1" applyAlignment="1">
      <alignment horizontal="center" vertical="center"/>
    </xf>
    <xf numFmtId="0" fontId="0" fillId="0" borderId="8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0" fontId="0" fillId="0" borderId="72" xfId="0" applyBorder="1" applyAlignment="1">
      <alignment horizontal="left" vertic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left" vertic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left" vertical="center"/>
    </xf>
    <xf numFmtId="0" fontId="0" fillId="0" borderId="64" xfId="0" applyBorder="1" applyAlignment="1">
      <alignment horizontal="center" vertical="center"/>
    </xf>
    <xf numFmtId="0" fontId="0" fillId="0" borderId="64" xfId="0" applyBorder="1" applyAlignment="1">
      <alignment horizontal="left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メモ" xfId="15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7" builtinId="25" customBuiltin="1"/>
    <cellStyle name="出力" xfId="11" builtinId="21" customBuiltin="1"/>
    <cellStyle name="説明文" xfId="16" builtinId="53" customBuiltin="1"/>
    <cellStyle name="入力" xfId="10" builtinId="20" customBuiltin="1"/>
    <cellStyle name="標準" xfId="0" builtinId="0"/>
    <cellStyle name="良い" xfId="7" builtinId="26" customBuiltin="1"/>
  </cellStyles>
  <dxfs count="19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FF99FF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CCFF"/>
      <color rgb="FF66CCFF"/>
      <color rgb="FFFF99FF"/>
      <color rgb="FFFFFF66"/>
      <color rgb="FFCCFFCC"/>
      <color rgb="FF99FF99"/>
      <color rgb="FF66FF66"/>
      <color rgb="FFFFFFCC"/>
      <color rgb="FFCCFF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643778</xdr:colOff>
      <xdr:row>0</xdr:row>
      <xdr:rowOff>0</xdr:rowOff>
    </xdr:from>
    <xdr:to>
      <xdr:col>18</xdr:col>
      <xdr:colOff>243729</xdr:colOff>
      <xdr:row>6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541749" y="0"/>
          <a:ext cx="6211421" cy="12438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en-US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BL </a:t>
          </a:r>
          <a:r>
            <a:rPr kumimoji="1" lang="ja-JP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調整</a:t>
          </a:r>
          <a:r>
            <a:rPr kumimoji="1" lang="ja-JP" altLang="en-US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および</a:t>
          </a:r>
          <a:r>
            <a:rPr kumimoji="1" lang="ja-JP" altLang="en-US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」中は、 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の開始時間・終了時間・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の種類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を記録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時に運転種別を選択し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、各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項目に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ついて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シフトごとの集計を行う</a:t>
          </a:r>
          <a:endParaRPr lang="ja-JP" altLang="ja-JP" sz="1100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ja-JP" altLang="ja-JP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がある場合、運転種別より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調整開始時間・終了時間・理由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を記入する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ユーザー運転中のトンネル入室はダウンタイムに計上す</a:t>
          </a: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る</a:t>
          </a:r>
          <a:r>
            <a:rPr kumimoji="1" lang="ja-JP" altLang="en-US" sz="1100" b="0">
              <a:latin typeface="+mn-ea"/>
              <a:ea typeface="+mn-ea"/>
            </a:rPr>
            <a:t>　</a:t>
          </a:r>
          <a:endParaRPr kumimoji="1" lang="en-US" altLang="ja-JP" sz="1100" b="0">
            <a:latin typeface="+mn-ea"/>
            <a:ea typeface="+mn-ea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GUN HV OFF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時間記録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FF99FF"/>
              </a:solidFill>
              <a:effectLst/>
              <a:uLnTx/>
              <a:uFillTx/>
              <a:latin typeface="+mn-ea"/>
              <a:ea typeface="+mn-ea"/>
              <a:cs typeface="+mn-cs"/>
            </a:rPr>
            <a:t>ユーザー運転条件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は集計記録管理者がログノートを元に記録する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15</xdr:col>
      <xdr:colOff>604559</xdr:colOff>
      <xdr:row>4</xdr:row>
      <xdr:rowOff>101974</xdr:rowOff>
    </xdr:to>
    <xdr:sp macro="[0]!Fault集計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12824" y="403412"/>
          <a:ext cx="1971676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/>
            <a:t>Fault</a:t>
          </a:r>
          <a:r>
            <a:rPr kumimoji="1" lang="ja-JP" altLang="en-US" sz="1600" b="1"/>
            <a:t>集計出力ボタン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rgb="FFFFCCFF"/>
    <pageSetUpPr fitToPage="1"/>
  </sheetPr>
  <dimension ref="A1:O129"/>
  <sheetViews>
    <sheetView zoomScaleNormal="100" workbookViewId="0">
      <pane ySplit="3" topLeftCell="A64" activePane="bottomLeft" state="frozen"/>
      <selection activeCell="C195" sqref="C195"/>
      <selection pane="bottomLeft" activeCell="A77" sqref="A77"/>
    </sheetView>
  </sheetViews>
  <sheetFormatPr defaultColWidth="9" defaultRowHeight="13" x14ac:dyDescent="0.2"/>
  <cols>
    <col min="1" max="1" width="11.36328125" style="97" bestFit="1" customWidth="1"/>
    <col min="2" max="2" width="11.36328125" style="77" bestFit="1" customWidth="1"/>
    <col min="3" max="3" width="18" style="77" customWidth="1"/>
    <col min="4" max="4" width="18.6328125" style="77" customWidth="1"/>
    <col min="5" max="5" width="8.08984375" style="88" customWidth="1"/>
    <col min="6" max="6" width="10.90625" style="88" customWidth="1"/>
    <col min="7" max="7" width="14" style="77" customWidth="1"/>
    <col min="8" max="8" width="11" style="2" bestFit="1" customWidth="1"/>
    <col min="9" max="9" width="9" style="96"/>
    <col min="10" max="10" width="9" style="88" bestFit="1" customWidth="1"/>
    <col min="11" max="11" width="9" style="88"/>
    <col min="12" max="12" width="10.6328125" style="2" bestFit="1" customWidth="1"/>
    <col min="13" max="13" width="9" style="96"/>
    <col min="14" max="14" width="54.90625" customWidth="1"/>
  </cols>
  <sheetData>
    <row r="1" spans="1:15" ht="13.5" thickBot="1" x14ac:dyDescent="0.25">
      <c r="A1" s="8"/>
      <c r="B1"/>
      <c r="C1" s="1" t="s">
        <v>205</v>
      </c>
      <c r="D1"/>
      <c r="E1" s="76" t="s">
        <v>107</v>
      </c>
      <c r="F1"/>
      <c r="G1"/>
      <c r="I1" s="2"/>
      <c r="J1"/>
      <c r="K1" s="2"/>
      <c r="M1" s="2"/>
    </row>
    <row r="2" spans="1:15" ht="13.5" thickBot="1" x14ac:dyDescent="0.25">
      <c r="A2" s="8"/>
      <c r="B2"/>
      <c r="C2"/>
      <c r="D2"/>
      <c r="E2" s="82">
        <f>SUMIF($B$4:$B$71,"ユニット合計",E4:E71)</f>
        <v>137</v>
      </c>
      <c r="F2" s="173">
        <f ca="1">SUMIF($B$4:$B$71,"ユニット合計",F4:F71)</f>
        <v>0</v>
      </c>
      <c r="G2" s="2"/>
      <c r="H2" s="160">
        <f t="shared" ref="H2:M2" si="0">SUMIF($B$4:$B$71,"ユニット合計",H4:H71)</f>
        <v>137</v>
      </c>
      <c r="I2" s="160">
        <f t="shared" si="0"/>
        <v>20</v>
      </c>
      <c r="J2" s="160">
        <f t="shared" ca="1" si="0"/>
        <v>0</v>
      </c>
      <c r="K2" s="160">
        <f t="shared" si="0"/>
        <v>76</v>
      </c>
      <c r="L2" s="160">
        <f t="shared" ca="1" si="0"/>
        <v>0</v>
      </c>
      <c r="M2" s="173">
        <f t="shared" si="0"/>
        <v>41</v>
      </c>
      <c r="O2" s="2"/>
    </row>
    <row r="3" spans="1:15" ht="24.5" thickBot="1" x14ac:dyDescent="0.25">
      <c r="A3" s="83" t="s">
        <v>10</v>
      </c>
      <c r="B3" s="84" t="s">
        <v>12</v>
      </c>
      <c r="C3" s="84" t="s">
        <v>194</v>
      </c>
      <c r="D3" s="260" t="s">
        <v>195</v>
      </c>
      <c r="E3" s="211" t="s">
        <v>39</v>
      </c>
      <c r="F3" s="85" t="s">
        <v>133</v>
      </c>
      <c r="G3" s="59" t="s">
        <v>37</v>
      </c>
      <c r="H3" s="212" t="s">
        <v>169</v>
      </c>
      <c r="I3" s="213" t="s">
        <v>168</v>
      </c>
      <c r="J3" s="214" t="s">
        <v>170</v>
      </c>
      <c r="K3" s="215" t="s">
        <v>171</v>
      </c>
      <c r="L3" s="208" t="s">
        <v>172</v>
      </c>
      <c r="M3" s="216" t="s">
        <v>173</v>
      </c>
      <c r="N3" t="s">
        <v>177</v>
      </c>
      <c r="O3" s="2"/>
    </row>
    <row r="4" spans="1:15" x14ac:dyDescent="0.2">
      <c r="A4" s="98" t="str">
        <f t="shared" ref="A4:A16" si="1">IF(OR(B4="ユニット合計",B4="停止期間",B4=""),"",A5)</f>
        <v>24-1</v>
      </c>
      <c r="B4" s="78" t="s">
        <v>206</v>
      </c>
      <c r="C4" s="79">
        <v>45383.416666666657</v>
      </c>
      <c r="D4" s="79">
        <v>45390.416666666657</v>
      </c>
      <c r="E4" s="91">
        <f t="shared" ref="E4:E35" si="2">IF(B4="","",IF(B4="ユニット合計",SUMIFS($E$4:$E$29545,$A$4:$A$29545,A4,$B$4:$B$29545,"&lt;&gt;ユニット合計"),D4-C4))</f>
        <v>7</v>
      </c>
      <c r="F4" s="94">
        <f ca="1">IF(B4="","",IF(B4="ユニット合計",SUMIF('GUN HV OFF時間記録'!B:B,A4,'GUN HV OFF時間記録'!F:F),IF(OR(B4=リスト!$E$7,B4=リスト!$E$5),SUMIF('GUN HV OFF時間記録'!$K$6:$K$111,C4,'GUN HV OFF時間記録'!$N$6:$N$111),0)))</f>
        <v>0</v>
      </c>
      <c r="G4" s="80" t="s">
        <v>209</v>
      </c>
      <c r="H4" s="94" t="str">
        <f t="shared" ref="H4:H16" si="3">IF($B4="ユニット合計",D4-C4,"")</f>
        <v/>
      </c>
      <c r="I4" s="94" t="str">
        <f>IF($B4="ユニット合計",SUMIFS($E$4:$E$29545,$A$4:$A$29545,$A4,$B$4:$B$29545,リスト!$E$7),"")</f>
        <v/>
      </c>
      <c r="J4" s="94" t="str">
        <f>IF($B4="ユニット合計",SUMIFS($F$4:$F$29545,$A$4:$A$29545,$A4,$B$4:$B$29545,リスト!$E$7),"")</f>
        <v/>
      </c>
      <c r="K4" s="176" t="str">
        <f>IF($B4="ユニット合計",SUMIFS($E$4:$E$29545,$A$4:$A$29545,$A4,$B$4:$B$29545,リスト!$E$5),"")</f>
        <v/>
      </c>
      <c r="L4" s="94" t="str">
        <f>IF($B4="ユニット合計",SUMIFS($F$4:$F$29545,$A$4:$A$29545,$A4,$B$4:$B$29545,リスト!$E$5),"")</f>
        <v/>
      </c>
      <c r="M4" s="94" t="str">
        <f>IF($B4="ユニット合計",SUMIFS($E$4:$E$29545,$A$4:$A$29545,$A4,$B$4:$B$29545,リスト!$E$6),"")</f>
        <v/>
      </c>
    </row>
    <row r="5" spans="1:15" x14ac:dyDescent="0.2">
      <c r="A5" s="98" t="str">
        <f t="shared" si="1"/>
        <v>24-1</v>
      </c>
      <c r="B5" s="78" t="s">
        <v>207</v>
      </c>
      <c r="C5" s="79">
        <v>45390.416666666657</v>
      </c>
      <c r="D5" s="79">
        <v>45397.416666666657</v>
      </c>
      <c r="E5" s="91">
        <f t="shared" si="2"/>
        <v>7</v>
      </c>
      <c r="F5" s="94">
        <f ca="1">IF(B5="","",IF(B5="ユニット合計",SUMIF('GUN HV OFF時間記録'!B:B,A5,'GUN HV OFF時間記録'!F:F),IF(OR(B5=リスト!$E$7,B5=リスト!$E$5),SUMIF('GUN HV OFF時間記録'!$K$6:$K$111,C5,'GUN HV OFF時間記録'!$N$6:$N$111),0)))</f>
        <v>0</v>
      </c>
      <c r="G5" s="80"/>
      <c r="H5" s="94" t="str">
        <f t="shared" si="3"/>
        <v/>
      </c>
      <c r="I5" s="94" t="str">
        <f>IF($B5="ユニット合計",SUMIFS($E$4:$E$29545,$A$4:$A$29545,$A5,$B$4:$B$29545,リスト!$E$7),"")</f>
        <v/>
      </c>
      <c r="J5" s="94" t="str">
        <f>IF($B5="ユニット合計",SUMIFS($F$4:$F$29545,$A$4:$A$29545,$A5,$B$4:$B$29545,リスト!$E$7),"")</f>
        <v/>
      </c>
      <c r="K5" s="176" t="str">
        <f>IF($B5="ユニット合計",SUMIFS($E$4:$E$29545,$A$4:$A$29545,$A5,$B$4:$B$29545,リスト!$E$5),"")</f>
        <v/>
      </c>
      <c r="L5" s="94" t="str">
        <f>IF($B5="ユニット合計",SUMIFS($F$4:$F$29545,$A$4:$A$29545,$A5,$B$4:$B$29545,リスト!$E$5),"")</f>
        <v/>
      </c>
      <c r="M5" s="94" t="str">
        <f>IF($B5="ユニット合計",SUMIFS($E$4:$E$29545,$A$4:$A$29545,$A5,$B$4:$B$29545,リスト!$E$6),"")</f>
        <v/>
      </c>
    </row>
    <row r="6" spans="1:15" x14ac:dyDescent="0.2">
      <c r="A6" s="98" t="s">
        <v>211</v>
      </c>
      <c r="B6" s="78" t="s">
        <v>208</v>
      </c>
      <c r="C6" s="79">
        <v>45383.416666666657</v>
      </c>
      <c r="D6" s="79">
        <v>45397.416666666657</v>
      </c>
      <c r="E6" s="91">
        <f t="shared" si="2"/>
        <v>14</v>
      </c>
      <c r="F6" s="94">
        <f ca="1">IF(B6="","",IF(B6="ユニット合計",SUMIF('GUN HV OFF時間記録'!B:B,A6,'GUN HV OFF時間記録'!F:F),IF(OR(B6=リスト!$E$7,B6=リスト!$E$5),SUMIF('GUN HV OFF時間記録'!$K$6:$K$111,C6,'GUN HV OFF時間記録'!$N$6:$N$111),0)))</f>
        <v>0</v>
      </c>
      <c r="G6" s="80"/>
      <c r="H6" s="94">
        <f t="shared" si="3"/>
        <v>14</v>
      </c>
      <c r="I6" s="94">
        <f>IF($B6="ユニット合計",SUMIFS($E$4:$E$29545,$A$4:$A$29545,$A6,$B$4:$B$29545,リスト!$E$7),"")</f>
        <v>7</v>
      </c>
      <c r="J6" s="94">
        <f ca="1">IF($B6="ユニット合計",SUMIFS($F$4:$F$29545,$A$4:$A$29545,$A6,$B$4:$B$29545,リスト!$E$7),"")</f>
        <v>0</v>
      </c>
      <c r="K6" s="176">
        <f>IF($B6="ユニット合計",SUMIFS($E$4:$E$29545,$A$4:$A$29545,$A6,$B$4:$B$29545,リスト!$E$5),"")</f>
        <v>7</v>
      </c>
      <c r="L6" s="94">
        <f ca="1">IF($B6="ユニット合計",SUMIFS($F$4:$F$29545,$A$4:$A$29545,$A6,$B$4:$B$29545,リスト!$E$5),"")</f>
        <v>0</v>
      </c>
      <c r="M6" s="94">
        <f>IF($B6="ユニット合計",SUMIFS($E$4:$E$29545,$A$4:$A$29545,$A6,$B$4:$B$29545,リスト!$E$6),"")</f>
        <v>0</v>
      </c>
    </row>
    <row r="7" spans="1:15" x14ac:dyDescent="0.2">
      <c r="A7" s="98" t="str">
        <f t="shared" si="1"/>
        <v>24-2</v>
      </c>
      <c r="B7" s="78" t="s">
        <v>207</v>
      </c>
      <c r="C7" s="79">
        <v>45397.416666666657</v>
      </c>
      <c r="D7" s="79">
        <v>45398.916666666657</v>
      </c>
      <c r="E7" s="91">
        <f t="shared" si="2"/>
        <v>1.5</v>
      </c>
      <c r="F7" s="94">
        <f ca="1">IF(B7="","",IF(B7="ユニット合計",SUMIF('GUN HV OFF時間記録'!B:B,A7,'GUN HV OFF時間記録'!F:F),IF(OR(B7=リスト!$E$7,B7=リスト!$E$5),SUMIF('GUN HV OFF時間記録'!$K$6:$K$111,C7,'GUN HV OFF時間記録'!$N$6:$N$111),0)))</f>
        <v>0</v>
      </c>
      <c r="G7" s="80"/>
      <c r="H7" s="94" t="str">
        <f t="shared" si="3"/>
        <v/>
      </c>
      <c r="I7" s="94" t="str">
        <f>IF($B7="ユニット合計",SUMIFS($E$4:$E$29545,$A$4:$A$29545,$A7,$B$4:$B$29545,リスト!$E$7),"")</f>
        <v/>
      </c>
      <c r="J7" s="94" t="str">
        <f>IF($B7="ユニット合計",SUMIFS($F$4:$F$29545,$A$4:$A$29545,$A7,$B$4:$B$29545,リスト!$E$7),"")</f>
        <v/>
      </c>
      <c r="K7" s="176" t="str">
        <f>IF($B7="ユニット合計",SUMIFS($E$4:$E$29545,$A$4:$A$29545,$A7,$B$4:$B$29545,リスト!$E$5),"")</f>
        <v/>
      </c>
      <c r="L7" s="94" t="str">
        <f>IF($B7="ユニット合計",SUMIFS($F$4:$F$29545,$A$4:$A$29545,$A7,$B$4:$B$29545,リスト!$E$5),"")</f>
        <v/>
      </c>
      <c r="M7" s="94" t="str">
        <f>IF($B7="ユニット合計",SUMIFS($E$4:$E$29545,$A$4:$A$29545,$A7,$B$4:$B$29545,リスト!$E$6),"")</f>
        <v/>
      </c>
    </row>
    <row r="8" spans="1:15" x14ac:dyDescent="0.2">
      <c r="A8" s="98" t="str">
        <f t="shared" si="1"/>
        <v>24-2</v>
      </c>
      <c r="B8" s="78" t="s">
        <v>108</v>
      </c>
      <c r="C8" s="79">
        <v>45398.916666666657</v>
      </c>
      <c r="D8" s="79">
        <v>45400.916666666657</v>
      </c>
      <c r="E8" s="91">
        <f t="shared" si="2"/>
        <v>2</v>
      </c>
      <c r="F8" s="94">
        <f>IF(B8="","",IF(B8="ユニット合計",SUMIF('GUN HV OFF時間記録'!B:B,A8,'GUN HV OFF時間記録'!F:F),IF(OR(B8=リスト!$E$7,B8=リスト!$E$5),SUMIF('GUN HV OFF時間記録'!$K$6:$K$111,C8,'GUN HV OFF時間記録'!$N$6:$N$111),0)))</f>
        <v>0</v>
      </c>
      <c r="G8" s="80" t="s">
        <v>241</v>
      </c>
      <c r="H8" s="94" t="str">
        <f t="shared" si="3"/>
        <v/>
      </c>
      <c r="I8" s="94" t="str">
        <f>IF($B8="ユニット合計",SUMIFS($E$4:$E$29545,$A$4:$A$29545,$A8,$B$4:$B$29545,リスト!$E$7),"")</f>
        <v/>
      </c>
      <c r="J8" s="94" t="str">
        <f>IF($B8="ユニット合計",SUMIFS($F$4:$F$29545,$A$4:$A$29545,$A8,$B$4:$B$29545,リスト!$E$7),"")</f>
        <v/>
      </c>
      <c r="K8" s="176" t="str">
        <f>IF($B8="ユニット合計",SUMIFS($E$4:$E$29545,$A$4:$A$29545,$A8,$B$4:$B$29545,リスト!$E$5),"")</f>
        <v/>
      </c>
      <c r="L8" s="94" t="str">
        <f>IF($B8="ユニット合計",SUMIFS($F$4:$F$29545,$A$4:$A$29545,$A8,$B$4:$B$29545,リスト!$E$5),"")</f>
        <v/>
      </c>
      <c r="M8" s="94" t="str">
        <f>IF($B8="ユニット合計",SUMIFS($E$4:$E$29545,$A$4:$A$29545,$A8,$B$4:$B$29545,リスト!$E$6),"")</f>
        <v/>
      </c>
    </row>
    <row r="9" spans="1:15" x14ac:dyDescent="0.2">
      <c r="A9" s="98" t="str">
        <f t="shared" si="1"/>
        <v>24-2</v>
      </c>
      <c r="B9" s="78" t="s">
        <v>207</v>
      </c>
      <c r="C9" s="79">
        <v>45400.916666666657</v>
      </c>
      <c r="D9" s="79">
        <v>45403.916666666657</v>
      </c>
      <c r="E9" s="91">
        <f t="shared" si="2"/>
        <v>3</v>
      </c>
      <c r="F9" s="94">
        <f ca="1">IF(B9="","",IF(B9="ユニット合計",SUMIF('GUN HV OFF時間記録'!B:B,A9,'GUN HV OFF時間記録'!F:F),IF(OR(B9=リスト!$E$7,B9=リスト!$E$5),SUMIF('GUN HV OFF時間記録'!$K$6:$K$111,C9,'GUN HV OFF時間記録'!$N$6:$N$111),0)))</f>
        <v>0</v>
      </c>
      <c r="G9" s="80"/>
      <c r="H9" s="94" t="str">
        <f t="shared" si="3"/>
        <v/>
      </c>
      <c r="I9" s="94" t="str">
        <f>IF($B9="ユニット合計",SUMIFS($E$4:$E$29545,$A$4:$A$29545,$A9,$B$4:$B$29545,リスト!$E$7),"")</f>
        <v/>
      </c>
      <c r="J9" s="94" t="str">
        <f>IF($B9="ユニット合計",SUMIFS($F$4:$F$29545,$A$4:$A$29545,$A9,$B$4:$B$29545,リスト!$E$7),"")</f>
        <v/>
      </c>
      <c r="K9" s="176" t="str">
        <f>IF($B9="ユニット合計",SUMIFS($E$4:$E$29545,$A$4:$A$29545,$A9,$B$4:$B$29545,リスト!$E$5),"")</f>
        <v/>
      </c>
      <c r="L9" s="94" t="str">
        <f>IF($B9="ユニット合計",SUMIFS($F$4:$F$29545,$A$4:$A$29545,$A9,$B$4:$B$29545,リスト!$E$5),"")</f>
        <v/>
      </c>
      <c r="M9" s="94" t="str">
        <f>IF($B9="ユニット合計",SUMIFS($E$4:$E$29545,$A$4:$A$29545,$A9,$B$4:$B$29545,リスト!$E$6),"")</f>
        <v/>
      </c>
    </row>
    <row r="10" spans="1:15" x14ac:dyDescent="0.2">
      <c r="A10" s="98" t="str">
        <f t="shared" si="1"/>
        <v>24-2</v>
      </c>
      <c r="B10" s="78" t="s">
        <v>108</v>
      </c>
      <c r="C10" s="79">
        <v>45403.916666666657</v>
      </c>
      <c r="D10" s="79">
        <v>45406.416666666657</v>
      </c>
      <c r="E10" s="91">
        <f t="shared" si="2"/>
        <v>2.5</v>
      </c>
      <c r="F10" s="94">
        <f>IF(B10="","",IF(B10="ユニット合計",SUMIF('GUN HV OFF時間記録'!B:B,A10,'GUN HV OFF時間記録'!F:F),IF(OR(B10=リスト!$E$7,B10=リスト!$E$5),SUMIF('GUN HV OFF時間記録'!$K$6:$K$111,C10,'GUN HV OFF時間記録'!$N$6:$N$111),0)))</f>
        <v>0</v>
      </c>
      <c r="G10" s="80" t="s">
        <v>242</v>
      </c>
      <c r="H10" s="94" t="str">
        <f t="shared" si="3"/>
        <v/>
      </c>
      <c r="I10" s="94" t="str">
        <f>IF($B10="ユニット合計",SUMIFS($E$4:$E$29545,$A$4:$A$29545,$A10,$B$4:$B$29545,リスト!$E$7),"")</f>
        <v/>
      </c>
      <c r="J10" s="94" t="str">
        <f>IF($B10="ユニット合計",SUMIFS($F$4:$F$29545,$A$4:$A$29545,$A10,$B$4:$B$29545,リスト!$E$7),"")</f>
        <v/>
      </c>
      <c r="K10" s="176" t="str">
        <f>IF($B10="ユニット合計",SUMIFS($E$4:$E$29545,$A$4:$A$29545,$A10,$B$4:$B$29545,リスト!$E$5),"")</f>
        <v/>
      </c>
      <c r="L10" s="94" t="str">
        <f>IF($B10="ユニット合計",SUMIFS($F$4:$F$29545,$A$4:$A$29545,$A10,$B$4:$B$29545,リスト!$E$5),"")</f>
        <v/>
      </c>
      <c r="M10" s="94" t="str">
        <f>IF($B10="ユニット合計",SUMIFS($E$4:$E$29545,$A$4:$A$29545,$A10,$B$4:$B$29545,リスト!$E$6),"")</f>
        <v/>
      </c>
    </row>
    <row r="11" spans="1:15" x14ac:dyDescent="0.2">
      <c r="A11" s="98" t="str">
        <f t="shared" si="1"/>
        <v>24-2</v>
      </c>
      <c r="B11" s="78" t="s">
        <v>206</v>
      </c>
      <c r="C11" s="79">
        <v>45406.416666666657</v>
      </c>
      <c r="D11" s="79">
        <v>45407.416666666657</v>
      </c>
      <c r="E11" s="91">
        <f t="shared" si="2"/>
        <v>1</v>
      </c>
      <c r="F11" s="94">
        <f ca="1">IF(B11="","",IF(B11="ユニット合計",SUMIF('GUN HV OFF時間記録'!B:B,A11,'GUN HV OFF時間記録'!F:F),IF(OR(B11=リスト!$E$7,B11=リスト!$E$5),SUMIF('GUN HV OFF時間記録'!$K$6:$K$111,C11,'GUN HV OFF時間記録'!$N$6:$N$111),0)))</f>
        <v>0</v>
      </c>
      <c r="G11" s="80" t="s">
        <v>243</v>
      </c>
      <c r="H11" s="94" t="str">
        <f t="shared" si="3"/>
        <v/>
      </c>
      <c r="I11" s="94" t="str">
        <f>IF($B11="ユニット合計",SUMIFS($E$4:$E$29545,$A$4:$A$29545,$A11,$B$4:$B$29545,リスト!$E$7),"")</f>
        <v/>
      </c>
      <c r="J11" s="94" t="str">
        <f>IF($B11="ユニット合計",SUMIFS($F$4:$F$29545,$A$4:$A$29545,$A11,$B$4:$B$29545,リスト!$E$7),"")</f>
        <v/>
      </c>
      <c r="K11" s="176" t="str">
        <f>IF($B11="ユニット合計",SUMIFS($E$4:$E$29545,$A$4:$A$29545,$A11,$B$4:$B$29545,リスト!$E$5),"")</f>
        <v/>
      </c>
      <c r="L11" s="94" t="str">
        <f>IF($B11="ユニット合計",SUMIFS($F$4:$F$29545,$A$4:$A$29545,$A11,$B$4:$B$29545,リスト!$E$5),"")</f>
        <v/>
      </c>
      <c r="M11" s="94" t="str">
        <f>IF($B11="ユニット合計",SUMIFS($E$4:$E$29545,$A$4:$A$29545,$A11,$B$4:$B$29545,リスト!$E$6),"")</f>
        <v/>
      </c>
    </row>
    <row r="12" spans="1:15" x14ac:dyDescent="0.2">
      <c r="A12" s="98" t="s">
        <v>240</v>
      </c>
      <c r="B12" s="78" t="s">
        <v>208</v>
      </c>
      <c r="C12" s="79">
        <v>45397.416666666657</v>
      </c>
      <c r="D12" s="79">
        <v>45407.416666666657</v>
      </c>
      <c r="E12" s="91">
        <f t="shared" si="2"/>
        <v>10</v>
      </c>
      <c r="F12" s="94">
        <f ca="1">IF(B12="","",IF(B12="ユニット合計",SUMIF('GUN HV OFF時間記録'!B:B,A12,'GUN HV OFF時間記録'!F:F),IF(OR(B12=リスト!$E$7,B12=リスト!$E$5),SUMIF('GUN HV OFF時間記録'!$K$6:$K$111,C12,'GUN HV OFF時間記録'!$N$6:$N$111),0)))</f>
        <v>0</v>
      </c>
      <c r="G12" s="80"/>
      <c r="H12" s="94">
        <f t="shared" si="3"/>
        <v>10</v>
      </c>
      <c r="I12" s="94">
        <f>IF($B12="ユニット合計",SUMIFS($E$4:$E$29545,$A$4:$A$29545,$A12,$B$4:$B$29545,リスト!$E$7),"")</f>
        <v>1</v>
      </c>
      <c r="J12" s="94">
        <f ca="1">IF($B12="ユニット合計",SUMIFS($F$4:$F$29545,$A$4:$A$29545,$A12,$B$4:$B$29545,リスト!$E$7),"")</f>
        <v>0</v>
      </c>
      <c r="K12" s="176">
        <f>IF($B12="ユニット合計",SUMIFS($E$4:$E$29545,$A$4:$A$29545,$A12,$B$4:$B$29545,リスト!$E$5),"")</f>
        <v>4.5</v>
      </c>
      <c r="L12" s="94">
        <f ca="1">IF($B12="ユニット合計",SUMIFS($F$4:$F$29545,$A$4:$A$29545,$A12,$B$4:$B$29545,リスト!$E$5),"")</f>
        <v>0</v>
      </c>
      <c r="M12" s="94">
        <f>IF($B12="ユニット合計",SUMIFS($E$4:$E$29545,$A$4:$A$29545,$A12,$B$4:$B$29545,リスト!$E$6),"")</f>
        <v>4.5</v>
      </c>
    </row>
    <row r="13" spans="1:15" x14ac:dyDescent="0.2">
      <c r="A13" s="98" t="str">
        <f t="shared" si="1"/>
        <v>24-3</v>
      </c>
      <c r="B13" s="78" t="s">
        <v>206</v>
      </c>
      <c r="C13" s="79">
        <v>45419.416666666657</v>
      </c>
      <c r="D13" s="79">
        <v>45422.416666666657</v>
      </c>
      <c r="E13" s="91">
        <f t="shared" si="2"/>
        <v>3</v>
      </c>
      <c r="F13" s="94">
        <f ca="1">IF(B13="","",IF(B13="ユニット合計",SUMIF('GUN HV OFF時間記録'!B:B,A13,'GUN HV OFF時間記録'!F:F),IF(OR(B13=リスト!$E$7,B13=リスト!$E$5),SUMIF('GUN HV OFF時間記録'!$K$6:$K$111,C13,'GUN HV OFF時間記録'!$N$6:$N$111),0)))</f>
        <v>0</v>
      </c>
      <c r="G13" s="80" t="s">
        <v>209</v>
      </c>
      <c r="H13" s="94" t="str">
        <f t="shared" si="3"/>
        <v/>
      </c>
      <c r="I13" s="94" t="str">
        <f>IF($B13="ユニット合計",SUMIFS($E$4:$E$29545,$A$4:$A$29545,$A13,$B$4:$B$29545,リスト!$E$7),"")</f>
        <v/>
      </c>
      <c r="J13" s="94" t="str">
        <f>IF($B13="ユニット合計",SUMIFS($F$4:$F$29545,$A$4:$A$29545,$A13,$B$4:$B$29545,リスト!$E$7),"")</f>
        <v/>
      </c>
      <c r="K13" s="176" t="str">
        <f>IF($B13="ユニット合計",SUMIFS($E$4:$E$29545,$A$4:$A$29545,$A13,$B$4:$B$29545,リスト!$E$5),"")</f>
        <v/>
      </c>
      <c r="L13" s="94" t="str">
        <f>IF($B13="ユニット合計",SUMIFS($F$4:$F$29545,$A$4:$A$29545,$A13,$B$4:$B$29545,リスト!$E$5),"")</f>
        <v/>
      </c>
      <c r="M13" s="94" t="str">
        <f>IF($B13="ユニット合計",SUMIFS($E$4:$E$29545,$A$4:$A$29545,$A13,$B$4:$B$29545,リスト!$E$6),"")</f>
        <v/>
      </c>
    </row>
    <row r="14" spans="1:15" x14ac:dyDescent="0.2">
      <c r="A14" s="98" t="str">
        <f t="shared" si="1"/>
        <v>24-3</v>
      </c>
      <c r="B14" s="78" t="s">
        <v>207</v>
      </c>
      <c r="C14" s="79">
        <v>45422.416666666657</v>
      </c>
      <c r="D14" s="79">
        <v>45426.916666666657</v>
      </c>
      <c r="E14" s="91">
        <f t="shared" si="2"/>
        <v>4.5</v>
      </c>
      <c r="F14" s="94">
        <f ca="1">IF(B14="","",IF(B14="ユニット合計",SUMIF('GUN HV OFF時間記録'!B:B,A14,'GUN HV OFF時間記録'!F:F),IF(OR(B14=リスト!$E$7,B14=リスト!$E$5),SUMIF('GUN HV OFF時間記録'!$K$6:$K$111,C14,'GUN HV OFF時間記録'!$N$6:$N$111),0)))</f>
        <v>0</v>
      </c>
      <c r="G14" s="80"/>
      <c r="H14" s="94" t="str">
        <f t="shared" si="3"/>
        <v/>
      </c>
      <c r="I14" s="94" t="str">
        <f>IF($B14="ユニット合計",SUMIFS($E$4:$E$29545,$A$4:$A$29545,$A14,$B$4:$B$29545,リスト!$E$7),"")</f>
        <v/>
      </c>
      <c r="J14" s="94" t="str">
        <f>IF($B14="ユニット合計",SUMIFS($F$4:$F$29545,$A$4:$A$29545,$A14,$B$4:$B$29545,リスト!$E$7),"")</f>
        <v/>
      </c>
      <c r="K14" s="176" t="str">
        <f>IF($B14="ユニット合計",SUMIFS($E$4:$E$29545,$A$4:$A$29545,$A14,$B$4:$B$29545,リスト!$E$5),"")</f>
        <v/>
      </c>
      <c r="L14" s="94" t="str">
        <f>IF($B14="ユニット合計",SUMIFS($F$4:$F$29545,$A$4:$A$29545,$A14,$B$4:$B$29545,リスト!$E$5),"")</f>
        <v/>
      </c>
      <c r="M14" s="94" t="str">
        <f>IF($B14="ユニット合計",SUMIFS($E$4:$E$29545,$A$4:$A$29545,$A14,$B$4:$B$29545,リスト!$E$6),"")</f>
        <v/>
      </c>
    </row>
    <row r="15" spans="1:15" x14ac:dyDescent="0.2">
      <c r="A15" s="98" t="str">
        <f t="shared" si="1"/>
        <v>24-3</v>
      </c>
      <c r="B15" s="78" t="s">
        <v>108</v>
      </c>
      <c r="C15" s="79">
        <v>45426.916666666657</v>
      </c>
      <c r="D15" s="79">
        <v>45429.416666666657</v>
      </c>
      <c r="E15" s="91">
        <f t="shared" si="2"/>
        <v>2.5</v>
      </c>
      <c r="F15" s="94">
        <f>IF(B15="","",IF(B15="ユニット合計",SUMIF('GUN HV OFF時間記録'!B:B,A15,'GUN HV OFF時間記録'!F:F),IF(OR(B15=リスト!$E$7,B15=リスト!$E$5),SUMIF('GUN HV OFF時間記録'!$K$6:$K$111,C15,'GUN HV OFF時間記録'!$N$6:$N$111),0)))</f>
        <v>0</v>
      </c>
      <c r="G15" s="80" t="s">
        <v>252</v>
      </c>
      <c r="H15" s="94" t="str">
        <f t="shared" si="3"/>
        <v/>
      </c>
      <c r="I15" s="94" t="str">
        <f>IF($B15="ユニット合計",SUMIFS($E$4:$E$29545,$A$4:$A$29545,$A15,$B$4:$B$29545,リスト!$E$7),"")</f>
        <v/>
      </c>
      <c r="J15" s="94" t="str">
        <f>IF($B15="ユニット合計",SUMIFS($F$4:$F$29545,$A$4:$A$29545,$A15,$B$4:$B$29545,リスト!$E$7),"")</f>
        <v/>
      </c>
      <c r="K15" s="176" t="str">
        <f>IF($B15="ユニット合計",SUMIFS($E$4:$E$29545,$A$4:$A$29545,$A15,$B$4:$B$29545,リスト!$E$5),"")</f>
        <v/>
      </c>
      <c r="L15" s="94" t="str">
        <f>IF($B15="ユニット合計",SUMIFS($F$4:$F$29545,$A$4:$A$29545,$A15,$B$4:$B$29545,リスト!$E$5),"")</f>
        <v/>
      </c>
      <c r="M15" s="94" t="str">
        <f>IF($B15="ユニット合計",SUMIFS($E$4:$E$29545,$A$4:$A$29545,$A15,$B$4:$B$29545,リスト!$E$6),"")</f>
        <v/>
      </c>
    </row>
    <row r="16" spans="1:15" x14ac:dyDescent="0.2">
      <c r="A16" s="98" t="str">
        <f t="shared" si="1"/>
        <v>24-3</v>
      </c>
      <c r="B16" s="78" t="s">
        <v>207</v>
      </c>
      <c r="C16" s="79">
        <v>45429.416666666657</v>
      </c>
      <c r="D16" s="79">
        <v>45429.916666666657</v>
      </c>
      <c r="E16" s="91">
        <f t="shared" si="2"/>
        <v>0.5</v>
      </c>
      <c r="F16" s="94">
        <f ca="1">IF(B16="","",IF(B16="ユニット合計",SUMIF('GUN HV OFF時間記録'!B:B,A16,'GUN HV OFF時間記録'!F:F),IF(OR(B16=リスト!$E$7,B16=リスト!$E$5),SUMIF('GUN HV OFF時間記録'!$K$6:$K$111,C16,'GUN HV OFF時間記録'!$N$6:$N$111),0)))</f>
        <v>0</v>
      </c>
      <c r="G16" s="80"/>
      <c r="H16" s="94" t="str">
        <f t="shared" si="3"/>
        <v/>
      </c>
      <c r="I16" s="94" t="str">
        <f>IF($B16="ユニット合計",SUMIFS($E$4:$E$29545,$A$4:$A$29545,$A16,$B$4:$B$29545,リスト!$E$7),"")</f>
        <v/>
      </c>
      <c r="J16" s="94" t="str">
        <f>IF($B16="ユニット合計",SUMIFS($F$4:$F$29545,$A$4:$A$29545,$A16,$B$4:$B$29545,リスト!$E$7),"")</f>
        <v/>
      </c>
      <c r="K16" s="176" t="str">
        <f>IF($B16="ユニット合計",SUMIFS($E$4:$E$29545,$A$4:$A$29545,$A16,$B$4:$B$29545,リスト!$E$5),"")</f>
        <v/>
      </c>
      <c r="L16" s="94" t="str">
        <f>IF($B16="ユニット合計",SUMIFS($F$4:$F$29545,$A$4:$A$29545,$A16,$B$4:$B$29545,リスト!$E$5),"")</f>
        <v/>
      </c>
      <c r="M16" s="94" t="str">
        <f>IF($B16="ユニット合計",SUMIFS($E$4:$E$29545,$A$4:$A$29545,$A16,$B$4:$B$29545,リスト!$E$6),"")</f>
        <v/>
      </c>
    </row>
    <row r="17" spans="1:13" x14ac:dyDescent="0.2">
      <c r="A17" s="98" t="str">
        <f t="shared" ref="A17:A53" si="4">IF(OR(B17="ユニット合計",B17="停止期間",B17=""),"",A18)</f>
        <v>24-3</v>
      </c>
      <c r="B17" s="78" t="s">
        <v>108</v>
      </c>
      <c r="C17" s="79">
        <v>45429.916666666657</v>
      </c>
      <c r="D17" s="79">
        <v>45431.916666666657</v>
      </c>
      <c r="E17" s="91">
        <f t="shared" si="2"/>
        <v>2</v>
      </c>
      <c r="F17" s="94">
        <f>IF(B17="","",IF(B17="ユニット合計",SUMIF('GUN HV OFF時間記録'!B:B,A17,'GUN HV OFF時間記録'!F:F),IF(OR(B17=リスト!$E$7,B17=リスト!$E$5),SUMIF('GUN HV OFF時間記録'!$K$6:$K$111,C17,'GUN HV OFF時間記録'!$N$6:$N$111),0)))</f>
        <v>0</v>
      </c>
      <c r="G17" s="80" t="s">
        <v>253</v>
      </c>
      <c r="H17" s="94" t="str">
        <f t="shared" ref="H17:H38" si="5">IF($B17="ユニット合計",D17-C17,"")</f>
        <v/>
      </c>
      <c r="I17" s="94" t="str">
        <f>IF($B17="ユニット合計",SUMIFS($E$4:$E$29545,$A$4:$A$29545,$A17,$B$4:$B$29545,リスト!$E$7),"")</f>
        <v/>
      </c>
      <c r="J17" s="94" t="str">
        <f>IF($B17="ユニット合計",SUMIFS($F$4:$F$29545,$A$4:$A$29545,$A17,$B$4:$B$29545,リスト!$E$7),"")</f>
        <v/>
      </c>
      <c r="K17" s="176" t="str">
        <f>IF($B17="ユニット合計",SUMIFS($E$4:$E$29545,$A$4:$A$29545,$A17,$B$4:$B$29545,リスト!$E$5),"")</f>
        <v/>
      </c>
      <c r="L17" s="94" t="str">
        <f>IF($B17="ユニット合計",SUMIFS($F$4:$F$29545,$A$4:$A$29545,$A17,$B$4:$B$29545,リスト!$E$5),"")</f>
        <v/>
      </c>
      <c r="M17" s="94" t="str">
        <f>IF($B17="ユニット合計",SUMIFS($E$4:$E$29545,$A$4:$A$29545,$A17,$B$4:$B$29545,リスト!$E$6),"")</f>
        <v/>
      </c>
    </row>
    <row r="18" spans="1:13" x14ac:dyDescent="0.2">
      <c r="A18" s="98" t="str">
        <f t="shared" si="4"/>
        <v>24-3</v>
      </c>
      <c r="B18" s="78" t="s">
        <v>207</v>
      </c>
      <c r="C18" s="79">
        <v>45431.916666666657</v>
      </c>
      <c r="D18" s="79">
        <v>45432.416666666657</v>
      </c>
      <c r="E18" s="91">
        <f t="shared" si="2"/>
        <v>0.5</v>
      </c>
      <c r="F18" s="94">
        <f ca="1">IF(B18="","",IF(B18="ユニット合計",SUMIF('GUN HV OFF時間記録'!B:B,A18,'GUN HV OFF時間記録'!F:F),IF(OR(B18=リスト!$E$7,B18=リスト!$E$5),SUMIF('GUN HV OFF時間記録'!$K$6:$K$111,C18,'GUN HV OFF時間記録'!$N$6:$N$111),0)))</f>
        <v>0</v>
      </c>
      <c r="G18" s="80"/>
      <c r="H18" s="94" t="str">
        <f t="shared" si="5"/>
        <v/>
      </c>
      <c r="I18" s="94" t="str">
        <f>IF($B18="ユニット合計",SUMIFS($E$4:$E$29545,$A$4:$A$29545,$A18,$B$4:$B$29545,リスト!$E$7),"")</f>
        <v/>
      </c>
      <c r="J18" s="94" t="str">
        <f>IF($B18="ユニット合計",SUMIFS($F$4:$F$29545,$A$4:$A$29545,$A18,$B$4:$B$29545,リスト!$E$7),"")</f>
        <v/>
      </c>
      <c r="K18" s="176" t="str">
        <f>IF($B18="ユニット合計",SUMIFS($E$4:$E$29545,$A$4:$A$29545,$A18,$B$4:$B$29545,リスト!$E$5),"")</f>
        <v/>
      </c>
      <c r="L18" s="94" t="str">
        <f>IF($B18="ユニット合計",SUMIFS($F$4:$F$29545,$A$4:$A$29545,$A18,$B$4:$B$29545,リスト!$E$5),"")</f>
        <v/>
      </c>
      <c r="M18" s="94" t="str">
        <f>IF($B18="ユニット合計",SUMIFS($E$4:$E$29545,$A$4:$A$29545,$A18,$B$4:$B$29545,リスト!$E$6),"")</f>
        <v/>
      </c>
    </row>
    <row r="19" spans="1:13" x14ac:dyDescent="0.2">
      <c r="A19" s="98" t="s">
        <v>250</v>
      </c>
      <c r="B19" s="78" t="s">
        <v>208</v>
      </c>
      <c r="C19" s="79">
        <v>45419.416666666657</v>
      </c>
      <c r="D19" s="79">
        <v>45432.416666666657</v>
      </c>
      <c r="E19" s="91">
        <f t="shared" si="2"/>
        <v>13</v>
      </c>
      <c r="F19" s="94">
        <f ca="1">IF(B19="","",IF(B19="ユニット合計",SUMIF('GUN HV OFF時間記録'!B:B,A19,'GUN HV OFF時間記録'!F:F),IF(OR(B19=リスト!$E$7,B19=リスト!$E$5),SUMIF('GUN HV OFF時間記録'!$K$6:$K$111,C19,'GUN HV OFF時間記録'!$N$6:$N$111),0)))</f>
        <v>0</v>
      </c>
      <c r="G19" s="80"/>
      <c r="H19" s="94">
        <f t="shared" si="5"/>
        <v>13</v>
      </c>
      <c r="I19" s="94">
        <f>IF($B19="ユニット合計",SUMIFS($E$4:$E$29545,$A$4:$A$29545,$A19,$B$4:$B$29545,リスト!$E$7),"")</f>
        <v>3</v>
      </c>
      <c r="J19" s="94">
        <f ca="1">IF($B19="ユニット合計",SUMIFS($F$4:$F$29545,$A$4:$A$29545,$A19,$B$4:$B$29545,リスト!$E$7),"")</f>
        <v>0</v>
      </c>
      <c r="K19" s="176">
        <f>IF($B19="ユニット合計",SUMIFS($E$4:$E$29545,$A$4:$A$29545,$A19,$B$4:$B$29545,リスト!$E$5),"")</f>
        <v>5.5</v>
      </c>
      <c r="L19" s="94">
        <f ca="1">IF($B19="ユニット合計",SUMIFS($F$4:$F$29545,$A$4:$A$29545,$A19,$B$4:$B$29545,リスト!$E$5),"")</f>
        <v>0</v>
      </c>
      <c r="M19" s="94">
        <f>IF($B19="ユニット合計",SUMIFS($E$4:$E$29545,$A$4:$A$29545,$A19,$B$4:$B$29545,リスト!$E$6),"")</f>
        <v>4.5</v>
      </c>
    </row>
    <row r="20" spans="1:13" x14ac:dyDescent="0.2">
      <c r="A20" s="98" t="str">
        <f t="shared" si="4"/>
        <v>24-4</v>
      </c>
      <c r="B20" s="78" t="s">
        <v>207</v>
      </c>
      <c r="C20" s="79">
        <v>45432.416666666657</v>
      </c>
      <c r="D20" s="79">
        <v>45433.916666666657</v>
      </c>
      <c r="E20" s="91">
        <f t="shared" si="2"/>
        <v>1.5</v>
      </c>
      <c r="F20" s="94">
        <f ca="1">IF(B20="","",IF(B20="ユニット合計",SUMIF('GUN HV OFF時間記録'!B:B,A20,'GUN HV OFF時間記録'!F:F),IF(OR(B20=リスト!$E$7,B20=リスト!$E$5),SUMIF('GUN HV OFF時間記録'!$K$6:$K$111,C20,'GUN HV OFF時間記録'!$N$6:$N$111),0)))</f>
        <v>0</v>
      </c>
      <c r="G20" s="80"/>
      <c r="H20" s="94" t="str">
        <f t="shared" si="5"/>
        <v/>
      </c>
      <c r="I20" s="94" t="str">
        <f>IF($B20="ユニット合計",SUMIFS($E$4:$E$29545,$A$4:$A$29545,$A20,$B$4:$B$29545,リスト!$E$7),"")</f>
        <v/>
      </c>
      <c r="J20" s="94" t="str">
        <f>IF($B20="ユニット合計",SUMIFS($F$4:$F$29545,$A$4:$A$29545,$A20,$B$4:$B$29545,リスト!$E$7),"")</f>
        <v/>
      </c>
      <c r="K20" s="176" t="str">
        <f>IF($B20="ユニット合計",SUMIFS($E$4:$E$29545,$A$4:$A$29545,$A20,$B$4:$B$29545,リスト!$E$5),"")</f>
        <v/>
      </c>
      <c r="L20" s="94" t="str">
        <f>IF($B20="ユニット合計",SUMIFS($F$4:$F$29545,$A$4:$A$29545,$A20,$B$4:$B$29545,リスト!$E$5),"")</f>
        <v/>
      </c>
      <c r="M20" s="94" t="str">
        <f>IF($B20="ユニット合計",SUMIFS($E$4:$E$29545,$A$4:$A$29545,$A20,$B$4:$B$29545,リスト!$E$6),"")</f>
        <v/>
      </c>
    </row>
    <row r="21" spans="1:13" x14ac:dyDescent="0.2">
      <c r="A21" s="98" t="str">
        <f t="shared" si="4"/>
        <v>24-4</v>
      </c>
      <c r="B21" s="78" t="s">
        <v>108</v>
      </c>
      <c r="C21" s="79">
        <v>45433.916666666657</v>
      </c>
      <c r="D21" s="79">
        <v>45435.416666666657</v>
      </c>
      <c r="E21" s="91">
        <f t="shared" si="2"/>
        <v>1.5</v>
      </c>
      <c r="F21" s="94">
        <f>IF(B21="","",IF(B21="ユニット合計",SUMIF('GUN HV OFF時間記録'!B:B,A21,'GUN HV OFF時間記録'!F:F),IF(OR(B21=リスト!$E$7,B21=リスト!$E$5),SUMIF('GUN HV OFF時間記録'!$K$6:$K$111,C21,'GUN HV OFF時間記録'!$N$6:$N$111),0)))</f>
        <v>0</v>
      </c>
      <c r="G21" s="80" t="s">
        <v>259</v>
      </c>
      <c r="H21" s="94" t="str">
        <f t="shared" si="5"/>
        <v/>
      </c>
      <c r="I21" s="94" t="str">
        <f>IF($B21="ユニット合計",SUMIFS($E$4:$E$29545,$A$4:$A$29545,$A21,$B$4:$B$29545,リスト!$E$7),"")</f>
        <v/>
      </c>
      <c r="J21" s="94" t="str">
        <f>IF($B21="ユニット合計",SUMIFS($F$4:$F$29545,$A$4:$A$29545,$A21,$B$4:$B$29545,リスト!$E$7),"")</f>
        <v/>
      </c>
      <c r="K21" s="176" t="str">
        <f>IF($B21="ユニット合計",SUMIFS($E$4:$E$29545,$A$4:$A$29545,$A21,$B$4:$B$29545,リスト!$E$5),"")</f>
        <v/>
      </c>
      <c r="L21" s="94" t="str">
        <f>IF($B21="ユニット合計",SUMIFS($F$4:$F$29545,$A$4:$A$29545,$A21,$B$4:$B$29545,リスト!$E$5),"")</f>
        <v/>
      </c>
      <c r="M21" s="94" t="str">
        <f>IF($B21="ユニット合計",SUMIFS($E$4:$E$29545,$A$4:$A$29545,$A21,$B$4:$B$29545,リスト!$E$6),"")</f>
        <v/>
      </c>
    </row>
    <row r="22" spans="1:13" x14ac:dyDescent="0.2">
      <c r="A22" s="98" t="str">
        <f t="shared" si="4"/>
        <v>24-4</v>
      </c>
      <c r="B22" s="78" t="s">
        <v>108</v>
      </c>
      <c r="C22" s="79">
        <v>45435.416666666657</v>
      </c>
      <c r="D22" s="79">
        <v>45435.916666666657</v>
      </c>
      <c r="E22" s="91">
        <f t="shared" si="2"/>
        <v>0.5</v>
      </c>
      <c r="F22" s="94">
        <f>IF(B22="","",IF(B22="ユニット合計",SUMIF('GUN HV OFF時間記録'!B:B,A22,'GUN HV OFF時間記録'!F:F),IF(OR(B22=リスト!$E$7,B22=リスト!$E$5),SUMIF('GUN HV OFF時間記録'!$K$6:$K$111,C22,'GUN HV OFF時間記録'!$N$6:$N$111),0)))</f>
        <v>0</v>
      </c>
      <c r="G22" s="80" t="s">
        <v>260</v>
      </c>
      <c r="H22" s="94" t="str">
        <f t="shared" si="5"/>
        <v/>
      </c>
      <c r="I22" s="94" t="str">
        <f>IF($B22="ユニット合計",SUMIFS($E$4:$E$29545,$A$4:$A$29545,$A22,$B$4:$B$29545,リスト!$E$7),"")</f>
        <v/>
      </c>
      <c r="J22" s="94" t="str">
        <f>IF($B22="ユニット合計",SUMIFS($F$4:$F$29545,$A$4:$A$29545,$A22,$B$4:$B$29545,リスト!$E$7),"")</f>
        <v/>
      </c>
      <c r="K22" s="176" t="str">
        <f>IF($B22="ユニット合計",SUMIFS($E$4:$E$29545,$A$4:$A$29545,$A22,$B$4:$B$29545,リスト!$E$5),"")</f>
        <v/>
      </c>
      <c r="L22" s="94" t="str">
        <f>IF($B22="ユニット合計",SUMIFS($F$4:$F$29545,$A$4:$A$29545,$A22,$B$4:$B$29545,リスト!$E$5),"")</f>
        <v/>
      </c>
      <c r="M22" s="94" t="str">
        <f>IF($B22="ユニット合計",SUMIFS($E$4:$E$29545,$A$4:$A$29545,$A22,$B$4:$B$29545,リスト!$E$6),"")</f>
        <v/>
      </c>
    </row>
    <row r="23" spans="1:13" x14ac:dyDescent="0.2">
      <c r="A23" s="98" t="str">
        <f t="shared" si="4"/>
        <v>24-4</v>
      </c>
      <c r="B23" s="78" t="s">
        <v>207</v>
      </c>
      <c r="C23" s="79">
        <v>45435.916666666657</v>
      </c>
      <c r="D23" s="79">
        <v>45436.916666666657</v>
      </c>
      <c r="E23" s="91">
        <f t="shared" si="2"/>
        <v>1</v>
      </c>
      <c r="F23" s="94">
        <f ca="1">IF(B23="","",IF(B23="ユニット合計",SUMIF('GUN HV OFF時間記録'!B:B,A23,'GUN HV OFF時間記録'!F:F),IF(OR(B23=リスト!$E$7,B23=リスト!$E$5),SUMIF('GUN HV OFF時間記録'!$K$6:$K$111,C23,'GUN HV OFF時間記録'!$N$6:$N$111),0)))</f>
        <v>0</v>
      </c>
      <c r="G23" s="80"/>
      <c r="H23" s="94" t="str">
        <f t="shared" si="5"/>
        <v/>
      </c>
      <c r="I23" s="94" t="str">
        <f>IF($B23="ユニット合計",SUMIFS($E$4:$E$29545,$A$4:$A$29545,$A23,$B$4:$B$29545,リスト!$E$7),"")</f>
        <v/>
      </c>
      <c r="J23" s="94" t="str">
        <f>IF($B23="ユニット合計",SUMIFS($F$4:$F$29545,$A$4:$A$29545,$A23,$B$4:$B$29545,リスト!$E$7),"")</f>
        <v/>
      </c>
      <c r="K23" s="176" t="str">
        <f>IF($B23="ユニット合計",SUMIFS($E$4:$E$29545,$A$4:$A$29545,$A23,$B$4:$B$29545,リスト!$E$5),"")</f>
        <v/>
      </c>
      <c r="L23" s="94" t="str">
        <f>IF($B23="ユニット合計",SUMIFS($F$4:$F$29545,$A$4:$A$29545,$A23,$B$4:$B$29545,リスト!$E$5),"")</f>
        <v/>
      </c>
      <c r="M23" s="94" t="str">
        <f>IF($B23="ユニット合計",SUMIFS($E$4:$E$29545,$A$4:$A$29545,$A23,$B$4:$B$29545,リスト!$E$6),"")</f>
        <v/>
      </c>
    </row>
    <row r="24" spans="1:13" x14ac:dyDescent="0.2">
      <c r="A24" s="98" t="str">
        <f t="shared" si="4"/>
        <v>24-4</v>
      </c>
      <c r="B24" s="78" t="s">
        <v>108</v>
      </c>
      <c r="C24" s="79">
        <v>45436.916666666657</v>
      </c>
      <c r="D24" s="79">
        <v>45438.416666666657</v>
      </c>
      <c r="E24" s="91">
        <f t="shared" si="2"/>
        <v>1.5</v>
      </c>
      <c r="F24" s="94">
        <f>IF(B24="","",IF(B24="ユニット合計",SUMIF('GUN HV OFF時間記録'!B:B,A24,'GUN HV OFF時間記録'!F:F),IF(OR(B24=リスト!$E$7,B24=リスト!$E$5),SUMIF('GUN HV OFF時間記録'!$K$6:$K$111,C24,'GUN HV OFF時間記録'!$N$6:$N$111),0)))</f>
        <v>0</v>
      </c>
      <c r="G24" s="80" t="s">
        <v>261</v>
      </c>
      <c r="H24" s="94" t="str">
        <f t="shared" si="5"/>
        <v/>
      </c>
      <c r="I24" s="94" t="str">
        <f>IF($B24="ユニット合計",SUMIFS($E$4:$E$29545,$A$4:$A$29545,$A24,$B$4:$B$29545,リスト!$E$7),"")</f>
        <v/>
      </c>
      <c r="J24" s="94" t="str">
        <f>IF($B24="ユニット合計",SUMIFS($F$4:$F$29545,$A$4:$A$29545,$A24,$B$4:$B$29545,リスト!$E$7),"")</f>
        <v/>
      </c>
      <c r="K24" s="176" t="str">
        <f>IF($B24="ユニット合計",SUMIFS($E$4:$E$29545,$A$4:$A$29545,$A24,$B$4:$B$29545,リスト!$E$5),"")</f>
        <v/>
      </c>
      <c r="L24" s="94" t="str">
        <f>IF($B24="ユニット合計",SUMIFS($F$4:$F$29545,$A$4:$A$29545,$A24,$B$4:$B$29545,リスト!$E$5),"")</f>
        <v/>
      </c>
      <c r="M24" s="94" t="str">
        <f>IF($B24="ユニット合計",SUMIFS($E$4:$E$29545,$A$4:$A$29545,$A24,$B$4:$B$29545,リスト!$E$6),"")</f>
        <v/>
      </c>
    </row>
    <row r="25" spans="1:13" x14ac:dyDescent="0.2">
      <c r="A25" s="98" t="str">
        <f t="shared" si="4"/>
        <v>24-4</v>
      </c>
      <c r="B25" s="78" t="s">
        <v>207</v>
      </c>
      <c r="C25" s="79">
        <v>45438.416666666657</v>
      </c>
      <c r="D25" s="79">
        <v>45443.916666666657</v>
      </c>
      <c r="E25" s="91">
        <f t="shared" si="2"/>
        <v>5.5</v>
      </c>
      <c r="F25" s="94">
        <f ca="1">IF(B25="","",IF(B25="ユニット合計",SUMIF('GUN HV OFF時間記録'!B:B,A25,'GUN HV OFF時間記録'!F:F),IF(OR(B25=リスト!$E$7,B25=リスト!$E$5),SUMIF('GUN HV OFF時間記録'!$K$6:$K$111,C25,'GUN HV OFF時間記録'!$N$6:$N$111),0)))</f>
        <v>0</v>
      </c>
      <c r="G25" s="80"/>
      <c r="H25" s="94" t="str">
        <f t="shared" si="5"/>
        <v/>
      </c>
      <c r="I25" s="94" t="str">
        <f>IF($B25="ユニット合計",SUMIFS($E$4:$E$29545,$A$4:$A$29545,$A25,$B$4:$B$29545,リスト!$E$7),"")</f>
        <v/>
      </c>
      <c r="J25" s="94" t="str">
        <f>IF($B25="ユニット合計",SUMIFS($F$4:$F$29545,$A$4:$A$29545,$A25,$B$4:$B$29545,リスト!$E$7),"")</f>
        <v/>
      </c>
      <c r="K25" s="176" t="str">
        <f>IF($B25="ユニット合計",SUMIFS($E$4:$E$29545,$A$4:$A$29545,$A25,$B$4:$B$29545,リスト!$E$5),"")</f>
        <v/>
      </c>
      <c r="L25" s="94" t="str">
        <f>IF($B25="ユニット合計",SUMIFS($F$4:$F$29545,$A$4:$A$29545,$A25,$B$4:$B$29545,リスト!$E$5),"")</f>
        <v/>
      </c>
      <c r="M25" s="94" t="str">
        <f>IF($B25="ユニット合計",SUMIFS($E$4:$E$29545,$A$4:$A$29545,$A25,$B$4:$B$29545,リスト!$E$6),"")</f>
        <v/>
      </c>
    </row>
    <row r="26" spans="1:13" x14ac:dyDescent="0.2">
      <c r="A26" s="98" t="str">
        <f t="shared" si="4"/>
        <v>24-4</v>
      </c>
      <c r="B26" s="78" t="s">
        <v>108</v>
      </c>
      <c r="C26" s="79">
        <v>45443.916666666657</v>
      </c>
      <c r="D26" s="79">
        <v>45445.916666666657</v>
      </c>
      <c r="E26" s="91">
        <f t="shared" si="2"/>
        <v>2</v>
      </c>
      <c r="F26" s="94">
        <f>IF(B26="","",IF(B26="ユニット合計",SUMIF('GUN HV OFF時間記録'!B:B,A26,'GUN HV OFF時間記録'!F:F),IF(OR(B26=リスト!$E$7,B26=リスト!$E$5),SUMIF('GUN HV OFF時間記録'!$K$6:$K$111,C26,'GUN HV OFF時間記録'!$N$6:$N$111),0)))</f>
        <v>0</v>
      </c>
      <c r="G26" s="80" t="s">
        <v>262</v>
      </c>
      <c r="H26" s="94" t="str">
        <f t="shared" si="5"/>
        <v/>
      </c>
      <c r="I26" s="94" t="str">
        <f>IF($B26="ユニット合計",SUMIFS($E$4:$E$29545,$A$4:$A$29545,$A26,$B$4:$B$29545,リスト!$E$7),"")</f>
        <v/>
      </c>
      <c r="J26" s="94" t="str">
        <f>IF($B26="ユニット合計",SUMIFS($F$4:$F$29545,$A$4:$A$29545,$A26,$B$4:$B$29545,リスト!$E$7),"")</f>
        <v/>
      </c>
      <c r="K26" s="176" t="str">
        <f>IF($B26="ユニット合計",SUMIFS($E$4:$E$29545,$A$4:$A$29545,$A26,$B$4:$B$29545,リスト!$E$5),"")</f>
        <v/>
      </c>
      <c r="L26" s="94" t="str">
        <f>IF($B26="ユニット合計",SUMIFS($F$4:$F$29545,$A$4:$A$29545,$A26,$B$4:$B$29545,リスト!$E$5),"")</f>
        <v/>
      </c>
      <c r="M26" s="94" t="str">
        <f>IF($B26="ユニット合計",SUMIFS($E$4:$E$29545,$A$4:$A$29545,$A26,$B$4:$B$29545,リスト!$E$6),"")</f>
        <v/>
      </c>
    </row>
    <row r="27" spans="1:13" x14ac:dyDescent="0.2">
      <c r="A27" s="98" t="str">
        <f t="shared" si="4"/>
        <v>24-4</v>
      </c>
      <c r="B27" s="78" t="s">
        <v>207</v>
      </c>
      <c r="C27" s="79">
        <v>45445.916666666657</v>
      </c>
      <c r="D27" s="79">
        <v>45446.416666666657</v>
      </c>
      <c r="E27" s="91">
        <f t="shared" si="2"/>
        <v>0.5</v>
      </c>
      <c r="F27" s="94">
        <f ca="1">IF(B27="","",IF(B27="ユニット合計",SUMIF('GUN HV OFF時間記録'!B:B,A27,'GUN HV OFF時間記録'!F:F),IF(OR(B27=リスト!$E$7,B27=リスト!$E$5),SUMIF('GUN HV OFF時間記録'!$K$6:$K$111,C27,'GUN HV OFF時間記録'!$N$6:$N$111),0)))</f>
        <v>0</v>
      </c>
      <c r="G27" s="80"/>
      <c r="H27" s="94" t="str">
        <f t="shared" si="5"/>
        <v/>
      </c>
      <c r="I27" s="94" t="str">
        <f>IF($B27="ユニット合計",SUMIFS($E$4:$E$29545,$A$4:$A$29545,$A27,$B$4:$B$29545,リスト!$E$7),"")</f>
        <v/>
      </c>
      <c r="J27" s="94" t="str">
        <f>IF($B27="ユニット合計",SUMIFS($F$4:$F$29545,$A$4:$A$29545,$A27,$B$4:$B$29545,リスト!$E$7),"")</f>
        <v/>
      </c>
      <c r="K27" s="176" t="str">
        <f>IF($B27="ユニット合計",SUMIFS($E$4:$E$29545,$A$4:$A$29545,$A27,$B$4:$B$29545,リスト!$E$5),"")</f>
        <v/>
      </c>
      <c r="L27" s="94" t="str">
        <f>IF($B27="ユニット合計",SUMIFS($F$4:$F$29545,$A$4:$A$29545,$A27,$B$4:$B$29545,リスト!$E$5),"")</f>
        <v/>
      </c>
      <c r="M27" s="94" t="str">
        <f>IF($B27="ユニット合計",SUMIFS($E$4:$E$29545,$A$4:$A$29545,$A27,$B$4:$B$29545,リスト!$E$6),"")</f>
        <v/>
      </c>
    </row>
    <row r="28" spans="1:13" x14ac:dyDescent="0.2">
      <c r="A28" s="98" t="s">
        <v>258</v>
      </c>
      <c r="B28" s="78" t="s">
        <v>208</v>
      </c>
      <c r="C28" s="79">
        <v>45432.416666666657</v>
      </c>
      <c r="D28" s="79">
        <v>45446.416666666657</v>
      </c>
      <c r="E28" s="91">
        <f t="shared" si="2"/>
        <v>14</v>
      </c>
      <c r="F28" s="94">
        <f ca="1">IF(B28="","",IF(B28="ユニット合計",SUMIF('GUN HV OFF時間記録'!B:B,A28,'GUN HV OFF時間記録'!F:F),IF(OR(B28=リスト!$E$7,B28=リスト!$E$5),SUMIF('GUN HV OFF時間記録'!$K$6:$K$111,C28,'GUN HV OFF時間記録'!$N$6:$N$111),0)))</f>
        <v>0</v>
      </c>
      <c r="G28" s="80"/>
      <c r="H28" s="94">
        <f t="shared" si="5"/>
        <v>14</v>
      </c>
      <c r="I28" s="94">
        <f>IF($B28="ユニット合計",SUMIFS($E$4:$E$29545,$A$4:$A$29545,$A28,$B$4:$B$29545,リスト!$E$7),"")</f>
        <v>0</v>
      </c>
      <c r="J28" s="94">
        <f>IF($B28="ユニット合計",SUMIFS($F$4:$F$29545,$A$4:$A$29545,$A28,$B$4:$B$29545,リスト!$E$7),"")</f>
        <v>0</v>
      </c>
      <c r="K28" s="176">
        <f>IF($B28="ユニット合計",SUMIFS($E$4:$E$29545,$A$4:$A$29545,$A28,$B$4:$B$29545,リスト!$E$5),"")</f>
        <v>8.5</v>
      </c>
      <c r="L28" s="94">
        <f ca="1">IF($B28="ユニット合計",SUMIFS($F$4:$F$29545,$A$4:$A$29545,$A28,$B$4:$B$29545,リスト!$E$5),"")</f>
        <v>0</v>
      </c>
      <c r="M28" s="94">
        <f>IF($B28="ユニット合計",SUMIFS($E$4:$E$29545,$A$4:$A$29545,$A28,$B$4:$B$29545,リスト!$E$6),"")</f>
        <v>5.5</v>
      </c>
    </row>
    <row r="29" spans="1:13" x14ac:dyDescent="0.2">
      <c r="A29" s="98" t="str">
        <f>IF(OR(B29="ユニット合計",B29="停止期間",B29=""),"",A32)</f>
        <v>24-5</v>
      </c>
      <c r="B29" s="78" t="s">
        <v>207</v>
      </c>
      <c r="C29" s="79">
        <v>45446.416666666664</v>
      </c>
      <c r="D29" s="79">
        <v>45448.416666666664</v>
      </c>
      <c r="E29" s="91">
        <f t="shared" si="2"/>
        <v>2</v>
      </c>
      <c r="F29" s="94">
        <f ca="1">IF(B29="","",IF(B29="ユニット合計",SUMIF('GUN HV OFF時間記録'!B:B,A29,'GUN HV OFF時間記録'!F:F),IF(OR(B29=リスト!$E$7,B29=リスト!$E$5),SUMIF('GUN HV OFF時間記録'!$K$6:$K$111,C29,'GUN HV OFF時間記録'!$N$6:$N$111),0)))</f>
        <v>0</v>
      </c>
      <c r="G29" s="80"/>
      <c r="H29" s="94" t="str">
        <f t="shared" si="5"/>
        <v/>
      </c>
      <c r="I29" s="94" t="str">
        <f>IF($B29="ユニット合計",SUMIFS($E$4:$E$29545,$A$4:$A$29545,$A29,$B$4:$B$29545,リスト!$E$7),"")</f>
        <v/>
      </c>
      <c r="J29" s="94" t="str">
        <f>IF($B29="ユニット合計",SUMIFS($F$4:$F$29545,$A$4:$A$29545,$A29,$B$4:$B$29545,リスト!$E$7),"")</f>
        <v/>
      </c>
      <c r="K29" s="176" t="str">
        <f>IF($B29="ユニット合計",SUMIFS($E$4:$E$29545,$A$4:$A$29545,$A29,$B$4:$B$29545,リスト!$E$5),"")</f>
        <v/>
      </c>
      <c r="L29" s="94" t="str">
        <f>IF($B29="ユニット合計",SUMIFS($F$4:$F$29545,$A$4:$A$29545,$A29,$B$4:$B$29545,リスト!$E$5),"")</f>
        <v/>
      </c>
      <c r="M29" s="94" t="str">
        <f>IF($B29="ユニット合計",SUMIFS($E$4:$E$29545,$A$4:$A$29545,$A29,$B$4:$B$29545,リスト!$E$6),"")</f>
        <v/>
      </c>
    </row>
    <row r="30" spans="1:13" x14ac:dyDescent="0.2">
      <c r="A30" s="98" t="str">
        <f t="shared" ref="A30:A31" si="6">IF(OR(B30="ユニット合計",B30="停止期間",B30=""),"",A34)</f>
        <v>24-5</v>
      </c>
      <c r="B30" s="78" t="s">
        <v>108</v>
      </c>
      <c r="C30" s="79">
        <v>45448.416666666664</v>
      </c>
      <c r="D30" s="79">
        <v>45448.916666666664</v>
      </c>
      <c r="E30" s="91">
        <f t="shared" si="2"/>
        <v>0.5</v>
      </c>
      <c r="F30" s="94">
        <f>IF(B30="","",IF(B30="ユニット合計",SUMIF('GUN HV OFF時間記録'!B:B,A30,'GUN HV OFF時間記録'!F:F),IF(OR(B30=リスト!$E$7,B30=リスト!$E$5),SUMIF('GUN HV OFF時間記録'!$K$6:$K$111,C30,'GUN HV OFF時間記録'!$N$6:$N$111),0)))</f>
        <v>0</v>
      </c>
      <c r="G30" s="80" t="s">
        <v>266</v>
      </c>
      <c r="H30" s="276"/>
      <c r="I30" s="276"/>
      <c r="J30" s="276"/>
      <c r="K30" s="176"/>
      <c r="L30" s="276"/>
      <c r="M30" s="276"/>
    </row>
    <row r="31" spans="1:13" x14ac:dyDescent="0.2">
      <c r="A31" s="98" t="str">
        <f t="shared" si="6"/>
        <v>24-5</v>
      </c>
      <c r="B31" s="78" t="s">
        <v>207</v>
      </c>
      <c r="C31" s="79">
        <v>45448.916666666664</v>
      </c>
      <c r="D31" s="79">
        <v>45449.416666666664</v>
      </c>
      <c r="E31" s="91">
        <f t="shared" si="2"/>
        <v>0.5</v>
      </c>
      <c r="F31" s="94">
        <f ca="1">IF(B31="","",IF(B31="ユニット合計",SUMIF('GUN HV OFF時間記録'!B:B,A31,'GUN HV OFF時間記録'!F:F),IF(OR(B31=リスト!$E$7,B31=リスト!$E$5),SUMIF('GUN HV OFF時間記録'!$K$6:$K$111,C31,'GUN HV OFF時間記録'!$N$6:$N$111),0)))</f>
        <v>0</v>
      </c>
      <c r="G31" s="277"/>
      <c r="H31" s="276"/>
      <c r="I31" s="276"/>
      <c r="J31" s="276"/>
      <c r="K31" s="176"/>
      <c r="L31" s="276"/>
      <c r="M31" s="276"/>
    </row>
    <row r="32" spans="1:13" x14ac:dyDescent="0.2">
      <c r="A32" s="98" t="str">
        <f>IF(OR(B32="ユニット合計",B32="停止期間",B32=""),"",A33)</f>
        <v>24-5</v>
      </c>
      <c r="B32" s="78" t="s">
        <v>108</v>
      </c>
      <c r="C32" s="79">
        <v>45449.416666666664</v>
      </c>
      <c r="D32" s="79">
        <v>45453.416666666664</v>
      </c>
      <c r="E32" s="91">
        <f t="shared" si="2"/>
        <v>4</v>
      </c>
      <c r="F32" s="94">
        <f>IF(B32="","",IF(B32="ユニット合計",SUMIF('GUN HV OFF時間記録'!B:B,A32,'GUN HV OFF時間記録'!F:F),IF(OR(B32=リスト!$E$7,B32=リスト!$E$5),SUMIF('GUN HV OFF時間記録'!$K$6:$K$111,C32,'GUN HV OFF時間記録'!$N$6:$N$111),0)))</f>
        <v>0</v>
      </c>
      <c r="G32" s="80" t="s">
        <v>271</v>
      </c>
      <c r="H32" s="94" t="str">
        <f t="shared" si="5"/>
        <v/>
      </c>
      <c r="I32" s="94" t="str">
        <f>IF($B32="ユニット合計",SUMIFS($E$4:$E$29545,$A$4:$A$29545,$A32,$B$4:$B$29545,リスト!$E$7),"")</f>
        <v/>
      </c>
      <c r="J32" s="94" t="str">
        <f>IF($B32="ユニット合計",SUMIFS($F$4:$F$29545,$A$4:$A$29545,$A32,$B$4:$B$29545,リスト!$E$7),"")</f>
        <v/>
      </c>
      <c r="K32" s="176" t="str">
        <f>IF($B32="ユニット合計",SUMIFS($E$4:$E$29545,$A$4:$A$29545,$A32,$B$4:$B$29545,リスト!$E$5),"")</f>
        <v/>
      </c>
      <c r="L32" s="94" t="str">
        <f>IF($B32="ユニット合計",SUMIFS($F$4:$F$29545,$A$4:$A$29545,$A32,$B$4:$B$29545,リスト!$E$5),"")</f>
        <v/>
      </c>
      <c r="M32" s="94" t="str">
        <f>IF($B32="ユニット合計",SUMIFS($E$4:$E$29545,$A$4:$A$29545,$A32,$B$4:$B$29545,リスト!$E$6),"")</f>
        <v/>
      </c>
    </row>
    <row r="33" spans="1:13" x14ac:dyDescent="0.2">
      <c r="A33" s="98" t="str">
        <f t="shared" si="4"/>
        <v>24-5</v>
      </c>
      <c r="B33" s="78" t="s">
        <v>207</v>
      </c>
      <c r="C33" s="79">
        <v>45453.416666666664</v>
      </c>
      <c r="D33" s="79">
        <v>45455.916666666664</v>
      </c>
      <c r="E33" s="91">
        <f t="shared" si="2"/>
        <v>2.5</v>
      </c>
      <c r="F33" s="94">
        <f ca="1">IF(B33="","",IF(B33="ユニット合計",SUMIF('GUN HV OFF時間記録'!B:B,A33,'GUN HV OFF時間記録'!F:F),IF(OR(B33=リスト!$E$7,B33=リスト!$E$5),SUMIF('GUN HV OFF時間記録'!$K$6:$K$111,C33,'GUN HV OFF時間記録'!$N$6:$N$111),0)))</f>
        <v>0</v>
      </c>
      <c r="G33" s="80"/>
      <c r="H33" s="94" t="str">
        <f t="shared" si="5"/>
        <v/>
      </c>
      <c r="I33" s="94" t="str">
        <f>IF($B33="ユニット合計",SUMIFS($E$4:$E$29545,$A$4:$A$29545,$A33,$B$4:$B$29545,リスト!$E$7),"")</f>
        <v/>
      </c>
      <c r="J33" s="94" t="str">
        <f>IF($B33="ユニット合計",SUMIFS($F$4:$F$29545,$A$4:$A$29545,$A33,$B$4:$B$29545,リスト!$E$7),"")</f>
        <v/>
      </c>
      <c r="K33" s="176" t="str">
        <f>IF($B33="ユニット合計",SUMIFS($E$4:$E$29545,$A$4:$A$29545,$A33,$B$4:$B$29545,リスト!$E$5),"")</f>
        <v/>
      </c>
      <c r="L33" s="94" t="str">
        <f>IF($B33="ユニット合計",SUMIFS($F$4:$F$29545,$A$4:$A$29545,$A33,$B$4:$B$29545,リスト!$E$5),"")</f>
        <v/>
      </c>
      <c r="M33" s="94" t="str">
        <f>IF($B33="ユニット合計",SUMIFS($E$4:$E$29545,$A$4:$A$29545,$A33,$B$4:$B$29545,リスト!$E$6),"")</f>
        <v/>
      </c>
    </row>
    <row r="34" spans="1:13" x14ac:dyDescent="0.2">
      <c r="A34" s="98" t="str">
        <f t="shared" si="4"/>
        <v>24-5</v>
      </c>
      <c r="B34" s="78" t="s">
        <v>108</v>
      </c>
      <c r="C34" s="79">
        <v>45455.916666666664</v>
      </c>
      <c r="D34" s="79">
        <v>45460.416666666664</v>
      </c>
      <c r="E34" s="91">
        <f t="shared" si="2"/>
        <v>4.5</v>
      </c>
      <c r="F34" s="94">
        <f>IF(B34="","",IF(B34="ユニット合計",SUMIF('GUN HV OFF時間記録'!B:B,A34,'GUN HV OFF時間記録'!F:F),IF(OR(B34=リスト!$E$7,B34=リスト!$E$5),SUMIF('GUN HV OFF時間記録'!$K$6:$K$111,C34,'GUN HV OFF時間記録'!$N$6:$N$111),0)))</f>
        <v>0</v>
      </c>
      <c r="G34" s="80" t="s">
        <v>267</v>
      </c>
      <c r="H34" s="94" t="str">
        <f t="shared" si="5"/>
        <v/>
      </c>
      <c r="I34" s="94" t="str">
        <f>IF($B34="ユニット合計",SUMIFS($E$4:$E$29545,$A$4:$A$29545,$A34,$B$4:$B$29545,リスト!$E$7),"")</f>
        <v/>
      </c>
      <c r="J34" s="94" t="str">
        <f>IF($B34="ユニット合計",SUMIFS($F$4:$F$29545,$A$4:$A$29545,$A34,$B$4:$B$29545,リスト!$E$7),"")</f>
        <v/>
      </c>
      <c r="K34" s="176" t="str">
        <f>IF($B34="ユニット合計",SUMIFS($E$4:$E$29545,$A$4:$A$29545,$A34,$B$4:$B$29545,リスト!$E$5),"")</f>
        <v/>
      </c>
      <c r="L34" s="94" t="str">
        <f>IF($B34="ユニット合計",SUMIFS($F$4:$F$29545,$A$4:$A$29545,$A34,$B$4:$B$29545,リスト!$E$5),"")</f>
        <v/>
      </c>
      <c r="M34" s="94" t="str">
        <f>IF($B34="ユニット合計",SUMIFS($E$4:$E$29545,$A$4:$A$29545,$A34,$B$4:$B$29545,リスト!$E$6),"")</f>
        <v/>
      </c>
    </row>
    <row r="35" spans="1:13" x14ac:dyDescent="0.2">
      <c r="A35" s="98" t="s">
        <v>268</v>
      </c>
      <c r="B35" s="78" t="s">
        <v>208</v>
      </c>
      <c r="C35" s="79">
        <v>45446.416666666664</v>
      </c>
      <c r="D35" s="79">
        <v>45460.416666666664</v>
      </c>
      <c r="E35" s="91">
        <f t="shared" si="2"/>
        <v>14</v>
      </c>
      <c r="F35" s="94">
        <f ca="1">IF(B35="","",IF(B35="ユニット合計",SUMIF('GUN HV OFF時間記録'!B:B,A35,'GUN HV OFF時間記録'!F:F),IF(OR(B35=リスト!$E$7,B35=リスト!$E$5),SUMIF('GUN HV OFF時間記録'!$K$6:$K$111,C35,'GUN HV OFF時間記録'!$N$6:$N$111),0)))</f>
        <v>0</v>
      </c>
      <c r="G35" s="80"/>
      <c r="H35" s="94">
        <f t="shared" si="5"/>
        <v>14</v>
      </c>
      <c r="I35" s="94">
        <f>IF($B35="ユニット合計",SUMIFS($E$4:$E$29545,$A$4:$A$29545,$A35,$B$4:$B$29545,リスト!$E$7),"")</f>
        <v>0</v>
      </c>
      <c r="J35" s="94">
        <f>IF($B35="ユニット合計",SUMIFS($F$4:$F$29545,$A$4:$A$29545,$A35,$B$4:$B$29545,リスト!$E$7),"")</f>
        <v>0</v>
      </c>
      <c r="K35" s="176">
        <f>IF($B35="ユニット合計",SUMIFS($E$4:$E$29545,$A$4:$A$29545,$A35,$B$4:$B$29545,リスト!$E$5),"")</f>
        <v>5</v>
      </c>
      <c r="L35" s="94">
        <f ca="1">IF($B35="ユニット合計",SUMIFS($F$4:$F$29545,$A$4:$A$29545,$A35,$B$4:$B$29545,リスト!$E$5),"")</f>
        <v>0</v>
      </c>
      <c r="M35" s="94">
        <f>IF($B35="ユニット合計",SUMIFS($E$4:$E$29545,$A$4:$A$29545,$A35,$B$4:$B$29545,リスト!$E$6),"")</f>
        <v>9</v>
      </c>
    </row>
    <row r="36" spans="1:13" x14ac:dyDescent="0.2">
      <c r="A36" s="98" t="str">
        <f t="shared" si="4"/>
        <v>24-6</v>
      </c>
      <c r="B36" s="78" t="s">
        <v>207</v>
      </c>
      <c r="C36" s="79">
        <v>45460.416666666657</v>
      </c>
      <c r="D36" s="79">
        <v>45461.916666666657</v>
      </c>
      <c r="E36" s="91">
        <f t="shared" ref="E36:E67" si="7">IF(B36="","",IF(B36="ユニット合計",SUMIFS($E$4:$E$29545,$A$4:$A$29545,A36,$B$4:$B$29545,"&lt;&gt;ユニット合計"),D36-C36))</f>
        <v>1.5</v>
      </c>
      <c r="F36" s="94">
        <f ca="1">IF(B36="","",IF(B36="ユニット合計",SUMIF('GUN HV OFF時間記録'!B:B,A36,'GUN HV OFF時間記録'!F:F),IF(OR(B36=リスト!$E$7,B36=リスト!$E$5),SUMIF('GUN HV OFF時間記録'!$K$6:$K$111,C36,'GUN HV OFF時間記録'!$N$6:$N$111),0)))</f>
        <v>0</v>
      </c>
      <c r="G36" s="80"/>
      <c r="H36" s="94" t="str">
        <f t="shared" si="5"/>
        <v/>
      </c>
      <c r="I36" s="94" t="str">
        <f>IF($B36="ユニット合計",SUMIFS($E$4:$E$29545,$A$4:$A$29545,$A36,$B$4:$B$29545,リスト!$E$7),"")</f>
        <v/>
      </c>
      <c r="J36" s="94" t="str">
        <f>IF($B36="ユニット合計",SUMIFS($F$4:$F$29545,$A$4:$A$29545,$A36,$B$4:$B$29545,リスト!$E$7),"")</f>
        <v/>
      </c>
      <c r="K36" s="176" t="str">
        <f>IF($B36="ユニット合計",SUMIFS($E$4:$E$29545,$A$4:$A$29545,$A36,$B$4:$B$29545,リスト!$E$5),"")</f>
        <v/>
      </c>
      <c r="L36" s="94" t="str">
        <f>IF($B36="ユニット合計",SUMIFS($F$4:$F$29545,$A$4:$A$29545,$A36,$B$4:$B$29545,リスト!$E$5),"")</f>
        <v/>
      </c>
      <c r="M36" s="94" t="str">
        <f>IF($B36="ユニット合計",SUMIFS($E$4:$E$29545,$A$4:$A$29545,$A36,$B$4:$B$29545,リスト!$E$6),"")</f>
        <v/>
      </c>
    </row>
    <row r="37" spans="1:13" x14ac:dyDescent="0.2">
      <c r="A37" s="98" t="str">
        <f t="shared" si="4"/>
        <v>24-6</v>
      </c>
      <c r="B37" s="78" t="s">
        <v>108</v>
      </c>
      <c r="C37" s="79">
        <v>45461.916666666657</v>
      </c>
      <c r="D37" s="79">
        <v>45467.416666666657</v>
      </c>
      <c r="E37" s="91">
        <f t="shared" si="7"/>
        <v>5.5</v>
      </c>
      <c r="F37" s="94">
        <f>IF(B37="","",IF(B37="ユニット合計",SUMIF('GUN HV OFF時間記録'!B:B,A37,'GUN HV OFF時間記録'!F:F),IF(OR(B37=リスト!$E$7,B37=リスト!$E$5),SUMIF('GUN HV OFF時間記録'!$K$6:$K$111,C37,'GUN HV OFF時間記録'!$N$6:$N$111),0)))</f>
        <v>0</v>
      </c>
      <c r="G37" s="80" t="s">
        <v>287</v>
      </c>
      <c r="H37" s="94" t="str">
        <f t="shared" si="5"/>
        <v/>
      </c>
      <c r="I37" s="94" t="str">
        <f>IF($B37="ユニット合計",SUMIFS($E$4:$E$29545,$A$4:$A$29545,$A37,$B$4:$B$29545,リスト!$E$7),"")</f>
        <v/>
      </c>
      <c r="J37" s="94" t="str">
        <f>IF($B37="ユニット合計",SUMIFS($F$4:$F$29545,$A$4:$A$29545,$A37,$B$4:$B$29545,リスト!$E$7),"")</f>
        <v/>
      </c>
      <c r="K37" s="176" t="str">
        <f>IF($B37="ユニット合計",SUMIFS($E$4:$E$29545,$A$4:$A$29545,$A37,$B$4:$B$29545,リスト!$E$5),"")</f>
        <v/>
      </c>
      <c r="L37" s="94" t="str">
        <f>IF($B37="ユニット合計",SUMIFS($F$4:$F$29545,$A$4:$A$29545,$A37,$B$4:$B$29545,リスト!$E$5),"")</f>
        <v/>
      </c>
      <c r="M37" s="94" t="str">
        <f>IF($B37="ユニット合計",SUMIFS($E$4:$E$29545,$A$4:$A$29545,$A37,$B$4:$B$29545,リスト!$E$6),"")</f>
        <v/>
      </c>
    </row>
    <row r="38" spans="1:13" x14ac:dyDescent="0.2">
      <c r="A38" s="98" t="str">
        <f t="shared" si="4"/>
        <v>24-6</v>
      </c>
      <c r="B38" s="78" t="s">
        <v>207</v>
      </c>
      <c r="C38" s="79">
        <v>45467.416666666657</v>
      </c>
      <c r="D38" s="79">
        <v>45468.916666666657</v>
      </c>
      <c r="E38" s="91">
        <f t="shared" si="7"/>
        <v>1.5</v>
      </c>
      <c r="F38" s="94">
        <f ca="1">IF(B38="","",IF(B38="ユニット合計",SUMIF('GUN HV OFF時間記録'!B:B,A38,'GUN HV OFF時間記録'!F:F),IF(OR(B38=リスト!$E$7,B38=リスト!$E$5),SUMIF('GUN HV OFF時間記録'!$K$6:$K$111,C38,'GUN HV OFF時間記録'!$N$6:$N$111),0)))</f>
        <v>0</v>
      </c>
      <c r="G38" s="80"/>
      <c r="H38" s="94" t="str">
        <f t="shared" si="5"/>
        <v/>
      </c>
      <c r="I38" s="94" t="str">
        <f>IF($B38="ユニット合計",SUMIFS($E$4:$E$29545,$A$4:$A$29545,$A38,$B$4:$B$29545,リスト!$E$7),"")</f>
        <v/>
      </c>
      <c r="J38" s="94" t="str">
        <f>IF($B38="ユニット合計",SUMIFS($F$4:$F$29545,$A$4:$A$29545,$A38,$B$4:$B$29545,リスト!$E$7),"")</f>
        <v/>
      </c>
      <c r="K38" s="176" t="str">
        <f>IF($B38="ユニット合計",SUMIFS($E$4:$E$29545,$A$4:$A$29545,$A38,$B$4:$B$29545,リスト!$E$5),"")</f>
        <v/>
      </c>
      <c r="L38" s="94" t="str">
        <f>IF($B38="ユニット合計",SUMIFS($F$4:$F$29545,$A$4:$A$29545,$A38,$B$4:$B$29545,リスト!$E$5),"")</f>
        <v/>
      </c>
      <c r="M38" s="94" t="str">
        <f>IF($B38="ユニット合計",SUMIFS($E$4:$E$29545,$A$4:$A$29545,$A38,$B$4:$B$29545,リスト!$E$6),"")</f>
        <v/>
      </c>
    </row>
    <row r="39" spans="1:13" x14ac:dyDescent="0.2">
      <c r="A39" s="98" t="str">
        <f t="shared" si="4"/>
        <v>24-6</v>
      </c>
      <c r="B39" s="78" t="s">
        <v>108</v>
      </c>
      <c r="C39" s="79">
        <v>45468.916666666657</v>
      </c>
      <c r="D39" s="79">
        <v>45471.416666666657</v>
      </c>
      <c r="E39" s="91">
        <f t="shared" si="7"/>
        <v>2.5</v>
      </c>
      <c r="F39" s="94">
        <f>IF(B39="","",IF(B39="ユニット合計",SUMIF('GUN HV OFF時間記録'!B:B,A39,'GUN HV OFF時間記録'!F:F),IF(OR(B39=リスト!$E$7,B39=リスト!$E$5),SUMIF('GUN HV OFF時間記録'!$K$6:$K$111,C39,'GUN HV OFF時間記録'!$N$6:$N$111),0)))</f>
        <v>0</v>
      </c>
      <c r="G39" s="80" t="s">
        <v>286</v>
      </c>
      <c r="H39" s="94" t="str">
        <f t="shared" ref="H39:H53" si="8">IF($B39="ユニット合計",D39-C39,"")</f>
        <v/>
      </c>
      <c r="I39" s="94" t="str">
        <f>IF($B39="ユニット合計",SUMIFS($E$4:$E$29545,$A$4:$A$29545,$A39,$B$4:$B$29545,リスト!$E$7),"")</f>
        <v/>
      </c>
      <c r="J39" s="94" t="str">
        <f>IF($B39="ユニット合計",SUMIFS($F$4:$F$29545,$A$4:$A$29545,$A39,$B$4:$B$29545,リスト!$E$7),"")</f>
        <v/>
      </c>
      <c r="K39" s="176" t="str">
        <f>IF($B39="ユニット合計",SUMIFS($E$4:$E$29545,$A$4:$A$29545,$A39,$B$4:$B$29545,リスト!$E$5),"")</f>
        <v/>
      </c>
      <c r="L39" s="94" t="str">
        <f>IF($B39="ユニット合計",SUMIFS($F$4:$F$29545,$A$4:$A$29545,$A39,$B$4:$B$29545,リスト!$E$5),"")</f>
        <v/>
      </c>
      <c r="M39" s="94" t="str">
        <f>IF($B39="ユニット合計",SUMIFS($E$4:$E$29545,$A$4:$A$29545,$A39,$B$4:$B$29545,リスト!$E$6),"")</f>
        <v/>
      </c>
    </row>
    <row r="40" spans="1:13" x14ac:dyDescent="0.2">
      <c r="A40" s="98" t="str">
        <f t="shared" si="4"/>
        <v>24-6</v>
      </c>
      <c r="B40" s="78" t="s">
        <v>207</v>
      </c>
      <c r="C40" s="79">
        <v>45471.416666666657</v>
      </c>
      <c r="D40" s="79">
        <v>45474.416666666657</v>
      </c>
      <c r="E40" s="91">
        <f t="shared" si="7"/>
        <v>3</v>
      </c>
      <c r="F40" s="94">
        <f ca="1">IF(B40="","",IF(B40="ユニット合計",SUMIF('GUN HV OFF時間記録'!B:B,A40,'GUN HV OFF時間記録'!F:F),IF(OR(B40=リスト!$E$7,B40=リスト!$E$5),SUMIF('GUN HV OFF時間記録'!$K$6:$K$111,C40,'GUN HV OFF時間記録'!$N$6:$N$111),0)))</f>
        <v>0</v>
      </c>
      <c r="G40" s="80"/>
      <c r="H40" s="94" t="str">
        <f t="shared" si="8"/>
        <v/>
      </c>
      <c r="I40" s="94" t="str">
        <f>IF($B40="ユニット合計",SUMIFS($E$4:$E$29545,$A$4:$A$29545,$A40,$B$4:$B$29545,リスト!$E$7),"")</f>
        <v/>
      </c>
      <c r="J40" s="94" t="str">
        <f>IF($B40="ユニット合計",SUMIFS($F$4:$F$29545,$A$4:$A$29545,$A40,$B$4:$B$29545,リスト!$E$7),"")</f>
        <v/>
      </c>
      <c r="K40" s="176" t="str">
        <f>IF($B40="ユニット合計",SUMIFS($E$4:$E$29545,$A$4:$A$29545,$A40,$B$4:$B$29545,リスト!$E$5),"")</f>
        <v/>
      </c>
      <c r="L40" s="94" t="str">
        <f>IF($B40="ユニット合計",SUMIFS($F$4:$F$29545,$A$4:$A$29545,$A40,$B$4:$B$29545,リスト!$E$5),"")</f>
        <v/>
      </c>
      <c r="M40" s="94" t="str">
        <f>IF($B40="ユニット合計",SUMIFS($E$4:$E$29545,$A$4:$A$29545,$A40,$B$4:$B$29545,リスト!$E$6),"")</f>
        <v/>
      </c>
    </row>
    <row r="41" spans="1:13" x14ac:dyDescent="0.2">
      <c r="A41" s="98" t="s">
        <v>278</v>
      </c>
      <c r="B41" s="78" t="s">
        <v>208</v>
      </c>
      <c r="C41" s="79">
        <v>45460.416666666657</v>
      </c>
      <c r="D41" s="79">
        <v>45474.416666666657</v>
      </c>
      <c r="E41" s="91">
        <f t="shared" si="7"/>
        <v>14</v>
      </c>
      <c r="F41" s="94">
        <f ca="1">IF(B41="","",IF(B41="ユニット合計",SUMIF('GUN HV OFF時間記録'!B:B,A41,'GUN HV OFF時間記録'!F:F),IF(OR(B41=リスト!$E$7,B41=リスト!$E$5),SUMIF('GUN HV OFF時間記録'!$K$6:$K$111,C41,'GUN HV OFF時間記録'!$N$6:$N$111),0)))</f>
        <v>0</v>
      </c>
      <c r="G41" s="80"/>
      <c r="H41" s="94">
        <f t="shared" si="8"/>
        <v>14</v>
      </c>
      <c r="I41" s="94">
        <f>IF($B41="ユニット合計",SUMIFS($E$4:$E$29545,$A$4:$A$29545,$A41,$B$4:$B$29545,リスト!$E$7),"")</f>
        <v>0</v>
      </c>
      <c r="J41" s="94">
        <f>IF($B41="ユニット合計",SUMIFS($F$4:$F$29545,$A$4:$A$29545,$A41,$B$4:$B$29545,リスト!$E$7),"")</f>
        <v>0</v>
      </c>
      <c r="K41" s="176">
        <f>IF($B41="ユニット合計",SUMIFS($E$4:$E$29545,$A$4:$A$29545,$A41,$B$4:$B$29545,リスト!$E$5),"")</f>
        <v>6</v>
      </c>
      <c r="L41" s="94">
        <f ca="1">IF($B41="ユニット合計",SUMIFS($F$4:$F$29545,$A$4:$A$29545,$A41,$B$4:$B$29545,リスト!$E$5),"")</f>
        <v>0</v>
      </c>
      <c r="M41" s="94">
        <f>IF($B41="ユニット合計",SUMIFS($E$4:$E$29545,$A$4:$A$29545,$A41,$B$4:$B$29545,リスト!$E$6),"")</f>
        <v>8</v>
      </c>
    </row>
    <row r="42" spans="1:13" x14ac:dyDescent="0.2">
      <c r="A42" s="98" t="str">
        <f t="shared" si="4"/>
        <v>24-7</v>
      </c>
      <c r="B42" s="78" t="s">
        <v>207</v>
      </c>
      <c r="C42" s="79">
        <v>45474.416666666657</v>
      </c>
      <c r="D42" s="79">
        <v>45488.416666666657</v>
      </c>
      <c r="E42" s="91">
        <f t="shared" si="7"/>
        <v>14</v>
      </c>
      <c r="F42" s="94">
        <f ca="1">IF(B42="","",IF(B42="ユニット合計",SUMIF('GUN HV OFF時間記録'!B:B,A42,'GUN HV OFF時間記録'!F:F),IF(OR(B42=リスト!$E$7,B42=リスト!$E$5),SUMIF('GUN HV OFF時間記録'!$K$6:$K$111,C42,'GUN HV OFF時間記録'!$N$6:$N$111),0)))</f>
        <v>0</v>
      </c>
      <c r="G42" s="80"/>
      <c r="H42" s="94" t="str">
        <f t="shared" si="8"/>
        <v/>
      </c>
      <c r="I42" s="94" t="str">
        <f>IF($B42="ユニット合計",SUMIFS($E$4:$E$29545,$A$4:$A$29545,$A42,$B$4:$B$29545,リスト!$E$7),"")</f>
        <v/>
      </c>
      <c r="J42" s="94" t="str">
        <f>IF($B42="ユニット合計",SUMIFS($F$4:$F$29545,$A$4:$A$29545,$A42,$B$4:$B$29545,リスト!$E$7),"")</f>
        <v/>
      </c>
      <c r="K42" s="176" t="str">
        <f>IF($B42="ユニット合計",SUMIFS($E$4:$E$29545,$A$4:$A$29545,$A42,$B$4:$B$29545,リスト!$E$5),"")</f>
        <v/>
      </c>
      <c r="L42" s="94" t="str">
        <f>IF($B42="ユニット合計",SUMIFS($F$4:$F$29545,$A$4:$A$29545,$A42,$B$4:$B$29545,リスト!$E$5),"")</f>
        <v/>
      </c>
      <c r="M42" s="94" t="str">
        <f>IF($B42="ユニット合計",SUMIFS($E$4:$E$29545,$A$4:$A$29545,$A42,$B$4:$B$29545,リスト!$E$6),"")</f>
        <v/>
      </c>
    </row>
    <row r="43" spans="1:13" x14ac:dyDescent="0.2">
      <c r="A43" s="98" t="s">
        <v>290</v>
      </c>
      <c r="B43" s="78" t="s">
        <v>208</v>
      </c>
      <c r="C43" s="79">
        <v>45474.416666666657</v>
      </c>
      <c r="D43" s="79">
        <v>45488.416666666657</v>
      </c>
      <c r="E43" s="91">
        <f t="shared" si="7"/>
        <v>14</v>
      </c>
      <c r="F43" s="94">
        <f ca="1">IF(B43="","",IF(B43="ユニット合計",SUMIF('GUN HV OFF時間記録'!B:B,A43,'GUN HV OFF時間記録'!F:F),IF(OR(B43=リスト!$E$7,B43=リスト!$E$5),SUMIF('GUN HV OFF時間記録'!$K$6:$K$111,C43,'GUN HV OFF時間記録'!$N$6:$N$111),0)))</f>
        <v>0</v>
      </c>
      <c r="G43" s="80"/>
      <c r="H43" s="94">
        <f t="shared" si="8"/>
        <v>14</v>
      </c>
      <c r="I43" s="94">
        <f>IF($B43="ユニット合計",SUMIFS($E$4:$E$29545,$A$4:$A$29545,$A43,$B$4:$B$29545,リスト!$E$7),"")</f>
        <v>0</v>
      </c>
      <c r="J43" s="94">
        <f>IF($B43="ユニット合計",SUMIFS($F$4:$F$29545,$A$4:$A$29545,$A43,$B$4:$B$29545,リスト!$E$7),"")</f>
        <v>0</v>
      </c>
      <c r="K43" s="176">
        <f>IF($B43="ユニット合計",SUMIFS($E$4:$E$29545,$A$4:$A$29545,$A43,$B$4:$B$29545,リスト!$E$5),"")</f>
        <v>14</v>
      </c>
      <c r="L43" s="94">
        <f ca="1">IF($B43="ユニット合計",SUMIFS($F$4:$F$29545,$A$4:$A$29545,$A43,$B$4:$B$29545,リスト!$E$5),"")</f>
        <v>0</v>
      </c>
      <c r="M43" s="94">
        <f>IF($B43="ユニット合計",SUMIFS($E$4:$E$29545,$A$4:$A$29545,$A43,$B$4:$B$29545,リスト!$E$6),"")</f>
        <v>0</v>
      </c>
    </row>
    <row r="44" spans="1:13" x14ac:dyDescent="0.2">
      <c r="A44" s="98" t="str">
        <f t="shared" si="4"/>
        <v>24-8</v>
      </c>
      <c r="B44" s="78" t="s">
        <v>207</v>
      </c>
      <c r="C44" s="79">
        <v>45488.416666666657</v>
      </c>
      <c r="D44" s="79">
        <v>45492.916666666657</v>
      </c>
      <c r="E44" s="91">
        <f t="shared" si="7"/>
        <v>4.5</v>
      </c>
      <c r="F44" s="94">
        <f ca="1">IF(B44="","",IF(B44="ユニット合計",SUMIF('GUN HV OFF時間記録'!B:B,A44,'GUN HV OFF時間記録'!F:F),IF(OR(B44=リスト!$E$7,B44=リスト!$E$5),SUMIF('GUN HV OFF時間記録'!$K$6:$K$111,C44,'GUN HV OFF時間記録'!$N$6:$N$111),0)))</f>
        <v>0</v>
      </c>
      <c r="G44" s="80"/>
      <c r="H44" s="94" t="str">
        <f t="shared" si="8"/>
        <v/>
      </c>
      <c r="I44" s="94" t="str">
        <f>IF($B44="ユニット合計",SUMIFS($E$4:$E$29545,$A$4:$A$29545,$A44,$B$4:$B$29545,リスト!$E$7),"")</f>
        <v/>
      </c>
      <c r="J44" s="94" t="str">
        <f>IF($B44="ユニット合計",SUMIFS($F$4:$F$29545,$A$4:$A$29545,$A44,$B$4:$B$29545,リスト!$E$7),"")</f>
        <v/>
      </c>
      <c r="K44" s="176" t="str">
        <f>IF($B44="ユニット合計",SUMIFS($E$4:$E$29545,$A$4:$A$29545,$A44,$B$4:$B$29545,リスト!$E$5),"")</f>
        <v/>
      </c>
      <c r="L44" s="94" t="str">
        <f>IF($B44="ユニット合計",SUMIFS($F$4:$F$29545,$A$4:$A$29545,$A44,$B$4:$B$29545,リスト!$E$5),"")</f>
        <v/>
      </c>
      <c r="M44" s="94" t="str">
        <f>IF($B44="ユニット合計",SUMIFS($E$4:$E$29545,$A$4:$A$29545,$A44,$B$4:$B$29545,リスト!$E$6),"")</f>
        <v/>
      </c>
    </row>
    <row r="45" spans="1:13" x14ac:dyDescent="0.2">
      <c r="A45" s="98" t="str">
        <f t="shared" si="4"/>
        <v>24-8</v>
      </c>
      <c r="B45" s="78" t="s">
        <v>108</v>
      </c>
      <c r="C45" s="79">
        <v>45492.916666666657</v>
      </c>
      <c r="D45" s="79">
        <v>45493.166666666657</v>
      </c>
      <c r="E45" s="91">
        <f t="shared" si="7"/>
        <v>0.25</v>
      </c>
      <c r="F45" s="94">
        <f>IF(B45="","",IF(B45="ユニット合計",SUMIF('GUN HV OFF時間記録'!B:B,A45,'GUN HV OFF時間記録'!F:F),IF(OR(B45=リスト!$E$7,B45=リスト!$E$5),SUMIF('GUN HV OFF時間記録'!$K$6:$K$111,C45,'GUN HV OFF時間記録'!$N$6:$N$111),0)))</f>
        <v>0</v>
      </c>
      <c r="G45" s="80" t="s">
        <v>302</v>
      </c>
      <c r="H45" s="94" t="str">
        <f t="shared" si="8"/>
        <v/>
      </c>
      <c r="I45" s="94" t="str">
        <f>IF($B45="ユニット合計",SUMIFS($E$4:$E$29545,$A$4:$A$29545,$A45,$B$4:$B$29545,リスト!$E$7),"")</f>
        <v/>
      </c>
      <c r="J45" s="94" t="str">
        <f>IF($B45="ユニット合計",SUMIFS($F$4:$F$29545,$A$4:$A$29545,$A45,$B$4:$B$29545,リスト!$E$7),"")</f>
        <v/>
      </c>
      <c r="K45" s="176" t="str">
        <f>IF($B45="ユニット合計",SUMIFS($E$4:$E$29545,$A$4:$A$29545,$A45,$B$4:$B$29545,リスト!$E$5),"")</f>
        <v/>
      </c>
      <c r="L45" s="94" t="str">
        <f>IF($B45="ユニット合計",SUMIFS($F$4:$F$29545,$A$4:$A$29545,$A45,$B$4:$B$29545,リスト!$E$5),"")</f>
        <v/>
      </c>
      <c r="M45" s="94" t="str">
        <f>IF($B45="ユニット合計",SUMIFS($E$4:$E$29545,$A$4:$A$29545,$A45,$B$4:$B$29545,リスト!$E$6),"")</f>
        <v/>
      </c>
    </row>
    <row r="46" spans="1:13" x14ac:dyDescent="0.2">
      <c r="A46" s="98" t="str">
        <f t="shared" si="4"/>
        <v>24-8</v>
      </c>
      <c r="B46" s="78" t="s">
        <v>207</v>
      </c>
      <c r="C46" s="79">
        <v>45493.166666666657</v>
      </c>
      <c r="D46" s="79">
        <v>45493.416666666657</v>
      </c>
      <c r="E46" s="91">
        <f t="shared" si="7"/>
        <v>0.25</v>
      </c>
      <c r="F46" s="94">
        <f ca="1">IF(B46="","",IF(B46="ユニット合計",SUMIF('GUN HV OFF時間記録'!B:B,A46,'GUN HV OFF時間記録'!F:F),IF(OR(B46=リスト!$E$7,B46=リスト!$E$5),SUMIF('GUN HV OFF時間記録'!$K$6:$K$111,C46,'GUN HV OFF時間記録'!$N$6:$N$111),0)))</f>
        <v>0</v>
      </c>
      <c r="G46" s="80"/>
      <c r="H46" s="94" t="str">
        <f t="shared" si="8"/>
        <v/>
      </c>
      <c r="I46" s="94" t="str">
        <f>IF($B46="ユニット合計",SUMIFS($E$4:$E$29545,$A$4:$A$29545,$A46,$B$4:$B$29545,リスト!$E$7),"")</f>
        <v/>
      </c>
      <c r="J46" s="94" t="str">
        <f>IF($B46="ユニット合計",SUMIFS($F$4:$F$29545,$A$4:$A$29545,$A46,$B$4:$B$29545,リスト!$E$7),"")</f>
        <v/>
      </c>
      <c r="K46" s="176" t="str">
        <f>IF($B46="ユニット合計",SUMIFS($E$4:$E$29545,$A$4:$A$29545,$A46,$B$4:$B$29545,リスト!$E$5),"")</f>
        <v/>
      </c>
      <c r="L46" s="94" t="str">
        <f>IF($B46="ユニット合計",SUMIFS($F$4:$F$29545,$A$4:$A$29545,$A46,$B$4:$B$29545,リスト!$E$5),"")</f>
        <v/>
      </c>
      <c r="M46" s="94" t="str">
        <f>IF($B46="ユニット合計",SUMIFS($E$4:$E$29545,$A$4:$A$29545,$A46,$B$4:$B$29545,リスト!$E$6),"")</f>
        <v/>
      </c>
    </row>
    <row r="47" spans="1:13" x14ac:dyDescent="0.2">
      <c r="A47" s="98" t="str">
        <f t="shared" si="4"/>
        <v>24-8</v>
      </c>
      <c r="B47" s="78" t="s">
        <v>108</v>
      </c>
      <c r="C47" s="79">
        <v>45493.416666666657</v>
      </c>
      <c r="D47" s="79">
        <v>45494.916666666657</v>
      </c>
      <c r="E47" s="91">
        <f t="shared" si="7"/>
        <v>1.5</v>
      </c>
      <c r="F47" s="94">
        <f>IF(B47="","",IF(B47="ユニット合計",SUMIF('GUN HV OFF時間記録'!B:B,A47,'GUN HV OFF時間記録'!F:F),IF(OR(B47=リスト!$E$7,B47=リスト!$E$5),SUMIF('GUN HV OFF時間記録'!$K$6:$K$111,C47,'GUN HV OFF時間記録'!$N$6:$N$111),0)))</f>
        <v>0</v>
      </c>
      <c r="G47" s="80" t="s">
        <v>303</v>
      </c>
      <c r="H47" s="94" t="str">
        <f t="shared" si="8"/>
        <v/>
      </c>
      <c r="I47" s="94" t="str">
        <f>IF($B47="ユニット合計",SUMIFS($E$4:$E$29545,$A$4:$A$29545,$A47,$B$4:$B$29545,リスト!$E$7),"")</f>
        <v/>
      </c>
      <c r="J47" s="94" t="str">
        <f>IF($B47="ユニット合計",SUMIFS($F$4:$F$29545,$A$4:$A$29545,$A47,$B$4:$B$29545,リスト!$E$7),"")</f>
        <v/>
      </c>
      <c r="K47" s="176" t="str">
        <f>IF($B47="ユニット合計",SUMIFS($E$4:$E$29545,$A$4:$A$29545,$A47,$B$4:$B$29545,リスト!$E$5),"")</f>
        <v/>
      </c>
      <c r="L47" s="94" t="str">
        <f>IF($B47="ユニット合計",SUMIFS($F$4:$F$29545,$A$4:$A$29545,$A47,$B$4:$B$29545,リスト!$E$5),"")</f>
        <v/>
      </c>
      <c r="M47" s="94" t="str">
        <f>IF($B47="ユニット合計",SUMIFS($E$4:$E$29545,$A$4:$A$29545,$A47,$B$4:$B$29545,リスト!$E$6),"")</f>
        <v/>
      </c>
    </row>
    <row r="48" spans="1:13" x14ac:dyDescent="0.2">
      <c r="A48" s="98" t="str">
        <f t="shared" si="4"/>
        <v>24-8</v>
      </c>
      <c r="B48" s="78" t="s">
        <v>207</v>
      </c>
      <c r="C48" s="79">
        <v>45494.916666666657</v>
      </c>
      <c r="D48" s="79">
        <v>45496.916666666657</v>
      </c>
      <c r="E48" s="91">
        <f t="shared" si="7"/>
        <v>2</v>
      </c>
      <c r="F48" s="94">
        <f ca="1">IF(B48="","",IF(B48="ユニット合計",SUMIF('GUN HV OFF時間記録'!B:B,A48,'GUN HV OFF時間記録'!F:F),IF(OR(B48=リスト!$E$7,B48=リスト!$E$5),SUMIF('GUN HV OFF時間記録'!$K$6:$K$111,C48,'GUN HV OFF時間記録'!$N$6:$N$111),0)))</f>
        <v>0</v>
      </c>
      <c r="G48" s="80"/>
      <c r="H48" s="94" t="str">
        <f t="shared" si="8"/>
        <v/>
      </c>
      <c r="I48" s="94" t="str">
        <f>IF($B48="ユニット合計",SUMIFS($E$4:$E$29545,$A$4:$A$29545,$A48,$B$4:$B$29545,リスト!$E$7),"")</f>
        <v/>
      </c>
      <c r="J48" s="94" t="str">
        <f>IF($B48="ユニット合計",SUMIFS($F$4:$F$29545,$A$4:$A$29545,$A48,$B$4:$B$29545,リスト!$E$7),"")</f>
        <v/>
      </c>
      <c r="K48" s="176" t="str">
        <f>IF($B48="ユニット合計",SUMIFS($E$4:$E$29545,$A$4:$A$29545,$A48,$B$4:$B$29545,リスト!$E$5),"")</f>
        <v/>
      </c>
      <c r="L48" s="94" t="str">
        <f>IF($B48="ユニット合計",SUMIFS($F$4:$F$29545,$A$4:$A$29545,$A48,$B$4:$B$29545,リスト!$E$5),"")</f>
        <v/>
      </c>
      <c r="M48" s="94" t="str">
        <f>IF($B48="ユニット合計",SUMIFS($E$4:$E$29545,$A$4:$A$29545,$A48,$B$4:$B$29545,リスト!$E$6),"")</f>
        <v/>
      </c>
    </row>
    <row r="49" spans="1:13" x14ac:dyDescent="0.2">
      <c r="A49" s="98" t="str">
        <f t="shared" si="4"/>
        <v>24-8</v>
      </c>
      <c r="B49" s="78" t="s">
        <v>108</v>
      </c>
      <c r="C49" s="79">
        <v>45496.916666666657</v>
      </c>
      <c r="D49" s="79">
        <v>45499.416666666657</v>
      </c>
      <c r="E49" s="91">
        <f t="shared" si="7"/>
        <v>2.5</v>
      </c>
      <c r="F49" s="94">
        <f>IF(B49="","",IF(B49="ユニット合計",SUMIF('GUN HV OFF時間記録'!B:B,A49,'GUN HV OFF時間記録'!F:F),IF(OR(B49=リスト!$E$7,B49=リスト!$E$5),SUMIF('GUN HV OFF時間記録'!$K$6:$K$111,C49,'GUN HV OFF時間記録'!$N$6:$N$111),0)))</f>
        <v>0</v>
      </c>
      <c r="G49" s="80" t="s">
        <v>304</v>
      </c>
      <c r="H49" s="94" t="str">
        <f t="shared" si="8"/>
        <v/>
      </c>
      <c r="I49" s="94" t="str">
        <f>IF($B49="ユニット合計",SUMIFS($E$4:$E$29545,$A$4:$A$29545,$A49,$B$4:$B$29545,リスト!$E$7),"")</f>
        <v/>
      </c>
      <c r="J49" s="94" t="str">
        <f>IF($B49="ユニット合計",SUMIFS($F$4:$F$29545,$A$4:$A$29545,$A49,$B$4:$B$29545,リスト!$E$7),"")</f>
        <v/>
      </c>
      <c r="K49" s="176" t="str">
        <f>IF($B49="ユニット合計",SUMIFS($E$4:$E$29545,$A$4:$A$29545,$A49,$B$4:$B$29545,リスト!$E$5),"")</f>
        <v/>
      </c>
      <c r="L49" s="94" t="str">
        <f>IF($B49="ユニット合計",SUMIFS($F$4:$F$29545,$A$4:$A$29545,$A49,$B$4:$B$29545,リスト!$E$5),"")</f>
        <v/>
      </c>
      <c r="M49" s="94" t="str">
        <f>IF($B49="ユニット合計",SUMIFS($E$4:$E$29545,$A$4:$A$29545,$A49,$B$4:$B$29545,リスト!$E$6),"")</f>
        <v/>
      </c>
    </row>
    <row r="50" spans="1:13" x14ac:dyDescent="0.2">
      <c r="A50" s="98" t="str">
        <f t="shared" si="4"/>
        <v>24-8</v>
      </c>
      <c r="B50" s="78" t="s">
        <v>207</v>
      </c>
      <c r="C50" s="79">
        <v>45499.416666666657</v>
      </c>
      <c r="D50" s="79">
        <v>45499.916666666657</v>
      </c>
      <c r="E50" s="91">
        <f t="shared" si="7"/>
        <v>0.5</v>
      </c>
      <c r="F50" s="94">
        <f ca="1">IF(B50="","",IF(B50="ユニット合計",SUMIF('GUN HV OFF時間記録'!B:B,A50,'GUN HV OFF時間記録'!F:F),IF(OR(B50=リスト!$E$7,B50=リスト!$E$5),SUMIF('GUN HV OFF時間記録'!$K$6:$K$111,C50,'GUN HV OFF時間記録'!$N$6:$N$111),0)))</f>
        <v>0</v>
      </c>
      <c r="G50" s="80"/>
      <c r="H50" s="94" t="str">
        <f t="shared" si="8"/>
        <v/>
      </c>
      <c r="I50" s="94" t="str">
        <f>IF($B50="ユニット合計",SUMIFS($E$4:$E$29545,$A$4:$A$29545,$A50,$B$4:$B$29545,リスト!$E$7),"")</f>
        <v/>
      </c>
      <c r="J50" s="94" t="str">
        <f>IF($B50="ユニット合計",SUMIFS($F$4:$F$29545,$A$4:$A$29545,$A50,$B$4:$B$29545,リスト!$E$7),"")</f>
        <v/>
      </c>
      <c r="K50" s="176" t="str">
        <f>IF($B50="ユニット合計",SUMIFS($E$4:$E$29545,$A$4:$A$29545,$A50,$B$4:$B$29545,リスト!$E$5),"")</f>
        <v/>
      </c>
      <c r="L50" s="94" t="str">
        <f>IF($B50="ユニット合計",SUMIFS($F$4:$F$29545,$A$4:$A$29545,$A50,$B$4:$B$29545,リスト!$E$5),"")</f>
        <v/>
      </c>
      <c r="M50" s="94" t="str">
        <f>IF($B50="ユニット合計",SUMIFS($E$4:$E$29545,$A$4:$A$29545,$A50,$B$4:$B$29545,リスト!$E$6),"")</f>
        <v/>
      </c>
    </row>
    <row r="51" spans="1:13" x14ac:dyDescent="0.2">
      <c r="A51" s="98" t="str">
        <f t="shared" si="4"/>
        <v>24-8</v>
      </c>
      <c r="B51" s="78" t="s">
        <v>108</v>
      </c>
      <c r="C51" s="79">
        <v>45499.916666666657</v>
      </c>
      <c r="D51" s="79">
        <v>45502.416666666657</v>
      </c>
      <c r="E51" s="91">
        <f t="shared" si="7"/>
        <v>2.5</v>
      </c>
      <c r="F51" s="94">
        <f>IF(B51="","",IF(B51="ユニット合計",SUMIF('GUN HV OFF時間記録'!B:B,A51,'GUN HV OFF時間記録'!F:F),IF(OR(B51=リスト!$E$7,B51=リスト!$E$5),SUMIF('GUN HV OFF時間記録'!$K$6:$K$111,C51,'GUN HV OFF時間記録'!$N$6:$N$111),0)))</f>
        <v>0</v>
      </c>
      <c r="G51" s="80" t="s">
        <v>305</v>
      </c>
      <c r="H51" s="94" t="str">
        <f t="shared" si="8"/>
        <v/>
      </c>
      <c r="I51" s="94" t="str">
        <f>IF($B51="ユニット合計",SUMIFS($E$4:$E$29545,$A$4:$A$29545,$A51,$B$4:$B$29545,リスト!$E$7),"")</f>
        <v/>
      </c>
      <c r="J51" s="94" t="str">
        <f>IF($B51="ユニット合計",SUMIFS($F$4:$F$29545,$A$4:$A$29545,$A51,$B$4:$B$29545,リスト!$E$7),"")</f>
        <v/>
      </c>
      <c r="K51" s="176" t="str">
        <f>IF($B51="ユニット合計",SUMIFS($E$4:$E$29545,$A$4:$A$29545,$A51,$B$4:$B$29545,リスト!$E$5),"")</f>
        <v/>
      </c>
      <c r="L51" s="94" t="str">
        <f>IF($B51="ユニット合計",SUMIFS($F$4:$F$29545,$A$4:$A$29545,$A51,$B$4:$B$29545,リスト!$E$5),"")</f>
        <v/>
      </c>
      <c r="M51" s="94" t="str">
        <f>IF($B51="ユニット合計",SUMIFS($E$4:$E$29545,$A$4:$A$29545,$A51,$B$4:$B$29545,リスト!$E$6),"")</f>
        <v/>
      </c>
    </row>
    <row r="52" spans="1:13" x14ac:dyDescent="0.2">
      <c r="A52" s="98" t="str">
        <f t="shared" si="4"/>
        <v>24-8</v>
      </c>
      <c r="B52" s="78" t="s">
        <v>207</v>
      </c>
      <c r="C52" s="79">
        <v>45502.416666666657</v>
      </c>
      <c r="D52" s="79">
        <v>45503.416666666657</v>
      </c>
      <c r="E52" s="91">
        <f t="shared" si="7"/>
        <v>1</v>
      </c>
      <c r="F52" s="94">
        <f ca="1">IF(B52="","",IF(B52="ユニット合計",SUMIF('GUN HV OFF時間記録'!B:B,A52,'GUN HV OFF時間記録'!F:F),IF(OR(B52=リスト!$E$7,B52=リスト!$E$5),SUMIF('GUN HV OFF時間記録'!$K$6:$K$111,C52,'GUN HV OFF時間記録'!$N$6:$N$111),0)))</f>
        <v>0</v>
      </c>
      <c r="G52" s="80"/>
      <c r="H52" s="94" t="str">
        <f t="shared" si="8"/>
        <v/>
      </c>
      <c r="I52" s="94" t="str">
        <f>IF($B52="ユニット合計",SUMIFS($E$4:$E$29545,$A$4:$A$29545,$A52,$B$4:$B$29545,リスト!$E$7),"")</f>
        <v/>
      </c>
      <c r="J52" s="94" t="str">
        <f>IF($B52="ユニット合計",SUMIFS($F$4:$F$29545,$A$4:$A$29545,$A52,$B$4:$B$29545,リスト!$E$7),"")</f>
        <v/>
      </c>
      <c r="K52" s="176" t="str">
        <f>IF($B52="ユニット合計",SUMIFS($E$4:$E$29545,$A$4:$A$29545,$A52,$B$4:$B$29545,リスト!$E$5),"")</f>
        <v/>
      </c>
      <c r="L52" s="94" t="str">
        <f>IF($B52="ユニット合計",SUMIFS($F$4:$F$29545,$A$4:$A$29545,$A52,$B$4:$B$29545,リスト!$E$5),"")</f>
        <v/>
      </c>
      <c r="M52" s="94" t="str">
        <f>IF($B52="ユニット合計",SUMIFS($E$4:$E$29545,$A$4:$A$29545,$A52,$B$4:$B$29545,リスト!$E$6),"")</f>
        <v/>
      </c>
    </row>
    <row r="53" spans="1:13" x14ac:dyDescent="0.2">
      <c r="A53" s="98" t="str">
        <f t="shared" si="4"/>
        <v>24-8</v>
      </c>
      <c r="B53" s="78" t="s">
        <v>206</v>
      </c>
      <c r="C53" s="79">
        <v>45503.416666666657</v>
      </c>
      <c r="D53" s="79">
        <v>45505.416666666657</v>
      </c>
      <c r="E53" s="91">
        <f t="shared" si="7"/>
        <v>2</v>
      </c>
      <c r="F53" s="94">
        <f ca="1">IF(B53="","",IF(B53="ユニット合計",SUMIF('GUN HV OFF時間記録'!B:B,A53,'GUN HV OFF時間記録'!F:F),IF(OR(B53=リスト!$E$7,B53=リスト!$E$5),SUMIF('GUN HV OFF時間記録'!$K$6:$K$111,C53,'GUN HV OFF時間記録'!$N$6:$N$111),0)))</f>
        <v>0</v>
      </c>
      <c r="G53" s="80" t="s">
        <v>306</v>
      </c>
      <c r="H53" s="94" t="str">
        <f t="shared" si="8"/>
        <v/>
      </c>
      <c r="I53" s="94" t="str">
        <f>IF($B53="ユニット合計",SUMIFS($E$4:$E$29545,$A$4:$A$29545,$A53,$B$4:$B$29545,リスト!$E$7),"")</f>
        <v/>
      </c>
      <c r="J53" s="94" t="str">
        <f>IF($B53="ユニット合計",SUMIFS($F$4:$F$29545,$A$4:$A$29545,$A53,$B$4:$B$29545,リスト!$E$7),"")</f>
        <v/>
      </c>
      <c r="K53" s="176" t="str">
        <f>IF($B53="ユニット合計",SUMIFS($E$4:$E$29545,$A$4:$A$29545,$A53,$B$4:$B$29545,リスト!$E$5),"")</f>
        <v/>
      </c>
      <c r="L53" s="94" t="str">
        <f>IF($B53="ユニット合計",SUMIFS($F$4:$F$29545,$A$4:$A$29545,$A53,$B$4:$B$29545,リスト!$E$5),"")</f>
        <v/>
      </c>
      <c r="M53" s="94" t="str">
        <f>IF($B53="ユニット合計",SUMIFS($E$4:$E$29545,$A$4:$A$29545,$A53,$B$4:$B$29545,リスト!$E$6),"")</f>
        <v/>
      </c>
    </row>
    <row r="54" spans="1:13" x14ac:dyDescent="0.2">
      <c r="A54" s="98" t="s">
        <v>308</v>
      </c>
      <c r="B54" s="78" t="s">
        <v>208</v>
      </c>
      <c r="C54" s="79">
        <v>45488.416666666657</v>
      </c>
      <c r="D54" s="79">
        <v>45505.416666666657</v>
      </c>
      <c r="E54" s="91">
        <f t="shared" si="7"/>
        <v>17</v>
      </c>
      <c r="F54" s="94">
        <f ca="1">IF(B54="","",IF(B54="ユニット合計",SUMIF('GUN HV OFF時間記録'!B:B,A54,'GUN HV OFF時間記録'!F:F),IF(OR(B54=リスト!$E$7,B54=リスト!$E$5),SUMIF('GUN HV OFF時間記録'!$K$6:$K$111,C54,'GUN HV OFF時間記録'!$N$6:$N$111),0)))</f>
        <v>0</v>
      </c>
      <c r="G54" s="80"/>
      <c r="H54" s="94">
        <f t="shared" ref="H54:H85" si="9">IF($B54="ユニット合計",D54-C54,"")</f>
        <v>17</v>
      </c>
      <c r="I54" s="94">
        <f>IF($B54="ユニット合計",SUMIFS($E$4:$E$29545,$A$4:$A$29545,$A54,$B$4:$B$29545,リスト!$E$7),"")</f>
        <v>2</v>
      </c>
      <c r="J54" s="94">
        <f ca="1">IF($B54="ユニット合計",SUMIFS($F$4:$F$29545,$A$4:$A$29545,$A54,$B$4:$B$29545,リスト!$E$7),"")</f>
        <v>0</v>
      </c>
      <c r="K54" s="176">
        <f>IF($B54="ユニット合計",SUMIFS($E$4:$E$29545,$A$4:$A$29545,$A54,$B$4:$B$29545,リスト!$E$5),"")</f>
        <v>8.25</v>
      </c>
      <c r="L54" s="94">
        <f ca="1">IF($B54="ユニット合計",SUMIFS($F$4:$F$29545,$A$4:$A$29545,$A54,$B$4:$B$29545,リスト!$E$5),"")</f>
        <v>0</v>
      </c>
      <c r="M54" s="94">
        <f>IF($B54="ユニット合計",SUMIFS($E$4:$E$29545,$A$4:$A$29545,$A54,$B$4:$B$29545,リスト!$E$6),"")</f>
        <v>6.75</v>
      </c>
    </row>
    <row r="55" spans="1:13" x14ac:dyDescent="0.2">
      <c r="A55" s="98" t="str">
        <f>IF(OR(B55="ユニット合計",B55="停止期間",B55=""),"",A56)</f>
        <v>24-9</v>
      </c>
      <c r="B55" s="78" t="s">
        <v>206</v>
      </c>
      <c r="C55" s="79">
        <v>45552.416666666657</v>
      </c>
      <c r="D55" s="79">
        <v>45559.416666666657</v>
      </c>
      <c r="E55" s="91">
        <f t="shared" si="7"/>
        <v>7</v>
      </c>
      <c r="F55" s="94">
        <f ca="1">IF(B55="","",IF(B55="ユニット合計",SUMIF('GUN HV OFF時間記録'!B:B,A55,'GUN HV OFF時間記録'!F:F),IF(OR(B55=リスト!$E$7,B55=リスト!$E$5),SUMIF('GUN HV OFF時間記録'!$K$6:$K$111,C55,'GUN HV OFF時間記録'!$N$6:$N$111),0)))</f>
        <v>0</v>
      </c>
      <c r="G55" s="314" t="s">
        <v>209</v>
      </c>
      <c r="H55" s="94" t="str">
        <f t="shared" si="9"/>
        <v/>
      </c>
      <c r="I55" s="94" t="str">
        <f>IF($B55="ユニット合計",SUMIFS($E$4:$E$29545,$A$4:$A$29545,$A55,$B$4:$B$29545,リスト!$E$7),"")</f>
        <v/>
      </c>
      <c r="J55" s="94" t="str">
        <f>IF($B55="ユニット合計",SUMIFS($F$4:$F$29545,$A$4:$A$29545,$A55,$B$4:$B$29545,リスト!$E$7),"")</f>
        <v/>
      </c>
      <c r="K55" s="176" t="str">
        <f>IF($B55="ユニット合計",SUMIFS($E$4:$E$29545,$A$4:$A$29545,$A55,$B$4:$B$29545,リスト!$E$5),"")</f>
        <v/>
      </c>
      <c r="L55" s="94" t="str">
        <f>IF($B55="ユニット合計",SUMIFS($F$4:$F$29545,$A$4:$A$29545,$A55,$B$4:$B$29545,リスト!$E$5),"")</f>
        <v/>
      </c>
      <c r="M55" s="94" t="str">
        <f>IF($B55="ユニット合計",SUMIFS($E$4:$E$29545,$A$4:$A$29545,$A55,$B$4:$B$29545,リスト!$E$6),"")</f>
        <v/>
      </c>
    </row>
    <row r="56" spans="1:13" x14ac:dyDescent="0.2">
      <c r="A56" s="98" t="str">
        <f>IF(OR(B56="ユニット合計",B56="停止期間",B56=""),"",A57)</f>
        <v>24-9</v>
      </c>
      <c r="B56" s="78" t="s">
        <v>207</v>
      </c>
      <c r="C56" s="79">
        <v>45559.416666666657</v>
      </c>
      <c r="D56" s="79">
        <v>45565.416666666657</v>
      </c>
      <c r="E56" s="91">
        <f t="shared" si="7"/>
        <v>6</v>
      </c>
      <c r="F56" s="94">
        <f ca="1">IF(B56="","",IF(B56="ユニット合計",SUMIF('GUN HV OFF時間記録'!B:B,A56,'GUN HV OFF時間記録'!F:F),IF(OR(B56=リスト!$E$7,B56=リスト!$E$5),SUMIF('GUN HV OFF時間記録'!$K$6:$K$111,C56,'GUN HV OFF時間記録'!$N$6:$N$111),0)))</f>
        <v>0</v>
      </c>
      <c r="G56" s="80"/>
      <c r="H56" s="94" t="str">
        <f t="shared" si="9"/>
        <v/>
      </c>
      <c r="I56" s="94" t="str">
        <f>IF($B56="ユニット合計",SUMIFS($E$4:$E$29545,$A$4:$A$29545,$A56,$B$4:$B$29545,リスト!$E$7),"")</f>
        <v/>
      </c>
      <c r="J56" s="94" t="str">
        <f>IF($B56="ユニット合計",SUMIFS($F$4:$F$29545,$A$4:$A$29545,$A56,$B$4:$B$29545,リスト!$E$7),"")</f>
        <v/>
      </c>
      <c r="K56" s="176" t="str">
        <f>IF($B56="ユニット合計",SUMIFS($E$4:$E$29545,$A$4:$A$29545,$A56,$B$4:$B$29545,リスト!$E$5),"")</f>
        <v/>
      </c>
      <c r="L56" s="94" t="str">
        <f>IF($B56="ユニット合計",SUMIFS($F$4:$F$29545,$A$4:$A$29545,$A56,$B$4:$B$29545,リスト!$E$5),"")</f>
        <v/>
      </c>
      <c r="M56" s="94" t="str">
        <f>IF($B56="ユニット合計",SUMIFS($E$4:$E$29545,$A$4:$A$29545,$A56,$B$4:$B$29545,リスト!$E$6),"")</f>
        <v/>
      </c>
    </row>
    <row r="57" spans="1:13" x14ac:dyDescent="0.2">
      <c r="A57" s="98" t="s">
        <v>313</v>
      </c>
      <c r="B57" s="78" t="s">
        <v>208</v>
      </c>
      <c r="C57" s="79">
        <v>45552.416666666657</v>
      </c>
      <c r="D57" s="79">
        <v>45565.416666666657</v>
      </c>
      <c r="E57" s="91">
        <f t="shared" si="7"/>
        <v>13</v>
      </c>
      <c r="F57" s="94">
        <f ca="1">IF(B57="","",IF(B57="ユニット合計",SUMIF('GUN HV OFF時間記録'!B:B,A57,'GUN HV OFF時間記録'!F:F),IF(OR(B57=リスト!$E$7,B57=リスト!$E$5),SUMIF('GUN HV OFF時間記録'!$K$6:$K$111,C57,'GUN HV OFF時間記録'!$N$6:$N$111),0)))</f>
        <v>0</v>
      </c>
      <c r="G57" s="80"/>
      <c r="H57" s="94">
        <f t="shared" si="9"/>
        <v>13</v>
      </c>
      <c r="I57" s="94">
        <f>IF($B57="ユニット合計",SUMIFS($E$4:$E$29545,$A$4:$A$29545,$A57,$B$4:$B$29545,リスト!$E$7),"")</f>
        <v>7</v>
      </c>
      <c r="J57" s="94">
        <f ca="1">IF($B57="ユニット合計",SUMIFS($F$4:$F$29545,$A$4:$A$29545,$A57,$B$4:$B$29545,リスト!$E$7),"")</f>
        <v>0</v>
      </c>
      <c r="K57" s="176">
        <f>IF($B57="ユニット合計",SUMIFS($E$4:$E$29545,$A$4:$A$29545,$A57,$B$4:$B$29545,リスト!$E$5),"")</f>
        <v>6</v>
      </c>
      <c r="L57" s="94">
        <f ca="1">IF($B57="ユニット合計",SUMIFS($F$4:$F$29545,$A$4:$A$29545,$A57,$B$4:$B$29545,リスト!$E$5),"")</f>
        <v>0</v>
      </c>
      <c r="M57" s="94">
        <f>IF($B57="ユニット合計",SUMIFS($E$4:$E$29545,$A$4:$A$29545,$A57,$B$4:$B$29545,リスト!$E$6),"")</f>
        <v>0</v>
      </c>
    </row>
    <row r="58" spans="1:13" x14ac:dyDescent="0.2">
      <c r="A58" s="98" t="str">
        <f t="shared" ref="A58:A89" si="10">IF(OR(B58="ユニット合計",B58="停止期間",B58=""),"",A59)</f>
        <v>24-10</v>
      </c>
      <c r="B58" s="78" t="s">
        <v>207</v>
      </c>
      <c r="C58" s="79">
        <v>45565.416666666657</v>
      </c>
      <c r="D58" s="79">
        <v>45573.666666666657</v>
      </c>
      <c r="E58" s="91">
        <f t="shared" si="7"/>
        <v>8.25</v>
      </c>
      <c r="F58" s="94">
        <f ca="1">IF(B58="","",IF(B58="ユニット合計",SUMIF('GUN HV OFF時間記録'!B:B,A58,'GUN HV OFF時間記録'!F:F),IF(OR(B58=リスト!$E$7,B58=リスト!$E$5),SUMIF('GUN HV OFF時間記録'!$K$6:$K$111,C58,'GUN HV OFF時間記録'!$N$6:$N$111),0)))</f>
        <v>0</v>
      </c>
      <c r="G58" s="80"/>
      <c r="H58" s="94" t="str">
        <f t="shared" si="9"/>
        <v/>
      </c>
      <c r="I58" s="94" t="str">
        <f>IF($B58="ユニット合計",SUMIFS($E$4:$E$29545,$A$4:$A$29545,$A58,$B$4:$B$29545,リスト!$E$7),"")</f>
        <v/>
      </c>
      <c r="J58" s="94" t="str">
        <f>IF($B58="ユニット合計",SUMIFS($F$4:$F$29545,$A$4:$A$29545,$A58,$B$4:$B$29545,リスト!$E$7),"")</f>
        <v/>
      </c>
      <c r="K58" s="176" t="str">
        <f>IF($B58="ユニット合計",SUMIFS($E$4:$E$29545,$A$4:$A$29545,$A58,$B$4:$B$29545,リスト!$E$5),"")</f>
        <v/>
      </c>
      <c r="L58" s="94" t="str">
        <f>IF($B58="ユニット合計",SUMIFS($F$4:$F$29545,$A$4:$A$29545,$A58,$B$4:$B$29545,リスト!$E$5),"")</f>
        <v/>
      </c>
      <c r="M58" s="94" t="str">
        <f>IF($B58="ユニット合計",SUMIFS($E$4:$E$29545,$A$4:$A$29545,$A58,$B$4:$B$29545,リスト!$E$6),"")</f>
        <v/>
      </c>
    </row>
    <row r="59" spans="1:13" x14ac:dyDescent="0.2">
      <c r="A59" s="98" t="str">
        <f t="shared" si="10"/>
        <v>24-10</v>
      </c>
      <c r="B59" s="78" t="s">
        <v>108</v>
      </c>
      <c r="C59" s="79">
        <v>45573.666666666657</v>
      </c>
      <c r="D59" s="79">
        <v>45573.916666666657</v>
      </c>
      <c r="E59" s="91">
        <f t="shared" si="7"/>
        <v>0.25</v>
      </c>
      <c r="F59" s="94">
        <f>IF(B59="","",IF(B59="ユニット合計",SUMIF('GUN HV OFF時間記録'!B:B,A59,'GUN HV OFF時間記録'!F:F),IF(OR(B59=リスト!$E$7,B59=リスト!$E$5),SUMIF('GUN HV OFF時間記録'!$K$6:$K$111,C59,'GUN HV OFF時間記録'!$N$6:$N$111),0)))</f>
        <v>0</v>
      </c>
      <c r="G59" s="80" t="s">
        <v>302</v>
      </c>
      <c r="H59" s="94" t="str">
        <f t="shared" si="9"/>
        <v/>
      </c>
      <c r="I59" s="94" t="str">
        <f>IF($B59="ユニット合計",SUMIFS($E$4:$E$29545,$A$4:$A$29545,$A59,$B$4:$B$29545,リスト!$E$7),"")</f>
        <v/>
      </c>
      <c r="J59" s="94" t="str">
        <f>IF($B59="ユニット合計",SUMIFS($F$4:$F$29545,$A$4:$A$29545,$A59,$B$4:$B$29545,リスト!$E$7),"")</f>
        <v/>
      </c>
      <c r="K59" s="176" t="str">
        <f>IF($B59="ユニット合計",SUMIFS($E$4:$E$29545,$A$4:$A$29545,$A59,$B$4:$B$29545,リスト!$E$5),"")</f>
        <v/>
      </c>
      <c r="L59" s="94" t="str">
        <f>IF($B59="ユニット合計",SUMIFS($F$4:$F$29545,$A$4:$A$29545,$A59,$B$4:$B$29545,リスト!$E$5),"")</f>
        <v/>
      </c>
      <c r="M59" s="94" t="str">
        <f>IF($B59="ユニット合計",SUMIFS($E$4:$E$29545,$A$4:$A$29545,$A59,$B$4:$B$29545,リスト!$E$6),"")</f>
        <v/>
      </c>
    </row>
    <row r="60" spans="1:13" x14ac:dyDescent="0.2">
      <c r="A60" s="98" t="str">
        <f t="shared" si="10"/>
        <v>24-10</v>
      </c>
      <c r="B60" s="78" t="s">
        <v>108</v>
      </c>
      <c r="C60" s="79">
        <v>45573.916666666657</v>
      </c>
      <c r="D60" s="79">
        <v>45575.916666666657</v>
      </c>
      <c r="E60" s="91">
        <f t="shared" si="7"/>
        <v>2</v>
      </c>
      <c r="F60" s="94">
        <f>IF(B60="","",IF(B60="ユニット合計",SUMIF('GUN HV OFF時間記録'!B:B,A60,'GUN HV OFF時間記録'!F:F),IF(OR(B60=リスト!$E$7,B60=リスト!$E$5),SUMIF('GUN HV OFF時間記録'!$K$6:$K$111,C60,'GUN HV OFF時間記録'!$N$6:$N$111),0)))</f>
        <v>0</v>
      </c>
      <c r="G60" s="80" t="s">
        <v>315</v>
      </c>
      <c r="H60" s="94" t="str">
        <f t="shared" si="9"/>
        <v/>
      </c>
      <c r="I60" s="94" t="str">
        <f>IF($B60="ユニット合計",SUMIFS($E$4:$E$29545,$A$4:$A$29545,$A60,$B$4:$B$29545,リスト!$E$7),"")</f>
        <v/>
      </c>
      <c r="J60" s="94" t="str">
        <f>IF($B60="ユニット合計",SUMIFS($F$4:$F$29545,$A$4:$A$29545,$A60,$B$4:$B$29545,リスト!$E$7),"")</f>
        <v/>
      </c>
      <c r="K60" s="176" t="str">
        <f>IF($B60="ユニット合計",SUMIFS($E$4:$E$29545,$A$4:$A$29545,$A60,$B$4:$B$29545,リスト!$E$5),"")</f>
        <v/>
      </c>
      <c r="L60" s="94" t="str">
        <f>IF($B60="ユニット合計",SUMIFS($F$4:$F$29545,$A$4:$A$29545,$A60,$B$4:$B$29545,リスト!$E$5),"")</f>
        <v/>
      </c>
      <c r="M60" s="94" t="str">
        <f>IF($B60="ユニット合計",SUMIFS($E$4:$E$29545,$A$4:$A$29545,$A60,$B$4:$B$29545,リスト!$E$6),"")</f>
        <v/>
      </c>
    </row>
    <row r="61" spans="1:13" x14ac:dyDescent="0.2">
      <c r="A61" s="98" t="str">
        <f t="shared" si="10"/>
        <v>24-10</v>
      </c>
      <c r="B61" s="78" t="s">
        <v>207</v>
      </c>
      <c r="C61" s="79">
        <v>45575.916666666657</v>
      </c>
      <c r="D61" s="79">
        <v>45576.416666666657</v>
      </c>
      <c r="E61" s="91">
        <f t="shared" si="7"/>
        <v>0.5</v>
      </c>
      <c r="F61" s="94">
        <f ca="1">IF(B61="","",IF(B61="ユニット合計",SUMIF('GUN HV OFF時間記録'!B:B,A61,'GUN HV OFF時間記録'!F:F),IF(OR(B61=リスト!$E$7,B61=リスト!$E$5),SUMIF('GUN HV OFF時間記録'!$K$6:$K$111,C61,'GUN HV OFF時間記録'!$N$6:$N$111),0)))</f>
        <v>0</v>
      </c>
      <c r="G61" s="80"/>
      <c r="H61" s="94" t="str">
        <f t="shared" si="9"/>
        <v/>
      </c>
      <c r="I61" s="94" t="str">
        <f>IF($B61="ユニット合計",SUMIFS($E$4:$E$29545,$A$4:$A$29545,$A61,$B$4:$B$29545,リスト!$E$7),"")</f>
        <v/>
      </c>
      <c r="J61" s="94" t="str">
        <f>IF($B61="ユニット合計",SUMIFS($F$4:$F$29545,$A$4:$A$29545,$A61,$B$4:$B$29545,リスト!$E$7),"")</f>
        <v/>
      </c>
      <c r="K61" s="176" t="str">
        <f>IF($B61="ユニット合計",SUMIFS($E$4:$E$29545,$A$4:$A$29545,$A61,$B$4:$B$29545,リスト!$E$5),"")</f>
        <v/>
      </c>
      <c r="L61" s="94" t="str">
        <f>IF($B61="ユニット合計",SUMIFS($F$4:$F$29545,$A$4:$A$29545,$A61,$B$4:$B$29545,リスト!$E$5),"")</f>
        <v/>
      </c>
      <c r="M61" s="94" t="str">
        <f>IF($B61="ユニット合計",SUMIFS($E$4:$E$29545,$A$4:$A$29545,$A61,$B$4:$B$29545,リスト!$E$6),"")</f>
        <v/>
      </c>
    </row>
    <row r="62" spans="1:13" x14ac:dyDescent="0.2">
      <c r="A62" s="98" t="str">
        <f t="shared" si="10"/>
        <v>24-10</v>
      </c>
      <c r="B62" s="78" t="s">
        <v>108</v>
      </c>
      <c r="C62" s="79">
        <v>45576.416666666657</v>
      </c>
      <c r="D62" s="79">
        <v>45576.916666666657</v>
      </c>
      <c r="E62" s="91">
        <f t="shared" si="7"/>
        <v>0.5</v>
      </c>
      <c r="F62" s="94">
        <f>IF(B62="","",IF(B62="ユニット合計",SUMIF('GUN HV OFF時間記録'!B:B,A62,'GUN HV OFF時間記録'!F:F),IF(OR(B62=リスト!$E$7,B62=リスト!$E$5),SUMIF('GUN HV OFF時間記録'!$K$6:$K$111,C62,'GUN HV OFF時間記録'!$N$6:$N$111),0)))</f>
        <v>0</v>
      </c>
      <c r="G62" s="80" t="s">
        <v>316</v>
      </c>
      <c r="H62" s="94" t="str">
        <f t="shared" si="9"/>
        <v/>
      </c>
      <c r="I62" s="94" t="str">
        <f>IF($B62="ユニット合計",SUMIFS($E$4:$E$29545,$A$4:$A$29545,$A62,$B$4:$B$29545,リスト!$E$7),"")</f>
        <v/>
      </c>
      <c r="J62" s="94" t="str">
        <f>IF($B62="ユニット合計",SUMIFS($F$4:$F$29545,$A$4:$A$29545,$A62,$B$4:$B$29545,リスト!$E$7),"")</f>
        <v/>
      </c>
      <c r="K62" s="176" t="str">
        <f>IF($B62="ユニット合計",SUMIFS($E$4:$E$29545,$A$4:$A$29545,$A62,$B$4:$B$29545,リスト!$E$5),"")</f>
        <v/>
      </c>
      <c r="L62" s="94" t="str">
        <f>IF($B62="ユニット合計",SUMIFS($F$4:$F$29545,$A$4:$A$29545,$A62,$B$4:$B$29545,リスト!$E$5),"")</f>
        <v/>
      </c>
      <c r="M62" s="94" t="str">
        <f>IF($B62="ユニット合計",SUMIFS($E$4:$E$29545,$A$4:$A$29545,$A62,$B$4:$B$29545,リスト!$E$6),"")</f>
        <v/>
      </c>
    </row>
    <row r="63" spans="1:13" x14ac:dyDescent="0.2">
      <c r="A63" s="98" t="str">
        <f t="shared" si="10"/>
        <v>24-10</v>
      </c>
      <c r="B63" s="78" t="s">
        <v>207</v>
      </c>
      <c r="C63" s="79">
        <v>45576.916666666657</v>
      </c>
      <c r="D63" s="79">
        <v>45579.416666666657</v>
      </c>
      <c r="E63" s="91">
        <f t="shared" si="7"/>
        <v>2.5</v>
      </c>
      <c r="F63" s="94">
        <f ca="1">IF(B63="","",IF(B63="ユニット合計",SUMIF('GUN HV OFF時間記録'!B:B,A63,'GUN HV OFF時間記録'!F:F),IF(OR(B63=リスト!$E$7,B63=リスト!$E$5),SUMIF('GUN HV OFF時間記録'!$K$6:$K$111,C63,'GUN HV OFF時間記録'!$N$6:$N$111),0)))</f>
        <v>0</v>
      </c>
      <c r="G63" s="80"/>
      <c r="H63" s="94" t="str">
        <f t="shared" si="9"/>
        <v/>
      </c>
      <c r="I63" s="94" t="str">
        <f>IF($B63="ユニット合計",SUMIFS($E$4:$E$29545,$A$4:$A$29545,$A63,$B$4:$B$29545,リスト!$E$7),"")</f>
        <v/>
      </c>
      <c r="J63" s="94" t="str">
        <f>IF($B63="ユニット合計",SUMIFS($F$4:$F$29545,$A$4:$A$29545,$A63,$B$4:$B$29545,リスト!$E$7),"")</f>
        <v/>
      </c>
      <c r="K63" s="176" t="str">
        <f>IF($B63="ユニット合計",SUMIFS($E$4:$E$29545,$A$4:$A$29545,$A63,$B$4:$B$29545,リスト!$E$5),"")</f>
        <v/>
      </c>
      <c r="L63" s="94" t="str">
        <f>IF($B63="ユニット合計",SUMIFS($F$4:$F$29545,$A$4:$A$29545,$A63,$B$4:$B$29545,リスト!$E$5),"")</f>
        <v/>
      </c>
      <c r="M63" s="94" t="str">
        <f>IF($B63="ユニット合計",SUMIFS($E$4:$E$29545,$A$4:$A$29545,$A63,$B$4:$B$29545,リスト!$E$6),"")</f>
        <v/>
      </c>
    </row>
    <row r="64" spans="1:13" x14ac:dyDescent="0.2">
      <c r="A64" s="98" t="s">
        <v>317</v>
      </c>
      <c r="B64" s="78" t="s">
        <v>208</v>
      </c>
      <c r="C64" s="79">
        <v>45565.416666666657</v>
      </c>
      <c r="D64" s="79">
        <v>45579.416666666657</v>
      </c>
      <c r="E64" s="91">
        <f t="shared" si="7"/>
        <v>14</v>
      </c>
      <c r="F64" s="94">
        <f ca="1">IF(B64="","",IF(B64="ユニット合計",SUMIF('GUN HV OFF時間記録'!B:B,A64,'GUN HV OFF時間記録'!F:F),IF(OR(B64=リスト!$E$7,B64=リスト!$E$5),SUMIF('GUN HV OFF時間記録'!$K$6:$K$111,C64,'GUN HV OFF時間記録'!$N$6:$N$111),0)))</f>
        <v>0</v>
      </c>
      <c r="G64" s="80"/>
      <c r="H64" s="94">
        <f t="shared" si="9"/>
        <v>14</v>
      </c>
      <c r="I64" s="94">
        <f>IF($B64="ユニット合計",SUMIFS($E$4:$E$29545,$A$4:$A$29545,$A64,$B$4:$B$29545,リスト!$E$7),"")</f>
        <v>0</v>
      </c>
      <c r="J64" s="94">
        <f>IF($B64="ユニット合計",SUMIFS($F$4:$F$29545,$A$4:$A$29545,$A64,$B$4:$B$29545,リスト!$E$7),"")</f>
        <v>0</v>
      </c>
      <c r="K64" s="176">
        <f>IF($B64="ユニット合計",SUMIFS($E$4:$E$29545,$A$4:$A$29545,$A64,$B$4:$B$29545,リスト!$E$5),"")</f>
        <v>11.25</v>
      </c>
      <c r="L64" s="94">
        <f ca="1">IF($B64="ユニット合計",SUMIFS($F$4:$F$29545,$A$4:$A$29545,$A64,$B$4:$B$29545,リスト!$E$5),"")</f>
        <v>0</v>
      </c>
      <c r="M64" s="94">
        <f>IF($B64="ユニット合計",SUMIFS($E$4:$E$29545,$A$4:$A$29545,$A64,$B$4:$B$29545,リスト!$E$6),"")</f>
        <v>2.75</v>
      </c>
    </row>
    <row r="65" spans="1:13" x14ac:dyDescent="0.2">
      <c r="A65" s="98" t="str">
        <f t="shared" si="10"/>
        <v>24-11</v>
      </c>
      <c r="B65" s="78" t="s">
        <v>207</v>
      </c>
      <c r="C65" s="79">
        <v>45579.416666666657</v>
      </c>
      <c r="D65" s="79">
        <v>45581.916666666657</v>
      </c>
      <c r="E65" s="91">
        <f t="shared" si="7"/>
        <v>2.5</v>
      </c>
      <c r="F65" s="94">
        <f ca="1">IF(B65="","",IF(B65="ユニット合計",SUMIF('GUN HV OFF時間記録'!B:B,A65,'GUN HV OFF時間記録'!F:F),IF(OR(B65=リスト!$E$7,B65=リスト!$E$5),SUMIF('GUN HV OFF時間記録'!$K$6:$K$111,C65,'GUN HV OFF時間記録'!$N$6:$N$111),0)))</f>
        <v>0</v>
      </c>
      <c r="G65" s="80"/>
      <c r="H65" s="94" t="str">
        <f t="shared" si="9"/>
        <v/>
      </c>
      <c r="I65" s="94" t="str">
        <f>IF($B65="ユニット合計",SUMIFS($E$4:$E$29545,$A$4:$A$29545,$A65,$B$4:$B$29545,リスト!$E$7),"")</f>
        <v/>
      </c>
      <c r="J65" s="94" t="str">
        <f>IF($B65="ユニット合計",SUMIFS($F$4:$F$29545,$A$4:$A$29545,$A65,$B$4:$B$29545,リスト!$E$7),"")</f>
        <v/>
      </c>
      <c r="K65" s="176" t="str">
        <f>IF($B65="ユニット合計",SUMIFS($E$4:$E$29545,$A$4:$A$29545,$A65,$B$4:$B$29545,リスト!$E$5),"")</f>
        <v/>
      </c>
      <c r="L65" s="94" t="str">
        <f>IF($B65="ユニット合計",SUMIFS($F$4:$F$29545,$A$4:$A$29545,$A65,$B$4:$B$29545,リスト!$E$5),"")</f>
        <v/>
      </c>
      <c r="M65" s="94" t="str">
        <f>IF($B65="ユニット合計",SUMIFS($E$4:$E$29545,$A$4:$A$29545,$A65,$B$4:$B$29545,リスト!$E$6),"")</f>
        <v/>
      </c>
    </row>
    <row r="66" spans="1:13" x14ac:dyDescent="0.2">
      <c r="A66" s="98" t="str">
        <f t="shared" si="10"/>
        <v>24-11</v>
      </c>
      <c r="B66" s="78" t="s">
        <v>108</v>
      </c>
      <c r="C66" s="79">
        <v>45581.916666666657</v>
      </c>
      <c r="D66" s="79">
        <v>45583.416666666657</v>
      </c>
      <c r="E66" s="91">
        <f t="shared" si="7"/>
        <v>1.5</v>
      </c>
      <c r="F66" s="94">
        <f>IF(B66="","",IF(B66="ユニット合計",SUMIF('GUN HV OFF時間記録'!B:B,A66,'GUN HV OFF時間記録'!F:F),IF(OR(B66=リスト!$E$7,B66=リスト!$E$5),SUMIF('GUN HV OFF時間記録'!$K$6:$K$111,C66,'GUN HV OFF時間記録'!$N$6:$N$111),0)))</f>
        <v>0</v>
      </c>
      <c r="G66" s="80" t="s">
        <v>261</v>
      </c>
      <c r="H66" s="94" t="str">
        <f t="shared" si="9"/>
        <v/>
      </c>
      <c r="I66" s="94" t="str">
        <f>IF($B66="ユニット合計",SUMIFS($E$4:$E$29545,$A$4:$A$29545,$A66,$B$4:$B$29545,リスト!$E$7),"")</f>
        <v/>
      </c>
      <c r="J66" s="94" t="str">
        <f>IF($B66="ユニット合計",SUMIFS($F$4:$F$29545,$A$4:$A$29545,$A66,$B$4:$B$29545,リスト!$E$7),"")</f>
        <v/>
      </c>
      <c r="K66" s="176" t="str">
        <f>IF($B66="ユニット合計",SUMIFS($E$4:$E$29545,$A$4:$A$29545,$A66,$B$4:$B$29545,リスト!$E$5),"")</f>
        <v/>
      </c>
      <c r="L66" s="94" t="str">
        <f>IF($B66="ユニット合計",SUMIFS($F$4:$F$29545,$A$4:$A$29545,$A66,$B$4:$B$29545,リスト!$E$5),"")</f>
        <v/>
      </c>
      <c r="M66" s="94" t="str">
        <f>IF($B66="ユニット合計",SUMIFS($E$4:$E$29545,$A$4:$A$29545,$A66,$B$4:$B$29545,リスト!$E$6),"")</f>
        <v/>
      </c>
    </row>
    <row r="67" spans="1:13" x14ac:dyDescent="0.2">
      <c r="A67" s="98" t="str">
        <f t="shared" si="10"/>
        <v>24-11</v>
      </c>
      <c r="B67" s="78" t="s">
        <v>108</v>
      </c>
      <c r="C67" s="79">
        <v>45583.416666666657</v>
      </c>
      <c r="D67" s="79">
        <v>45583.916666666657</v>
      </c>
      <c r="E67" s="91">
        <f t="shared" si="7"/>
        <v>0.5</v>
      </c>
      <c r="F67" s="94">
        <f>IF(B67="","",IF(B67="ユニット合計",SUMIF('GUN HV OFF時間記録'!B:B,A67,'GUN HV OFF時間記録'!F:F),IF(OR(B67=リスト!$E$7,B67=リスト!$E$5),SUMIF('GUN HV OFF時間記録'!$K$6:$K$111,C67,'GUN HV OFF時間記録'!$N$6:$N$111),0)))</f>
        <v>0</v>
      </c>
      <c r="G67" s="80" t="s">
        <v>318</v>
      </c>
      <c r="H67" s="94" t="str">
        <f t="shared" si="9"/>
        <v/>
      </c>
      <c r="I67" s="94" t="str">
        <f>IF($B67="ユニット合計",SUMIFS($E$4:$E$29545,$A$4:$A$29545,$A67,$B$4:$B$29545,リスト!$E$7),"")</f>
        <v/>
      </c>
      <c r="J67" s="94" t="str">
        <f>IF($B67="ユニット合計",SUMIFS($F$4:$F$29545,$A$4:$A$29545,$A67,$B$4:$B$29545,リスト!$E$7),"")</f>
        <v/>
      </c>
      <c r="K67" s="176" t="str">
        <f>IF($B67="ユニット合計",SUMIFS($E$4:$E$29545,$A$4:$A$29545,$A67,$B$4:$B$29545,リスト!$E$5),"")</f>
        <v/>
      </c>
      <c r="L67" s="94" t="str">
        <f>IF($B67="ユニット合計",SUMIFS($F$4:$F$29545,$A$4:$A$29545,$A67,$B$4:$B$29545,リスト!$E$5),"")</f>
        <v/>
      </c>
      <c r="M67" s="94" t="str">
        <f>IF($B67="ユニット合計",SUMIFS($E$4:$E$29545,$A$4:$A$29545,$A67,$B$4:$B$29545,リスト!$E$6),"")</f>
        <v/>
      </c>
    </row>
    <row r="68" spans="1:13" x14ac:dyDescent="0.2">
      <c r="A68" s="98" t="str">
        <f t="shared" si="10"/>
        <v>24-11</v>
      </c>
      <c r="B68" s="78" t="s">
        <v>207</v>
      </c>
      <c r="C68" s="79">
        <v>45583.916666666657</v>
      </c>
      <c r="D68" s="79">
        <v>45587.666666666657</v>
      </c>
      <c r="E68" s="91">
        <f t="shared" ref="E68:E99" si="11">IF(B68="","",IF(B68="ユニット合計",SUMIFS($E$4:$E$29545,$A$4:$A$29545,A68,$B$4:$B$29545,"&lt;&gt;ユニット合計"),D68-C68))</f>
        <v>3.75</v>
      </c>
      <c r="F68" s="94">
        <f ca="1">IF(B68="","",IF(B68="ユニット合計",SUMIF('GUN HV OFF時間記録'!B:B,A68,'GUN HV OFF時間記録'!F:F),IF(OR(B68=リスト!$E$7,B68=リスト!$E$5),SUMIF('GUN HV OFF時間記録'!$K$6:$K$111,C68,'GUN HV OFF時間記録'!$N$6:$N$111),0)))</f>
        <v>0</v>
      </c>
      <c r="G68" s="80"/>
      <c r="H68" s="94" t="str">
        <f t="shared" si="9"/>
        <v/>
      </c>
      <c r="I68" s="94" t="str">
        <f>IF($B68="ユニット合計",SUMIFS($E$4:$E$29545,$A$4:$A$29545,$A68,$B$4:$B$29545,リスト!$E$7),"")</f>
        <v/>
      </c>
      <c r="J68" s="94" t="str">
        <f>IF($B68="ユニット合計",SUMIFS($F$4:$F$29545,$A$4:$A$29545,$A68,$B$4:$B$29545,リスト!$E$7),"")</f>
        <v/>
      </c>
      <c r="K68" s="176" t="str">
        <f>IF($B68="ユニット合計",SUMIFS($E$4:$E$29545,$A$4:$A$29545,$A68,$B$4:$B$29545,リスト!$E$5),"")</f>
        <v/>
      </c>
      <c r="L68" s="94" t="str">
        <f>IF($B68="ユニット合計",SUMIFS($F$4:$F$29545,$A$4:$A$29545,$A68,$B$4:$B$29545,リスト!$E$5),"")</f>
        <v/>
      </c>
      <c r="M68" s="94" t="str">
        <f>IF($B68="ユニット合計",SUMIFS($E$4:$E$29545,$A$4:$A$29545,$A68,$B$4:$B$29545,リスト!$E$6),"")</f>
        <v/>
      </c>
    </row>
    <row r="69" spans="1:13" x14ac:dyDescent="0.2">
      <c r="A69" s="98" t="str">
        <f t="shared" si="10"/>
        <v>24-11</v>
      </c>
      <c r="B69" s="78" t="s">
        <v>108</v>
      </c>
      <c r="C69" s="79">
        <v>45587.666666666657</v>
      </c>
      <c r="D69" s="79">
        <v>45587.916666666657</v>
      </c>
      <c r="E69" s="91">
        <f t="shared" si="11"/>
        <v>0.25</v>
      </c>
      <c r="F69" s="94">
        <f>IF(B69="","",IF(B69="ユニット合計",SUMIF('GUN HV OFF時間記録'!B:B,A69,'GUN HV OFF時間記録'!F:F),IF(OR(B69=リスト!$E$7,B69=リスト!$E$5),SUMIF('GUN HV OFF時間記録'!$K$6:$K$111,C69,'GUN HV OFF時間記録'!$N$6:$N$111),0)))</f>
        <v>0</v>
      </c>
      <c r="G69" s="80" t="s">
        <v>302</v>
      </c>
      <c r="H69" s="94" t="str">
        <f t="shared" si="9"/>
        <v/>
      </c>
      <c r="I69" s="94" t="str">
        <f>IF($B69="ユニット合計",SUMIFS($E$4:$E$29545,$A$4:$A$29545,$A69,$B$4:$B$29545,リスト!$E$7),"")</f>
        <v/>
      </c>
      <c r="J69" s="94" t="str">
        <f>IF($B69="ユニット合計",SUMIFS($F$4:$F$29545,$A$4:$A$29545,$A69,$B$4:$B$29545,リスト!$E$7),"")</f>
        <v/>
      </c>
      <c r="K69" s="176" t="str">
        <f>IF($B69="ユニット合計",SUMIFS($E$4:$E$29545,$A$4:$A$29545,$A69,$B$4:$B$29545,リスト!$E$5),"")</f>
        <v/>
      </c>
      <c r="L69" s="94" t="str">
        <f>IF($B69="ユニット合計",SUMIFS($F$4:$F$29545,$A$4:$A$29545,$A69,$B$4:$B$29545,リスト!$E$5),"")</f>
        <v/>
      </c>
      <c r="M69" s="94" t="str">
        <f>IF($B69="ユニット合計",SUMIFS($E$4:$E$29545,$A$4:$A$29545,$A69,$B$4:$B$29545,リスト!$E$6),"")</f>
        <v/>
      </c>
    </row>
    <row r="70" spans="1:13" x14ac:dyDescent="0.2">
      <c r="A70" s="98" t="str">
        <f t="shared" si="10"/>
        <v>24-11</v>
      </c>
      <c r="B70" s="78" t="s">
        <v>207</v>
      </c>
      <c r="C70" s="79">
        <v>45587.916666666657</v>
      </c>
      <c r="D70" s="79">
        <v>45588.416666666657</v>
      </c>
      <c r="E70" s="91">
        <f t="shared" si="11"/>
        <v>0.5</v>
      </c>
      <c r="F70" s="94">
        <f ca="1">IF(B70="","",IF(B70="ユニット合計",SUMIF('GUN HV OFF時間記録'!B:B,A70,'GUN HV OFF時間記録'!F:F),IF(OR(B70=リスト!$E$7,B70=リスト!$E$5),SUMIF('GUN HV OFF時間記録'!$K$6:$K$111,C70,'GUN HV OFF時間記録'!$N$6:$N$111),0)))</f>
        <v>0</v>
      </c>
      <c r="G70" s="80"/>
      <c r="H70" s="94" t="str">
        <f t="shared" si="9"/>
        <v/>
      </c>
      <c r="I70" s="94" t="str">
        <f>IF($B70="ユニット合計",SUMIFS($E$4:$E$29545,$A$4:$A$29545,$A70,$B$4:$B$29545,リスト!$E$7),"")</f>
        <v/>
      </c>
      <c r="J70" s="94" t="str">
        <f>IF($B70="ユニット合計",SUMIFS($F$4:$F$29545,$A$4:$A$29545,$A70,$B$4:$B$29545,リスト!$E$7),"")</f>
        <v/>
      </c>
      <c r="K70" s="176" t="str">
        <f>IF($B70="ユニット合計",SUMIFS($E$4:$E$29545,$A$4:$A$29545,$A70,$B$4:$B$29545,リスト!$E$5),"")</f>
        <v/>
      </c>
      <c r="L70" s="94" t="str">
        <f>IF($B70="ユニット合計",SUMIFS($F$4:$F$29545,$A$4:$A$29545,$A70,$B$4:$B$29545,リスト!$E$5),"")</f>
        <v/>
      </c>
      <c r="M70" s="94" t="str">
        <f>IF($B70="ユニット合計",SUMIFS($E$4:$E$29545,$A$4:$A$29545,$A70,$B$4:$B$29545,リスト!$E$6),"")</f>
        <v/>
      </c>
    </row>
    <row r="71" spans="1:13" x14ac:dyDescent="0.2">
      <c r="A71" s="98" t="str">
        <f t="shared" si="10"/>
        <v>24-11</v>
      </c>
      <c r="B71" s="78" t="s">
        <v>108</v>
      </c>
      <c r="C71" s="79">
        <v>45588.416666666657</v>
      </c>
      <c r="D71" s="79">
        <v>45588.666666666657</v>
      </c>
      <c r="E71" s="91">
        <f t="shared" si="11"/>
        <v>0.25</v>
      </c>
      <c r="F71" s="94">
        <f>IF(B71="","",IF(B71="ユニット合計",SUMIF('GUN HV OFF時間記録'!B:B,A71,'GUN HV OFF時間記録'!F:F),IF(OR(B71=リスト!$E$7,B71=リスト!$E$5),SUMIF('GUN HV OFF時間記録'!$K$6:$K$111,C71,'GUN HV OFF時間記録'!$N$6:$N$111),0)))</f>
        <v>0</v>
      </c>
      <c r="G71" s="80" t="s">
        <v>302</v>
      </c>
      <c r="H71" s="94" t="str">
        <f t="shared" si="9"/>
        <v/>
      </c>
      <c r="I71" s="94" t="str">
        <f>IF($B71="ユニット合計",SUMIFS($E$4:$E$29545,$A$4:$A$29545,$A71,$B$4:$B$29545,リスト!$E$7),"")</f>
        <v/>
      </c>
      <c r="J71" s="94" t="str">
        <f>IF($B71="ユニット合計",SUMIFS($F$4:$F$29545,$A$4:$A$29545,$A71,$B$4:$B$29545,リスト!$E$7),"")</f>
        <v/>
      </c>
      <c r="K71" s="176" t="str">
        <f>IF($B71="ユニット合計",SUMIFS($E$4:$E$29545,$A$4:$A$29545,$A71,$B$4:$B$29545,リスト!$E$5),"")</f>
        <v/>
      </c>
      <c r="L71" s="94" t="str">
        <f>IF($B71="ユニット合計",SUMIFS($F$4:$F$29545,$A$4:$A$29545,$A71,$B$4:$B$29545,リスト!$E$5),"")</f>
        <v/>
      </c>
      <c r="M71" s="94" t="str">
        <f>IF($B71="ユニット合計",SUMIFS($E$4:$E$29545,$A$4:$A$29545,$A71,$B$4:$B$29545,リスト!$E$6),"")</f>
        <v/>
      </c>
    </row>
    <row r="72" spans="1:13" x14ac:dyDescent="0.2">
      <c r="A72" s="98" t="str">
        <f t="shared" si="10"/>
        <v>24-11</v>
      </c>
      <c r="B72" s="78" t="s">
        <v>207</v>
      </c>
      <c r="C72" s="79">
        <v>45588.666666666657</v>
      </c>
      <c r="D72" s="79">
        <v>45589.416666666657</v>
      </c>
      <c r="E72" s="91">
        <f t="shared" si="11"/>
        <v>0.75</v>
      </c>
      <c r="F72" s="94">
        <f ca="1">IF(B72="","",IF(B72="ユニット合計",SUMIF('GUN HV OFF時間記録'!B:B,A72,'GUN HV OFF時間記録'!F:F),IF(OR(B72=リスト!$E$7,B72=リスト!$E$5),SUMIF('GUN HV OFF時間記録'!$K$6:$K$111,C72,'GUN HV OFF時間記録'!$N$6:$N$111),0)))</f>
        <v>0</v>
      </c>
      <c r="G72" s="80"/>
      <c r="H72" s="94" t="str">
        <f t="shared" si="9"/>
        <v/>
      </c>
      <c r="I72" s="94" t="str">
        <f>IF($B72="ユニット合計",SUMIFS($E$4:$E$29545,$A$4:$A$29545,$A72,$B$4:$B$29545,リスト!$E$7),"")</f>
        <v/>
      </c>
      <c r="J72" s="94" t="str">
        <f>IF($B72="ユニット合計",SUMIFS($F$4:$F$29545,$A$4:$A$29545,$A72,$B$4:$B$29545,リスト!$E$7),"")</f>
        <v/>
      </c>
      <c r="K72" s="176" t="str">
        <f>IF($B72="ユニット合計",SUMIFS($E$4:$E$29545,$A$4:$A$29545,$A72,$B$4:$B$29545,リスト!$E$5),"")</f>
        <v/>
      </c>
      <c r="L72" s="94" t="str">
        <f>IF($B72="ユニット合計",SUMIFS($F$4:$F$29545,$A$4:$A$29545,$A72,$B$4:$B$29545,リスト!$E$5),"")</f>
        <v/>
      </c>
      <c r="M72" s="94" t="str">
        <f>IF($B72="ユニット合計",SUMIFS($E$4:$E$29545,$A$4:$A$29545,$A72,$B$4:$B$29545,リスト!$E$6),"")</f>
        <v/>
      </c>
    </row>
    <row r="73" spans="1:13" x14ac:dyDescent="0.2">
      <c r="A73" s="98" t="str">
        <f t="shared" si="10"/>
        <v>24-11</v>
      </c>
      <c r="B73" s="78" t="s">
        <v>108</v>
      </c>
      <c r="C73" s="79">
        <v>45589.416666666657</v>
      </c>
      <c r="D73" s="79">
        <v>45589.666666666657</v>
      </c>
      <c r="E73" s="91">
        <f t="shared" si="11"/>
        <v>0.25</v>
      </c>
      <c r="F73" s="94">
        <f>IF(B73="","",IF(B73="ユニット合計",SUMIF('GUN HV OFF時間記録'!B:B,A73,'GUN HV OFF時間記録'!F:F),IF(OR(B73=リスト!$E$7,B73=リスト!$E$5),SUMIF('GUN HV OFF時間記録'!$K$6:$K$111,C73,'GUN HV OFF時間記録'!$N$6:$N$111),0)))</f>
        <v>0</v>
      </c>
      <c r="G73" s="80" t="s">
        <v>302</v>
      </c>
      <c r="H73" s="94" t="str">
        <f t="shared" si="9"/>
        <v/>
      </c>
      <c r="I73" s="94" t="str">
        <f>IF($B73="ユニット合計",SUMIFS($E$4:$E$29545,$A$4:$A$29545,$A73,$B$4:$B$29545,リスト!$E$7),"")</f>
        <v/>
      </c>
      <c r="J73" s="94" t="str">
        <f>IF($B73="ユニット合計",SUMIFS($F$4:$F$29545,$A$4:$A$29545,$A73,$B$4:$B$29545,リスト!$E$7),"")</f>
        <v/>
      </c>
      <c r="K73" s="176" t="str">
        <f>IF($B73="ユニット合計",SUMIFS($E$4:$E$29545,$A$4:$A$29545,$A73,$B$4:$B$29545,リスト!$E$5),"")</f>
        <v/>
      </c>
      <c r="L73" s="94" t="str">
        <f>IF($B73="ユニット合計",SUMIFS($F$4:$F$29545,$A$4:$A$29545,$A73,$B$4:$B$29545,リスト!$E$5),"")</f>
        <v/>
      </c>
      <c r="M73" s="94" t="str">
        <f>IF($B73="ユニット合計",SUMIFS($E$4:$E$29545,$A$4:$A$29545,$A73,$B$4:$B$29545,リスト!$E$6),"")</f>
        <v/>
      </c>
    </row>
    <row r="74" spans="1:13" x14ac:dyDescent="0.2">
      <c r="A74" s="98" t="str">
        <f t="shared" si="10"/>
        <v>24-11</v>
      </c>
      <c r="B74" s="78" t="s">
        <v>207</v>
      </c>
      <c r="C74" s="79">
        <v>45589.666666666657</v>
      </c>
      <c r="D74" s="79">
        <v>45590.916666666657</v>
      </c>
      <c r="E74" s="91">
        <f t="shared" si="11"/>
        <v>1.25</v>
      </c>
      <c r="F74" s="94">
        <f ca="1">IF(B74="","",IF(B74="ユニット合計",SUMIF('GUN HV OFF時間記録'!B:B,A74,'GUN HV OFF時間記録'!F:F),IF(OR(B74=リスト!$E$7,B74=リスト!$E$5),SUMIF('GUN HV OFF時間記録'!$K$6:$K$111,C74,'GUN HV OFF時間記録'!$N$6:$N$111),0)))</f>
        <v>0</v>
      </c>
      <c r="G74" s="80"/>
      <c r="H74" s="94" t="str">
        <f t="shared" si="9"/>
        <v/>
      </c>
      <c r="I74" s="94" t="str">
        <f>IF($B74="ユニット合計",SUMIFS($E$4:$E$29545,$A$4:$A$29545,$A74,$B$4:$B$29545,リスト!$E$7),"")</f>
        <v/>
      </c>
      <c r="J74" s="94" t="str">
        <f>IF($B74="ユニット合計",SUMIFS($F$4:$F$29545,$A$4:$A$29545,$A74,$B$4:$B$29545,リスト!$E$7),"")</f>
        <v/>
      </c>
      <c r="K74" s="176" t="str">
        <f>IF($B74="ユニット合計",SUMIFS($E$4:$E$29545,$A$4:$A$29545,$A74,$B$4:$B$29545,リスト!$E$5),"")</f>
        <v/>
      </c>
      <c r="L74" s="94" t="str">
        <f>IF($B74="ユニット合計",SUMIFS($F$4:$F$29545,$A$4:$A$29545,$A74,$B$4:$B$29545,リスト!$E$5),"")</f>
        <v/>
      </c>
      <c r="M74" s="94" t="str">
        <f>IF($B74="ユニット合計",SUMIFS($E$4:$E$29545,$A$4:$A$29545,$A74,$B$4:$B$29545,リスト!$E$6),"")</f>
        <v/>
      </c>
    </row>
    <row r="75" spans="1:13" x14ac:dyDescent="0.2">
      <c r="A75" s="98" t="str">
        <f t="shared" si="10"/>
        <v>24-11</v>
      </c>
      <c r="B75" s="78" t="s">
        <v>108</v>
      </c>
      <c r="C75" s="79">
        <v>45590.916666666657</v>
      </c>
      <c r="D75" s="79">
        <v>45592.916666666657</v>
      </c>
      <c r="E75" s="91">
        <f t="shared" si="11"/>
        <v>2</v>
      </c>
      <c r="F75" s="94">
        <f>IF(B75="","",IF(B75="ユニット合計",SUMIF('GUN HV OFF時間記録'!B:B,A75,'GUN HV OFF時間記録'!F:F),IF(OR(B75=リスト!$E$7,B75=リスト!$E$5),SUMIF('GUN HV OFF時間記録'!$K$6:$K$111,C75,'GUN HV OFF時間記録'!$N$6:$N$111),0)))</f>
        <v>0</v>
      </c>
      <c r="G75" s="80" t="s">
        <v>253</v>
      </c>
      <c r="H75" s="94" t="str">
        <f t="shared" si="9"/>
        <v/>
      </c>
      <c r="I75" s="94" t="str">
        <f>IF($B75="ユニット合計",SUMIFS($E$4:$E$29545,$A$4:$A$29545,$A75,$B$4:$B$29545,リスト!$E$7),"")</f>
        <v/>
      </c>
      <c r="J75" s="94" t="str">
        <f>IF($B75="ユニット合計",SUMIFS($F$4:$F$29545,$A$4:$A$29545,$A75,$B$4:$B$29545,リスト!$E$7),"")</f>
        <v/>
      </c>
      <c r="K75" s="176" t="str">
        <f>IF($B75="ユニット合計",SUMIFS($E$4:$E$29545,$A$4:$A$29545,$A75,$B$4:$B$29545,リスト!$E$5),"")</f>
        <v/>
      </c>
      <c r="L75" s="94" t="str">
        <f>IF($B75="ユニット合計",SUMIFS($F$4:$F$29545,$A$4:$A$29545,$A75,$B$4:$B$29545,リスト!$E$5),"")</f>
        <v/>
      </c>
      <c r="M75" s="94" t="str">
        <f>IF($B75="ユニット合計",SUMIFS($E$4:$E$29545,$A$4:$A$29545,$A75,$B$4:$B$29545,リスト!$E$6),"")</f>
        <v/>
      </c>
    </row>
    <row r="76" spans="1:13" x14ac:dyDescent="0.2">
      <c r="A76" s="98" t="str">
        <f t="shared" si="10"/>
        <v>24-11</v>
      </c>
      <c r="B76" s="78" t="s">
        <v>207</v>
      </c>
      <c r="C76" s="79">
        <v>45592.916666666657</v>
      </c>
      <c r="D76" s="79">
        <v>45593.416666666657</v>
      </c>
      <c r="E76" s="91">
        <f t="shared" si="11"/>
        <v>0.5</v>
      </c>
      <c r="F76" s="94">
        <f ca="1">IF(B76="","",IF(B76="ユニット合計",SUMIF('GUN HV OFF時間記録'!B:B,A76,'GUN HV OFF時間記録'!F:F),IF(OR(B76=リスト!$E$7,B76=リスト!$E$5),SUMIF('GUN HV OFF時間記録'!$K$6:$K$111,C76,'GUN HV OFF時間記録'!$N$6:$N$111),0)))</f>
        <v>0</v>
      </c>
      <c r="G76" s="80"/>
      <c r="H76" s="94" t="str">
        <f t="shared" si="9"/>
        <v/>
      </c>
      <c r="I76" s="94" t="str">
        <f>IF($B76="ユニット合計",SUMIFS($E$4:$E$29545,$A$4:$A$29545,$A76,$B$4:$B$29545,リスト!$E$7),"")</f>
        <v/>
      </c>
      <c r="J76" s="94" t="str">
        <f>IF($B76="ユニット合計",SUMIFS($F$4:$F$29545,$A$4:$A$29545,$A76,$B$4:$B$29545,リスト!$E$7),"")</f>
        <v/>
      </c>
      <c r="K76" s="176" t="str">
        <f>IF($B76="ユニット合計",SUMIFS($E$4:$E$29545,$A$4:$A$29545,$A76,$B$4:$B$29545,リスト!$E$5),"")</f>
        <v/>
      </c>
      <c r="L76" s="94" t="str">
        <f>IF($B76="ユニット合計",SUMIFS($F$4:$F$29545,$A$4:$A$29545,$A76,$B$4:$B$29545,リスト!$E$5),"")</f>
        <v/>
      </c>
      <c r="M76" s="94" t="str">
        <f>IF($B76="ユニット合計",SUMIFS($E$4:$E$29545,$A$4:$A$29545,$A76,$B$4:$B$29545,リスト!$E$6),"")</f>
        <v/>
      </c>
    </row>
    <row r="77" spans="1:13" x14ac:dyDescent="0.2">
      <c r="A77" s="98" t="s">
        <v>319</v>
      </c>
      <c r="B77" s="78" t="s">
        <v>208</v>
      </c>
      <c r="C77" s="79">
        <v>45579.416666666657</v>
      </c>
      <c r="D77" s="79">
        <v>45593.416666666657</v>
      </c>
      <c r="E77" s="91">
        <f t="shared" si="11"/>
        <v>14</v>
      </c>
      <c r="F77" s="94">
        <f ca="1">IF(B77="","",IF(B77="ユニット合計",SUMIF('GUN HV OFF時間記録'!B:B,A77,'GUN HV OFF時間記録'!F:F),IF(OR(B77=リスト!$E$7,B77=リスト!$E$5),SUMIF('GUN HV OFF時間記録'!$K$6:$K$111,C77,'GUN HV OFF時間記録'!$N$6:$N$111),0)))</f>
        <v>0</v>
      </c>
      <c r="G77" s="80"/>
      <c r="H77" s="94">
        <f t="shared" si="9"/>
        <v>14</v>
      </c>
      <c r="I77" s="94">
        <f>IF($B77="ユニット合計",SUMIFS($E$4:$E$29545,$A$4:$A$29545,$A77,$B$4:$B$29545,リスト!$E$7),"")</f>
        <v>0</v>
      </c>
      <c r="J77" s="94">
        <f>IF($B77="ユニット合計",SUMIFS($F$4:$F$29545,$A$4:$A$29545,$A77,$B$4:$B$29545,リスト!$E$7),"")</f>
        <v>0</v>
      </c>
      <c r="K77" s="176">
        <f>IF($B77="ユニット合計",SUMIFS($E$4:$E$29545,$A$4:$A$29545,$A77,$B$4:$B$29545,リスト!$E$5),"")</f>
        <v>9.25</v>
      </c>
      <c r="L77" s="94">
        <f ca="1">IF($B77="ユニット合計",SUMIFS($F$4:$F$29545,$A$4:$A$29545,$A77,$B$4:$B$29545,リスト!$E$5),"")</f>
        <v>0</v>
      </c>
      <c r="M77" s="94">
        <f>IF($B77="ユニット合計",SUMIFS($E$4:$E$29545,$A$4:$A$29545,$A77,$B$4:$B$29545,リスト!$E$6),"")</f>
        <v>4.75</v>
      </c>
    </row>
    <row r="78" spans="1:13" x14ac:dyDescent="0.2">
      <c r="A78" s="98" t="str">
        <f t="shared" si="10"/>
        <v/>
      </c>
      <c r="B78" s="78"/>
      <c r="C78" s="79">
        <f t="shared" ref="C78:C83" si="12">IF(D77="","",D77)</f>
        <v>45593.416666666657</v>
      </c>
      <c r="D78" s="79"/>
      <c r="E78" s="91" t="str">
        <f t="shared" si="11"/>
        <v/>
      </c>
      <c r="F78" s="94" t="str">
        <f>IF(B78="","",IF(B78="ユニット合計",SUMIF('GUN HV OFF時間記録'!B:B,A78,'GUN HV OFF時間記録'!F:F),IF(OR(B78=リスト!$E$7,B78=リスト!$E$5),SUMIF('GUN HV OFF時間記録'!$K$6:$K$111,C78,'GUN HV OFF時間記録'!$N$6:$N$111),0)))</f>
        <v/>
      </c>
      <c r="G78" s="80"/>
      <c r="H78" s="94" t="str">
        <f t="shared" si="9"/>
        <v/>
      </c>
      <c r="I78" s="94" t="str">
        <f>IF($B78="ユニット合計",SUMIFS($E$4:$E$29545,$A$4:$A$29545,$A78,$B$4:$B$29545,リスト!$E$7),"")</f>
        <v/>
      </c>
      <c r="J78" s="94" t="str">
        <f>IF($B78="ユニット合計",SUMIFS($F$4:$F$29545,$A$4:$A$29545,$A78,$B$4:$B$29545,リスト!$E$7),"")</f>
        <v/>
      </c>
      <c r="K78" s="176" t="str">
        <f>IF($B78="ユニット合計",SUMIFS($E$4:$E$29545,$A$4:$A$29545,$A78,$B$4:$B$29545,リスト!$E$5),"")</f>
        <v/>
      </c>
      <c r="L78" s="94" t="str">
        <f>IF($B78="ユニット合計",SUMIFS($F$4:$F$29545,$A$4:$A$29545,$A78,$B$4:$B$29545,リスト!$E$5),"")</f>
        <v/>
      </c>
      <c r="M78" s="94" t="str">
        <f>IF($B78="ユニット合計",SUMIFS($E$4:$E$29545,$A$4:$A$29545,$A78,$B$4:$B$29545,リスト!$E$6),"")</f>
        <v/>
      </c>
    </row>
    <row r="79" spans="1:13" x14ac:dyDescent="0.2">
      <c r="A79" s="98" t="str">
        <f t="shared" si="10"/>
        <v/>
      </c>
      <c r="B79" s="78"/>
      <c r="C79" s="79" t="str">
        <f t="shared" si="12"/>
        <v/>
      </c>
      <c r="D79" s="79"/>
      <c r="E79" s="91" t="str">
        <f t="shared" si="11"/>
        <v/>
      </c>
      <c r="F79" s="94" t="str">
        <f>IF(B79="","",IF(B79="ユニット合計",SUMIF('GUN HV OFF時間記録'!B:B,A79,'GUN HV OFF時間記録'!F:F),IF(OR(B79=リスト!$E$7,B79=リスト!$E$5),SUMIF('GUN HV OFF時間記録'!$K$6:$K$111,C79,'GUN HV OFF時間記録'!$N$6:$N$111),0)))</f>
        <v/>
      </c>
      <c r="G79" s="80"/>
      <c r="H79" s="94" t="str">
        <f t="shared" si="9"/>
        <v/>
      </c>
      <c r="I79" s="94" t="str">
        <f>IF($B79="ユニット合計",SUMIFS($E$4:$E$29545,$A$4:$A$29545,$A79,$B$4:$B$29545,リスト!$E$7),"")</f>
        <v/>
      </c>
      <c r="J79" s="94" t="str">
        <f>IF($B79="ユニット合計",SUMIFS($F$4:$F$29545,$A$4:$A$29545,$A79,$B$4:$B$29545,リスト!$E$7),"")</f>
        <v/>
      </c>
      <c r="K79" s="176" t="str">
        <f>IF($B79="ユニット合計",SUMIFS($E$4:$E$29545,$A$4:$A$29545,$A79,$B$4:$B$29545,リスト!$E$5),"")</f>
        <v/>
      </c>
      <c r="L79" s="94" t="str">
        <f>IF($B79="ユニット合計",SUMIFS($F$4:$F$29545,$A$4:$A$29545,$A79,$B$4:$B$29545,リスト!$E$5),"")</f>
        <v/>
      </c>
      <c r="M79" s="94" t="str">
        <f>IF($B79="ユニット合計",SUMIFS($E$4:$E$29545,$A$4:$A$29545,$A79,$B$4:$B$29545,リスト!$E$6),"")</f>
        <v/>
      </c>
    </row>
    <row r="80" spans="1:13" x14ac:dyDescent="0.2">
      <c r="A80" s="98" t="str">
        <f t="shared" si="10"/>
        <v/>
      </c>
      <c r="B80" s="78"/>
      <c r="C80" s="79" t="str">
        <f t="shared" si="12"/>
        <v/>
      </c>
      <c r="D80" s="79"/>
      <c r="E80" s="91" t="str">
        <f t="shared" si="11"/>
        <v/>
      </c>
      <c r="F80" s="94" t="str">
        <f>IF(B80="","",IF(B80="ユニット合計",SUMIF('GUN HV OFF時間記録'!B:B,A80,'GUN HV OFF時間記録'!F:F),IF(OR(B80=リスト!$E$7,B80=リスト!$E$5),SUMIF('GUN HV OFF時間記録'!$K$6:$K$111,C80,'GUN HV OFF時間記録'!$N$6:$N$111),0)))</f>
        <v/>
      </c>
      <c r="G80" s="80"/>
      <c r="H80" s="94" t="str">
        <f t="shared" si="9"/>
        <v/>
      </c>
      <c r="I80" s="94" t="str">
        <f>IF($B80="ユニット合計",SUMIFS($E$4:$E$29545,$A$4:$A$29545,$A80,$B$4:$B$29545,リスト!$E$7),"")</f>
        <v/>
      </c>
      <c r="J80" s="94" t="str">
        <f>IF($B80="ユニット合計",SUMIFS($F$4:$F$29545,$A$4:$A$29545,$A80,$B$4:$B$29545,リスト!$E$7),"")</f>
        <v/>
      </c>
      <c r="K80" s="176" t="str">
        <f>IF($B80="ユニット合計",SUMIFS($E$4:$E$29545,$A$4:$A$29545,$A80,$B$4:$B$29545,リスト!$E$5),"")</f>
        <v/>
      </c>
      <c r="L80" s="94" t="str">
        <f>IF($B80="ユニット合計",SUMIFS($F$4:$F$29545,$A$4:$A$29545,$A80,$B$4:$B$29545,リスト!$E$5),"")</f>
        <v/>
      </c>
      <c r="M80" s="94" t="str">
        <f>IF($B80="ユニット合計",SUMIFS($E$4:$E$29545,$A$4:$A$29545,$A80,$B$4:$B$29545,リスト!$E$6),"")</f>
        <v/>
      </c>
    </row>
    <row r="81" spans="1:13" x14ac:dyDescent="0.2">
      <c r="A81" s="98" t="str">
        <f t="shared" si="10"/>
        <v/>
      </c>
      <c r="B81" s="78"/>
      <c r="C81" s="79" t="str">
        <f t="shared" si="12"/>
        <v/>
      </c>
      <c r="D81" s="79"/>
      <c r="E81" s="91" t="str">
        <f t="shared" si="11"/>
        <v/>
      </c>
      <c r="F81" s="94" t="str">
        <f>IF(B81="","",IF(B81="ユニット合計",SUMIF('GUN HV OFF時間記録'!B:B,A81,'GUN HV OFF時間記録'!F:F),IF(OR(B81=リスト!$E$7,B81=リスト!$E$5),SUMIF('GUN HV OFF時間記録'!$K$6:$K$111,C81,'GUN HV OFF時間記録'!$N$6:$N$111),0)))</f>
        <v/>
      </c>
      <c r="G81" s="80"/>
      <c r="H81" s="94" t="str">
        <f t="shared" si="9"/>
        <v/>
      </c>
      <c r="I81" s="94" t="str">
        <f>IF($B81="ユニット合計",SUMIFS($E$4:$E$29545,$A$4:$A$29545,$A81,$B$4:$B$29545,リスト!$E$7),"")</f>
        <v/>
      </c>
      <c r="J81" s="94" t="str">
        <f>IF($B81="ユニット合計",SUMIFS($F$4:$F$29545,$A$4:$A$29545,$A81,$B$4:$B$29545,リスト!$E$7),"")</f>
        <v/>
      </c>
      <c r="K81" s="176" t="str">
        <f>IF($B81="ユニット合計",SUMIFS($E$4:$E$29545,$A$4:$A$29545,$A81,$B$4:$B$29545,リスト!$E$5),"")</f>
        <v/>
      </c>
      <c r="L81" s="94" t="str">
        <f>IF($B81="ユニット合計",SUMIFS($F$4:$F$29545,$A$4:$A$29545,$A81,$B$4:$B$29545,リスト!$E$5),"")</f>
        <v/>
      </c>
      <c r="M81" s="94" t="str">
        <f>IF($B81="ユニット合計",SUMIFS($E$4:$E$29545,$A$4:$A$29545,$A81,$B$4:$B$29545,リスト!$E$6),"")</f>
        <v/>
      </c>
    </row>
    <row r="82" spans="1:13" x14ac:dyDescent="0.2">
      <c r="A82" s="98" t="str">
        <f t="shared" si="10"/>
        <v/>
      </c>
      <c r="B82" s="78"/>
      <c r="C82" s="79" t="str">
        <f t="shared" si="12"/>
        <v/>
      </c>
      <c r="D82" s="79"/>
      <c r="E82" s="91" t="str">
        <f t="shared" si="11"/>
        <v/>
      </c>
      <c r="F82" s="94" t="str">
        <f>IF(B82="","",IF(B82="ユニット合計",SUMIF('GUN HV OFF時間記録'!B:B,A82,'GUN HV OFF時間記録'!F:F),IF(OR(B82=リスト!$E$7,B82=リスト!$E$5),SUMIF('GUN HV OFF時間記録'!$K$6:$K$111,C82,'GUN HV OFF時間記録'!$N$6:$N$111),0)))</f>
        <v/>
      </c>
      <c r="G82" s="80"/>
      <c r="H82" s="94" t="str">
        <f t="shared" si="9"/>
        <v/>
      </c>
      <c r="I82" s="94" t="str">
        <f>IF($B82="ユニット合計",SUMIFS($E$4:$E$29545,$A$4:$A$29545,$A82,$B$4:$B$29545,リスト!$E$7),"")</f>
        <v/>
      </c>
      <c r="J82" s="94" t="str">
        <f>IF($B82="ユニット合計",SUMIFS($F$4:$F$29545,$A$4:$A$29545,$A82,$B$4:$B$29545,リスト!$E$7),"")</f>
        <v/>
      </c>
      <c r="K82" s="176" t="str">
        <f>IF($B82="ユニット合計",SUMIFS($E$4:$E$29545,$A$4:$A$29545,$A82,$B$4:$B$29545,リスト!$E$5),"")</f>
        <v/>
      </c>
      <c r="L82" s="94" t="str">
        <f>IF($B82="ユニット合計",SUMIFS($F$4:$F$29545,$A$4:$A$29545,$A82,$B$4:$B$29545,リスト!$E$5),"")</f>
        <v/>
      </c>
      <c r="M82" s="94" t="str">
        <f>IF($B82="ユニット合計",SUMIFS($E$4:$E$29545,$A$4:$A$29545,$A82,$B$4:$B$29545,リスト!$E$6),"")</f>
        <v/>
      </c>
    </row>
    <row r="83" spans="1:13" x14ac:dyDescent="0.2">
      <c r="A83" s="98" t="str">
        <f t="shared" si="10"/>
        <v/>
      </c>
      <c r="B83" s="78"/>
      <c r="C83" s="79" t="str">
        <f t="shared" si="12"/>
        <v/>
      </c>
      <c r="D83" s="79"/>
      <c r="E83" s="91" t="str">
        <f t="shared" si="11"/>
        <v/>
      </c>
      <c r="F83" s="94" t="str">
        <f>IF(B83="","",IF(B83="ユニット合計",SUMIF('GUN HV OFF時間記録'!B:B,A83,'GUN HV OFF時間記録'!F:F),IF(OR(B83=リスト!$E$7,B83=リスト!$E$5),SUMIF('GUN HV OFF時間記録'!$K$6:$K$111,C83,'GUN HV OFF時間記録'!$N$6:$N$111),0)))</f>
        <v/>
      </c>
      <c r="G83" s="80"/>
      <c r="H83" s="94" t="str">
        <f t="shared" si="9"/>
        <v/>
      </c>
      <c r="I83" s="94" t="str">
        <f>IF($B83="ユニット合計",SUMIFS($E$4:$E$29545,$A$4:$A$29545,$A83,$B$4:$B$29545,リスト!$E$7),"")</f>
        <v/>
      </c>
      <c r="J83" s="94" t="str">
        <f>IF($B83="ユニット合計",SUMIFS($F$4:$F$29545,$A$4:$A$29545,$A83,$B$4:$B$29545,リスト!$E$7),"")</f>
        <v/>
      </c>
      <c r="K83" s="176" t="str">
        <f>IF($B83="ユニット合計",SUMIFS($E$4:$E$29545,$A$4:$A$29545,$A83,$B$4:$B$29545,リスト!$E$5),"")</f>
        <v/>
      </c>
      <c r="L83" s="94" t="str">
        <f>IF($B83="ユニット合計",SUMIFS($F$4:$F$29545,$A$4:$A$29545,$A83,$B$4:$B$29545,リスト!$E$5),"")</f>
        <v/>
      </c>
      <c r="M83" s="94" t="str">
        <f>IF($B83="ユニット合計",SUMIFS($E$4:$E$29545,$A$4:$A$29545,$A83,$B$4:$B$29545,リスト!$E$6),"")</f>
        <v/>
      </c>
    </row>
    <row r="84" spans="1:13" x14ac:dyDescent="0.2">
      <c r="A84" s="98" t="str">
        <f t="shared" si="10"/>
        <v/>
      </c>
      <c r="B84" s="78"/>
      <c r="C84" s="79" t="str">
        <f t="shared" ref="C84:C129" si="13">IF(D83="","",D83)</f>
        <v/>
      </c>
      <c r="D84" s="79"/>
      <c r="E84" s="91" t="str">
        <f t="shared" si="11"/>
        <v/>
      </c>
      <c r="F84" s="94" t="str">
        <f>IF(B84="","",IF(B84="ユニット合計",SUMIF('GUN HV OFF時間記録'!B:B,A84,'GUN HV OFF時間記録'!F:F),IF(OR(B84=リスト!$E$7,B84=リスト!$E$5),SUMIF('GUN HV OFF時間記録'!$K$6:$K$111,C84,'GUN HV OFF時間記録'!$N$6:$N$111),0)))</f>
        <v/>
      </c>
      <c r="G84" s="80"/>
      <c r="H84" s="94" t="str">
        <f t="shared" si="9"/>
        <v/>
      </c>
      <c r="I84" s="94" t="str">
        <f>IF($B84="ユニット合計",SUMIFS($E$4:$E$29545,$A$4:$A$29545,$A84,$B$4:$B$29545,リスト!$E$7),"")</f>
        <v/>
      </c>
      <c r="J84" s="94" t="str">
        <f>IF($B84="ユニット合計",SUMIFS($F$4:$F$29545,$A$4:$A$29545,$A84,$B$4:$B$29545,リスト!$E$7),"")</f>
        <v/>
      </c>
      <c r="K84" s="176" t="str">
        <f>IF($B84="ユニット合計",SUMIFS($E$4:$E$29545,$A$4:$A$29545,$A84,$B$4:$B$29545,リスト!$E$5),"")</f>
        <v/>
      </c>
      <c r="L84" s="94" t="str">
        <f>IF($B84="ユニット合計",SUMIFS($F$4:$F$29545,$A$4:$A$29545,$A84,$B$4:$B$29545,リスト!$E$5),"")</f>
        <v/>
      </c>
      <c r="M84" s="94" t="str">
        <f>IF($B84="ユニット合計",SUMIFS($E$4:$E$29545,$A$4:$A$29545,$A84,$B$4:$B$29545,リスト!$E$6),"")</f>
        <v/>
      </c>
    </row>
    <row r="85" spans="1:13" x14ac:dyDescent="0.2">
      <c r="A85" s="98" t="str">
        <f t="shared" si="10"/>
        <v/>
      </c>
      <c r="B85" s="78"/>
      <c r="C85" s="79" t="str">
        <f t="shared" si="13"/>
        <v/>
      </c>
      <c r="D85" s="79"/>
      <c r="E85" s="91" t="str">
        <f t="shared" si="11"/>
        <v/>
      </c>
      <c r="F85" s="94" t="str">
        <f>IF(B85="","",IF(B85="ユニット合計",SUMIF('GUN HV OFF時間記録'!B:B,A85,'GUN HV OFF時間記録'!F:F),IF(OR(B85=リスト!$E$7,B85=リスト!$E$5),SUMIF('GUN HV OFF時間記録'!$K$6:$K$111,C85,'GUN HV OFF時間記録'!$N$6:$N$111),0)))</f>
        <v/>
      </c>
      <c r="G85" s="80"/>
      <c r="H85" s="94" t="str">
        <f t="shared" si="9"/>
        <v/>
      </c>
      <c r="I85" s="94" t="str">
        <f>IF($B85="ユニット合計",SUMIFS($E$4:$E$29545,$A$4:$A$29545,$A85,$B$4:$B$29545,リスト!$E$7),"")</f>
        <v/>
      </c>
      <c r="J85" s="94" t="str">
        <f>IF($B85="ユニット合計",SUMIFS($F$4:$F$29545,$A$4:$A$29545,$A85,$B$4:$B$29545,リスト!$E$7),"")</f>
        <v/>
      </c>
      <c r="K85" s="176" t="str">
        <f>IF($B85="ユニット合計",SUMIFS($E$4:$E$29545,$A$4:$A$29545,$A85,$B$4:$B$29545,リスト!$E$5),"")</f>
        <v/>
      </c>
      <c r="L85" s="94" t="str">
        <f>IF($B85="ユニット合計",SUMIFS($F$4:$F$29545,$A$4:$A$29545,$A85,$B$4:$B$29545,リスト!$E$5),"")</f>
        <v/>
      </c>
      <c r="M85" s="94" t="str">
        <f>IF($B85="ユニット合計",SUMIFS($E$4:$E$29545,$A$4:$A$29545,$A85,$B$4:$B$29545,リスト!$E$6),"")</f>
        <v/>
      </c>
    </row>
    <row r="86" spans="1:13" x14ac:dyDescent="0.2">
      <c r="A86" s="98" t="str">
        <f t="shared" si="10"/>
        <v/>
      </c>
      <c r="B86" s="78"/>
      <c r="C86" s="79" t="str">
        <f t="shared" si="13"/>
        <v/>
      </c>
      <c r="D86" s="79"/>
      <c r="E86" s="91" t="str">
        <f t="shared" si="11"/>
        <v/>
      </c>
      <c r="F86" s="94" t="str">
        <f>IF(B86="","",IF(B86="ユニット合計",SUMIF('GUN HV OFF時間記録'!B:B,A86,'GUN HV OFF時間記録'!F:F),IF(OR(B86=リスト!$E$7,B86=リスト!$E$5),SUMIF('GUN HV OFF時間記録'!$K$6:$K$111,C86,'GUN HV OFF時間記録'!$N$6:$N$111),0)))</f>
        <v/>
      </c>
      <c r="G86" s="80"/>
      <c r="H86" s="94" t="str">
        <f t="shared" ref="H86:H102" si="14">IF($B86="ユニット合計",D86-C86,"")</f>
        <v/>
      </c>
      <c r="I86" s="94" t="str">
        <f>IF($B86="ユニット合計",SUMIFS($E$4:$E$29545,$A$4:$A$29545,$A86,$B$4:$B$29545,リスト!$E$7),"")</f>
        <v/>
      </c>
      <c r="J86" s="94" t="str">
        <f>IF($B86="ユニット合計",SUMIFS($F$4:$F$29545,$A$4:$A$29545,$A86,$B$4:$B$29545,リスト!$E$7),"")</f>
        <v/>
      </c>
      <c r="K86" s="176" t="str">
        <f>IF($B86="ユニット合計",SUMIFS($E$4:$E$29545,$A$4:$A$29545,$A86,$B$4:$B$29545,リスト!$E$5),"")</f>
        <v/>
      </c>
      <c r="L86" s="94" t="str">
        <f>IF($B86="ユニット合計",SUMIFS($F$4:$F$29545,$A$4:$A$29545,$A86,$B$4:$B$29545,リスト!$E$5),"")</f>
        <v/>
      </c>
      <c r="M86" s="94" t="str">
        <f>IF($B86="ユニット合計",SUMIFS($E$4:$E$29545,$A$4:$A$29545,$A86,$B$4:$B$29545,リスト!$E$6),"")</f>
        <v/>
      </c>
    </row>
    <row r="87" spans="1:13" x14ac:dyDescent="0.2">
      <c r="A87" s="98" t="str">
        <f t="shared" si="10"/>
        <v/>
      </c>
      <c r="B87" s="78"/>
      <c r="C87" s="79" t="str">
        <f t="shared" si="13"/>
        <v/>
      </c>
      <c r="D87" s="79"/>
      <c r="E87" s="91" t="str">
        <f t="shared" si="11"/>
        <v/>
      </c>
      <c r="F87" s="94" t="str">
        <f>IF(B87="","",IF(B87="ユニット合計",SUMIF('GUN HV OFF時間記録'!B:B,A87,'GUN HV OFF時間記録'!F:F),IF(OR(B87=リスト!$E$7,B87=リスト!$E$5),SUMIF('GUN HV OFF時間記録'!$K$6:$K$111,C87,'GUN HV OFF時間記録'!$N$6:$N$111),0)))</f>
        <v/>
      </c>
      <c r="G87" s="80"/>
      <c r="H87" s="94" t="str">
        <f t="shared" si="14"/>
        <v/>
      </c>
      <c r="I87" s="94" t="str">
        <f>IF($B87="ユニット合計",SUMIFS($E$4:$E$29545,$A$4:$A$29545,$A87,$B$4:$B$29545,リスト!$E$7),"")</f>
        <v/>
      </c>
      <c r="J87" s="94" t="str">
        <f>IF($B87="ユニット合計",SUMIFS($F$4:$F$29545,$A$4:$A$29545,$A87,$B$4:$B$29545,リスト!$E$7),"")</f>
        <v/>
      </c>
      <c r="K87" s="176" t="str">
        <f>IF($B87="ユニット合計",SUMIFS($E$4:$E$29545,$A$4:$A$29545,$A87,$B$4:$B$29545,リスト!$E$5),"")</f>
        <v/>
      </c>
      <c r="L87" s="94" t="str">
        <f>IF($B87="ユニット合計",SUMIFS($F$4:$F$29545,$A$4:$A$29545,$A87,$B$4:$B$29545,リスト!$E$5),"")</f>
        <v/>
      </c>
      <c r="M87" s="94" t="str">
        <f>IF($B87="ユニット合計",SUMIFS($E$4:$E$29545,$A$4:$A$29545,$A87,$B$4:$B$29545,リスト!$E$6),"")</f>
        <v/>
      </c>
    </row>
    <row r="88" spans="1:13" x14ac:dyDescent="0.2">
      <c r="A88" s="98" t="str">
        <f t="shared" si="10"/>
        <v/>
      </c>
      <c r="B88" s="78"/>
      <c r="C88" s="79" t="str">
        <f t="shared" si="13"/>
        <v/>
      </c>
      <c r="D88" s="79"/>
      <c r="E88" s="91" t="str">
        <f t="shared" si="11"/>
        <v/>
      </c>
      <c r="F88" s="94" t="str">
        <f>IF(B88="","",IF(B88="ユニット合計",SUMIF('GUN HV OFF時間記録'!B:B,A88,'GUN HV OFF時間記録'!F:F),IF(OR(B88=リスト!$E$7,B88=リスト!$E$5),SUMIF('GUN HV OFF時間記録'!$K$6:$K$111,C88,'GUN HV OFF時間記録'!$N$6:$N$111),0)))</f>
        <v/>
      </c>
      <c r="G88" s="80"/>
      <c r="H88" s="94" t="str">
        <f t="shared" si="14"/>
        <v/>
      </c>
      <c r="I88" s="94" t="str">
        <f>IF($B88="ユニット合計",SUMIFS($E$4:$E$29545,$A$4:$A$29545,$A88,$B$4:$B$29545,リスト!$E$7),"")</f>
        <v/>
      </c>
      <c r="J88" s="94" t="str">
        <f>IF($B88="ユニット合計",SUMIFS($F$4:$F$29545,$A$4:$A$29545,$A88,$B$4:$B$29545,リスト!$E$7),"")</f>
        <v/>
      </c>
      <c r="K88" s="176" t="str">
        <f>IF($B88="ユニット合計",SUMIFS($E$4:$E$29545,$A$4:$A$29545,$A88,$B$4:$B$29545,リスト!$E$5),"")</f>
        <v/>
      </c>
      <c r="L88" s="94" t="str">
        <f>IF($B88="ユニット合計",SUMIFS($F$4:$F$29545,$A$4:$A$29545,$A88,$B$4:$B$29545,リスト!$E$5),"")</f>
        <v/>
      </c>
      <c r="M88" s="94" t="str">
        <f>IF($B88="ユニット合計",SUMIFS($E$4:$E$29545,$A$4:$A$29545,$A88,$B$4:$B$29545,リスト!$E$6),"")</f>
        <v/>
      </c>
    </row>
    <row r="89" spans="1:13" x14ac:dyDescent="0.2">
      <c r="A89" s="98" t="str">
        <f t="shared" si="10"/>
        <v/>
      </c>
      <c r="B89" s="78"/>
      <c r="C89" s="79" t="str">
        <f t="shared" si="13"/>
        <v/>
      </c>
      <c r="D89" s="79"/>
      <c r="E89" s="91" t="str">
        <f t="shared" si="11"/>
        <v/>
      </c>
      <c r="F89" s="94" t="str">
        <f>IF(B89="","",IF(B89="ユニット合計",SUMIF('GUN HV OFF時間記録'!B:B,A89,'GUN HV OFF時間記録'!F:F),IF(OR(B89=リスト!$E$7,B89=リスト!$E$5),SUMIF('GUN HV OFF時間記録'!$K$6:$K$111,C89,'GUN HV OFF時間記録'!$N$6:$N$111),0)))</f>
        <v/>
      </c>
      <c r="G89" s="80"/>
      <c r="H89" s="94" t="str">
        <f t="shared" si="14"/>
        <v/>
      </c>
      <c r="I89" s="94" t="str">
        <f>IF($B89="ユニット合計",SUMIFS($E$4:$E$29545,$A$4:$A$29545,$A89,$B$4:$B$29545,リスト!$E$7),"")</f>
        <v/>
      </c>
      <c r="J89" s="94" t="str">
        <f>IF($B89="ユニット合計",SUMIFS($F$4:$F$29545,$A$4:$A$29545,$A89,$B$4:$B$29545,リスト!$E$7),"")</f>
        <v/>
      </c>
      <c r="K89" s="176" t="str">
        <f>IF($B89="ユニット合計",SUMIFS($E$4:$E$29545,$A$4:$A$29545,$A89,$B$4:$B$29545,リスト!$E$5),"")</f>
        <v/>
      </c>
      <c r="L89" s="94" t="str">
        <f>IF($B89="ユニット合計",SUMIFS($F$4:$F$29545,$A$4:$A$29545,$A89,$B$4:$B$29545,リスト!$E$5),"")</f>
        <v/>
      </c>
      <c r="M89" s="94" t="str">
        <f>IF($B89="ユニット合計",SUMIFS($E$4:$E$29545,$A$4:$A$29545,$A89,$B$4:$B$29545,リスト!$E$6),"")</f>
        <v/>
      </c>
    </row>
    <row r="90" spans="1:13" x14ac:dyDescent="0.2">
      <c r="A90" s="98" t="str">
        <f t="shared" ref="A90:A121" si="15">IF(OR(B90="ユニット合計",B90="停止期間",B90=""),"",A91)</f>
        <v/>
      </c>
      <c r="B90" s="78"/>
      <c r="C90" s="79" t="str">
        <f t="shared" si="13"/>
        <v/>
      </c>
      <c r="D90" s="79"/>
      <c r="E90" s="91" t="str">
        <f t="shared" si="11"/>
        <v/>
      </c>
      <c r="F90" s="94" t="str">
        <f>IF(B90="","",IF(B90="ユニット合計",SUMIF('GUN HV OFF時間記録'!B:B,A90,'GUN HV OFF時間記録'!F:F),IF(OR(B90=リスト!$E$7,B90=リスト!$E$5),SUMIF('GUN HV OFF時間記録'!$K$6:$K$111,C90,'GUN HV OFF時間記録'!$N$6:$N$111),0)))</f>
        <v/>
      </c>
      <c r="G90" s="80"/>
      <c r="H90" s="94" t="str">
        <f t="shared" si="14"/>
        <v/>
      </c>
      <c r="I90" s="94" t="str">
        <f>IF($B90="ユニット合計",SUMIFS($E$4:$E$29545,$A$4:$A$29545,$A90,$B$4:$B$29545,リスト!$E$7),"")</f>
        <v/>
      </c>
      <c r="J90" s="94" t="str">
        <f>IF($B90="ユニット合計",SUMIFS($F$4:$F$29545,$A$4:$A$29545,$A90,$B$4:$B$29545,リスト!$E$7),"")</f>
        <v/>
      </c>
      <c r="K90" s="176" t="str">
        <f>IF($B90="ユニット合計",SUMIFS($E$4:$E$29545,$A$4:$A$29545,$A90,$B$4:$B$29545,リスト!$E$5),"")</f>
        <v/>
      </c>
      <c r="L90" s="94" t="str">
        <f>IF($B90="ユニット合計",SUMIFS($F$4:$F$29545,$A$4:$A$29545,$A90,$B$4:$B$29545,リスト!$E$5),"")</f>
        <v/>
      </c>
      <c r="M90" s="94" t="str">
        <f>IF($B90="ユニット合計",SUMIFS($E$4:$E$29545,$A$4:$A$29545,$A90,$B$4:$B$29545,リスト!$E$6),"")</f>
        <v/>
      </c>
    </row>
    <row r="91" spans="1:13" x14ac:dyDescent="0.2">
      <c r="A91" s="98" t="str">
        <f t="shared" si="15"/>
        <v/>
      </c>
      <c r="B91" s="78"/>
      <c r="C91" s="79" t="str">
        <f t="shared" si="13"/>
        <v/>
      </c>
      <c r="D91" s="79"/>
      <c r="E91" s="91" t="str">
        <f t="shared" si="11"/>
        <v/>
      </c>
      <c r="F91" s="94" t="str">
        <f>IF(B91="","",IF(B91="ユニット合計",SUMIF('GUN HV OFF時間記録'!B:B,A91,'GUN HV OFF時間記録'!F:F),IF(OR(B91=リスト!$E$7,B91=リスト!$E$5),SUMIF('GUN HV OFF時間記録'!$K$6:$K$111,C91,'GUN HV OFF時間記録'!$N$6:$N$111),0)))</f>
        <v/>
      </c>
      <c r="G91" s="80"/>
      <c r="H91" s="94" t="str">
        <f t="shared" si="14"/>
        <v/>
      </c>
      <c r="I91" s="94" t="str">
        <f>IF($B91="ユニット合計",SUMIFS($E$4:$E$29545,$A$4:$A$29545,$A91,$B$4:$B$29545,リスト!$E$7),"")</f>
        <v/>
      </c>
      <c r="J91" s="94" t="str">
        <f>IF($B91="ユニット合計",SUMIFS($F$4:$F$29545,$A$4:$A$29545,$A91,$B$4:$B$29545,リスト!$E$7),"")</f>
        <v/>
      </c>
      <c r="K91" s="176" t="str">
        <f>IF($B91="ユニット合計",SUMIFS($E$4:$E$29545,$A$4:$A$29545,$A91,$B$4:$B$29545,リスト!$E$5),"")</f>
        <v/>
      </c>
      <c r="L91" s="94" t="str">
        <f>IF($B91="ユニット合計",SUMIFS($F$4:$F$29545,$A$4:$A$29545,$A91,$B$4:$B$29545,リスト!$E$5),"")</f>
        <v/>
      </c>
      <c r="M91" s="94" t="str">
        <f>IF($B91="ユニット合計",SUMIFS($E$4:$E$29545,$A$4:$A$29545,$A91,$B$4:$B$29545,リスト!$E$6),"")</f>
        <v/>
      </c>
    </row>
    <row r="92" spans="1:13" x14ac:dyDescent="0.2">
      <c r="A92" s="98" t="str">
        <f t="shared" si="15"/>
        <v/>
      </c>
      <c r="B92" s="78"/>
      <c r="C92" s="79" t="str">
        <f t="shared" si="13"/>
        <v/>
      </c>
      <c r="D92" s="79"/>
      <c r="E92" s="91" t="str">
        <f t="shared" si="11"/>
        <v/>
      </c>
      <c r="F92" s="94" t="str">
        <f>IF(B92="","",IF(B92="ユニット合計",SUMIF('GUN HV OFF時間記録'!B:B,A92,'GUN HV OFF時間記録'!F:F),IF(OR(B92=リスト!$E$7,B92=リスト!$E$5),SUMIF('GUN HV OFF時間記録'!$K$6:$K$111,C92,'GUN HV OFF時間記録'!$N$6:$N$111),0)))</f>
        <v/>
      </c>
      <c r="G92" s="80"/>
      <c r="H92" s="94" t="str">
        <f t="shared" si="14"/>
        <v/>
      </c>
      <c r="I92" s="94" t="str">
        <f>IF($B92="ユニット合計",SUMIFS($E$4:$E$29545,$A$4:$A$29545,$A92,$B$4:$B$29545,リスト!$E$7),"")</f>
        <v/>
      </c>
      <c r="J92" s="94" t="str">
        <f>IF($B92="ユニット合計",SUMIFS($F$4:$F$29545,$A$4:$A$29545,$A92,$B$4:$B$29545,リスト!$E$7),"")</f>
        <v/>
      </c>
      <c r="K92" s="176" t="str">
        <f>IF($B92="ユニット合計",SUMIFS($E$4:$E$29545,$A$4:$A$29545,$A92,$B$4:$B$29545,リスト!$E$5),"")</f>
        <v/>
      </c>
      <c r="L92" s="94" t="str">
        <f>IF($B92="ユニット合計",SUMIFS($F$4:$F$29545,$A$4:$A$29545,$A92,$B$4:$B$29545,リスト!$E$5),"")</f>
        <v/>
      </c>
      <c r="M92" s="94" t="str">
        <f>IF($B92="ユニット合計",SUMIFS($E$4:$E$29545,$A$4:$A$29545,$A92,$B$4:$B$29545,リスト!$E$6),"")</f>
        <v/>
      </c>
    </row>
    <row r="93" spans="1:13" x14ac:dyDescent="0.2">
      <c r="A93" s="98" t="str">
        <f t="shared" si="15"/>
        <v/>
      </c>
      <c r="B93" s="78"/>
      <c r="C93" s="79" t="str">
        <f t="shared" si="13"/>
        <v/>
      </c>
      <c r="D93" s="79"/>
      <c r="E93" s="91" t="str">
        <f t="shared" si="11"/>
        <v/>
      </c>
      <c r="F93" s="94" t="str">
        <f>IF(B93="","",IF(B93="ユニット合計",SUMIF('GUN HV OFF時間記録'!B:B,A93,'GUN HV OFF時間記録'!F:F),IF(OR(B93=リスト!$E$7,B93=リスト!$E$5),SUMIF('GUN HV OFF時間記録'!$K$6:$K$111,C93,'GUN HV OFF時間記録'!$N$6:$N$111),0)))</f>
        <v/>
      </c>
      <c r="G93" s="80"/>
      <c r="H93" s="94" t="str">
        <f t="shared" si="14"/>
        <v/>
      </c>
      <c r="I93" s="94" t="str">
        <f>IF($B93="ユニット合計",SUMIFS($E$4:$E$29545,$A$4:$A$29545,$A93,$B$4:$B$29545,リスト!$E$7),"")</f>
        <v/>
      </c>
      <c r="J93" s="94" t="str">
        <f>IF($B93="ユニット合計",SUMIFS($F$4:$F$29545,$A$4:$A$29545,$A93,$B$4:$B$29545,リスト!$E$7),"")</f>
        <v/>
      </c>
      <c r="K93" s="176" t="str">
        <f>IF($B93="ユニット合計",SUMIFS($E$4:$E$29545,$A$4:$A$29545,$A93,$B$4:$B$29545,リスト!$E$5),"")</f>
        <v/>
      </c>
      <c r="L93" s="94" t="str">
        <f>IF($B93="ユニット合計",SUMIFS($F$4:$F$29545,$A$4:$A$29545,$A93,$B$4:$B$29545,リスト!$E$5),"")</f>
        <v/>
      </c>
      <c r="M93" s="94" t="str">
        <f>IF($B93="ユニット合計",SUMIFS($E$4:$E$29545,$A$4:$A$29545,$A93,$B$4:$B$29545,リスト!$E$6),"")</f>
        <v/>
      </c>
    </row>
    <row r="94" spans="1:13" x14ac:dyDescent="0.2">
      <c r="A94" s="98" t="str">
        <f t="shared" si="15"/>
        <v/>
      </c>
      <c r="B94" s="78"/>
      <c r="C94" s="79" t="str">
        <f t="shared" si="13"/>
        <v/>
      </c>
      <c r="D94" s="79"/>
      <c r="E94" s="91" t="str">
        <f t="shared" si="11"/>
        <v/>
      </c>
      <c r="F94" s="94" t="str">
        <f>IF(B94="","",IF(B94="ユニット合計",SUMIF('GUN HV OFF時間記録'!B:B,A94,'GUN HV OFF時間記録'!F:F),IF(OR(B94=リスト!$E$7,B94=リスト!$E$5),SUMIF('GUN HV OFF時間記録'!$K$6:$K$111,C94,'GUN HV OFF時間記録'!$N$6:$N$111),0)))</f>
        <v/>
      </c>
      <c r="G94" s="80"/>
      <c r="H94" s="94" t="str">
        <f t="shared" si="14"/>
        <v/>
      </c>
      <c r="I94" s="94" t="str">
        <f>IF($B94="ユニット合計",SUMIFS($E$4:$E$29545,$A$4:$A$29545,$A94,$B$4:$B$29545,リスト!$E$7),"")</f>
        <v/>
      </c>
      <c r="J94" s="94" t="str">
        <f>IF($B94="ユニット合計",SUMIFS($F$4:$F$29545,$A$4:$A$29545,$A94,$B$4:$B$29545,リスト!$E$7),"")</f>
        <v/>
      </c>
      <c r="K94" s="176" t="str">
        <f>IF($B94="ユニット合計",SUMIFS($E$4:$E$29545,$A$4:$A$29545,$A94,$B$4:$B$29545,リスト!$E$5),"")</f>
        <v/>
      </c>
      <c r="L94" s="94" t="str">
        <f>IF($B94="ユニット合計",SUMIFS($F$4:$F$29545,$A$4:$A$29545,$A94,$B$4:$B$29545,リスト!$E$5),"")</f>
        <v/>
      </c>
      <c r="M94" s="94" t="str">
        <f>IF($B94="ユニット合計",SUMIFS($E$4:$E$29545,$A$4:$A$29545,$A94,$B$4:$B$29545,リスト!$E$6),"")</f>
        <v/>
      </c>
    </row>
    <row r="95" spans="1:13" x14ac:dyDescent="0.2">
      <c r="A95" s="98" t="str">
        <f t="shared" si="15"/>
        <v/>
      </c>
      <c r="B95" s="78"/>
      <c r="C95" s="79" t="str">
        <f t="shared" si="13"/>
        <v/>
      </c>
      <c r="D95" s="79"/>
      <c r="E95" s="91" t="str">
        <f t="shared" si="11"/>
        <v/>
      </c>
      <c r="F95" s="94" t="str">
        <f>IF(B95="","",IF(B95="ユニット合計",SUMIF('GUN HV OFF時間記録'!B:B,A95,'GUN HV OFF時間記録'!F:F),IF(OR(B95=リスト!$E$7,B95=リスト!$E$5),SUMIF('GUN HV OFF時間記録'!$K$6:$K$111,C95,'GUN HV OFF時間記録'!$N$6:$N$111),0)))</f>
        <v/>
      </c>
      <c r="G95" s="80"/>
      <c r="H95" s="94" t="str">
        <f t="shared" si="14"/>
        <v/>
      </c>
      <c r="I95" s="94" t="str">
        <f>IF($B95="ユニット合計",SUMIFS($E$4:$E$29545,$A$4:$A$29545,$A95,$B$4:$B$29545,リスト!$E$7),"")</f>
        <v/>
      </c>
      <c r="J95" s="94" t="str">
        <f>IF($B95="ユニット合計",SUMIFS($F$4:$F$29545,$A$4:$A$29545,$A95,$B$4:$B$29545,リスト!$E$7),"")</f>
        <v/>
      </c>
      <c r="K95" s="176" t="str">
        <f>IF($B95="ユニット合計",SUMIFS($E$4:$E$29545,$A$4:$A$29545,$A95,$B$4:$B$29545,リスト!$E$5),"")</f>
        <v/>
      </c>
      <c r="L95" s="94" t="str">
        <f>IF($B95="ユニット合計",SUMIFS($F$4:$F$29545,$A$4:$A$29545,$A95,$B$4:$B$29545,リスト!$E$5),"")</f>
        <v/>
      </c>
      <c r="M95" s="94" t="str">
        <f>IF($B95="ユニット合計",SUMIFS($E$4:$E$29545,$A$4:$A$29545,$A95,$B$4:$B$29545,リスト!$E$6),"")</f>
        <v/>
      </c>
    </row>
    <row r="96" spans="1:13" x14ac:dyDescent="0.2">
      <c r="A96" s="98" t="str">
        <f t="shared" si="15"/>
        <v/>
      </c>
      <c r="B96" s="78"/>
      <c r="C96" s="79" t="str">
        <f t="shared" si="13"/>
        <v/>
      </c>
      <c r="D96" s="79"/>
      <c r="E96" s="91" t="str">
        <f t="shared" si="11"/>
        <v/>
      </c>
      <c r="F96" s="94" t="str">
        <f>IF(B96="","",IF(B96="ユニット合計",SUMIF('GUN HV OFF時間記録'!B:B,A96,'GUN HV OFF時間記録'!F:F),IF(OR(B96=リスト!$E$7,B96=リスト!$E$5),SUMIF('GUN HV OFF時間記録'!$K$6:$K$111,C96,'GUN HV OFF時間記録'!$N$6:$N$111),0)))</f>
        <v/>
      </c>
      <c r="G96" s="80"/>
      <c r="H96" s="94" t="str">
        <f t="shared" si="14"/>
        <v/>
      </c>
      <c r="I96" s="94" t="str">
        <f>IF($B96="ユニット合計",SUMIFS($E$4:$E$29545,$A$4:$A$29545,$A96,$B$4:$B$29545,リスト!$E$7),"")</f>
        <v/>
      </c>
      <c r="J96" s="94" t="str">
        <f>IF($B96="ユニット合計",SUMIFS($F$4:$F$29545,$A$4:$A$29545,$A96,$B$4:$B$29545,リスト!$E$7),"")</f>
        <v/>
      </c>
      <c r="K96" s="176" t="str">
        <f>IF($B96="ユニット合計",SUMIFS($E$4:$E$29545,$A$4:$A$29545,$A96,$B$4:$B$29545,リスト!$E$5),"")</f>
        <v/>
      </c>
      <c r="L96" s="94" t="str">
        <f>IF($B96="ユニット合計",SUMIFS($F$4:$F$29545,$A$4:$A$29545,$A96,$B$4:$B$29545,リスト!$E$5),"")</f>
        <v/>
      </c>
      <c r="M96" s="94" t="str">
        <f>IF($B96="ユニット合計",SUMIFS($E$4:$E$29545,$A$4:$A$29545,$A96,$B$4:$B$29545,リスト!$E$6),"")</f>
        <v/>
      </c>
    </row>
    <row r="97" spans="1:13" x14ac:dyDescent="0.2">
      <c r="A97" s="98" t="str">
        <f t="shared" si="15"/>
        <v/>
      </c>
      <c r="B97" s="78"/>
      <c r="C97" s="79" t="str">
        <f t="shared" si="13"/>
        <v/>
      </c>
      <c r="D97" s="79"/>
      <c r="E97" s="91" t="str">
        <f t="shared" si="11"/>
        <v/>
      </c>
      <c r="F97" s="94" t="str">
        <f>IF(B97="","",IF(B97="ユニット合計",SUMIF('GUN HV OFF時間記録'!B:B,A97,'GUN HV OFF時間記録'!F:F),IF(OR(B97=リスト!$E$7,B97=リスト!$E$5),SUMIF('GUN HV OFF時間記録'!$K$6:$K$111,C97,'GUN HV OFF時間記録'!$N$6:$N$111),0)))</f>
        <v/>
      </c>
      <c r="G97" s="80"/>
      <c r="H97" s="94" t="str">
        <f t="shared" si="14"/>
        <v/>
      </c>
      <c r="I97" s="94" t="str">
        <f>IF($B97="ユニット合計",SUMIFS($E$4:$E$29545,$A$4:$A$29545,$A97,$B$4:$B$29545,リスト!$E$7),"")</f>
        <v/>
      </c>
      <c r="J97" s="94" t="str">
        <f>IF($B97="ユニット合計",SUMIFS($F$4:$F$29545,$A$4:$A$29545,$A97,$B$4:$B$29545,リスト!$E$7),"")</f>
        <v/>
      </c>
      <c r="K97" s="176" t="str">
        <f>IF($B97="ユニット合計",SUMIFS($E$4:$E$29545,$A$4:$A$29545,$A97,$B$4:$B$29545,リスト!$E$5),"")</f>
        <v/>
      </c>
      <c r="L97" s="94" t="str">
        <f>IF($B97="ユニット合計",SUMIFS($F$4:$F$29545,$A$4:$A$29545,$A97,$B$4:$B$29545,リスト!$E$5),"")</f>
        <v/>
      </c>
      <c r="M97" s="94" t="str">
        <f>IF($B97="ユニット合計",SUMIFS($E$4:$E$29545,$A$4:$A$29545,$A97,$B$4:$B$29545,リスト!$E$6),"")</f>
        <v/>
      </c>
    </row>
    <row r="98" spans="1:13" x14ac:dyDescent="0.2">
      <c r="A98" s="98" t="str">
        <f t="shared" si="15"/>
        <v/>
      </c>
      <c r="B98" s="78"/>
      <c r="C98" s="79" t="str">
        <f t="shared" si="13"/>
        <v/>
      </c>
      <c r="D98" s="79"/>
      <c r="E98" s="91" t="str">
        <f t="shared" si="11"/>
        <v/>
      </c>
      <c r="F98" s="94" t="str">
        <f>IF(B98="","",IF(B98="ユニット合計",SUMIF('GUN HV OFF時間記録'!B:B,A98,'GUN HV OFF時間記録'!F:F),IF(OR(B98=リスト!$E$7,B98=リスト!$E$5),SUMIF('GUN HV OFF時間記録'!$K$6:$K$111,C98,'GUN HV OFF時間記録'!$N$6:$N$111),0)))</f>
        <v/>
      </c>
      <c r="G98" s="80"/>
      <c r="H98" s="94" t="str">
        <f t="shared" si="14"/>
        <v/>
      </c>
      <c r="I98" s="94" t="str">
        <f>IF($B98="ユニット合計",SUMIFS($E$4:$E$29545,$A$4:$A$29545,$A98,$B$4:$B$29545,リスト!$E$7),"")</f>
        <v/>
      </c>
      <c r="J98" s="94" t="str">
        <f>IF($B98="ユニット合計",SUMIFS($F$4:$F$29545,$A$4:$A$29545,$A98,$B$4:$B$29545,リスト!$E$7),"")</f>
        <v/>
      </c>
      <c r="K98" s="176" t="str">
        <f>IF($B98="ユニット合計",SUMIFS($E$4:$E$29545,$A$4:$A$29545,$A98,$B$4:$B$29545,リスト!$E$5),"")</f>
        <v/>
      </c>
      <c r="L98" s="94" t="str">
        <f>IF($B98="ユニット合計",SUMIFS($F$4:$F$29545,$A$4:$A$29545,$A98,$B$4:$B$29545,リスト!$E$5),"")</f>
        <v/>
      </c>
      <c r="M98" s="94" t="str">
        <f>IF($B98="ユニット合計",SUMIFS($E$4:$E$29545,$A$4:$A$29545,$A98,$B$4:$B$29545,リスト!$E$6),"")</f>
        <v/>
      </c>
    </row>
    <row r="99" spans="1:13" x14ac:dyDescent="0.2">
      <c r="A99" s="98" t="str">
        <f t="shared" si="15"/>
        <v/>
      </c>
      <c r="B99" s="78"/>
      <c r="C99" s="79" t="str">
        <f t="shared" si="13"/>
        <v/>
      </c>
      <c r="D99" s="79"/>
      <c r="E99" s="91" t="str">
        <f t="shared" si="11"/>
        <v/>
      </c>
      <c r="F99" s="94" t="str">
        <f>IF(B99="","",IF(B99="ユニット合計",SUMIF('GUN HV OFF時間記録'!B:B,A99,'GUN HV OFF時間記録'!F:F),IF(OR(B99=リスト!$E$7,B99=リスト!$E$5),SUMIF('GUN HV OFF時間記録'!$K$6:$K$111,C99,'GUN HV OFF時間記録'!$N$6:$N$111),0)))</f>
        <v/>
      </c>
      <c r="G99" s="80"/>
      <c r="H99" s="94" t="str">
        <f t="shared" si="14"/>
        <v/>
      </c>
      <c r="I99" s="94" t="str">
        <f>IF($B99="ユニット合計",SUMIFS($E$4:$E$29545,$A$4:$A$29545,$A99,$B$4:$B$29545,リスト!$E$7),"")</f>
        <v/>
      </c>
      <c r="J99" s="94" t="str">
        <f>IF($B99="ユニット合計",SUMIFS($F$4:$F$29545,$A$4:$A$29545,$A99,$B$4:$B$29545,リスト!$E$7),"")</f>
        <v/>
      </c>
      <c r="K99" s="176" t="str">
        <f>IF($B99="ユニット合計",SUMIFS($E$4:$E$29545,$A$4:$A$29545,$A99,$B$4:$B$29545,リスト!$E$5),"")</f>
        <v/>
      </c>
      <c r="L99" s="94" t="str">
        <f>IF($B99="ユニット合計",SUMIFS($F$4:$F$29545,$A$4:$A$29545,$A99,$B$4:$B$29545,リスト!$E$5),"")</f>
        <v/>
      </c>
      <c r="M99" s="94" t="str">
        <f>IF($B99="ユニット合計",SUMIFS($E$4:$E$29545,$A$4:$A$29545,$A99,$B$4:$B$29545,リスト!$E$6),"")</f>
        <v/>
      </c>
    </row>
    <row r="100" spans="1:13" x14ac:dyDescent="0.2">
      <c r="A100" s="98" t="str">
        <f t="shared" si="15"/>
        <v/>
      </c>
      <c r="B100" s="78"/>
      <c r="C100" s="79" t="str">
        <f t="shared" si="13"/>
        <v/>
      </c>
      <c r="D100" s="79"/>
      <c r="E100" s="91" t="str">
        <f t="shared" ref="E100:E129" si="16">IF(B100="","",IF(B100="ユニット合計",SUMIFS($E$4:$E$29545,$A$4:$A$29545,A100,$B$4:$B$29545,"&lt;&gt;ユニット合計"),D100-C100))</f>
        <v/>
      </c>
      <c r="F100" s="94" t="str">
        <f>IF(B100="","",IF(B100="ユニット合計",SUMIF('GUN HV OFF時間記録'!B:B,A100,'GUN HV OFF時間記録'!F:F),IF(OR(B100=リスト!$E$7,B100=リスト!$E$5),SUMIF('GUN HV OFF時間記録'!$K$6:$K$111,C100,'GUN HV OFF時間記録'!$N$6:$N$111),0)))</f>
        <v/>
      </c>
      <c r="G100" s="80"/>
      <c r="H100" s="94" t="str">
        <f t="shared" si="14"/>
        <v/>
      </c>
      <c r="I100" s="94" t="str">
        <f>IF($B100="ユニット合計",SUMIFS($E$4:$E$29545,$A$4:$A$29545,$A100,$B$4:$B$29545,リスト!$E$7),"")</f>
        <v/>
      </c>
      <c r="J100" s="94" t="str">
        <f>IF($B100="ユニット合計",SUMIFS($F$4:$F$29545,$A$4:$A$29545,$A100,$B$4:$B$29545,リスト!$E$7),"")</f>
        <v/>
      </c>
      <c r="K100" s="176" t="str">
        <f>IF($B100="ユニット合計",SUMIFS($E$4:$E$29545,$A$4:$A$29545,$A100,$B$4:$B$29545,リスト!$E$5),"")</f>
        <v/>
      </c>
      <c r="L100" s="94" t="str">
        <f>IF($B100="ユニット合計",SUMIFS($F$4:$F$29545,$A$4:$A$29545,$A100,$B$4:$B$29545,リスト!$E$5),"")</f>
        <v/>
      </c>
      <c r="M100" s="94" t="str">
        <f>IF($B100="ユニット合計",SUMIFS($E$4:$E$29545,$A$4:$A$29545,$A100,$B$4:$B$29545,リスト!$E$6),"")</f>
        <v/>
      </c>
    </row>
    <row r="101" spans="1:13" x14ac:dyDescent="0.2">
      <c r="A101" s="98" t="str">
        <f t="shared" si="15"/>
        <v/>
      </c>
      <c r="B101" s="78"/>
      <c r="C101" s="79" t="str">
        <f t="shared" si="13"/>
        <v/>
      </c>
      <c r="D101" s="79"/>
      <c r="E101" s="91" t="str">
        <f t="shared" si="16"/>
        <v/>
      </c>
      <c r="F101" s="94" t="str">
        <f>IF(B101="","",IF(B101="ユニット合計",SUMIF('GUN HV OFF時間記録'!B:B,A101,'GUN HV OFF時間記録'!F:F),IF(OR(B101=リスト!$E$7,B101=リスト!$E$5),SUMIF('GUN HV OFF時間記録'!$K$6:$K$111,C101,'GUN HV OFF時間記録'!$N$6:$N$111),0)))</f>
        <v/>
      </c>
      <c r="G101" s="80"/>
      <c r="H101" s="94" t="str">
        <f t="shared" si="14"/>
        <v/>
      </c>
      <c r="I101" s="94" t="str">
        <f>IF($B101="ユニット合計",SUMIFS($E$4:$E$29545,$A$4:$A$29545,$A101,$B$4:$B$29545,リスト!$E$7),"")</f>
        <v/>
      </c>
      <c r="J101" s="94" t="str">
        <f>IF($B101="ユニット合計",SUMIFS($F$4:$F$29545,$A$4:$A$29545,$A101,$B$4:$B$29545,リスト!$E$7),"")</f>
        <v/>
      </c>
      <c r="K101" s="176" t="str">
        <f>IF($B101="ユニット合計",SUMIFS($E$4:$E$29545,$A$4:$A$29545,$A101,$B$4:$B$29545,リスト!$E$5),"")</f>
        <v/>
      </c>
      <c r="L101" s="94" t="str">
        <f>IF($B101="ユニット合計",SUMIFS($F$4:$F$29545,$A$4:$A$29545,$A101,$B$4:$B$29545,リスト!$E$5),"")</f>
        <v/>
      </c>
      <c r="M101" s="94" t="str">
        <f>IF($B101="ユニット合計",SUMIFS($E$4:$E$29545,$A$4:$A$29545,$A101,$B$4:$B$29545,リスト!$E$6),"")</f>
        <v/>
      </c>
    </row>
    <row r="102" spans="1:13" x14ac:dyDescent="0.2">
      <c r="A102" s="98" t="str">
        <f t="shared" si="15"/>
        <v/>
      </c>
      <c r="B102" s="78"/>
      <c r="C102" s="79" t="str">
        <f t="shared" si="13"/>
        <v/>
      </c>
      <c r="D102" s="79"/>
      <c r="E102" s="91" t="str">
        <f t="shared" si="16"/>
        <v/>
      </c>
      <c r="F102" s="94" t="str">
        <f>IF(B102="","",IF(B102="ユニット合計",SUMIF('GUN HV OFF時間記録'!B:B,A102,'GUN HV OFF時間記録'!F:F),IF(OR(B102=リスト!$E$7,B102=リスト!$E$5),SUMIF('GUN HV OFF時間記録'!$K$6:$K$111,C102,'GUN HV OFF時間記録'!$N$6:$N$111),0)))</f>
        <v/>
      </c>
      <c r="G102" s="80"/>
      <c r="H102" s="94" t="str">
        <f t="shared" si="14"/>
        <v/>
      </c>
      <c r="I102" s="94" t="str">
        <f>IF($B102="ユニット合計",SUMIFS($E$4:$E$29545,$A$4:$A$29545,$A102,$B$4:$B$29545,リスト!$E$7),"")</f>
        <v/>
      </c>
      <c r="J102" s="94" t="str">
        <f>IF($B102="ユニット合計",SUMIFS($F$4:$F$29545,$A$4:$A$29545,$A102,$B$4:$B$29545,リスト!$E$7),"")</f>
        <v/>
      </c>
      <c r="K102" s="176" t="str">
        <f>IF($B102="ユニット合計",SUMIFS($E$4:$E$29545,$A$4:$A$29545,$A102,$B$4:$B$29545,リスト!$E$5),"")</f>
        <v/>
      </c>
      <c r="L102" s="94" t="str">
        <f>IF($B102="ユニット合計",SUMIFS($F$4:$F$29545,$A$4:$A$29545,$A102,$B$4:$B$29545,リスト!$E$5),"")</f>
        <v/>
      </c>
      <c r="M102" s="94" t="str">
        <f>IF($B102="ユニット合計",SUMIFS($E$4:$E$29545,$A$4:$A$29545,$A102,$B$4:$B$29545,リスト!$E$6),"")</f>
        <v/>
      </c>
    </row>
    <row r="103" spans="1:13" x14ac:dyDescent="0.2">
      <c r="A103" s="98" t="str">
        <f t="shared" si="15"/>
        <v/>
      </c>
      <c r="B103" s="78"/>
      <c r="C103" s="79" t="str">
        <f t="shared" si="13"/>
        <v/>
      </c>
      <c r="D103" s="79"/>
      <c r="E103" s="91" t="str">
        <f t="shared" si="16"/>
        <v/>
      </c>
      <c r="F103" s="94" t="str">
        <f>IF(B103="","",IF(B103="ユニット合計",SUMIF('GUN HV OFF時間記録'!B:B,A103,'GUN HV OFF時間記録'!F:F),IF(OR(B103=リスト!$E$7,B103=リスト!$E$5),SUMIF('GUN HV OFF時間記録'!$K$6:$K$111,C103,'GUN HV OFF時間記録'!$N$6:$N$111),0)))</f>
        <v/>
      </c>
      <c r="G103" s="80"/>
      <c r="H103" s="94" t="str">
        <f t="shared" ref="H103:H121" si="17">IF($B103="ユニット合計",D103-C103,"")</f>
        <v/>
      </c>
      <c r="I103" s="94" t="str">
        <f>IF($B103="ユニット合計",SUMIFS($E$4:$E$29545,$A$4:$A$29545,$A103,$B$4:$B$29545,リスト!$E$7),"")</f>
        <v/>
      </c>
      <c r="J103" s="94" t="str">
        <f>IF($B103="ユニット合計",SUMIFS($F$4:$F$29545,$A$4:$A$29545,$A103,$B$4:$B$29545,リスト!$E$7),"")</f>
        <v/>
      </c>
      <c r="K103" s="176" t="str">
        <f>IF($B103="ユニット合計",SUMIFS($E$4:$E$29545,$A$4:$A$29545,$A103,$B$4:$B$29545,リスト!$E$5),"")</f>
        <v/>
      </c>
      <c r="L103" s="94" t="str">
        <f>IF($B103="ユニット合計",SUMIFS($F$4:$F$29545,$A$4:$A$29545,$A103,$B$4:$B$29545,リスト!$E$5),"")</f>
        <v/>
      </c>
      <c r="M103" s="94" t="str">
        <f>IF($B103="ユニット合計",SUMIFS($E$4:$E$29545,$A$4:$A$29545,$A103,$B$4:$B$29545,リスト!$E$6),"")</f>
        <v/>
      </c>
    </row>
    <row r="104" spans="1:13" x14ac:dyDescent="0.2">
      <c r="A104" s="98" t="str">
        <f t="shared" si="15"/>
        <v/>
      </c>
      <c r="B104" s="78"/>
      <c r="C104" s="79" t="str">
        <f t="shared" si="13"/>
        <v/>
      </c>
      <c r="D104" s="79"/>
      <c r="E104" s="91" t="str">
        <f t="shared" si="16"/>
        <v/>
      </c>
      <c r="F104" s="94" t="str">
        <f>IF(B104="","",IF(B104="ユニット合計",SUMIF('GUN HV OFF時間記録'!B:B,A104,'GUN HV OFF時間記録'!F:F),IF(OR(B104=リスト!$E$7,B104=リスト!$E$5),SUMIF('GUN HV OFF時間記録'!$K$6:$K$111,C104,'GUN HV OFF時間記録'!$N$6:$N$111),0)))</f>
        <v/>
      </c>
      <c r="G104" s="80"/>
      <c r="H104" s="94" t="str">
        <f t="shared" si="17"/>
        <v/>
      </c>
      <c r="I104" s="94" t="str">
        <f>IF($B104="ユニット合計",SUMIFS($E$4:$E$29545,$A$4:$A$29545,$A104,$B$4:$B$29545,リスト!$E$7),"")</f>
        <v/>
      </c>
      <c r="J104" s="94" t="str">
        <f>IF($B104="ユニット合計",SUMIFS($F$4:$F$29545,$A$4:$A$29545,$A104,$B$4:$B$29545,リスト!$E$7),"")</f>
        <v/>
      </c>
      <c r="K104" s="176" t="str">
        <f>IF($B104="ユニット合計",SUMIFS($E$4:$E$29545,$A$4:$A$29545,$A104,$B$4:$B$29545,リスト!$E$5),"")</f>
        <v/>
      </c>
      <c r="L104" s="94" t="str">
        <f>IF($B104="ユニット合計",SUMIFS($F$4:$F$29545,$A$4:$A$29545,$A104,$B$4:$B$29545,リスト!$E$5),"")</f>
        <v/>
      </c>
      <c r="M104" s="94" t="str">
        <f>IF($B104="ユニット合計",SUMIFS($E$4:$E$29545,$A$4:$A$29545,$A104,$B$4:$B$29545,リスト!$E$6),"")</f>
        <v/>
      </c>
    </row>
    <row r="105" spans="1:13" x14ac:dyDescent="0.2">
      <c r="A105" s="98" t="str">
        <f t="shared" si="15"/>
        <v/>
      </c>
      <c r="B105" s="78"/>
      <c r="C105" s="79" t="str">
        <f t="shared" si="13"/>
        <v/>
      </c>
      <c r="D105" s="79"/>
      <c r="E105" s="91" t="str">
        <f t="shared" si="16"/>
        <v/>
      </c>
      <c r="F105" s="94" t="str">
        <f>IF(B105="","",IF(B105="ユニット合計",SUMIF('GUN HV OFF時間記録'!B:B,A105,'GUN HV OFF時間記録'!F:F),IF(OR(B105=リスト!$E$7,B105=リスト!$E$5),SUMIF('GUN HV OFF時間記録'!$K$6:$K$111,C105,'GUN HV OFF時間記録'!$N$6:$N$111),0)))</f>
        <v/>
      </c>
      <c r="G105" s="80"/>
      <c r="H105" s="94" t="str">
        <f t="shared" si="17"/>
        <v/>
      </c>
      <c r="I105" s="94" t="str">
        <f>IF($B105="ユニット合計",SUMIFS($E$4:$E$29545,$A$4:$A$29545,$A105,$B$4:$B$29545,リスト!$E$7),"")</f>
        <v/>
      </c>
      <c r="J105" s="94" t="str">
        <f>IF($B105="ユニット合計",SUMIFS($F$4:$F$29545,$A$4:$A$29545,$A105,$B$4:$B$29545,リスト!$E$7),"")</f>
        <v/>
      </c>
      <c r="K105" s="176" t="str">
        <f>IF($B105="ユニット合計",SUMIFS($E$4:$E$29545,$A$4:$A$29545,$A105,$B$4:$B$29545,リスト!$E$5),"")</f>
        <v/>
      </c>
      <c r="L105" s="94" t="str">
        <f>IF($B105="ユニット合計",SUMIFS($F$4:$F$29545,$A$4:$A$29545,$A105,$B$4:$B$29545,リスト!$E$5),"")</f>
        <v/>
      </c>
      <c r="M105" s="94" t="str">
        <f>IF($B105="ユニット合計",SUMIFS($E$4:$E$29545,$A$4:$A$29545,$A105,$B$4:$B$29545,リスト!$E$6),"")</f>
        <v/>
      </c>
    </row>
    <row r="106" spans="1:13" x14ac:dyDescent="0.2">
      <c r="A106" s="98" t="str">
        <f t="shared" si="15"/>
        <v/>
      </c>
      <c r="B106" s="78"/>
      <c r="C106" s="79" t="str">
        <f t="shared" si="13"/>
        <v/>
      </c>
      <c r="D106" s="79"/>
      <c r="E106" s="91" t="str">
        <f t="shared" si="16"/>
        <v/>
      </c>
      <c r="F106" s="94" t="str">
        <f>IF(B106="","",IF(B106="ユニット合計",SUMIF('GUN HV OFF時間記録'!B:B,A106,'GUN HV OFF時間記録'!F:F),IF(OR(B106=リスト!$E$7,B106=リスト!$E$5),SUMIF('GUN HV OFF時間記録'!$K$6:$K$111,C106,'GUN HV OFF時間記録'!$N$6:$N$111),0)))</f>
        <v/>
      </c>
      <c r="G106" s="80"/>
      <c r="H106" s="94" t="str">
        <f t="shared" si="17"/>
        <v/>
      </c>
      <c r="I106" s="94" t="str">
        <f>IF($B106="ユニット合計",SUMIFS($E$4:$E$29545,$A$4:$A$29545,$A106,$B$4:$B$29545,リスト!$E$7),"")</f>
        <v/>
      </c>
      <c r="J106" s="94" t="str">
        <f>IF($B106="ユニット合計",SUMIFS($F$4:$F$29545,$A$4:$A$29545,$A106,$B$4:$B$29545,リスト!$E$7),"")</f>
        <v/>
      </c>
      <c r="K106" s="176" t="str">
        <f>IF($B106="ユニット合計",SUMIFS($E$4:$E$29545,$A$4:$A$29545,$A106,$B$4:$B$29545,リスト!$E$5),"")</f>
        <v/>
      </c>
      <c r="L106" s="94" t="str">
        <f>IF($B106="ユニット合計",SUMIFS($F$4:$F$29545,$A$4:$A$29545,$A106,$B$4:$B$29545,リスト!$E$5),"")</f>
        <v/>
      </c>
      <c r="M106" s="94" t="str">
        <f>IF($B106="ユニット合計",SUMIFS($E$4:$E$29545,$A$4:$A$29545,$A106,$B$4:$B$29545,リスト!$E$6),"")</f>
        <v/>
      </c>
    </row>
    <row r="107" spans="1:13" x14ac:dyDescent="0.2">
      <c r="A107" s="98" t="str">
        <f t="shared" si="15"/>
        <v/>
      </c>
      <c r="B107" s="78"/>
      <c r="C107" s="79" t="str">
        <f t="shared" si="13"/>
        <v/>
      </c>
      <c r="D107" s="79"/>
      <c r="E107" s="91" t="str">
        <f t="shared" si="16"/>
        <v/>
      </c>
      <c r="F107" s="94" t="str">
        <f>IF(B107="","",IF(B107="ユニット合計",SUMIF('GUN HV OFF時間記録'!B:B,A107,'GUN HV OFF時間記録'!F:F),IF(OR(B107=リスト!$E$7,B107=リスト!$E$5),SUMIF('GUN HV OFF時間記録'!$K$6:$K$111,C107,'GUN HV OFF時間記録'!$N$6:$N$111),0)))</f>
        <v/>
      </c>
      <c r="G107" s="80"/>
      <c r="H107" s="94" t="str">
        <f t="shared" si="17"/>
        <v/>
      </c>
      <c r="I107" s="94" t="str">
        <f>IF($B107="ユニット合計",SUMIFS($E$4:$E$29545,$A$4:$A$29545,$A107,$B$4:$B$29545,リスト!$E$7),"")</f>
        <v/>
      </c>
      <c r="J107" s="94" t="str">
        <f>IF($B107="ユニット合計",SUMIFS($F$4:$F$29545,$A$4:$A$29545,$A107,$B$4:$B$29545,リスト!$E$7),"")</f>
        <v/>
      </c>
      <c r="K107" s="176" t="str">
        <f>IF($B107="ユニット合計",SUMIFS($E$4:$E$29545,$A$4:$A$29545,$A107,$B$4:$B$29545,リスト!$E$5),"")</f>
        <v/>
      </c>
      <c r="L107" s="94" t="str">
        <f>IF($B107="ユニット合計",SUMIFS($F$4:$F$29545,$A$4:$A$29545,$A107,$B$4:$B$29545,リスト!$E$5),"")</f>
        <v/>
      </c>
      <c r="M107" s="94" t="str">
        <f>IF($B107="ユニット合計",SUMIFS($E$4:$E$29545,$A$4:$A$29545,$A107,$B$4:$B$29545,リスト!$E$6),"")</f>
        <v/>
      </c>
    </row>
    <row r="108" spans="1:13" x14ac:dyDescent="0.2">
      <c r="A108" s="98" t="str">
        <f t="shared" si="15"/>
        <v/>
      </c>
      <c r="B108" s="78"/>
      <c r="C108" s="79" t="str">
        <f t="shared" si="13"/>
        <v/>
      </c>
      <c r="D108" s="79"/>
      <c r="E108" s="91" t="str">
        <f t="shared" si="16"/>
        <v/>
      </c>
      <c r="F108" s="94" t="str">
        <f>IF(B108="","",IF(B108="ユニット合計",SUMIF('GUN HV OFF時間記録'!B:B,A108,'GUN HV OFF時間記録'!F:F),IF(OR(B108=リスト!$E$7,B108=リスト!$E$5),SUMIF('GUN HV OFF時間記録'!$K$6:$K$111,C108,'GUN HV OFF時間記録'!$N$6:$N$111),0)))</f>
        <v/>
      </c>
      <c r="G108" s="80"/>
      <c r="H108" s="94" t="str">
        <f t="shared" si="17"/>
        <v/>
      </c>
      <c r="I108" s="94" t="str">
        <f>IF($B108="ユニット合計",SUMIFS($E$4:$E$29545,$A$4:$A$29545,$A108,$B$4:$B$29545,リスト!$E$7),"")</f>
        <v/>
      </c>
      <c r="J108" s="94" t="str">
        <f>IF($B108="ユニット合計",SUMIFS($F$4:$F$29545,$A$4:$A$29545,$A108,$B$4:$B$29545,リスト!$E$7),"")</f>
        <v/>
      </c>
      <c r="K108" s="176" t="str">
        <f>IF($B108="ユニット合計",SUMIFS($E$4:$E$29545,$A$4:$A$29545,$A108,$B$4:$B$29545,リスト!$E$5),"")</f>
        <v/>
      </c>
      <c r="L108" s="94" t="str">
        <f>IF($B108="ユニット合計",SUMIFS($F$4:$F$29545,$A$4:$A$29545,$A108,$B$4:$B$29545,リスト!$E$5),"")</f>
        <v/>
      </c>
      <c r="M108" s="94" t="str">
        <f>IF($B108="ユニット合計",SUMIFS($E$4:$E$29545,$A$4:$A$29545,$A108,$B$4:$B$29545,リスト!$E$6),"")</f>
        <v/>
      </c>
    </row>
    <row r="109" spans="1:13" x14ac:dyDescent="0.2">
      <c r="A109" s="98" t="str">
        <f t="shared" si="15"/>
        <v/>
      </c>
      <c r="B109" s="78"/>
      <c r="C109" s="79" t="str">
        <f t="shared" si="13"/>
        <v/>
      </c>
      <c r="D109" s="79"/>
      <c r="E109" s="91" t="str">
        <f t="shared" si="16"/>
        <v/>
      </c>
      <c r="F109" s="94" t="str">
        <f>IF(B109="","",IF(B109="ユニット合計",SUMIF('GUN HV OFF時間記録'!B:B,A109,'GUN HV OFF時間記録'!F:F),IF(OR(B109=リスト!$E$7,B109=リスト!$E$5),SUMIF('GUN HV OFF時間記録'!$K$6:$K$111,C109,'GUN HV OFF時間記録'!$N$6:$N$111),0)))</f>
        <v/>
      </c>
      <c r="G109" s="80"/>
      <c r="H109" s="94" t="str">
        <f t="shared" si="17"/>
        <v/>
      </c>
      <c r="I109" s="94" t="str">
        <f>IF($B109="ユニット合計",SUMIFS($E$4:$E$29545,$A$4:$A$29545,$A109,$B$4:$B$29545,リスト!$E$7),"")</f>
        <v/>
      </c>
      <c r="J109" s="94" t="str">
        <f>IF($B109="ユニット合計",SUMIFS($F$4:$F$29545,$A$4:$A$29545,$A109,$B$4:$B$29545,リスト!$E$7),"")</f>
        <v/>
      </c>
      <c r="K109" s="176" t="str">
        <f>IF($B109="ユニット合計",SUMIFS($E$4:$E$29545,$A$4:$A$29545,$A109,$B$4:$B$29545,リスト!$E$5),"")</f>
        <v/>
      </c>
      <c r="L109" s="94" t="str">
        <f>IF($B109="ユニット合計",SUMIFS($F$4:$F$29545,$A$4:$A$29545,$A109,$B$4:$B$29545,リスト!$E$5),"")</f>
        <v/>
      </c>
      <c r="M109" s="94" t="str">
        <f>IF($B109="ユニット合計",SUMIFS($E$4:$E$29545,$A$4:$A$29545,$A109,$B$4:$B$29545,リスト!$E$6),"")</f>
        <v/>
      </c>
    </row>
    <row r="110" spans="1:13" x14ac:dyDescent="0.2">
      <c r="A110" s="98" t="str">
        <f t="shared" si="15"/>
        <v/>
      </c>
      <c r="B110" s="78"/>
      <c r="C110" s="79" t="str">
        <f t="shared" si="13"/>
        <v/>
      </c>
      <c r="D110" s="79"/>
      <c r="E110" s="91" t="str">
        <f t="shared" si="16"/>
        <v/>
      </c>
      <c r="F110" s="94" t="str">
        <f>IF(B110="","",IF(B110="ユニット合計",SUMIF('GUN HV OFF時間記録'!B:B,A110,'GUN HV OFF時間記録'!F:F),IF(OR(B110=リスト!$E$7,B110=リスト!$E$5),SUMIF('GUN HV OFF時間記録'!$K$6:$K$111,C110,'GUN HV OFF時間記録'!$N$6:$N$111),0)))</f>
        <v/>
      </c>
      <c r="G110" s="80"/>
      <c r="H110" s="94" t="str">
        <f t="shared" si="17"/>
        <v/>
      </c>
      <c r="I110" s="94" t="str">
        <f>IF($B110="ユニット合計",SUMIFS($E$4:$E$29545,$A$4:$A$29545,$A110,$B$4:$B$29545,リスト!$E$7),"")</f>
        <v/>
      </c>
      <c r="J110" s="94" t="str">
        <f>IF($B110="ユニット合計",SUMIFS($F$4:$F$29545,$A$4:$A$29545,$A110,$B$4:$B$29545,リスト!$E$7),"")</f>
        <v/>
      </c>
      <c r="K110" s="176" t="str">
        <f>IF($B110="ユニット合計",SUMIFS($E$4:$E$29545,$A$4:$A$29545,$A110,$B$4:$B$29545,リスト!$E$5),"")</f>
        <v/>
      </c>
      <c r="L110" s="94" t="str">
        <f>IF($B110="ユニット合計",SUMIFS($F$4:$F$29545,$A$4:$A$29545,$A110,$B$4:$B$29545,リスト!$E$5),"")</f>
        <v/>
      </c>
      <c r="M110" s="94" t="str">
        <f>IF($B110="ユニット合計",SUMIFS($E$4:$E$29545,$A$4:$A$29545,$A110,$B$4:$B$29545,リスト!$E$6),"")</f>
        <v/>
      </c>
    </row>
    <row r="111" spans="1:13" x14ac:dyDescent="0.2">
      <c r="A111" s="98" t="str">
        <f t="shared" si="15"/>
        <v/>
      </c>
      <c r="B111" s="78"/>
      <c r="C111" s="79" t="str">
        <f t="shared" si="13"/>
        <v/>
      </c>
      <c r="D111" s="79"/>
      <c r="E111" s="91" t="str">
        <f t="shared" si="16"/>
        <v/>
      </c>
      <c r="F111" s="94" t="str">
        <f>IF(B111="","",IF(B111="ユニット合計",SUMIF('GUN HV OFF時間記録'!B:B,A111,'GUN HV OFF時間記録'!F:F),IF(OR(B111=リスト!$E$7,B111=リスト!$E$5),SUMIF('GUN HV OFF時間記録'!$K$6:$K$111,C111,'GUN HV OFF時間記録'!$N$6:$N$111),0)))</f>
        <v/>
      </c>
      <c r="G111" s="80"/>
      <c r="H111" s="94" t="str">
        <f t="shared" si="17"/>
        <v/>
      </c>
      <c r="I111" s="94" t="str">
        <f>IF($B111="ユニット合計",SUMIFS($E$4:$E$29545,$A$4:$A$29545,$A111,$B$4:$B$29545,リスト!$E$7),"")</f>
        <v/>
      </c>
      <c r="J111" s="94" t="str">
        <f>IF($B111="ユニット合計",SUMIFS($F$4:$F$29545,$A$4:$A$29545,$A111,$B$4:$B$29545,リスト!$E$7),"")</f>
        <v/>
      </c>
      <c r="K111" s="176" t="str">
        <f>IF($B111="ユニット合計",SUMIFS($E$4:$E$29545,$A$4:$A$29545,$A111,$B$4:$B$29545,リスト!$E$5),"")</f>
        <v/>
      </c>
      <c r="L111" s="94" t="str">
        <f>IF($B111="ユニット合計",SUMIFS($F$4:$F$29545,$A$4:$A$29545,$A111,$B$4:$B$29545,リスト!$E$5),"")</f>
        <v/>
      </c>
      <c r="M111" s="94" t="str">
        <f>IF($B111="ユニット合計",SUMIFS($E$4:$E$29545,$A$4:$A$29545,$A111,$B$4:$B$29545,リスト!$E$6),"")</f>
        <v/>
      </c>
    </row>
    <row r="112" spans="1:13" x14ac:dyDescent="0.2">
      <c r="A112" s="98" t="str">
        <f t="shared" si="15"/>
        <v/>
      </c>
      <c r="B112" s="78"/>
      <c r="C112" s="79" t="str">
        <f t="shared" si="13"/>
        <v/>
      </c>
      <c r="D112" s="79"/>
      <c r="E112" s="91" t="str">
        <f t="shared" si="16"/>
        <v/>
      </c>
      <c r="F112" s="94" t="str">
        <f>IF(B112="","",IF(B112="ユニット合計",SUMIF('GUN HV OFF時間記録'!B:B,A112,'GUN HV OFF時間記録'!F:F),IF(OR(B112=リスト!$E$7,B112=リスト!$E$5),SUMIF('GUN HV OFF時間記録'!$K$6:$K$111,C112,'GUN HV OFF時間記録'!$N$6:$N$111),0)))</f>
        <v/>
      </c>
      <c r="G112" s="80"/>
      <c r="H112" s="94" t="str">
        <f t="shared" si="17"/>
        <v/>
      </c>
      <c r="I112" s="94" t="str">
        <f>IF($B112="ユニット合計",SUMIFS($E$4:$E$29545,$A$4:$A$29545,$A112,$B$4:$B$29545,リスト!$E$7),"")</f>
        <v/>
      </c>
      <c r="J112" s="94" t="str">
        <f>IF($B112="ユニット合計",SUMIFS($F$4:$F$29545,$A$4:$A$29545,$A112,$B$4:$B$29545,リスト!$E$7),"")</f>
        <v/>
      </c>
      <c r="K112" s="176" t="str">
        <f>IF($B112="ユニット合計",SUMIFS($E$4:$E$29545,$A$4:$A$29545,$A112,$B$4:$B$29545,リスト!$E$5),"")</f>
        <v/>
      </c>
      <c r="L112" s="94" t="str">
        <f>IF($B112="ユニット合計",SUMIFS($F$4:$F$29545,$A$4:$A$29545,$A112,$B$4:$B$29545,リスト!$E$5),"")</f>
        <v/>
      </c>
      <c r="M112" s="94" t="str">
        <f>IF($B112="ユニット合計",SUMIFS($E$4:$E$29545,$A$4:$A$29545,$A112,$B$4:$B$29545,リスト!$E$6),"")</f>
        <v/>
      </c>
    </row>
    <row r="113" spans="1:13" x14ac:dyDescent="0.2">
      <c r="A113" s="98" t="str">
        <f t="shared" si="15"/>
        <v/>
      </c>
      <c r="B113" s="78"/>
      <c r="C113" s="79" t="str">
        <f t="shared" si="13"/>
        <v/>
      </c>
      <c r="D113" s="79"/>
      <c r="E113" s="91" t="str">
        <f t="shared" si="16"/>
        <v/>
      </c>
      <c r="F113" s="94" t="str">
        <f>IF(B113="","",IF(B113="ユニット合計",SUMIF('GUN HV OFF時間記録'!B:B,A113,'GUN HV OFF時間記録'!F:F),IF(OR(B113=リスト!$E$7,B113=リスト!$E$5),SUMIF('GUN HV OFF時間記録'!$K$6:$K$111,C113,'GUN HV OFF時間記録'!$N$6:$N$111),0)))</f>
        <v/>
      </c>
      <c r="G113" s="80"/>
      <c r="H113" s="94" t="str">
        <f t="shared" si="17"/>
        <v/>
      </c>
      <c r="I113" s="94" t="str">
        <f>IF($B113="ユニット合計",SUMIFS($E$4:$E$29545,$A$4:$A$29545,$A113,$B$4:$B$29545,リスト!$E$7),"")</f>
        <v/>
      </c>
      <c r="J113" s="94" t="str">
        <f>IF($B113="ユニット合計",SUMIFS($F$4:$F$29545,$A$4:$A$29545,$A113,$B$4:$B$29545,リスト!$E$7),"")</f>
        <v/>
      </c>
      <c r="K113" s="176" t="str">
        <f>IF($B113="ユニット合計",SUMIFS($E$4:$E$29545,$A$4:$A$29545,$A113,$B$4:$B$29545,リスト!$E$5),"")</f>
        <v/>
      </c>
      <c r="L113" s="94" t="str">
        <f>IF($B113="ユニット合計",SUMIFS($F$4:$F$29545,$A$4:$A$29545,$A113,$B$4:$B$29545,リスト!$E$5),"")</f>
        <v/>
      </c>
      <c r="M113" s="94" t="str">
        <f>IF($B113="ユニット合計",SUMIFS($E$4:$E$29545,$A$4:$A$29545,$A113,$B$4:$B$29545,リスト!$E$6),"")</f>
        <v/>
      </c>
    </row>
    <row r="114" spans="1:13" x14ac:dyDescent="0.2">
      <c r="A114" s="98" t="str">
        <f t="shared" si="15"/>
        <v/>
      </c>
      <c r="B114" s="78"/>
      <c r="C114" s="79" t="str">
        <f t="shared" si="13"/>
        <v/>
      </c>
      <c r="D114" s="79"/>
      <c r="E114" s="91" t="str">
        <f t="shared" si="16"/>
        <v/>
      </c>
      <c r="F114" s="94" t="str">
        <f>IF(B114="","",IF(B114="ユニット合計",SUMIF('GUN HV OFF時間記録'!B:B,A114,'GUN HV OFF時間記録'!F:F),IF(OR(B114=リスト!$E$7,B114=リスト!$E$5),SUMIF('GUN HV OFF時間記録'!$K$6:$K$111,C114,'GUN HV OFF時間記録'!$N$6:$N$111),0)))</f>
        <v/>
      </c>
      <c r="G114" s="80"/>
      <c r="H114" s="94" t="str">
        <f t="shared" si="17"/>
        <v/>
      </c>
      <c r="I114" s="94" t="str">
        <f>IF($B114="ユニット合計",SUMIFS($E$4:$E$29545,$A$4:$A$29545,$A114,$B$4:$B$29545,リスト!$E$7),"")</f>
        <v/>
      </c>
      <c r="J114" s="94" t="str">
        <f>IF($B114="ユニット合計",SUMIFS($F$4:$F$29545,$A$4:$A$29545,$A114,$B$4:$B$29545,リスト!$E$7),"")</f>
        <v/>
      </c>
      <c r="K114" s="176" t="str">
        <f>IF($B114="ユニット合計",SUMIFS($E$4:$E$29545,$A$4:$A$29545,$A114,$B$4:$B$29545,リスト!$E$5),"")</f>
        <v/>
      </c>
      <c r="L114" s="94" t="str">
        <f>IF($B114="ユニット合計",SUMIFS($F$4:$F$29545,$A$4:$A$29545,$A114,$B$4:$B$29545,リスト!$E$5),"")</f>
        <v/>
      </c>
      <c r="M114" s="94" t="str">
        <f>IF($B114="ユニット合計",SUMIFS($E$4:$E$29545,$A$4:$A$29545,$A114,$B$4:$B$29545,リスト!$E$6),"")</f>
        <v/>
      </c>
    </row>
    <row r="115" spans="1:13" x14ac:dyDescent="0.2">
      <c r="A115" s="98" t="str">
        <f t="shared" si="15"/>
        <v/>
      </c>
      <c r="B115" s="78"/>
      <c r="C115" s="79" t="str">
        <f t="shared" si="13"/>
        <v/>
      </c>
      <c r="D115" s="79"/>
      <c r="E115" s="91" t="str">
        <f t="shared" si="16"/>
        <v/>
      </c>
      <c r="F115" s="94" t="str">
        <f>IF(B115="","",IF(B115="ユニット合計",SUMIF('GUN HV OFF時間記録'!B:B,A115,'GUN HV OFF時間記録'!F:F),IF(OR(B115=リスト!$E$7,B115=リスト!$E$5),SUMIF('GUN HV OFF時間記録'!$K$6:$K$111,C115,'GUN HV OFF時間記録'!$N$6:$N$111),0)))</f>
        <v/>
      </c>
      <c r="G115" s="80"/>
      <c r="H115" s="94" t="str">
        <f t="shared" si="17"/>
        <v/>
      </c>
      <c r="I115" s="94" t="str">
        <f>IF($B115="ユニット合計",SUMIFS($E$4:$E$29545,$A$4:$A$29545,$A115,$B$4:$B$29545,リスト!$E$7),"")</f>
        <v/>
      </c>
      <c r="J115" s="94" t="str">
        <f>IF($B115="ユニット合計",SUMIFS($F$4:$F$29545,$A$4:$A$29545,$A115,$B$4:$B$29545,リスト!$E$7),"")</f>
        <v/>
      </c>
      <c r="K115" s="176" t="str">
        <f>IF($B115="ユニット合計",SUMIFS($E$4:$E$29545,$A$4:$A$29545,$A115,$B$4:$B$29545,リスト!$E$5),"")</f>
        <v/>
      </c>
      <c r="L115" s="94" t="str">
        <f>IF($B115="ユニット合計",SUMIFS($F$4:$F$29545,$A$4:$A$29545,$A115,$B$4:$B$29545,リスト!$E$5),"")</f>
        <v/>
      </c>
      <c r="M115" s="94" t="str">
        <f>IF($B115="ユニット合計",SUMIFS($E$4:$E$29545,$A$4:$A$29545,$A115,$B$4:$B$29545,リスト!$E$6),"")</f>
        <v/>
      </c>
    </row>
    <row r="116" spans="1:13" x14ac:dyDescent="0.2">
      <c r="A116" s="98" t="str">
        <f t="shared" si="15"/>
        <v/>
      </c>
      <c r="B116" s="78"/>
      <c r="C116" s="79" t="str">
        <f t="shared" si="13"/>
        <v/>
      </c>
      <c r="D116" s="79"/>
      <c r="E116" s="91" t="str">
        <f t="shared" si="16"/>
        <v/>
      </c>
      <c r="F116" s="94" t="str">
        <f>IF(B116="","",IF(B116="ユニット合計",SUMIF('GUN HV OFF時間記録'!B:B,A116,'GUN HV OFF時間記録'!F:F),IF(OR(B116=リスト!$E$7,B116=リスト!$E$5),SUMIF('GUN HV OFF時間記録'!$K$6:$K$111,C116,'GUN HV OFF時間記録'!$N$6:$N$111),0)))</f>
        <v/>
      </c>
      <c r="G116" s="80"/>
      <c r="H116" s="94" t="str">
        <f t="shared" si="17"/>
        <v/>
      </c>
      <c r="I116" s="94" t="str">
        <f>IF($B116="ユニット合計",SUMIFS($E$4:$E$29545,$A$4:$A$29545,$A116,$B$4:$B$29545,リスト!$E$7),"")</f>
        <v/>
      </c>
      <c r="J116" s="94" t="str">
        <f>IF($B116="ユニット合計",SUMIFS($F$4:$F$29545,$A$4:$A$29545,$A116,$B$4:$B$29545,リスト!$E$7),"")</f>
        <v/>
      </c>
      <c r="K116" s="176" t="str">
        <f>IF($B116="ユニット合計",SUMIFS($E$4:$E$29545,$A$4:$A$29545,$A116,$B$4:$B$29545,リスト!$E$5),"")</f>
        <v/>
      </c>
      <c r="L116" s="94" t="str">
        <f>IF($B116="ユニット合計",SUMIFS($F$4:$F$29545,$A$4:$A$29545,$A116,$B$4:$B$29545,リスト!$E$5),"")</f>
        <v/>
      </c>
      <c r="M116" s="94" t="str">
        <f>IF($B116="ユニット合計",SUMIFS($E$4:$E$29545,$A$4:$A$29545,$A116,$B$4:$B$29545,リスト!$E$6),"")</f>
        <v/>
      </c>
    </row>
    <row r="117" spans="1:13" x14ac:dyDescent="0.2">
      <c r="A117" s="98" t="str">
        <f t="shared" si="15"/>
        <v/>
      </c>
      <c r="B117" s="78"/>
      <c r="C117" s="79" t="str">
        <f t="shared" si="13"/>
        <v/>
      </c>
      <c r="D117" s="79"/>
      <c r="E117" s="91" t="str">
        <f t="shared" si="16"/>
        <v/>
      </c>
      <c r="F117" s="94" t="str">
        <f>IF(B117="","",IF(B117="ユニット合計",SUMIF('GUN HV OFF時間記録'!B:B,A117,'GUN HV OFF時間記録'!F:F),IF(OR(B117=リスト!$E$7,B117=リスト!$E$5),SUMIF('GUN HV OFF時間記録'!$K$6:$K$111,C117,'GUN HV OFF時間記録'!$N$6:$N$111),0)))</f>
        <v/>
      </c>
      <c r="G117" s="80"/>
      <c r="H117" s="94" t="str">
        <f t="shared" si="17"/>
        <v/>
      </c>
      <c r="I117" s="94" t="str">
        <f>IF($B117="ユニット合計",SUMIFS($E$4:$E$29545,$A$4:$A$29545,$A117,$B$4:$B$29545,リスト!$E$7),"")</f>
        <v/>
      </c>
      <c r="J117" s="94" t="str">
        <f>IF($B117="ユニット合計",SUMIFS($F$4:$F$29545,$A$4:$A$29545,$A117,$B$4:$B$29545,リスト!$E$7),"")</f>
        <v/>
      </c>
      <c r="K117" s="176" t="str">
        <f>IF($B117="ユニット合計",SUMIFS($E$4:$E$29545,$A$4:$A$29545,$A117,$B$4:$B$29545,リスト!$E$5),"")</f>
        <v/>
      </c>
      <c r="L117" s="94" t="str">
        <f>IF($B117="ユニット合計",SUMIFS($F$4:$F$29545,$A$4:$A$29545,$A117,$B$4:$B$29545,リスト!$E$5),"")</f>
        <v/>
      </c>
      <c r="M117" s="94" t="str">
        <f>IF($B117="ユニット合計",SUMIFS($E$4:$E$29545,$A$4:$A$29545,$A117,$B$4:$B$29545,リスト!$E$6),"")</f>
        <v/>
      </c>
    </row>
    <row r="118" spans="1:13" x14ac:dyDescent="0.2">
      <c r="A118" s="98" t="str">
        <f t="shared" si="15"/>
        <v/>
      </c>
      <c r="B118" s="78"/>
      <c r="C118" s="79" t="str">
        <f t="shared" si="13"/>
        <v/>
      </c>
      <c r="D118" s="79"/>
      <c r="E118" s="91" t="str">
        <f t="shared" si="16"/>
        <v/>
      </c>
      <c r="F118" s="94" t="str">
        <f>IF(B118="","",IF(B118="ユニット合計",SUMIF('GUN HV OFF時間記録'!B:B,A118,'GUN HV OFF時間記録'!F:F),IF(OR(B118=リスト!$E$7,B118=リスト!$E$5),SUMIF('GUN HV OFF時間記録'!$K$6:$K$111,C118,'GUN HV OFF時間記録'!$N$6:$N$111),0)))</f>
        <v/>
      </c>
      <c r="G118" s="80"/>
      <c r="H118" s="94" t="str">
        <f t="shared" si="17"/>
        <v/>
      </c>
      <c r="I118" s="94" t="str">
        <f>IF($B118="ユニット合計",SUMIFS($E$4:$E$29545,$A$4:$A$29545,$A118,$B$4:$B$29545,リスト!$E$7),"")</f>
        <v/>
      </c>
      <c r="J118" s="94" t="str">
        <f>IF($B118="ユニット合計",SUMIFS($F$4:$F$29545,$A$4:$A$29545,$A118,$B$4:$B$29545,リスト!$E$7),"")</f>
        <v/>
      </c>
      <c r="K118" s="176" t="str">
        <f>IF($B118="ユニット合計",SUMIFS($E$4:$E$29545,$A$4:$A$29545,$A118,$B$4:$B$29545,リスト!$E$5),"")</f>
        <v/>
      </c>
      <c r="L118" s="94" t="str">
        <f>IF($B118="ユニット合計",SUMIFS($F$4:$F$29545,$A$4:$A$29545,$A118,$B$4:$B$29545,リスト!$E$5),"")</f>
        <v/>
      </c>
      <c r="M118" s="94" t="str">
        <f>IF($B118="ユニット合計",SUMIFS($E$4:$E$29545,$A$4:$A$29545,$A118,$B$4:$B$29545,リスト!$E$6),"")</f>
        <v/>
      </c>
    </row>
    <row r="119" spans="1:13" x14ac:dyDescent="0.2">
      <c r="A119" s="98" t="str">
        <f t="shared" si="15"/>
        <v/>
      </c>
      <c r="B119" s="78"/>
      <c r="C119" s="79" t="str">
        <f t="shared" si="13"/>
        <v/>
      </c>
      <c r="D119" s="79"/>
      <c r="E119" s="91" t="str">
        <f t="shared" si="16"/>
        <v/>
      </c>
      <c r="F119" s="94" t="str">
        <f>IF(B119="","",IF(B119="ユニット合計",SUMIF('GUN HV OFF時間記録'!B:B,A119,'GUN HV OFF時間記録'!F:F),IF(OR(B119=リスト!$E$7,B119=リスト!$E$5),SUMIF('GUN HV OFF時間記録'!$K$6:$K$111,C119,'GUN HV OFF時間記録'!$N$6:$N$111),0)))</f>
        <v/>
      </c>
      <c r="G119" s="80"/>
      <c r="H119" s="94" t="str">
        <f t="shared" si="17"/>
        <v/>
      </c>
      <c r="I119" s="94" t="str">
        <f>IF($B119="ユニット合計",SUMIFS($E$4:$E$29545,$A$4:$A$29545,$A119,$B$4:$B$29545,リスト!$E$7),"")</f>
        <v/>
      </c>
      <c r="J119" s="94" t="str">
        <f>IF($B119="ユニット合計",SUMIFS($F$4:$F$29545,$A$4:$A$29545,$A119,$B$4:$B$29545,リスト!$E$7),"")</f>
        <v/>
      </c>
      <c r="K119" s="176" t="str">
        <f>IF($B119="ユニット合計",SUMIFS($E$4:$E$29545,$A$4:$A$29545,$A119,$B$4:$B$29545,リスト!$E$5),"")</f>
        <v/>
      </c>
      <c r="L119" s="94" t="str">
        <f>IF($B119="ユニット合計",SUMIFS($F$4:$F$29545,$A$4:$A$29545,$A119,$B$4:$B$29545,リスト!$E$5),"")</f>
        <v/>
      </c>
      <c r="M119" s="94" t="str">
        <f>IF($B119="ユニット合計",SUMIFS($E$4:$E$29545,$A$4:$A$29545,$A119,$B$4:$B$29545,リスト!$E$6),"")</f>
        <v/>
      </c>
    </row>
    <row r="120" spans="1:13" x14ac:dyDescent="0.2">
      <c r="A120" s="98" t="str">
        <f t="shared" si="15"/>
        <v/>
      </c>
      <c r="B120" s="78"/>
      <c r="C120" s="79" t="str">
        <f t="shared" si="13"/>
        <v/>
      </c>
      <c r="D120" s="79"/>
      <c r="E120" s="91" t="str">
        <f t="shared" si="16"/>
        <v/>
      </c>
      <c r="F120" s="94" t="str">
        <f>IF(B120="","",IF(B120="ユニット合計",SUMIF('GUN HV OFF時間記録'!B:B,A120,'GUN HV OFF時間記録'!F:F),IF(OR(B120=リスト!$E$7,B120=リスト!$E$5),SUMIF('GUN HV OFF時間記録'!$K$6:$K$111,C120,'GUN HV OFF時間記録'!$N$6:$N$111),0)))</f>
        <v/>
      </c>
      <c r="G120" s="80"/>
      <c r="H120" s="94" t="str">
        <f t="shared" si="17"/>
        <v/>
      </c>
      <c r="I120" s="94" t="str">
        <f>IF($B120="ユニット合計",SUMIFS($E$4:$E$29545,$A$4:$A$29545,$A120,$B$4:$B$29545,リスト!$E$7),"")</f>
        <v/>
      </c>
      <c r="J120" s="94" t="str">
        <f>IF($B120="ユニット合計",SUMIFS($F$4:$F$29545,$A$4:$A$29545,$A120,$B$4:$B$29545,リスト!$E$7),"")</f>
        <v/>
      </c>
      <c r="K120" s="176" t="str">
        <f>IF($B120="ユニット合計",SUMIFS($E$4:$E$29545,$A$4:$A$29545,$A120,$B$4:$B$29545,リスト!$E$5),"")</f>
        <v/>
      </c>
      <c r="L120" s="94" t="str">
        <f>IF($B120="ユニット合計",SUMIFS($F$4:$F$29545,$A$4:$A$29545,$A120,$B$4:$B$29545,リスト!$E$5),"")</f>
        <v/>
      </c>
      <c r="M120" s="94" t="str">
        <f>IF($B120="ユニット合計",SUMIFS($E$4:$E$29545,$A$4:$A$29545,$A120,$B$4:$B$29545,リスト!$E$6),"")</f>
        <v/>
      </c>
    </row>
    <row r="121" spans="1:13" x14ac:dyDescent="0.2">
      <c r="A121" s="98" t="str">
        <f t="shared" si="15"/>
        <v/>
      </c>
      <c r="B121" s="78"/>
      <c r="C121" s="79" t="str">
        <f t="shared" si="13"/>
        <v/>
      </c>
      <c r="D121" s="79"/>
      <c r="E121" s="91" t="str">
        <f t="shared" si="16"/>
        <v/>
      </c>
      <c r="F121" s="94" t="str">
        <f>IF(B121="","",IF(B121="ユニット合計",SUMIF('GUN HV OFF時間記録'!B:B,A121,'GUN HV OFF時間記録'!F:F),IF(OR(B121=リスト!$E$7,B121=リスト!$E$5),SUMIF('GUN HV OFF時間記録'!$K$6:$K$111,C121,'GUN HV OFF時間記録'!$N$6:$N$111),0)))</f>
        <v/>
      </c>
      <c r="G121" s="80"/>
      <c r="H121" s="94" t="str">
        <f t="shared" si="17"/>
        <v/>
      </c>
      <c r="I121" s="94" t="str">
        <f>IF($B121="ユニット合計",SUMIFS($E$4:$E$29545,$A$4:$A$29545,$A121,$B$4:$B$29545,リスト!$E$7),"")</f>
        <v/>
      </c>
      <c r="J121" s="94" t="str">
        <f>IF($B121="ユニット合計",SUMIFS($F$4:$F$29545,$A$4:$A$29545,$A121,$B$4:$B$29545,リスト!$E$7),"")</f>
        <v/>
      </c>
      <c r="K121" s="176" t="str">
        <f>IF($B121="ユニット合計",SUMIFS($E$4:$E$29545,$A$4:$A$29545,$A121,$B$4:$B$29545,リスト!$E$5),"")</f>
        <v/>
      </c>
      <c r="L121" s="94" t="str">
        <f>IF($B121="ユニット合計",SUMIFS($F$4:$F$29545,$A$4:$A$29545,$A121,$B$4:$B$29545,リスト!$E$5),"")</f>
        <v/>
      </c>
      <c r="M121" s="94" t="str">
        <f>IF($B121="ユニット合計",SUMIFS($E$4:$E$29545,$A$4:$A$29545,$A121,$B$4:$B$29545,リスト!$E$6),"")</f>
        <v/>
      </c>
    </row>
    <row r="122" spans="1:13" x14ac:dyDescent="0.2">
      <c r="A122" s="98" t="str">
        <f t="shared" ref="A122:A129" si="18">IF(OR(B122="ユニット合計",B122="停止期間",B122=""),"",A123)</f>
        <v/>
      </c>
      <c r="B122" s="78"/>
      <c r="C122" s="79" t="str">
        <f t="shared" si="13"/>
        <v/>
      </c>
      <c r="D122" s="79"/>
      <c r="E122" s="91" t="str">
        <f t="shared" si="16"/>
        <v/>
      </c>
      <c r="F122" s="94" t="str">
        <f>IF(B122="","",IF(B122="ユニット合計",SUMIF('GUN HV OFF時間記録'!B:B,A122,'GUN HV OFF時間記録'!F:F),IF(OR(B122=リスト!$E$7,B122=リスト!$E$5),SUMIF('GUN HV OFF時間記録'!$K$6:$K$111,C122,'GUN HV OFF時間記録'!$N$6:$N$111),0)))</f>
        <v/>
      </c>
      <c r="G122" s="80"/>
      <c r="H122" s="94" t="str">
        <f t="shared" ref="H122:H123" si="19">IF($B122="ユニット合計",D122-C122,"")</f>
        <v/>
      </c>
      <c r="I122" s="94"/>
      <c r="J122" s="94"/>
      <c r="K122" s="176"/>
      <c r="L122" s="94"/>
      <c r="M122" s="94" t="str">
        <f>IF($B122="ユニット合計",SUMIFS($E$4:$E$29545,$A$4:$A$29545,$A122,$B$4:$B$29545,リスト!$E$6),"")</f>
        <v/>
      </c>
    </row>
    <row r="123" spans="1:13" x14ac:dyDescent="0.2">
      <c r="A123" s="98" t="str">
        <f t="shared" si="18"/>
        <v/>
      </c>
      <c r="B123" s="78"/>
      <c r="C123" s="79" t="str">
        <f t="shared" si="13"/>
        <v/>
      </c>
      <c r="D123" s="79"/>
      <c r="E123" s="91" t="str">
        <f t="shared" si="16"/>
        <v/>
      </c>
      <c r="F123" s="94" t="str">
        <f>IF(B123="","",IF(B123="ユニット合計",SUMIF('GUN HV OFF時間記録'!B:B,A123,'GUN HV OFF時間記録'!F:F),IF(OR(B123=リスト!$E$7,B123=リスト!$E$5),SUMIF('GUN HV OFF時間記録'!$K$6:$K$111,C123,'GUN HV OFF時間記録'!$N$6:$N$111),0)))</f>
        <v/>
      </c>
      <c r="G123" s="80"/>
      <c r="H123" s="94" t="str">
        <f t="shared" si="19"/>
        <v/>
      </c>
      <c r="I123" s="94"/>
      <c r="J123" s="94"/>
      <c r="K123" s="176"/>
      <c r="L123" s="94"/>
      <c r="M123" s="94" t="str">
        <f>IF($B123="ユニット合計",SUMIFS($E$4:$E$29545,$A$4:$A$29545,$A123,$B$4:$B$29545,リスト!$E$6),"")</f>
        <v/>
      </c>
    </row>
    <row r="124" spans="1:13" x14ac:dyDescent="0.2">
      <c r="A124" s="98" t="str">
        <f t="shared" si="18"/>
        <v/>
      </c>
      <c r="B124" s="78"/>
      <c r="C124" s="79" t="str">
        <f t="shared" si="13"/>
        <v/>
      </c>
      <c r="D124" s="79"/>
      <c r="E124" s="91" t="str">
        <f t="shared" si="16"/>
        <v/>
      </c>
      <c r="F124" s="94" t="str">
        <f>IF(B124="","",IF(B124="ユニット合計",SUMIF('GUN HV OFF時間記録'!B:B,A124,'GUN HV OFF時間記録'!F:F),IF(OR(B124=リスト!$E$7,B124=リスト!$E$5),SUMIF('GUN HV OFF時間記録'!$K$6:$K$111,C124,'GUN HV OFF時間記録'!$N$6:$N$111),0)))</f>
        <v/>
      </c>
      <c r="G124" s="80"/>
      <c r="H124" s="94" t="str">
        <f t="shared" ref="H124:H129" si="20">IF($B124="ユニット合計",D124-C124,"")</f>
        <v/>
      </c>
      <c r="I124" s="94"/>
      <c r="J124" s="94"/>
      <c r="K124" s="176"/>
      <c r="L124" s="94"/>
      <c r="M124" s="94" t="str">
        <f>IF($B124="ユニット合計",SUMIFS($E$4:$E$29545,$A$4:$A$29545,$A124,$B$4:$B$29545,リスト!$E$6),"")</f>
        <v/>
      </c>
    </row>
    <row r="125" spans="1:13" x14ac:dyDescent="0.2">
      <c r="A125" s="98" t="str">
        <f t="shared" si="18"/>
        <v/>
      </c>
      <c r="B125" s="78"/>
      <c r="C125" s="79" t="str">
        <f t="shared" si="13"/>
        <v/>
      </c>
      <c r="D125" s="79"/>
      <c r="E125" s="91" t="str">
        <f t="shared" si="16"/>
        <v/>
      </c>
      <c r="F125" s="94" t="str">
        <f>IF(B125="","",IF(B125="ユニット合計",SUMIF('GUN HV OFF時間記録'!B:B,A125,'GUN HV OFF時間記録'!F:F),IF(OR(B125=リスト!$E$7,B125=リスト!$E$5),SUMIF('GUN HV OFF時間記録'!$K$6:$K$111,C125,'GUN HV OFF時間記録'!$N$6:$N$111),0)))</f>
        <v/>
      </c>
      <c r="G125" s="80"/>
      <c r="H125" s="94" t="str">
        <f t="shared" si="20"/>
        <v/>
      </c>
      <c r="I125" s="94"/>
      <c r="J125" s="94"/>
      <c r="K125" s="176"/>
      <c r="L125" s="94"/>
      <c r="M125" s="94" t="str">
        <f>IF($B125="ユニット合計",SUMIFS($E$4:$E$29545,$A$4:$A$29545,$A125,$B$4:$B$29545,リスト!$E$6),"")</f>
        <v/>
      </c>
    </row>
    <row r="126" spans="1:13" x14ac:dyDescent="0.2">
      <c r="A126" s="98" t="str">
        <f t="shared" si="18"/>
        <v/>
      </c>
      <c r="B126" s="78"/>
      <c r="C126" s="79" t="str">
        <f t="shared" si="13"/>
        <v/>
      </c>
      <c r="D126" s="79"/>
      <c r="E126" s="91" t="str">
        <f t="shared" si="16"/>
        <v/>
      </c>
      <c r="F126" s="94" t="str">
        <f>IF(B126="","",IF(B126="ユニット合計",SUMIF('GUN HV OFF時間記録'!B:B,A126,'GUN HV OFF時間記録'!F:F),IF(OR(B126=リスト!$E$7,B126=リスト!$E$5),SUMIF('GUN HV OFF時間記録'!$K$6:$K$111,C126,'GUN HV OFF時間記録'!$N$6:$N$111),0)))</f>
        <v/>
      </c>
      <c r="G126" s="80"/>
      <c r="H126" s="94" t="str">
        <f t="shared" si="20"/>
        <v/>
      </c>
      <c r="I126" s="94"/>
      <c r="J126" s="94"/>
      <c r="K126" s="176"/>
      <c r="L126" s="94"/>
      <c r="M126" s="94" t="str">
        <f>IF($B126="ユニット合計",SUMIFS($E$4:$E$29545,$A$4:$A$29545,$A126,$B$4:$B$29545,リスト!$E$6),"")</f>
        <v/>
      </c>
    </row>
    <row r="127" spans="1:13" x14ac:dyDescent="0.2">
      <c r="A127" s="98" t="str">
        <f t="shared" si="18"/>
        <v/>
      </c>
      <c r="B127" s="78"/>
      <c r="C127" s="79" t="str">
        <f t="shared" si="13"/>
        <v/>
      </c>
      <c r="D127" s="79"/>
      <c r="E127" s="91" t="str">
        <f t="shared" si="16"/>
        <v/>
      </c>
      <c r="F127" s="94" t="str">
        <f>IF(B127="","",IF(B127="ユニット合計",SUMIF('GUN HV OFF時間記録'!B:B,A127,'GUN HV OFF時間記録'!F:F),IF(OR(B127=リスト!$E$7,B127=リスト!$E$5),SUMIF('GUN HV OFF時間記録'!$K$6:$K$111,C127,'GUN HV OFF時間記録'!$N$6:$N$111),0)))</f>
        <v/>
      </c>
      <c r="G127" s="80"/>
      <c r="H127" s="94" t="str">
        <f t="shared" si="20"/>
        <v/>
      </c>
      <c r="I127" s="94"/>
      <c r="J127" s="94"/>
      <c r="K127" s="176"/>
      <c r="L127" s="94"/>
      <c r="M127" s="94" t="str">
        <f>IF($B127="ユニット合計",SUMIFS($E$4:$E$29545,$A$4:$A$29545,$A127,$B$4:$B$29545,リスト!$E$6),"")</f>
        <v/>
      </c>
    </row>
    <row r="128" spans="1:13" x14ac:dyDescent="0.2">
      <c r="A128" s="98" t="str">
        <f t="shared" si="18"/>
        <v/>
      </c>
      <c r="B128" s="78"/>
      <c r="C128" s="79" t="str">
        <f t="shared" si="13"/>
        <v/>
      </c>
      <c r="D128" s="79"/>
      <c r="E128" s="91" t="str">
        <f t="shared" si="16"/>
        <v/>
      </c>
      <c r="F128" s="94" t="str">
        <f>IF(B128="","",IF(B128="ユニット合計",SUMIF('GUN HV OFF時間記録'!B:B,A128,'GUN HV OFF時間記録'!F:F),IF(OR(B128=リスト!$E$7,B128=リスト!$E$5),SUMIF('GUN HV OFF時間記録'!$K$6:$K$111,C128,'GUN HV OFF時間記録'!$N$6:$N$111),0)))</f>
        <v/>
      </c>
      <c r="G128" s="80"/>
      <c r="H128" s="94" t="str">
        <f t="shared" si="20"/>
        <v/>
      </c>
      <c r="I128" s="94"/>
      <c r="J128" s="94"/>
      <c r="K128" s="176"/>
      <c r="L128" s="94"/>
      <c r="M128" s="94" t="str">
        <f>IF($B128="ユニット合計",SUMIFS($E$4:$E$29545,$A$4:$A$29545,$A128,$B$4:$B$29545,リスト!$E$6),"")</f>
        <v/>
      </c>
    </row>
    <row r="129" spans="1:13" x14ac:dyDescent="0.2">
      <c r="A129" s="98" t="str">
        <f t="shared" si="18"/>
        <v/>
      </c>
      <c r="B129" s="78"/>
      <c r="C129" s="79" t="str">
        <f t="shared" si="13"/>
        <v/>
      </c>
      <c r="D129" s="79"/>
      <c r="E129" s="91" t="str">
        <f t="shared" si="16"/>
        <v/>
      </c>
      <c r="F129" s="94" t="str">
        <f>IF(B129="","",IF(B129="ユニット合計",SUMIF('GUN HV OFF時間記録'!B:B,A129,'GUN HV OFF時間記録'!F:F),IF(OR(B129=リスト!$E$7,B129=リスト!$E$5),SUMIF('GUN HV OFF時間記録'!$K$6:$K$111,C129,'GUN HV OFF時間記録'!$N$6:$N$111),0)))</f>
        <v/>
      </c>
      <c r="G129" s="80"/>
      <c r="H129" s="94" t="str">
        <f t="shared" si="20"/>
        <v/>
      </c>
      <c r="I129" s="94"/>
      <c r="J129" s="94"/>
      <c r="K129" s="176"/>
      <c r="L129" s="94"/>
      <c r="M129" s="94" t="str">
        <f>IF($B129="ユニット合計",SUMIFS($E$4:$E$29545,$A$4:$A$29545,$A129,$B$4:$B$29545,リスト!$E$6),"")</f>
        <v/>
      </c>
    </row>
  </sheetData>
  <autoFilter ref="A3:N129" xr:uid="{00000000-0009-0000-0000-000000000000}">
    <filterColumn colId="2" showButton="0"/>
  </autoFilter>
  <phoneticPr fontId="1"/>
  <conditionalFormatting sqref="B1:D1 F1:G1 B2:M2 B3:G1048576">
    <cfRule type="expression" dxfId="193" priority="1883">
      <formula>$B1="ユーザー"</formula>
    </cfRule>
    <cfRule type="expression" dxfId="192" priority="1884">
      <formula>$B1="利用調整"</formula>
    </cfRule>
    <cfRule type="expression" dxfId="191" priority="1885">
      <formula>$B1="施設調整"</formula>
    </cfRule>
  </conditionalFormatting>
  <conditionalFormatting sqref="B1:D1 F1:G1 B2:M2 B3:G1048576">
    <cfRule type="expression" dxfId="190" priority="1886">
      <formula>$B1="停止期間"</formula>
    </cfRule>
  </conditionalFormatting>
  <conditionalFormatting sqref="B1:D1 F1:G1 B3:G3 B2:M2 A4:G1048576">
    <cfRule type="expression" dxfId="189" priority="399">
      <formula>$B1="ユニット合計"</formula>
    </cfRule>
  </conditionalFormatting>
  <conditionalFormatting sqref="I4:K129 M4:M129 C4:G129">
    <cfRule type="expression" dxfId="188" priority="438">
      <formula>SECOND(C4)&gt;0</formula>
    </cfRule>
  </conditionalFormatting>
  <conditionalFormatting sqref="F2:M2">
    <cfRule type="expression" dxfId="187" priority="437">
      <formula>SECOND(F2)&gt;0</formula>
    </cfRule>
  </conditionalFormatting>
  <conditionalFormatting sqref="E2:M2">
    <cfRule type="expression" dxfId="186" priority="436">
      <formula>SECOND(E2)&gt;0</formula>
    </cfRule>
  </conditionalFormatting>
  <conditionalFormatting sqref="A4:A28 A32:A545">
    <cfRule type="expression" dxfId="185" priority="1887">
      <formula>A4&lt;&gt;A5</formula>
    </cfRule>
  </conditionalFormatting>
  <conditionalFormatting sqref="A31">
    <cfRule type="expression" dxfId="184" priority="17849">
      <formula>A31&lt;&gt;A33</formula>
    </cfRule>
  </conditionalFormatting>
  <conditionalFormatting sqref="A29:A30">
    <cfRule type="expression" dxfId="183" priority="17860">
      <formula>A29&lt;&gt;A32</formula>
    </cfRule>
  </conditionalFormatting>
  <conditionalFormatting sqref="A30:A31">
    <cfRule type="expression" dxfId="182" priority="17871">
      <formula>A30&lt;&gt;A34</formula>
    </cfRule>
  </conditionalFormatting>
  <pageMargins left="0.7" right="0.7" top="0.75" bottom="0.75" header="0.3" footer="0.3"/>
  <pageSetup paperSize="9" scale="4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リスト!$E$5:$E$9</xm:f>
          </x14:formula1>
          <xm:sqref>B1:B3 B130:B1048576</xm:sqref>
        </x14:dataValidation>
        <x14:dataValidation type="list" allowBlank="1" showInputMessage="1" showErrorMessage="1" xr:uid="{00000000-0002-0000-0000-000001000000}">
          <x14:formula1>
            <xm:f>リスト!$E$5:$E$10</xm:f>
          </x14:formula1>
          <xm:sqref>B4:B129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O843"/>
  <sheetViews>
    <sheetView topLeftCell="A98" zoomScale="85" zoomScaleNormal="85" workbookViewId="0">
      <selection activeCell="C105" sqref="C105:E113"/>
    </sheetView>
  </sheetViews>
  <sheetFormatPr defaultRowHeight="13" x14ac:dyDescent="0.2"/>
  <cols>
    <col min="2" max="2" width="9" style="88"/>
    <col min="3" max="4" width="17.08984375" style="77" bestFit="1" customWidth="1"/>
    <col min="5" max="5" width="25.36328125" style="77" customWidth="1"/>
    <col min="6" max="6" width="9" style="88"/>
    <col min="7" max="7" width="3.453125" style="88" bestFit="1" customWidth="1"/>
    <col min="8" max="8" width="5" customWidth="1"/>
    <col min="9" max="9" width="7.453125" style="157" bestFit="1" customWidth="1"/>
    <col min="10" max="10" width="9" style="157"/>
    <col min="11" max="12" width="17.08984375" style="88" bestFit="1" customWidth="1"/>
    <col min="13" max="14" width="9" style="88"/>
    <col min="15" max="15" width="3.453125" style="88" bestFit="1" customWidth="1"/>
  </cols>
  <sheetData>
    <row r="1" spans="2:15" x14ac:dyDescent="0.2">
      <c r="B1"/>
      <c r="C1"/>
      <c r="D1"/>
      <c r="E1"/>
      <c r="F1"/>
      <c r="G1"/>
      <c r="I1" s="16"/>
      <c r="J1" s="16"/>
      <c r="K1"/>
      <c r="L1"/>
      <c r="M1"/>
      <c r="N1"/>
      <c r="O1"/>
    </row>
    <row r="2" spans="2:15" x14ac:dyDescent="0.2">
      <c r="B2"/>
      <c r="C2"/>
      <c r="D2"/>
      <c r="E2"/>
      <c r="F2"/>
      <c r="G2"/>
      <c r="I2" s="16"/>
      <c r="J2" s="16"/>
      <c r="K2"/>
      <c r="L2"/>
      <c r="M2"/>
      <c r="N2"/>
      <c r="O2"/>
    </row>
    <row r="3" spans="2:15" ht="21.5" thickBot="1" x14ac:dyDescent="0.25">
      <c r="B3" s="318" t="s">
        <v>106</v>
      </c>
      <c r="C3" s="318"/>
      <c r="D3" s="318"/>
      <c r="E3" s="318"/>
      <c r="F3" s="318"/>
      <c r="G3" s="318"/>
      <c r="I3" s="318" t="s">
        <v>122</v>
      </c>
      <c r="J3" s="318"/>
      <c r="K3" s="318"/>
      <c r="L3" s="318"/>
      <c r="M3" s="318"/>
      <c r="N3" s="318"/>
      <c r="O3" s="318"/>
    </row>
    <row r="4" spans="2:15" ht="13.5" thickBot="1" x14ac:dyDescent="0.25">
      <c r="B4"/>
      <c r="C4" t="s">
        <v>136</v>
      </c>
      <c r="D4" s="15"/>
      <c r="E4"/>
      <c r="F4" s="224">
        <f>SUM(F6:F843)</f>
        <v>2.3062500000000083</v>
      </c>
      <c r="G4"/>
      <c r="I4" s="16"/>
      <c r="J4" s="16"/>
      <c r="K4"/>
      <c r="L4"/>
      <c r="M4" s="225" t="e">
        <f ca="1">SUM(M6:M112)</f>
        <v>#NAME?</v>
      </c>
      <c r="N4" s="223" t="e">
        <f ca="1">SUM(N6:N112)</f>
        <v>#NAME?</v>
      </c>
      <c r="O4"/>
    </row>
    <row r="5" spans="2:15" ht="26" x14ac:dyDescent="0.2">
      <c r="B5" s="141" t="s">
        <v>64</v>
      </c>
      <c r="C5" s="142" t="s">
        <v>65</v>
      </c>
      <c r="D5" s="142" t="s">
        <v>66</v>
      </c>
      <c r="E5" s="143" t="s">
        <v>68</v>
      </c>
      <c r="F5" s="144" t="s">
        <v>67</v>
      </c>
      <c r="G5" s="145" t="s">
        <v>121</v>
      </c>
      <c r="I5" s="149" t="s">
        <v>55</v>
      </c>
      <c r="J5" s="150" t="s">
        <v>135</v>
      </c>
      <c r="K5" s="151" t="s">
        <v>99</v>
      </c>
      <c r="L5" s="151" t="s">
        <v>100</v>
      </c>
      <c r="M5" s="152" t="s">
        <v>109</v>
      </c>
      <c r="N5" s="152" t="s">
        <v>110</v>
      </c>
      <c r="O5" s="153" t="s">
        <v>121</v>
      </c>
    </row>
    <row r="6" spans="2:15" x14ac:dyDescent="0.2">
      <c r="B6" s="146" t="e">
        <f t="shared" ref="B6:B12" ca="1" si="0">IF(C6="","",VLOOKUP(C6,ユニット判定用,3))</f>
        <v>#REF!</v>
      </c>
      <c r="C6" s="180">
        <v>45383.416666666657</v>
      </c>
      <c r="D6" s="180">
        <v>45383.870138888888</v>
      </c>
      <c r="E6" s="80" t="s">
        <v>212</v>
      </c>
      <c r="F6" s="140">
        <f t="shared" ref="F6:F12" si="1">IF(C6="","",MROUND(D6-C6,"00:01"))</f>
        <v>0.45347222222222222</v>
      </c>
      <c r="G6" s="147" t="e">
        <f t="shared" ref="G6:G12" ca="1" si="2">IF(C6="","",VLOOKUP(C6,施設運転・利用調整時間判定,5,1))</f>
        <v>#REF!</v>
      </c>
      <c r="I6" s="146" t="e">
        <f ca="1">[0]!CSVVLookUP(ROW(行数!A1),配列!$C$7,運転予定時間,1,1)</f>
        <v>#NAME?</v>
      </c>
      <c r="J6" s="158" t="e">
        <f ca="1">[0]!CSVVLookUP(ROW(行数!A1),配列!$C$7,運転予定時間,2,1)</f>
        <v>#NAME?</v>
      </c>
      <c r="K6" s="117" t="e">
        <f ca="1">[0]!CSVVLookUP(ROW(行数!A1),配列!$C$7,運転予定時間,3,1)</f>
        <v>#NAME?</v>
      </c>
      <c r="L6" s="117" t="e">
        <f ca="1">[0]!CSVVLookUP(ROW(行数!A1),配列!$C$7,運転予定時間,4,1)</f>
        <v>#NAME?</v>
      </c>
      <c r="M6" s="94" t="e">
        <f ca="1">[0]!CSVVLookUP(ROW(行数!A1),配列!$C$7,運転予定時間,5,1)</f>
        <v>#NAME?</v>
      </c>
      <c r="N6" s="94" t="e">
        <f t="shared" ref="N6:N37" ca="1" si="3">IF(K6="","",SUMIF($G$6:$G$841,O6,$F$6:$F$841))</f>
        <v>#NAME?</v>
      </c>
      <c r="O6" s="147" t="e">
        <f ca="1">IF(K6="","",ROW(行数!A1))</f>
        <v>#NAME?</v>
      </c>
    </row>
    <row r="7" spans="2:15" x14ac:dyDescent="0.2">
      <c r="B7" s="146" t="e">
        <f t="shared" ca="1" si="0"/>
        <v>#REF!</v>
      </c>
      <c r="C7" s="180">
        <v>45383.87777777778</v>
      </c>
      <c r="D7" s="180">
        <v>45384.087500000001</v>
      </c>
      <c r="E7" s="80" t="s">
        <v>212</v>
      </c>
      <c r="F7" s="140">
        <f t="shared" si="1"/>
        <v>0.20972222222222223</v>
      </c>
      <c r="G7" s="147" t="e">
        <f t="shared" ca="1" si="2"/>
        <v>#REF!</v>
      </c>
      <c r="I7" s="146" t="e">
        <f ca="1">[0]!CSVVLookUP(ROW(行数!A2),配列!$C$7,運転予定時間,1,1)</f>
        <v>#NAME?</v>
      </c>
      <c r="J7" s="158" t="e">
        <f ca="1">[0]!CSVVLookUP(ROW(行数!A2),配列!$C$7,運転予定時間,2,1)</f>
        <v>#NAME?</v>
      </c>
      <c r="K7" s="117" t="e">
        <f ca="1">[0]!CSVVLookUP(ROW(行数!A2),配列!$C$7,運転予定時間,3,1)</f>
        <v>#NAME?</v>
      </c>
      <c r="L7" s="117" t="e">
        <f ca="1">[0]!CSVVLookUP(ROW(行数!A2),配列!$C$7,運転予定時間,4,1)</f>
        <v>#NAME?</v>
      </c>
      <c r="M7" s="94" t="e">
        <f ca="1">[0]!CSVVLookUP(ROW(行数!A2),配列!$C$7,運転予定時間,5,1)</f>
        <v>#NAME?</v>
      </c>
      <c r="N7" s="94" t="e">
        <f t="shared" ca="1" si="3"/>
        <v>#NAME?</v>
      </c>
      <c r="O7" s="147" t="e">
        <f ca="1">IF(K7="","",ROW(行数!A2))</f>
        <v>#NAME?</v>
      </c>
    </row>
    <row r="8" spans="2:15" x14ac:dyDescent="0.2">
      <c r="B8" s="146" t="e">
        <f t="shared" ca="1" si="0"/>
        <v>#REF!</v>
      </c>
      <c r="C8" s="180">
        <v>45384.430555555547</v>
      </c>
      <c r="D8" s="180">
        <v>45384.505555555559</v>
      </c>
      <c r="E8" s="80" t="s">
        <v>212</v>
      </c>
      <c r="F8" s="140">
        <f t="shared" si="1"/>
        <v>7.4999999999999997E-2</v>
      </c>
      <c r="G8" s="147" t="e">
        <f t="shared" ca="1" si="2"/>
        <v>#REF!</v>
      </c>
      <c r="I8" s="146" t="e">
        <f ca="1">[0]!CSVVLookUP(ROW(行数!A3),配列!$C$7,運転予定時間,1,1)</f>
        <v>#NAME?</v>
      </c>
      <c r="J8" s="158" t="e">
        <f ca="1">[0]!CSVVLookUP(ROW(行数!A3),配列!$C$7,運転予定時間,2,1)</f>
        <v>#NAME?</v>
      </c>
      <c r="K8" s="117" t="e">
        <f ca="1">[0]!CSVVLookUP(ROW(行数!A3),配列!$C$7,運転予定時間,3,1)</f>
        <v>#NAME?</v>
      </c>
      <c r="L8" s="117" t="e">
        <f ca="1">[0]!CSVVLookUP(ROW(行数!A3),配列!$C$7,運転予定時間,4,1)</f>
        <v>#NAME?</v>
      </c>
      <c r="M8" s="94" t="e">
        <f ca="1">[0]!CSVVLookUP(ROW(行数!A3),配列!$C$7,運転予定時間,5,1)</f>
        <v>#NAME?</v>
      </c>
      <c r="N8" s="94" t="e">
        <f t="shared" ca="1" si="3"/>
        <v>#NAME?</v>
      </c>
      <c r="O8" s="147" t="e">
        <f ca="1">IF(K8="","",ROW(行数!A3))</f>
        <v>#NAME?</v>
      </c>
    </row>
    <row r="9" spans="2:15" x14ac:dyDescent="0.2">
      <c r="B9" s="146" t="e">
        <f t="shared" ca="1" si="0"/>
        <v>#REF!</v>
      </c>
      <c r="C9" s="180">
        <v>45384.539583333331</v>
      </c>
      <c r="D9" s="180">
        <v>45384.540972222218</v>
      </c>
      <c r="E9" s="80"/>
      <c r="F9" s="140">
        <f t="shared" si="1"/>
        <v>1.3888888888888889E-3</v>
      </c>
      <c r="G9" s="147" t="e">
        <f t="shared" ca="1" si="2"/>
        <v>#REF!</v>
      </c>
      <c r="I9" s="146" t="e">
        <f ca="1">[0]!CSVVLookUP(ROW(行数!A4),配列!$C$7,運転予定時間,1,1)</f>
        <v>#NAME?</v>
      </c>
      <c r="J9" s="158" t="e">
        <f ca="1">[0]!CSVVLookUP(ROW(行数!A4),配列!$C$7,運転予定時間,2,1)</f>
        <v>#NAME?</v>
      </c>
      <c r="K9" s="117" t="e">
        <f ca="1">[0]!CSVVLookUP(ROW(行数!A4),配列!$C$7,運転予定時間,3,1)</f>
        <v>#NAME?</v>
      </c>
      <c r="L9" s="117" t="e">
        <f ca="1">[0]!CSVVLookUP(ROW(行数!A4),配列!$C$7,運転予定時間,4,1)</f>
        <v>#NAME?</v>
      </c>
      <c r="M9" s="94" t="e">
        <f ca="1">[0]!CSVVLookUP(ROW(行数!A4),配列!$C$7,運転予定時間,5,1)</f>
        <v>#NAME?</v>
      </c>
      <c r="N9" s="94" t="e">
        <f t="shared" ca="1" si="3"/>
        <v>#NAME?</v>
      </c>
      <c r="O9" s="147" t="e">
        <f ca="1">IF(K9="","",ROW(行数!A4))</f>
        <v>#NAME?</v>
      </c>
    </row>
    <row r="10" spans="2:15" x14ac:dyDescent="0.2">
      <c r="B10" s="146" t="e">
        <f t="shared" ca="1" si="0"/>
        <v>#REF!</v>
      </c>
      <c r="C10" s="180">
        <v>45384.554166666669</v>
      </c>
      <c r="D10" s="180">
        <v>45384.731944444437</v>
      </c>
      <c r="E10" s="80" t="s">
        <v>212</v>
      </c>
      <c r="F10" s="140">
        <f t="shared" si="1"/>
        <v>0.17777777777777778</v>
      </c>
      <c r="G10" s="147" t="e">
        <f t="shared" ca="1" si="2"/>
        <v>#REF!</v>
      </c>
      <c r="I10" s="146" t="e">
        <f ca="1">[0]!CSVVLookUP(ROW(行数!A5),配列!$C$7,運転予定時間,1,1)</f>
        <v>#NAME?</v>
      </c>
      <c r="J10" s="158" t="e">
        <f ca="1">[0]!CSVVLookUP(ROW(行数!A5),配列!$C$7,運転予定時間,2,1)</f>
        <v>#NAME?</v>
      </c>
      <c r="K10" s="117" t="e">
        <f ca="1">[0]!CSVVLookUP(ROW(行数!A5),配列!$C$7,運転予定時間,3,1)</f>
        <v>#NAME?</v>
      </c>
      <c r="L10" s="117" t="e">
        <f ca="1">[0]!CSVVLookUP(ROW(行数!A5),配列!$C$7,運転予定時間,4,1)</f>
        <v>#NAME?</v>
      </c>
      <c r="M10" s="94" t="e">
        <f ca="1">[0]!CSVVLookUP(ROW(行数!A5),配列!$C$7,運転予定時間,5,1)</f>
        <v>#NAME?</v>
      </c>
      <c r="N10" s="94" t="e">
        <f t="shared" ca="1" si="3"/>
        <v>#NAME?</v>
      </c>
      <c r="O10" s="147" t="e">
        <f ca="1">IF(K10="","",ROW(行数!A5))</f>
        <v>#NAME?</v>
      </c>
    </row>
    <row r="11" spans="2:15" x14ac:dyDescent="0.2">
      <c r="B11" s="146" t="e">
        <f t="shared" ca="1" si="0"/>
        <v>#REF!</v>
      </c>
      <c r="C11" s="180">
        <v>45395.029861111107</v>
      </c>
      <c r="D11" s="180">
        <v>45395.03125</v>
      </c>
      <c r="E11" s="80"/>
      <c r="F11" s="140">
        <f t="shared" si="1"/>
        <v>1.3888888888888889E-3</v>
      </c>
      <c r="G11" s="147" t="e">
        <f t="shared" ca="1" si="2"/>
        <v>#REF!</v>
      </c>
      <c r="I11" s="146" t="e">
        <f ca="1">[0]!CSVVLookUP(ROW(行数!A6),配列!$C$7,運転予定時間,1,1)</f>
        <v>#NAME?</v>
      </c>
      <c r="J11" s="158" t="e">
        <f ca="1">[0]!CSVVLookUP(ROW(行数!A6),配列!$C$7,運転予定時間,2,1)</f>
        <v>#NAME?</v>
      </c>
      <c r="K11" s="117" t="e">
        <f ca="1">[0]!CSVVLookUP(ROW(行数!A6),配列!$C$7,運転予定時間,3,1)</f>
        <v>#NAME?</v>
      </c>
      <c r="L11" s="117" t="e">
        <f ca="1">[0]!CSVVLookUP(ROW(行数!A6),配列!$C$7,運転予定時間,4,1)</f>
        <v>#NAME?</v>
      </c>
      <c r="M11" s="94" t="e">
        <f ca="1">[0]!CSVVLookUP(ROW(行数!A6),配列!$C$7,運転予定時間,5,1)</f>
        <v>#NAME?</v>
      </c>
      <c r="N11" s="94" t="e">
        <f t="shared" ca="1" si="3"/>
        <v>#NAME?</v>
      </c>
      <c r="O11" s="147" t="e">
        <f ca="1">IF(K11="","",ROW(行数!A6))</f>
        <v>#NAME?</v>
      </c>
    </row>
    <row r="12" spans="2:15" x14ac:dyDescent="0.2">
      <c r="B12" s="146" t="e">
        <f t="shared" ca="1" si="0"/>
        <v>#REF!</v>
      </c>
      <c r="C12" s="180">
        <v>45407.40625</v>
      </c>
      <c r="D12" s="180">
        <v>45407.416666666657</v>
      </c>
      <c r="E12" s="80"/>
      <c r="F12" s="140">
        <f t="shared" si="1"/>
        <v>1.0416666666666668E-2</v>
      </c>
      <c r="G12" s="147" t="e">
        <f t="shared" ca="1" si="2"/>
        <v>#REF!</v>
      </c>
      <c r="I12" s="146" t="e">
        <f ca="1">[0]!CSVVLookUP(ROW(行数!A7),配列!$C$7,運転予定時間,1,1)</f>
        <v>#NAME?</v>
      </c>
      <c r="J12" s="158" t="e">
        <f ca="1">[0]!CSVVLookUP(ROW(行数!A7),配列!$C$7,運転予定時間,2,1)</f>
        <v>#NAME?</v>
      </c>
      <c r="K12" s="117" t="e">
        <f ca="1">[0]!CSVVLookUP(ROW(行数!A7),配列!$C$7,運転予定時間,3,1)</f>
        <v>#NAME?</v>
      </c>
      <c r="L12" s="117" t="e">
        <f ca="1">[0]!CSVVLookUP(ROW(行数!A7),配列!$C$7,運転予定時間,4,1)</f>
        <v>#NAME?</v>
      </c>
      <c r="M12" s="94" t="e">
        <f ca="1">[0]!CSVVLookUP(ROW(行数!A7),配列!$C$7,運転予定時間,5,1)</f>
        <v>#NAME?</v>
      </c>
      <c r="N12" s="94" t="e">
        <f t="shared" ca="1" si="3"/>
        <v>#NAME?</v>
      </c>
      <c r="O12" s="147" t="e">
        <f ca="1">IF(K12="","",ROW(行数!A7))</f>
        <v>#NAME?</v>
      </c>
    </row>
    <row r="13" spans="2:15" x14ac:dyDescent="0.2">
      <c r="B13" s="146" t="e">
        <f t="shared" ref="B13:B44" ca="1" si="4">IF(C13="","",VLOOKUP(C13,ユニット判定用,3))</f>
        <v>#REF!</v>
      </c>
      <c r="C13" s="180">
        <v>45419.416666666657</v>
      </c>
      <c r="D13" s="180">
        <v>45419.681250000001</v>
      </c>
      <c r="E13" s="80" t="s">
        <v>212</v>
      </c>
      <c r="F13" s="140">
        <f t="shared" ref="F13:F76" si="5">IF(C13="","",MROUND(D13-C13,"00:01"))</f>
        <v>0.26458333333333334</v>
      </c>
      <c r="G13" s="147" t="e">
        <f t="shared" ref="G13:G44" ca="1" si="6">IF(C13="","",VLOOKUP(C13,施設運転・利用調整時間判定,5,1))</f>
        <v>#REF!</v>
      </c>
      <c r="I13" s="146" t="e">
        <f ca="1">[0]!CSVVLookUP(ROW(行数!A8),配列!$C$7,運転予定時間,1,1)</f>
        <v>#NAME?</v>
      </c>
      <c r="J13" s="158" t="e">
        <f ca="1">[0]!CSVVLookUP(ROW(行数!A8),配列!$C$7,運転予定時間,2,1)</f>
        <v>#NAME?</v>
      </c>
      <c r="K13" s="117" t="e">
        <f ca="1">[0]!CSVVLookUP(ROW(行数!A8),配列!$C$7,運転予定時間,3,1)</f>
        <v>#NAME?</v>
      </c>
      <c r="L13" s="117" t="e">
        <f ca="1">[0]!CSVVLookUP(ROW(行数!A8),配列!$C$7,運転予定時間,4,1)</f>
        <v>#NAME?</v>
      </c>
      <c r="M13" s="94" t="e">
        <f ca="1">[0]!CSVVLookUP(ROW(行数!A8),配列!$C$7,運転予定時間,5,1)</f>
        <v>#NAME?</v>
      </c>
      <c r="N13" s="94" t="e">
        <f t="shared" ca="1" si="3"/>
        <v>#NAME?</v>
      </c>
      <c r="O13" s="147" t="e">
        <f ca="1">IF(K13="","",ROW(行数!A8))</f>
        <v>#NAME?</v>
      </c>
    </row>
    <row r="14" spans="2:15" x14ac:dyDescent="0.2">
      <c r="B14" s="146" t="e">
        <f t="shared" ca="1" si="4"/>
        <v>#REF!</v>
      </c>
      <c r="C14" s="180">
        <v>45419.715277777781</v>
      </c>
      <c r="D14" s="180">
        <v>45419.746527777781</v>
      </c>
      <c r="E14" s="80" t="s">
        <v>212</v>
      </c>
      <c r="F14" s="140">
        <f t="shared" si="5"/>
        <v>3.125E-2</v>
      </c>
      <c r="G14" s="147" t="e">
        <f t="shared" ca="1" si="6"/>
        <v>#REF!</v>
      </c>
      <c r="I14" s="146" t="e">
        <f ca="1">[0]!CSVVLookUP(ROW(行数!A9),配列!$C$7,運転予定時間,1,1)</f>
        <v>#NAME?</v>
      </c>
      <c r="J14" s="158" t="e">
        <f ca="1">[0]!CSVVLookUP(ROW(行数!A9),配列!$C$7,運転予定時間,2,1)</f>
        <v>#NAME?</v>
      </c>
      <c r="K14" s="117" t="e">
        <f ca="1">[0]!CSVVLookUP(ROW(行数!A9),配列!$C$7,運転予定時間,3,1)</f>
        <v>#NAME?</v>
      </c>
      <c r="L14" s="117" t="e">
        <f ca="1">[0]!CSVVLookUP(ROW(行数!A9),配列!$C$7,運転予定時間,4,1)</f>
        <v>#NAME?</v>
      </c>
      <c r="M14" s="94" t="e">
        <f ca="1">[0]!CSVVLookUP(ROW(行数!A9),配列!$C$7,運転予定時間,5,1)</f>
        <v>#NAME?</v>
      </c>
      <c r="N14" s="94" t="e">
        <f t="shared" ca="1" si="3"/>
        <v>#NAME?</v>
      </c>
      <c r="O14" s="147" t="e">
        <f ca="1">IF(K14="","",ROW(行数!A9))</f>
        <v>#NAME?</v>
      </c>
    </row>
    <row r="15" spans="2:15" x14ac:dyDescent="0.2">
      <c r="B15" s="146" t="e">
        <f t="shared" ca="1" si="4"/>
        <v>#REF!</v>
      </c>
      <c r="C15" s="180">
        <v>45421.404861111107</v>
      </c>
      <c r="D15" s="180">
        <v>45421.410416666673</v>
      </c>
      <c r="E15" s="80"/>
      <c r="F15" s="140">
        <f t="shared" si="5"/>
        <v>5.5555555555555558E-3</v>
      </c>
      <c r="G15" s="147" t="e">
        <f t="shared" ca="1" si="6"/>
        <v>#REF!</v>
      </c>
      <c r="I15" s="146" t="e">
        <f ca="1">[0]!CSVVLookUP(ROW(行数!A10),配列!$C$7,運転予定時間,1,1)</f>
        <v>#NAME?</v>
      </c>
      <c r="J15" s="158" t="e">
        <f ca="1">[0]!CSVVLookUP(ROW(行数!A10),配列!$C$7,運転予定時間,2,1)</f>
        <v>#NAME?</v>
      </c>
      <c r="K15" s="117" t="e">
        <f ca="1">[0]!CSVVLookUP(ROW(行数!A10),配列!$C$7,運転予定時間,3,1)</f>
        <v>#NAME?</v>
      </c>
      <c r="L15" s="117" t="e">
        <f ca="1">[0]!CSVVLookUP(ROW(行数!A10),配列!$C$7,運転予定時間,4,1)</f>
        <v>#NAME?</v>
      </c>
      <c r="M15" s="94" t="e">
        <f ca="1">[0]!CSVVLookUP(ROW(行数!A10),配列!$C$7,運転予定時間,5,1)</f>
        <v>#NAME?</v>
      </c>
      <c r="N15" s="94" t="e">
        <f t="shared" ca="1" si="3"/>
        <v>#NAME?</v>
      </c>
      <c r="O15" s="147" t="e">
        <f ca="1">IF(K15="","",ROW(行数!A10))</f>
        <v>#NAME?</v>
      </c>
    </row>
    <row r="16" spans="2:15" x14ac:dyDescent="0.2">
      <c r="B16" s="146" t="e">
        <f t="shared" ca="1" si="4"/>
        <v>#REF!</v>
      </c>
      <c r="C16" s="180">
        <v>45423.169444444437</v>
      </c>
      <c r="D16" s="180">
        <v>45423.17083333333</v>
      </c>
      <c r="E16" s="80"/>
      <c r="F16" s="140">
        <f t="shared" si="5"/>
        <v>1.3888888888888889E-3</v>
      </c>
      <c r="G16" s="147" t="e">
        <f t="shared" ca="1" si="6"/>
        <v>#REF!</v>
      </c>
      <c r="I16" s="146" t="e">
        <f ca="1">[0]!CSVVLookUP(ROW(行数!A11),配列!$C$7,運転予定時間,1,1)</f>
        <v>#NAME?</v>
      </c>
      <c r="J16" s="158" t="e">
        <f ca="1">[0]!CSVVLookUP(ROW(行数!A11),配列!$C$7,運転予定時間,2,1)</f>
        <v>#NAME?</v>
      </c>
      <c r="K16" s="117" t="e">
        <f ca="1">[0]!CSVVLookUP(ROW(行数!A11),配列!$C$7,運転予定時間,3,1)</f>
        <v>#NAME?</v>
      </c>
      <c r="L16" s="117" t="e">
        <f ca="1">[0]!CSVVLookUP(ROW(行数!A11),配列!$C$7,運転予定時間,4,1)</f>
        <v>#NAME?</v>
      </c>
      <c r="M16" s="94" t="e">
        <f ca="1">[0]!CSVVLookUP(ROW(行数!A11),配列!$C$7,運転予定時間,5,1)</f>
        <v>#NAME?</v>
      </c>
      <c r="N16" s="94" t="e">
        <f t="shared" ca="1" si="3"/>
        <v>#NAME?</v>
      </c>
      <c r="O16" s="147" t="e">
        <f ca="1">IF(K16="","",ROW(行数!A11))</f>
        <v>#NAME?</v>
      </c>
    </row>
    <row r="17" spans="2:15" x14ac:dyDescent="0.2">
      <c r="B17" s="146" t="e">
        <f t="shared" ca="1" si="4"/>
        <v>#REF!</v>
      </c>
      <c r="C17" s="180">
        <v>45432.427083333343</v>
      </c>
      <c r="D17" s="180">
        <v>45432.498611111107</v>
      </c>
      <c r="E17" s="80" t="s">
        <v>212</v>
      </c>
      <c r="F17" s="140">
        <f t="shared" si="5"/>
        <v>7.1527777777777787E-2</v>
      </c>
      <c r="G17" s="147" t="e">
        <f t="shared" ca="1" si="6"/>
        <v>#REF!</v>
      </c>
      <c r="I17" s="146" t="e">
        <f ca="1">[0]!CSVVLookUP(ROW(行数!A12),配列!$C$7,運転予定時間,1,1)</f>
        <v>#NAME?</v>
      </c>
      <c r="J17" s="158" t="e">
        <f ca="1">[0]!CSVVLookUP(ROW(行数!A12),配列!$C$7,運転予定時間,2,1)</f>
        <v>#NAME?</v>
      </c>
      <c r="K17" s="117" t="e">
        <f ca="1">[0]!CSVVLookUP(ROW(行数!A12),配列!$C$7,運転予定時間,3,1)</f>
        <v>#NAME?</v>
      </c>
      <c r="L17" s="117" t="e">
        <f ca="1">[0]!CSVVLookUP(ROW(行数!A12),配列!$C$7,運転予定時間,4,1)</f>
        <v>#NAME?</v>
      </c>
      <c r="M17" s="94" t="e">
        <f ca="1">[0]!CSVVLookUP(ROW(行数!A12),配列!$C$7,運転予定時間,5,1)</f>
        <v>#NAME?</v>
      </c>
      <c r="N17" s="94" t="e">
        <f t="shared" ca="1" si="3"/>
        <v>#NAME?</v>
      </c>
      <c r="O17" s="147" t="e">
        <f ca="1">IF(K17="","",ROW(行数!A12))</f>
        <v>#NAME?</v>
      </c>
    </row>
    <row r="18" spans="2:15" x14ac:dyDescent="0.2">
      <c r="B18" s="146" t="e">
        <f t="shared" ca="1" si="4"/>
        <v>#REF!</v>
      </c>
      <c r="C18" s="180">
        <v>45439.635416666657</v>
      </c>
      <c r="D18" s="180">
        <v>45439.636111111111</v>
      </c>
      <c r="E18" s="80"/>
      <c r="F18" s="140">
        <f t="shared" si="5"/>
        <v>6.9444444444444447E-4</v>
      </c>
      <c r="G18" s="147" t="e">
        <f t="shared" ca="1" si="6"/>
        <v>#REF!</v>
      </c>
      <c r="I18" s="146" t="e">
        <f ca="1">[0]!CSVVLookUP(ROW(行数!A13),配列!$C$7,運転予定時間,1,1)</f>
        <v>#NAME?</v>
      </c>
      <c r="J18" s="158" t="e">
        <f ca="1">[0]!CSVVLookUP(ROW(行数!A13),配列!$C$7,運転予定時間,2,1)</f>
        <v>#NAME?</v>
      </c>
      <c r="K18" s="117" t="e">
        <f ca="1">[0]!CSVVLookUP(ROW(行数!A13),配列!$C$7,運転予定時間,3,1)</f>
        <v>#NAME?</v>
      </c>
      <c r="L18" s="117" t="e">
        <f ca="1">[0]!CSVVLookUP(ROW(行数!A13),配列!$C$7,運転予定時間,4,1)</f>
        <v>#NAME?</v>
      </c>
      <c r="M18" s="94" t="e">
        <f ca="1">[0]!CSVVLookUP(ROW(行数!A13),配列!$C$7,運転予定時間,5,1)</f>
        <v>#NAME?</v>
      </c>
      <c r="N18" s="94" t="e">
        <f t="shared" ca="1" si="3"/>
        <v>#NAME?</v>
      </c>
      <c r="O18" s="147" t="e">
        <f ca="1">IF(K18="","",ROW(行数!A13))</f>
        <v>#NAME?</v>
      </c>
    </row>
    <row r="19" spans="2:15" x14ac:dyDescent="0.2">
      <c r="B19" s="146" t="e">
        <f t="shared" ca="1" si="4"/>
        <v>#REF!</v>
      </c>
      <c r="C19" s="180">
        <v>45446.518750000003</v>
      </c>
      <c r="D19" s="180">
        <v>45446.571527777778</v>
      </c>
      <c r="E19" s="80" t="s">
        <v>212</v>
      </c>
      <c r="F19" s="140">
        <f t="shared" si="5"/>
        <v>5.2777777777777778E-2</v>
      </c>
      <c r="G19" s="147" t="e">
        <f t="shared" ca="1" si="6"/>
        <v>#REF!</v>
      </c>
      <c r="I19" s="146" t="e">
        <f ca="1">[0]!CSVVLookUP(ROW(行数!A14),配列!$C$7,運転予定時間,1,1)</f>
        <v>#NAME?</v>
      </c>
      <c r="J19" s="158" t="e">
        <f ca="1">[0]!CSVVLookUP(ROW(行数!A14),配列!$C$7,運転予定時間,2,1)</f>
        <v>#NAME?</v>
      </c>
      <c r="K19" s="117" t="e">
        <f ca="1">[0]!CSVVLookUP(ROW(行数!A14),配列!$C$7,運転予定時間,3,1)</f>
        <v>#NAME?</v>
      </c>
      <c r="L19" s="117" t="e">
        <f ca="1">[0]!CSVVLookUP(ROW(行数!A14),配列!$C$7,運転予定時間,4,1)</f>
        <v>#NAME?</v>
      </c>
      <c r="M19" s="94" t="e">
        <f ca="1">[0]!CSVVLookUP(ROW(行数!A14),配列!$C$7,運転予定時間,5,1)</f>
        <v>#NAME?</v>
      </c>
      <c r="N19" s="94" t="e">
        <f t="shared" ca="1" si="3"/>
        <v>#NAME?</v>
      </c>
      <c r="O19" s="147" t="e">
        <f ca="1">IF(K19="","",ROW(行数!A14))</f>
        <v>#NAME?</v>
      </c>
    </row>
    <row r="20" spans="2:15" x14ac:dyDescent="0.2">
      <c r="B20" s="146" t="e">
        <f t="shared" ca="1" si="4"/>
        <v>#REF!</v>
      </c>
      <c r="C20" s="180">
        <v>45461.808333333327</v>
      </c>
      <c r="D20" s="180">
        <v>45461.809027777781</v>
      </c>
      <c r="E20" s="80"/>
      <c r="F20" s="140">
        <f t="shared" si="5"/>
        <v>6.9444444444444447E-4</v>
      </c>
      <c r="G20" s="147" t="e">
        <f t="shared" ca="1" si="6"/>
        <v>#REF!</v>
      </c>
      <c r="I20" s="146" t="e">
        <f ca="1">[0]!CSVVLookUP(ROW(行数!A15),配列!$C$7,運転予定時間,1,1)</f>
        <v>#NAME?</v>
      </c>
      <c r="J20" s="158" t="e">
        <f ca="1">[0]!CSVVLookUP(ROW(行数!A15),配列!$C$7,運転予定時間,2,1)</f>
        <v>#NAME?</v>
      </c>
      <c r="K20" s="117" t="e">
        <f ca="1">[0]!CSVVLookUP(ROW(行数!A15),配列!$C$7,運転予定時間,3,1)</f>
        <v>#NAME?</v>
      </c>
      <c r="L20" s="117" t="e">
        <f ca="1">[0]!CSVVLookUP(ROW(行数!A15),配列!$C$7,運転予定時間,4,1)</f>
        <v>#NAME?</v>
      </c>
      <c r="M20" s="94" t="e">
        <f ca="1">[0]!CSVVLookUP(ROW(行数!A15),配列!$C$7,運転予定時間,5,1)</f>
        <v>#NAME?</v>
      </c>
      <c r="N20" s="94" t="e">
        <f t="shared" ca="1" si="3"/>
        <v>#NAME?</v>
      </c>
      <c r="O20" s="147" t="e">
        <f ca="1">IF(K20="","",ROW(行数!A15))</f>
        <v>#NAME?</v>
      </c>
    </row>
    <row r="21" spans="2:15" x14ac:dyDescent="0.2">
      <c r="B21" s="146" t="e">
        <f t="shared" ca="1" si="4"/>
        <v>#REF!</v>
      </c>
      <c r="C21" s="180">
        <v>45461.809027777781</v>
      </c>
      <c r="D21" s="180">
        <v>45461.80972222222</v>
      </c>
      <c r="E21" s="80"/>
      <c r="F21" s="140">
        <f t="shared" si="5"/>
        <v>6.9444444444444447E-4</v>
      </c>
      <c r="G21" s="147" t="e">
        <f t="shared" ca="1" si="6"/>
        <v>#REF!</v>
      </c>
      <c r="I21" s="146" t="e">
        <f ca="1">[0]!CSVVLookUP(ROW(行数!A16),配列!$C$7,運転予定時間,1,1)</f>
        <v>#NAME?</v>
      </c>
      <c r="J21" s="158" t="e">
        <f ca="1">[0]!CSVVLookUP(ROW(行数!A16),配列!$C$7,運転予定時間,2,1)</f>
        <v>#NAME?</v>
      </c>
      <c r="K21" s="117" t="e">
        <f ca="1">[0]!CSVVLookUP(ROW(行数!A16),配列!$C$7,運転予定時間,3,1)</f>
        <v>#NAME?</v>
      </c>
      <c r="L21" s="117" t="e">
        <f ca="1">[0]!CSVVLookUP(ROW(行数!A16),配列!$C$7,運転予定時間,4,1)</f>
        <v>#NAME?</v>
      </c>
      <c r="M21" s="94" t="e">
        <f ca="1">[0]!CSVVLookUP(ROW(行数!A16),配列!$C$7,運転予定時間,5,1)</f>
        <v>#NAME?</v>
      </c>
      <c r="N21" s="94" t="e">
        <f t="shared" ca="1" si="3"/>
        <v>#NAME?</v>
      </c>
      <c r="O21" s="147" t="e">
        <f ca="1">IF(K21="","",ROW(行数!A16))</f>
        <v>#NAME?</v>
      </c>
    </row>
    <row r="22" spans="2:15" x14ac:dyDescent="0.2">
      <c r="B22" s="146" t="e">
        <f t="shared" ca="1" si="4"/>
        <v>#REF!</v>
      </c>
      <c r="C22" s="180">
        <v>45461.80972222222</v>
      </c>
      <c r="D22" s="180">
        <v>45461.811111111107</v>
      </c>
      <c r="E22" s="80"/>
      <c r="F22" s="140">
        <f t="shared" si="5"/>
        <v>1.3888888888888889E-3</v>
      </c>
      <c r="G22" s="147" t="e">
        <f t="shared" ca="1" si="6"/>
        <v>#REF!</v>
      </c>
      <c r="I22" s="146" t="e">
        <f ca="1">[0]!CSVVLookUP(ROW(行数!A17),配列!$C$7,運転予定時間,1,1)</f>
        <v>#NAME?</v>
      </c>
      <c r="J22" s="158" t="e">
        <f ca="1">[0]!CSVVLookUP(ROW(行数!A17),配列!$C$7,運転予定時間,2,1)</f>
        <v>#NAME?</v>
      </c>
      <c r="K22" s="117" t="e">
        <f ca="1">[0]!CSVVLookUP(ROW(行数!A17),配列!$C$7,運転予定時間,3,1)</f>
        <v>#NAME?</v>
      </c>
      <c r="L22" s="117" t="e">
        <f ca="1">[0]!CSVVLookUP(ROW(行数!A17),配列!$C$7,運転予定時間,4,1)</f>
        <v>#NAME?</v>
      </c>
      <c r="M22" s="94" t="e">
        <f ca="1">[0]!CSVVLookUP(ROW(行数!A17),配列!$C$7,運転予定時間,5,1)</f>
        <v>#NAME?</v>
      </c>
      <c r="N22" s="94" t="e">
        <f t="shared" ca="1" si="3"/>
        <v>#NAME?</v>
      </c>
      <c r="O22" s="147" t="e">
        <f ca="1">IF(K22="","",ROW(行数!A17))</f>
        <v>#NAME?</v>
      </c>
    </row>
    <row r="23" spans="2:15" x14ac:dyDescent="0.2">
      <c r="B23" s="146" t="e">
        <f t="shared" ca="1" si="4"/>
        <v>#REF!</v>
      </c>
      <c r="C23" s="180">
        <v>45467.50277777778</v>
      </c>
      <c r="D23" s="180">
        <v>45467.503472222219</v>
      </c>
      <c r="E23" s="80"/>
      <c r="F23" s="140">
        <f t="shared" si="5"/>
        <v>6.9444444444444447E-4</v>
      </c>
      <c r="G23" s="147" t="e">
        <f t="shared" ca="1" si="6"/>
        <v>#REF!</v>
      </c>
      <c r="I23" s="146" t="e">
        <f ca="1">[0]!CSVVLookUP(ROW(行数!A18),配列!$C$7,運転予定時間,1,1)</f>
        <v>#NAME?</v>
      </c>
      <c r="J23" s="158" t="e">
        <f ca="1">[0]!CSVVLookUP(ROW(行数!A18),配列!$C$7,運転予定時間,2,1)</f>
        <v>#NAME?</v>
      </c>
      <c r="K23" s="117" t="e">
        <f ca="1">[0]!CSVVLookUP(ROW(行数!A18),配列!$C$7,運転予定時間,3,1)</f>
        <v>#NAME?</v>
      </c>
      <c r="L23" s="117" t="e">
        <f ca="1">[0]!CSVVLookUP(ROW(行数!A18),配列!$C$7,運転予定時間,4,1)</f>
        <v>#NAME?</v>
      </c>
      <c r="M23" s="94" t="e">
        <f ca="1">[0]!CSVVLookUP(ROW(行数!A18),配列!$C$7,運転予定時間,5,1)</f>
        <v>#NAME?</v>
      </c>
      <c r="N23" s="94" t="e">
        <f t="shared" ca="1" si="3"/>
        <v>#NAME?</v>
      </c>
      <c r="O23" s="147" t="e">
        <f ca="1">IF(K23="","",ROW(行数!A18))</f>
        <v>#NAME?</v>
      </c>
    </row>
    <row r="24" spans="2:15" x14ac:dyDescent="0.2">
      <c r="B24" s="146" t="e">
        <f t="shared" ca="1" si="4"/>
        <v>#REF!</v>
      </c>
      <c r="C24" s="180">
        <v>45467.943055555559</v>
      </c>
      <c r="D24" s="180">
        <v>45467.943749999999</v>
      </c>
      <c r="E24" s="80"/>
      <c r="F24" s="140">
        <f t="shared" si="5"/>
        <v>6.9444444444444447E-4</v>
      </c>
      <c r="G24" s="147" t="e">
        <f t="shared" ca="1" si="6"/>
        <v>#REF!</v>
      </c>
      <c r="I24" s="146" t="e">
        <f ca="1">[0]!CSVVLookUP(ROW(行数!A19),配列!$C$7,運転予定時間,1,1)</f>
        <v>#NAME?</v>
      </c>
      <c r="J24" s="158" t="e">
        <f ca="1">[0]!CSVVLookUP(ROW(行数!A19),配列!$C$7,運転予定時間,2,1)</f>
        <v>#NAME?</v>
      </c>
      <c r="K24" s="117" t="e">
        <f ca="1">[0]!CSVVLookUP(ROW(行数!A19),配列!$C$7,運転予定時間,3,1)</f>
        <v>#NAME?</v>
      </c>
      <c r="L24" s="117" t="e">
        <f ca="1">[0]!CSVVLookUP(ROW(行数!A19),配列!$C$7,運転予定時間,4,1)</f>
        <v>#NAME?</v>
      </c>
      <c r="M24" s="94" t="e">
        <f ca="1">[0]!CSVVLookUP(ROW(行数!A19),配列!$C$7,運転予定時間,5,1)</f>
        <v>#NAME?</v>
      </c>
      <c r="N24" s="94" t="e">
        <f t="shared" ca="1" si="3"/>
        <v>#NAME?</v>
      </c>
      <c r="O24" s="147" t="e">
        <f ca="1">IF(K24="","",ROW(行数!A19))</f>
        <v>#NAME?</v>
      </c>
    </row>
    <row r="25" spans="2:15" x14ac:dyDescent="0.2">
      <c r="B25" s="146" t="e">
        <f t="shared" ca="1" si="4"/>
        <v>#REF!</v>
      </c>
      <c r="C25" s="180">
        <v>45472.349305555559</v>
      </c>
      <c r="D25" s="180">
        <v>45472.350694444453</v>
      </c>
      <c r="E25" s="80"/>
      <c r="F25" s="140">
        <f t="shared" si="5"/>
        <v>1.3888888888888889E-3</v>
      </c>
      <c r="G25" s="147" t="e">
        <f t="shared" ca="1" si="6"/>
        <v>#REF!</v>
      </c>
      <c r="I25" s="146" t="e">
        <f ca="1">[0]!CSVVLookUP(ROW(行数!A20),配列!$C$7,運転予定時間,1,1)</f>
        <v>#NAME?</v>
      </c>
      <c r="J25" s="158" t="e">
        <f ca="1">[0]!CSVVLookUP(ROW(行数!A20),配列!$C$7,運転予定時間,2,1)</f>
        <v>#NAME?</v>
      </c>
      <c r="K25" s="117" t="e">
        <f ca="1">[0]!CSVVLookUP(ROW(行数!A20),配列!$C$7,運転予定時間,3,1)</f>
        <v>#NAME?</v>
      </c>
      <c r="L25" s="117" t="e">
        <f ca="1">[0]!CSVVLookUP(ROW(行数!A20),配列!$C$7,運転予定時間,4,1)</f>
        <v>#NAME?</v>
      </c>
      <c r="M25" s="94" t="e">
        <f ca="1">[0]!CSVVLookUP(ROW(行数!A20),配列!$C$7,運転予定時間,5,1)</f>
        <v>#NAME?</v>
      </c>
      <c r="N25" s="94" t="e">
        <f t="shared" ca="1" si="3"/>
        <v>#NAME?</v>
      </c>
      <c r="O25" s="147" t="e">
        <f ca="1">IF(K25="","",ROW(行数!A20))</f>
        <v>#NAME?</v>
      </c>
    </row>
    <row r="26" spans="2:15" x14ac:dyDescent="0.2">
      <c r="B26" s="146" t="e">
        <f t="shared" ca="1" si="4"/>
        <v>#REF!</v>
      </c>
      <c r="C26" s="180">
        <v>45473.255555555559</v>
      </c>
      <c r="D26" s="180">
        <v>45473.273611111108</v>
      </c>
      <c r="E26" s="80"/>
      <c r="F26" s="140">
        <f t="shared" si="5"/>
        <v>1.8055555555555557E-2</v>
      </c>
      <c r="G26" s="147" t="e">
        <f t="shared" ca="1" si="6"/>
        <v>#REF!</v>
      </c>
      <c r="I26" s="146" t="e">
        <f ca="1">[0]!CSVVLookUP(ROW(行数!A21),配列!$C$7,運転予定時間,1,1)</f>
        <v>#NAME?</v>
      </c>
      <c r="J26" s="158" t="e">
        <f ca="1">[0]!CSVVLookUP(ROW(行数!A21),配列!$C$7,運転予定時間,2,1)</f>
        <v>#NAME?</v>
      </c>
      <c r="K26" s="117" t="e">
        <f ca="1">[0]!CSVVLookUP(ROW(行数!A21),配列!$C$7,運転予定時間,3,1)</f>
        <v>#NAME?</v>
      </c>
      <c r="L26" s="117" t="e">
        <f ca="1">[0]!CSVVLookUP(ROW(行数!A21),配列!$C$7,運転予定時間,4,1)</f>
        <v>#NAME?</v>
      </c>
      <c r="M26" s="94" t="e">
        <f ca="1">[0]!CSVVLookUP(ROW(行数!A21),配列!$C$7,運転予定時間,5,1)</f>
        <v>#NAME?</v>
      </c>
      <c r="N26" s="94" t="e">
        <f t="shared" ca="1" si="3"/>
        <v>#NAME?</v>
      </c>
      <c r="O26" s="147" t="e">
        <f ca="1">IF(K26="","",ROW(行数!A21))</f>
        <v>#NAME?</v>
      </c>
    </row>
    <row r="27" spans="2:15" x14ac:dyDescent="0.2">
      <c r="B27" s="146" t="e">
        <f t="shared" ca="1" si="4"/>
        <v>#REF!</v>
      </c>
      <c r="C27" s="180">
        <v>45474.656944444447</v>
      </c>
      <c r="D27" s="180">
        <v>45474.658333333333</v>
      </c>
      <c r="E27" s="80"/>
      <c r="F27" s="140">
        <f t="shared" si="5"/>
        <v>1.3888888888888889E-3</v>
      </c>
      <c r="G27" s="147" t="e">
        <f t="shared" ca="1" si="6"/>
        <v>#REF!</v>
      </c>
      <c r="I27" s="146" t="e">
        <f ca="1">[0]!CSVVLookUP(ROW(行数!A22),配列!$C$7,運転予定時間,1,1)</f>
        <v>#NAME?</v>
      </c>
      <c r="J27" s="158" t="e">
        <f ca="1">[0]!CSVVLookUP(ROW(行数!A22),配列!$C$7,運転予定時間,2,1)</f>
        <v>#NAME?</v>
      </c>
      <c r="K27" s="117" t="e">
        <f ca="1">[0]!CSVVLookUP(ROW(行数!A22),配列!$C$7,運転予定時間,3,1)</f>
        <v>#NAME?</v>
      </c>
      <c r="L27" s="117" t="e">
        <f ca="1">[0]!CSVVLookUP(ROW(行数!A22),配列!$C$7,運転予定時間,4,1)</f>
        <v>#NAME?</v>
      </c>
      <c r="M27" s="94" t="e">
        <f ca="1">[0]!CSVVLookUP(ROW(行数!A22),配列!$C$7,運転予定時間,5,1)</f>
        <v>#NAME?</v>
      </c>
      <c r="N27" s="94" t="e">
        <f t="shared" ca="1" si="3"/>
        <v>#NAME?</v>
      </c>
      <c r="O27" s="147" t="e">
        <f ca="1">IF(K27="","",ROW(行数!A22))</f>
        <v>#NAME?</v>
      </c>
    </row>
    <row r="28" spans="2:15" x14ac:dyDescent="0.2">
      <c r="B28" s="146" t="e">
        <f t="shared" ca="1" si="4"/>
        <v>#REF!</v>
      </c>
      <c r="C28" s="180">
        <v>45474.659722222219</v>
      </c>
      <c r="D28" s="180">
        <v>45474.661111111112</v>
      </c>
      <c r="E28" s="80"/>
      <c r="F28" s="140">
        <f t="shared" si="5"/>
        <v>1.3888888888888889E-3</v>
      </c>
      <c r="G28" s="147" t="e">
        <f t="shared" ca="1" si="6"/>
        <v>#REF!</v>
      </c>
      <c r="I28" s="146" t="e">
        <f ca="1">[0]!CSVVLookUP(ROW(行数!A23),配列!$C$7,運転予定時間,1,1)</f>
        <v>#NAME?</v>
      </c>
      <c r="J28" s="158" t="e">
        <f ca="1">[0]!CSVVLookUP(ROW(行数!A23),配列!$C$7,運転予定時間,2,1)</f>
        <v>#NAME?</v>
      </c>
      <c r="K28" s="117" t="e">
        <f ca="1">[0]!CSVVLookUP(ROW(行数!A23),配列!$C$7,運転予定時間,3,1)</f>
        <v>#NAME?</v>
      </c>
      <c r="L28" s="117" t="e">
        <f ca="1">[0]!CSVVLookUP(ROW(行数!A23),配列!$C$7,運転予定時間,4,1)</f>
        <v>#NAME?</v>
      </c>
      <c r="M28" s="94" t="e">
        <f ca="1">[0]!CSVVLookUP(ROW(行数!A23),配列!$C$7,運転予定時間,5,1)</f>
        <v>#NAME?</v>
      </c>
      <c r="N28" s="94" t="e">
        <f t="shared" ca="1" si="3"/>
        <v>#NAME?</v>
      </c>
      <c r="O28" s="147" t="e">
        <f ca="1">IF(K28="","",ROW(行数!A23))</f>
        <v>#NAME?</v>
      </c>
    </row>
    <row r="29" spans="2:15" x14ac:dyDescent="0.2">
      <c r="B29" s="146" t="e">
        <f t="shared" ca="1" si="4"/>
        <v>#REF!</v>
      </c>
      <c r="C29" s="180">
        <v>45474.661111111112</v>
      </c>
      <c r="D29" s="180">
        <v>45474.661805555559</v>
      </c>
      <c r="E29" s="80"/>
      <c r="F29" s="140">
        <f t="shared" si="5"/>
        <v>6.9444444444444447E-4</v>
      </c>
      <c r="G29" s="147" t="e">
        <f t="shared" ca="1" si="6"/>
        <v>#REF!</v>
      </c>
      <c r="I29" s="146" t="e">
        <f ca="1">[0]!CSVVLookUP(ROW(行数!A24),配列!$C$7,運転予定時間,1,1)</f>
        <v>#NAME?</v>
      </c>
      <c r="J29" s="158" t="e">
        <f ca="1">[0]!CSVVLookUP(ROW(行数!A24),配列!$C$7,運転予定時間,2,1)</f>
        <v>#NAME?</v>
      </c>
      <c r="K29" s="117" t="e">
        <f ca="1">[0]!CSVVLookUP(ROW(行数!A24),配列!$C$7,運転予定時間,3,1)</f>
        <v>#NAME?</v>
      </c>
      <c r="L29" s="117" t="e">
        <f ca="1">[0]!CSVVLookUP(ROW(行数!A24),配列!$C$7,運転予定時間,4,1)</f>
        <v>#NAME?</v>
      </c>
      <c r="M29" s="94" t="e">
        <f ca="1">[0]!CSVVLookUP(ROW(行数!A24),配列!$C$7,運転予定時間,5,1)</f>
        <v>#NAME?</v>
      </c>
      <c r="N29" s="94" t="e">
        <f t="shared" ca="1" si="3"/>
        <v>#NAME?</v>
      </c>
      <c r="O29" s="147" t="e">
        <f ca="1">IF(K29="","",ROW(行数!A24))</f>
        <v>#NAME?</v>
      </c>
    </row>
    <row r="30" spans="2:15" x14ac:dyDescent="0.2">
      <c r="B30" s="146" t="e">
        <f t="shared" ca="1" si="4"/>
        <v>#REF!</v>
      </c>
      <c r="C30" s="180">
        <v>45474.667361111111</v>
      </c>
      <c r="D30" s="180">
        <v>45474.668749999997</v>
      </c>
      <c r="E30" s="80"/>
      <c r="F30" s="140">
        <f t="shared" si="5"/>
        <v>1.3888888888888889E-3</v>
      </c>
      <c r="G30" s="147" t="e">
        <f t="shared" ca="1" si="6"/>
        <v>#REF!</v>
      </c>
      <c r="I30" s="146" t="e">
        <f ca="1">[0]!CSVVLookUP(ROW(行数!A25),配列!$C$7,運転予定時間,1,1)</f>
        <v>#NAME?</v>
      </c>
      <c r="J30" s="158" t="e">
        <f ca="1">[0]!CSVVLookUP(ROW(行数!A25),配列!$C$7,運転予定時間,2,1)</f>
        <v>#NAME?</v>
      </c>
      <c r="K30" s="117" t="e">
        <f ca="1">[0]!CSVVLookUP(ROW(行数!A25),配列!$C$7,運転予定時間,3,1)</f>
        <v>#NAME?</v>
      </c>
      <c r="L30" s="117" t="e">
        <f ca="1">[0]!CSVVLookUP(ROW(行数!A25),配列!$C$7,運転予定時間,4,1)</f>
        <v>#NAME?</v>
      </c>
      <c r="M30" s="94" t="e">
        <f ca="1">[0]!CSVVLookUP(ROW(行数!A25),配列!$C$7,運転予定時間,5,1)</f>
        <v>#NAME?</v>
      </c>
      <c r="N30" s="94" t="e">
        <f t="shared" ca="1" si="3"/>
        <v>#NAME?</v>
      </c>
      <c r="O30" s="147" t="e">
        <f ca="1">IF(K30="","",ROW(行数!A25))</f>
        <v>#NAME?</v>
      </c>
    </row>
    <row r="31" spans="2:15" x14ac:dyDescent="0.2">
      <c r="B31" s="146" t="e">
        <f t="shared" ca="1" si="4"/>
        <v>#REF!</v>
      </c>
      <c r="C31" s="180">
        <v>45474.668749999997</v>
      </c>
      <c r="D31" s="180">
        <v>45474.670138888891</v>
      </c>
      <c r="E31" s="80"/>
      <c r="F31" s="140">
        <f t="shared" si="5"/>
        <v>1.3888888888888889E-3</v>
      </c>
      <c r="G31" s="147" t="e">
        <f t="shared" ca="1" si="6"/>
        <v>#REF!</v>
      </c>
      <c r="I31" s="146" t="e">
        <f ca="1">[0]!CSVVLookUP(ROW(行数!A26),配列!$C$7,運転予定時間,1,1)</f>
        <v>#NAME?</v>
      </c>
      <c r="J31" s="158" t="e">
        <f ca="1">[0]!CSVVLookUP(ROW(行数!A26),配列!$C$7,運転予定時間,2,1)</f>
        <v>#NAME?</v>
      </c>
      <c r="K31" s="117" t="e">
        <f ca="1">[0]!CSVVLookUP(ROW(行数!A26),配列!$C$7,運転予定時間,3,1)</f>
        <v>#NAME?</v>
      </c>
      <c r="L31" s="117" t="e">
        <f ca="1">[0]!CSVVLookUP(ROW(行数!A26),配列!$C$7,運転予定時間,4,1)</f>
        <v>#NAME?</v>
      </c>
      <c r="M31" s="94" t="e">
        <f ca="1">[0]!CSVVLookUP(ROW(行数!A26),配列!$C$7,運転予定時間,5,1)</f>
        <v>#NAME?</v>
      </c>
      <c r="N31" s="94" t="e">
        <f t="shared" ca="1" si="3"/>
        <v>#NAME?</v>
      </c>
      <c r="O31" s="147" t="e">
        <f ca="1">IF(K31="","",ROW(行数!A26))</f>
        <v>#NAME?</v>
      </c>
    </row>
    <row r="32" spans="2:15" x14ac:dyDescent="0.2">
      <c r="B32" s="146" t="e">
        <f t="shared" ca="1" si="4"/>
        <v>#REF!</v>
      </c>
      <c r="C32" s="180">
        <v>45474.713888888888</v>
      </c>
      <c r="D32" s="180">
        <v>45474.714583333327</v>
      </c>
      <c r="E32" s="80"/>
      <c r="F32" s="140">
        <f t="shared" si="5"/>
        <v>6.9444444444444447E-4</v>
      </c>
      <c r="G32" s="147" t="e">
        <f t="shared" ca="1" si="6"/>
        <v>#REF!</v>
      </c>
      <c r="I32" s="146" t="e">
        <f ca="1">[0]!CSVVLookUP(ROW(行数!A27),配列!$C$7,運転予定時間,1,1)</f>
        <v>#NAME?</v>
      </c>
      <c r="J32" s="158" t="e">
        <f ca="1">[0]!CSVVLookUP(ROW(行数!A27),配列!$C$7,運転予定時間,2,1)</f>
        <v>#NAME?</v>
      </c>
      <c r="K32" s="117" t="e">
        <f ca="1">[0]!CSVVLookUP(ROW(行数!A27),配列!$C$7,運転予定時間,3,1)</f>
        <v>#NAME?</v>
      </c>
      <c r="L32" s="117" t="e">
        <f ca="1">[0]!CSVVLookUP(ROW(行数!A27),配列!$C$7,運転予定時間,4,1)</f>
        <v>#NAME?</v>
      </c>
      <c r="M32" s="94" t="e">
        <f ca="1">[0]!CSVVLookUP(ROW(行数!A27),配列!$C$7,運転予定時間,5,1)</f>
        <v>#NAME?</v>
      </c>
      <c r="N32" s="94" t="e">
        <f t="shared" ca="1" si="3"/>
        <v>#NAME?</v>
      </c>
      <c r="O32" s="147" t="e">
        <f ca="1">IF(K32="","",ROW(行数!A27))</f>
        <v>#NAME?</v>
      </c>
    </row>
    <row r="33" spans="2:15" x14ac:dyDescent="0.2">
      <c r="B33" s="146" t="e">
        <f t="shared" ca="1" si="4"/>
        <v>#REF!</v>
      </c>
      <c r="C33" s="180">
        <v>45474.790277777778</v>
      </c>
      <c r="D33" s="180">
        <v>45474.790972222218</v>
      </c>
      <c r="E33" s="80"/>
      <c r="F33" s="140">
        <f t="shared" si="5"/>
        <v>6.9444444444444447E-4</v>
      </c>
      <c r="G33" s="147" t="e">
        <f t="shared" ca="1" si="6"/>
        <v>#REF!</v>
      </c>
      <c r="I33" s="146" t="e">
        <f ca="1">[0]!CSVVLookUP(ROW(行数!A28),配列!$C$7,運転予定時間,1,1)</f>
        <v>#NAME?</v>
      </c>
      <c r="J33" s="158" t="e">
        <f ca="1">[0]!CSVVLookUP(ROW(行数!A28),配列!$C$7,運転予定時間,2,1)</f>
        <v>#NAME?</v>
      </c>
      <c r="K33" s="117" t="e">
        <f ca="1">[0]!CSVVLookUP(ROW(行数!A28),配列!$C$7,運転予定時間,3,1)</f>
        <v>#NAME?</v>
      </c>
      <c r="L33" s="117" t="e">
        <f ca="1">[0]!CSVVLookUP(ROW(行数!A28),配列!$C$7,運転予定時間,4,1)</f>
        <v>#NAME?</v>
      </c>
      <c r="M33" s="94" t="e">
        <f ca="1">[0]!CSVVLookUP(ROW(行数!A28),配列!$C$7,運転予定時間,5,1)</f>
        <v>#NAME?</v>
      </c>
      <c r="N33" s="94" t="e">
        <f t="shared" ca="1" si="3"/>
        <v>#NAME?</v>
      </c>
      <c r="O33" s="147" t="e">
        <f ca="1">IF(K33="","",ROW(行数!A28))</f>
        <v>#NAME?</v>
      </c>
    </row>
    <row r="34" spans="2:15" x14ac:dyDescent="0.2">
      <c r="B34" s="146" t="e">
        <f t="shared" ca="1" si="4"/>
        <v>#REF!</v>
      </c>
      <c r="C34" s="180">
        <v>45474.875</v>
      </c>
      <c r="D34" s="180">
        <v>45474.875694444447</v>
      </c>
      <c r="E34" s="80"/>
      <c r="F34" s="140">
        <f t="shared" si="5"/>
        <v>6.9444444444444447E-4</v>
      </c>
      <c r="G34" s="147" t="e">
        <f t="shared" ca="1" si="6"/>
        <v>#REF!</v>
      </c>
      <c r="I34" s="146" t="e">
        <f ca="1">[0]!CSVVLookUP(ROW(行数!A29),配列!$C$7,運転予定時間,1,1)</f>
        <v>#NAME?</v>
      </c>
      <c r="J34" s="158" t="e">
        <f ca="1">[0]!CSVVLookUP(ROW(行数!A29),配列!$C$7,運転予定時間,2,1)</f>
        <v>#NAME?</v>
      </c>
      <c r="K34" s="117" t="e">
        <f ca="1">[0]!CSVVLookUP(ROW(行数!A29),配列!$C$7,運転予定時間,3,1)</f>
        <v>#NAME?</v>
      </c>
      <c r="L34" s="117" t="e">
        <f ca="1">[0]!CSVVLookUP(ROW(行数!A29),配列!$C$7,運転予定時間,4,1)</f>
        <v>#NAME?</v>
      </c>
      <c r="M34" s="94" t="e">
        <f ca="1">[0]!CSVVLookUP(ROW(行数!A29),配列!$C$7,運転予定時間,5,1)</f>
        <v>#NAME?</v>
      </c>
      <c r="N34" s="94" t="e">
        <f t="shared" ca="1" si="3"/>
        <v>#NAME?</v>
      </c>
      <c r="O34" s="147" t="e">
        <f ca="1">IF(K34="","",ROW(行数!A29))</f>
        <v>#NAME?</v>
      </c>
    </row>
    <row r="35" spans="2:15" x14ac:dyDescent="0.2">
      <c r="B35" s="146" t="e">
        <f t="shared" ca="1" si="4"/>
        <v>#REF!</v>
      </c>
      <c r="C35" s="180">
        <v>45474.902083333327</v>
      </c>
      <c r="D35" s="180">
        <v>45474.90347222222</v>
      </c>
      <c r="E35" s="80"/>
      <c r="F35" s="140">
        <f t="shared" si="5"/>
        <v>1.3888888888888889E-3</v>
      </c>
      <c r="G35" s="147" t="e">
        <f t="shared" ca="1" si="6"/>
        <v>#REF!</v>
      </c>
      <c r="I35" s="146" t="e">
        <f ca="1">[0]!CSVVLookUP(ROW(行数!A30),配列!$C$7,運転予定時間,1,1)</f>
        <v>#NAME?</v>
      </c>
      <c r="J35" s="158" t="e">
        <f ca="1">[0]!CSVVLookUP(ROW(行数!A30),配列!$C$7,運転予定時間,2,1)</f>
        <v>#NAME?</v>
      </c>
      <c r="K35" s="117" t="e">
        <f ca="1">[0]!CSVVLookUP(ROW(行数!A30),配列!$C$7,運転予定時間,3,1)</f>
        <v>#NAME?</v>
      </c>
      <c r="L35" s="117" t="e">
        <f ca="1">[0]!CSVVLookUP(ROW(行数!A30),配列!$C$7,運転予定時間,4,1)</f>
        <v>#NAME?</v>
      </c>
      <c r="M35" s="94" t="e">
        <f ca="1">[0]!CSVVLookUP(ROW(行数!A30),配列!$C$7,運転予定時間,5,1)</f>
        <v>#NAME?</v>
      </c>
      <c r="N35" s="94" t="e">
        <f t="shared" ca="1" si="3"/>
        <v>#NAME?</v>
      </c>
      <c r="O35" s="147" t="e">
        <f ca="1">IF(K35="","",ROW(行数!A30))</f>
        <v>#NAME?</v>
      </c>
    </row>
    <row r="36" spans="2:15" x14ac:dyDescent="0.2">
      <c r="B36" s="146" t="e">
        <f t="shared" ca="1" si="4"/>
        <v>#REF!</v>
      </c>
      <c r="C36" s="180">
        <v>45474.917361111111</v>
      </c>
      <c r="D36" s="180">
        <v>45474.918055555558</v>
      </c>
      <c r="E36" s="80"/>
      <c r="F36" s="140">
        <f t="shared" si="5"/>
        <v>6.9444444444444447E-4</v>
      </c>
      <c r="G36" s="147" t="e">
        <f t="shared" ca="1" si="6"/>
        <v>#REF!</v>
      </c>
      <c r="I36" s="146" t="e">
        <f ca="1">[0]!CSVVLookUP(ROW(行数!A31),配列!$C$7,運転予定時間,1,1)</f>
        <v>#NAME?</v>
      </c>
      <c r="J36" s="158" t="e">
        <f ca="1">[0]!CSVVLookUP(ROW(行数!A31),配列!$C$7,運転予定時間,2,1)</f>
        <v>#NAME?</v>
      </c>
      <c r="K36" s="117" t="e">
        <f ca="1">[0]!CSVVLookUP(ROW(行数!A31),配列!$C$7,運転予定時間,3,1)</f>
        <v>#NAME?</v>
      </c>
      <c r="L36" s="117" t="e">
        <f ca="1">[0]!CSVVLookUP(ROW(行数!A31),配列!$C$7,運転予定時間,4,1)</f>
        <v>#NAME?</v>
      </c>
      <c r="M36" s="94" t="e">
        <f ca="1">[0]!CSVVLookUP(ROW(行数!A31),配列!$C$7,運転予定時間,5,1)</f>
        <v>#NAME?</v>
      </c>
      <c r="N36" s="94" t="e">
        <f t="shared" ca="1" si="3"/>
        <v>#NAME?</v>
      </c>
      <c r="O36" s="147" t="e">
        <f ca="1">IF(K36="","",ROW(行数!A31))</f>
        <v>#NAME?</v>
      </c>
    </row>
    <row r="37" spans="2:15" x14ac:dyDescent="0.2">
      <c r="B37" s="146" t="e">
        <f t="shared" ca="1" si="4"/>
        <v>#REF!</v>
      </c>
      <c r="C37" s="180">
        <v>45474.992361111108</v>
      </c>
      <c r="D37" s="180">
        <v>45474.993055555547</v>
      </c>
      <c r="E37" s="80"/>
      <c r="F37" s="140">
        <f t="shared" si="5"/>
        <v>6.9444444444444447E-4</v>
      </c>
      <c r="G37" s="147" t="e">
        <f t="shared" ca="1" si="6"/>
        <v>#REF!</v>
      </c>
      <c r="I37" s="146" t="e">
        <f ca="1">[0]!CSVVLookUP(ROW(行数!A32),配列!$C$7,運転予定時間,1,1)</f>
        <v>#NAME?</v>
      </c>
      <c r="J37" s="158" t="e">
        <f ca="1">[0]!CSVVLookUP(ROW(行数!A32),配列!$C$7,運転予定時間,2,1)</f>
        <v>#NAME?</v>
      </c>
      <c r="K37" s="117" t="e">
        <f ca="1">[0]!CSVVLookUP(ROW(行数!A32),配列!$C$7,運転予定時間,3,1)</f>
        <v>#NAME?</v>
      </c>
      <c r="L37" s="117" t="e">
        <f ca="1">[0]!CSVVLookUP(ROW(行数!A32),配列!$C$7,運転予定時間,4,1)</f>
        <v>#NAME?</v>
      </c>
      <c r="M37" s="94" t="e">
        <f ca="1">[0]!CSVVLookUP(ROW(行数!A32),配列!$C$7,運転予定時間,5,1)</f>
        <v>#NAME?</v>
      </c>
      <c r="N37" s="94" t="e">
        <f t="shared" ca="1" si="3"/>
        <v>#NAME?</v>
      </c>
      <c r="O37" s="147" t="e">
        <f ca="1">IF(K37="","",ROW(行数!A32))</f>
        <v>#NAME?</v>
      </c>
    </row>
    <row r="38" spans="2:15" x14ac:dyDescent="0.2">
      <c r="B38" s="146" t="e">
        <f t="shared" ca="1" si="4"/>
        <v>#REF!</v>
      </c>
      <c r="C38" s="180">
        <v>45475.224305555559</v>
      </c>
      <c r="D38" s="180">
        <v>45475.224999999999</v>
      </c>
      <c r="E38" s="80"/>
      <c r="F38" s="140">
        <f t="shared" si="5"/>
        <v>6.9444444444444447E-4</v>
      </c>
      <c r="G38" s="147" t="e">
        <f t="shared" ca="1" si="6"/>
        <v>#REF!</v>
      </c>
      <c r="I38" s="146" t="e">
        <f ca="1">[0]!CSVVLookUP(ROW(行数!A33),配列!$C$7,運転予定時間,1,1)</f>
        <v>#NAME?</v>
      </c>
      <c r="J38" s="158" t="e">
        <f ca="1">[0]!CSVVLookUP(ROW(行数!A33),配列!$C$7,運転予定時間,2,1)</f>
        <v>#NAME?</v>
      </c>
      <c r="K38" s="117" t="e">
        <f ca="1">[0]!CSVVLookUP(ROW(行数!A33),配列!$C$7,運転予定時間,3,1)</f>
        <v>#NAME?</v>
      </c>
      <c r="L38" s="117" t="e">
        <f ca="1">[0]!CSVVLookUP(ROW(行数!A33),配列!$C$7,運転予定時間,4,1)</f>
        <v>#NAME?</v>
      </c>
      <c r="M38" s="94" t="e">
        <f ca="1">[0]!CSVVLookUP(ROW(行数!A33),配列!$C$7,運転予定時間,5,1)</f>
        <v>#NAME?</v>
      </c>
      <c r="N38" s="94" t="e">
        <f t="shared" ref="N38:N69" ca="1" si="7">IF(K38="","",SUMIF($G$6:$G$841,O38,$F$6:$F$841))</f>
        <v>#NAME?</v>
      </c>
      <c r="O38" s="147" t="e">
        <f ca="1">IF(K38="","",ROW(行数!A33))</f>
        <v>#NAME?</v>
      </c>
    </row>
    <row r="39" spans="2:15" x14ac:dyDescent="0.2">
      <c r="B39" s="146" t="e">
        <f t="shared" ca="1" si="4"/>
        <v>#REF!</v>
      </c>
      <c r="C39" s="180">
        <v>45475.254861111112</v>
      </c>
      <c r="D39" s="180">
        <v>45475.255555555559</v>
      </c>
      <c r="E39" s="80"/>
      <c r="F39" s="140">
        <f t="shared" si="5"/>
        <v>6.9444444444444447E-4</v>
      </c>
      <c r="G39" s="147" t="e">
        <f t="shared" ca="1" si="6"/>
        <v>#REF!</v>
      </c>
      <c r="I39" s="146" t="e">
        <f ca="1">[0]!CSVVLookUP(ROW(行数!A34),配列!$C$7,運転予定時間,1,1)</f>
        <v>#NAME?</v>
      </c>
      <c r="J39" s="158" t="e">
        <f ca="1">[0]!CSVVLookUP(ROW(行数!A34),配列!$C$7,運転予定時間,2,1)</f>
        <v>#NAME?</v>
      </c>
      <c r="K39" s="117" t="e">
        <f ca="1">[0]!CSVVLookUP(ROW(行数!A34),配列!$C$7,運転予定時間,3,1)</f>
        <v>#NAME?</v>
      </c>
      <c r="L39" s="117" t="e">
        <f ca="1">[0]!CSVVLookUP(ROW(行数!A34),配列!$C$7,運転予定時間,4,1)</f>
        <v>#NAME?</v>
      </c>
      <c r="M39" s="94" t="e">
        <f ca="1">[0]!CSVVLookUP(ROW(行数!A34),配列!$C$7,運転予定時間,5,1)</f>
        <v>#NAME?</v>
      </c>
      <c r="N39" s="94" t="e">
        <f t="shared" ca="1" si="7"/>
        <v>#NAME?</v>
      </c>
      <c r="O39" s="147" t="e">
        <f ca="1">IF(K39="","",ROW(行数!A34))</f>
        <v>#NAME?</v>
      </c>
    </row>
    <row r="40" spans="2:15" x14ac:dyDescent="0.2">
      <c r="B40" s="146" t="e">
        <f t="shared" ca="1" si="4"/>
        <v>#REF!</v>
      </c>
      <c r="C40" s="180">
        <v>45475.311111111107</v>
      </c>
      <c r="D40" s="180">
        <v>45475.311805555553</v>
      </c>
      <c r="E40" s="80"/>
      <c r="F40" s="140">
        <f t="shared" si="5"/>
        <v>6.9444444444444447E-4</v>
      </c>
      <c r="G40" s="147" t="e">
        <f t="shared" ca="1" si="6"/>
        <v>#REF!</v>
      </c>
      <c r="I40" s="146" t="e">
        <f ca="1">[0]!CSVVLookUP(ROW(行数!A35),配列!$C$7,運転予定時間,1,1)</f>
        <v>#NAME?</v>
      </c>
      <c r="J40" s="158" t="e">
        <f ca="1">[0]!CSVVLookUP(ROW(行数!A35),配列!$C$7,運転予定時間,2,1)</f>
        <v>#NAME?</v>
      </c>
      <c r="K40" s="117" t="e">
        <f ca="1">[0]!CSVVLookUP(ROW(行数!A35),配列!$C$7,運転予定時間,3,1)</f>
        <v>#NAME?</v>
      </c>
      <c r="L40" s="117" t="e">
        <f ca="1">[0]!CSVVLookUP(ROW(行数!A35),配列!$C$7,運転予定時間,4,1)</f>
        <v>#NAME?</v>
      </c>
      <c r="M40" s="94" t="e">
        <f ca="1">[0]!CSVVLookUP(ROW(行数!A35),配列!$C$7,運転予定時間,5,1)</f>
        <v>#NAME?</v>
      </c>
      <c r="N40" s="94" t="e">
        <f t="shared" ca="1" si="7"/>
        <v>#NAME?</v>
      </c>
      <c r="O40" s="147" t="e">
        <f ca="1">IF(K40="","",ROW(行数!A35))</f>
        <v>#NAME?</v>
      </c>
    </row>
    <row r="41" spans="2:15" x14ac:dyDescent="0.2">
      <c r="B41" s="146" t="e">
        <f t="shared" ca="1" si="4"/>
        <v>#REF!</v>
      </c>
      <c r="C41" s="180">
        <v>45475.451388888891</v>
      </c>
      <c r="D41" s="180">
        <v>45475.45208333333</v>
      </c>
      <c r="E41" s="80"/>
      <c r="F41" s="140">
        <f t="shared" si="5"/>
        <v>6.9444444444444447E-4</v>
      </c>
      <c r="G41" s="147" t="e">
        <f t="shared" ca="1" si="6"/>
        <v>#REF!</v>
      </c>
      <c r="I41" s="146" t="e">
        <f ca="1">[0]!CSVVLookUP(ROW(行数!A36),配列!$C$7,運転予定時間,1,1)</f>
        <v>#NAME?</v>
      </c>
      <c r="J41" s="158" t="e">
        <f ca="1">[0]!CSVVLookUP(ROW(行数!A36),配列!$C$7,運転予定時間,2,1)</f>
        <v>#NAME?</v>
      </c>
      <c r="K41" s="117" t="e">
        <f ca="1">[0]!CSVVLookUP(ROW(行数!A36),配列!$C$7,運転予定時間,3,1)</f>
        <v>#NAME?</v>
      </c>
      <c r="L41" s="117" t="e">
        <f ca="1">[0]!CSVVLookUP(ROW(行数!A36),配列!$C$7,運転予定時間,4,1)</f>
        <v>#NAME?</v>
      </c>
      <c r="M41" s="94" t="e">
        <f ca="1">[0]!CSVVLookUP(ROW(行数!A36),配列!$C$7,運転予定時間,5,1)</f>
        <v>#NAME?</v>
      </c>
      <c r="N41" s="94" t="e">
        <f t="shared" ca="1" si="7"/>
        <v>#NAME?</v>
      </c>
      <c r="O41" s="147" t="e">
        <f ca="1">IF(K41="","",ROW(行数!A36))</f>
        <v>#NAME?</v>
      </c>
    </row>
    <row r="42" spans="2:15" x14ac:dyDescent="0.2">
      <c r="B42" s="146" t="e">
        <f t="shared" ca="1" si="4"/>
        <v>#REF!</v>
      </c>
      <c r="C42" s="180">
        <v>45475.464583333327</v>
      </c>
      <c r="D42" s="180">
        <v>45475.465277777781</v>
      </c>
      <c r="E42" s="80"/>
      <c r="F42" s="140">
        <f t="shared" si="5"/>
        <v>6.9444444444444447E-4</v>
      </c>
      <c r="G42" s="147" t="e">
        <f t="shared" ca="1" si="6"/>
        <v>#REF!</v>
      </c>
      <c r="I42" s="146" t="e">
        <f ca="1">[0]!CSVVLookUP(ROW(行数!A37),配列!$C$7,運転予定時間,1,1)</f>
        <v>#NAME?</v>
      </c>
      <c r="J42" s="158" t="e">
        <f ca="1">[0]!CSVVLookUP(ROW(行数!A37),配列!$C$7,運転予定時間,2,1)</f>
        <v>#NAME?</v>
      </c>
      <c r="K42" s="117" t="e">
        <f ca="1">[0]!CSVVLookUP(ROW(行数!A37),配列!$C$7,運転予定時間,3,1)</f>
        <v>#NAME?</v>
      </c>
      <c r="L42" s="117" t="e">
        <f ca="1">[0]!CSVVLookUP(ROW(行数!A37),配列!$C$7,運転予定時間,4,1)</f>
        <v>#NAME?</v>
      </c>
      <c r="M42" s="94" t="e">
        <f ca="1">[0]!CSVVLookUP(ROW(行数!A37),配列!$C$7,運転予定時間,5,1)</f>
        <v>#NAME?</v>
      </c>
      <c r="N42" s="94" t="e">
        <f t="shared" ca="1" si="7"/>
        <v>#NAME?</v>
      </c>
      <c r="O42" s="147" t="e">
        <f ca="1">IF(K42="","",ROW(行数!A37))</f>
        <v>#NAME?</v>
      </c>
    </row>
    <row r="43" spans="2:15" x14ac:dyDescent="0.2">
      <c r="B43" s="146" t="e">
        <f t="shared" ca="1" si="4"/>
        <v>#REF!</v>
      </c>
      <c r="C43" s="180">
        <v>45475.62777777778</v>
      </c>
      <c r="D43" s="180">
        <v>45475.628472222219</v>
      </c>
      <c r="E43" s="80"/>
      <c r="F43" s="140">
        <f t="shared" si="5"/>
        <v>6.9444444444444447E-4</v>
      </c>
      <c r="G43" s="147" t="e">
        <f t="shared" ca="1" si="6"/>
        <v>#REF!</v>
      </c>
      <c r="I43" s="146" t="e">
        <f ca="1">[0]!CSVVLookUP(ROW(行数!A38),配列!$C$7,運転予定時間,1,1)</f>
        <v>#NAME?</v>
      </c>
      <c r="J43" s="158" t="e">
        <f ca="1">[0]!CSVVLookUP(ROW(行数!A38),配列!$C$7,運転予定時間,2,1)</f>
        <v>#NAME?</v>
      </c>
      <c r="K43" s="117" t="e">
        <f ca="1">[0]!CSVVLookUP(ROW(行数!A38),配列!$C$7,運転予定時間,3,1)</f>
        <v>#NAME?</v>
      </c>
      <c r="L43" s="117" t="e">
        <f ca="1">[0]!CSVVLookUP(ROW(行数!A38),配列!$C$7,運転予定時間,4,1)</f>
        <v>#NAME?</v>
      </c>
      <c r="M43" s="94" t="e">
        <f ca="1">[0]!CSVVLookUP(ROW(行数!A38),配列!$C$7,運転予定時間,5,1)</f>
        <v>#NAME?</v>
      </c>
      <c r="N43" s="94" t="e">
        <f t="shared" ca="1" si="7"/>
        <v>#NAME?</v>
      </c>
      <c r="O43" s="147" t="e">
        <f ca="1">IF(K43="","",ROW(行数!A38))</f>
        <v>#NAME?</v>
      </c>
    </row>
    <row r="44" spans="2:15" x14ac:dyDescent="0.2">
      <c r="B44" s="146" t="e">
        <f t="shared" ca="1" si="4"/>
        <v>#REF!</v>
      </c>
      <c r="C44" s="180">
        <v>45475.998611111107</v>
      </c>
      <c r="D44" s="180">
        <v>45475.999305555553</v>
      </c>
      <c r="E44" s="80"/>
      <c r="F44" s="140">
        <f t="shared" si="5"/>
        <v>6.9444444444444447E-4</v>
      </c>
      <c r="G44" s="147" t="e">
        <f t="shared" ca="1" si="6"/>
        <v>#REF!</v>
      </c>
      <c r="I44" s="146" t="e">
        <f ca="1">[0]!CSVVLookUP(ROW(行数!A39),配列!$C$7,運転予定時間,1,1)</f>
        <v>#NAME?</v>
      </c>
      <c r="J44" s="158" t="e">
        <f ca="1">[0]!CSVVLookUP(ROW(行数!A39),配列!$C$7,運転予定時間,2,1)</f>
        <v>#NAME?</v>
      </c>
      <c r="K44" s="117" t="e">
        <f ca="1">[0]!CSVVLookUP(ROW(行数!A39),配列!$C$7,運転予定時間,3,1)</f>
        <v>#NAME?</v>
      </c>
      <c r="L44" s="117" t="e">
        <f ca="1">[0]!CSVVLookUP(ROW(行数!A39),配列!$C$7,運転予定時間,4,1)</f>
        <v>#NAME?</v>
      </c>
      <c r="M44" s="94" t="e">
        <f ca="1">[0]!CSVVLookUP(ROW(行数!A39),配列!$C$7,運転予定時間,5,1)</f>
        <v>#NAME?</v>
      </c>
      <c r="N44" s="94" t="e">
        <f t="shared" ca="1" si="7"/>
        <v>#NAME?</v>
      </c>
      <c r="O44" s="147" t="e">
        <f ca="1">IF(K44="","",ROW(行数!A39))</f>
        <v>#NAME?</v>
      </c>
    </row>
    <row r="45" spans="2:15" x14ac:dyDescent="0.2">
      <c r="B45" s="146" t="e">
        <f t="shared" ref="B45:B76" ca="1" si="8">IF(C45="","",VLOOKUP(C45,ユニット判定用,3))</f>
        <v>#REF!</v>
      </c>
      <c r="C45" s="180">
        <v>45476.200694444437</v>
      </c>
      <c r="D45" s="180">
        <v>45476.201388888891</v>
      </c>
      <c r="E45" s="80"/>
      <c r="F45" s="140">
        <f t="shared" si="5"/>
        <v>6.9444444444444447E-4</v>
      </c>
      <c r="G45" s="147" t="e">
        <f t="shared" ref="G45:G76" ca="1" si="9">IF(C45="","",VLOOKUP(C45,施設運転・利用調整時間判定,5,1))</f>
        <v>#REF!</v>
      </c>
      <c r="I45" s="146" t="e">
        <f ca="1">[0]!CSVVLookUP(ROW(行数!A40),配列!$C$7,運転予定時間,1,1)</f>
        <v>#NAME?</v>
      </c>
      <c r="J45" s="158" t="e">
        <f ca="1">[0]!CSVVLookUP(ROW(行数!A40),配列!$C$7,運転予定時間,2,1)</f>
        <v>#NAME?</v>
      </c>
      <c r="K45" s="117" t="e">
        <f ca="1">[0]!CSVVLookUP(ROW(行数!A40),配列!$C$7,運転予定時間,3,1)</f>
        <v>#NAME?</v>
      </c>
      <c r="L45" s="117" t="e">
        <f ca="1">[0]!CSVVLookUP(ROW(行数!A40),配列!$C$7,運転予定時間,4,1)</f>
        <v>#NAME?</v>
      </c>
      <c r="M45" s="94" t="e">
        <f ca="1">[0]!CSVVLookUP(ROW(行数!A40),配列!$C$7,運転予定時間,5,1)</f>
        <v>#NAME?</v>
      </c>
      <c r="N45" s="94" t="e">
        <f t="shared" ca="1" si="7"/>
        <v>#NAME?</v>
      </c>
      <c r="O45" s="147" t="e">
        <f ca="1">IF(K45="","",ROW(行数!A40))</f>
        <v>#NAME?</v>
      </c>
    </row>
    <row r="46" spans="2:15" x14ac:dyDescent="0.2">
      <c r="B46" s="146" t="e">
        <f t="shared" ca="1" si="8"/>
        <v>#REF!</v>
      </c>
      <c r="C46" s="180">
        <v>45476.395833333343</v>
      </c>
      <c r="D46" s="180">
        <v>45476.396527777782</v>
      </c>
      <c r="E46" s="80"/>
      <c r="F46" s="140">
        <f t="shared" si="5"/>
        <v>6.9444444444444447E-4</v>
      </c>
      <c r="G46" s="147" t="e">
        <f t="shared" ca="1" si="9"/>
        <v>#REF!</v>
      </c>
      <c r="I46" s="146" t="e">
        <f ca="1">[0]!CSVVLookUP(ROW(行数!A41),配列!$C$7,運転予定時間,1,1)</f>
        <v>#NAME?</v>
      </c>
      <c r="J46" s="158" t="e">
        <f ca="1">[0]!CSVVLookUP(ROW(行数!A41),配列!$C$7,運転予定時間,2,1)</f>
        <v>#NAME?</v>
      </c>
      <c r="K46" s="117" t="e">
        <f ca="1">[0]!CSVVLookUP(ROW(行数!A41),配列!$C$7,運転予定時間,3,1)</f>
        <v>#NAME?</v>
      </c>
      <c r="L46" s="117" t="e">
        <f ca="1">[0]!CSVVLookUP(ROW(行数!A41),配列!$C$7,運転予定時間,4,1)</f>
        <v>#NAME?</v>
      </c>
      <c r="M46" s="94" t="e">
        <f ca="1">[0]!CSVVLookUP(ROW(行数!A41),配列!$C$7,運転予定時間,5,1)</f>
        <v>#NAME?</v>
      </c>
      <c r="N46" s="94" t="e">
        <f t="shared" ca="1" si="7"/>
        <v>#NAME?</v>
      </c>
      <c r="O46" s="147" t="e">
        <f ca="1">IF(K46="","",ROW(行数!A41))</f>
        <v>#NAME?</v>
      </c>
    </row>
    <row r="47" spans="2:15" x14ac:dyDescent="0.2">
      <c r="B47" s="146" t="e">
        <f t="shared" ca="1" si="8"/>
        <v>#REF!</v>
      </c>
      <c r="C47" s="180">
        <v>45476.540972222218</v>
      </c>
      <c r="D47" s="180">
        <v>45476.541666666657</v>
      </c>
      <c r="E47" s="80"/>
      <c r="F47" s="140">
        <f t="shared" si="5"/>
        <v>6.9444444444444447E-4</v>
      </c>
      <c r="G47" s="147" t="e">
        <f t="shared" ca="1" si="9"/>
        <v>#REF!</v>
      </c>
      <c r="I47" s="146" t="e">
        <f ca="1">[0]!CSVVLookUP(ROW(行数!A42),配列!$C$7,運転予定時間,1,1)</f>
        <v>#NAME?</v>
      </c>
      <c r="J47" s="158" t="e">
        <f ca="1">[0]!CSVVLookUP(ROW(行数!A42),配列!$C$7,運転予定時間,2,1)</f>
        <v>#NAME?</v>
      </c>
      <c r="K47" s="117" t="e">
        <f ca="1">[0]!CSVVLookUP(ROW(行数!A42),配列!$C$7,運転予定時間,3,1)</f>
        <v>#NAME?</v>
      </c>
      <c r="L47" s="117" t="e">
        <f ca="1">[0]!CSVVLookUP(ROW(行数!A42),配列!$C$7,運転予定時間,4,1)</f>
        <v>#NAME?</v>
      </c>
      <c r="M47" s="94" t="e">
        <f ca="1">[0]!CSVVLookUP(ROW(行数!A42),配列!$C$7,運転予定時間,5,1)</f>
        <v>#NAME?</v>
      </c>
      <c r="N47" s="94" t="e">
        <f t="shared" ca="1" si="7"/>
        <v>#NAME?</v>
      </c>
      <c r="O47" s="147" t="e">
        <f ca="1">IF(K47="","",ROW(行数!A42))</f>
        <v>#NAME?</v>
      </c>
    </row>
    <row r="48" spans="2:15" x14ac:dyDescent="0.2">
      <c r="B48" s="146" t="e">
        <f t="shared" ca="1" si="8"/>
        <v>#REF!</v>
      </c>
      <c r="C48" s="180">
        <v>45476.553472222222</v>
      </c>
      <c r="D48" s="180">
        <v>45476.554861111108</v>
      </c>
      <c r="E48" s="80"/>
      <c r="F48" s="140">
        <f t="shared" si="5"/>
        <v>1.3888888888888889E-3</v>
      </c>
      <c r="G48" s="147" t="e">
        <f t="shared" ca="1" si="9"/>
        <v>#REF!</v>
      </c>
      <c r="I48" s="146" t="e">
        <f ca="1">[0]!CSVVLookUP(ROW(行数!A43),配列!$C$7,運転予定時間,1,1)</f>
        <v>#NAME?</v>
      </c>
      <c r="J48" s="158" t="e">
        <f ca="1">[0]!CSVVLookUP(ROW(行数!A43),配列!$C$7,運転予定時間,2,1)</f>
        <v>#NAME?</v>
      </c>
      <c r="K48" s="117" t="e">
        <f ca="1">[0]!CSVVLookUP(ROW(行数!A43),配列!$C$7,運転予定時間,3,1)</f>
        <v>#NAME?</v>
      </c>
      <c r="L48" s="117" t="e">
        <f ca="1">[0]!CSVVLookUP(ROW(行数!A43),配列!$C$7,運転予定時間,4,1)</f>
        <v>#NAME?</v>
      </c>
      <c r="M48" s="94" t="e">
        <f ca="1">[0]!CSVVLookUP(ROW(行数!A43),配列!$C$7,運転予定時間,5,1)</f>
        <v>#NAME?</v>
      </c>
      <c r="N48" s="94" t="e">
        <f t="shared" ca="1" si="7"/>
        <v>#NAME?</v>
      </c>
      <c r="O48" s="147" t="e">
        <f ca="1">IF(K48="","",ROW(行数!A43))</f>
        <v>#NAME?</v>
      </c>
    </row>
    <row r="49" spans="2:15" x14ac:dyDescent="0.2">
      <c r="B49" s="146" t="e">
        <f t="shared" ca="1" si="8"/>
        <v>#REF!</v>
      </c>
      <c r="C49" s="180">
        <v>45476.568749999999</v>
      </c>
      <c r="D49" s="180">
        <v>45476.570138888892</v>
      </c>
      <c r="E49" s="80"/>
      <c r="F49" s="140">
        <f t="shared" si="5"/>
        <v>1.3888888888888889E-3</v>
      </c>
      <c r="G49" s="147" t="e">
        <f t="shared" ca="1" si="9"/>
        <v>#REF!</v>
      </c>
      <c r="I49" s="146" t="e">
        <f ca="1">[0]!CSVVLookUP(ROW(行数!A44),配列!$C$7,運転予定時間,1,1)</f>
        <v>#NAME?</v>
      </c>
      <c r="J49" s="158" t="e">
        <f ca="1">[0]!CSVVLookUP(ROW(行数!A44),配列!$C$7,運転予定時間,2,1)</f>
        <v>#NAME?</v>
      </c>
      <c r="K49" s="117" t="e">
        <f ca="1">[0]!CSVVLookUP(ROW(行数!A44),配列!$C$7,運転予定時間,3,1)</f>
        <v>#NAME?</v>
      </c>
      <c r="L49" s="117" t="e">
        <f ca="1">[0]!CSVVLookUP(ROW(行数!A44),配列!$C$7,運転予定時間,4,1)</f>
        <v>#NAME?</v>
      </c>
      <c r="M49" s="94" t="e">
        <f ca="1">[0]!CSVVLookUP(ROW(行数!A44),配列!$C$7,運転予定時間,5,1)</f>
        <v>#NAME?</v>
      </c>
      <c r="N49" s="94" t="e">
        <f t="shared" ca="1" si="7"/>
        <v>#NAME?</v>
      </c>
      <c r="O49" s="147" t="e">
        <f ca="1">IF(K49="","",ROW(行数!A44))</f>
        <v>#NAME?</v>
      </c>
    </row>
    <row r="50" spans="2:15" x14ac:dyDescent="0.2">
      <c r="B50" s="146" t="e">
        <f t="shared" ca="1" si="8"/>
        <v>#REF!</v>
      </c>
      <c r="C50" s="180">
        <v>45476.609722222223</v>
      </c>
      <c r="D50" s="180">
        <v>45476.61041666667</v>
      </c>
      <c r="E50" s="80"/>
      <c r="F50" s="140">
        <f t="shared" si="5"/>
        <v>6.9444444444444447E-4</v>
      </c>
      <c r="G50" s="147" t="e">
        <f t="shared" ca="1" si="9"/>
        <v>#REF!</v>
      </c>
      <c r="I50" s="146" t="e">
        <f ca="1">[0]!CSVVLookUP(ROW(行数!A45),配列!$C$7,運転予定時間,1,1)</f>
        <v>#NAME?</v>
      </c>
      <c r="J50" s="158" t="e">
        <f ca="1">[0]!CSVVLookUP(ROW(行数!A45),配列!$C$7,運転予定時間,2,1)</f>
        <v>#NAME?</v>
      </c>
      <c r="K50" s="117" t="e">
        <f ca="1">[0]!CSVVLookUP(ROW(行数!A45),配列!$C$7,運転予定時間,3,1)</f>
        <v>#NAME?</v>
      </c>
      <c r="L50" s="117" t="e">
        <f ca="1">[0]!CSVVLookUP(ROW(行数!A45),配列!$C$7,運転予定時間,4,1)</f>
        <v>#NAME?</v>
      </c>
      <c r="M50" s="94" t="e">
        <f ca="1">[0]!CSVVLookUP(ROW(行数!A45),配列!$C$7,運転予定時間,5,1)</f>
        <v>#NAME?</v>
      </c>
      <c r="N50" s="94" t="e">
        <f t="shared" ca="1" si="7"/>
        <v>#NAME?</v>
      </c>
      <c r="O50" s="147" t="e">
        <f ca="1">IF(K50="","",ROW(行数!A45))</f>
        <v>#NAME?</v>
      </c>
    </row>
    <row r="51" spans="2:15" x14ac:dyDescent="0.2">
      <c r="B51" s="146" t="e">
        <f t="shared" ca="1" si="8"/>
        <v>#REF!</v>
      </c>
      <c r="C51" s="180">
        <v>45476.647916666669</v>
      </c>
      <c r="D51" s="180">
        <v>45476.648611111108</v>
      </c>
      <c r="E51" s="80"/>
      <c r="F51" s="140">
        <f t="shared" si="5"/>
        <v>6.9444444444444447E-4</v>
      </c>
      <c r="G51" s="147" t="e">
        <f t="shared" ca="1" si="9"/>
        <v>#REF!</v>
      </c>
      <c r="I51" s="146" t="e">
        <f ca="1">[0]!CSVVLookUP(ROW(行数!A46),配列!$C$7,運転予定時間,1,1)</f>
        <v>#NAME?</v>
      </c>
      <c r="J51" s="158" t="e">
        <f ca="1">[0]!CSVVLookUP(ROW(行数!A46),配列!$C$7,運転予定時間,2,1)</f>
        <v>#NAME?</v>
      </c>
      <c r="K51" s="117" t="e">
        <f ca="1">[0]!CSVVLookUP(ROW(行数!A46),配列!$C$7,運転予定時間,3,1)</f>
        <v>#NAME?</v>
      </c>
      <c r="L51" s="117" t="e">
        <f ca="1">[0]!CSVVLookUP(ROW(行数!A46),配列!$C$7,運転予定時間,4,1)</f>
        <v>#NAME?</v>
      </c>
      <c r="M51" s="94" t="e">
        <f ca="1">[0]!CSVVLookUP(ROW(行数!A46),配列!$C$7,運転予定時間,5,1)</f>
        <v>#NAME?</v>
      </c>
      <c r="N51" s="94" t="e">
        <f t="shared" ca="1" si="7"/>
        <v>#NAME?</v>
      </c>
      <c r="O51" s="147" t="e">
        <f ca="1">IF(K51="","",ROW(行数!A46))</f>
        <v>#NAME?</v>
      </c>
    </row>
    <row r="52" spans="2:15" x14ac:dyDescent="0.2">
      <c r="B52" s="146" t="e">
        <f t="shared" ca="1" si="8"/>
        <v>#REF!</v>
      </c>
      <c r="C52" s="180">
        <v>45476.694444444453</v>
      </c>
      <c r="D52" s="180">
        <v>45476.695138888892</v>
      </c>
      <c r="E52" s="80"/>
      <c r="F52" s="140">
        <f t="shared" si="5"/>
        <v>6.9444444444444447E-4</v>
      </c>
      <c r="G52" s="147" t="e">
        <f t="shared" ca="1" si="9"/>
        <v>#REF!</v>
      </c>
      <c r="I52" s="146" t="e">
        <f ca="1">[0]!CSVVLookUP(ROW(行数!A47),配列!$C$7,運転予定時間,1,1)</f>
        <v>#NAME?</v>
      </c>
      <c r="J52" s="158" t="e">
        <f ca="1">[0]!CSVVLookUP(ROW(行数!A47),配列!$C$7,運転予定時間,2,1)</f>
        <v>#NAME?</v>
      </c>
      <c r="K52" s="117" t="e">
        <f ca="1">[0]!CSVVLookUP(ROW(行数!A47),配列!$C$7,運転予定時間,3,1)</f>
        <v>#NAME?</v>
      </c>
      <c r="L52" s="117" t="e">
        <f ca="1">[0]!CSVVLookUP(ROW(行数!A47),配列!$C$7,運転予定時間,4,1)</f>
        <v>#NAME?</v>
      </c>
      <c r="M52" s="94" t="e">
        <f ca="1">[0]!CSVVLookUP(ROW(行数!A47),配列!$C$7,運転予定時間,5,1)</f>
        <v>#NAME?</v>
      </c>
      <c r="N52" s="94" t="e">
        <f t="shared" ca="1" si="7"/>
        <v>#NAME?</v>
      </c>
      <c r="O52" s="147" t="e">
        <f ca="1">IF(K52="","",ROW(行数!A47))</f>
        <v>#NAME?</v>
      </c>
    </row>
    <row r="53" spans="2:15" x14ac:dyDescent="0.2">
      <c r="B53" s="146" t="e">
        <f t="shared" ca="1" si="8"/>
        <v>#REF!</v>
      </c>
      <c r="C53" s="180">
        <v>45476.710416666669</v>
      </c>
      <c r="D53" s="180">
        <v>45476.711805555547</v>
      </c>
      <c r="E53" s="80"/>
      <c r="F53" s="140">
        <f t="shared" si="5"/>
        <v>1.3888888888888889E-3</v>
      </c>
      <c r="G53" s="147" t="e">
        <f t="shared" ca="1" si="9"/>
        <v>#REF!</v>
      </c>
      <c r="I53" s="146" t="e">
        <f ca="1">[0]!CSVVLookUP(ROW(行数!A48),配列!$C$7,運転予定時間,1,1)</f>
        <v>#NAME?</v>
      </c>
      <c r="J53" s="158" t="e">
        <f ca="1">[0]!CSVVLookUP(ROW(行数!A48),配列!$C$7,運転予定時間,2,1)</f>
        <v>#NAME?</v>
      </c>
      <c r="K53" s="117" t="e">
        <f ca="1">[0]!CSVVLookUP(ROW(行数!A48),配列!$C$7,運転予定時間,3,1)</f>
        <v>#NAME?</v>
      </c>
      <c r="L53" s="117" t="e">
        <f ca="1">[0]!CSVVLookUP(ROW(行数!A48),配列!$C$7,運転予定時間,4,1)</f>
        <v>#NAME?</v>
      </c>
      <c r="M53" s="94" t="e">
        <f ca="1">[0]!CSVVLookUP(ROW(行数!A48),配列!$C$7,運転予定時間,5,1)</f>
        <v>#NAME?</v>
      </c>
      <c r="N53" s="94" t="e">
        <f t="shared" ca="1" si="7"/>
        <v>#NAME?</v>
      </c>
      <c r="O53" s="147" t="e">
        <f ca="1">IF(K53="","",ROW(行数!A48))</f>
        <v>#NAME?</v>
      </c>
    </row>
    <row r="54" spans="2:15" x14ac:dyDescent="0.2">
      <c r="B54" s="146" t="e">
        <f t="shared" ca="1" si="8"/>
        <v>#REF!</v>
      </c>
      <c r="C54" s="180">
        <v>45476.793749999997</v>
      </c>
      <c r="D54" s="180">
        <v>45476.795138888891</v>
      </c>
      <c r="E54" s="80"/>
      <c r="F54" s="140">
        <f t="shared" si="5"/>
        <v>1.3888888888888889E-3</v>
      </c>
      <c r="G54" s="147" t="e">
        <f t="shared" ca="1" si="9"/>
        <v>#REF!</v>
      </c>
      <c r="I54" s="146" t="e">
        <f ca="1">[0]!CSVVLookUP(ROW(行数!A49),配列!$C$7,運転予定時間,1,1)</f>
        <v>#NAME?</v>
      </c>
      <c r="J54" s="158" t="e">
        <f ca="1">[0]!CSVVLookUP(ROW(行数!A49),配列!$C$7,運転予定時間,2,1)</f>
        <v>#NAME?</v>
      </c>
      <c r="K54" s="117" t="e">
        <f ca="1">[0]!CSVVLookUP(ROW(行数!A49),配列!$C$7,運転予定時間,3,1)</f>
        <v>#NAME?</v>
      </c>
      <c r="L54" s="117" t="e">
        <f ca="1">[0]!CSVVLookUP(ROW(行数!A49),配列!$C$7,運転予定時間,4,1)</f>
        <v>#NAME?</v>
      </c>
      <c r="M54" s="94" t="e">
        <f ca="1">[0]!CSVVLookUP(ROW(行数!A49),配列!$C$7,運転予定時間,5,1)</f>
        <v>#NAME?</v>
      </c>
      <c r="N54" s="94" t="e">
        <f t="shared" ca="1" si="7"/>
        <v>#NAME?</v>
      </c>
      <c r="O54" s="147" t="e">
        <f ca="1">IF(K54="","",ROW(行数!A49))</f>
        <v>#NAME?</v>
      </c>
    </row>
    <row r="55" spans="2:15" x14ac:dyDescent="0.2">
      <c r="B55" s="146" t="e">
        <f t="shared" ca="1" si="8"/>
        <v>#REF!</v>
      </c>
      <c r="C55" s="180">
        <v>45477.051388888889</v>
      </c>
      <c r="D55" s="180">
        <v>45477.052083333343</v>
      </c>
      <c r="E55" s="80"/>
      <c r="F55" s="140">
        <f t="shared" si="5"/>
        <v>6.9444444444444447E-4</v>
      </c>
      <c r="G55" s="147" t="e">
        <f t="shared" ca="1" si="9"/>
        <v>#REF!</v>
      </c>
      <c r="I55" s="146" t="e">
        <f ca="1">[0]!CSVVLookUP(ROW(行数!A50),配列!$C$7,運転予定時間,1,1)</f>
        <v>#NAME?</v>
      </c>
      <c r="J55" s="158" t="e">
        <f ca="1">[0]!CSVVLookUP(ROW(行数!A50),配列!$C$7,運転予定時間,2,1)</f>
        <v>#NAME?</v>
      </c>
      <c r="K55" s="117" t="e">
        <f ca="1">[0]!CSVVLookUP(ROW(行数!A50),配列!$C$7,運転予定時間,3,1)</f>
        <v>#NAME?</v>
      </c>
      <c r="L55" s="117" t="e">
        <f ca="1">[0]!CSVVLookUP(ROW(行数!A50),配列!$C$7,運転予定時間,4,1)</f>
        <v>#NAME?</v>
      </c>
      <c r="M55" s="94" t="e">
        <f ca="1">[0]!CSVVLookUP(ROW(行数!A50),配列!$C$7,運転予定時間,5,1)</f>
        <v>#NAME?</v>
      </c>
      <c r="N55" s="94" t="e">
        <f t="shared" ca="1" si="7"/>
        <v>#NAME?</v>
      </c>
      <c r="O55" s="147" t="e">
        <f ca="1">IF(K55="","",ROW(行数!A50))</f>
        <v>#NAME?</v>
      </c>
    </row>
    <row r="56" spans="2:15" x14ac:dyDescent="0.2">
      <c r="B56" s="146" t="e">
        <f t="shared" ca="1" si="8"/>
        <v>#REF!</v>
      </c>
      <c r="C56" s="180">
        <v>45477.063194444447</v>
      </c>
      <c r="D56" s="180">
        <v>45477.064583333333</v>
      </c>
      <c r="E56" s="80"/>
      <c r="F56" s="140">
        <f t="shared" si="5"/>
        <v>1.3888888888888889E-3</v>
      </c>
      <c r="G56" s="147" t="e">
        <f t="shared" ca="1" si="9"/>
        <v>#REF!</v>
      </c>
      <c r="I56" s="146" t="e">
        <f ca="1">[0]!CSVVLookUP(ROW(行数!A51),配列!$C$7,運転予定時間,1,1)</f>
        <v>#NAME?</v>
      </c>
      <c r="J56" s="158" t="e">
        <f ca="1">[0]!CSVVLookUP(ROW(行数!A51),配列!$C$7,運転予定時間,2,1)</f>
        <v>#NAME?</v>
      </c>
      <c r="K56" s="117" t="e">
        <f ca="1">[0]!CSVVLookUP(ROW(行数!A51),配列!$C$7,運転予定時間,3,1)</f>
        <v>#NAME?</v>
      </c>
      <c r="L56" s="117" t="e">
        <f ca="1">[0]!CSVVLookUP(ROW(行数!A51),配列!$C$7,運転予定時間,4,1)</f>
        <v>#NAME?</v>
      </c>
      <c r="M56" s="94" t="e">
        <f ca="1">[0]!CSVVLookUP(ROW(行数!A51),配列!$C$7,運転予定時間,5,1)</f>
        <v>#NAME?</v>
      </c>
      <c r="N56" s="94" t="e">
        <f t="shared" ca="1" si="7"/>
        <v>#NAME?</v>
      </c>
      <c r="O56" s="147" t="e">
        <f ca="1">IF(K56="","",ROW(行数!A51))</f>
        <v>#NAME?</v>
      </c>
    </row>
    <row r="57" spans="2:15" x14ac:dyDescent="0.2">
      <c r="B57" s="146" t="e">
        <f t="shared" ca="1" si="8"/>
        <v>#REF!</v>
      </c>
      <c r="C57" s="180">
        <v>45477.161805555559</v>
      </c>
      <c r="D57" s="180">
        <v>45477.163194444453</v>
      </c>
      <c r="E57" s="80"/>
      <c r="F57" s="140">
        <f t="shared" si="5"/>
        <v>1.3888888888888889E-3</v>
      </c>
      <c r="G57" s="147" t="e">
        <f t="shared" ca="1" si="9"/>
        <v>#REF!</v>
      </c>
      <c r="I57" s="146" t="e">
        <f ca="1">[0]!CSVVLookUP(ROW(行数!A52),配列!$C$7,運転予定時間,1,1)</f>
        <v>#NAME?</v>
      </c>
      <c r="J57" s="158" t="e">
        <f ca="1">[0]!CSVVLookUP(ROW(行数!A52),配列!$C$7,運転予定時間,2,1)</f>
        <v>#NAME?</v>
      </c>
      <c r="K57" s="117" t="e">
        <f ca="1">[0]!CSVVLookUP(ROW(行数!A52),配列!$C$7,運転予定時間,3,1)</f>
        <v>#NAME?</v>
      </c>
      <c r="L57" s="117" t="e">
        <f ca="1">[0]!CSVVLookUP(ROW(行数!A52),配列!$C$7,運転予定時間,4,1)</f>
        <v>#NAME?</v>
      </c>
      <c r="M57" s="94" t="e">
        <f ca="1">[0]!CSVVLookUP(ROW(行数!A52),配列!$C$7,運転予定時間,5,1)</f>
        <v>#NAME?</v>
      </c>
      <c r="N57" s="94" t="e">
        <f t="shared" ca="1" si="7"/>
        <v>#NAME?</v>
      </c>
      <c r="O57" s="147" t="e">
        <f ca="1">IF(K57="","",ROW(行数!A52))</f>
        <v>#NAME?</v>
      </c>
    </row>
    <row r="58" spans="2:15" x14ac:dyDescent="0.2">
      <c r="B58" s="146" t="e">
        <f t="shared" ca="1" si="8"/>
        <v>#REF!</v>
      </c>
      <c r="C58" s="180">
        <v>45477.163888888892</v>
      </c>
      <c r="D58" s="180">
        <v>45477.164583333331</v>
      </c>
      <c r="E58" s="80"/>
      <c r="F58" s="140">
        <f t="shared" si="5"/>
        <v>6.9444444444444447E-4</v>
      </c>
      <c r="G58" s="147" t="e">
        <f t="shared" ca="1" si="9"/>
        <v>#REF!</v>
      </c>
      <c r="I58" s="146" t="e">
        <f ca="1">[0]!CSVVLookUP(ROW(行数!A53),配列!$C$7,運転予定時間,1,1)</f>
        <v>#NAME?</v>
      </c>
      <c r="J58" s="158" t="e">
        <f ca="1">[0]!CSVVLookUP(ROW(行数!A53),配列!$C$7,運転予定時間,2,1)</f>
        <v>#NAME?</v>
      </c>
      <c r="K58" s="117" t="e">
        <f ca="1">[0]!CSVVLookUP(ROW(行数!A53),配列!$C$7,運転予定時間,3,1)</f>
        <v>#NAME?</v>
      </c>
      <c r="L58" s="117" t="e">
        <f ca="1">[0]!CSVVLookUP(ROW(行数!A53),配列!$C$7,運転予定時間,4,1)</f>
        <v>#NAME?</v>
      </c>
      <c r="M58" s="94" t="e">
        <f ca="1">[0]!CSVVLookUP(ROW(行数!A53),配列!$C$7,運転予定時間,5,1)</f>
        <v>#NAME?</v>
      </c>
      <c r="N58" s="94" t="e">
        <f t="shared" ca="1" si="7"/>
        <v>#NAME?</v>
      </c>
      <c r="O58" s="147" t="e">
        <f ca="1">IF(K58="","",ROW(行数!A53))</f>
        <v>#NAME?</v>
      </c>
    </row>
    <row r="59" spans="2:15" x14ac:dyDescent="0.2">
      <c r="B59" s="146" t="e">
        <f t="shared" ca="1" si="8"/>
        <v>#REF!</v>
      </c>
      <c r="C59" s="180">
        <v>45478.07916666667</v>
      </c>
      <c r="D59" s="180">
        <v>45478.080555555563</v>
      </c>
      <c r="E59" s="80"/>
      <c r="F59" s="140">
        <f t="shared" si="5"/>
        <v>1.3888888888888889E-3</v>
      </c>
      <c r="G59" s="147" t="e">
        <f t="shared" ca="1" si="9"/>
        <v>#REF!</v>
      </c>
      <c r="I59" s="146" t="e">
        <f ca="1">[0]!CSVVLookUP(ROW(行数!A54),配列!$C$7,運転予定時間,1,1)</f>
        <v>#NAME?</v>
      </c>
      <c r="J59" s="158" t="e">
        <f ca="1">[0]!CSVVLookUP(ROW(行数!A54),配列!$C$7,運転予定時間,2,1)</f>
        <v>#NAME?</v>
      </c>
      <c r="K59" s="117" t="e">
        <f ca="1">[0]!CSVVLookUP(ROW(行数!A54),配列!$C$7,運転予定時間,3,1)</f>
        <v>#NAME?</v>
      </c>
      <c r="L59" s="117" t="e">
        <f ca="1">[0]!CSVVLookUP(ROW(行数!A54),配列!$C$7,運転予定時間,4,1)</f>
        <v>#NAME?</v>
      </c>
      <c r="M59" s="94" t="e">
        <f ca="1">[0]!CSVVLookUP(ROW(行数!A54),配列!$C$7,運転予定時間,5,1)</f>
        <v>#NAME?</v>
      </c>
      <c r="N59" s="94" t="e">
        <f t="shared" ca="1" si="7"/>
        <v>#NAME?</v>
      </c>
      <c r="O59" s="147" t="e">
        <f ca="1">IF(K59="","",ROW(行数!A54))</f>
        <v>#NAME?</v>
      </c>
    </row>
    <row r="60" spans="2:15" x14ac:dyDescent="0.2">
      <c r="B60" s="146" t="e">
        <f t="shared" ca="1" si="8"/>
        <v>#REF!</v>
      </c>
      <c r="C60" s="180">
        <v>45479.828472222223</v>
      </c>
      <c r="D60" s="180">
        <v>45479.82916666667</v>
      </c>
      <c r="E60" s="80"/>
      <c r="F60" s="140">
        <f t="shared" si="5"/>
        <v>6.9444444444444447E-4</v>
      </c>
      <c r="G60" s="147" t="e">
        <f t="shared" ca="1" si="9"/>
        <v>#REF!</v>
      </c>
      <c r="I60" s="146" t="e">
        <f ca="1">[0]!CSVVLookUP(ROW(行数!A55),配列!$C$7,運転予定時間,1,1)</f>
        <v>#NAME?</v>
      </c>
      <c r="J60" s="158" t="e">
        <f ca="1">[0]!CSVVLookUP(ROW(行数!A55),配列!$C$7,運転予定時間,2,1)</f>
        <v>#NAME?</v>
      </c>
      <c r="K60" s="117" t="e">
        <f ca="1">[0]!CSVVLookUP(ROW(行数!A55),配列!$C$7,運転予定時間,3,1)</f>
        <v>#NAME?</v>
      </c>
      <c r="L60" s="117" t="e">
        <f ca="1">[0]!CSVVLookUP(ROW(行数!A55),配列!$C$7,運転予定時間,4,1)</f>
        <v>#NAME?</v>
      </c>
      <c r="M60" s="94" t="e">
        <f ca="1">[0]!CSVVLookUP(ROW(行数!A55),配列!$C$7,運転予定時間,5,1)</f>
        <v>#NAME?</v>
      </c>
      <c r="N60" s="94" t="e">
        <f t="shared" ca="1" si="7"/>
        <v>#NAME?</v>
      </c>
      <c r="O60" s="147" t="e">
        <f ca="1">IF(K60="","",ROW(行数!A55))</f>
        <v>#NAME?</v>
      </c>
    </row>
    <row r="61" spans="2:15" x14ac:dyDescent="0.2">
      <c r="B61" s="146" t="e">
        <f t="shared" ca="1" si="8"/>
        <v>#REF!</v>
      </c>
      <c r="C61" s="180">
        <v>45479.861805555563</v>
      </c>
      <c r="D61" s="180">
        <v>45479.863194444442</v>
      </c>
      <c r="E61" s="80"/>
      <c r="F61" s="140">
        <f t="shared" si="5"/>
        <v>1.3888888888888889E-3</v>
      </c>
      <c r="G61" s="147" t="e">
        <f t="shared" ca="1" si="9"/>
        <v>#REF!</v>
      </c>
      <c r="I61" s="146" t="e">
        <f ca="1">[0]!CSVVLookUP(ROW(行数!A56),配列!$C$7,運転予定時間,1,1)</f>
        <v>#NAME?</v>
      </c>
      <c r="J61" s="158" t="e">
        <f ca="1">[0]!CSVVLookUP(ROW(行数!A56),配列!$C$7,運転予定時間,2,1)</f>
        <v>#NAME?</v>
      </c>
      <c r="K61" s="117" t="e">
        <f ca="1">[0]!CSVVLookUP(ROW(行数!A56),配列!$C$7,運転予定時間,3,1)</f>
        <v>#NAME?</v>
      </c>
      <c r="L61" s="117" t="e">
        <f ca="1">[0]!CSVVLookUP(ROW(行数!A56),配列!$C$7,運転予定時間,4,1)</f>
        <v>#NAME?</v>
      </c>
      <c r="M61" s="94" t="e">
        <f ca="1">[0]!CSVVLookUP(ROW(行数!A56),配列!$C$7,運転予定時間,5,1)</f>
        <v>#NAME?</v>
      </c>
      <c r="N61" s="94" t="e">
        <f t="shared" ca="1" si="7"/>
        <v>#NAME?</v>
      </c>
      <c r="O61" s="147" t="e">
        <f ca="1">IF(K61="","",ROW(行数!A56))</f>
        <v>#NAME?</v>
      </c>
    </row>
    <row r="62" spans="2:15" x14ac:dyDescent="0.2">
      <c r="B62" s="146" t="e">
        <f t="shared" ca="1" si="8"/>
        <v>#REF!</v>
      </c>
      <c r="C62" s="180">
        <v>45480.086111111108</v>
      </c>
      <c r="D62" s="180">
        <v>45480.086805555547</v>
      </c>
      <c r="E62" s="80"/>
      <c r="F62" s="140">
        <f t="shared" si="5"/>
        <v>6.9444444444444447E-4</v>
      </c>
      <c r="G62" s="147" t="e">
        <f t="shared" ca="1" si="9"/>
        <v>#REF!</v>
      </c>
      <c r="I62" s="146" t="e">
        <f ca="1">[0]!CSVVLookUP(ROW(行数!A57),配列!$C$7,運転予定時間,1,1)</f>
        <v>#NAME?</v>
      </c>
      <c r="J62" s="158" t="e">
        <f ca="1">[0]!CSVVLookUP(ROW(行数!A57),配列!$C$7,運転予定時間,2,1)</f>
        <v>#NAME?</v>
      </c>
      <c r="K62" s="117" t="e">
        <f ca="1">[0]!CSVVLookUP(ROW(行数!A57),配列!$C$7,運転予定時間,3,1)</f>
        <v>#NAME?</v>
      </c>
      <c r="L62" s="117" t="e">
        <f ca="1">[0]!CSVVLookUP(ROW(行数!A57),配列!$C$7,運転予定時間,4,1)</f>
        <v>#NAME?</v>
      </c>
      <c r="M62" s="94" t="e">
        <f ca="1">[0]!CSVVLookUP(ROW(行数!A57),配列!$C$7,運転予定時間,5,1)</f>
        <v>#NAME?</v>
      </c>
      <c r="N62" s="94" t="e">
        <f t="shared" ca="1" si="7"/>
        <v>#NAME?</v>
      </c>
      <c r="O62" s="147" t="e">
        <f ca="1">IF(K62="","",ROW(行数!A57))</f>
        <v>#NAME?</v>
      </c>
    </row>
    <row r="63" spans="2:15" x14ac:dyDescent="0.2">
      <c r="B63" s="146" t="e">
        <f t="shared" ca="1" si="8"/>
        <v>#REF!</v>
      </c>
      <c r="C63" s="180">
        <v>45481.379166666673</v>
      </c>
      <c r="D63" s="180">
        <v>45481.380555555559</v>
      </c>
      <c r="E63" s="80"/>
      <c r="F63" s="140">
        <f t="shared" si="5"/>
        <v>1.3888888888888889E-3</v>
      </c>
      <c r="G63" s="147" t="e">
        <f t="shared" ca="1" si="9"/>
        <v>#REF!</v>
      </c>
      <c r="I63" s="146" t="e">
        <f ca="1">[0]!CSVVLookUP(ROW(行数!A58),配列!$C$7,運転予定時間,1,1)</f>
        <v>#NAME?</v>
      </c>
      <c r="J63" s="158" t="e">
        <f ca="1">[0]!CSVVLookUP(ROW(行数!A58),配列!$C$7,運転予定時間,2,1)</f>
        <v>#NAME?</v>
      </c>
      <c r="K63" s="117" t="e">
        <f ca="1">[0]!CSVVLookUP(ROW(行数!A58),配列!$C$7,運転予定時間,3,1)</f>
        <v>#NAME?</v>
      </c>
      <c r="L63" s="117" t="e">
        <f ca="1">[0]!CSVVLookUP(ROW(行数!A58),配列!$C$7,運転予定時間,4,1)</f>
        <v>#NAME?</v>
      </c>
      <c r="M63" s="94" t="e">
        <f ca="1">[0]!CSVVLookUP(ROW(行数!A58),配列!$C$7,運転予定時間,5,1)</f>
        <v>#NAME?</v>
      </c>
      <c r="N63" s="94" t="e">
        <f t="shared" ca="1" si="7"/>
        <v>#NAME?</v>
      </c>
      <c r="O63" s="147" t="e">
        <f ca="1">IF(K63="","",ROW(行数!A58))</f>
        <v>#NAME?</v>
      </c>
    </row>
    <row r="64" spans="2:15" x14ac:dyDescent="0.2">
      <c r="B64" s="146" t="e">
        <f t="shared" ca="1" si="8"/>
        <v>#REF!</v>
      </c>
      <c r="C64" s="180">
        <v>45481.461111111108</v>
      </c>
      <c r="D64" s="180">
        <v>45481.461805555547</v>
      </c>
      <c r="E64" s="80"/>
      <c r="F64" s="140">
        <f t="shared" si="5"/>
        <v>6.9444444444444447E-4</v>
      </c>
      <c r="G64" s="147" t="e">
        <f t="shared" ca="1" si="9"/>
        <v>#REF!</v>
      </c>
      <c r="I64" s="146" t="e">
        <f ca="1">[0]!CSVVLookUP(ROW(行数!A59),配列!$C$7,運転予定時間,1,1)</f>
        <v>#NAME?</v>
      </c>
      <c r="J64" s="158" t="e">
        <f ca="1">[0]!CSVVLookUP(ROW(行数!A59),配列!$C$7,運転予定時間,2,1)</f>
        <v>#NAME?</v>
      </c>
      <c r="K64" s="117" t="e">
        <f ca="1">[0]!CSVVLookUP(ROW(行数!A59),配列!$C$7,運転予定時間,3,1)</f>
        <v>#NAME?</v>
      </c>
      <c r="L64" s="117" t="e">
        <f ca="1">[0]!CSVVLookUP(ROW(行数!A59),配列!$C$7,運転予定時間,4,1)</f>
        <v>#NAME?</v>
      </c>
      <c r="M64" s="94" t="e">
        <f ca="1">[0]!CSVVLookUP(ROW(行数!A59),配列!$C$7,運転予定時間,5,1)</f>
        <v>#NAME?</v>
      </c>
      <c r="N64" s="94" t="e">
        <f t="shared" ca="1" si="7"/>
        <v>#NAME?</v>
      </c>
      <c r="O64" s="147" t="e">
        <f ca="1">IF(K64="","",ROW(行数!A59))</f>
        <v>#NAME?</v>
      </c>
    </row>
    <row r="65" spans="2:15" x14ac:dyDescent="0.2">
      <c r="B65" s="146" t="e">
        <f t="shared" ca="1" si="8"/>
        <v>#REF!</v>
      </c>
      <c r="C65" s="180">
        <v>45481.46875</v>
      </c>
      <c r="D65" s="180">
        <v>45481.649305555547</v>
      </c>
      <c r="E65" s="80" t="s">
        <v>212</v>
      </c>
      <c r="F65" s="140">
        <f t="shared" si="5"/>
        <v>0.18055555555555555</v>
      </c>
      <c r="G65" s="147" t="e">
        <f t="shared" ca="1" si="9"/>
        <v>#REF!</v>
      </c>
      <c r="I65" s="146" t="e">
        <f ca="1">[0]!CSVVLookUP(ROW(行数!A60),配列!$C$7,運転予定時間,1,1)</f>
        <v>#NAME?</v>
      </c>
      <c r="J65" s="158" t="e">
        <f ca="1">[0]!CSVVLookUP(ROW(行数!A60),配列!$C$7,運転予定時間,2,1)</f>
        <v>#NAME?</v>
      </c>
      <c r="K65" s="117" t="e">
        <f ca="1">[0]!CSVVLookUP(ROW(行数!A60),配列!$C$7,運転予定時間,3,1)</f>
        <v>#NAME?</v>
      </c>
      <c r="L65" s="117" t="e">
        <f ca="1">[0]!CSVVLookUP(ROW(行数!A60),配列!$C$7,運転予定時間,4,1)</f>
        <v>#NAME?</v>
      </c>
      <c r="M65" s="94" t="e">
        <f ca="1">[0]!CSVVLookUP(ROW(行数!A60),配列!$C$7,運転予定時間,5,1)</f>
        <v>#NAME?</v>
      </c>
      <c r="N65" s="94" t="e">
        <f t="shared" ca="1" si="7"/>
        <v>#NAME?</v>
      </c>
      <c r="O65" s="147" t="e">
        <f ca="1">IF(K65="","",ROW(行数!A60))</f>
        <v>#NAME?</v>
      </c>
    </row>
    <row r="66" spans="2:15" x14ac:dyDescent="0.2">
      <c r="B66" s="146" t="e">
        <f t="shared" ca="1" si="8"/>
        <v>#REF!</v>
      </c>
      <c r="C66" s="180">
        <v>45481.674305555563</v>
      </c>
      <c r="D66" s="180">
        <v>45481.675000000003</v>
      </c>
      <c r="E66" s="80"/>
      <c r="F66" s="140">
        <f t="shared" si="5"/>
        <v>6.9444444444444447E-4</v>
      </c>
      <c r="G66" s="147" t="e">
        <f t="shared" ca="1" si="9"/>
        <v>#REF!</v>
      </c>
      <c r="I66" s="146" t="e">
        <f ca="1">[0]!CSVVLookUP(ROW(行数!A61),配列!$C$7,運転予定時間,1,1)</f>
        <v>#NAME?</v>
      </c>
      <c r="J66" s="158" t="e">
        <f ca="1">[0]!CSVVLookUP(ROW(行数!A61),配列!$C$7,運転予定時間,2,1)</f>
        <v>#NAME?</v>
      </c>
      <c r="K66" s="117" t="e">
        <f ca="1">[0]!CSVVLookUP(ROW(行数!A61),配列!$C$7,運転予定時間,3,1)</f>
        <v>#NAME?</v>
      </c>
      <c r="L66" s="117" t="e">
        <f ca="1">[0]!CSVVLookUP(ROW(行数!A61),配列!$C$7,運転予定時間,4,1)</f>
        <v>#NAME?</v>
      </c>
      <c r="M66" s="94" t="e">
        <f ca="1">[0]!CSVVLookUP(ROW(行数!A61),配列!$C$7,運転予定時間,5,1)</f>
        <v>#NAME?</v>
      </c>
      <c r="N66" s="94" t="e">
        <f t="shared" ca="1" si="7"/>
        <v>#NAME?</v>
      </c>
      <c r="O66" s="147" t="e">
        <f ca="1">IF(K66="","",ROW(行数!A61))</f>
        <v>#NAME?</v>
      </c>
    </row>
    <row r="67" spans="2:15" x14ac:dyDescent="0.2">
      <c r="B67" s="146" t="e">
        <f t="shared" ca="1" si="8"/>
        <v>#REF!</v>
      </c>
      <c r="C67" s="180">
        <v>45481.855555555558</v>
      </c>
      <c r="D67" s="180">
        <v>45481.857638888891</v>
      </c>
      <c r="E67" s="80"/>
      <c r="F67" s="140">
        <f t="shared" si="5"/>
        <v>2.0833333333333333E-3</v>
      </c>
      <c r="G67" s="147" t="e">
        <f t="shared" ca="1" si="9"/>
        <v>#REF!</v>
      </c>
      <c r="I67" s="146" t="e">
        <f ca="1">[0]!CSVVLookUP(ROW(行数!A62),配列!$C$7,運転予定時間,1,1)</f>
        <v>#NAME?</v>
      </c>
      <c r="J67" s="158" t="e">
        <f ca="1">[0]!CSVVLookUP(ROW(行数!A62),配列!$C$7,運転予定時間,2,1)</f>
        <v>#NAME?</v>
      </c>
      <c r="K67" s="117" t="e">
        <f ca="1">[0]!CSVVLookUP(ROW(行数!A62),配列!$C$7,運転予定時間,3,1)</f>
        <v>#NAME?</v>
      </c>
      <c r="L67" s="117" t="e">
        <f ca="1">[0]!CSVVLookUP(ROW(行数!A62),配列!$C$7,運転予定時間,4,1)</f>
        <v>#NAME?</v>
      </c>
      <c r="M67" s="94" t="e">
        <f ca="1">[0]!CSVVLookUP(ROW(行数!A62),配列!$C$7,運転予定時間,5,1)</f>
        <v>#NAME?</v>
      </c>
      <c r="N67" s="94" t="e">
        <f t="shared" ca="1" si="7"/>
        <v>#NAME?</v>
      </c>
      <c r="O67" s="147" t="e">
        <f ca="1">IF(K67="","",ROW(行数!A62))</f>
        <v>#NAME?</v>
      </c>
    </row>
    <row r="68" spans="2:15" x14ac:dyDescent="0.2">
      <c r="B68" s="146" t="e">
        <f t="shared" ca="1" si="8"/>
        <v>#REF!</v>
      </c>
      <c r="C68" s="180">
        <v>45482.263888888891</v>
      </c>
      <c r="D68" s="180">
        <v>45482.416666666657</v>
      </c>
      <c r="E68" s="80" t="s">
        <v>212</v>
      </c>
      <c r="F68" s="140">
        <f t="shared" si="5"/>
        <v>0.15277777777777779</v>
      </c>
      <c r="G68" s="147" t="e">
        <f t="shared" ca="1" si="9"/>
        <v>#REF!</v>
      </c>
      <c r="I68" s="146" t="e">
        <f ca="1">[0]!CSVVLookUP(ROW(行数!A63),配列!$C$7,運転予定時間,1,1)</f>
        <v>#NAME?</v>
      </c>
      <c r="J68" s="158" t="e">
        <f ca="1">[0]!CSVVLookUP(ROW(行数!A63),配列!$C$7,運転予定時間,2,1)</f>
        <v>#NAME?</v>
      </c>
      <c r="K68" s="117" t="e">
        <f ca="1">[0]!CSVVLookUP(ROW(行数!A63),配列!$C$7,運転予定時間,3,1)</f>
        <v>#NAME?</v>
      </c>
      <c r="L68" s="117" t="e">
        <f ca="1">[0]!CSVVLookUP(ROW(行数!A63),配列!$C$7,運転予定時間,4,1)</f>
        <v>#NAME?</v>
      </c>
      <c r="M68" s="94" t="e">
        <f ca="1">[0]!CSVVLookUP(ROW(行数!A63),配列!$C$7,運転予定時間,5,1)</f>
        <v>#NAME?</v>
      </c>
      <c r="N68" s="94" t="e">
        <f t="shared" ca="1" si="7"/>
        <v>#NAME?</v>
      </c>
      <c r="O68" s="147" t="e">
        <f ca="1">IF(K68="","",ROW(行数!A63))</f>
        <v>#NAME?</v>
      </c>
    </row>
    <row r="69" spans="2:15" x14ac:dyDescent="0.2">
      <c r="B69" s="146" t="e">
        <f t="shared" ca="1" si="8"/>
        <v>#REF!</v>
      </c>
      <c r="C69" s="180">
        <v>45482.416666666657</v>
      </c>
      <c r="D69" s="180">
        <v>45482.436805555553</v>
      </c>
      <c r="E69" s="80"/>
      <c r="F69" s="140">
        <f t="shared" si="5"/>
        <v>2.013888888888889E-2</v>
      </c>
      <c r="G69" s="147" t="e">
        <f t="shared" ca="1" si="9"/>
        <v>#REF!</v>
      </c>
      <c r="I69" s="146" t="e">
        <f ca="1">[0]!CSVVLookUP(ROW(行数!A64),配列!$C$7,運転予定時間,1,1)</f>
        <v>#NAME?</v>
      </c>
      <c r="J69" s="158" t="e">
        <f ca="1">[0]!CSVVLookUP(ROW(行数!A64),配列!$C$7,運転予定時間,2,1)</f>
        <v>#NAME?</v>
      </c>
      <c r="K69" s="117" t="e">
        <f ca="1">[0]!CSVVLookUP(ROW(行数!A64),配列!$C$7,運転予定時間,3,1)</f>
        <v>#NAME?</v>
      </c>
      <c r="L69" s="117" t="e">
        <f ca="1">[0]!CSVVLookUP(ROW(行数!A64),配列!$C$7,運転予定時間,4,1)</f>
        <v>#NAME?</v>
      </c>
      <c r="M69" s="94" t="e">
        <f ca="1">[0]!CSVVLookUP(ROW(行数!A64),配列!$C$7,運転予定時間,5,1)</f>
        <v>#NAME?</v>
      </c>
      <c r="N69" s="94" t="e">
        <f t="shared" ca="1" si="7"/>
        <v>#NAME?</v>
      </c>
      <c r="O69" s="147" t="e">
        <f ca="1">IF(K69="","",ROW(行数!A64))</f>
        <v>#NAME?</v>
      </c>
    </row>
    <row r="70" spans="2:15" x14ac:dyDescent="0.2">
      <c r="B70" s="146" t="e">
        <f t="shared" ca="1" si="8"/>
        <v>#REF!</v>
      </c>
      <c r="C70" s="180">
        <v>45482.518750000003</v>
      </c>
      <c r="D70" s="180">
        <v>45482.647222222222</v>
      </c>
      <c r="E70" s="80" t="s">
        <v>212</v>
      </c>
      <c r="F70" s="140">
        <f t="shared" si="5"/>
        <v>0.12847222222222224</v>
      </c>
      <c r="G70" s="147" t="e">
        <f t="shared" ca="1" si="9"/>
        <v>#REF!</v>
      </c>
      <c r="I70" s="146" t="e">
        <f ca="1">[0]!CSVVLookUP(ROW(行数!A65),配列!$C$7,運転予定時間,1,1)</f>
        <v>#NAME?</v>
      </c>
      <c r="J70" s="158" t="e">
        <f ca="1">[0]!CSVVLookUP(ROW(行数!A65),配列!$C$7,運転予定時間,2,1)</f>
        <v>#NAME?</v>
      </c>
      <c r="K70" s="117" t="e">
        <f ca="1">[0]!CSVVLookUP(ROW(行数!A65),配列!$C$7,運転予定時間,3,1)</f>
        <v>#NAME?</v>
      </c>
      <c r="L70" s="117" t="e">
        <f ca="1">[0]!CSVVLookUP(ROW(行数!A65),配列!$C$7,運転予定時間,4,1)</f>
        <v>#NAME?</v>
      </c>
      <c r="M70" s="94" t="e">
        <f ca="1">[0]!CSVVLookUP(ROW(行数!A65),配列!$C$7,運転予定時間,5,1)</f>
        <v>#NAME?</v>
      </c>
      <c r="N70" s="94" t="e">
        <f t="shared" ref="N70:N101" ca="1" si="10">IF(K70="","",SUMIF($G$6:$G$841,O70,$F$6:$F$841))</f>
        <v>#NAME?</v>
      </c>
      <c r="O70" s="147" t="e">
        <f ca="1">IF(K70="","",ROW(行数!A65))</f>
        <v>#NAME?</v>
      </c>
    </row>
    <row r="71" spans="2:15" x14ac:dyDescent="0.2">
      <c r="B71" s="146" t="e">
        <f t="shared" ca="1" si="8"/>
        <v>#REF!</v>
      </c>
      <c r="C71" s="180">
        <v>45482.761111111111</v>
      </c>
      <c r="D71" s="180">
        <v>45482.761805555558</v>
      </c>
      <c r="E71" s="80"/>
      <c r="F71" s="140">
        <f t="shared" si="5"/>
        <v>6.9444444444444447E-4</v>
      </c>
      <c r="G71" s="147" t="e">
        <f t="shared" ca="1" si="9"/>
        <v>#REF!</v>
      </c>
      <c r="I71" s="146" t="e">
        <f ca="1">[0]!CSVVLookUP(ROW(行数!A66),配列!$C$7,運転予定時間,1,1)</f>
        <v>#NAME?</v>
      </c>
      <c r="J71" s="158" t="e">
        <f ca="1">[0]!CSVVLookUP(ROW(行数!A66),配列!$C$7,運転予定時間,2,1)</f>
        <v>#NAME?</v>
      </c>
      <c r="K71" s="117" t="e">
        <f ca="1">[0]!CSVVLookUP(ROW(行数!A66),配列!$C$7,運転予定時間,3,1)</f>
        <v>#NAME?</v>
      </c>
      <c r="L71" s="117" t="e">
        <f ca="1">[0]!CSVVLookUP(ROW(行数!A66),配列!$C$7,運転予定時間,4,1)</f>
        <v>#NAME?</v>
      </c>
      <c r="M71" s="94" t="e">
        <f ca="1">[0]!CSVVLookUP(ROW(行数!A66),配列!$C$7,運転予定時間,5,1)</f>
        <v>#NAME?</v>
      </c>
      <c r="N71" s="94" t="e">
        <f t="shared" ca="1" si="10"/>
        <v>#NAME?</v>
      </c>
      <c r="O71" s="147" t="e">
        <f ca="1">IF(K71="","",ROW(行数!A66))</f>
        <v>#NAME?</v>
      </c>
    </row>
    <row r="72" spans="2:15" x14ac:dyDescent="0.2">
      <c r="B72" s="146" t="e">
        <f t="shared" ca="1" si="8"/>
        <v>#REF!</v>
      </c>
      <c r="C72" s="180">
        <v>45483.425000000003</v>
      </c>
      <c r="D72" s="180">
        <v>45483.425694444442</v>
      </c>
      <c r="E72" s="80"/>
      <c r="F72" s="140">
        <f t="shared" si="5"/>
        <v>6.9444444444444447E-4</v>
      </c>
      <c r="G72" s="147" t="e">
        <f t="shared" ca="1" si="9"/>
        <v>#REF!</v>
      </c>
      <c r="I72" s="146" t="e">
        <f ca="1">[0]!CSVVLookUP(ROW(行数!A67),配列!$C$7,運転予定時間,1,1)</f>
        <v>#NAME?</v>
      </c>
      <c r="J72" s="158" t="e">
        <f ca="1">[0]!CSVVLookUP(ROW(行数!A67),配列!$C$7,運転予定時間,2,1)</f>
        <v>#NAME?</v>
      </c>
      <c r="K72" s="117" t="e">
        <f ca="1">[0]!CSVVLookUP(ROW(行数!A67),配列!$C$7,運転予定時間,3,1)</f>
        <v>#NAME?</v>
      </c>
      <c r="L72" s="117" t="e">
        <f ca="1">[0]!CSVVLookUP(ROW(行数!A67),配列!$C$7,運転予定時間,4,1)</f>
        <v>#NAME?</v>
      </c>
      <c r="M72" s="94" t="e">
        <f ca="1">[0]!CSVVLookUP(ROW(行数!A67),配列!$C$7,運転予定時間,5,1)</f>
        <v>#NAME?</v>
      </c>
      <c r="N72" s="94" t="e">
        <f t="shared" ca="1" si="10"/>
        <v>#NAME?</v>
      </c>
      <c r="O72" s="147" t="e">
        <f ca="1">IF(K72="","",ROW(行数!A67))</f>
        <v>#NAME?</v>
      </c>
    </row>
    <row r="73" spans="2:15" x14ac:dyDescent="0.2">
      <c r="B73" s="146" t="e">
        <f t="shared" ca="1" si="8"/>
        <v>#REF!</v>
      </c>
      <c r="C73" s="180">
        <v>45484.506944444453</v>
      </c>
      <c r="D73" s="180">
        <v>45484.507638888892</v>
      </c>
      <c r="E73" s="80"/>
      <c r="F73" s="140">
        <f t="shared" si="5"/>
        <v>6.9444444444444447E-4</v>
      </c>
      <c r="G73" s="147" t="e">
        <f t="shared" ca="1" si="9"/>
        <v>#REF!</v>
      </c>
      <c r="I73" s="146" t="e">
        <f ca="1">[0]!CSVVLookUP(ROW(行数!A68),配列!$C$7,運転予定時間,1,1)</f>
        <v>#NAME?</v>
      </c>
      <c r="J73" s="158" t="e">
        <f ca="1">[0]!CSVVLookUP(ROW(行数!A68),配列!$C$7,運転予定時間,2,1)</f>
        <v>#NAME?</v>
      </c>
      <c r="K73" s="117" t="e">
        <f ca="1">[0]!CSVVLookUP(ROW(行数!A68),配列!$C$7,運転予定時間,3,1)</f>
        <v>#NAME?</v>
      </c>
      <c r="L73" s="117" t="e">
        <f ca="1">[0]!CSVVLookUP(ROW(行数!A68),配列!$C$7,運転予定時間,4,1)</f>
        <v>#NAME?</v>
      </c>
      <c r="M73" s="94" t="e">
        <f ca="1">[0]!CSVVLookUP(ROW(行数!A68),配列!$C$7,運転予定時間,5,1)</f>
        <v>#NAME?</v>
      </c>
      <c r="N73" s="94" t="e">
        <f t="shared" ca="1" si="10"/>
        <v>#NAME?</v>
      </c>
      <c r="O73" s="147" t="e">
        <f ca="1">IF(K73="","",ROW(行数!A68))</f>
        <v>#NAME?</v>
      </c>
    </row>
    <row r="74" spans="2:15" x14ac:dyDescent="0.2">
      <c r="B74" s="146" t="e">
        <f t="shared" ca="1" si="8"/>
        <v>#REF!</v>
      </c>
      <c r="C74" s="180">
        <v>45484.531944444447</v>
      </c>
      <c r="D74" s="180">
        <v>45484.540972222218</v>
      </c>
      <c r="E74" s="80"/>
      <c r="F74" s="140">
        <f t="shared" si="5"/>
        <v>9.0277777777777787E-3</v>
      </c>
      <c r="G74" s="147" t="e">
        <f t="shared" ca="1" si="9"/>
        <v>#REF!</v>
      </c>
      <c r="I74" s="146" t="e">
        <f ca="1">[0]!CSVVLookUP(ROW(行数!A69),配列!$C$7,運転予定時間,1,1)</f>
        <v>#NAME?</v>
      </c>
      <c r="J74" s="158" t="e">
        <f ca="1">[0]!CSVVLookUP(ROW(行数!A69),配列!$C$7,運転予定時間,2,1)</f>
        <v>#NAME?</v>
      </c>
      <c r="K74" s="117" t="e">
        <f ca="1">[0]!CSVVLookUP(ROW(行数!A69),配列!$C$7,運転予定時間,3,1)</f>
        <v>#NAME?</v>
      </c>
      <c r="L74" s="117" t="e">
        <f ca="1">[0]!CSVVLookUP(ROW(行数!A69),配列!$C$7,運転予定時間,4,1)</f>
        <v>#NAME?</v>
      </c>
      <c r="M74" s="94" t="e">
        <f ca="1">[0]!CSVVLookUP(ROW(行数!A69),配列!$C$7,運転予定時間,5,1)</f>
        <v>#NAME?</v>
      </c>
      <c r="N74" s="94" t="e">
        <f t="shared" ca="1" si="10"/>
        <v>#NAME?</v>
      </c>
      <c r="O74" s="147" t="e">
        <f ca="1">IF(K74="","",ROW(行数!A69))</f>
        <v>#NAME?</v>
      </c>
    </row>
    <row r="75" spans="2:15" x14ac:dyDescent="0.2">
      <c r="B75" s="146" t="e">
        <f t="shared" ca="1" si="8"/>
        <v>#REF!</v>
      </c>
      <c r="C75" s="180">
        <v>45488.897916666669</v>
      </c>
      <c r="D75" s="180">
        <v>45488.899305555547</v>
      </c>
      <c r="E75" s="80"/>
      <c r="F75" s="140">
        <f t="shared" si="5"/>
        <v>1.3888888888888889E-3</v>
      </c>
      <c r="G75" s="147" t="e">
        <f t="shared" ca="1" si="9"/>
        <v>#REF!</v>
      </c>
      <c r="I75" s="146" t="e">
        <f ca="1">[0]!CSVVLookUP(ROW(行数!A70),配列!$C$7,運転予定時間,1,1)</f>
        <v>#NAME?</v>
      </c>
      <c r="J75" s="158" t="e">
        <f ca="1">[0]!CSVVLookUP(ROW(行数!A70),配列!$C$7,運転予定時間,2,1)</f>
        <v>#NAME?</v>
      </c>
      <c r="K75" s="117" t="e">
        <f ca="1">[0]!CSVVLookUP(ROW(行数!A70),配列!$C$7,運転予定時間,3,1)</f>
        <v>#NAME?</v>
      </c>
      <c r="L75" s="117" t="e">
        <f ca="1">[0]!CSVVLookUP(ROW(行数!A70),配列!$C$7,運転予定時間,4,1)</f>
        <v>#NAME?</v>
      </c>
      <c r="M75" s="94" t="e">
        <f ca="1">[0]!CSVVLookUP(ROW(行数!A70),配列!$C$7,運転予定時間,5,1)</f>
        <v>#NAME?</v>
      </c>
      <c r="N75" s="94" t="e">
        <f t="shared" ca="1" si="10"/>
        <v>#NAME?</v>
      </c>
      <c r="O75" s="147" t="e">
        <f ca="1">IF(K75="","",ROW(行数!A70))</f>
        <v>#NAME?</v>
      </c>
    </row>
    <row r="76" spans="2:15" x14ac:dyDescent="0.2">
      <c r="B76" s="146" t="e">
        <f t="shared" ca="1" si="8"/>
        <v>#REF!</v>
      </c>
      <c r="C76" s="180">
        <v>45496.020833333343</v>
      </c>
      <c r="D76" s="180">
        <v>45496.022222222222</v>
      </c>
      <c r="E76" s="80"/>
      <c r="F76" s="140">
        <f t="shared" si="5"/>
        <v>1.3888888888888889E-3</v>
      </c>
      <c r="G76" s="147" t="e">
        <f t="shared" ca="1" si="9"/>
        <v>#REF!</v>
      </c>
      <c r="I76" s="146" t="e">
        <f ca="1">[0]!CSVVLookUP(ROW(行数!A71),配列!$C$7,運転予定時間,1,1)</f>
        <v>#NAME?</v>
      </c>
      <c r="J76" s="158" t="e">
        <f ca="1">[0]!CSVVLookUP(ROW(行数!A71),配列!$C$7,運転予定時間,2,1)</f>
        <v>#NAME?</v>
      </c>
      <c r="K76" s="117" t="e">
        <f ca="1">[0]!CSVVLookUP(ROW(行数!A71),配列!$C$7,運転予定時間,3,1)</f>
        <v>#NAME?</v>
      </c>
      <c r="L76" s="117" t="e">
        <f ca="1">[0]!CSVVLookUP(ROW(行数!A71),配列!$C$7,運転予定時間,4,1)</f>
        <v>#NAME?</v>
      </c>
      <c r="M76" s="94" t="e">
        <f ca="1">[0]!CSVVLookUP(ROW(行数!A71),配列!$C$7,運転予定時間,5,1)</f>
        <v>#NAME?</v>
      </c>
      <c r="N76" s="94" t="e">
        <f t="shared" ca="1" si="10"/>
        <v>#NAME?</v>
      </c>
      <c r="O76" s="147" t="e">
        <f ca="1">IF(K76="","",ROW(行数!A71))</f>
        <v>#NAME?</v>
      </c>
    </row>
    <row r="77" spans="2:15" x14ac:dyDescent="0.2">
      <c r="B77" s="146" t="e">
        <f t="shared" ref="B77:B103" ca="1" si="11">IF(C77="","",VLOOKUP(C77,ユニット判定用,3))</f>
        <v>#REF!</v>
      </c>
      <c r="C77" s="180">
        <v>45505.395833333343</v>
      </c>
      <c r="D77" s="180">
        <v>45505.416666666657</v>
      </c>
      <c r="E77" s="80"/>
      <c r="F77" s="140">
        <f t="shared" ref="F77:F88" si="12">IF(C77="","",MROUND(D77-C77,"00:01"))</f>
        <v>2.0833333333333336E-2</v>
      </c>
      <c r="G77" s="147" t="e">
        <f t="shared" ref="G77:G103" ca="1" si="13">IF(C77="","",VLOOKUP(C77,施設運転・利用調整時間判定,5,1))</f>
        <v>#REF!</v>
      </c>
      <c r="I77" s="146" t="e">
        <f ca="1">[0]!CSVVLookUP(ROW(行数!A72),配列!$C$7,運転予定時間,1,1)</f>
        <v>#NAME?</v>
      </c>
      <c r="J77" s="158" t="e">
        <f ca="1">[0]!CSVVLookUP(ROW(行数!A72),配列!$C$7,運転予定時間,2,1)</f>
        <v>#NAME?</v>
      </c>
      <c r="K77" s="117" t="e">
        <f ca="1">[0]!CSVVLookUP(ROW(行数!A72),配列!$C$7,運転予定時間,3,1)</f>
        <v>#NAME?</v>
      </c>
      <c r="L77" s="117" t="e">
        <f ca="1">[0]!CSVVLookUP(ROW(行数!A72),配列!$C$7,運転予定時間,4,1)</f>
        <v>#NAME?</v>
      </c>
      <c r="M77" s="94" t="e">
        <f ca="1">[0]!CSVVLookUP(ROW(行数!A72),配列!$C$7,運転予定時間,5,1)</f>
        <v>#NAME?</v>
      </c>
      <c r="N77" s="94" t="e">
        <f t="shared" ca="1" si="10"/>
        <v>#NAME?</v>
      </c>
      <c r="O77" s="147" t="e">
        <f ca="1">IF(K77="","",ROW(行数!A72))</f>
        <v>#NAME?</v>
      </c>
    </row>
    <row r="78" spans="2:15" x14ac:dyDescent="0.2">
      <c r="B78" s="146" t="e">
        <f t="shared" ca="1" si="11"/>
        <v>#REF!</v>
      </c>
      <c r="C78" s="180">
        <v>45552.416666666657</v>
      </c>
      <c r="D78" s="180">
        <v>45552.568055555559</v>
      </c>
      <c r="E78" s="80" t="s">
        <v>212</v>
      </c>
      <c r="F78" s="140">
        <f t="shared" si="12"/>
        <v>0.15138888888888891</v>
      </c>
      <c r="G78" s="147" t="e">
        <f t="shared" ca="1" si="13"/>
        <v>#REF!</v>
      </c>
      <c r="I78" s="146" t="e">
        <f ca="1">[0]!CSVVLookUP(ROW(行数!A73),配列!$C$7,運転予定時間,1,1)</f>
        <v>#NAME?</v>
      </c>
      <c r="J78" s="158" t="e">
        <f ca="1">[0]!CSVVLookUP(ROW(行数!A73),配列!$C$7,運転予定時間,2,1)</f>
        <v>#NAME?</v>
      </c>
      <c r="K78" s="117" t="e">
        <f ca="1">[0]!CSVVLookUP(ROW(行数!A73),配列!$C$7,運転予定時間,3,1)</f>
        <v>#NAME?</v>
      </c>
      <c r="L78" s="117" t="e">
        <f ca="1">[0]!CSVVLookUP(ROW(行数!A73),配列!$C$7,運転予定時間,4,1)</f>
        <v>#NAME?</v>
      </c>
      <c r="M78" s="94" t="e">
        <f ca="1">[0]!CSVVLookUP(ROW(行数!A73),配列!$C$7,運転予定時間,5,1)</f>
        <v>#NAME?</v>
      </c>
      <c r="N78" s="94" t="e">
        <f t="shared" ca="1" si="10"/>
        <v>#NAME?</v>
      </c>
      <c r="O78" s="147" t="e">
        <f ca="1">IF(K78="","",ROW(行数!A73))</f>
        <v>#NAME?</v>
      </c>
    </row>
    <row r="79" spans="2:15" ht="12" customHeight="1" x14ac:dyDescent="0.2">
      <c r="B79" s="146" t="e">
        <f t="shared" ca="1" si="11"/>
        <v>#REF!</v>
      </c>
      <c r="C79" s="180">
        <v>45552.586111111108</v>
      </c>
      <c r="D79" s="180">
        <v>45552.587500000001</v>
      </c>
      <c r="E79" s="80"/>
      <c r="F79" s="140">
        <f t="shared" si="12"/>
        <v>1.3888888888888889E-3</v>
      </c>
      <c r="G79" s="147" t="e">
        <f t="shared" ca="1" si="13"/>
        <v>#REF!</v>
      </c>
      <c r="I79" s="146" t="e">
        <f ca="1">[0]!CSVVLookUP(ROW(行数!A74),配列!$C$7,運転予定時間,1,1)</f>
        <v>#NAME?</v>
      </c>
      <c r="J79" s="158" t="e">
        <f ca="1">[0]!CSVVLookUP(ROW(行数!A74),配列!$C$7,運転予定時間,2,1)</f>
        <v>#NAME?</v>
      </c>
      <c r="K79" s="117" t="e">
        <f ca="1">[0]!CSVVLookUP(ROW(行数!A74),配列!$C$7,運転予定時間,3,1)</f>
        <v>#NAME?</v>
      </c>
      <c r="L79" s="117" t="e">
        <f ca="1">[0]!CSVVLookUP(ROW(行数!A74),配列!$C$7,運転予定時間,4,1)</f>
        <v>#NAME?</v>
      </c>
      <c r="M79" s="94" t="e">
        <f ca="1">[0]!CSVVLookUP(ROW(行数!A74),配列!$C$7,運転予定時間,5,1)</f>
        <v>#NAME?</v>
      </c>
      <c r="N79" s="94" t="e">
        <f t="shared" ca="1" si="10"/>
        <v>#NAME?</v>
      </c>
      <c r="O79" s="147" t="e">
        <f ca="1">IF(K79="","",ROW(行数!A74))</f>
        <v>#NAME?</v>
      </c>
    </row>
    <row r="80" spans="2:15" x14ac:dyDescent="0.2">
      <c r="B80" s="146" t="e">
        <f t="shared" ca="1" si="11"/>
        <v>#REF!</v>
      </c>
      <c r="C80" s="180">
        <v>45553.063888888893</v>
      </c>
      <c r="D80" s="180">
        <v>45553.081250000003</v>
      </c>
      <c r="E80" s="80"/>
      <c r="F80" s="140">
        <f t="shared" si="12"/>
        <v>1.7361111111111112E-2</v>
      </c>
      <c r="G80" s="147" t="e">
        <f t="shared" ca="1" si="13"/>
        <v>#REF!</v>
      </c>
      <c r="I80" s="146" t="e">
        <f ca="1">[0]!CSVVLookUP(ROW(行数!A75),配列!$C$7,運転予定時間,1,1)</f>
        <v>#NAME?</v>
      </c>
      <c r="J80" s="158" t="e">
        <f ca="1">[0]!CSVVLookUP(ROW(行数!A75),配列!$C$7,運転予定時間,2,1)</f>
        <v>#NAME?</v>
      </c>
      <c r="K80" s="117" t="e">
        <f ca="1">[0]!CSVVLookUP(ROW(行数!A75),配列!$C$7,運転予定時間,3,1)</f>
        <v>#NAME?</v>
      </c>
      <c r="L80" s="117" t="e">
        <f ca="1">[0]!CSVVLookUP(ROW(行数!A75),配列!$C$7,運転予定時間,4,1)</f>
        <v>#NAME?</v>
      </c>
      <c r="M80" s="94" t="e">
        <f ca="1">[0]!CSVVLookUP(ROW(行数!A75),配列!$C$7,運転予定時間,5,1)</f>
        <v>#NAME?</v>
      </c>
      <c r="N80" s="94" t="e">
        <f t="shared" ca="1" si="10"/>
        <v>#NAME?</v>
      </c>
      <c r="O80" s="147" t="e">
        <f ca="1">IF(K80="","",ROW(行数!A75))</f>
        <v>#NAME?</v>
      </c>
    </row>
    <row r="81" spans="2:15" x14ac:dyDescent="0.2">
      <c r="B81" s="146" t="e">
        <f t="shared" ca="1" si="11"/>
        <v>#REF!</v>
      </c>
      <c r="C81" s="180">
        <v>45553.397916666669</v>
      </c>
      <c r="D81" s="180">
        <v>45553.466666666667</v>
      </c>
      <c r="E81" s="80" t="s">
        <v>212</v>
      </c>
      <c r="F81" s="140">
        <f t="shared" si="12"/>
        <v>6.8750000000000006E-2</v>
      </c>
      <c r="G81" s="147" t="e">
        <f t="shared" ca="1" si="13"/>
        <v>#REF!</v>
      </c>
      <c r="I81" s="146" t="e">
        <f ca="1">[0]!CSVVLookUP(ROW(行数!A76),配列!$C$7,運転予定時間,1,1)</f>
        <v>#NAME?</v>
      </c>
      <c r="J81" s="158" t="e">
        <f ca="1">[0]!CSVVLookUP(ROW(行数!A76),配列!$C$7,運転予定時間,2,1)</f>
        <v>#NAME?</v>
      </c>
      <c r="K81" s="117" t="e">
        <f ca="1">[0]!CSVVLookUP(ROW(行数!A76),配列!$C$7,運転予定時間,3,1)</f>
        <v>#NAME?</v>
      </c>
      <c r="L81" s="117" t="e">
        <f ca="1">[0]!CSVVLookUP(ROW(行数!A76),配列!$C$7,運転予定時間,4,1)</f>
        <v>#NAME?</v>
      </c>
      <c r="M81" s="94" t="e">
        <f ca="1">[0]!CSVVLookUP(ROW(行数!A76),配列!$C$7,運転予定時間,5,1)</f>
        <v>#NAME?</v>
      </c>
      <c r="N81" s="94" t="e">
        <f t="shared" ca="1" si="10"/>
        <v>#NAME?</v>
      </c>
      <c r="O81" s="147" t="e">
        <f ca="1">IF(K81="","",ROW(行数!A76))</f>
        <v>#NAME?</v>
      </c>
    </row>
    <row r="82" spans="2:15" x14ac:dyDescent="0.2">
      <c r="B82" s="146" t="e">
        <f t="shared" ca="1" si="11"/>
        <v>#REF!</v>
      </c>
      <c r="C82" s="180">
        <v>45553.493055555547</v>
      </c>
      <c r="D82" s="180">
        <v>45553.502083333333</v>
      </c>
      <c r="E82" s="80"/>
      <c r="F82" s="140">
        <f t="shared" si="12"/>
        <v>9.0277777777777787E-3</v>
      </c>
      <c r="G82" s="147" t="e">
        <f t="shared" ca="1" si="13"/>
        <v>#REF!</v>
      </c>
      <c r="I82" s="146" t="e">
        <f ca="1">[0]!CSVVLookUP(ROW(行数!A77),配列!$C$7,運転予定時間,1,1)</f>
        <v>#NAME?</v>
      </c>
      <c r="J82" s="158" t="e">
        <f ca="1">[0]!CSVVLookUP(ROW(行数!A77),配列!$C$7,運転予定時間,2,1)</f>
        <v>#NAME?</v>
      </c>
      <c r="K82" s="117" t="e">
        <f ca="1">[0]!CSVVLookUP(ROW(行数!A77),配列!$C$7,運転予定時間,3,1)</f>
        <v>#NAME?</v>
      </c>
      <c r="L82" s="117" t="e">
        <f ca="1">[0]!CSVVLookUP(ROW(行数!A77),配列!$C$7,運転予定時間,4,1)</f>
        <v>#NAME?</v>
      </c>
      <c r="M82" s="94" t="e">
        <f ca="1">[0]!CSVVLookUP(ROW(行数!A77),配列!$C$7,運転予定時間,5,1)</f>
        <v>#NAME?</v>
      </c>
      <c r="N82" s="94" t="e">
        <f t="shared" ca="1" si="10"/>
        <v>#NAME?</v>
      </c>
      <c r="O82" s="147" t="e">
        <f ca="1">IF(K82="","",ROW(行数!A77))</f>
        <v>#NAME?</v>
      </c>
    </row>
    <row r="83" spans="2:15" x14ac:dyDescent="0.2">
      <c r="B83" s="146" t="e">
        <f t="shared" ca="1" si="11"/>
        <v>#REF!</v>
      </c>
      <c r="C83" s="180">
        <v>45553.636111111111</v>
      </c>
      <c r="D83" s="180">
        <v>45553.636805555558</v>
      </c>
      <c r="E83" s="80"/>
      <c r="F83" s="140">
        <f t="shared" si="12"/>
        <v>6.9444444444444447E-4</v>
      </c>
      <c r="G83" s="147" t="e">
        <f t="shared" ca="1" si="13"/>
        <v>#REF!</v>
      </c>
      <c r="I83" s="146" t="e">
        <f ca="1">[0]!CSVVLookUP(ROW(行数!A78),配列!$C$7,運転予定時間,1,1)</f>
        <v>#NAME?</v>
      </c>
      <c r="J83" s="158" t="e">
        <f ca="1">[0]!CSVVLookUP(ROW(行数!A78),配列!$C$7,運転予定時間,2,1)</f>
        <v>#NAME?</v>
      </c>
      <c r="K83" s="117" t="e">
        <f ca="1">[0]!CSVVLookUP(ROW(行数!A78),配列!$C$7,運転予定時間,3,1)</f>
        <v>#NAME?</v>
      </c>
      <c r="L83" s="117" t="e">
        <f ca="1">[0]!CSVVLookUP(ROW(行数!A78),配列!$C$7,運転予定時間,4,1)</f>
        <v>#NAME?</v>
      </c>
      <c r="M83" s="94" t="e">
        <f ca="1">[0]!CSVVLookUP(ROW(行数!A78),配列!$C$7,運転予定時間,5,1)</f>
        <v>#NAME?</v>
      </c>
      <c r="N83" s="94" t="e">
        <f t="shared" ca="1" si="10"/>
        <v>#NAME?</v>
      </c>
      <c r="O83" s="147" t="e">
        <f ca="1">IF(K83="","",ROW(行数!A78))</f>
        <v>#NAME?</v>
      </c>
    </row>
    <row r="84" spans="2:15" x14ac:dyDescent="0.2">
      <c r="B84" s="146" t="e">
        <f t="shared" ca="1" si="11"/>
        <v>#REF!</v>
      </c>
      <c r="C84" s="180">
        <v>45553.768750000003</v>
      </c>
      <c r="D84" s="180">
        <v>45553.775000000001</v>
      </c>
      <c r="E84" s="80"/>
      <c r="F84" s="140">
        <f t="shared" si="12"/>
        <v>6.2500000000000003E-3</v>
      </c>
      <c r="G84" s="147" t="e">
        <f t="shared" ca="1" si="13"/>
        <v>#REF!</v>
      </c>
      <c r="I84" s="146" t="e">
        <f ca="1">[0]!CSVVLookUP(ROW(行数!A79),配列!$C$7,運転予定時間,1,1)</f>
        <v>#NAME?</v>
      </c>
      <c r="J84" s="158" t="e">
        <f ca="1">[0]!CSVVLookUP(ROW(行数!A79),配列!$C$7,運転予定時間,2,1)</f>
        <v>#NAME?</v>
      </c>
      <c r="K84" s="117" t="e">
        <f ca="1">[0]!CSVVLookUP(ROW(行数!A79),配列!$C$7,運転予定時間,3,1)</f>
        <v>#NAME?</v>
      </c>
      <c r="L84" s="117" t="e">
        <f ca="1">[0]!CSVVLookUP(ROW(行数!A79),配列!$C$7,運転予定時間,4,1)</f>
        <v>#NAME?</v>
      </c>
      <c r="M84" s="94" t="e">
        <f ca="1">[0]!CSVVLookUP(ROW(行数!A79),配列!$C$7,運転予定時間,5,1)</f>
        <v>#NAME?</v>
      </c>
      <c r="N84" s="94" t="e">
        <f t="shared" ca="1" si="10"/>
        <v>#NAME?</v>
      </c>
      <c r="O84" s="147" t="e">
        <f ca="1">IF(K84="","",ROW(行数!A79))</f>
        <v>#NAME?</v>
      </c>
    </row>
    <row r="85" spans="2:15" x14ac:dyDescent="0.2">
      <c r="B85" s="146" t="e">
        <f t="shared" ca="1" si="11"/>
        <v>#REF!</v>
      </c>
      <c r="C85" s="180">
        <v>45555.372916666667</v>
      </c>
      <c r="D85" s="180">
        <v>45555.38958333333</v>
      </c>
      <c r="E85" s="80"/>
      <c r="F85" s="140">
        <f t="shared" si="12"/>
        <v>1.6666666666666666E-2</v>
      </c>
      <c r="G85" s="147" t="e">
        <f t="shared" ca="1" si="13"/>
        <v>#REF!</v>
      </c>
      <c r="I85" s="146" t="e">
        <f ca="1">[0]!CSVVLookUP(ROW(行数!A80),配列!$C$7,運転予定時間,1,1)</f>
        <v>#NAME?</v>
      </c>
      <c r="J85" s="158" t="e">
        <f ca="1">[0]!CSVVLookUP(ROW(行数!A80),配列!$C$7,運転予定時間,2,1)</f>
        <v>#NAME?</v>
      </c>
      <c r="K85" s="117" t="e">
        <f ca="1">[0]!CSVVLookUP(ROW(行数!A80),配列!$C$7,運転予定時間,3,1)</f>
        <v>#NAME?</v>
      </c>
      <c r="L85" s="117" t="e">
        <f ca="1">[0]!CSVVLookUP(ROW(行数!A80),配列!$C$7,運転予定時間,4,1)</f>
        <v>#NAME?</v>
      </c>
      <c r="M85" s="94" t="e">
        <f ca="1">[0]!CSVVLookUP(ROW(行数!A80),配列!$C$7,運転予定時間,5,1)</f>
        <v>#NAME?</v>
      </c>
      <c r="N85" s="94" t="e">
        <f t="shared" ca="1" si="10"/>
        <v>#NAME?</v>
      </c>
      <c r="O85" s="147" t="e">
        <f ca="1">IF(K85="","",ROW(行数!A80))</f>
        <v>#NAME?</v>
      </c>
    </row>
    <row r="86" spans="2:15" x14ac:dyDescent="0.2">
      <c r="B86" s="146" t="e">
        <f t="shared" ca="1" si="11"/>
        <v>#REF!</v>
      </c>
      <c r="C86" s="180">
        <v>45556.011805555558</v>
      </c>
      <c r="D86" s="180">
        <v>45556.012499999997</v>
      </c>
      <c r="E86" s="80"/>
      <c r="F86" s="140">
        <f t="shared" si="12"/>
        <v>6.9444444444444447E-4</v>
      </c>
      <c r="G86" s="147" t="e">
        <f t="shared" ca="1" si="13"/>
        <v>#REF!</v>
      </c>
      <c r="I86" s="146" t="e">
        <f ca="1">[0]!CSVVLookUP(ROW(行数!A81),配列!$C$7,運転予定時間,1,1)</f>
        <v>#NAME?</v>
      </c>
      <c r="J86" s="158" t="e">
        <f ca="1">[0]!CSVVLookUP(ROW(行数!A81),配列!$C$7,運転予定時間,2,1)</f>
        <v>#NAME?</v>
      </c>
      <c r="K86" s="117" t="e">
        <f ca="1">[0]!CSVVLookUP(ROW(行数!A81),配列!$C$7,運転予定時間,3,1)</f>
        <v>#NAME?</v>
      </c>
      <c r="L86" s="117" t="e">
        <f ca="1">[0]!CSVVLookUP(ROW(行数!A81),配列!$C$7,運転予定時間,4,1)</f>
        <v>#NAME?</v>
      </c>
      <c r="M86" s="94" t="e">
        <f ca="1">[0]!CSVVLookUP(ROW(行数!A81),配列!$C$7,運転予定時間,5,1)</f>
        <v>#NAME?</v>
      </c>
      <c r="N86" s="94" t="e">
        <f t="shared" ca="1" si="10"/>
        <v>#NAME?</v>
      </c>
      <c r="O86" s="147" t="e">
        <f ca="1">IF(K86="","",ROW(行数!A81))</f>
        <v>#NAME?</v>
      </c>
    </row>
    <row r="87" spans="2:15" x14ac:dyDescent="0.2">
      <c r="B87" s="146" t="e">
        <f t="shared" ca="1" si="11"/>
        <v>#REF!</v>
      </c>
      <c r="C87" s="180">
        <v>45561.293749999997</v>
      </c>
      <c r="D87" s="180">
        <v>45561.294444444437</v>
      </c>
      <c r="E87" s="80"/>
      <c r="F87" s="140">
        <f t="shared" si="12"/>
        <v>6.9444444444444447E-4</v>
      </c>
      <c r="G87" s="147" t="e">
        <f t="shared" ca="1" si="13"/>
        <v>#REF!</v>
      </c>
      <c r="I87" s="146" t="e">
        <f ca="1">[0]!CSVVLookUP(ROW(行数!A82),配列!$C$7,運転予定時間,1,1)</f>
        <v>#NAME?</v>
      </c>
      <c r="J87" s="158" t="e">
        <f ca="1">[0]!CSVVLookUP(ROW(行数!A82),配列!$C$7,運転予定時間,2,1)</f>
        <v>#NAME?</v>
      </c>
      <c r="K87" s="117" t="e">
        <f ca="1">[0]!CSVVLookUP(ROW(行数!A82),配列!$C$7,運転予定時間,3,1)</f>
        <v>#NAME?</v>
      </c>
      <c r="L87" s="117" t="e">
        <f ca="1">[0]!CSVVLookUP(ROW(行数!A82),配列!$C$7,運転予定時間,4,1)</f>
        <v>#NAME?</v>
      </c>
      <c r="M87" s="94" t="e">
        <f ca="1">[0]!CSVVLookUP(ROW(行数!A82),配列!$C$7,運転予定時間,5,1)</f>
        <v>#NAME?</v>
      </c>
      <c r="N87" s="94" t="e">
        <f t="shared" ca="1" si="10"/>
        <v>#NAME?</v>
      </c>
      <c r="O87" s="147" t="e">
        <f ca="1">IF(K87="","",ROW(行数!A82))</f>
        <v>#NAME?</v>
      </c>
    </row>
    <row r="88" spans="2:15" x14ac:dyDescent="0.2">
      <c r="B88" s="146" t="e">
        <f t="shared" ca="1" si="11"/>
        <v>#REF!</v>
      </c>
      <c r="C88" s="180">
        <v>45564.475694444453</v>
      </c>
      <c r="D88" s="180">
        <v>45564.477083333331</v>
      </c>
      <c r="E88" s="80"/>
      <c r="F88" s="140">
        <f t="shared" si="12"/>
        <v>1.3888888888888889E-3</v>
      </c>
      <c r="G88" s="147" t="e">
        <f t="shared" ca="1" si="13"/>
        <v>#REF!</v>
      </c>
      <c r="I88" s="146" t="e">
        <f ca="1">[0]!CSVVLookUP(ROW(行数!A83),配列!$C$7,運転予定時間,1,1)</f>
        <v>#NAME?</v>
      </c>
      <c r="J88" s="158" t="e">
        <f ca="1">[0]!CSVVLookUP(ROW(行数!A83),配列!$C$7,運転予定時間,2,1)</f>
        <v>#NAME?</v>
      </c>
      <c r="K88" s="117" t="e">
        <f ca="1">[0]!CSVVLookUP(ROW(行数!A83),配列!$C$7,運転予定時間,3,1)</f>
        <v>#NAME?</v>
      </c>
      <c r="L88" s="117" t="e">
        <f ca="1">[0]!CSVVLookUP(ROW(行数!A83),配列!$C$7,運転予定時間,4,1)</f>
        <v>#NAME?</v>
      </c>
      <c r="M88" s="94" t="e">
        <f ca="1">[0]!CSVVLookUP(ROW(行数!A83),配列!$C$7,運転予定時間,5,1)</f>
        <v>#NAME?</v>
      </c>
      <c r="N88" s="94" t="e">
        <f t="shared" ca="1" si="10"/>
        <v>#NAME?</v>
      </c>
      <c r="O88" s="147" t="e">
        <f ca="1">IF(K88="","",ROW(行数!A83))</f>
        <v>#NAME?</v>
      </c>
    </row>
    <row r="89" spans="2:15" x14ac:dyDescent="0.2">
      <c r="B89" s="146" t="e">
        <f t="shared" ca="1" si="11"/>
        <v>#REF!</v>
      </c>
      <c r="C89" s="180">
        <v>45566.10833333333</v>
      </c>
      <c r="D89" s="180">
        <v>45566.109027777777</v>
      </c>
      <c r="E89" s="80"/>
      <c r="F89" s="140">
        <f t="shared" ref="F89:F113" si="14">IF(C89="","",MROUND(D89-C89,"00:01"))</f>
        <v>6.9444444444444447E-4</v>
      </c>
      <c r="G89" s="147" t="e">
        <f t="shared" ca="1" si="13"/>
        <v>#REF!</v>
      </c>
      <c r="I89" s="146" t="e">
        <f ca="1">[0]!CSVVLookUP(ROW(行数!A84),配列!$C$7,運転予定時間,1,1)</f>
        <v>#NAME?</v>
      </c>
      <c r="J89" s="158" t="e">
        <f ca="1">[0]!CSVVLookUP(ROW(行数!A84),配列!$C$7,運転予定時間,2,1)</f>
        <v>#NAME?</v>
      </c>
      <c r="K89" s="117" t="e">
        <f ca="1">[0]!CSVVLookUP(ROW(行数!A84),配列!$C$7,運転予定時間,3,1)</f>
        <v>#NAME?</v>
      </c>
      <c r="L89" s="117" t="e">
        <f ca="1">[0]!CSVVLookUP(ROW(行数!A84),配列!$C$7,運転予定時間,4,1)</f>
        <v>#NAME?</v>
      </c>
      <c r="M89" s="94" t="e">
        <f ca="1">[0]!CSVVLookUP(ROW(行数!A84),配列!$C$7,運転予定時間,5,1)</f>
        <v>#NAME?</v>
      </c>
      <c r="N89" s="94" t="e">
        <f t="shared" ca="1" si="10"/>
        <v>#NAME?</v>
      </c>
      <c r="O89" s="147" t="e">
        <f ca="1">IF(K89="","",ROW(行数!A84))</f>
        <v>#NAME?</v>
      </c>
    </row>
    <row r="90" spans="2:15" x14ac:dyDescent="0.2">
      <c r="B90" s="146" t="e">
        <f t="shared" ca="1" si="11"/>
        <v>#REF!</v>
      </c>
      <c r="C90" s="180">
        <v>45568.730555555558</v>
      </c>
      <c r="D90" s="180">
        <v>45568.731944444437</v>
      </c>
      <c r="E90" s="80"/>
      <c r="F90" s="140">
        <f t="shared" si="14"/>
        <v>1.3888888888888889E-3</v>
      </c>
      <c r="G90" s="147" t="e">
        <f t="shared" ca="1" si="13"/>
        <v>#REF!</v>
      </c>
      <c r="I90" s="146" t="e">
        <f ca="1">[0]!CSVVLookUP(ROW(行数!A85),配列!$C$7,運転予定時間,1,1)</f>
        <v>#NAME?</v>
      </c>
      <c r="J90" s="158" t="e">
        <f ca="1">[0]!CSVVLookUP(ROW(行数!A85),配列!$C$7,運転予定時間,2,1)</f>
        <v>#NAME?</v>
      </c>
      <c r="K90" s="117" t="e">
        <f ca="1">[0]!CSVVLookUP(ROW(行数!A85),配列!$C$7,運転予定時間,3,1)</f>
        <v>#NAME?</v>
      </c>
      <c r="L90" s="117" t="e">
        <f ca="1">[0]!CSVVLookUP(ROW(行数!A85),配列!$C$7,運転予定時間,4,1)</f>
        <v>#NAME?</v>
      </c>
      <c r="M90" s="94" t="e">
        <f ca="1">[0]!CSVVLookUP(ROW(行数!A85),配列!$C$7,運転予定時間,5,1)</f>
        <v>#NAME?</v>
      </c>
      <c r="N90" s="94" t="e">
        <f t="shared" ca="1" si="10"/>
        <v>#NAME?</v>
      </c>
      <c r="O90" s="147" t="e">
        <f ca="1">IF(K90="","",ROW(行数!A85))</f>
        <v>#NAME?</v>
      </c>
    </row>
    <row r="91" spans="2:15" x14ac:dyDescent="0.2">
      <c r="B91" s="146" t="e">
        <f t="shared" ca="1" si="11"/>
        <v>#REF!</v>
      </c>
      <c r="C91" s="180">
        <v>45568.926388888889</v>
      </c>
      <c r="D91" s="180">
        <v>45568.927083333343</v>
      </c>
      <c r="E91" s="80"/>
      <c r="F91" s="140">
        <f t="shared" si="14"/>
        <v>6.9444444444444447E-4</v>
      </c>
      <c r="G91" s="147" t="e">
        <f t="shared" ca="1" si="13"/>
        <v>#REF!</v>
      </c>
      <c r="I91" s="146" t="e">
        <f ca="1">[0]!CSVVLookUP(ROW(行数!A87),配列!$C$7,運転予定時間,1,1)</f>
        <v>#NAME?</v>
      </c>
      <c r="J91" s="158" t="e">
        <f ca="1">[0]!CSVVLookUP(ROW(行数!A87),配列!$C$7,運転予定時間,2,1)</f>
        <v>#NAME?</v>
      </c>
      <c r="K91" s="117" t="e">
        <f ca="1">[0]!CSVVLookUP(ROW(行数!A87),配列!$C$7,運転予定時間,3,1)</f>
        <v>#NAME?</v>
      </c>
      <c r="L91" s="117" t="e">
        <f ca="1">[0]!CSVVLookUP(ROW(行数!A87),配列!$C$7,運転予定時間,4,1)</f>
        <v>#NAME?</v>
      </c>
      <c r="M91" s="94" t="e">
        <f ca="1">[0]!CSVVLookUP(ROW(行数!A87),配列!$C$7,運転予定時間,5,1)</f>
        <v>#NAME?</v>
      </c>
      <c r="N91" s="94" t="e">
        <f t="shared" ca="1" si="10"/>
        <v>#NAME?</v>
      </c>
      <c r="O91" s="147" t="e">
        <f ca="1">IF(K91="","",ROW(行数!A87))</f>
        <v>#NAME?</v>
      </c>
    </row>
    <row r="92" spans="2:15" x14ac:dyDescent="0.2">
      <c r="B92" s="146" t="e">
        <f t="shared" ca="1" si="11"/>
        <v>#REF!</v>
      </c>
      <c r="C92" s="180">
        <v>45569.05</v>
      </c>
      <c r="D92" s="180">
        <v>45569.050694444442</v>
      </c>
      <c r="E92" s="80"/>
      <c r="F92" s="140">
        <f t="shared" si="14"/>
        <v>6.9444444444444447E-4</v>
      </c>
      <c r="G92" s="147" t="e">
        <f t="shared" ca="1" si="13"/>
        <v>#REF!</v>
      </c>
      <c r="I92" s="146" t="e">
        <f ca="1">[0]!CSVVLookUP(ROW(行数!A88),配列!$C$7,運転予定時間,1,1)</f>
        <v>#NAME?</v>
      </c>
      <c r="J92" s="158" t="e">
        <f ca="1">[0]!CSVVLookUP(ROW(行数!A88),配列!$C$7,運転予定時間,2,1)</f>
        <v>#NAME?</v>
      </c>
      <c r="K92" s="117" t="e">
        <f ca="1">[0]!CSVVLookUP(ROW(行数!A88),配列!$C$7,運転予定時間,3,1)</f>
        <v>#NAME?</v>
      </c>
      <c r="L92" s="117" t="e">
        <f ca="1">[0]!CSVVLookUP(ROW(行数!A88),配列!$C$7,運転予定時間,4,1)</f>
        <v>#NAME?</v>
      </c>
      <c r="M92" s="94" t="e">
        <f ca="1">[0]!CSVVLookUP(ROW(行数!A88),配列!$C$7,運転予定時間,5,1)</f>
        <v>#NAME?</v>
      </c>
      <c r="N92" s="94" t="e">
        <f t="shared" ca="1" si="10"/>
        <v>#NAME?</v>
      </c>
      <c r="O92" s="147" t="e">
        <f ca="1">IF(K92="","",ROW(行数!A88))</f>
        <v>#NAME?</v>
      </c>
    </row>
    <row r="93" spans="2:15" x14ac:dyDescent="0.2">
      <c r="B93" s="146" t="e">
        <f t="shared" ca="1" si="11"/>
        <v>#REF!</v>
      </c>
      <c r="C93" s="180">
        <v>45570.432638888888</v>
      </c>
      <c r="D93" s="180">
        <v>45570.434027777781</v>
      </c>
      <c r="E93" s="80"/>
      <c r="F93" s="140">
        <f t="shared" si="14"/>
        <v>1.3888888888888889E-3</v>
      </c>
      <c r="G93" s="147" t="e">
        <f t="shared" ca="1" si="13"/>
        <v>#REF!</v>
      </c>
      <c r="I93" s="146" t="e">
        <f ca="1">[0]!CSVVLookUP(ROW(行数!A89),配列!$C$7,運転予定時間,1,1)</f>
        <v>#NAME?</v>
      </c>
      <c r="J93" s="158" t="e">
        <f ca="1">[0]!CSVVLookUP(ROW(行数!A89),配列!$C$7,運転予定時間,2,1)</f>
        <v>#NAME?</v>
      </c>
      <c r="K93" s="117" t="e">
        <f ca="1">[0]!CSVVLookUP(ROW(行数!A89),配列!$C$7,運転予定時間,3,1)</f>
        <v>#NAME?</v>
      </c>
      <c r="L93" s="117" t="e">
        <f ca="1">[0]!CSVVLookUP(ROW(行数!A89),配列!$C$7,運転予定時間,4,1)</f>
        <v>#NAME?</v>
      </c>
      <c r="M93" s="94" t="e">
        <f ca="1">[0]!CSVVLookUP(ROW(行数!A89),配列!$C$7,運転予定時間,5,1)</f>
        <v>#NAME?</v>
      </c>
      <c r="N93" s="94" t="e">
        <f t="shared" ca="1" si="10"/>
        <v>#NAME?</v>
      </c>
      <c r="O93" s="147" t="e">
        <f ca="1">IF(K93="","",ROW(行数!A89))</f>
        <v>#NAME?</v>
      </c>
    </row>
    <row r="94" spans="2:15" x14ac:dyDescent="0.2">
      <c r="B94" s="146" t="e">
        <f t="shared" ca="1" si="11"/>
        <v>#REF!</v>
      </c>
      <c r="C94" s="180">
        <v>45570.779861111107</v>
      </c>
      <c r="D94" s="180">
        <v>45570.780555555553</v>
      </c>
      <c r="E94" s="80"/>
      <c r="F94" s="140">
        <f t="shared" si="14"/>
        <v>6.9444444444444447E-4</v>
      </c>
      <c r="G94" s="147" t="e">
        <f t="shared" ca="1" si="13"/>
        <v>#REF!</v>
      </c>
      <c r="I94" s="146" t="e">
        <f ca="1">[0]!CSVVLookUP(ROW(行数!A90),配列!$C$7,運転予定時間,1,1)</f>
        <v>#NAME?</v>
      </c>
      <c r="J94" s="158" t="e">
        <f ca="1">[0]!CSVVLookUP(ROW(行数!A90),配列!$C$7,運転予定時間,2,1)</f>
        <v>#NAME?</v>
      </c>
      <c r="K94" s="117" t="e">
        <f ca="1">[0]!CSVVLookUP(ROW(行数!A90),配列!$C$7,運転予定時間,3,1)</f>
        <v>#NAME?</v>
      </c>
      <c r="L94" s="117" t="e">
        <f ca="1">[0]!CSVVLookUP(ROW(行数!A90),配列!$C$7,運転予定時間,4,1)</f>
        <v>#NAME?</v>
      </c>
      <c r="M94" s="94" t="e">
        <f ca="1">[0]!CSVVLookUP(ROW(行数!A90),配列!$C$7,運転予定時間,5,1)</f>
        <v>#NAME?</v>
      </c>
      <c r="N94" s="94" t="e">
        <f t="shared" ca="1" si="10"/>
        <v>#NAME?</v>
      </c>
      <c r="O94" s="147" t="e">
        <f ca="1">IF(K94="","",ROW(行数!A90))</f>
        <v>#NAME?</v>
      </c>
    </row>
    <row r="95" spans="2:15" x14ac:dyDescent="0.2">
      <c r="B95" s="146" t="e">
        <f t="shared" ca="1" si="11"/>
        <v>#REF!</v>
      </c>
      <c r="C95" s="180">
        <v>45571.269444444442</v>
      </c>
      <c r="D95" s="180">
        <v>45571.270833333343</v>
      </c>
      <c r="E95" s="80"/>
      <c r="F95" s="140">
        <f t="shared" si="14"/>
        <v>1.3888888888888889E-3</v>
      </c>
      <c r="G95" s="147" t="e">
        <f t="shared" ca="1" si="13"/>
        <v>#REF!</v>
      </c>
      <c r="I95" s="146" t="e">
        <f ca="1">[0]!CSVVLookUP(ROW(行数!A91),配列!$C$7,運転予定時間,1,1)</f>
        <v>#NAME?</v>
      </c>
      <c r="J95" s="158" t="e">
        <f ca="1">[0]!CSVVLookUP(ROW(行数!A91),配列!$C$7,運転予定時間,2,1)</f>
        <v>#NAME?</v>
      </c>
      <c r="K95" s="117" t="e">
        <f ca="1">[0]!CSVVLookUP(ROW(行数!A91),配列!$C$7,運転予定時間,3,1)</f>
        <v>#NAME?</v>
      </c>
      <c r="L95" s="117" t="e">
        <f ca="1">[0]!CSVVLookUP(ROW(行数!A91),配列!$C$7,運転予定時間,4,1)</f>
        <v>#NAME?</v>
      </c>
      <c r="M95" s="94" t="e">
        <f ca="1">[0]!CSVVLookUP(ROW(行数!A91),配列!$C$7,運転予定時間,5,1)</f>
        <v>#NAME?</v>
      </c>
      <c r="N95" s="94" t="e">
        <f t="shared" ca="1" si="10"/>
        <v>#NAME?</v>
      </c>
      <c r="O95" s="147" t="e">
        <f ca="1">IF(K95="","",ROW(行数!A91))</f>
        <v>#NAME?</v>
      </c>
    </row>
    <row r="96" spans="2:15" x14ac:dyDescent="0.2">
      <c r="B96" s="146" t="e">
        <f t="shared" ca="1" si="11"/>
        <v>#REF!</v>
      </c>
      <c r="C96" s="180">
        <v>45572.677777777782</v>
      </c>
      <c r="D96" s="180">
        <v>45572.679166666669</v>
      </c>
      <c r="E96" s="80"/>
      <c r="F96" s="140">
        <f t="shared" si="14"/>
        <v>1.3888888888888889E-3</v>
      </c>
      <c r="G96" s="147" t="e">
        <f t="shared" ca="1" si="13"/>
        <v>#REF!</v>
      </c>
      <c r="I96" s="146" t="e">
        <f ca="1">[0]!CSVVLookUP(ROW(行数!A92),配列!$C$7,運転予定時間,1,1)</f>
        <v>#NAME?</v>
      </c>
      <c r="J96" s="158" t="e">
        <f ca="1">[0]!CSVVLookUP(ROW(行数!A92),配列!$C$7,運転予定時間,2,1)</f>
        <v>#NAME?</v>
      </c>
      <c r="K96" s="117" t="e">
        <f ca="1">[0]!CSVVLookUP(ROW(行数!A92),配列!$C$7,運転予定時間,3,1)</f>
        <v>#NAME?</v>
      </c>
      <c r="L96" s="117" t="e">
        <f ca="1">[0]!CSVVLookUP(ROW(行数!A92),配列!$C$7,運転予定時間,4,1)</f>
        <v>#NAME?</v>
      </c>
      <c r="M96" s="94" t="e">
        <f ca="1">[0]!CSVVLookUP(ROW(行数!A92),配列!$C$7,運転予定時間,5,1)</f>
        <v>#NAME?</v>
      </c>
      <c r="N96" s="94" t="e">
        <f t="shared" ca="1" si="10"/>
        <v>#NAME?</v>
      </c>
      <c r="O96" s="147" t="e">
        <f ca="1">IF(K96="","",ROW(行数!A92))</f>
        <v>#NAME?</v>
      </c>
    </row>
    <row r="97" spans="2:15" x14ac:dyDescent="0.2">
      <c r="B97" s="146" t="e">
        <f t="shared" ca="1" si="11"/>
        <v>#REF!</v>
      </c>
      <c r="C97" s="180">
        <v>45572.72152777778</v>
      </c>
      <c r="D97" s="180">
        <v>45572.722222222219</v>
      </c>
      <c r="E97" s="80"/>
      <c r="F97" s="140">
        <f t="shared" si="14"/>
        <v>6.9444444444444447E-4</v>
      </c>
      <c r="G97" s="147" t="e">
        <f t="shared" ca="1" si="13"/>
        <v>#REF!</v>
      </c>
      <c r="I97" s="146" t="e">
        <f ca="1">[0]!CSVVLookUP(ROW(行数!A93),配列!$C$7,運転予定時間,1,1)</f>
        <v>#NAME?</v>
      </c>
      <c r="J97" s="158" t="e">
        <f ca="1">[0]!CSVVLookUP(ROW(行数!A93),配列!$C$7,運転予定時間,2,1)</f>
        <v>#NAME?</v>
      </c>
      <c r="K97" s="117" t="e">
        <f ca="1">[0]!CSVVLookUP(ROW(行数!A93),配列!$C$7,運転予定時間,3,1)</f>
        <v>#NAME?</v>
      </c>
      <c r="L97" s="117" t="e">
        <f ca="1">[0]!CSVVLookUP(ROW(行数!A93),配列!$C$7,運転予定時間,4,1)</f>
        <v>#NAME?</v>
      </c>
      <c r="M97" s="94" t="e">
        <f ca="1">[0]!CSVVLookUP(ROW(行数!A93),配列!$C$7,運転予定時間,5,1)</f>
        <v>#NAME?</v>
      </c>
      <c r="N97" s="94" t="e">
        <f t="shared" ca="1" si="10"/>
        <v>#NAME?</v>
      </c>
      <c r="O97" s="147" t="e">
        <f ca="1">IF(K97="","",ROW(行数!A93))</f>
        <v>#NAME?</v>
      </c>
    </row>
    <row r="98" spans="2:15" x14ac:dyDescent="0.2">
      <c r="B98" s="146" t="e">
        <f t="shared" ca="1" si="11"/>
        <v>#REF!</v>
      </c>
      <c r="C98" s="180">
        <v>45572.722222222219</v>
      </c>
      <c r="D98" s="180">
        <v>45572.723611111112</v>
      </c>
      <c r="E98" s="80"/>
      <c r="F98" s="140">
        <f t="shared" si="14"/>
        <v>1.3888888888888889E-3</v>
      </c>
      <c r="G98" s="147" t="e">
        <f t="shared" ca="1" si="13"/>
        <v>#REF!</v>
      </c>
      <c r="I98" s="146" t="e">
        <f ca="1">[0]!CSVVLookUP(ROW(行数!A94),配列!$C$7,運転予定時間,1,1)</f>
        <v>#NAME?</v>
      </c>
      <c r="J98" s="158" t="e">
        <f ca="1">[0]!CSVVLookUP(ROW(行数!A94),配列!$C$7,運転予定時間,2,1)</f>
        <v>#NAME?</v>
      </c>
      <c r="K98" s="117" t="e">
        <f ca="1">[0]!CSVVLookUP(ROW(行数!A94),配列!$C$7,運転予定時間,3,1)</f>
        <v>#NAME?</v>
      </c>
      <c r="L98" s="117" t="e">
        <f ca="1">[0]!CSVVLookUP(ROW(行数!A94),配列!$C$7,運転予定時間,4,1)</f>
        <v>#NAME?</v>
      </c>
      <c r="M98" s="94" t="e">
        <f ca="1">[0]!CSVVLookUP(ROW(行数!A94),配列!$C$7,運転予定時間,5,1)</f>
        <v>#NAME?</v>
      </c>
      <c r="N98" s="94" t="e">
        <f t="shared" ca="1" si="10"/>
        <v>#NAME?</v>
      </c>
      <c r="O98" s="147" t="e">
        <f ca="1">IF(K98="","",ROW(行数!A94))</f>
        <v>#NAME?</v>
      </c>
    </row>
    <row r="99" spans="2:15" x14ac:dyDescent="0.2">
      <c r="B99" s="146" t="e">
        <f t="shared" ca="1" si="11"/>
        <v>#REF!</v>
      </c>
      <c r="C99" s="180">
        <v>45576.379861111112</v>
      </c>
      <c r="D99" s="180">
        <v>45576.381249999999</v>
      </c>
      <c r="E99" s="80"/>
      <c r="F99" s="140">
        <f t="shared" si="14"/>
        <v>1.3888888888888889E-3</v>
      </c>
      <c r="G99" s="147" t="e">
        <f t="shared" ca="1" si="13"/>
        <v>#REF!</v>
      </c>
      <c r="I99" s="146" t="e">
        <f ca="1">[0]!CSVVLookUP(ROW(行数!A95),配列!$C$7,運転予定時間,1,1)</f>
        <v>#NAME?</v>
      </c>
      <c r="J99" s="158" t="e">
        <f ca="1">[0]!CSVVLookUP(ROW(行数!A95),配列!$C$7,運転予定時間,2,1)</f>
        <v>#NAME?</v>
      </c>
      <c r="K99" s="117" t="e">
        <f ca="1">[0]!CSVVLookUP(ROW(行数!A95),配列!$C$7,運転予定時間,3,1)</f>
        <v>#NAME?</v>
      </c>
      <c r="L99" s="117" t="e">
        <f ca="1">[0]!CSVVLookUP(ROW(行数!A95),配列!$C$7,運転予定時間,4,1)</f>
        <v>#NAME?</v>
      </c>
      <c r="M99" s="94" t="e">
        <f ca="1">[0]!CSVVLookUP(ROW(行数!A95),配列!$C$7,運転予定時間,5,1)</f>
        <v>#NAME?</v>
      </c>
      <c r="N99" s="94" t="e">
        <f t="shared" ca="1" si="10"/>
        <v>#NAME?</v>
      </c>
      <c r="O99" s="147" t="e">
        <f ca="1">IF(K99="","",ROW(行数!A95))</f>
        <v>#NAME?</v>
      </c>
    </row>
    <row r="100" spans="2:15" x14ac:dyDescent="0.2">
      <c r="B100" s="146" t="e">
        <f t="shared" ca="1" si="11"/>
        <v>#REF!</v>
      </c>
      <c r="C100" s="180">
        <v>45577.40625</v>
      </c>
      <c r="D100" s="180">
        <v>45577.406944444447</v>
      </c>
      <c r="E100" s="80"/>
      <c r="F100" s="140">
        <f t="shared" si="14"/>
        <v>6.9444444444444447E-4</v>
      </c>
      <c r="G100" s="147" t="e">
        <f t="shared" ca="1" si="13"/>
        <v>#REF!</v>
      </c>
      <c r="I100" s="146" t="e">
        <f ca="1">[0]!CSVVLookUP(ROW(行数!A96),配列!$C$7,運転予定時間,1,1)</f>
        <v>#NAME?</v>
      </c>
      <c r="J100" s="158" t="e">
        <f ca="1">[0]!CSVVLookUP(ROW(行数!A96),配列!$C$7,運転予定時間,2,1)</f>
        <v>#NAME?</v>
      </c>
      <c r="K100" s="117" t="e">
        <f ca="1">[0]!CSVVLookUP(ROW(行数!A96),配列!$C$7,運転予定時間,3,1)</f>
        <v>#NAME?</v>
      </c>
      <c r="L100" s="117" t="e">
        <f ca="1">[0]!CSVVLookUP(ROW(行数!A96),配列!$C$7,運転予定時間,4,1)</f>
        <v>#NAME?</v>
      </c>
      <c r="M100" s="94" t="e">
        <f ca="1">[0]!CSVVLookUP(ROW(行数!A96),配列!$C$7,運転予定時間,5,1)</f>
        <v>#NAME?</v>
      </c>
      <c r="N100" s="94" t="e">
        <f t="shared" ca="1" si="10"/>
        <v>#NAME?</v>
      </c>
      <c r="O100" s="147" t="e">
        <f ca="1">IF(K100="","",ROW(行数!A96))</f>
        <v>#NAME?</v>
      </c>
    </row>
    <row r="101" spans="2:15" x14ac:dyDescent="0.2">
      <c r="B101" s="146" t="e">
        <f t="shared" ca="1" si="11"/>
        <v>#REF!</v>
      </c>
      <c r="C101" s="180">
        <v>45577.946527777778</v>
      </c>
      <c r="D101" s="180">
        <v>45577.947222222218</v>
      </c>
      <c r="E101" s="80"/>
      <c r="F101" s="140">
        <f t="shared" si="14"/>
        <v>6.9444444444444447E-4</v>
      </c>
      <c r="G101" s="147" t="e">
        <f t="shared" ca="1" si="13"/>
        <v>#REF!</v>
      </c>
      <c r="I101" s="146" t="e">
        <f ca="1">[0]!CSVVLookUP(ROW(行数!A97),配列!$C$7,運転予定時間,1,1)</f>
        <v>#NAME?</v>
      </c>
      <c r="J101" s="158" t="e">
        <f ca="1">[0]!CSVVLookUP(ROW(行数!A97),配列!$C$7,運転予定時間,2,1)</f>
        <v>#NAME?</v>
      </c>
      <c r="K101" s="117" t="e">
        <f ca="1">[0]!CSVVLookUP(ROW(行数!A97),配列!$C$7,運転予定時間,3,1)</f>
        <v>#NAME?</v>
      </c>
      <c r="L101" s="117" t="e">
        <f ca="1">[0]!CSVVLookUP(ROW(行数!A97),配列!$C$7,運転予定時間,4,1)</f>
        <v>#NAME?</v>
      </c>
      <c r="M101" s="94" t="e">
        <f ca="1">[0]!CSVVLookUP(ROW(行数!A97),配列!$C$7,運転予定時間,5,1)</f>
        <v>#NAME?</v>
      </c>
      <c r="N101" s="94" t="e">
        <f t="shared" ca="1" si="10"/>
        <v>#NAME?</v>
      </c>
      <c r="O101" s="147" t="e">
        <f ca="1">IF(K101="","",ROW(行数!A97))</f>
        <v>#NAME?</v>
      </c>
    </row>
    <row r="102" spans="2:15" x14ac:dyDescent="0.2">
      <c r="B102" s="146" t="e">
        <f t="shared" ca="1" si="11"/>
        <v>#REF!</v>
      </c>
      <c r="C102" s="180">
        <v>45577.95208333333</v>
      </c>
      <c r="D102" s="180">
        <v>45577.952777777777</v>
      </c>
      <c r="E102" s="80"/>
      <c r="F102" s="140">
        <f t="shared" si="14"/>
        <v>6.9444444444444447E-4</v>
      </c>
      <c r="G102" s="147" t="e">
        <f t="shared" ca="1" si="13"/>
        <v>#REF!</v>
      </c>
      <c r="I102" s="146" t="e">
        <f ca="1">[0]!CSVVLookUP(ROW(行数!A98),配列!$C$7,運転予定時間,1,1)</f>
        <v>#NAME?</v>
      </c>
      <c r="J102" s="158" t="e">
        <f ca="1">[0]!CSVVLookUP(ROW(行数!A98),配列!$C$7,運転予定時間,2,1)</f>
        <v>#NAME?</v>
      </c>
      <c r="K102" s="117" t="e">
        <f ca="1">[0]!CSVVLookUP(ROW(行数!A98),配列!$C$7,運転予定時間,3,1)</f>
        <v>#NAME?</v>
      </c>
      <c r="L102" s="117" t="e">
        <f ca="1">[0]!CSVVLookUP(ROW(行数!A98),配列!$C$7,運転予定時間,4,1)</f>
        <v>#NAME?</v>
      </c>
      <c r="M102" s="94" t="e">
        <f ca="1">[0]!CSVVLookUP(ROW(行数!A98),配列!$C$7,運転予定時間,5,1)</f>
        <v>#NAME?</v>
      </c>
      <c r="N102" s="94" t="e">
        <f t="shared" ref="N102:N112" ca="1" si="15">IF(K102="","",SUMIF($G$6:$G$841,O102,$F$6:$F$841))</f>
        <v>#NAME?</v>
      </c>
      <c r="O102" s="147" t="e">
        <f ca="1">IF(K102="","",ROW(行数!A98))</f>
        <v>#NAME?</v>
      </c>
    </row>
    <row r="103" spans="2:15" x14ac:dyDescent="0.2">
      <c r="B103" s="146" t="e">
        <f t="shared" ca="1" si="11"/>
        <v>#REF!</v>
      </c>
      <c r="C103" s="180">
        <v>45579.22152777778</v>
      </c>
      <c r="D103" s="180">
        <v>45579.222222222219</v>
      </c>
      <c r="E103" s="80"/>
      <c r="F103" s="140">
        <f t="shared" si="14"/>
        <v>6.9444444444444447E-4</v>
      </c>
      <c r="G103" s="147" t="e">
        <f t="shared" ca="1" si="13"/>
        <v>#REF!</v>
      </c>
      <c r="I103" s="146" t="e">
        <f ca="1">[0]!CSVVLookUP(ROW(行数!A99),配列!$C$7,運転予定時間,1,1)</f>
        <v>#NAME?</v>
      </c>
      <c r="J103" s="158" t="e">
        <f ca="1">[0]!CSVVLookUP(ROW(行数!A99),配列!$C$7,運転予定時間,2,1)</f>
        <v>#NAME?</v>
      </c>
      <c r="K103" s="117" t="e">
        <f ca="1">[0]!CSVVLookUP(ROW(行数!A99),配列!$C$7,運転予定時間,3,1)</f>
        <v>#NAME?</v>
      </c>
      <c r="L103" s="117" t="e">
        <f ca="1">[0]!CSVVLookUP(ROW(行数!A99),配列!$C$7,運転予定時間,4,1)</f>
        <v>#NAME?</v>
      </c>
      <c r="M103" s="94" t="e">
        <f ca="1">[0]!CSVVLookUP(ROW(行数!A99),配列!$C$7,運転予定時間,5,1)</f>
        <v>#NAME?</v>
      </c>
      <c r="N103" s="94" t="e">
        <f t="shared" ca="1" si="15"/>
        <v>#NAME?</v>
      </c>
      <c r="O103" s="147" t="e">
        <f ca="1">IF(K103="","",ROW(行数!A99))</f>
        <v>#NAME?</v>
      </c>
    </row>
    <row r="104" spans="2:15" x14ac:dyDescent="0.2">
      <c r="B104" s="146" t="e">
        <f t="shared" ref="B104:B108" ca="1" si="16">IF(C104="","",VLOOKUP(C104,ユニット判定用,3))</f>
        <v>#REF!</v>
      </c>
      <c r="C104" s="180">
        <v>45579.222222222219</v>
      </c>
      <c r="D104" s="180">
        <v>45579.223611111112</v>
      </c>
      <c r="E104" s="80"/>
      <c r="F104" s="140">
        <f t="shared" si="14"/>
        <v>1.3888888888888889E-3</v>
      </c>
      <c r="G104" s="147" t="e">
        <f t="shared" ref="G104:G108" ca="1" si="17">IF(C104="","",VLOOKUP(C104,施設運転・利用調整時間判定,5,1))</f>
        <v>#REF!</v>
      </c>
      <c r="I104" s="146" t="e">
        <f ca="1">[0]!CSVVLookUP(ROW(行数!A100),配列!$C$7,運転予定時間,1,1)</f>
        <v>#NAME?</v>
      </c>
      <c r="J104" s="158" t="e">
        <f ca="1">[0]!CSVVLookUP(ROW(行数!A100),配列!$C$7,運転予定時間,2,1)</f>
        <v>#NAME?</v>
      </c>
      <c r="K104" s="117" t="e">
        <f ca="1">[0]!CSVVLookUP(ROW(行数!A100),配列!$C$7,運転予定時間,3,1)</f>
        <v>#NAME?</v>
      </c>
      <c r="L104" s="117" t="e">
        <f ca="1">[0]!CSVVLookUP(ROW(行数!A100),配列!$C$7,運転予定時間,4,1)</f>
        <v>#NAME?</v>
      </c>
      <c r="M104" s="94" t="e">
        <f ca="1">[0]!CSVVLookUP(ROW(行数!A100),配列!$C$7,運転予定時間,5,1)</f>
        <v>#NAME?</v>
      </c>
      <c r="N104" s="94" t="e">
        <f t="shared" ca="1" si="15"/>
        <v>#NAME?</v>
      </c>
      <c r="O104" s="147" t="e">
        <f ca="1">IF(K104="","",ROW(行数!A100))</f>
        <v>#NAME?</v>
      </c>
    </row>
    <row r="105" spans="2:15" x14ac:dyDescent="0.2">
      <c r="B105" s="146" t="e">
        <f t="shared" ca="1" si="16"/>
        <v>#REF!</v>
      </c>
      <c r="C105" s="180">
        <v>45580.126388888893</v>
      </c>
      <c r="D105" s="180">
        <v>45580.127083333333</v>
      </c>
      <c r="E105" s="80"/>
      <c r="F105" s="140">
        <f t="shared" si="14"/>
        <v>6.9444444444444447E-4</v>
      </c>
      <c r="G105" s="147" t="e">
        <f t="shared" ca="1" si="17"/>
        <v>#REF!</v>
      </c>
      <c r="I105" s="146" t="e">
        <f ca="1">[0]!CSVVLookUP(ROW(行数!A101),配列!$C$7,運転予定時間,1,1)</f>
        <v>#NAME?</v>
      </c>
      <c r="J105" s="158" t="e">
        <f ca="1">[0]!CSVVLookUP(ROW(行数!A101),配列!$C$7,運転予定時間,2,1)</f>
        <v>#NAME?</v>
      </c>
      <c r="K105" s="117" t="e">
        <f ca="1">[0]!CSVVLookUP(ROW(行数!A101),配列!$C$7,運転予定時間,3,1)</f>
        <v>#NAME?</v>
      </c>
      <c r="L105" s="117" t="e">
        <f ca="1">[0]!CSVVLookUP(ROW(行数!A101),配列!$C$7,運転予定時間,4,1)</f>
        <v>#NAME?</v>
      </c>
      <c r="M105" s="94" t="e">
        <f ca="1">[0]!CSVVLookUP(ROW(行数!A101),配列!$C$7,運転予定時間,5,1)</f>
        <v>#NAME?</v>
      </c>
      <c r="N105" s="94" t="e">
        <f t="shared" ca="1" si="15"/>
        <v>#NAME?</v>
      </c>
      <c r="O105" s="147" t="e">
        <f ca="1">IF(K105="","",ROW(行数!A101))</f>
        <v>#NAME?</v>
      </c>
    </row>
    <row r="106" spans="2:15" x14ac:dyDescent="0.2">
      <c r="B106" s="146" t="e">
        <f t="shared" ca="1" si="16"/>
        <v>#REF!</v>
      </c>
      <c r="C106" s="180">
        <v>45580.185416666667</v>
      </c>
      <c r="D106" s="180">
        <v>45580.186111111107</v>
      </c>
      <c r="E106" s="80"/>
      <c r="F106" s="140">
        <f t="shared" si="14"/>
        <v>6.9444444444444447E-4</v>
      </c>
      <c r="G106" s="147" t="e">
        <f t="shared" ca="1" si="17"/>
        <v>#REF!</v>
      </c>
      <c r="I106" s="146" t="e">
        <f ca="1">[0]!CSVVLookUP(ROW(行数!A102),配列!$C$7,運転予定時間,1,1)</f>
        <v>#NAME?</v>
      </c>
      <c r="J106" s="158" t="e">
        <f ca="1">[0]!CSVVLookUP(ROW(行数!A102),配列!$C$7,運転予定時間,2,1)</f>
        <v>#NAME?</v>
      </c>
      <c r="K106" s="117" t="e">
        <f ca="1">[0]!CSVVLookUP(ROW(行数!A102),配列!$C$7,運転予定時間,3,1)</f>
        <v>#NAME?</v>
      </c>
      <c r="L106" s="117" t="e">
        <f ca="1">[0]!CSVVLookUP(ROW(行数!A102),配列!$C$7,運転予定時間,4,1)</f>
        <v>#NAME?</v>
      </c>
      <c r="M106" s="94" t="e">
        <f ca="1">[0]!CSVVLookUP(ROW(行数!A102),配列!$C$7,運転予定時間,5,1)</f>
        <v>#NAME?</v>
      </c>
      <c r="N106" s="94" t="e">
        <f t="shared" ca="1" si="15"/>
        <v>#NAME?</v>
      </c>
      <c r="O106" s="147" t="e">
        <f ca="1">IF(K106="","",ROW(行数!A102))</f>
        <v>#NAME?</v>
      </c>
    </row>
    <row r="107" spans="2:15" x14ac:dyDescent="0.2">
      <c r="B107" s="146" t="e">
        <f t="shared" ca="1" si="16"/>
        <v>#REF!</v>
      </c>
      <c r="C107" s="180">
        <v>45581.242361111108</v>
      </c>
      <c r="D107" s="180">
        <v>45581.243750000001</v>
      </c>
      <c r="E107" s="80"/>
      <c r="F107" s="140">
        <f t="shared" si="14"/>
        <v>1.3888888888888889E-3</v>
      </c>
      <c r="G107" s="147" t="e">
        <f t="shared" ca="1" si="17"/>
        <v>#REF!</v>
      </c>
      <c r="I107" s="146" t="e">
        <f ca="1">[0]!CSVVLookUP(ROW(行数!A103),配列!$C$7,運転予定時間,1,1)</f>
        <v>#NAME?</v>
      </c>
      <c r="J107" s="158" t="e">
        <f ca="1">[0]!CSVVLookUP(ROW(行数!A103),配列!$C$7,運転予定時間,2,1)</f>
        <v>#NAME?</v>
      </c>
      <c r="K107" s="117" t="e">
        <f ca="1">[0]!CSVVLookUP(ROW(行数!A103),配列!$C$7,運転予定時間,3,1)</f>
        <v>#NAME?</v>
      </c>
      <c r="L107" s="117" t="e">
        <f ca="1">[0]!CSVVLookUP(ROW(行数!A103),配列!$C$7,運転予定時間,4,1)</f>
        <v>#NAME?</v>
      </c>
      <c r="M107" s="94" t="e">
        <f ca="1">[0]!CSVVLookUP(ROW(行数!A103),配列!$C$7,運転予定時間,5,1)</f>
        <v>#NAME?</v>
      </c>
      <c r="N107" s="94" t="e">
        <f t="shared" ca="1" si="15"/>
        <v>#NAME?</v>
      </c>
      <c r="O107" s="147" t="e">
        <f ca="1">IF(K107="","",ROW(行数!A103))</f>
        <v>#NAME?</v>
      </c>
    </row>
    <row r="108" spans="2:15" x14ac:dyDescent="0.2">
      <c r="B108" s="146" t="e">
        <f t="shared" ca="1" si="16"/>
        <v>#REF!</v>
      </c>
      <c r="C108" s="180">
        <v>45581.527777777781</v>
      </c>
      <c r="D108" s="180">
        <v>45581.529166666667</v>
      </c>
      <c r="E108" s="80"/>
      <c r="F108" s="140">
        <f t="shared" si="14"/>
        <v>1.3888888888888889E-3</v>
      </c>
      <c r="G108" s="147" t="e">
        <f t="shared" ca="1" si="17"/>
        <v>#REF!</v>
      </c>
      <c r="I108" s="146" t="e">
        <f ca="1">[0]!CSVVLookUP(ROW(行数!A104),配列!$C$7,運転予定時間,1,1)</f>
        <v>#NAME?</v>
      </c>
      <c r="J108" s="158" t="e">
        <f ca="1">[0]!CSVVLookUP(ROW(行数!A104),配列!$C$7,運転予定時間,2,1)</f>
        <v>#NAME?</v>
      </c>
      <c r="K108" s="117" t="e">
        <f ca="1">[0]!CSVVLookUP(ROW(行数!A104),配列!$C$7,運転予定時間,3,1)</f>
        <v>#NAME?</v>
      </c>
      <c r="L108" s="117" t="e">
        <f ca="1">[0]!CSVVLookUP(ROW(行数!A104),配列!$C$7,運転予定時間,4,1)</f>
        <v>#NAME?</v>
      </c>
      <c r="M108" s="94" t="e">
        <f ca="1">[0]!CSVVLookUP(ROW(行数!A104),配列!$C$7,運転予定時間,5,1)</f>
        <v>#NAME?</v>
      </c>
      <c r="N108" s="94" t="e">
        <f t="shared" ca="1" si="15"/>
        <v>#NAME?</v>
      </c>
      <c r="O108" s="147" t="e">
        <f ca="1">IF(K108="","",ROW(行数!A104))</f>
        <v>#NAME?</v>
      </c>
    </row>
    <row r="109" spans="2:15" x14ac:dyDescent="0.2">
      <c r="B109" s="146" t="e">
        <f t="shared" ref="B109:B172" ca="1" si="18">IF(C109="","",VLOOKUP(C109,ユニット判定用,3))</f>
        <v>#REF!</v>
      </c>
      <c r="C109" s="180">
        <v>45585.120833333327</v>
      </c>
      <c r="D109" s="180">
        <v>45585.12222222222</v>
      </c>
      <c r="E109" s="80"/>
      <c r="F109" s="140">
        <f t="shared" si="14"/>
        <v>1.3888888888888889E-3</v>
      </c>
      <c r="G109" s="147" t="e">
        <f t="shared" ref="G109:G172" ca="1" si="19">IF(C109="","",VLOOKUP(C109,施設運転・利用調整時間判定,5,1))</f>
        <v>#REF!</v>
      </c>
      <c r="I109" s="146" t="e">
        <f ca="1">[0]!CSVVLookUP(ROW(行数!A105),配列!$C$7,運転予定時間,1,1)</f>
        <v>#NAME?</v>
      </c>
      <c r="J109" s="158" t="e">
        <f ca="1">[0]!CSVVLookUP(ROW(行数!A105),配列!$C$7,運転予定時間,2,1)</f>
        <v>#NAME?</v>
      </c>
      <c r="K109" s="117" t="e">
        <f ca="1">[0]!CSVVLookUP(ROW(行数!A105),配列!$C$7,運転予定時間,3,1)</f>
        <v>#NAME?</v>
      </c>
      <c r="L109" s="117" t="e">
        <f ca="1">[0]!CSVVLookUP(ROW(行数!A105),配列!$C$7,運転予定時間,4,1)</f>
        <v>#NAME?</v>
      </c>
      <c r="M109" s="94" t="e">
        <f ca="1">[0]!CSVVLookUP(ROW(行数!A105),配列!$C$7,運転予定時間,5,1)</f>
        <v>#NAME?</v>
      </c>
      <c r="N109" s="94" t="e">
        <f t="shared" ca="1" si="15"/>
        <v>#NAME?</v>
      </c>
      <c r="O109" s="147" t="e">
        <f ca="1">IF(K109="","",ROW(行数!A105))</f>
        <v>#NAME?</v>
      </c>
    </row>
    <row r="110" spans="2:15" x14ac:dyDescent="0.2">
      <c r="B110" s="146" t="e">
        <f t="shared" ca="1" si="18"/>
        <v>#REF!</v>
      </c>
      <c r="C110" s="180">
        <v>45585.779861111107</v>
      </c>
      <c r="D110" s="180">
        <v>45585.78125</v>
      </c>
      <c r="E110" s="80"/>
      <c r="F110" s="140">
        <f t="shared" si="14"/>
        <v>1.3888888888888889E-3</v>
      </c>
      <c r="G110" s="147" t="e">
        <f t="shared" ca="1" si="19"/>
        <v>#REF!</v>
      </c>
      <c r="I110" s="146" t="e">
        <f ca="1">[0]!CSVVLookUP(ROW(行数!A106),配列!$C$7,運転予定時間,1,1)</f>
        <v>#NAME?</v>
      </c>
      <c r="J110" s="158" t="e">
        <f ca="1">[0]!CSVVLookUP(ROW(行数!A106),配列!$C$7,運転予定時間,2,1)</f>
        <v>#NAME?</v>
      </c>
      <c r="K110" s="117" t="e">
        <f ca="1">[0]!CSVVLookUP(ROW(行数!A106),配列!$C$7,運転予定時間,3,1)</f>
        <v>#NAME?</v>
      </c>
      <c r="L110" s="117" t="e">
        <f ca="1">[0]!CSVVLookUP(ROW(行数!A106),配列!$C$7,運転予定時間,4,1)</f>
        <v>#NAME?</v>
      </c>
      <c r="M110" s="94" t="e">
        <f ca="1">[0]!CSVVLookUP(ROW(行数!A106),配列!$C$7,運転予定時間,5,1)</f>
        <v>#NAME?</v>
      </c>
      <c r="N110" s="94" t="e">
        <f t="shared" ca="1" si="15"/>
        <v>#NAME?</v>
      </c>
      <c r="O110" s="147" t="e">
        <f ca="1">IF(K110="","",ROW(行数!A106))</f>
        <v>#NAME?</v>
      </c>
    </row>
    <row r="111" spans="2:15" x14ac:dyDescent="0.2">
      <c r="B111" s="146" t="e">
        <f t="shared" ca="1" si="18"/>
        <v>#REF!</v>
      </c>
      <c r="C111" s="180">
        <v>45585.844444444447</v>
      </c>
      <c r="D111" s="180">
        <v>45585.845833333333</v>
      </c>
      <c r="E111" s="80"/>
      <c r="F111" s="140">
        <f t="shared" si="14"/>
        <v>1.3888888888888889E-3</v>
      </c>
      <c r="G111" s="147" t="e">
        <f t="shared" ca="1" si="19"/>
        <v>#REF!</v>
      </c>
      <c r="I111" s="146" t="e">
        <f ca="1">[0]!CSVVLookUP(ROW(行数!A107),配列!$C$7,運転予定時間,1,1)</f>
        <v>#NAME?</v>
      </c>
      <c r="J111" s="158" t="e">
        <f ca="1">[0]!CSVVLookUP(ROW(行数!A107),配列!$C$7,運転予定時間,2,1)</f>
        <v>#NAME?</v>
      </c>
      <c r="K111" s="117" t="e">
        <f ca="1">[0]!CSVVLookUP(ROW(行数!A107),配列!$C$7,運転予定時間,3,1)</f>
        <v>#NAME?</v>
      </c>
      <c r="L111" s="117" t="e">
        <f ca="1">[0]!CSVVLookUP(ROW(行数!A107),配列!$C$7,運転予定時間,4,1)</f>
        <v>#NAME?</v>
      </c>
      <c r="M111" s="94" t="e">
        <f ca="1">[0]!CSVVLookUP(ROW(行数!A107),配列!$C$7,運転予定時間,5,1)</f>
        <v>#NAME?</v>
      </c>
      <c r="N111" s="94" t="e">
        <f t="shared" ca="1" si="15"/>
        <v>#NAME?</v>
      </c>
      <c r="O111" s="147" t="e">
        <f ca="1">IF(K111="","",ROW(行数!A107))</f>
        <v>#NAME?</v>
      </c>
    </row>
    <row r="112" spans="2:15" ht="13.5" thickBot="1" x14ac:dyDescent="0.25">
      <c r="B112" s="146" t="e">
        <f t="shared" ca="1" si="18"/>
        <v>#REF!</v>
      </c>
      <c r="C112" s="180">
        <v>45586.463888888888</v>
      </c>
      <c r="D112" s="180">
        <v>45586.53402777778</v>
      </c>
      <c r="E112" s="80" t="s">
        <v>212</v>
      </c>
      <c r="F112" s="140">
        <f t="shared" si="14"/>
        <v>7.013888888888889E-2</v>
      </c>
      <c r="G112" s="147" t="e">
        <f t="shared" ca="1" si="19"/>
        <v>#REF!</v>
      </c>
      <c r="I112" s="156" t="e">
        <f ca="1">[0]!CSVVLookUP(ROW(行数!A108),配列!$C$7,運転予定時間,1,1)</f>
        <v>#NAME?</v>
      </c>
      <c r="J112" s="159" t="e">
        <f ca="1">[0]!CSVVLookUP(ROW(行数!A108),配列!$C$7,運転予定時間,2,1)</f>
        <v>#NAME?</v>
      </c>
      <c r="K112" s="154" t="e">
        <f ca="1">[0]!CSVVLookUP(ROW(行数!A108),配列!$C$7,運転予定時間,3,1)</f>
        <v>#NAME?</v>
      </c>
      <c r="L112" s="154" t="e">
        <f ca="1">[0]!CSVVLookUP(ROW(行数!A108),配列!$C$7,運転予定時間,4,1)</f>
        <v>#NAME?</v>
      </c>
      <c r="M112" s="155" t="e">
        <f ca="1">[0]!CSVVLookUP(ROW(行数!A108),配列!$C$7,運転予定時間,5,1)</f>
        <v>#NAME?</v>
      </c>
      <c r="N112" s="94" t="e">
        <f t="shared" ca="1" si="15"/>
        <v>#NAME?</v>
      </c>
      <c r="O112" s="148" t="e">
        <f ca="1">IF(K112="","",ROW(行数!A108))</f>
        <v>#NAME?</v>
      </c>
    </row>
    <row r="113" spans="2:7" x14ac:dyDescent="0.2">
      <c r="B113" s="146" t="e">
        <f t="shared" ca="1" si="18"/>
        <v>#REF!</v>
      </c>
      <c r="C113" s="180">
        <v>45586.823611111111</v>
      </c>
      <c r="D113" s="180">
        <v>45586.824999999997</v>
      </c>
      <c r="E113" s="80"/>
      <c r="F113" s="140">
        <f t="shared" si="14"/>
        <v>1.3888888888888889E-3</v>
      </c>
      <c r="G113" s="147" t="e">
        <f t="shared" ca="1" si="19"/>
        <v>#REF!</v>
      </c>
    </row>
    <row r="114" spans="2:7" x14ac:dyDescent="0.2">
      <c r="B114" s="146" t="str">
        <f t="shared" si="18"/>
        <v/>
      </c>
      <c r="C114" s="180"/>
      <c r="D114" s="180"/>
      <c r="E114" s="80"/>
      <c r="F114" s="140" t="str">
        <f t="shared" ref="F114:F177" si="20">IF(C114="","",MROUND(D114-C114,"00:01"))</f>
        <v/>
      </c>
      <c r="G114" s="147" t="str">
        <f t="shared" si="19"/>
        <v/>
      </c>
    </row>
    <row r="115" spans="2:7" x14ac:dyDescent="0.2">
      <c r="B115" s="146" t="str">
        <f t="shared" si="18"/>
        <v/>
      </c>
      <c r="C115" s="180"/>
      <c r="D115" s="180"/>
      <c r="E115" s="80"/>
      <c r="F115" s="140" t="str">
        <f t="shared" si="20"/>
        <v/>
      </c>
      <c r="G115" s="147" t="str">
        <f t="shared" si="19"/>
        <v/>
      </c>
    </row>
    <row r="116" spans="2:7" x14ac:dyDescent="0.2">
      <c r="B116" s="146" t="str">
        <f t="shared" si="18"/>
        <v/>
      </c>
      <c r="C116" s="180"/>
      <c r="D116" s="180"/>
      <c r="E116" s="80"/>
      <c r="F116" s="140" t="str">
        <f t="shared" si="20"/>
        <v/>
      </c>
      <c r="G116" s="147" t="str">
        <f t="shared" si="19"/>
        <v/>
      </c>
    </row>
    <row r="117" spans="2:7" x14ac:dyDescent="0.2">
      <c r="B117" s="146" t="str">
        <f t="shared" si="18"/>
        <v/>
      </c>
      <c r="C117" s="180"/>
      <c r="D117" s="180"/>
      <c r="E117" s="80"/>
      <c r="F117" s="140" t="str">
        <f t="shared" si="20"/>
        <v/>
      </c>
      <c r="G117" s="147" t="str">
        <f t="shared" si="19"/>
        <v/>
      </c>
    </row>
    <row r="118" spans="2:7" x14ac:dyDescent="0.2">
      <c r="B118" s="146" t="str">
        <f t="shared" si="18"/>
        <v/>
      </c>
      <c r="C118" s="180"/>
      <c r="D118" s="180"/>
      <c r="E118" s="80"/>
      <c r="F118" s="140" t="str">
        <f t="shared" si="20"/>
        <v/>
      </c>
      <c r="G118" s="147" t="str">
        <f t="shared" si="19"/>
        <v/>
      </c>
    </row>
    <row r="119" spans="2:7" x14ac:dyDescent="0.2">
      <c r="B119" s="146" t="str">
        <f t="shared" si="18"/>
        <v/>
      </c>
      <c r="C119" s="180"/>
      <c r="D119" s="180"/>
      <c r="E119" s="80"/>
      <c r="F119" s="140" t="str">
        <f t="shared" si="20"/>
        <v/>
      </c>
      <c r="G119" s="147" t="str">
        <f t="shared" si="19"/>
        <v/>
      </c>
    </row>
    <row r="120" spans="2:7" x14ac:dyDescent="0.2">
      <c r="B120" s="146" t="str">
        <f t="shared" si="18"/>
        <v/>
      </c>
      <c r="C120" s="180"/>
      <c r="D120" s="180"/>
      <c r="E120" s="80"/>
      <c r="F120" s="140" t="str">
        <f t="shared" si="20"/>
        <v/>
      </c>
      <c r="G120" s="147" t="str">
        <f t="shared" si="19"/>
        <v/>
      </c>
    </row>
    <row r="121" spans="2:7" x14ac:dyDescent="0.2">
      <c r="B121" s="146" t="str">
        <f t="shared" si="18"/>
        <v/>
      </c>
      <c r="C121" s="180"/>
      <c r="D121" s="180"/>
      <c r="E121" s="80"/>
      <c r="F121" s="140" t="str">
        <f t="shared" si="20"/>
        <v/>
      </c>
      <c r="G121" s="147" t="str">
        <f t="shared" si="19"/>
        <v/>
      </c>
    </row>
    <row r="122" spans="2:7" x14ac:dyDescent="0.2">
      <c r="B122" s="146" t="str">
        <f t="shared" si="18"/>
        <v/>
      </c>
      <c r="C122" s="180"/>
      <c r="D122" s="180"/>
      <c r="E122" s="80"/>
      <c r="F122" s="140" t="str">
        <f t="shared" si="20"/>
        <v/>
      </c>
      <c r="G122" s="147" t="str">
        <f t="shared" si="19"/>
        <v/>
      </c>
    </row>
    <row r="123" spans="2:7" x14ac:dyDescent="0.2">
      <c r="B123" s="146" t="str">
        <f t="shared" si="18"/>
        <v/>
      </c>
      <c r="C123" s="180"/>
      <c r="D123" s="180"/>
      <c r="E123" s="80"/>
      <c r="F123" s="140" t="str">
        <f t="shared" si="20"/>
        <v/>
      </c>
      <c r="G123" s="147" t="str">
        <f t="shared" si="19"/>
        <v/>
      </c>
    </row>
    <row r="124" spans="2:7" x14ac:dyDescent="0.2">
      <c r="B124" s="146" t="str">
        <f t="shared" si="18"/>
        <v/>
      </c>
      <c r="C124" s="180"/>
      <c r="D124" s="180"/>
      <c r="E124" s="80"/>
      <c r="F124" s="140" t="str">
        <f t="shared" si="20"/>
        <v/>
      </c>
      <c r="G124" s="147" t="str">
        <f t="shared" si="19"/>
        <v/>
      </c>
    </row>
    <row r="125" spans="2:7" x14ac:dyDescent="0.2">
      <c r="B125" s="146" t="str">
        <f t="shared" si="18"/>
        <v/>
      </c>
      <c r="C125" s="180"/>
      <c r="D125" s="180"/>
      <c r="E125" s="80"/>
      <c r="F125" s="140" t="str">
        <f t="shared" si="20"/>
        <v/>
      </c>
      <c r="G125" s="147" t="str">
        <f t="shared" si="19"/>
        <v/>
      </c>
    </row>
    <row r="126" spans="2:7" x14ac:dyDescent="0.2">
      <c r="B126" s="146" t="str">
        <f t="shared" si="18"/>
        <v/>
      </c>
      <c r="C126" s="180"/>
      <c r="D126" s="180"/>
      <c r="E126" s="80"/>
      <c r="F126" s="140" t="str">
        <f t="shared" si="20"/>
        <v/>
      </c>
      <c r="G126" s="147" t="str">
        <f t="shared" si="19"/>
        <v/>
      </c>
    </row>
    <row r="127" spans="2:7" x14ac:dyDescent="0.2">
      <c r="B127" s="146" t="str">
        <f t="shared" si="18"/>
        <v/>
      </c>
      <c r="C127" s="180"/>
      <c r="D127" s="180"/>
      <c r="E127" s="80"/>
      <c r="F127" s="140" t="str">
        <f t="shared" si="20"/>
        <v/>
      </c>
      <c r="G127" s="147" t="str">
        <f t="shared" si="19"/>
        <v/>
      </c>
    </row>
    <row r="128" spans="2:7" x14ac:dyDescent="0.2">
      <c r="B128" s="146" t="str">
        <f t="shared" si="18"/>
        <v/>
      </c>
      <c r="C128" s="180"/>
      <c r="D128" s="180"/>
      <c r="E128" s="80"/>
      <c r="F128" s="140" t="str">
        <f t="shared" si="20"/>
        <v/>
      </c>
      <c r="G128" s="147" t="str">
        <f t="shared" si="19"/>
        <v/>
      </c>
    </row>
    <row r="129" spans="2:7" x14ac:dyDescent="0.2">
      <c r="B129" s="146" t="str">
        <f t="shared" si="18"/>
        <v/>
      </c>
      <c r="C129" s="180"/>
      <c r="D129" s="180"/>
      <c r="E129" s="80"/>
      <c r="F129" s="140" t="str">
        <f t="shared" si="20"/>
        <v/>
      </c>
      <c r="G129" s="147" t="str">
        <f t="shared" si="19"/>
        <v/>
      </c>
    </row>
    <row r="130" spans="2:7" x14ac:dyDescent="0.2">
      <c r="B130" s="146" t="str">
        <f t="shared" si="18"/>
        <v/>
      </c>
      <c r="C130" s="180"/>
      <c r="D130" s="180"/>
      <c r="E130" s="80"/>
      <c r="F130" s="140" t="str">
        <f t="shared" si="20"/>
        <v/>
      </c>
      <c r="G130" s="147" t="str">
        <f t="shared" si="19"/>
        <v/>
      </c>
    </row>
    <row r="131" spans="2:7" x14ac:dyDescent="0.2">
      <c r="B131" s="146" t="str">
        <f t="shared" si="18"/>
        <v/>
      </c>
      <c r="C131" s="180"/>
      <c r="D131" s="180"/>
      <c r="E131" s="80"/>
      <c r="F131" s="140" t="str">
        <f t="shared" si="20"/>
        <v/>
      </c>
      <c r="G131" s="147" t="str">
        <f t="shared" si="19"/>
        <v/>
      </c>
    </row>
    <row r="132" spans="2:7" x14ac:dyDescent="0.2">
      <c r="B132" s="146" t="str">
        <f t="shared" si="18"/>
        <v/>
      </c>
      <c r="C132" s="180"/>
      <c r="D132" s="180"/>
      <c r="E132" s="80"/>
      <c r="F132" s="140" t="str">
        <f t="shared" si="20"/>
        <v/>
      </c>
      <c r="G132" s="147" t="str">
        <f t="shared" si="19"/>
        <v/>
      </c>
    </row>
    <row r="133" spans="2:7" x14ac:dyDescent="0.2">
      <c r="B133" s="146" t="str">
        <f t="shared" si="18"/>
        <v/>
      </c>
      <c r="C133" s="180"/>
      <c r="D133" s="180"/>
      <c r="E133" s="80"/>
      <c r="F133" s="140" t="str">
        <f t="shared" si="20"/>
        <v/>
      </c>
      <c r="G133" s="147" t="str">
        <f t="shared" si="19"/>
        <v/>
      </c>
    </row>
    <row r="134" spans="2:7" x14ac:dyDescent="0.2">
      <c r="B134" s="146" t="str">
        <f t="shared" si="18"/>
        <v/>
      </c>
      <c r="C134" s="180"/>
      <c r="D134" s="180"/>
      <c r="E134" s="80"/>
      <c r="F134" s="140" t="str">
        <f t="shared" si="20"/>
        <v/>
      </c>
      <c r="G134" s="147" t="str">
        <f t="shared" si="19"/>
        <v/>
      </c>
    </row>
    <row r="135" spans="2:7" x14ac:dyDescent="0.2">
      <c r="B135" s="146" t="str">
        <f t="shared" si="18"/>
        <v/>
      </c>
      <c r="C135" s="180"/>
      <c r="D135" s="180"/>
      <c r="E135" s="80"/>
      <c r="F135" s="140" t="str">
        <f t="shared" si="20"/>
        <v/>
      </c>
      <c r="G135" s="147" t="str">
        <f t="shared" si="19"/>
        <v/>
      </c>
    </row>
    <row r="136" spans="2:7" x14ac:dyDescent="0.2">
      <c r="B136" s="146" t="str">
        <f t="shared" si="18"/>
        <v/>
      </c>
      <c r="C136" s="180"/>
      <c r="D136" s="180"/>
      <c r="E136" s="80"/>
      <c r="F136" s="140" t="str">
        <f t="shared" si="20"/>
        <v/>
      </c>
      <c r="G136" s="147" t="str">
        <f t="shared" si="19"/>
        <v/>
      </c>
    </row>
    <row r="137" spans="2:7" x14ac:dyDescent="0.2">
      <c r="B137" s="146" t="str">
        <f t="shared" si="18"/>
        <v/>
      </c>
      <c r="C137" s="180"/>
      <c r="D137" s="180"/>
      <c r="E137" s="80"/>
      <c r="F137" s="140" t="str">
        <f t="shared" si="20"/>
        <v/>
      </c>
      <c r="G137" s="147" t="str">
        <f t="shared" si="19"/>
        <v/>
      </c>
    </row>
    <row r="138" spans="2:7" x14ac:dyDescent="0.2">
      <c r="B138" s="146" t="str">
        <f t="shared" si="18"/>
        <v/>
      </c>
      <c r="C138" s="180"/>
      <c r="D138" s="180"/>
      <c r="E138" s="80"/>
      <c r="F138" s="140" t="str">
        <f t="shared" si="20"/>
        <v/>
      </c>
      <c r="G138" s="147" t="str">
        <f t="shared" si="19"/>
        <v/>
      </c>
    </row>
    <row r="139" spans="2:7" x14ac:dyDescent="0.2">
      <c r="B139" s="146" t="str">
        <f t="shared" si="18"/>
        <v/>
      </c>
      <c r="C139" s="180"/>
      <c r="D139" s="180"/>
      <c r="E139" s="80"/>
      <c r="F139" s="140" t="str">
        <f t="shared" si="20"/>
        <v/>
      </c>
      <c r="G139" s="147" t="str">
        <f t="shared" si="19"/>
        <v/>
      </c>
    </row>
    <row r="140" spans="2:7" x14ac:dyDescent="0.2">
      <c r="B140" s="146" t="str">
        <f t="shared" si="18"/>
        <v/>
      </c>
      <c r="C140" s="180"/>
      <c r="D140" s="180"/>
      <c r="E140" s="80"/>
      <c r="F140" s="140" t="str">
        <f t="shared" si="20"/>
        <v/>
      </c>
      <c r="G140" s="147" t="str">
        <f t="shared" si="19"/>
        <v/>
      </c>
    </row>
    <row r="141" spans="2:7" x14ac:dyDescent="0.2">
      <c r="B141" s="146" t="str">
        <f t="shared" si="18"/>
        <v/>
      </c>
      <c r="C141" s="180"/>
      <c r="D141" s="180"/>
      <c r="E141" s="80"/>
      <c r="F141" s="140" t="str">
        <f t="shared" si="20"/>
        <v/>
      </c>
      <c r="G141" s="147" t="str">
        <f t="shared" si="19"/>
        <v/>
      </c>
    </row>
    <row r="142" spans="2:7" x14ac:dyDescent="0.2">
      <c r="B142" s="146" t="str">
        <f t="shared" si="18"/>
        <v/>
      </c>
      <c r="C142" s="180"/>
      <c r="D142" s="180"/>
      <c r="E142" s="80"/>
      <c r="F142" s="140" t="str">
        <f t="shared" si="20"/>
        <v/>
      </c>
      <c r="G142" s="147" t="str">
        <f t="shared" si="19"/>
        <v/>
      </c>
    </row>
    <row r="143" spans="2:7" x14ac:dyDescent="0.2">
      <c r="B143" s="146" t="str">
        <f t="shared" si="18"/>
        <v/>
      </c>
      <c r="C143" s="180"/>
      <c r="D143" s="180"/>
      <c r="E143" s="80"/>
      <c r="F143" s="140" t="str">
        <f t="shared" si="20"/>
        <v/>
      </c>
      <c r="G143" s="147" t="str">
        <f t="shared" si="19"/>
        <v/>
      </c>
    </row>
    <row r="144" spans="2:7" x14ac:dyDescent="0.2">
      <c r="B144" s="146" t="str">
        <f t="shared" si="18"/>
        <v/>
      </c>
      <c r="C144" s="180"/>
      <c r="D144" s="180"/>
      <c r="E144" s="80"/>
      <c r="F144" s="140" t="str">
        <f t="shared" si="20"/>
        <v/>
      </c>
      <c r="G144" s="147" t="str">
        <f t="shared" si="19"/>
        <v/>
      </c>
    </row>
    <row r="145" spans="2:7" x14ac:dyDescent="0.2">
      <c r="B145" s="146" t="str">
        <f t="shared" si="18"/>
        <v/>
      </c>
      <c r="C145" s="180"/>
      <c r="D145" s="180"/>
      <c r="E145" s="80"/>
      <c r="F145" s="140" t="str">
        <f t="shared" si="20"/>
        <v/>
      </c>
      <c r="G145" s="147" t="str">
        <f t="shared" si="19"/>
        <v/>
      </c>
    </row>
    <row r="146" spans="2:7" x14ac:dyDescent="0.2">
      <c r="B146" s="146" t="str">
        <f t="shared" si="18"/>
        <v/>
      </c>
      <c r="C146" s="180"/>
      <c r="D146" s="180"/>
      <c r="E146" s="80"/>
      <c r="F146" s="140" t="str">
        <f t="shared" si="20"/>
        <v/>
      </c>
      <c r="G146" s="147" t="str">
        <f t="shared" si="19"/>
        <v/>
      </c>
    </row>
    <row r="147" spans="2:7" x14ac:dyDescent="0.2">
      <c r="B147" s="146" t="str">
        <f t="shared" si="18"/>
        <v/>
      </c>
      <c r="C147" s="180"/>
      <c r="D147" s="180"/>
      <c r="E147" s="80"/>
      <c r="F147" s="140" t="str">
        <f t="shared" si="20"/>
        <v/>
      </c>
      <c r="G147" s="147" t="str">
        <f t="shared" si="19"/>
        <v/>
      </c>
    </row>
    <row r="148" spans="2:7" x14ac:dyDescent="0.2">
      <c r="B148" s="146" t="str">
        <f t="shared" si="18"/>
        <v/>
      </c>
      <c r="C148" s="180"/>
      <c r="D148" s="180"/>
      <c r="E148" s="80"/>
      <c r="F148" s="140" t="str">
        <f t="shared" si="20"/>
        <v/>
      </c>
      <c r="G148" s="147" t="str">
        <f t="shared" si="19"/>
        <v/>
      </c>
    </row>
    <row r="149" spans="2:7" x14ac:dyDescent="0.2">
      <c r="B149" s="146" t="str">
        <f t="shared" si="18"/>
        <v/>
      </c>
      <c r="C149" s="180"/>
      <c r="D149" s="180"/>
      <c r="E149" s="80"/>
      <c r="F149" s="140" t="str">
        <f t="shared" si="20"/>
        <v/>
      </c>
      <c r="G149" s="147" t="str">
        <f t="shared" si="19"/>
        <v/>
      </c>
    </row>
    <row r="150" spans="2:7" x14ac:dyDescent="0.2">
      <c r="B150" s="146" t="str">
        <f t="shared" si="18"/>
        <v/>
      </c>
      <c r="C150" s="180"/>
      <c r="D150" s="180"/>
      <c r="E150" s="80"/>
      <c r="F150" s="140" t="str">
        <f t="shared" si="20"/>
        <v/>
      </c>
      <c r="G150" s="147" t="str">
        <f t="shared" si="19"/>
        <v/>
      </c>
    </row>
    <row r="151" spans="2:7" x14ac:dyDescent="0.2">
      <c r="B151" s="146" t="str">
        <f t="shared" si="18"/>
        <v/>
      </c>
      <c r="C151" s="180"/>
      <c r="D151" s="180"/>
      <c r="E151" s="80"/>
      <c r="F151" s="140" t="str">
        <f t="shared" si="20"/>
        <v/>
      </c>
      <c r="G151" s="147" t="str">
        <f t="shared" si="19"/>
        <v/>
      </c>
    </row>
    <row r="152" spans="2:7" x14ac:dyDescent="0.2">
      <c r="B152" s="146" t="str">
        <f t="shared" si="18"/>
        <v/>
      </c>
      <c r="C152" s="180"/>
      <c r="D152" s="180"/>
      <c r="E152" s="80"/>
      <c r="F152" s="140" t="str">
        <f t="shared" si="20"/>
        <v/>
      </c>
      <c r="G152" s="147" t="str">
        <f t="shared" si="19"/>
        <v/>
      </c>
    </row>
    <row r="153" spans="2:7" x14ac:dyDescent="0.2">
      <c r="B153" s="146" t="str">
        <f t="shared" si="18"/>
        <v/>
      </c>
      <c r="C153" s="180"/>
      <c r="D153" s="180"/>
      <c r="E153" s="80"/>
      <c r="F153" s="140" t="str">
        <f t="shared" si="20"/>
        <v/>
      </c>
      <c r="G153" s="147" t="str">
        <f t="shared" si="19"/>
        <v/>
      </c>
    </row>
    <row r="154" spans="2:7" x14ac:dyDescent="0.2">
      <c r="B154" s="146" t="str">
        <f t="shared" si="18"/>
        <v/>
      </c>
      <c r="C154" s="180"/>
      <c r="D154" s="180"/>
      <c r="E154" s="80"/>
      <c r="F154" s="140" t="str">
        <f t="shared" si="20"/>
        <v/>
      </c>
      <c r="G154" s="147" t="str">
        <f t="shared" si="19"/>
        <v/>
      </c>
    </row>
    <row r="155" spans="2:7" x14ac:dyDescent="0.2">
      <c r="B155" s="146" t="str">
        <f t="shared" si="18"/>
        <v/>
      </c>
      <c r="C155" s="180"/>
      <c r="D155" s="180"/>
      <c r="E155" s="80"/>
      <c r="F155" s="140" t="str">
        <f t="shared" si="20"/>
        <v/>
      </c>
      <c r="G155" s="147" t="str">
        <f t="shared" si="19"/>
        <v/>
      </c>
    </row>
    <row r="156" spans="2:7" x14ac:dyDescent="0.2">
      <c r="B156" s="146" t="str">
        <f t="shared" si="18"/>
        <v/>
      </c>
      <c r="C156" s="180"/>
      <c r="D156" s="180"/>
      <c r="E156" s="80"/>
      <c r="F156" s="140" t="str">
        <f t="shared" si="20"/>
        <v/>
      </c>
      <c r="G156" s="147" t="str">
        <f t="shared" si="19"/>
        <v/>
      </c>
    </row>
    <row r="157" spans="2:7" x14ac:dyDescent="0.2">
      <c r="B157" s="146" t="str">
        <f t="shared" si="18"/>
        <v/>
      </c>
      <c r="C157" s="180"/>
      <c r="D157" s="180"/>
      <c r="E157" s="80"/>
      <c r="F157" s="140" t="str">
        <f t="shared" si="20"/>
        <v/>
      </c>
      <c r="G157" s="147" t="str">
        <f t="shared" si="19"/>
        <v/>
      </c>
    </row>
    <row r="158" spans="2:7" x14ac:dyDescent="0.2">
      <c r="B158" s="146" t="str">
        <f t="shared" si="18"/>
        <v/>
      </c>
      <c r="C158" s="180"/>
      <c r="D158" s="180"/>
      <c r="E158" s="80"/>
      <c r="F158" s="140" t="str">
        <f t="shared" si="20"/>
        <v/>
      </c>
      <c r="G158" s="147" t="str">
        <f t="shared" si="19"/>
        <v/>
      </c>
    </row>
    <row r="159" spans="2:7" x14ac:dyDescent="0.2">
      <c r="B159" s="146" t="str">
        <f t="shared" si="18"/>
        <v/>
      </c>
      <c r="C159" s="180"/>
      <c r="D159" s="180"/>
      <c r="E159" s="80"/>
      <c r="F159" s="140" t="str">
        <f t="shared" si="20"/>
        <v/>
      </c>
      <c r="G159" s="147" t="str">
        <f t="shared" si="19"/>
        <v/>
      </c>
    </row>
    <row r="160" spans="2:7" x14ac:dyDescent="0.2">
      <c r="B160" s="146" t="str">
        <f t="shared" si="18"/>
        <v/>
      </c>
      <c r="C160" s="180"/>
      <c r="D160" s="180"/>
      <c r="E160" s="80"/>
      <c r="F160" s="140" t="str">
        <f t="shared" si="20"/>
        <v/>
      </c>
      <c r="G160" s="147" t="str">
        <f t="shared" si="19"/>
        <v/>
      </c>
    </row>
    <row r="161" spans="2:7" x14ac:dyDescent="0.2">
      <c r="B161" s="146" t="str">
        <f t="shared" si="18"/>
        <v/>
      </c>
      <c r="C161" s="180"/>
      <c r="D161" s="180"/>
      <c r="E161" s="80"/>
      <c r="F161" s="140" t="str">
        <f t="shared" si="20"/>
        <v/>
      </c>
      <c r="G161" s="147" t="str">
        <f t="shared" si="19"/>
        <v/>
      </c>
    </row>
    <row r="162" spans="2:7" x14ac:dyDescent="0.2">
      <c r="B162" s="146" t="str">
        <f t="shared" si="18"/>
        <v/>
      </c>
      <c r="C162" s="180"/>
      <c r="D162" s="180"/>
      <c r="E162" s="80"/>
      <c r="F162" s="140" t="str">
        <f t="shared" si="20"/>
        <v/>
      </c>
      <c r="G162" s="147" t="str">
        <f t="shared" si="19"/>
        <v/>
      </c>
    </row>
    <row r="163" spans="2:7" x14ac:dyDescent="0.2">
      <c r="B163" s="146" t="str">
        <f t="shared" si="18"/>
        <v/>
      </c>
      <c r="C163" s="180"/>
      <c r="D163" s="180"/>
      <c r="E163" s="80"/>
      <c r="F163" s="140" t="str">
        <f t="shared" si="20"/>
        <v/>
      </c>
      <c r="G163" s="147" t="str">
        <f t="shared" si="19"/>
        <v/>
      </c>
    </row>
    <row r="164" spans="2:7" x14ac:dyDescent="0.2">
      <c r="B164" s="146" t="str">
        <f t="shared" si="18"/>
        <v/>
      </c>
      <c r="C164" s="180"/>
      <c r="D164" s="180"/>
      <c r="E164" s="80"/>
      <c r="F164" s="140" t="str">
        <f t="shared" si="20"/>
        <v/>
      </c>
      <c r="G164" s="147" t="str">
        <f t="shared" si="19"/>
        <v/>
      </c>
    </row>
    <row r="165" spans="2:7" x14ac:dyDescent="0.2">
      <c r="B165" s="146" t="str">
        <f t="shared" si="18"/>
        <v/>
      </c>
      <c r="C165" s="180"/>
      <c r="D165" s="180"/>
      <c r="E165" s="80"/>
      <c r="F165" s="140" t="str">
        <f t="shared" si="20"/>
        <v/>
      </c>
      <c r="G165" s="147" t="str">
        <f t="shared" si="19"/>
        <v/>
      </c>
    </row>
    <row r="166" spans="2:7" x14ac:dyDescent="0.2">
      <c r="B166" s="146" t="str">
        <f t="shared" si="18"/>
        <v/>
      </c>
      <c r="C166" s="180"/>
      <c r="D166" s="180"/>
      <c r="E166" s="80"/>
      <c r="F166" s="140" t="str">
        <f t="shared" si="20"/>
        <v/>
      </c>
      <c r="G166" s="147" t="str">
        <f t="shared" si="19"/>
        <v/>
      </c>
    </row>
    <row r="167" spans="2:7" x14ac:dyDescent="0.2">
      <c r="B167" s="146" t="str">
        <f t="shared" si="18"/>
        <v/>
      </c>
      <c r="C167" s="180"/>
      <c r="D167" s="180"/>
      <c r="E167" s="80"/>
      <c r="F167" s="140" t="str">
        <f t="shared" si="20"/>
        <v/>
      </c>
      <c r="G167" s="147" t="str">
        <f t="shared" si="19"/>
        <v/>
      </c>
    </row>
    <row r="168" spans="2:7" x14ac:dyDescent="0.2">
      <c r="B168" s="146" t="str">
        <f t="shared" si="18"/>
        <v/>
      </c>
      <c r="C168" s="180"/>
      <c r="D168" s="180"/>
      <c r="E168" s="80"/>
      <c r="F168" s="140" t="str">
        <f t="shared" si="20"/>
        <v/>
      </c>
      <c r="G168" s="147" t="str">
        <f t="shared" si="19"/>
        <v/>
      </c>
    </row>
    <row r="169" spans="2:7" x14ac:dyDescent="0.2">
      <c r="B169" s="146" t="str">
        <f t="shared" si="18"/>
        <v/>
      </c>
      <c r="C169" s="180"/>
      <c r="D169" s="180"/>
      <c r="E169" s="80"/>
      <c r="F169" s="140" t="str">
        <f t="shared" si="20"/>
        <v/>
      </c>
      <c r="G169" s="147" t="str">
        <f t="shared" si="19"/>
        <v/>
      </c>
    </row>
    <row r="170" spans="2:7" x14ac:dyDescent="0.2">
      <c r="B170" s="146" t="str">
        <f t="shared" si="18"/>
        <v/>
      </c>
      <c r="C170" s="180"/>
      <c r="D170" s="180"/>
      <c r="E170" s="80"/>
      <c r="F170" s="140" t="str">
        <f t="shared" si="20"/>
        <v/>
      </c>
      <c r="G170" s="147" t="str">
        <f t="shared" si="19"/>
        <v/>
      </c>
    </row>
    <row r="171" spans="2:7" x14ac:dyDescent="0.2">
      <c r="B171" s="146" t="str">
        <f t="shared" si="18"/>
        <v/>
      </c>
      <c r="C171" s="180"/>
      <c r="D171" s="180"/>
      <c r="E171" s="80"/>
      <c r="F171" s="140" t="str">
        <f t="shared" si="20"/>
        <v/>
      </c>
      <c r="G171" s="147" t="str">
        <f t="shared" si="19"/>
        <v/>
      </c>
    </row>
    <row r="172" spans="2:7" x14ac:dyDescent="0.2">
      <c r="B172" s="146" t="str">
        <f t="shared" si="18"/>
        <v/>
      </c>
      <c r="C172" s="180"/>
      <c r="D172" s="180"/>
      <c r="E172" s="80"/>
      <c r="F172" s="140" t="str">
        <f t="shared" si="20"/>
        <v/>
      </c>
      <c r="G172" s="147" t="str">
        <f t="shared" si="19"/>
        <v/>
      </c>
    </row>
    <row r="173" spans="2:7" x14ac:dyDescent="0.2">
      <c r="B173" s="146" t="str">
        <f t="shared" ref="B173:B226" si="21">IF(C173="","",VLOOKUP(C173,ユニット判定用,3))</f>
        <v/>
      </c>
      <c r="C173" s="180"/>
      <c r="D173" s="180"/>
      <c r="E173" s="80"/>
      <c r="F173" s="140" t="str">
        <f t="shared" si="20"/>
        <v/>
      </c>
      <c r="G173" s="147" t="str">
        <f t="shared" ref="G173:G226" si="22">IF(C173="","",VLOOKUP(C173,施設運転・利用調整時間判定,5,1))</f>
        <v/>
      </c>
    </row>
    <row r="174" spans="2:7" x14ac:dyDescent="0.2">
      <c r="B174" s="146" t="str">
        <f t="shared" si="21"/>
        <v/>
      </c>
      <c r="C174" s="180"/>
      <c r="D174" s="180"/>
      <c r="E174" s="80"/>
      <c r="F174" s="140" t="str">
        <f t="shared" si="20"/>
        <v/>
      </c>
      <c r="G174" s="147" t="str">
        <f t="shared" si="22"/>
        <v/>
      </c>
    </row>
    <row r="175" spans="2:7" x14ac:dyDescent="0.2">
      <c r="B175" s="146" t="str">
        <f t="shared" si="21"/>
        <v/>
      </c>
      <c r="C175" s="180"/>
      <c r="D175" s="180"/>
      <c r="E175" s="80"/>
      <c r="F175" s="140" t="str">
        <f t="shared" si="20"/>
        <v/>
      </c>
      <c r="G175" s="147" t="str">
        <f t="shared" si="22"/>
        <v/>
      </c>
    </row>
    <row r="176" spans="2:7" x14ac:dyDescent="0.2">
      <c r="B176" s="146" t="str">
        <f t="shared" si="21"/>
        <v/>
      </c>
      <c r="C176" s="180"/>
      <c r="D176" s="180"/>
      <c r="E176" s="80"/>
      <c r="F176" s="140" t="str">
        <f t="shared" si="20"/>
        <v/>
      </c>
      <c r="G176" s="147" t="str">
        <f t="shared" si="22"/>
        <v/>
      </c>
    </row>
    <row r="177" spans="2:7" x14ac:dyDescent="0.2">
      <c r="B177" s="146" t="str">
        <f t="shared" si="21"/>
        <v/>
      </c>
      <c r="C177" s="180"/>
      <c r="D177" s="180"/>
      <c r="E177" s="80"/>
      <c r="F177" s="140" t="str">
        <f t="shared" si="20"/>
        <v/>
      </c>
      <c r="G177" s="147" t="str">
        <f t="shared" si="22"/>
        <v/>
      </c>
    </row>
    <row r="178" spans="2:7" x14ac:dyDescent="0.2">
      <c r="B178" s="146" t="str">
        <f t="shared" si="21"/>
        <v/>
      </c>
      <c r="C178" s="180"/>
      <c r="D178" s="180"/>
      <c r="E178" s="80"/>
      <c r="F178" s="140" t="str">
        <f t="shared" ref="F178:F241" si="23">IF(C178="","",MROUND(D178-C178,"00:01"))</f>
        <v/>
      </c>
      <c r="G178" s="147" t="str">
        <f t="shared" si="22"/>
        <v/>
      </c>
    </row>
    <row r="179" spans="2:7" x14ac:dyDescent="0.2">
      <c r="B179" s="146" t="str">
        <f t="shared" si="21"/>
        <v/>
      </c>
      <c r="C179" s="180"/>
      <c r="D179" s="180"/>
      <c r="E179" s="80"/>
      <c r="F179" s="140" t="str">
        <f t="shared" si="23"/>
        <v/>
      </c>
      <c r="G179" s="147" t="str">
        <f t="shared" si="22"/>
        <v/>
      </c>
    </row>
    <row r="180" spans="2:7" x14ac:dyDescent="0.2">
      <c r="B180" s="146" t="str">
        <f t="shared" si="21"/>
        <v/>
      </c>
      <c r="C180" s="180"/>
      <c r="D180" s="180"/>
      <c r="E180" s="80"/>
      <c r="F180" s="140" t="str">
        <f t="shared" si="23"/>
        <v/>
      </c>
      <c r="G180" s="147" t="str">
        <f t="shared" si="22"/>
        <v/>
      </c>
    </row>
    <row r="181" spans="2:7" x14ac:dyDescent="0.2">
      <c r="B181" s="146" t="str">
        <f t="shared" si="21"/>
        <v/>
      </c>
      <c r="C181" s="180"/>
      <c r="D181" s="180"/>
      <c r="E181" s="80"/>
      <c r="F181" s="140" t="str">
        <f t="shared" si="23"/>
        <v/>
      </c>
      <c r="G181" s="147" t="str">
        <f t="shared" si="22"/>
        <v/>
      </c>
    </row>
    <row r="182" spans="2:7" x14ac:dyDescent="0.2">
      <c r="B182" s="146" t="str">
        <f t="shared" si="21"/>
        <v/>
      </c>
      <c r="C182" s="180"/>
      <c r="D182" s="180"/>
      <c r="E182" s="80"/>
      <c r="F182" s="140" t="str">
        <f t="shared" si="23"/>
        <v/>
      </c>
      <c r="G182" s="147" t="str">
        <f t="shared" si="22"/>
        <v/>
      </c>
    </row>
    <row r="183" spans="2:7" x14ac:dyDescent="0.2">
      <c r="B183" s="146" t="str">
        <f t="shared" si="21"/>
        <v/>
      </c>
      <c r="C183" s="180"/>
      <c r="D183" s="180"/>
      <c r="E183" s="80"/>
      <c r="F183" s="140" t="str">
        <f t="shared" si="23"/>
        <v/>
      </c>
      <c r="G183" s="147" t="str">
        <f t="shared" si="22"/>
        <v/>
      </c>
    </row>
    <row r="184" spans="2:7" x14ac:dyDescent="0.2">
      <c r="B184" s="146" t="str">
        <f t="shared" si="21"/>
        <v/>
      </c>
      <c r="C184" s="180"/>
      <c r="D184" s="180"/>
      <c r="E184" s="80"/>
      <c r="F184" s="140" t="str">
        <f t="shared" si="23"/>
        <v/>
      </c>
      <c r="G184" s="147" t="str">
        <f t="shared" si="22"/>
        <v/>
      </c>
    </row>
    <row r="185" spans="2:7" x14ac:dyDescent="0.2">
      <c r="B185" s="146" t="str">
        <f t="shared" si="21"/>
        <v/>
      </c>
      <c r="C185" s="180"/>
      <c r="D185" s="180"/>
      <c r="E185" s="80"/>
      <c r="F185" s="140" t="str">
        <f t="shared" si="23"/>
        <v/>
      </c>
      <c r="G185" s="147" t="str">
        <f t="shared" si="22"/>
        <v/>
      </c>
    </row>
    <row r="186" spans="2:7" x14ac:dyDescent="0.2">
      <c r="B186" s="146" t="str">
        <f t="shared" si="21"/>
        <v/>
      </c>
      <c r="C186" s="180"/>
      <c r="D186" s="180"/>
      <c r="E186" s="80"/>
      <c r="F186" s="140" t="str">
        <f t="shared" si="23"/>
        <v/>
      </c>
      <c r="G186" s="147" t="str">
        <f t="shared" si="22"/>
        <v/>
      </c>
    </row>
    <row r="187" spans="2:7" x14ac:dyDescent="0.2">
      <c r="B187" s="146" t="str">
        <f t="shared" si="21"/>
        <v/>
      </c>
      <c r="C187" s="180"/>
      <c r="D187" s="180"/>
      <c r="E187" s="80"/>
      <c r="F187" s="140" t="str">
        <f t="shared" si="23"/>
        <v/>
      </c>
      <c r="G187" s="147" t="str">
        <f t="shared" si="22"/>
        <v/>
      </c>
    </row>
    <row r="188" spans="2:7" x14ac:dyDescent="0.2">
      <c r="B188" s="146" t="str">
        <f t="shared" si="21"/>
        <v/>
      </c>
      <c r="C188" s="180"/>
      <c r="D188" s="180"/>
      <c r="E188" s="80"/>
      <c r="F188" s="140" t="str">
        <f t="shared" si="23"/>
        <v/>
      </c>
      <c r="G188" s="147" t="str">
        <f t="shared" si="22"/>
        <v/>
      </c>
    </row>
    <row r="189" spans="2:7" x14ac:dyDescent="0.2">
      <c r="B189" s="146" t="str">
        <f t="shared" si="21"/>
        <v/>
      </c>
      <c r="C189" s="180"/>
      <c r="D189" s="180"/>
      <c r="E189" s="80"/>
      <c r="F189" s="140" t="str">
        <f t="shared" si="23"/>
        <v/>
      </c>
      <c r="G189" s="147" t="str">
        <f t="shared" si="22"/>
        <v/>
      </c>
    </row>
    <row r="190" spans="2:7" x14ac:dyDescent="0.2">
      <c r="B190" s="146" t="str">
        <f t="shared" si="21"/>
        <v/>
      </c>
      <c r="C190" s="180"/>
      <c r="D190" s="180"/>
      <c r="E190" s="80"/>
      <c r="F190" s="140" t="str">
        <f t="shared" si="23"/>
        <v/>
      </c>
      <c r="G190" s="147" t="str">
        <f t="shared" si="22"/>
        <v/>
      </c>
    </row>
    <row r="191" spans="2:7" x14ac:dyDescent="0.2">
      <c r="B191" s="146" t="str">
        <f t="shared" si="21"/>
        <v/>
      </c>
      <c r="C191" s="180"/>
      <c r="D191" s="180"/>
      <c r="E191" s="80"/>
      <c r="F191" s="140" t="str">
        <f t="shared" si="23"/>
        <v/>
      </c>
      <c r="G191" s="147" t="str">
        <f t="shared" si="22"/>
        <v/>
      </c>
    </row>
    <row r="192" spans="2:7" x14ac:dyDescent="0.2">
      <c r="B192" s="146" t="str">
        <f t="shared" si="21"/>
        <v/>
      </c>
      <c r="C192" s="180"/>
      <c r="D192" s="180"/>
      <c r="E192" s="80"/>
      <c r="F192" s="140" t="str">
        <f t="shared" si="23"/>
        <v/>
      </c>
      <c r="G192" s="147" t="str">
        <f t="shared" si="22"/>
        <v/>
      </c>
    </row>
    <row r="193" spans="2:7" x14ac:dyDescent="0.2">
      <c r="B193" s="146" t="str">
        <f t="shared" si="21"/>
        <v/>
      </c>
      <c r="C193" s="180"/>
      <c r="D193" s="180"/>
      <c r="E193" s="80"/>
      <c r="F193" s="140" t="str">
        <f t="shared" si="23"/>
        <v/>
      </c>
      <c r="G193" s="147" t="str">
        <f t="shared" si="22"/>
        <v/>
      </c>
    </row>
    <row r="194" spans="2:7" x14ac:dyDescent="0.2">
      <c r="B194" s="146" t="str">
        <f t="shared" si="21"/>
        <v/>
      </c>
      <c r="C194" s="180"/>
      <c r="D194" s="180"/>
      <c r="E194" s="80"/>
      <c r="F194" s="140" t="str">
        <f t="shared" si="23"/>
        <v/>
      </c>
      <c r="G194" s="147" t="str">
        <f t="shared" si="22"/>
        <v/>
      </c>
    </row>
    <row r="195" spans="2:7" x14ac:dyDescent="0.2">
      <c r="B195" s="146" t="str">
        <f t="shared" si="21"/>
        <v/>
      </c>
      <c r="C195" s="180"/>
      <c r="D195" s="180"/>
      <c r="E195" s="80"/>
      <c r="F195" s="140" t="str">
        <f t="shared" si="23"/>
        <v/>
      </c>
      <c r="G195" s="147" t="str">
        <f t="shared" si="22"/>
        <v/>
      </c>
    </row>
    <row r="196" spans="2:7" x14ac:dyDescent="0.2">
      <c r="B196" s="146" t="str">
        <f t="shared" si="21"/>
        <v/>
      </c>
      <c r="C196" s="180"/>
      <c r="D196" s="180"/>
      <c r="E196" s="80"/>
      <c r="F196" s="140" t="str">
        <f t="shared" si="23"/>
        <v/>
      </c>
      <c r="G196" s="147" t="str">
        <f t="shared" si="22"/>
        <v/>
      </c>
    </row>
    <row r="197" spans="2:7" x14ac:dyDescent="0.2">
      <c r="B197" s="146" t="str">
        <f t="shared" si="21"/>
        <v/>
      </c>
      <c r="C197" s="180"/>
      <c r="D197" s="180"/>
      <c r="E197" s="80"/>
      <c r="F197" s="140" t="str">
        <f t="shared" si="23"/>
        <v/>
      </c>
      <c r="G197" s="147" t="str">
        <f t="shared" si="22"/>
        <v/>
      </c>
    </row>
    <row r="198" spans="2:7" x14ac:dyDescent="0.2">
      <c r="B198" s="146" t="str">
        <f t="shared" si="21"/>
        <v/>
      </c>
      <c r="C198" s="180"/>
      <c r="D198" s="180"/>
      <c r="E198" s="80"/>
      <c r="F198" s="140" t="str">
        <f t="shared" si="23"/>
        <v/>
      </c>
      <c r="G198" s="147" t="str">
        <f t="shared" si="22"/>
        <v/>
      </c>
    </row>
    <row r="199" spans="2:7" x14ac:dyDescent="0.2">
      <c r="B199" s="146" t="str">
        <f t="shared" si="21"/>
        <v/>
      </c>
      <c r="C199" s="180"/>
      <c r="D199" s="180"/>
      <c r="E199" s="80"/>
      <c r="F199" s="140" t="str">
        <f t="shared" si="23"/>
        <v/>
      </c>
      <c r="G199" s="147" t="str">
        <f t="shared" si="22"/>
        <v/>
      </c>
    </row>
    <row r="200" spans="2:7" x14ac:dyDescent="0.2">
      <c r="B200" s="146" t="str">
        <f t="shared" si="21"/>
        <v/>
      </c>
      <c r="C200" s="180"/>
      <c r="D200" s="180"/>
      <c r="E200" s="80"/>
      <c r="F200" s="140" t="str">
        <f t="shared" si="23"/>
        <v/>
      </c>
      <c r="G200" s="147" t="str">
        <f t="shared" si="22"/>
        <v/>
      </c>
    </row>
    <row r="201" spans="2:7" x14ac:dyDescent="0.2">
      <c r="B201" s="146" t="str">
        <f t="shared" si="21"/>
        <v/>
      </c>
      <c r="C201" s="180"/>
      <c r="D201" s="180"/>
      <c r="E201" s="80"/>
      <c r="F201" s="140" t="str">
        <f t="shared" si="23"/>
        <v/>
      </c>
      <c r="G201" s="147" t="str">
        <f t="shared" si="22"/>
        <v/>
      </c>
    </row>
    <row r="202" spans="2:7" x14ac:dyDescent="0.2">
      <c r="B202" s="146" t="str">
        <f t="shared" si="21"/>
        <v/>
      </c>
      <c r="C202" s="180"/>
      <c r="D202" s="180"/>
      <c r="E202" s="80"/>
      <c r="F202" s="140" t="str">
        <f t="shared" si="23"/>
        <v/>
      </c>
      <c r="G202" s="147" t="str">
        <f t="shared" si="22"/>
        <v/>
      </c>
    </row>
    <row r="203" spans="2:7" x14ac:dyDescent="0.2">
      <c r="B203" s="146" t="str">
        <f t="shared" si="21"/>
        <v/>
      </c>
      <c r="C203" s="180"/>
      <c r="D203" s="180"/>
      <c r="E203" s="80"/>
      <c r="F203" s="140" t="str">
        <f t="shared" si="23"/>
        <v/>
      </c>
      <c r="G203" s="147" t="str">
        <f t="shared" si="22"/>
        <v/>
      </c>
    </row>
    <row r="204" spans="2:7" x14ac:dyDescent="0.2">
      <c r="B204" s="146" t="str">
        <f t="shared" si="21"/>
        <v/>
      </c>
      <c r="C204" s="180"/>
      <c r="D204" s="180"/>
      <c r="E204" s="80"/>
      <c r="F204" s="140" t="str">
        <f t="shared" si="23"/>
        <v/>
      </c>
      <c r="G204" s="147" t="str">
        <f t="shared" si="22"/>
        <v/>
      </c>
    </row>
    <row r="205" spans="2:7" x14ac:dyDescent="0.2">
      <c r="B205" s="146" t="str">
        <f t="shared" si="21"/>
        <v/>
      </c>
      <c r="C205" s="180"/>
      <c r="D205" s="180"/>
      <c r="E205" s="80"/>
      <c r="F205" s="140" t="str">
        <f t="shared" si="23"/>
        <v/>
      </c>
      <c r="G205" s="147" t="str">
        <f t="shared" si="22"/>
        <v/>
      </c>
    </row>
    <row r="206" spans="2:7" x14ac:dyDescent="0.2">
      <c r="B206" s="146" t="str">
        <f t="shared" si="21"/>
        <v/>
      </c>
      <c r="C206" s="180"/>
      <c r="D206" s="180"/>
      <c r="E206" s="80"/>
      <c r="F206" s="140" t="str">
        <f t="shared" si="23"/>
        <v/>
      </c>
      <c r="G206" s="147" t="str">
        <f t="shared" si="22"/>
        <v/>
      </c>
    </row>
    <row r="207" spans="2:7" x14ac:dyDescent="0.2">
      <c r="B207" s="146" t="str">
        <f t="shared" si="21"/>
        <v/>
      </c>
      <c r="C207" s="180"/>
      <c r="D207" s="180"/>
      <c r="E207" s="80"/>
      <c r="F207" s="140" t="str">
        <f t="shared" si="23"/>
        <v/>
      </c>
      <c r="G207" s="147" t="str">
        <f t="shared" si="22"/>
        <v/>
      </c>
    </row>
    <row r="208" spans="2:7" x14ac:dyDescent="0.2">
      <c r="B208" s="146" t="str">
        <f t="shared" si="21"/>
        <v/>
      </c>
      <c r="C208" s="180"/>
      <c r="D208" s="180"/>
      <c r="E208" s="80"/>
      <c r="F208" s="140" t="str">
        <f t="shared" si="23"/>
        <v/>
      </c>
      <c r="G208" s="147" t="str">
        <f t="shared" si="22"/>
        <v/>
      </c>
    </row>
    <row r="209" spans="2:7" x14ac:dyDescent="0.2">
      <c r="B209" s="146" t="str">
        <f t="shared" si="21"/>
        <v/>
      </c>
      <c r="C209" s="180"/>
      <c r="D209" s="180"/>
      <c r="E209" s="80"/>
      <c r="F209" s="140" t="str">
        <f t="shared" si="23"/>
        <v/>
      </c>
      <c r="G209" s="147" t="str">
        <f t="shared" si="22"/>
        <v/>
      </c>
    </row>
    <row r="210" spans="2:7" x14ac:dyDescent="0.2">
      <c r="B210" s="146" t="str">
        <f t="shared" si="21"/>
        <v/>
      </c>
      <c r="C210" s="180"/>
      <c r="D210" s="180"/>
      <c r="E210" s="80"/>
      <c r="F210" s="140" t="str">
        <f t="shared" si="23"/>
        <v/>
      </c>
      <c r="G210" s="147" t="str">
        <f t="shared" si="22"/>
        <v/>
      </c>
    </row>
    <row r="211" spans="2:7" x14ac:dyDescent="0.2">
      <c r="B211" s="146" t="str">
        <f t="shared" si="21"/>
        <v/>
      </c>
      <c r="C211" s="180"/>
      <c r="D211" s="180"/>
      <c r="E211" s="80"/>
      <c r="F211" s="140" t="str">
        <f t="shared" si="23"/>
        <v/>
      </c>
      <c r="G211" s="147" t="str">
        <f t="shared" si="22"/>
        <v/>
      </c>
    </row>
    <row r="212" spans="2:7" x14ac:dyDescent="0.2">
      <c r="B212" s="146" t="str">
        <f t="shared" si="21"/>
        <v/>
      </c>
      <c r="C212" s="180"/>
      <c r="D212" s="180"/>
      <c r="E212" s="80"/>
      <c r="F212" s="140" t="str">
        <f t="shared" si="23"/>
        <v/>
      </c>
      <c r="G212" s="147" t="str">
        <f t="shared" si="22"/>
        <v/>
      </c>
    </row>
    <row r="213" spans="2:7" x14ac:dyDescent="0.2">
      <c r="B213" s="146" t="str">
        <f t="shared" si="21"/>
        <v/>
      </c>
      <c r="C213" s="180"/>
      <c r="D213" s="180"/>
      <c r="E213" s="80"/>
      <c r="F213" s="140" t="str">
        <f t="shared" si="23"/>
        <v/>
      </c>
      <c r="G213" s="147" t="str">
        <f t="shared" si="22"/>
        <v/>
      </c>
    </row>
    <row r="214" spans="2:7" x14ac:dyDescent="0.2">
      <c r="B214" s="146" t="str">
        <f t="shared" si="21"/>
        <v/>
      </c>
      <c r="C214" s="180"/>
      <c r="D214" s="180"/>
      <c r="E214" s="80"/>
      <c r="F214" s="140" t="str">
        <f t="shared" si="23"/>
        <v/>
      </c>
      <c r="G214" s="147" t="str">
        <f t="shared" si="22"/>
        <v/>
      </c>
    </row>
    <row r="215" spans="2:7" x14ac:dyDescent="0.2">
      <c r="B215" s="146" t="str">
        <f t="shared" si="21"/>
        <v/>
      </c>
      <c r="C215" s="180"/>
      <c r="D215" s="180"/>
      <c r="E215" s="80"/>
      <c r="F215" s="140" t="str">
        <f t="shared" si="23"/>
        <v/>
      </c>
      <c r="G215" s="147" t="str">
        <f t="shared" si="22"/>
        <v/>
      </c>
    </row>
    <row r="216" spans="2:7" x14ac:dyDescent="0.2">
      <c r="B216" s="146" t="str">
        <f t="shared" si="21"/>
        <v/>
      </c>
      <c r="C216" s="180"/>
      <c r="D216" s="180"/>
      <c r="E216" s="80"/>
      <c r="F216" s="140" t="str">
        <f t="shared" si="23"/>
        <v/>
      </c>
      <c r="G216" s="147" t="str">
        <f t="shared" si="22"/>
        <v/>
      </c>
    </row>
    <row r="217" spans="2:7" x14ac:dyDescent="0.2">
      <c r="B217" s="146" t="str">
        <f t="shared" si="21"/>
        <v/>
      </c>
      <c r="C217" s="180"/>
      <c r="D217" s="180"/>
      <c r="E217" s="80"/>
      <c r="F217" s="140" t="str">
        <f t="shared" si="23"/>
        <v/>
      </c>
      <c r="G217" s="147" t="str">
        <f t="shared" si="22"/>
        <v/>
      </c>
    </row>
    <row r="218" spans="2:7" x14ac:dyDescent="0.2">
      <c r="B218" s="146" t="str">
        <f t="shared" si="21"/>
        <v/>
      </c>
      <c r="C218" s="180"/>
      <c r="D218" s="180"/>
      <c r="E218" s="80"/>
      <c r="F218" s="140" t="str">
        <f t="shared" si="23"/>
        <v/>
      </c>
      <c r="G218" s="147" t="str">
        <f t="shared" si="22"/>
        <v/>
      </c>
    </row>
    <row r="219" spans="2:7" x14ac:dyDescent="0.2">
      <c r="B219" s="146" t="str">
        <f t="shared" si="21"/>
        <v/>
      </c>
      <c r="C219" s="180"/>
      <c r="D219" s="180"/>
      <c r="E219" s="80"/>
      <c r="F219" s="140" t="str">
        <f t="shared" si="23"/>
        <v/>
      </c>
      <c r="G219" s="147" t="str">
        <f t="shared" si="22"/>
        <v/>
      </c>
    </row>
    <row r="220" spans="2:7" x14ac:dyDescent="0.2">
      <c r="B220" s="146" t="str">
        <f t="shared" si="21"/>
        <v/>
      </c>
      <c r="C220" s="180"/>
      <c r="D220" s="180"/>
      <c r="E220" s="80"/>
      <c r="F220" s="140" t="str">
        <f t="shared" si="23"/>
        <v/>
      </c>
      <c r="G220" s="147" t="str">
        <f t="shared" si="22"/>
        <v/>
      </c>
    </row>
    <row r="221" spans="2:7" x14ac:dyDescent="0.2">
      <c r="B221" s="146" t="str">
        <f t="shared" si="21"/>
        <v/>
      </c>
      <c r="C221" s="180"/>
      <c r="D221" s="180"/>
      <c r="E221" s="80"/>
      <c r="F221" s="140" t="str">
        <f t="shared" si="23"/>
        <v/>
      </c>
      <c r="G221" s="147" t="str">
        <f t="shared" si="22"/>
        <v/>
      </c>
    </row>
    <row r="222" spans="2:7" x14ac:dyDescent="0.2">
      <c r="B222" s="146" t="str">
        <f t="shared" si="21"/>
        <v/>
      </c>
      <c r="C222" s="180"/>
      <c r="D222" s="180"/>
      <c r="E222" s="80"/>
      <c r="F222" s="140" t="str">
        <f t="shared" si="23"/>
        <v/>
      </c>
      <c r="G222" s="147" t="str">
        <f t="shared" si="22"/>
        <v/>
      </c>
    </row>
    <row r="223" spans="2:7" x14ac:dyDescent="0.2">
      <c r="B223" s="146" t="str">
        <f t="shared" si="21"/>
        <v/>
      </c>
      <c r="C223" s="180"/>
      <c r="D223" s="180"/>
      <c r="E223" s="80"/>
      <c r="F223" s="140" t="str">
        <f t="shared" si="23"/>
        <v/>
      </c>
      <c r="G223" s="147" t="str">
        <f t="shared" si="22"/>
        <v/>
      </c>
    </row>
    <row r="224" spans="2:7" x14ac:dyDescent="0.2">
      <c r="B224" s="146" t="str">
        <f t="shared" si="21"/>
        <v/>
      </c>
      <c r="C224" s="180"/>
      <c r="D224" s="180"/>
      <c r="E224" s="80"/>
      <c r="F224" s="140" t="str">
        <f t="shared" si="23"/>
        <v/>
      </c>
      <c r="G224" s="147" t="str">
        <f t="shared" si="22"/>
        <v/>
      </c>
    </row>
    <row r="225" spans="2:7" x14ac:dyDescent="0.2">
      <c r="B225" s="146" t="str">
        <f t="shared" si="21"/>
        <v/>
      </c>
      <c r="C225" s="180"/>
      <c r="D225" s="180"/>
      <c r="E225" s="80"/>
      <c r="F225" s="140" t="str">
        <f t="shared" si="23"/>
        <v/>
      </c>
      <c r="G225" s="147" t="str">
        <f t="shared" si="22"/>
        <v/>
      </c>
    </row>
    <row r="226" spans="2:7" x14ac:dyDescent="0.2">
      <c r="B226" s="146" t="str">
        <f t="shared" si="21"/>
        <v/>
      </c>
      <c r="C226" s="180"/>
      <c r="D226" s="180"/>
      <c r="E226" s="80"/>
      <c r="F226" s="140" t="str">
        <f t="shared" si="23"/>
        <v/>
      </c>
      <c r="G226" s="147" t="str">
        <f t="shared" si="22"/>
        <v/>
      </c>
    </row>
    <row r="227" spans="2:7" x14ac:dyDescent="0.2">
      <c r="B227" s="146" t="str">
        <f t="shared" ref="B227:B241" si="24">IF(C227="","",VLOOKUP(C227,ユニット判定用,3))</f>
        <v/>
      </c>
      <c r="C227" s="180"/>
      <c r="D227" s="180"/>
      <c r="E227" s="80"/>
      <c r="F227" s="140" t="str">
        <f t="shared" si="23"/>
        <v/>
      </c>
      <c r="G227" s="147" t="str">
        <f t="shared" ref="G227:G241" si="25">IF(C227="","",VLOOKUP(C227,施設運転・利用調整時間判定,5,1))</f>
        <v/>
      </c>
    </row>
    <row r="228" spans="2:7" x14ac:dyDescent="0.2">
      <c r="B228" s="146" t="str">
        <f t="shared" si="24"/>
        <v/>
      </c>
      <c r="C228" s="180"/>
      <c r="D228" s="180"/>
      <c r="E228" s="80"/>
      <c r="F228" s="140" t="str">
        <f t="shared" si="23"/>
        <v/>
      </c>
      <c r="G228" s="147" t="str">
        <f t="shared" si="25"/>
        <v/>
      </c>
    </row>
    <row r="229" spans="2:7" x14ac:dyDescent="0.2">
      <c r="B229" s="146" t="str">
        <f t="shared" si="24"/>
        <v/>
      </c>
      <c r="C229" s="180"/>
      <c r="D229" s="180"/>
      <c r="E229" s="80"/>
      <c r="F229" s="140" t="str">
        <f t="shared" si="23"/>
        <v/>
      </c>
      <c r="G229" s="147" t="str">
        <f t="shared" si="25"/>
        <v/>
      </c>
    </row>
    <row r="230" spans="2:7" x14ac:dyDescent="0.2">
      <c r="B230" s="146" t="str">
        <f t="shared" si="24"/>
        <v/>
      </c>
      <c r="C230" s="180"/>
      <c r="D230" s="180"/>
      <c r="E230" s="80"/>
      <c r="F230" s="140" t="str">
        <f t="shared" si="23"/>
        <v/>
      </c>
      <c r="G230" s="147" t="str">
        <f t="shared" si="25"/>
        <v/>
      </c>
    </row>
    <row r="231" spans="2:7" x14ac:dyDescent="0.2">
      <c r="B231" s="146" t="str">
        <f t="shared" si="24"/>
        <v/>
      </c>
      <c r="C231" s="180"/>
      <c r="D231" s="180"/>
      <c r="E231" s="80"/>
      <c r="F231" s="140" t="str">
        <f t="shared" si="23"/>
        <v/>
      </c>
      <c r="G231" s="147" t="str">
        <f t="shared" si="25"/>
        <v/>
      </c>
    </row>
    <row r="232" spans="2:7" x14ac:dyDescent="0.2">
      <c r="B232" s="146" t="str">
        <f t="shared" si="24"/>
        <v/>
      </c>
      <c r="C232" s="180"/>
      <c r="D232" s="180"/>
      <c r="E232" s="80"/>
      <c r="F232" s="140" t="str">
        <f t="shared" si="23"/>
        <v/>
      </c>
      <c r="G232" s="147" t="str">
        <f t="shared" si="25"/>
        <v/>
      </c>
    </row>
    <row r="233" spans="2:7" x14ac:dyDescent="0.2">
      <c r="B233" s="146" t="str">
        <f t="shared" si="24"/>
        <v/>
      </c>
      <c r="C233" s="180"/>
      <c r="D233" s="180"/>
      <c r="E233" s="80"/>
      <c r="F233" s="140" t="str">
        <f t="shared" si="23"/>
        <v/>
      </c>
      <c r="G233" s="147" t="str">
        <f t="shared" si="25"/>
        <v/>
      </c>
    </row>
    <row r="234" spans="2:7" x14ac:dyDescent="0.2">
      <c r="B234" s="146" t="str">
        <f t="shared" si="24"/>
        <v/>
      </c>
      <c r="C234" s="180"/>
      <c r="D234" s="180"/>
      <c r="E234" s="80"/>
      <c r="F234" s="140" t="str">
        <f t="shared" si="23"/>
        <v/>
      </c>
      <c r="G234" s="147" t="str">
        <f t="shared" si="25"/>
        <v/>
      </c>
    </row>
    <row r="235" spans="2:7" x14ac:dyDescent="0.2">
      <c r="B235" s="146" t="str">
        <f t="shared" si="24"/>
        <v/>
      </c>
      <c r="C235" s="180"/>
      <c r="D235" s="180"/>
      <c r="E235" s="80"/>
      <c r="F235" s="140" t="str">
        <f t="shared" si="23"/>
        <v/>
      </c>
      <c r="G235" s="147" t="str">
        <f t="shared" si="25"/>
        <v/>
      </c>
    </row>
    <row r="236" spans="2:7" x14ac:dyDescent="0.2">
      <c r="B236" s="146" t="str">
        <f t="shared" si="24"/>
        <v/>
      </c>
      <c r="C236" s="180"/>
      <c r="D236" s="180"/>
      <c r="E236" s="80"/>
      <c r="F236" s="140" t="str">
        <f t="shared" si="23"/>
        <v/>
      </c>
      <c r="G236" s="147" t="str">
        <f t="shared" si="25"/>
        <v/>
      </c>
    </row>
    <row r="237" spans="2:7" x14ac:dyDescent="0.2">
      <c r="B237" s="146" t="str">
        <f t="shared" si="24"/>
        <v/>
      </c>
      <c r="C237" s="180"/>
      <c r="D237" s="180"/>
      <c r="E237" s="80"/>
      <c r="F237" s="140" t="str">
        <f t="shared" si="23"/>
        <v/>
      </c>
      <c r="G237" s="147" t="str">
        <f t="shared" si="25"/>
        <v/>
      </c>
    </row>
    <row r="238" spans="2:7" x14ac:dyDescent="0.2">
      <c r="B238" s="146" t="str">
        <f t="shared" si="24"/>
        <v/>
      </c>
      <c r="C238" s="180"/>
      <c r="D238" s="180"/>
      <c r="E238" s="80"/>
      <c r="F238" s="140" t="str">
        <f t="shared" si="23"/>
        <v/>
      </c>
      <c r="G238" s="147" t="str">
        <f t="shared" si="25"/>
        <v/>
      </c>
    </row>
    <row r="239" spans="2:7" x14ac:dyDescent="0.2">
      <c r="B239" s="146" t="str">
        <f t="shared" si="24"/>
        <v/>
      </c>
      <c r="C239" s="180"/>
      <c r="D239" s="180"/>
      <c r="E239" s="80"/>
      <c r="F239" s="140" t="str">
        <f t="shared" si="23"/>
        <v/>
      </c>
      <c r="G239" s="147" t="str">
        <f t="shared" si="25"/>
        <v/>
      </c>
    </row>
    <row r="240" spans="2:7" x14ac:dyDescent="0.2">
      <c r="B240" s="146" t="str">
        <f t="shared" si="24"/>
        <v/>
      </c>
      <c r="C240" s="180"/>
      <c r="D240" s="180"/>
      <c r="E240" s="80"/>
      <c r="F240" s="140" t="str">
        <f t="shared" si="23"/>
        <v/>
      </c>
      <c r="G240" s="147" t="str">
        <f t="shared" si="25"/>
        <v/>
      </c>
    </row>
    <row r="241" spans="2:7" x14ac:dyDescent="0.2">
      <c r="B241" s="146" t="str">
        <f t="shared" si="24"/>
        <v/>
      </c>
      <c r="C241" s="180"/>
      <c r="D241" s="180"/>
      <c r="E241" s="80"/>
      <c r="F241" s="140" t="str">
        <f t="shared" si="23"/>
        <v/>
      </c>
      <c r="G241" s="147" t="str">
        <f t="shared" si="25"/>
        <v/>
      </c>
    </row>
    <row r="242" spans="2:7" x14ac:dyDescent="0.2">
      <c r="B242" s="146" t="str">
        <f t="shared" ref="B242:B305" si="26">IF(C242="","",VLOOKUP(C242,ユニット判定用,3))</f>
        <v/>
      </c>
      <c r="C242" s="180"/>
      <c r="D242" s="180"/>
      <c r="E242" s="80"/>
      <c r="F242" s="140" t="str">
        <f t="shared" ref="F242:F305" si="27">IF(C242="","",MROUND(D242-C242,"00:01"))</f>
        <v/>
      </c>
      <c r="G242" s="147" t="str">
        <f t="shared" ref="G242:G305" si="28">IF(C242="","",VLOOKUP(C242,施設運転・利用調整時間判定,5,1))</f>
        <v/>
      </c>
    </row>
    <row r="243" spans="2:7" x14ac:dyDescent="0.2">
      <c r="B243" s="146" t="str">
        <f t="shared" si="26"/>
        <v/>
      </c>
      <c r="C243" s="180"/>
      <c r="D243" s="180"/>
      <c r="E243" s="80"/>
      <c r="F243" s="140" t="str">
        <f t="shared" si="27"/>
        <v/>
      </c>
      <c r="G243" s="147" t="str">
        <f t="shared" si="28"/>
        <v/>
      </c>
    </row>
    <row r="244" spans="2:7" x14ac:dyDescent="0.2">
      <c r="B244" s="146" t="str">
        <f t="shared" si="26"/>
        <v/>
      </c>
      <c r="C244" s="180"/>
      <c r="D244" s="180"/>
      <c r="E244" s="80"/>
      <c r="F244" s="140" t="str">
        <f t="shared" si="27"/>
        <v/>
      </c>
      <c r="G244" s="147" t="str">
        <f t="shared" si="28"/>
        <v/>
      </c>
    </row>
    <row r="245" spans="2:7" x14ac:dyDescent="0.2">
      <c r="B245" s="146" t="str">
        <f t="shared" si="26"/>
        <v/>
      </c>
      <c r="C245" s="180"/>
      <c r="D245" s="180"/>
      <c r="E245" s="80"/>
      <c r="F245" s="140" t="str">
        <f t="shared" si="27"/>
        <v/>
      </c>
      <c r="G245" s="147" t="str">
        <f t="shared" si="28"/>
        <v/>
      </c>
    </row>
    <row r="246" spans="2:7" x14ac:dyDescent="0.2">
      <c r="B246" s="146" t="str">
        <f t="shared" si="26"/>
        <v/>
      </c>
      <c r="C246" s="180"/>
      <c r="D246" s="180"/>
      <c r="E246" s="80"/>
      <c r="F246" s="140" t="str">
        <f t="shared" si="27"/>
        <v/>
      </c>
      <c r="G246" s="147" t="str">
        <f t="shared" si="28"/>
        <v/>
      </c>
    </row>
    <row r="247" spans="2:7" x14ac:dyDescent="0.2">
      <c r="B247" s="146" t="str">
        <f t="shared" si="26"/>
        <v/>
      </c>
      <c r="C247" s="180"/>
      <c r="D247" s="180"/>
      <c r="E247" s="80"/>
      <c r="F247" s="140" t="str">
        <f t="shared" si="27"/>
        <v/>
      </c>
      <c r="G247" s="147" t="str">
        <f t="shared" si="28"/>
        <v/>
      </c>
    </row>
    <row r="248" spans="2:7" x14ac:dyDescent="0.2">
      <c r="B248" s="146" t="str">
        <f t="shared" si="26"/>
        <v/>
      </c>
      <c r="C248" s="180"/>
      <c r="D248" s="180"/>
      <c r="E248" s="80"/>
      <c r="F248" s="140" t="str">
        <f t="shared" si="27"/>
        <v/>
      </c>
      <c r="G248" s="147" t="str">
        <f t="shared" si="28"/>
        <v/>
      </c>
    </row>
    <row r="249" spans="2:7" x14ac:dyDescent="0.2">
      <c r="B249" s="146" t="str">
        <f t="shared" si="26"/>
        <v/>
      </c>
      <c r="C249" s="180"/>
      <c r="D249" s="180"/>
      <c r="E249" s="80"/>
      <c r="F249" s="140" t="str">
        <f t="shared" si="27"/>
        <v/>
      </c>
      <c r="G249" s="147" t="str">
        <f t="shared" si="28"/>
        <v/>
      </c>
    </row>
    <row r="250" spans="2:7" x14ac:dyDescent="0.2">
      <c r="B250" s="146" t="str">
        <f t="shared" si="26"/>
        <v/>
      </c>
      <c r="C250" s="180"/>
      <c r="D250" s="180"/>
      <c r="E250" s="80"/>
      <c r="F250" s="140" t="str">
        <f t="shared" si="27"/>
        <v/>
      </c>
      <c r="G250" s="147" t="str">
        <f t="shared" si="28"/>
        <v/>
      </c>
    </row>
    <row r="251" spans="2:7" x14ac:dyDescent="0.2">
      <c r="B251" s="146" t="str">
        <f t="shared" si="26"/>
        <v/>
      </c>
      <c r="C251" s="180"/>
      <c r="D251" s="180"/>
      <c r="E251" s="80"/>
      <c r="F251" s="140" t="str">
        <f t="shared" si="27"/>
        <v/>
      </c>
      <c r="G251" s="147" t="str">
        <f t="shared" si="28"/>
        <v/>
      </c>
    </row>
    <row r="252" spans="2:7" x14ac:dyDescent="0.2">
      <c r="B252" s="146" t="str">
        <f t="shared" si="26"/>
        <v/>
      </c>
      <c r="C252" s="180"/>
      <c r="D252" s="180"/>
      <c r="E252" s="80"/>
      <c r="F252" s="140" t="str">
        <f t="shared" si="27"/>
        <v/>
      </c>
      <c r="G252" s="147" t="str">
        <f t="shared" si="28"/>
        <v/>
      </c>
    </row>
    <row r="253" spans="2:7" x14ac:dyDescent="0.2">
      <c r="B253" s="146" t="str">
        <f t="shared" si="26"/>
        <v/>
      </c>
      <c r="C253" s="180"/>
      <c r="D253" s="180"/>
      <c r="E253" s="80"/>
      <c r="F253" s="140" t="str">
        <f t="shared" si="27"/>
        <v/>
      </c>
      <c r="G253" s="147" t="str">
        <f t="shared" si="28"/>
        <v/>
      </c>
    </row>
    <row r="254" spans="2:7" x14ac:dyDescent="0.2">
      <c r="B254" s="146" t="str">
        <f t="shared" si="26"/>
        <v/>
      </c>
      <c r="C254" s="180"/>
      <c r="D254" s="180"/>
      <c r="E254" s="80"/>
      <c r="F254" s="140" t="str">
        <f t="shared" si="27"/>
        <v/>
      </c>
      <c r="G254" s="147" t="str">
        <f t="shared" si="28"/>
        <v/>
      </c>
    </row>
    <row r="255" spans="2:7" x14ac:dyDescent="0.2">
      <c r="B255" s="146" t="str">
        <f t="shared" si="26"/>
        <v/>
      </c>
      <c r="C255" s="180"/>
      <c r="D255" s="180"/>
      <c r="E255" s="80"/>
      <c r="F255" s="140" t="str">
        <f t="shared" si="27"/>
        <v/>
      </c>
      <c r="G255" s="147" t="str">
        <f t="shared" si="28"/>
        <v/>
      </c>
    </row>
    <row r="256" spans="2:7" x14ac:dyDescent="0.2">
      <c r="B256" s="146" t="str">
        <f t="shared" si="26"/>
        <v/>
      </c>
      <c r="C256" s="180"/>
      <c r="D256" s="180"/>
      <c r="E256" s="80"/>
      <c r="F256" s="140" t="str">
        <f t="shared" si="27"/>
        <v/>
      </c>
      <c r="G256" s="147" t="str">
        <f t="shared" si="28"/>
        <v/>
      </c>
    </row>
    <row r="257" spans="2:7" x14ac:dyDescent="0.2">
      <c r="B257" s="146" t="str">
        <f t="shared" si="26"/>
        <v/>
      </c>
      <c r="C257" s="180"/>
      <c r="D257" s="180"/>
      <c r="E257" s="80"/>
      <c r="F257" s="140" t="str">
        <f t="shared" si="27"/>
        <v/>
      </c>
      <c r="G257" s="147" t="str">
        <f t="shared" si="28"/>
        <v/>
      </c>
    </row>
    <row r="258" spans="2:7" x14ac:dyDescent="0.2">
      <c r="B258" s="146" t="str">
        <f t="shared" si="26"/>
        <v/>
      </c>
      <c r="C258" s="180"/>
      <c r="D258" s="180"/>
      <c r="E258" s="80"/>
      <c r="F258" s="140" t="str">
        <f t="shared" si="27"/>
        <v/>
      </c>
      <c r="G258" s="147" t="str">
        <f t="shared" si="28"/>
        <v/>
      </c>
    </row>
    <row r="259" spans="2:7" x14ac:dyDescent="0.2">
      <c r="B259" s="146" t="str">
        <f t="shared" si="26"/>
        <v/>
      </c>
      <c r="C259" s="180"/>
      <c r="D259" s="180"/>
      <c r="E259" s="80"/>
      <c r="F259" s="140" t="str">
        <f t="shared" si="27"/>
        <v/>
      </c>
      <c r="G259" s="147" t="str">
        <f t="shared" si="28"/>
        <v/>
      </c>
    </row>
    <row r="260" spans="2:7" x14ac:dyDescent="0.2">
      <c r="B260" s="146" t="str">
        <f t="shared" si="26"/>
        <v/>
      </c>
      <c r="C260" s="180"/>
      <c r="D260" s="180"/>
      <c r="E260" s="80"/>
      <c r="F260" s="140" t="str">
        <f t="shared" si="27"/>
        <v/>
      </c>
      <c r="G260" s="147" t="str">
        <f t="shared" si="28"/>
        <v/>
      </c>
    </row>
    <row r="261" spans="2:7" x14ac:dyDescent="0.2">
      <c r="B261" s="146" t="str">
        <f t="shared" si="26"/>
        <v/>
      </c>
      <c r="C261" s="180"/>
      <c r="D261" s="180"/>
      <c r="E261" s="80"/>
      <c r="F261" s="140" t="str">
        <f t="shared" si="27"/>
        <v/>
      </c>
      <c r="G261" s="147" t="str">
        <f t="shared" si="28"/>
        <v/>
      </c>
    </row>
    <row r="262" spans="2:7" x14ac:dyDescent="0.2">
      <c r="B262" s="146" t="str">
        <f t="shared" si="26"/>
        <v/>
      </c>
      <c r="C262" s="180"/>
      <c r="D262" s="180"/>
      <c r="E262" s="80"/>
      <c r="F262" s="140" t="str">
        <f t="shared" si="27"/>
        <v/>
      </c>
      <c r="G262" s="147" t="str">
        <f t="shared" si="28"/>
        <v/>
      </c>
    </row>
    <row r="263" spans="2:7" x14ac:dyDescent="0.2">
      <c r="B263" s="146" t="str">
        <f t="shared" si="26"/>
        <v/>
      </c>
      <c r="C263" s="180"/>
      <c r="D263" s="180"/>
      <c r="E263" s="80"/>
      <c r="F263" s="140" t="str">
        <f t="shared" si="27"/>
        <v/>
      </c>
      <c r="G263" s="147" t="str">
        <f t="shared" si="28"/>
        <v/>
      </c>
    </row>
    <row r="264" spans="2:7" x14ac:dyDescent="0.2">
      <c r="B264" s="146" t="str">
        <f t="shared" si="26"/>
        <v/>
      </c>
      <c r="C264" s="180"/>
      <c r="D264" s="180"/>
      <c r="E264" s="80"/>
      <c r="F264" s="140" t="str">
        <f t="shared" si="27"/>
        <v/>
      </c>
      <c r="G264" s="147" t="str">
        <f t="shared" si="28"/>
        <v/>
      </c>
    </row>
    <row r="265" spans="2:7" x14ac:dyDescent="0.2">
      <c r="B265" s="146" t="str">
        <f t="shared" si="26"/>
        <v/>
      </c>
      <c r="C265" s="180"/>
      <c r="D265" s="180"/>
      <c r="E265" s="80"/>
      <c r="F265" s="140" t="str">
        <f t="shared" si="27"/>
        <v/>
      </c>
      <c r="G265" s="147" t="str">
        <f t="shared" si="28"/>
        <v/>
      </c>
    </row>
    <row r="266" spans="2:7" x14ac:dyDescent="0.2">
      <c r="B266" s="146" t="str">
        <f t="shared" si="26"/>
        <v/>
      </c>
      <c r="C266" s="180"/>
      <c r="D266" s="180"/>
      <c r="E266" s="80"/>
      <c r="F266" s="140" t="str">
        <f t="shared" si="27"/>
        <v/>
      </c>
      <c r="G266" s="147" t="str">
        <f t="shared" si="28"/>
        <v/>
      </c>
    </row>
    <row r="267" spans="2:7" x14ac:dyDescent="0.2">
      <c r="B267" s="146" t="str">
        <f t="shared" si="26"/>
        <v/>
      </c>
      <c r="C267" s="180"/>
      <c r="D267" s="180"/>
      <c r="E267" s="80"/>
      <c r="F267" s="140" t="str">
        <f t="shared" si="27"/>
        <v/>
      </c>
      <c r="G267" s="147" t="str">
        <f t="shared" si="28"/>
        <v/>
      </c>
    </row>
    <row r="268" spans="2:7" x14ac:dyDescent="0.2">
      <c r="B268" s="146" t="str">
        <f t="shared" si="26"/>
        <v/>
      </c>
      <c r="C268" s="180"/>
      <c r="D268" s="180"/>
      <c r="E268" s="80"/>
      <c r="F268" s="140" t="str">
        <f t="shared" si="27"/>
        <v/>
      </c>
      <c r="G268" s="147" t="str">
        <f t="shared" si="28"/>
        <v/>
      </c>
    </row>
    <row r="269" spans="2:7" x14ac:dyDescent="0.2">
      <c r="B269" s="146" t="str">
        <f t="shared" si="26"/>
        <v/>
      </c>
      <c r="C269" s="180"/>
      <c r="D269" s="180"/>
      <c r="E269" s="80"/>
      <c r="F269" s="140" t="str">
        <f t="shared" si="27"/>
        <v/>
      </c>
      <c r="G269" s="147" t="str">
        <f t="shared" si="28"/>
        <v/>
      </c>
    </row>
    <row r="270" spans="2:7" x14ac:dyDescent="0.2">
      <c r="B270" s="146" t="str">
        <f t="shared" si="26"/>
        <v/>
      </c>
      <c r="C270" s="180"/>
      <c r="D270" s="180"/>
      <c r="E270" s="80"/>
      <c r="F270" s="140" t="str">
        <f t="shared" si="27"/>
        <v/>
      </c>
      <c r="G270" s="147" t="str">
        <f t="shared" si="28"/>
        <v/>
      </c>
    </row>
    <row r="271" spans="2:7" x14ac:dyDescent="0.2">
      <c r="B271" s="146" t="str">
        <f t="shared" si="26"/>
        <v/>
      </c>
      <c r="C271" s="180"/>
      <c r="D271" s="180"/>
      <c r="E271" s="80"/>
      <c r="F271" s="140" t="str">
        <f t="shared" si="27"/>
        <v/>
      </c>
      <c r="G271" s="147" t="str">
        <f t="shared" si="28"/>
        <v/>
      </c>
    </row>
    <row r="272" spans="2:7" x14ac:dyDescent="0.2">
      <c r="B272" s="146" t="str">
        <f t="shared" si="26"/>
        <v/>
      </c>
      <c r="C272" s="180"/>
      <c r="D272" s="180"/>
      <c r="E272" s="80"/>
      <c r="F272" s="140" t="str">
        <f t="shared" si="27"/>
        <v/>
      </c>
      <c r="G272" s="147" t="str">
        <f t="shared" si="28"/>
        <v/>
      </c>
    </row>
    <row r="273" spans="2:7" x14ac:dyDescent="0.2">
      <c r="B273" s="146" t="str">
        <f t="shared" si="26"/>
        <v/>
      </c>
      <c r="C273" s="180"/>
      <c r="D273" s="180"/>
      <c r="E273" s="80"/>
      <c r="F273" s="140" t="str">
        <f t="shared" si="27"/>
        <v/>
      </c>
      <c r="G273" s="147" t="str">
        <f t="shared" si="28"/>
        <v/>
      </c>
    </row>
    <row r="274" spans="2:7" x14ac:dyDescent="0.2">
      <c r="B274" s="146" t="str">
        <f t="shared" si="26"/>
        <v/>
      </c>
      <c r="C274" s="180"/>
      <c r="D274" s="180"/>
      <c r="E274" s="80"/>
      <c r="F274" s="140" t="str">
        <f t="shared" si="27"/>
        <v/>
      </c>
      <c r="G274" s="147" t="str">
        <f t="shared" si="28"/>
        <v/>
      </c>
    </row>
    <row r="275" spans="2:7" x14ac:dyDescent="0.2">
      <c r="B275" s="146" t="str">
        <f t="shared" si="26"/>
        <v/>
      </c>
      <c r="C275" s="180"/>
      <c r="D275" s="180"/>
      <c r="E275" s="80"/>
      <c r="F275" s="140" t="str">
        <f t="shared" si="27"/>
        <v/>
      </c>
      <c r="G275" s="147" t="str">
        <f t="shared" si="28"/>
        <v/>
      </c>
    </row>
    <row r="276" spans="2:7" x14ac:dyDescent="0.2">
      <c r="B276" s="146" t="str">
        <f t="shared" si="26"/>
        <v/>
      </c>
      <c r="C276" s="180"/>
      <c r="D276" s="180"/>
      <c r="E276" s="80"/>
      <c r="F276" s="140" t="str">
        <f t="shared" si="27"/>
        <v/>
      </c>
      <c r="G276" s="147" t="str">
        <f t="shared" si="28"/>
        <v/>
      </c>
    </row>
    <row r="277" spans="2:7" x14ac:dyDescent="0.2">
      <c r="B277" s="146" t="str">
        <f t="shared" si="26"/>
        <v/>
      </c>
      <c r="C277" s="180"/>
      <c r="D277" s="180"/>
      <c r="E277" s="80"/>
      <c r="F277" s="140" t="str">
        <f t="shared" si="27"/>
        <v/>
      </c>
      <c r="G277" s="147" t="str">
        <f t="shared" si="28"/>
        <v/>
      </c>
    </row>
    <row r="278" spans="2:7" x14ac:dyDescent="0.2">
      <c r="B278" s="146" t="str">
        <f t="shared" si="26"/>
        <v/>
      </c>
      <c r="C278" s="180"/>
      <c r="D278" s="180"/>
      <c r="E278" s="80"/>
      <c r="F278" s="140" t="str">
        <f t="shared" si="27"/>
        <v/>
      </c>
      <c r="G278" s="147" t="str">
        <f t="shared" si="28"/>
        <v/>
      </c>
    </row>
    <row r="279" spans="2:7" x14ac:dyDescent="0.2">
      <c r="B279" s="146" t="str">
        <f t="shared" si="26"/>
        <v/>
      </c>
      <c r="C279" s="180"/>
      <c r="D279" s="180"/>
      <c r="E279" s="80"/>
      <c r="F279" s="140" t="str">
        <f t="shared" si="27"/>
        <v/>
      </c>
      <c r="G279" s="147" t="str">
        <f t="shared" si="28"/>
        <v/>
      </c>
    </row>
    <row r="280" spans="2:7" x14ac:dyDescent="0.2">
      <c r="B280" s="146" t="str">
        <f t="shared" si="26"/>
        <v/>
      </c>
      <c r="C280" s="180"/>
      <c r="D280" s="180"/>
      <c r="E280" s="80"/>
      <c r="F280" s="140" t="str">
        <f t="shared" si="27"/>
        <v/>
      </c>
      <c r="G280" s="147" t="str">
        <f t="shared" si="28"/>
        <v/>
      </c>
    </row>
    <row r="281" spans="2:7" x14ac:dyDescent="0.2">
      <c r="B281" s="146" t="str">
        <f t="shared" si="26"/>
        <v/>
      </c>
      <c r="C281" s="180"/>
      <c r="D281" s="180"/>
      <c r="E281" s="80"/>
      <c r="F281" s="140" t="str">
        <f t="shared" si="27"/>
        <v/>
      </c>
      <c r="G281" s="147" t="str">
        <f t="shared" si="28"/>
        <v/>
      </c>
    </row>
    <row r="282" spans="2:7" x14ac:dyDescent="0.2">
      <c r="B282" s="146" t="str">
        <f t="shared" si="26"/>
        <v/>
      </c>
      <c r="C282" s="180"/>
      <c r="D282" s="180"/>
      <c r="E282" s="80"/>
      <c r="F282" s="140" t="str">
        <f t="shared" si="27"/>
        <v/>
      </c>
      <c r="G282" s="147" t="str">
        <f t="shared" si="28"/>
        <v/>
      </c>
    </row>
    <row r="283" spans="2:7" x14ac:dyDescent="0.2">
      <c r="B283" s="146" t="str">
        <f t="shared" si="26"/>
        <v/>
      </c>
      <c r="C283" s="180"/>
      <c r="D283" s="180"/>
      <c r="E283" s="80"/>
      <c r="F283" s="140" t="str">
        <f t="shared" si="27"/>
        <v/>
      </c>
      <c r="G283" s="147" t="str">
        <f t="shared" si="28"/>
        <v/>
      </c>
    </row>
    <row r="284" spans="2:7" x14ac:dyDescent="0.2">
      <c r="B284" s="146" t="str">
        <f t="shared" si="26"/>
        <v/>
      </c>
      <c r="C284" s="180"/>
      <c r="D284" s="180"/>
      <c r="E284" s="80"/>
      <c r="F284" s="140" t="str">
        <f t="shared" si="27"/>
        <v/>
      </c>
      <c r="G284" s="147" t="str">
        <f t="shared" si="28"/>
        <v/>
      </c>
    </row>
    <row r="285" spans="2:7" x14ac:dyDescent="0.2">
      <c r="B285" s="146" t="str">
        <f t="shared" si="26"/>
        <v/>
      </c>
      <c r="C285" s="180"/>
      <c r="D285" s="180"/>
      <c r="E285" s="80"/>
      <c r="F285" s="140" t="str">
        <f t="shared" si="27"/>
        <v/>
      </c>
      <c r="G285" s="147" t="str">
        <f t="shared" si="28"/>
        <v/>
      </c>
    </row>
    <row r="286" spans="2:7" x14ac:dyDescent="0.2">
      <c r="B286" s="146" t="str">
        <f t="shared" si="26"/>
        <v/>
      </c>
      <c r="C286" s="180"/>
      <c r="D286" s="180"/>
      <c r="E286" s="80"/>
      <c r="F286" s="140" t="str">
        <f t="shared" si="27"/>
        <v/>
      </c>
      <c r="G286" s="147" t="str">
        <f t="shared" si="28"/>
        <v/>
      </c>
    </row>
    <row r="287" spans="2:7" x14ac:dyDescent="0.2">
      <c r="B287" s="146" t="str">
        <f t="shared" si="26"/>
        <v/>
      </c>
      <c r="C287" s="180"/>
      <c r="D287" s="180"/>
      <c r="E287" s="80"/>
      <c r="F287" s="140" t="str">
        <f t="shared" si="27"/>
        <v/>
      </c>
      <c r="G287" s="147" t="str">
        <f t="shared" si="28"/>
        <v/>
      </c>
    </row>
    <row r="288" spans="2:7" x14ac:dyDescent="0.2">
      <c r="B288" s="146" t="str">
        <f t="shared" si="26"/>
        <v/>
      </c>
      <c r="C288" s="180"/>
      <c r="D288" s="180"/>
      <c r="E288" s="80"/>
      <c r="F288" s="140" t="str">
        <f t="shared" si="27"/>
        <v/>
      </c>
      <c r="G288" s="147" t="str">
        <f t="shared" si="28"/>
        <v/>
      </c>
    </row>
    <row r="289" spans="2:7" x14ac:dyDescent="0.2">
      <c r="B289" s="146" t="str">
        <f t="shared" si="26"/>
        <v/>
      </c>
      <c r="C289" s="180"/>
      <c r="D289" s="180"/>
      <c r="E289" s="80"/>
      <c r="F289" s="140" t="str">
        <f t="shared" si="27"/>
        <v/>
      </c>
      <c r="G289" s="147" t="str">
        <f t="shared" si="28"/>
        <v/>
      </c>
    </row>
    <row r="290" spans="2:7" x14ac:dyDescent="0.2">
      <c r="B290" s="146" t="str">
        <f t="shared" si="26"/>
        <v/>
      </c>
      <c r="C290" s="180"/>
      <c r="D290" s="180"/>
      <c r="E290" s="80"/>
      <c r="F290" s="140" t="str">
        <f t="shared" si="27"/>
        <v/>
      </c>
      <c r="G290" s="147" t="str">
        <f t="shared" si="28"/>
        <v/>
      </c>
    </row>
    <row r="291" spans="2:7" x14ac:dyDescent="0.2">
      <c r="B291" s="146" t="str">
        <f t="shared" si="26"/>
        <v/>
      </c>
      <c r="C291" s="180"/>
      <c r="D291" s="180"/>
      <c r="E291" s="80"/>
      <c r="F291" s="140" t="str">
        <f t="shared" si="27"/>
        <v/>
      </c>
      <c r="G291" s="147" t="str">
        <f t="shared" si="28"/>
        <v/>
      </c>
    </row>
    <row r="292" spans="2:7" x14ac:dyDescent="0.2">
      <c r="B292" s="146" t="str">
        <f t="shared" si="26"/>
        <v/>
      </c>
      <c r="C292" s="180"/>
      <c r="D292" s="180"/>
      <c r="E292" s="80"/>
      <c r="F292" s="140" t="str">
        <f t="shared" si="27"/>
        <v/>
      </c>
      <c r="G292" s="147" t="str">
        <f t="shared" si="28"/>
        <v/>
      </c>
    </row>
    <row r="293" spans="2:7" x14ac:dyDescent="0.2">
      <c r="B293" s="146" t="str">
        <f t="shared" si="26"/>
        <v/>
      </c>
      <c r="C293" s="180"/>
      <c r="D293" s="180"/>
      <c r="E293" s="80"/>
      <c r="F293" s="140" t="str">
        <f t="shared" si="27"/>
        <v/>
      </c>
      <c r="G293" s="147" t="str">
        <f t="shared" si="28"/>
        <v/>
      </c>
    </row>
    <row r="294" spans="2:7" x14ac:dyDescent="0.2">
      <c r="B294" s="146" t="str">
        <f t="shared" si="26"/>
        <v/>
      </c>
      <c r="C294" s="180"/>
      <c r="D294" s="180"/>
      <c r="E294" s="80"/>
      <c r="F294" s="140" t="str">
        <f t="shared" si="27"/>
        <v/>
      </c>
      <c r="G294" s="147" t="str">
        <f t="shared" si="28"/>
        <v/>
      </c>
    </row>
    <row r="295" spans="2:7" x14ac:dyDescent="0.2">
      <c r="B295" s="146" t="str">
        <f t="shared" si="26"/>
        <v/>
      </c>
      <c r="C295" s="180"/>
      <c r="D295" s="180"/>
      <c r="E295" s="80"/>
      <c r="F295" s="140" t="str">
        <f t="shared" si="27"/>
        <v/>
      </c>
      <c r="G295" s="147" t="str">
        <f t="shared" si="28"/>
        <v/>
      </c>
    </row>
    <row r="296" spans="2:7" x14ac:dyDescent="0.2">
      <c r="B296" s="146" t="str">
        <f t="shared" si="26"/>
        <v/>
      </c>
      <c r="C296" s="180"/>
      <c r="D296" s="180"/>
      <c r="E296" s="80"/>
      <c r="F296" s="140" t="str">
        <f t="shared" si="27"/>
        <v/>
      </c>
      <c r="G296" s="147" t="str">
        <f t="shared" si="28"/>
        <v/>
      </c>
    </row>
    <row r="297" spans="2:7" x14ac:dyDescent="0.2">
      <c r="B297" s="146" t="str">
        <f t="shared" si="26"/>
        <v/>
      </c>
      <c r="C297" s="180"/>
      <c r="D297" s="180"/>
      <c r="E297" s="80"/>
      <c r="F297" s="140" t="str">
        <f t="shared" si="27"/>
        <v/>
      </c>
      <c r="G297" s="147" t="str">
        <f t="shared" si="28"/>
        <v/>
      </c>
    </row>
    <row r="298" spans="2:7" x14ac:dyDescent="0.2">
      <c r="B298" s="146" t="str">
        <f t="shared" si="26"/>
        <v/>
      </c>
      <c r="C298" s="180"/>
      <c r="D298" s="180"/>
      <c r="E298" s="80"/>
      <c r="F298" s="140" t="str">
        <f t="shared" si="27"/>
        <v/>
      </c>
      <c r="G298" s="147" t="str">
        <f t="shared" si="28"/>
        <v/>
      </c>
    </row>
    <row r="299" spans="2:7" x14ac:dyDescent="0.2">
      <c r="B299" s="146" t="str">
        <f t="shared" si="26"/>
        <v/>
      </c>
      <c r="C299" s="180"/>
      <c r="D299" s="180"/>
      <c r="E299" s="80"/>
      <c r="F299" s="140" t="str">
        <f t="shared" si="27"/>
        <v/>
      </c>
      <c r="G299" s="147" t="str">
        <f t="shared" si="28"/>
        <v/>
      </c>
    </row>
    <row r="300" spans="2:7" x14ac:dyDescent="0.2">
      <c r="B300" s="146" t="str">
        <f t="shared" si="26"/>
        <v/>
      </c>
      <c r="C300" s="180"/>
      <c r="D300" s="180"/>
      <c r="E300" s="80"/>
      <c r="F300" s="140" t="str">
        <f t="shared" si="27"/>
        <v/>
      </c>
      <c r="G300" s="147" t="str">
        <f t="shared" si="28"/>
        <v/>
      </c>
    </row>
    <row r="301" spans="2:7" x14ac:dyDescent="0.2">
      <c r="B301" s="146" t="str">
        <f t="shared" si="26"/>
        <v/>
      </c>
      <c r="C301" s="180"/>
      <c r="D301" s="180"/>
      <c r="E301" s="80"/>
      <c r="F301" s="140" t="str">
        <f t="shared" si="27"/>
        <v/>
      </c>
      <c r="G301" s="147" t="str">
        <f t="shared" si="28"/>
        <v/>
      </c>
    </row>
    <row r="302" spans="2:7" x14ac:dyDescent="0.2">
      <c r="B302" s="146" t="str">
        <f t="shared" si="26"/>
        <v/>
      </c>
      <c r="C302" s="180"/>
      <c r="D302" s="180"/>
      <c r="E302" s="80"/>
      <c r="F302" s="140" t="str">
        <f t="shared" si="27"/>
        <v/>
      </c>
      <c r="G302" s="147" t="str">
        <f t="shared" si="28"/>
        <v/>
      </c>
    </row>
    <row r="303" spans="2:7" x14ac:dyDescent="0.2">
      <c r="B303" s="146" t="str">
        <f t="shared" si="26"/>
        <v/>
      </c>
      <c r="C303" s="180"/>
      <c r="D303" s="180"/>
      <c r="E303" s="80"/>
      <c r="F303" s="140" t="str">
        <f t="shared" si="27"/>
        <v/>
      </c>
      <c r="G303" s="147" t="str">
        <f t="shared" si="28"/>
        <v/>
      </c>
    </row>
    <row r="304" spans="2:7" x14ac:dyDescent="0.2">
      <c r="B304" s="146" t="str">
        <f t="shared" si="26"/>
        <v/>
      </c>
      <c r="C304" s="180"/>
      <c r="D304" s="180"/>
      <c r="E304" s="80"/>
      <c r="F304" s="140" t="str">
        <f t="shared" si="27"/>
        <v/>
      </c>
      <c r="G304" s="147" t="str">
        <f t="shared" si="28"/>
        <v/>
      </c>
    </row>
    <row r="305" spans="2:7" x14ac:dyDescent="0.2">
      <c r="B305" s="146" t="str">
        <f t="shared" si="26"/>
        <v/>
      </c>
      <c r="C305" s="180"/>
      <c r="D305" s="180"/>
      <c r="E305" s="80"/>
      <c r="F305" s="140" t="str">
        <f t="shared" si="27"/>
        <v/>
      </c>
      <c r="G305" s="147" t="str">
        <f t="shared" si="28"/>
        <v/>
      </c>
    </row>
    <row r="306" spans="2:7" x14ac:dyDescent="0.2">
      <c r="B306" s="146" t="str">
        <f t="shared" ref="B306:B369" si="29">IF(C306="","",VLOOKUP(C306,ユニット判定用,3))</f>
        <v/>
      </c>
      <c r="C306" s="180"/>
      <c r="D306" s="180"/>
      <c r="E306" s="80"/>
      <c r="F306" s="140" t="str">
        <f t="shared" ref="F306:F369" si="30">IF(C306="","",MROUND(D306-C306,"00:01"))</f>
        <v/>
      </c>
      <c r="G306" s="147" t="str">
        <f t="shared" ref="G306:G369" si="31">IF(C306="","",VLOOKUP(C306,施設運転・利用調整時間判定,5,1))</f>
        <v/>
      </c>
    </row>
    <row r="307" spans="2:7" x14ac:dyDescent="0.2">
      <c r="B307" s="146" t="str">
        <f t="shared" si="29"/>
        <v/>
      </c>
      <c r="C307" s="180"/>
      <c r="D307" s="180"/>
      <c r="E307" s="80"/>
      <c r="F307" s="140" t="str">
        <f t="shared" si="30"/>
        <v/>
      </c>
      <c r="G307" s="147" t="str">
        <f t="shared" si="31"/>
        <v/>
      </c>
    </row>
    <row r="308" spans="2:7" x14ac:dyDescent="0.2">
      <c r="B308" s="146" t="str">
        <f t="shared" si="29"/>
        <v/>
      </c>
      <c r="C308" s="180"/>
      <c r="D308" s="180"/>
      <c r="E308" s="80"/>
      <c r="F308" s="140" t="str">
        <f t="shared" si="30"/>
        <v/>
      </c>
      <c r="G308" s="147" t="str">
        <f t="shared" si="31"/>
        <v/>
      </c>
    </row>
    <row r="309" spans="2:7" x14ac:dyDescent="0.2">
      <c r="B309" s="146" t="str">
        <f t="shared" si="29"/>
        <v/>
      </c>
      <c r="C309" s="180"/>
      <c r="D309" s="180"/>
      <c r="E309" s="80"/>
      <c r="F309" s="140" t="str">
        <f t="shared" si="30"/>
        <v/>
      </c>
      <c r="G309" s="147" t="str">
        <f t="shared" si="31"/>
        <v/>
      </c>
    </row>
    <row r="310" spans="2:7" x14ac:dyDescent="0.2">
      <c r="B310" s="146" t="str">
        <f t="shared" si="29"/>
        <v/>
      </c>
      <c r="C310" s="180"/>
      <c r="D310" s="180"/>
      <c r="E310" s="80"/>
      <c r="F310" s="140" t="str">
        <f t="shared" si="30"/>
        <v/>
      </c>
      <c r="G310" s="147" t="str">
        <f t="shared" si="31"/>
        <v/>
      </c>
    </row>
    <row r="311" spans="2:7" x14ac:dyDescent="0.2">
      <c r="B311" s="146" t="str">
        <f t="shared" si="29"/>
        <v/>
      </c>
      <c r="C311" s="180"/>
      <c r="D311" s="180"/>
      <c r="E311" s="80"/>
      <c r="F311" s="140" t="str">
        <f t="shared" si="30"/>
        <v/>
      </c>
      <c r="G311" s="147" t="str">
        <f t="shared" si="31"/>
        <v/>
      </c>
    </row>
    <row r="312" spans="2:7" x14ac:dyDescent="0.2">
      <c r="B312" s="146" t="str">
        <f t="shared" si="29"/>
        <v/>
      </c>
      <c r="C312" s="180"/>
      <c r="D312" s="180"/>
      <c r="E312" s="80"/>
      <c r="F312" s="140" t="str">
        <f t="shared" si="30"/>
        <v/>
      </c>
      <c r="G312" s="147" t="str">
        <f t="shared" si="31"/>
        <v/>
      </c>
    </row>
    <row r="313" spans="2:7" x14ac:dyDescent="0.2">
      <c r="B313" s="146" t="str">
        <f t="shared" si="29"/>
        <v/>
      </c>
      <c r="C313" s="180"/>
      <c r="D313" s="180"/>
      <c r="E313" s="80"/>
      <c r="F313" s="140" t="str">
        <f t="shared" si="30"/>
        <v/>
      </c>
      <c r="G313" s="147" t="str">
        <f t="shared" si="31"/>
        <v/>
      </c>
    </row>
    <row r="314" spans="2:7" x14ac:dyDescent="0.2">
      <c r="B314" s="146" t="str">
        <f t="shared" si="29"/>
        <v/>
      </c>
      <c r="C314" s="180"/>
      <c r="D314" s="180"/>
      <c r="E314" s="80"/>
      <c r="F314" s="140" t="str">
        <f t="shared" si="30"/>
        <v/>
      </c>
      <c r="G314" s="147" t="str">
        <f t="shared" si="31"/>
        <v/>
      </c>
    </row>
    <row r="315" spans="2:7" x14ac:dyDescent="0.2">
      <c r="B315" s="146" t="str">
        <f t="shared" si="29"/>
        <v/>
      </c>
      <c r="C315" s="180"/>
      <c r="D315" s="180"/>
      <c r="E315" s="80"/>
      <c r="F315" s="140" t="str">
        <f t="shared" si="30"/>
        <v/>
      </c>
      <c r="G315" s="147" t="str">
        <f t="shared" si="31"/>
        <v/>
      </c>
    </row>
    <row r="316" spans="2:7" x14ac:dyDescent="0.2">
      <c r="B316" s="146" t="str">
        <f t="shared" si="29"/>
        <v/>
      </c>
      <c r="C316" s="180"/>
      <c r="D316" s="180"/>
      <c r="E316" s="80"/>
      <c r="F316" s="140" t="str">
        <f t="shared" si="30"/>
        <v/>
      </c>
      <c r="G316" s="147" t="str">
        <f t="shared" si="31"/>
        <v/>
      </c>
    </row>
    <row r="317" spans="2:7" x14ac:dyDescent="0.2">
      <c r="B317" s="146" t="str">
        <f t="shared" si="29"/>
        <v/>
      </c>
      <c r="C317" s="180"/>
      <c r="D317" s="180"/>
      <c r="E317" s="80"/>
      <c r="F317" s="140" t="str">
        <f t="shared" si="30"/>
        <v/>
      </c>
      <c r="G317" s="147" t="str">
        <f t="shared" si="31"/>
        <v/>
      </c>
    </row>
    <row r="318" spans="2:7" x14ac:dyDescent="0.2">
      <c r="B318" s="146" t="str">
        <f t="shared" si="29"/>
        <v/>
      </c>
      <c r="C318" s="180"/>
      <c r="D318" s="180"/>
      <c r="E318" s="80"/>
      <c r="F318" s="140" t="str">
        <f t="shared" si="30"/>
        <v/>
      </c>
      <c r="G318" s="147" t="str">
        <f t="shared" si="31"/>
        <v/>
      </c>
    </row>
    <row r="319" spans="2:7" x14ac:dyDescent="0.2">
      <c r="B319" s="146" t="str">
        <f t="shared" si="29"/>
        <v/>
      </c>
      <c r="C319" s="180"/>
      <c r="D319" s="180"/>
      <c r="E319" s="80"/>
      <c r="F319" s="140" t="str">
        <f t="shared" si="30"/>
        <v/>
      </c>
      <c r="G319" s="147" t="str">
        <f t="shared" si="31"/>
        <v/>
      </c>
    </row>
    <row r="320" spans="2:7" x14ac:dyDescent="0.2">
      <c r="B320" s="146" t="str">
        <f t="shared" si="29"/>
        <v/>
      </c>
      <c r="C320" s="180"/>
      <c r="D320" s="180"/>
      <c r="E320" s="80"/>
      <c r="F320" s="140" t="str">
        <f t="shared" si="30"/>
        <v/>
      </c>
      <c r="G320" s="147" t="str">
        <f t="shared" si="31"/>
        <v/>
      </c>
    </row>
    <row r="321" spans="2:7" x14ac:dyDescent="0.2">
      <c r="B321" s="146" t="str">
        <f t="shared" si="29"/>
        <v/>
      </c>
      <c r="C321" s="180"/>
      <c r="D321" s="180"/>
      <c r="E321" s="80"/>
      <c r="F321" s="140" t="str">
        <f t="shared" si="30"/>
        <v/>
      </c>
      <c r="G321" s="147" t="str">
        <f t="shared" si="31"/>
        <v/>
      </c>
    </row>
    <row r="322" spans="2:7" x14ac:dyDescent="0.2">
      <c r="B322" s="146" t="str">
        <f t="shared" si="29"/>
        <v/>
      </c>
      <c r="C322" s="180"/>
      <c r="D322" s="180"/>
      <c r="E322" s="80"/>
      <c r="F322" s="140" t="str">
        <f t="shared" si="30"/>
        <v/>
      </c>
      <c r="G322" s="147" t="str">
        <f t="shared" si="31"/>
        <v/>
      </c>
    </row>
    <row r="323" spans="2:7" x14ac:dyDescent="0.2">
      <c r="B323" s="146" t="str">
        <f t="shared" si="29"/>
        <v/>
      </c>
      <c r="C323" s="180"/>
      <c r="D323" s="180"/>
      <c r="E323" s="80"/>
      <c r="F323" s="140" t="str">
        <f t="shared" si="30"/>
        <v/>
      </c>
      <c r="G323" s="147" t="str">
        <f t="shared" si="31"/>
        <v/>
      </c>
    </row>
    <row r="324" spans="2:7" x14ac:dyDescent="0.2">
      <c r="B324" s="146" t="str">
        <f t="shared" si="29"/>
        <v/>
      </c>
      <c r="C324" s="180"/>
      <c r="D324" s="180"/>
      <c r="E324" s="80"/>
      <c r="F324" s="140" t="str">
        <f t="shared" si="30"/>
        <v/>
      </c>
      <c r="G324" s="147" t="str">
        <f t="shared" si="31"/>
        <v/>
      </c>
    </row>
    <row r="325" spans="2:7" x14ac:dyDescent="0.2">
      <c r="B325" s="146" t="str">
        <f t="shared" si="29"/>
        <v/>
      </c>
      <c r="C325" s="180"/>
      <c r="D325" s="180"/>
      <c r="E325" s="80"/>
      <c r="F325" s="140" t="str">
        <f t="shared" si="30"/>
        <v/>
      </c>
      <c r="G325" s="147" t="str">
        <f t="shared" si="31"/>
        <v/>
      </c>
    </row>
    <row r="326" spans="2:7" x14ac:dyDescent="0.2">
      <c r="B326" s="146" t="str">
        <f t="shared" si="29"/>
        <v/>
      </c>
      <c r="C326" s="180"/>
      <c r="D326" s="180"/>
      <c r="E326" s="80"/>
      <c r="F326" s="140" t="str">
        <f t="shared" si="30"/>
        <v/>
      </c>
      <c r="G326" s="147" t="str">
        <f t="shared" si="31"/>
        <v/>
      </c>
    </row>
    <row r="327" spans="2:7" x14ac:dyDescent="0.2">
      <c r="B327" s="146" t="str">
        <f t="shared" si="29"/>
        <v/>
      </c>
      <c r="C327" s="180"/>
      <c r="D327" s="180"/>
      <c r="E327" s="80"/>
      <c r="F327" s="140" t="str">
        <f t="shared" si="30"/>
        <v/>
      </c>
      <c r="G327" s="147" t="str">
        <f t="shared" si="31"/>
        <v/>
      </c>
    </row>
    <row r="328" spans="2:7" x14ac:dyDescent="0.2">
      <c r="B328" s="146" t="str">
        <f t="shared" si="29"/>
        <v/>
      </c>
      <c r="C328" s="180"/>
      <c r="D328" s="180"/>
      <c r="E328" s="80"/>
      <c r="F328" s="140" t="str">
        <f t="shared" si="30"/>
        <v/>
      </c>
      <c r="G328" s="147" t="str">
        <f t="shared" si="31"/>
        <v/>
      </c>
    </row>
    <row r="329" spans="2:7" x14ac:dyDescent="0.2">
      <c r="B329" s="146" t="str">
        <f t="shared" si="29"/>
        <v/>
      </c>
      <c r="C329" s="180"/>
      <c r="D329" s="180"/>
      <c r="E329" s="80"/>
      <c r="F329" s="140" t="str">
        <f t="shared" si="30"/>
        <v/>
      </c>
      <c r="G329" s="147" t="str">
        <f t="shared" si="31"/>
        <v/>
      </c>
    </row>
    <row r="330" spans="2:7" x14ac:dyDescent="0.2">
      <c r="B330" s="146" t="str">
        <f t="shared" si="29"/>
        <v/>
      </c>
      <c r="C330" s="180"/>
      <c r="D330" s="180"/>
      <c r="E330" s="80"/>
      <c r="F330" s="140" t="str">
        <f t="shared" si="30"/>
        <v/>
      </c>
      <c r="G330" s="147" t="str">
        <f t="shared" si="31"/>
        <v/>
      </c>
    </row>
    <row r="331" spans="2:7" x14ac:dyDescent="0.2">
      <c r="B331" s="146" t="str">
        <f t="shared" si="29"/>
        <v/>
      </c>
      <c r="C331" s="180"/>
      <c r="D331" s="180"/>
      <c r="E331" s="80"/>
      <c r="F331" s="140" t="str">
        <f t="shared" si="30"/>
        <v/>
      </c>
      <c r="G331" s="147" t="str">
        <f t="shared" si="31"/>
        <v/>
      </c>
    </row>
    <row r="332" spans="2:7" x14ac:dyDescent="0.2">
      <c r="B332" s="146" t="str">
        <f t="shared" si="29"/>
        <v/>
      </c>
      <c r="C332" s="180"/>
      <c r="D332" s="180"/>
      <c r="E332" s="80"/>
      <c r="F332" s="140" t="str">
        <f t="shared" si="30"/>
        <v/>
      </c>
      <c r="G332" s="147" t="str">
        <f t="shared" si="31"/>
        <v/>
      </c>
    </row>
    <row r="333" spans="2:7" x14ac:dyDescent="0.2">
      <c r="B333" s="146" t="str">
        <f t="shared" si="29"/>
        <v/>
      </c>
      <c r="C333" s="180"/>
      <c r="D333" s="180"/>
      <c r="E333" s="80"/>
      <c r="F333" s="140" t="str">
        <f t="shared" si="30"/>
        <v/>
      </c>
      <c r="G333" s="147" t="str">
        <f t="shared" si="31"/>
        <v/>
      </c>
    </row>
    <row r="334" spans="2:7" x14ac:dyDescent="0.2">
      <c r="B334" s="146" t="str">
        <f t="shared" si="29"/>
        <v/>
      </c>
      <c r="C334" s="180"/>
      <c r="D334" s="180"/>
      <c r="E334" s="80"/>
      <c r="F334" s="140" t="str">
        <f t="shared" si="30"/>
        <v/>
      </c>
      <c r="G334" s="147" t="str">
        <f t="shared" si="31"/>
        <v/>
      </c>
    </row>
    <row r="335" spans="2:7" x14ac:dyDescent="0.2">
      <c r="B335" s="146" t="str">
        <f t="shared" si="29"/>
        <v/>
      </c>
      <c r="C335" s="180"/>
      <c r="D335" s="180"/>
      <c r="E335" s="80"/>
      <c r="F335" s="140" t="str">
        <f t="shared" si="30"/>
        <v/>
      </c>
      <c r="G335" s="147" t="str">
        <f t="shared" si="31"/>
        <v/>
      </c>
    </row>
    <row r="336" spans="2:7" x14ac:dyDescent="0.2">
      <c r="B336" s="146" t="str">
        <f t="shared" si="29"/>
        <v/>
      </c>
      <c r="C336" s="180"/>
      <c r="D336" s="180"/>
      <c r="E336" s="80"/>
      <c r="F336" s="140" t="str">
        <f t="shared" si="30"/>
        <v/>
      </c>
      <c r="G336" s="147" t="str">
        <f t="shared" si="31"/>
        <v/>
      </c>
    </row>
    <row r="337" spans="2:7" x14ac:dyDescent="0.2">
      <c r="B337" s="146" t="str">
        <f t="shared" si="29"/>
        <v/>
      </c>
      <c r="C337" s="180"/>
      <c r="D337" s="180"/>
      <c r="E337" s="80"/>
      <c r="F337" s="140" t="str">
        <f t="shared" si="30"/>
        <v/>
      </c>
      <c r="G337" s="147" t="str">
        <f t="shared" si="31"/>
        <v/>
      </c>
    </row>
    <row r="338" spans="2:7" x14ac:dyDescent="0.2">
      <c r="B338" s="146" t="str">
        <f t="shared" si="29"/>
        <v/>
      </c>
      <c r="C338" s="180"/>
      <c r="D338" s="180"/>
      <c r="E338" s="80"/>
      <c r="F338" s="140" t="str">
        <f t="shared" si="30"/>
        <v/>
      </c>
      <c r="G338" s="147" t="str">
        <f t="shared" si="31"/>
        <v/>
      </c>
    </row>
    <row r="339" spans="2:7" x14ac:dyDescent="0.2">
      <c r="B339" s="146" t="str">
        <f t="shared" si="29"/>
        <v/>
      </c>
      <c r="C339" s="180"/>
      <c r="D339" s="180"/>
      <c r="E339" s="80"/>
      <c r="F339" s="140" t="str">
        <f t="shared" si="30"/>
        <v/>
      </c>
      <c r="G339" s="147" t="str">
        <f t="shared" si="31"/>
        <v/>
      </c>
    </row>
    <row r="340" spans="2:7" x14ac:dyDescent="0.2">
      <c r="B340" s="146" t="str">
        <f t="shared" si="29"/>
        <v/>
      </c>
      <c r="C340" s="180"/>
      <c r="D340" s="180"/>
      <c r="E340" s="80"/>
      <c r="F340" s="140" t="str">
        <f t="shared" si="30"/>
        <v/>
      </c>
      <c r="G340" s="147" t="str">
        <f t="shared" si="31"/>
        <v/>
      </c>
    </row>
    <row r="341" spans="2:7" x14ac:dyDescent="0.2">
      <c r="B341" s="146" t="str">
        <f t="shared" si="29"/>
        <v/>
      </c>
      <c r="C341" s="180"/>
      <c r="D341" s="180"/>
      <c r="E341" s="80"/>
      <c r="F341" s="140" t="str">
        <f t="shared" si="30"/>
        <v/>
      </c>
      <c r="G341" s="147" t="str">
        <f t="shared" si="31"/>
        <v/>
      </c>
    </row>
    <row r="342" spans="2:7" x14ac:dyDescent="0.2">
      <c r="B342" s="146" t="str">
        <f t="shared" si="29"/>
        <v/>
      </c>
      <c r="C342" s="180"/>
      <c r="D342" s="180"/>
      <c r="E342" s="80"/>
      <c r="F342" s="140" t="str">
        <f t="shared" si="30"/>
        <v/>
      </c>
      <c r="G342" s="147" t="str">
        <f t="shared" si="31"/>
        <v/>
      </c>
    </row>
    <row r="343" spans="2:7" x14ac:dyDescent="0.2">
      <c r="B343" s="146" t="str">
        <f t="shared" si="29"/>
        <v/>
      </c>
      <c r="C343" s="180"/>
      <c r="D343" s="180"/>
      <c r="E343" s="80"/>
      <c r="F343" s="140" t="str">
        <f t="shared" si="30"/>
        <v/>
      </c>
      <c r="G343" s="147" t="str">
        <f t="shared" si="31"/>
        <v/>
      </c>
    </row>
    <row r="344" spans="2:7" x14ac:dyDescent="0.2">
      <c r="B344" s="146" t="str">
        <f t="shared" si="29"/>
        <v/>
      </c>
      <c r="C344" s="180"/>
      <c r="D344" s="180"/>
      <c r="E344" s="80"/>
      <c r="F344" s="140" t="str">
        <f t="shared" si="30"/>
        <v/>
      </c>
      <c r="G344" s="147" t="str">
        <f t="shared" si="31"/>
        <v/>
      </c>
    </row>
    <row r="345" spans="2:7" x14ac:dyDescent="0.2">
      <c r="B345" s="146" t="str">
        <f t="shared" si="29"/>
        <v/>
      </c>
      <c r="C345" s="180"/>
      <c r="D345" s="180"/>
      <c r="E345" s="80"/>
      <c r="F345" s="140" t="str">
        <f t="shared" si="30"/>
        <v/>
      </c>
      <c r="G345" s="147" t="str">
        <f t="shared" si="31"/>
        <v/>
      </c>
    </row>
    <row r="346" spans="2:7" x14ac:dyDescent="0.2">
      <c r="B346" s="146" t="str">
        <f t="shared" si="29"/>
        <v/>
      </c>
      <c r="C346" s="180"/>
      <c r="D346" s="180"/>
      <c r="E346" s="80"/>
      <c r="F346" s="140" t="str">
        <f t="shared" si="30"/>
        <v/>
      </c>
      <c r="G346" s="147" t="str">
        <f t="shared" si="31"/>
        <v/>
      </c>
    </row>
    <row r="347" spans="2:7" x14ac:dyDescent="0.2">
      <c r="B347" s="146" t="str">
        <f t="shared" si="29"/>
        <v/>
      </c>
      <c r="C347" s="180"/>
      <c r="D347" s="180"/>
      <c r="E347" s="80"/>
      <c r="F347" s="140" t="str">
        <f t="shared" si="30"/>
        <v/>
      </c>
      <c r="G347" s="147" t="str">
        <f t="shared" si="31"/>
        <v/>
      </c>
    </row>
    <row r="348" spans="2:7" x14ac:dyDescent="0.2">
      <c r="B348" s="146" t="str">
        <f t="shared" si="29"/>
        <v/>
      </c>
      <c r="C348" s="180"/>
      <c r="D348" s="180"/>
      <c r="E348" s="80"/>
      <c r="F348" s="140" t="str">
        <f t="shared" si="30"/>
        <v/>
      </c>
      <c r="G348" s="147" t="str">
        <f t="shared" si="31"/>
        <v/>
      </c>
    </row>
    <row r="349" spans="2:7" x14ac:dyDescent="0.2">
      <c r="B349" s="146" t="str">
        <f t="shared" si="29"/>
        <v/>
      </c>
      <c r="C349" s="180"/>
      <c r="D349" s="180"/>
      <c r="E349" s="80"/>
      <c r="F349" s="140" t="str">
        <f t="shared" si="30"/>
        <v/>
      </c>
      <c r="G349" s="147" t="str">
        <f t="shared" si="31"/>
        <v/>
      </c>
    </row>
    <row r="350" spans="2:7" x14ac:dyDescent="0.2">
      <c r="B350" s="146" t="str">
        <f t="shared" si="29"/>
        <v/>
      </c>
      <c r="C350" s="180"/>
      <c r="D350" s="180"/>
      <c r="E350" s="80"/>
      <c r="F350" s="140" t="str">
        <f t="shared" si="30"/>
        <v/>
      </c>
      <c r="G350" s="147" t="str">
        <f t="shared" si="31"/>
        <v/>
      </c>
    </row>
    <row r="351" spans="2:7" x14ac:dyDescent="0.2">
      <c r="B351" s="146" t="str">
        <f t="shared" si="29"/>
        <v/>
      </c>
      <c r="C351" s="180"/>
      <c r="D351" s="180"/>
      <c r="E351" s="80"/>
      <c r="F351" s="140" t="str">
        <f t="shared" si="30"/>
        <v/>
      </c>
      <c r="G351" s="147" t="str">
        <f t="shared" si="31"/>
        <v/>
      </c>
    </row>
    <row r="352" spans="2:7" x14ac:dyDescent="0.2">
      <c r="B352" s="146" t="str">
        <f t="shared" si="29"/>
        <v/>
      </c>
      <c r="C352" s="180"/>
      <c r="D352" s="180"/>
      <c r="E352" s="80"/>
      <c r="F352" s="140" t="str">
        <f t="shared" si="30"/>
        <v/>
      </c>
      <c r="G352" s="147" t="str">
        <f t="shared" si="31"/>
        <v/>
      </c>
    </row>
    <row r="353" spans="2:7" x14ac:dyDescent="0.2">
      <c r="B353" s="146" t="str">
        <f t="shared" si="29"/>
        <v/>
      </c>
      <c r="C353" s="180"/>
      <c r="D353" s="180"/>
      <c r="E353" s="80"/>
      <c r="F353" s="140" t="str">
        <f t="shared" si="30"/>
        <v/>
      </c>
      <c r="G353" s="147" t="str">
        <f t="shared" si="31"/>
        <v/>
      </c>
    </row>
    <row r="354" spans="2:7" x14ac:dyDescent="0.2">
      <c r="B354" s="146" t="str">
        <f t="shared" si="29"/>
        <v/>
      </c>
      <c r="C354" s="180"/>
      <c r="D354" s="180"/>
      <c r="E354" s="80"/>
      <c r="F354" s="140" t="str">
        <f t="shared" si="30"/>
        <v/>
      </c>
      <c r="G354" s="147" t="str">
        <f t="shared" si="31"/>
        <v/>
      </c>
    </row>
    <row r="355" spans="2:7" x14ac:dyDescent="0.2">
      <c r="B355" s="146" t="str">
        <f t="shared" si="29"/>
        <v/>
      </c>
      <c r="C355" s="180"/>
      <c r="D355" s="180"/>
      <c r="E355" s="80"/>
      <c r="F355" s="140" t="str">
        <f t="shared" si="30"/>
        <v/>
      </c>
      <c r="G355" s="147" t="str">
        <f t="shared" si="31"/>
        <v/>
      </c>
    </row>
    <row r="356" spans="2:7" x14ac:dyDescent="0.2">
      <c r="B356" s="146" t="str">
        <f t="shared" si="29"/>
        <v/>
      </c>
      <c r="C356" s="180"/>
      <c r="D356" s="180"/>
      <c r="E356" s="80"/>
      <c r="F356" s="140" t="str">
        <f t="shared" si="30"/>
        <v/>
      </c>
      <c r="G356" s="147" t="str">
        <f t="shared" si="31"/>
        <v/>
      </c>
    </row>
    <row r="357" spans="2:7" x14ac:dyDescent="0.2">
      <c r="B357" s="146" t="str">
        <f t="shared" si="29"/>
        <v/>
      </c>
      <c r="C357" s="180"/>
      <c r="D357" s="180"/>
      <c r="E357" s="80"/>
      <c r="F357" s="140" t="str">
        <f t="shared" si="30"/>
        <v/>
      </c>
      <c r="G357" s="147" t="str">
        <f t="shared" si="31"/>
        <v/>
      </c>
    </row>
    <row r="358" spans="2:7" x14ac:dyDescent="0.2">
      <c r="B358" s="146" t="str">
        <f t="shared" si="29"/>
        <v/>
      </c>
      <c r="C358" s="180"/>
      <c r="D358" s="180"/>
      <c r="E358" s="80"/>
      <c r="F358" s="140" t="str">
        <f t="shared" si="30"/>
        <v/>
      </c>
      <c r="G358" s="147" t="str">
        <f t="shared" si="31"/>
        <v/>
      </c>
    </row>
    <row r="359" spans="2:7" x14ac:dyDescent="0.2">
      <c r="B359" s="146" t="str">
        <f t="shared" si="29"/>
        <v/>
      </c>
      <c r="C359" s="180"/>
      <c r="D359" s="180"/>
      <c r="E359" s="80"/>
      <c r="F359" s="140" t="str">
        <f t="shared" si="30"/>
        <v/>
      </c>
      <c r="G359" s="147" t="str">
        <f t="shared" si="31"/>
        <v/>
      </c>
    </row>
    <row r="360" spans="2:7" x14ac:dyDescent="0.2">
      <c r="B360" s="146" t="str">
        <f t="shared" si="29"/>
        <v/>
      </c>
      <c r="C360" s="180"/>
      <c r="D360" s="180"/>
      <c r="E360" s="80"/>
      <c r="F360" s="140" t="str">
        <f t="shared" si="30"/>
        <v/>
      </c>
      <c r="G360" s="147" t="str">
        <f t="shared" si="31"/>
        <v/>
      </c>
    </row>
    <row r="361" spans="2:7" x14ac:dyDescent="0.2">
      <c r="B361" s="146" t="str">
        <f t="shared" si="29"/>
        <v/>
      </c>
      <c r="C361" s="180"/>
      <c r="D361" s="180"/>
      <c r="E361" s="80"/>
      <c r="F361" s="140" t="str">
        <f t="shared" si="30"/>
        <v/>
      </c>
      <c r="G361" s="147" t="str">
        <f t="shared" si="31"/>
        <v/>
      </c>
    </row>
    <row r="362" spans="2:7" x14ac:dyDescent="0.2">
      <c r="B362" s="146" t="str">
        <f t="shared" si="29"/>
        <v/>
      </c>
      <c r="C362" s="180"/>
      <c r="D362" s="180"/>
      <c r="E362" s="80"/>
      <c r="F362" s="140" t="str">
        <f t="shared" si="30"/>
        <v/>
      </c>
      <c r="G362" s="147" t="str">
        <f t="shared" si="31"/>
        <v/>
      </c>
    </row>
    <row r="363" spans="2:7" x14ac:dyDescent="0.2">
      <c r="B363" s="146" t="str">
        <f t="shared" si="29"/>
        <v/>
      </c>
      <c r="C363" s="180"/>
      <c r="D363" s="180"/>
      <c r="E363" s="80"/>
      <c r="F363" s="140" t="str">
        <f t="shared" si="30"/>
        <v/>
      </c>
      <c r="G363" s="147" t="str">
        <f t="shared" si="31"/>
        <v/>
      </c>
    </row>
    <row r="364" spans="2:7" x14ac:dyDescent="0.2">
      <c r="B364" s="146" t="str">
        <f t="shared" si="29"/>
        <v/>
      </c>
      <c r="C364" s="180"/>
      <c r="D364" s="180"/>
      <c r="E364" s="80"/>
      <c r="F364" s="140" t="str">
        <f t="shared" si="30"/>
        <v/>
      </c>
      <c r="G364" s="147" t="str">
        <f t="shared" si="31"/>
        <v/>
      </c>
    </row>
    <row r="365" spans="2:7" x14ac:dyDescent="0.2">
      <c r="B365" s="146" t="str">
        <f t="shared" si="29"/>
        <v/>
      </c>
      <c r="C365" s="180"/>
      <c r="D365" s="180"/>
      <c r="E365" s="80"/>
      <c r="F365" s="140" t="str">
        <f t="shared" si="30"/>
        <v/>
      </c>
      <c r="G365" s="147" t="str">
        <f t="shared" si="31"/>
        <v/>
      </c>
    </row>
    <row r="366" spans="2:7" x14ac:dyDescent="0.2">
      <c r="B366" s="146" t="str">
        <f t="shared" si="29"/>
        <v/>
      </c>
      <c r="C366" s="180"/>
      <c r="D366" s="180"/>
      <c r="E366" s="80"/>
      <c r="F366" s="140" t="str">
        <f t="shared" si="30"/>
        <v/>
      </c>
      <c r="G366" s="147" t="str">
        <f t="shared" si="31"/>
        <v/>
      </c>
    </row>
    <row r="367" spans="2:7" x14ac:dyDescent="0.2">
      <c r="B367" s="146" t="str">
        <f t="shared" si="29"/>
        <v/>
      </c>
      <c r="C367" s="180"/>
      <c r="D367" s="180"/>
      <c r="E367" s="80"/>
      <c r="F367" s="140" t="str">
        <f t="shared" si="30"/>
        <v/>
      </c>
      <c r="G367" s="147" t="str">
        <f t="shared" si="31"/>
        <v/>
      </c>
    </row>
    <row r="368" spans="2:7" x14ac:dyDescent="0.2">
      <c r="B368" s="146" t="str">
        <f t="shared" si="29"/>
        <v/>
      </c>
      <c r="C368" s="180"/>
      <c r="D368" s="180"/>
      <c r="E368" s="80"/>
      <c r="F368" s="140" t="str">
        <f t="shared" si="30"/>
        <v/>
      </c>
      <c r="G368" s="147" t="str">
        <f t="shared" si="31"/>
        <v/>
      </c>
    </row>
    <row r="369" spans="2:7" x14ac:dyDescent="0.2">
      <c r="B369" s="146" t="str">
        <f t="shared" si="29"/>
        <v/>
      </c>
      <c r="C369" s="180"/>
      <c r="D369" s="180"/>
      <c r="E369" s="80"/>
      <c r="F369" s="140" t="str">
        <f t="shared" si="30"/>
        <v/>
      </c>
      <c r="G369" s="147" t="str">
        <f t="shared" si="31"/>
        <v/>
      </c>
    </row>
    <row r="370" spans="2:7" x14ac:dyDescent="0.2">
      <c r="B370" s="146" t="str">
        <f t="shared" ref="B370:B433" si="32">IF(C370="","",VLOOKUP(C370,ユニット判定用,3))</f>
        <v/>
      </c>
      <c r="C370" s="180"/>
      <c r="D370" s="180"/>
      <c r="E370" s="80"/>
      <c r="F370" s="140" t="str">
        <f t="shared" ref="F370:F433" si="33">IF(C370="","",MROUND(D370-C370,"00:01"))</f>
        <v/>
      </c>
      <c r="G370" s="147" t="str">
        <f t="shared" ref="G370:G433" si="34">IF(C370="","",VLOOKUP(C370,施設運転・利用調整時間判定,5,1))</f>
        <v/>
      </c>
    </row>
    <row r="371" spans="2:7" x14ac:dyDescent="0.2">
      <c r="B371" s="146" t="str">
        <f t="shared" si="32"/>
        <v/>
      </c>
      <c r="C371" s="180"/>
      <c r="D371" s="180"/>
      <c r="E371" s="80"/>
      <c r="F371" s="140" t="str">
        <f t="shared" si="33"/>
        <v/>
      </c>
      <c r="G371" s="147" t="str">
        <f t="shared" si="34"/>
        <v/>
      </c>
    </row>
    <row r="372" spans="2:7" x14ac:dyDescent="0.2">
      <c r="B372" s="146" t="str">
        <f t="shared" si="32"/>
        <v/>
      </c>
      <c r="C372" s="180"/>
      <c r="D372" s="180"/>
      <c r="E372" s="80"/>
      <c r="F372" s="140" t="str">
        <f t="shared" si="33"/>
        <v/>
      </c>
      <c r="G372" s="147" t="str">
        <f t="shared" si="34"/>
        <v/>
      </c>
    </row>
    <row r="373" spans="2:7" x14ac:dyDescent="0.2">
      <c r="B373" s="146" t="str">
        <f t="shared" si="32"/>
        <v/>
      </c>
      <c r="C373" s="180"/>
      <c r="D373" s="180"/>
      <c r="E373" s="80"/>
      <c r="F373" s="140" t="str">
        <f t="shared" si="33"/>
        <v/>
      </c>
      <c r="G373" s="147" t="str">
        <f t="shared" si="34"/>
        <v/>
      </c>
    </row>
    <row r="374" spans="2:7" x14ac:dyDescent="0.2">
      <c r="B374" s="146" t="str">
        <f t="shared" si="32"/>
        <v/>
      </c>
      <c r="C374" s="180"/>
      <c r="D374" s="180"/>
      <c r="E374" s="80"/>
      <c r="F374" s="140" t="str">
        <f t="shared" si="33"/>
        <v/>
      </c>
      <c r="G374" s="147" t="str">
        <f t="shared" si="34"/>
        <v/>
      </c>
    </row>
    <row r="375" spans="2:7" x14ac:dyDescent="0.2">
      <c r="B375" s="146" t="str">
        <f t="shared" si="32"/>
        <v/>
      </c>
      <c r="C375" s="180"/>
      <c r="D375" s="180"/>
      <c r="E375" s="80"/>
      <c r="F375" s="140" t="str">
        <f t="shared" si="33"/>
        <v/>
      </c>
      <c r="G375" s="147" t="str">
        <f t="shared" si="34"/>
        <v/>
      </c>
    </row>
    <row r="376" spans="2:7" x14ac:dyDescent="0.2">
      <c r="B376" s="146" t="str">
        <f t="shared" si="32"/>
        <v/>
      </c>
      <c r="C376" s="180"/>
      <c r="D376" s="180"/>
      <c r="E376" s="80"/>
      <c r="F376" s="140" t="str">
        <f t="shared" si="33"/>
        <v/>
      </c>
      <c r="G376" s="147" t="str">
        <f t="shared" si="34"/>
        <v/>
      </c>
    </row>
    <row r="377" spans="2:7" x14ac:dyDescent="0.2">
      <c r="B377" s="146" t="str">
        <f t="shared" si="32"/>
        <v/>
      </c>
      <c r="C377" s="180"/>
      <c r="D377" s="180"/>
      <c r="E377" s="80"/>
      <c r="F377" s="140" t="str">
        <f t="shared" si="33"/>
        <v/>
      </c>
      <c r="G377" s="147" t="str">
        <f t="shared" si="34"/>
        <v/>
      </c>
    </row>
    <row r="378" spans="2:7" x14ac:dyDescent="0.2">
      <c r="B378" s="146" t="str">
        <f t="shared" si="32"/>
        <v/>
      </c>
      <c r="C378" s="180"/>
      <c r="D378" s="180"/>
      <c r="E378" s="80"/>
      <c r="F378" s="140" t="str">
        <f t="shared" si="33"/>
        <v/>
      </c>
      <c r="G378" s="147" t="str">
        <f t="shared" si="34"/>
        <v/>
      </c>
    </row>
    <row r="379" spans="2:7" x14ac:dyDescent="0.2">
      <c r="B379" s="146" t="str">
        <f t="shared" si="32"/>
        <v/>
      </c>
      <c r="C379" s="180"/>
      <c r="D379" s="180"/>
      <c r="E379" s="80"/>
      <c r="F379" s="140" t="str">
        <f t="shared" si="33"/>
        <v/>
      </c>
      <c r="G379" s="147" t="str">
        <f t="shared" si="34"/>
        <v/>
      </c>
    </row>
    <row r="380" spans="2:7" x14ac:dyDescent="0.2">
      <c r="B380" s="146" t="str">
        <f t="shared" si="32"/>
        <v/>
      </c>
      <c r="C380" s="180"/>
      <c r="D380" s="180"/>
      <c r="E380" s="80"/>
      <c r="F380" s="140" t="str">
        <f t="shared" si="33"/>
        <v/>
      </c>
      <c r="G380" s="147" t="str">
        <f t="shared" si="34"/>
        <v/>
      </c>
    </row>
    <row r="381" spans="2:7" x14ac:dyDescent="0.2">
      <c r="B381" s="146" t="str">
        <f t="shared" si="32"/>
        <v/>
      </c>
      <c r="C381" s="180"/>
      <c r="D381" s="180"/>
      <c r="E381" s="80"/>
      <c r="F381" s="140" t="str">
        <f t="shared" si="33"/>
        <v/>
      </c>
      <c r="G381" s="147" t="str">
        <f t="shared" si="34"/>
        <v/>
      </c>
    </row>
    <row r="382" spans="2:7" x14ac:dyDescent="0.2">
      <c r="B382" s="146" t="str">
        <f t="shared" si="32"/>
        <v/>
      </c>
      <c r="C382" s="180"/>
      <c r="D382" s="180"/>
      <c r="E382" s="80"/>
      <c r="F382" s="140" t="str">
        <f t="shared" si="33"/>
        <v/>
      </c>
      <c r="G382" s="147" t="str">
        <f t="shared" si="34"/>
        <v/>
      </c>
    </row>
    <row r="383" spans="2:7" x14ac:dyDescent="0.2">
      <c r="B383" s="146" t="str">
        <f t="shared" si="32"/>
        <v/>
      </c>
      <c r="C383" s="180"/>
      <c r="D383" s="180"/>
      <c r="E383" s="80"/>
      <c r="F383" s="140" t="str">
        <f t="shared" si="33"/>
        <v/>
      </c>
      <c r="G383" s="147" t="str">
        <f t="shared" si="34"/>
        <v/>
      </c>
    </row>
    <row r="384" spans="2:7" x14ac:dyDescent="0.2">
      <c r="B384" s="146" t="str">
        <f t="shared" si="32"/>
        <v/>
      </c>
      <c r="C384" s="180"/>
      <c r="D384" s="180"/>
      <c r="E384" s="80"/>
      <c r="F384" s="140" t="str">
        <f t="shared" si="33"/>
        <v/>
      </c>
      <c r="G384" s="147" t="str">
        <f t="shared" si="34"/>
        <v/>
      </c>
    </row>
    <row r="385" spans="2:7" x14ac:dyDescent="0.2">
      <c r="B385" s="146" t="str">
        <f t="shared" si="32"/>
        <v/>
      </c>
      <c r="C385" s="180"/>
      <c r="D385" s="180"/>
      <c r="E385" s="80"/>
      <c r="F385" s="140" t="str">
        <f t="shared" si="33"/>
        <v/>
      </c>
      <c r="G385" s="147" t="str">
        <f t="shared" si="34"/>
        <v/>
      </c>
    </row>
    <row r="386" spans="2:7" x14ac:dyDescent="0.2">
      <c r="B386" s="146" t="str">
        <f t="shared" si="32"/>
        <v/>
      </c>
      <c r="C386" s="180"/>
      <c r="D386" s="180"/>
      <c r="E386" s="80"/>
      <c r="F386" s="140" t="str">
        <f t="shared" si="33"/>
        <v/>
      </c>
      <c r="G386" s="147" t="str">
        <f t="shared" si="34"/>
        <v/>
      </c>
    </row>
    <row r="387" spans="2:7" x14ac:dyDescent="0.2">
      <c r="B387" s="146" t="str">
        <f t="shared" si="32"/>
        <v/>
      </c>
      <c r="C387" s="180"/>
      <c r="D387" s="180"/>
      <c r="E387" s="80"/>
      <c r="F387" s="140" t="str">
        <f t="shared" si="33"/>
        <v/>
      </c>
      <c r="G387" s="147" t="str">
        <f t="shared" si="34"/>
        <v/>
      </c>
    </row>
    <row r="388" spans="2:7" x14ac:dyDescent="0.2">
      <c r="B388" s="146" t="str">
        <f t="shared" si="32"/>
        <v/>
      </c>
      <c r="C388" s="180"/>
      <c r="D388" s="180"/>
      <c r="E388" s="80"/>
      <c r="F388" s="140" t="str">
        <f t="shared" si="33"/>
        <v/>
      </c>
      <c r="G388" s="147" t="str">
        <f t="shared" si="34"/>
        <v/>
      </c>
    </row>
    <row r="389" spans="2:7" x14ac:dyDescent="0.2">
      <c r="B389" s="146" t="str">
        <f t="shared" si="32"/>
        <v/>
      </c>
      <c r="C389" s="180"/>
      <c r="D389" s="180"/>
      <c r="E389" s="80"/>
      <c r="F389" s="140" t="str">
        <f t="shared" si="33"/>
        <v/>
      </c>
      <c r="G389" s="147" t="str">
        <f t="shared" si="34"/>
        <v/>
      </c>
    </row>
    <row r="390" spans="2:7" x14ac:dyDescent="0.2">
      <c r="B390" s="146" t="str">
        <f t="shared" si="32"/>
        <v/>
      </c>
      <c r="C390" s="180"/>
      <c r="D390" s="180"/>
      <c r="E390" s="80"/>
      <c r="F390" s="140" t="str">
        <f t="shared" si="33"/>
        <v/>
      </c>
      <c r="G390" s="147" t="str">
        <f t="shared" si="34"/>
        <v/>
      </c>
    </row>
    <row r="391" spans="2:7" x14ac:dyDescent="0.2">
      <c r="B391" s="146" t="str">
        <f t="shared" si="32"/>
        <v/>
      </c>
      <c r="C391" s="180"/>
      <c r="D391" s="180"/>
      <c r="E391" s="80"/>
      <c r="F391" s="140" t="str">
        <f t="shared" si="33"/>
        <v/>
      </c>
      <c r="G391" s="147" t="str">
        <f t="shared" si="34"/>
        <v/>
      </c>
    </row>
    <row r="392" spans="2:7" x14ac:dyDescent="0.2">
      <c r="B392" s="146" t="str">
        <f t="shared" si="32"/>
        <v/>
      </c>
      <c r="C392" s="180"/>
      <c r="D392" s="180"/>
      <c r="E392" s="80"/>
      <c r="F392" s="140" t="str">
        <f t="shared" si="33"/>
        <v/>
      </c>
      <c r="G392" s="147" t="str">
        <f t="shared" si="34"/>
        <v/>
      </c>
    </row>
    <row r="393" spans="2:7" x14ac:dyDescent="0.2">
      <c r="B393" s="146" t="str">
        <f t="shared" si="32"/>
        <v/>
      </c>
      <c r="C393" s="180"/>
      <c r="D393" s="180"/>
      <c r="E393" s="80"/>
      <c r="F393" s="140" t="str">
        <f t="shared" si="33"/>
        <v/>
      </c>
      <c r="G393" s="147" t="str">
        <f t="shared" si="34"/>
        <v/>
      </c>
    </row>
    <row r="394" spans="2:7" x14ac:dyDescent="0.2">
      <c r="B394" s="146" t="str">
        <f t="shared" si="32"/>
        <v/>
      </c>
      <c r="C394" s="180"/>
      <c r="D394" s="180"/>
      <c r="E394" s="80"/>
      <c r="F394" s="140" t="str">
        <f t="shared" si="33"/>
        <v/>
      </c>
      <c r="G394" s="147" t="str">
        <f t="shared" si="34"/>
        <v/>
      </c>
    </row>
    <row r="395" spans="2:7" x14ac:dyDescent="0.2">
      <c r="B395" s="146" t="str">
        <f t="shared" si="32"/>
        <v/>
      </c>
      <c r="C395" s="180"/>
      <c r="D395" s="180"/>
      <c r="E395" s="80"/>
      <c r="F395" s="140" t="str">
        <f t="shared" si="33"/>
        <v/>
      </c>
      <c r="G395" s="147" t="str">
        <f t="shared" si="34"/>
        <v/>
      </c>
    </row>
    <row r="396" spans="2:7" x14ac:dyDescent="0.2">
      <c r="B396" s="146" t="str">
        <f t="shared" si="32"/>
        <v/>
      </c>
      <c r="C396" s="180"/>
      <c r="D396" s="180"/>
      <c r="E396" s="80"/>
      <c r="F396" s="140" t="str">
        <f t="shared" si="33"/>
        <v/>
      </c>
      <c r="G396" s="147" t="str">
        <f t="shared" si="34"/>
        <v/>
      </c>
    </row>
    <row r="397" spans="2:7" x14ac:dyDescent="0.2">
      <c r="B397" s="146" t="str">
        <f t="shared" si="32"/>
        <v/>
      </c>
      <c r="C397" s="180"/>
      <c r="D397" s="180"/>
      <c r="E397" s="80"/>
      <c r="F397" s="140" t="str">
        <f t="shared" si="33"/>
        <v/>
      </c>
      <c r="G397" s="147" t="str">
        <f t="shared" si="34"/>
        <v/>
      </c>
    </row>
    <row r="398" spans="2:7" x14ac:dyDescent="0.2">
      <c r="B398" s="146" t="str">
        <f t="shared" si="32"/>
        <v/>
      </c>
      <c r="C398" s="180"/>
      <c r="D398" s="180"/>
      <c r="E398" s="80"/>
      <c r="F398" s="140" t="str">
        <f t="shared" si="33"/>
        <v/>
      </c>
      <c r="G398" s="147" t="str">
        <f t="shared" si="34"/>
        <v/>
      </c>
    </row>
    <row r="399" spans="2:7" x14ac:dyDescent="0.2">
      <c r="B399" s="146" t="str">
        <f t="shared" si="32"/>
        <v/>
      </c>
      <c r="C399" s="180"/>
      <c r="D399" s="180"/>
      <c r="E399" s="80"/>
      <c r="F399" s="140" t="str">
        <f t="shared" si="33"/>
        <v/>
      </c>
      <c r="G399" s="147" t="str">
        <f t="shared" si="34"/>
        <v/>
      </c>
    </row>
    <row r="400" spans="2:7" x14ac:dyDescent="0.2">
      <c r="B400" s="146" t="str">
        <f t="shared" si="32"/>
        <v/>
      </c>
      <c r="C400" s="180"/>
      <c r="D400" s="180"/>
      <c r="E400" s="80"/>
      <c r="F400" s="140" t="str">
        <f t="shared" si="33"/>
        <v/>
      </c>
      <c r="G400" s="147" t="str">
        <f t="shared" si="34"/>
        <v/>
      </c>
    </row>
    <row r="401" spans="2:7" x14ac:dyDescent="0.2">
      <c r="B401" s="146" t="str">
        <f t="shared" si="32"/>
        <v/>
      </c>
      <c r="C401" s="180"/>
      <c r="D401" s="180"/>
      <c r="E401" s="80"/>
      <c r="F401" s="140" t="str">
        <f t="shared" si="33"/>
        <v/>
      </c>
      <c r="G401" s="147" t="str">
        <f t="shared" si="34"/>
        <v/>
      </c>
    </row>
    <row r="402" spans="2:7" x14ac:dyDescent="0.2">
      <c r="B402" s="146" t="str">
        <f t="shared" si="32"/>
        <v/>
      </c>
      <c r="C402" s="180"/>
      <c r="D402" s="180"/>
      <c r="E402" s="80"/>
      <c r="F402" s="140" t="str">
        <f t="shared" si="33"/>
        <v/>
      </c>
      <c r="G402" s="147" t="str">
        <f t="shared" si="34"/>
        <v/>
      </c>
    </row>
    <row r="403" spans="2:7" x14ac:dyDescent="0.2">
      <c r="B403" s="146" t="str">
        <f t="shared" si="32"/>
        <v/>
      </c>
      <c r="C403" s="180"/>
      <c r="D403" s="180"/>
      <c r="E403" s="80"/>
      <c r="F403" s="140" t="str">
        <f t="shared" si="33"/>
        <v/>
      </c>
      <c r="G403" s="147" t="str">
        <f t="shared" si="34"/>
        <v/>
      </c>
    </row>
    <row r="404" spans="2:7" x14ac:dyDescent="0.2">
      <c r="B404" s="146" t="str">
        <f t="shared" si="32"/>
        <v/>
      </c>
      <c r="C404" s="180"/>
      <c r="D404" s="180"/>
      <c r="E404" s="80"/>
      <c r="F404" s="140" t="str">
        <f t="shared" si="33"/>
        <v/>
      </c>
      <c r="G404" s="147" t="str">
        <f t="shared" si="34"/>
        <v/>
      </c>
    </row>
    <row r="405" spans="2:7" x14ac:dyDescent="0.2">
      <c r="B405" s="146" t="str">
        <f t="shared" si="32"/>
        <v/>
      </c>
      <c r="C405" s="180"/>
      <c r="D405" s="180"/>
      <c r="E405" s="80"/>
      <c r="F405" s="140" t="str">
        <f t="shared" si="33"/>
        <v/>
      </c>
      <c r="G405" s="147" t="str">
        <f t="shared" si="34"/>
        <v/>
      </c>
    </row>
    <row r="406" spans="2:7" x14ac:dyDescent="0.2">
      <c r="B406" s="146" t="str">
        <f t="shared" si="32"/>
        <v/>
      </c>
      <c r="C406" s="180"/>
      <c r="D406" s="180"/>
      <c r="E406" s="80"/>
      <c r="F406" s="140" t="str">
        <f t="shared" si="33"/>
        <v/>
      </c>
      <c r="G406" s="147" t="str">
        <f t="shared" si="34"/>
        <v/>
      </c>
    </row>
    <row r="407" spans="2:7" x14ac:dyDescent="0.2">
      <c r="B407" s="146" t="str">
        <f t="shared" si="32"/>
        <v/>
      </c>
      <c r="C407" s="180"/>
      <c r="D407" s="180"/>
      <c r="E407" s="80"/>
      <c r="F407" s="140" t="str">
        <f t="shared" si="33"/>
        <v/>
      </c>
      <c r="G407" s="147" t="str">
        <f t="shared" si="34"/>
        <v/>
      </c>
    </row>
    <row r="408" spans="2:7" x14ac:dyDescent="0.2">
      <c r="B408" s="146" t="str">
        <f t="shared" si="32"/>
        <v/>
      </c>
      <c r="C408" s="180"/>
      <c r="D408" s="180"/>
      <c r="E408" s="80"/>
      <c r="F408" s="140" t="str">
        <f t="shared" si="33"/>
        <v/>
      </c>
      <c r="G408" s="147" t="str">
        <f t="shared" si="34"/>
        <v/>
      </c>
    </row>
    <row r="409" spans="2:7" x14ac:dyDescent="0.2">
      <c r="B409" s="146" t="str">
        <f t="shared" si="32"/>
        <v/>
      </c>
      <c r="C409" s="180"/>
      <c r="D409" s="180"/>
      <c r="E409" s="80"/>
      <c r="F409" s="140" t="str">
        <f t="shared" si="33"/>
        <v/>
      </c>
      <c r="G409" s="147" t="str">
        <f t="shared" si="34"/>
        <v/>
      </c>
    </row>
    <row r="410" spans="2:7" x14ac:dyDescent="0.2">
      <c r="B410" s="146" t="str">
        <f t="shared" si="32"/>
        <v/>
      </c>
      <c r="C410" s="180"/>
      <c r="D410" s="180"/>
      <c r="E410" s="80"/>
      <c r="F410" s="140" t="str">
        <f t="shared" si="33"/>
        <v/>
      </c>
      <c r="G410" s="147" t="str">
        <f t="shared" si="34"/>
        <v/>
      </c>
    </row>
    <row r="411" spans="2:7" x14ac:dyDescent="0.2">
      <c r="B411" s="146" t="str">
        <f t="shared" si="32"/>
        <v/>
      </c>
      <c r="C411" s="180"/>
      <c r="D411" s="180"/>
      <c r="E411" s="80"/>
      <c r="F411" s="140" t="str">
        <f t="shared" si="33"/>
        <v/>
      </c>
      <c r="G411" s="147" t="str">
        <f t="shared" si="34"/>
        <v/>
      </c>
    </row>
    <row r="412" spans="2:7" x14ac:dyDescent="0.2">
      <c r="B412" s="146" t="str">
        <f t="shared" si="32"/>
        <v/>
      </c>
      <c r="C412" s="180"/>
      <c r="D412" s="180"/>
      <c r="E412" s="80"/>
      <c r="F412" s="140" t="str">
        <f t="shared" si="33"/>
        <v/>
      </c>
      <c r="G412" s="147" t="str">
        <f t="shared" si="34"/>
        <v/>
      </c>
    </row>
    <row r="413" spans="2:7" x14ac:dyDescent="0.2">
      <c r="B413" s="146" t="str">
        <f t="shared" si="32"/>
        <v/>
      </c>
      <c r="C413" s="180"/>
      <c r="D413" s="180"/>
      <c r="E413" s="80"/>
      <c r="F413" s="140" t="str">
        <f t="shared" si="33"/>
        <v/>
      </c>
      <c r="G413" s="147" t="str">
        <f t="shared" si="34"/>
        <v/>
      </c>
    </row>
    <row r="414" spans="2:7" x14ac:dyDescent="0.2">
      <c r="B414" s="146" t="str">
        <f t="shared" si="32"/>
        <v/>
      </c>
      <c r="C414" s="180"/>
      <c r="D414" s="180"/>
      <c r="E414" s="80"/>
      <c r="F414" s="140" t="str">
        <f t="shared" si="33"/>
        <v/>
      </c>
      <c r="G414" s="147" t="str">
        <f t="shared" si="34"/>
        <v/>
      </c>
    </row>
    <row r="415" spans="2:7" x14ac:dyDescent="0.2">
      <c r="B415" s="146" t="str">
        <f t="shared" si="32"/>
        <v/>
      </c>
      <c r="C415" s="180"/>
      <c r="D415" s="180"/>
      <c r="E415" s="80"/>
      <c r="F415" s="140" t="str">
        <f t="shared" si="33"/>
        <v/>
      </c>
      <c r="G415" s="147" t="str">
        <f t="shared" si="34"/>
        <v/>
      </c>
    </row>
    <row r="416" spans="2:7" x14ac:dyDescent="0.2">
      <c r="B416" s="146" t="str">
        <f t="shared" si="32"/>
        <v/>
      </c>
      <c r="C416" s="180"/>
      <c r="D416" s="180"/>
      <c r="E416" s="80"/>
      <c r="F416" s="140" t="str">
        <f t="shared" si="33"/>
        <v/>
      </c>
      <c r="G416" s="147" t="str">
        <f t="shared" si="34"/>
        <v/>
      </c>
    </row>
    <row r="417" spans="2:7" x14ac:dyDescent="0.2">
      <c r="B417" s="146" t="str">
        <f t="shared" si="32"/>
        <v/>
      </c>
      <c r="C417" s="180"/>
      <c r="D417" s="180"/>
      <c r="E417" s="80"/>
      <c r="F417" s="140" t="str">
        <f t="shared" si="33"/>
        <v/>
      </c>
      <c r="G417" s="147" t="str">
        <f t="shared" si="34"/>
        <v/>
      </c>
    </row>
    <row r="418" spans="2:7" x14ac:dyDescent="0.2">
      <c r="B418" s="146" t="str">
        <f t="shared" si="32"/>
        <v/>
      </c>
      <c r="C418" s="180"/>
      <c r="D418" s="180"/>
      <c r="E418" s="80"/>
      <c r="F418" s="140" t="str">
        <f t="shared" si="33"/>
        <v/>
      </c>
      <c r="G418" s="147" t="str">
        <f t="shared" si="34"/>
        <v/>
      </c>
    </row>
    <row r="419" spans="2:7" x14ac:dyDescent="0.2">
      <c r="B419" s="146" t="str">
        <f t="shared" si="32"/>
        <v/>
      </c>
      <c r="C419" s="180"/>
      <c r="D419" s="180"/>
      <c r="E419" s="80"/>
      <c r="F419" s="140" t="str">
        <f t="shared" si="33"/>
        <v/>
      </c>
      <c r="G419" s="147" t="str">
        <f t="shared" si="34"/>
        <v/>
      </c>
    </row>
    <row r="420" spans="2:7" x14ac:dyDescent="0.2">
      <c r="B420" s="146" t="str">
        <f t="shared" si="32"/>
        <v/>
      </c>
      <c r="C420" s="180"/>
      <c r="D420" s="180"/>
      <c r="E420" s="80"/>
      <c r="F420" s="140" t="str">
        <f t="shared" si="33"/>
        <v/>
      </c>
      <c r="G420" s="147" t="str">
        <f t="shared" si="34"/>
        <v/>
      </c>
    </row>
    <row r="421" spans="2:7" x14ac:dyDescent="0.2">
      <c r="B421" s="146" t="str">
        <f t="shared" si="32"/>
        <v/>
      </c>
      <c r="C421" s="180"/>
      <c r="D421" s="180"/>
      <c r="E421" s="80"/>
      <c r="F421" s="140" t="str">
        <f t="shared" si="33"/>
        <v/>
      </c>
      <c r="G421" s="147" t="str">
        <f t="shared" si="34"/>
        <v/>
      </c>
    </row>
    <row r="422" spans="2:7" x14ac:dyDescent="0.2">
      <c r="B422" s="146" t="str">
        <f t="shared" si="32"/>
        <v/>
      </c>
      <c r="C422" s="180"/>
      <c r="D422" s="180"/>
      <c r="E422" s="80"/>
      <c r="F422" s="140" t="str">
        <f t="shared" si="33"/>
        <v/>
      </c>
      <c r="G422" s="147" t="str">
        <f t="shared" si="34"/>
        <v/>
      </c>
    </row>
    <row r="423" spans="2:7" x14ac:dyDescent="0.2">
      <c r="B423" s="146" t="str">
        <f t="shared" si="32"/>
        <v/>
      </c>
      <c r="C423" s="180"/>
      <c r="D423" s="180"/>
      <c r="E423" s="80"/>
      <c r="F423" s="140" t="str">
        <f t="shared" si="33"/>
        <v/>
      </c>
      <c r="G423" s="147" t="str">
        <f t="shared" si="34"/>
        <v/>
      </c>
    </row>
    <row r="424" spans="2:7" x14ac:dyDescent="0.2">
      <c r="B424" s="146" t="str">
        <f t="shared" si="32"/>
        <v/>
      </c>
      <c r="C424" s="180"/>
      <c r="D424" s="180"/>
      <c r="E424" s="80"/>
      <c r="F424" s="140" t="str">
        <f t="shared" si="33"/>
        <v/>
      </c>
      <c r="G424" s="147" t="str">
        <f t="shared" si="34"/>
        <v/>
      </c>
    </row>
    <row r="425" spans="2:7" x14ac:dyDescent="0.2">
      <c r="B425" s="146" t="str">
        <f t="shared" si="32"/>
        <v/>
      </c>
      <c r="C425" s="180"/>
      <c r="D425" s="180"/>
      <c r="E425" s="80"/>
      <c r="F425" s="140" t="str">
        <f t="shared" si="33"/>
        <v/>
      </c>
      <c r="G425" s="147" t="str">
        <f t="shared" si="34"/>
        <v/>
      </c>
    </row>
    <row r="426" spans="2:7" x14ac:dyDescent="0.2">
      <c r="B426" s="146" t="str">
        <f t="shared" si="32"/>
        <v/>
      </c>
      <c r="C426" s="180"/>
      <c r="D426" s="180"/>
      <c r="E426" s="80"/>
      <c r="F426" s="140" t="str">
        <f t="shared" si="33"/>
        <v/>
      </c>
      <c r="G426" s="147" t="str">
        <f t="shared" si="34"/>
        <v/>
      </c>
    </row>
    <row r="427" spans="2:7" x14ac:dyDescent="0.2">
      <c r="B427" s="146" t="str">
        <f t="shared" si="32"/>
        <v/>
      </c>
      <c r="C427" s="180"/>
      <c r="D427" s="180"/>
      <c r="E427" s="80"/>
      <c r="F427" s="140" t="str">
        <f t="shared" si="33"/>
        <v/>
      </c>
      <c r="G427" s="147" t="str">
        <f t="shared" si="34"/>
        <v/>
      </c>
    </row>
    <row r="428" spans="2:7" x14ac:dyDescent="0.2">
      <c r="B428" s="146" t="str">
        <f t="shared" si="32"/>
        <v/>
      </c>
      <c r="C428" s="180"/>
      <c r="D428" s="180"/>
      <c r="E428" s="80"/>
      <c r="F428" s="140" t="str">
        <f t="shared" si="33"/>
        <v/>
      </c>
      <c r="G428" s="147" t="str">
        <f t="shared" si="34"/>
        <v/>
      </c>
    </row>
    <row r="429" spans="2:7" x14ac:dyDescent="0.2">
      <c r="B429" s="146" t="str">
        <f t="shared" si="32"/>
        <v/>
      </c>
      <c r="C429" s="180"/>
      <c r="D429" s="180"/>
      <c r="E429" s="80"/>
      <c r="F429" s="140" t="str">
        <f t="shared" si="33"/>
        <v/>
      </c>
      <c r="G429" s="147" t="str">
        <f t="shared" si="34"/>
        <v/>
      </c>
    </row>
    <row r="430" spans="2:7" x14ac:dyDescent="0.2">
      <c r="B430" s="146" t="str">
        <f t="shared" si="32"/>
        <v/>
      </c>
      <c r="C430" s="180"/>
      <c r="D430" s="180"/>
      <c r="E430" s="80"/>
      <c r="F430" s="140" t="str">
        <f t="shared" si="33"/>
        <v/>
      </c>
      <c r="G430" s="147" t="str">
        <f t="shared" si="34"/>
        <v/>
      </c>
    </row>
    <row r="431" spans="2:7" x14ac:dyDescent="0.2">
      <c r="B431" s="146" t="str">
        <f t="shared" si="32"/>
        <v/>
      </c>
      <c r="C431" s="180"/>
      <c r="D431" s="180"/>
      <c r="E431" s="80"/>
      <c r="F431" s="140" t="str">
        <f t="shared" si="33"/>
        <v/>
      </c>
      <c r="G431" s="147" t="str">
        <f t="shared" si="34"/>
        <v/>
      </c>
    </row>
    <row r="432" spans="2:7" x14ac:dyDescent="0.2">
      <c r="B432" s="146" t="str">
        <f t="shared" si="32"/>
        <v/>
      </c>
      <c r="C432" s="180"/>
      <c r="D432" s="180"/>
      <c r="E432" s="80"/>
      <c r="F432" s="140" t="str">
        <f t="shared" si="33"/>
        <v/>
      </c>
      <c r="G432" s="147" t="str">
        <f t="shared" si="34"/>
        <v/>
      </c>
    </row>
    <row r="433" spans="2:7" x14ac:dyDescent="0.2">
      <c r="B433" s="146" t="str">
        <f t="shared" si="32"/>
        <v/>
      </c>
      <c r="C433" s="180"/>
      <c r="D433" s="180"/>
      <c r="E433" s="80"/>
      <c r="F433" s="140" t="str">
        <f t="shared" si="33"/>
        <v/>
      </c>
      <c r="G433" s="147" t="str">
        <f t="shared" si="34"/>
        <v/>
      </c>
    </row>
    <row r="434" spans="2:7" x14ac:dyDescent="0.2">
      <c r="B434" s="146" t="str">
        <f t="shared" ref="B434:B497" si="35">IF(C434="","",VLOOKUP(C434,ユニット判定用,3))</f>
        <v/>
      </c>
      <c r="C434" s="180"/>
      <c r="D434" s="180"/>
      <c r="E434" s="80"/>
      <c r="F434" s="140" t="str">
        <f t="shared" ref="F434:F497" si="36">IF(C434="","",MROUND(D434-C434,"00:01"))</f>
        <v/>
      </c>
      <c r="G434" s="147" t="str">
        <f t="shared" ref="G434:G497" si="37">IF(C434="","",VLOOKUP(C434,施設運転・利用調整時間判定,5,1))</f>
        <v/>
      </c>
    </row>
    <row r="435" spans="2:7" x14ac:dyDescent="0.2">
      <c r="B435" s="146" t="str">
        <f t="shared" si="35"/>
        <v/>
      </c>
      <c r="C435" s="180"/>
      <c r="D435" s="180"/>
      <c r="E435" s="80"/>
      <c r="F435" s="140" t="str">
        <f t="shared" si="36"/>
        <v/>
      </c>
      <c r="G435" s="147" t="str">
        <f t="shared" si="37"/>
        <v/>
      </c>
    </row>
    <row r="436" spans="2:7" x14ac:dyDescent="0.2">
      <c r="B436" s="146" t="str">
        <f t="shared" si="35"/>
        <v/>
      </c>
      <c r="C436" s="180"/>
      <c r="D436" s="180"/>
      <c r="E436" s="80"/>
      <c r="F436" s="140" t="str">
        <f t="shared" si="36"/>
        <v/>
      </c>
      <c r="G436" s="147" t="str">
        <f t="shared" si="37"/>
        <v/>
      </c>
    </row>
    <row r="437" spans="2:7" x14ac:dyDescent="0.2">
      <c r="B437" s="146" t="str">
        <f t="shared" si="35"/>
        <v/>
      </c>
      <c r="C437" s="180"/>
      <c r="D437" s="180"/>
      <c r="E437" s="80"/>
      <c r="F437" s="140" t="str">
        <f t="shared" si="36"/>
        <v/>
      </c>
      <c r="G437" s="147" t="str">
        <f t="shared" si="37"/>
        <v/>
      </c>
    </row>
    <row r="438" spans="2:7" x14ac:dyDescent="0.2">
      <c r="B438" s="146" t="str">
        <f t="shared" si="35"/>
        <v/>
      </c>
      <c r="C438" s="180"/>
      <c r="D438" s="180"/>
      <c r="E438" s="80"/>
      <c r="F438" s="140" t="str">
        <f t="shared" si="36"/>
        <v/>
      </c>
      <c r="G438" s="147" t="str">
        <f t="shared" si="37"/>
        <v/>
      </c>
    </row>
    <row r="439" spans="2:7" x14ac:dyDescent="0.2">
      <c r="B439" s="146" t="str">
        <f t="shared" si="35"/>
        <v/>
      </c>
      <c r="C439" s="180"/>
      <c r="D439" s="180"/>
      <c r="E439" s="80"/>
      <c r="F439" s="140" t="str">
        <f t="shared" si="36"/>
        <v/>
      </c>
      <c r="G439" s="147" t="str">
        <f t="shared" si="37"/>
        <v/>
      </c>
    </row>
    <row r="440" spans="2:7" x14ac:dyDescent="0.2">
      <c r="B440" s="146" t="str">
        <f t="shared" si="35"/>
        <v/>
      </c>
      <c r="C440" s="180"/>
      <c r="D440" s="180"/>
      <c r="E440" s="80"/>
      <c r="F440" s="140" t="str">
        <f t="shared" si="36"/>
        <v/>
      </c>
      <c r="G440" s="147" t="str">
        <f t="shared" si="37"/>
        <v/>
      </c>
    </row>
    <row r="441" spans="2:7" x14ac:dyDescent="0.2">
      <c r="B441" s="146" t="str">
        <f t="shared" si="35"/>
        <v/>
      </c>
      <c r="C441" s="180"/>
      <c r="D441" s="180"/>
      <c r="E441" s="80"/>
      <c r="F441" s="140" t="str">
        <f t="shared" si="36"/>
        <v/>
      </c>
      <c r="G441" s="147" t="str">
        <f t="shared" si="37"/>
        <v/>
      </c>
    </row>
    <row r="442" spans="2:7" x14ac:dyDescent="0.2">
      <c r="B442" s="146" t="str">
        <f t="shared" si="35"/>
        <v/>
      </c>
      <c r="C442" s="180"/>
      <c r="D442" s="180"/>
      <c r="E442" s="80"/>
      <c r="F442" s="140" t="str">
        <f t="shared" si="36"/>
        <v/>
      </c>
      <c r="G442" s="147" t="str">
        <f t="shared" si="37"/>
        <v/>
      </c>
    </row>
    <row r="443" spans="2:7" x14ac:dyDescent="0.2">
      <c r="B443" s="146" t="str">
        <f t="shared" si="35"/>
        <v/>
      </c>
      <c r="C443" s="180"/>
      <c r="D443" s="180"/>
      <c r="E443" s="80"/>
      <c r="F443" s="140" t="str">
        <f t="shared" si="36"/>
        <v/>
      </c>
      <c r="G443" s="147" t="str">
        <f t="shared" si="37"/>
        <v/>
      </c>
    </row>
    <row r="444" spans="2:7" x14ac:dyDescent="0.2">
      <c r="B444" s="146" t="str">
        <f t="shared" si="35"/>
        <v/>
      </c>
      <c r="C444" s="180"/>
      <c r="D444" s="180"/>
      <c r="E444" s="80"/>
      <c r="F444" s="140" t="str">
        <f t="shared" si="36"/>
        <v/>
      </c>
      <c r="G444" s="147" t="str">
        <f t="shared" si="37"/>
        <v/>
      </c>
    </row>
    <row r="445" spans="2:7" x14ac:dyDescent="0.2">
      <c r="B445" s="146" t="str">
        <f t="shared" si="35"/>
        <v/>
      </c>
      <c r="C445" s="180"/>
      <c r="D445" s="180"/>
      <c r="E445" s="80"/>
      <c r="F445" s="140" t="str">
        <f t="shared" si="36"/>
        <v/>
      </c>
      <c r="G445" s="147" t="str">
        <f t="shared" si="37"/>
        <v/>
      </c>
    </row>
    <row r="446" spans="2:7" x14ac:dyDescent="0.2">
      <c r="B446" s="146" t="str">
        <f t="shared" si="35"/>
        <v/>
      </c>
      <c r="C446" s="180"/>
      <c r="D446" s="180"/>
      <c r="E446" s="80"/>
      <c r="F446" s="140" t="str">
        <f t="shared" si="36"/>
        <v/>
      </c>
      <c r="G446" s="147" t="str">
        <f t="shared" si="37"/>
        <v/>
      </c>
    </row>
    <row r="447" spans="2:7" x14ac:dyDescent="0.2">
      <c r="B447" s="146" t="str">
        <f t="shared" si="35"/>
        <v/>
      </c>
      <c r="C447" s="180"/>
      <c r="D447" s="180"/>
      <c r="E447" s="80"/>
      <c r="F447" s="140" t="str">
        <f t="shared" si="36"/>
        <v/>
      </c>
      <c r="G447" s="147" t="str">
        <f t="shared" si="37"/>
        <v/>
      </c>
    </row>
    <row r="448" spans="2:7" x14ac:dyDescent="0.2">
      <c r="B448" s="146" t="str">
        <f t="shared" si="35"/>
        <v/>
      </c>
      <c r="C448" s="180"/>
      <c r="D448" s="180"/>
      <c r="E448" s="80"/>
      <c r="F448" s="140" t="str">
        <f t="shared" si="36"/>
        <v/>
      </c>
      <c r="G448" s="147" t="str">
        <f t="shared" si="37"/>
        <v/>
      </c>
    </row>
    <row r="449" spans="2:7" x14ac:dyDescent="0.2">
      <c r="B449" s="146" t="str">
        <f t="shared" si="35"/>
        <v/>
      </c>
      <c r="C449" s="180"/>
      <c r="D449" s="180"/>
      <c r="E449" s="80"/>
      <c r="F449" s="140" t="str">
        <f t="shared" si="36"/>
        <v/>
      </c>
      <c r="G449" s="147" t="str">
        <f t="shared" si="37"/>
        <v/>
      </c>
    </row>
    <row r="450" spans="2:7" x14ac:dyDescent="0.2">
      <c r="B450" s="146" t="str">
        <f t="shared" si="35"/>
        <v/>
      </c>
      <c r="C450" s="180"/>
      <c r="D450" s="180"/>
      <c r="E450" s="80"/>
      <c r="F450" s="140" t="str">
        <f t="shared" si="36"/>
        <v/>
      </c>
      <c r="G450" s="147" t="str">
        <f t="shared" si="37"/>
        <v/>
      </c>
    </row>
    <row r="451" spans="2:7" x14ac:dyDescent="0.2">
      <c r="B451" s="146" t="str">
        <f t="shared" si="35"/>
        <v/>
      </c>
      <c r="C451" s="180"/>
      <c r="D451" s="180"/>
      <c r="E451" s="80"/>
      <c r="F451" s="140" t="str">
        <f t="shared" si="36"/>
        <v/>
      </c>
      <c r="G451" s="147" t="str">
        <f t="shared" si="37"/>
        <v/>
      </c>
    </row>
    <row r="452" spans="2:7" x14ac:dyDescent="0.2">
      <c r="B452" s="146" t="str">
        <f t="shared" si="35"/>
        <v/>
      </c>
      <c r="C452" s="180"/>
      <c r="D452" s="180"/>
      <c r="E452" s="80"/>
      <c r="F452" s="140" t="str">
        <f t="shared" si="36"/>
        <v/>
      </c>
      <c r="G452" s="147" t="str">
        <f t="shared" si="37"/>
        <v/>
      </c>
    </row>
    <row r="453" spans="2:7" x14ac:dyDescent="0.2">
      <c r="B453" s="146" t="str">
        <f t="shared" si="35"/>
        <v/>
      </c>
      <c r="C453" s="180"/>
      <c r="D453" s="180"/>
      <c r="E453" s="80"/>
      <c r="F453" s="140" t="str">
        <f t="shared" si="36"/>
        <v/>
      </c>
      <c r="G453" s="147" t="str">
        <f t="shared" si="37"/>
        <v/>
      </c>
    </row>
    <row r="454" spans="2:7" x14ac:dyDescent="0.2">
      <c r="B454" s="146" t="str">
        <f t="shared" si="35"/>
        <v/>
      </c>
      <c r="C454" s="180"/>
      <c r="D454" s="180"/>
      <c r="E454" s="80"/>
      <c r="F454" s="140" t="str">
        <f t="shared" si="36"/>
        <v/>
      </c>
      <c r="G454" s="147" t="str">
        <f t="shared" si="37"/>
        <v/>
      </c>
    </row>
    <row r="455" spans="2:7" x14ac:dyDescent="0.2">
      <c r="B455" s="146" t="str">
        <f t="shared" si="35"/>
        <v/>
      </c>
      <c r="C455" s="180"/>
      <c r="D455" s="180"/>
      <c r="E455" s="80"/>
      <c r="F455" s="140" t="str">
        <f t="shared" si="36"/>
        <v/>
      </c>
      <c r="G455" s="147" t="str">
        <f t="shared" si="37"/>
        <v/>
      </c>
    </row>
    <row r="456" spans="2:7" x14ac:dyDescent="0.2">
      <c r="B456" s="146" t="str">
        <f t="shared" si="35"/>
        <v/>
      </c>
      <c r="C456" s="180"/>
      <c r="D456" s="180"/>
      <c r="E456" s="80"/>
      <c r="F456" s="140" t="str">
        <f t="shared" si="36"/>
        <v/>
      </c>
      <c r="G456" s="147" t="str">
        <f t="shared" si="37"/>
        <v/>
      </c>
    </row>
    <row r="457" spans="2:7" x14ac:dyDescent="0.2">
      <c r="B457" s="146" t="str">
        <f t="shared" si="35"/>
        <v/>
      </c>
      <c r="C457" s="180"/>
      <c r="D457" s="180"/>
      <c r="E457" s="80"/>
      <c r="F457" s="140" t="str">
        <f t="shared" si="36"/>
        <v/>
      </c>
      <c r="G457" s="147" t="str">
        <f t="shared" si="37"/>
        <v/>
      </c>
    </row>
    <row r="458" spans="2:7" x14ac:dyDescent="0.2">
      <c r="B458" s="146" t="str">
        <f t="shared" si="35"/>
        <v/>
      </c>
      <c r="C458" s="180"/>
      <c r="D458" s="180"/>
      <c r="E458" s="80"/>
      <c r="F458" s="140" t="str">
        <f t="shared" si="36"/>
        <v/>
      </c>
      <c r="G458" s="147" t="str">
        <f t="shared" si="37"/>
        <v/>
      </c>
    </row>
    <row r="459" spans="2:7" x14ac:dyDescent="0.2">
      <c r="B459" s="146" t="str">
        <f t="shared" si="35"/>
        <v/>
      </c>
      <c r="C459" s="180"/>
      <c r="D459" s="180"/>
      <c r="E459" s="80"/>
      <c r="F459" s="140" t="str">
        <f t="shared" si="36"/>
        <v/>
      </c>
      <c r="G459" s="147" t="str">
        <f t="shared" si="37"/>
        <v/>
      </c>
    </row>
    <row r="460" spans="2:7" x14ac:dyDescent="0.2">
      <c r="B460" s="146" t="str">
        <f t="shared" si="35"/>
        <v/>
      </c>
      <c r="C460" s="180"/>
      <c r="D460" s="180"/>
      <c r="E460" s="80"/>
      <c r="F460" s="140" t="str">
        <f t="shared" si="36"/>
        <v/>
      </c>
      <c r="G460" s="147" t="str">
        <f t="shared" si="37"/>
        <v/>
      </c>
    </row>
    <row r="461" spans="2:7" x14ac:dyDescent="0.2">
      <c r="B461" s="146" t="str">
        <f t="shared" si="35"/>
        <v/>
      </c>
      <c r="C461" s="180"/>
      <c r="D461" s="180"/>
      <c r="E461" s="80"/>
      <c r="F461" s="140" t="str">
        <f t="shared" si="36"/>
        <v/>
      </c>
      <c r="G461" s="147" t="str">
        <f t="shared" si="37"/>
        <v/>
      </c>
    </row>
    <row r="462" spans="2:7" x14ac:dyDescent="0.2">
      <c r="B462" s="146" t="str">
        <f t="shared" si="35"/>
        <v/>
      </c>
      <c r="C462" s="180"/>
      <c r="D462" s="180"/>
      <c r="E462" s="80"/>
      <c r="F462" s="140" t="str">
        <f t="shared" si="36"/>
        <v/>
      </c>
      <c r="G462" s="147" t="str">
        <f t="shared" si="37"/>
        <v/>
      </c>
    </row>
    <row r="463" spans="2:7" x14ac:dyDescent="0.2">
      <c r="B463" s="146" t="str">
        <f t="shared" si="35"/>
        <v/>
      </c>
      <c r="C463" s="180"/>
      <c r="D463" s="180"/>
      <c r="E463" s="80"/>
      <c r="F463" s="140" t="str">
        <f t="shared" si="36"/>
        <v/>
      </c>
      <c r="G463" s="147" t="str">
        <f t="shared" si="37"/>
        <v/>
      </c>
    </row>
    <row r="464" spans="2:7" x14ac:dyDescent="0.2">
      <c r="B464" s="146" t="str">
        <f t="shared" si="35"/>
        <v/>
      </c>
      <c r="C464" s="180"/>
      <c r="D464" s="180"/>
      <c r="E464" s="80"/>
      <c r="F464" s="140" t="str">
        <f t="shared" si="36"/>
        <v/>
      </c>
      <c r="G464" s="147" t="str">
        <f t="shared" si="37"/>
        <v/>
      </c>
    </row>
    <row r="465" spans="2:7" x14ac:dyDescent="0.2">
      <c r="B465" s="146" t="str">
        <f t="shared" si="35"/>
        <v/>
      </c>
      <c r="C465" s="180"/>
      <c r="D465" s="180"/>
      <c r="E465" s="80"/>
      <c r="F465" s="140" t="str">
        <f t="shared" si="36"/>
        <v/>
      </c>
      <c r="G465" s="147" t="str">
        <f t="shared" si="37"/>
        <v/>
      </c>
    </row>
    <row r="466" spans="2:7" x14ac:dyDescent="0.2">
      <c r="B466" s="146" t="str">
        <f t="shared" si="35"/>
        <v/>
      </c>
      <c r="C466" s="180"/>
      <c r="D466" s="180"/>
      <c r="E466" s="80"/>
      <c r="F466" s="140" t="str">
        <f t="shared" si="36"/>
        <v/>
      </c>
      <c r="G466" s="147" t="str">
        <f t="shared" si="37"/>
        <v/>
      </c>
    </row>
    <row r="467" spans="2:7" x14ac:dyDescent="0.2">
      <c r="B467" s="146" t="str">
        <f t="shared" si="35"/>
        <v/>
      </c>
      <c r="C467" s="180"/>
      <c r="D467" s="180"/>
      <c r="E467" s="80"/>
      <c r="F467" s="140" t="str">
        <f t="shared" si="36"/>
        <v/>
      </c>
      <c r="G467" s="147" t="str">
        <f t="shared" si="37"/>
        <v/>
      </c>
    </row>
    <row r="468" spans="2:7" x14ac:dyDescent="0.2">
      <c r="B468" s="146" t="str">
        <f t="shared" si="35"/>
        <v/>
      </c>
      <c r="C468" s="180"/>
      <c r="D468" s="180"/>
      <c r="E468" s="80"/>
      <c r="F468" s="140" t="str">
        <f t="shared" si="36"/>
        <v/>
      </c>
      <c r="G468" s="147" t="str">
        <f t="shared" si="37"/>
        <v/>
      </c>
    </row>
    <row r="469" spans="2:7" x14ac:dyDescent="0.2">
      <c r="B469" s="146" t="str">
        <f t="shared" si="35"/>
        <v/>
      </c>
      <c r="C469" s="180"/>
      <c r="D469" s="180"/>
      <c r="E469" s="80"/>
      <c r="F469" s="140" t="str">
        <f t="shared" si="36"/>
        <v/>
      </c>
      <c r="G469" s="147" t="str">
        <f t="shared" si="37"/>
        <v/>
      </c>
    </row>
    <row r="470" spans="2:7" x14ac:dyDescent="0.2">
      <c r="B470" s="146" t="str">
        <f t="shared" si="35"/>
        <v/>
      </c>
      <c r="C470" s="180"/>
      <c r="D470" s="180"/>
      <c r="E470" s="80"/>
      <c r="F470" s="140" t="str">
        <f t="shared" si="36"/>
        <v/>
      </c>
      <c r="G470" s="147" t="str">
        <f t="shared" si="37"/>
        <v/>
      </c>
    </row>
    <row r="471" spans="2:7" x14ac:dyDescent="0.2">
      <c r="B471" s="146" t="str">
        <f t="shared" si="35"/>
        <v/>
      </c>
      <c r="C471" s="180"/>
      <c r="D471" s="180"/>
      <c r="E471" s="80"/>
      <c r="F471" s="140" t="str">
        <f t="shared" si="36"/>
        <v/>
      </c>
      <c r="G471" s="147" t="str">
        <f t="shared" si="37"/>
        <v/>
      </c>
    </row>
    <row r="472" spans="2:7" x14ac:dyDescent="0.2">
      <c r="B472" s="146" t="str">
        <f t="shared" si="35"/>
        <v/>
      </c>
      <c r="C472" s="180"/>
      <c r="D472" s="180"/>
      <c r="E472" s="80"/>
      <c r="F472" s="140" t="str">
        <f t="shared" si="36"/>
        <v/>
      </c>
      <c r="G472" s="147" t="str">
        <f t="shared" si="37"/>
        <v/>
      </c>
    </row>
    <row r="473" spans="2:7" x14ac:dyDescent="0.2">
      <c r="B473" s="146" t="str">
        <f t="shared" si="35"/>
        <v/>
      </c>
      <c r="C473" s="180"/>
      <c r="D473" s="180"/>
      <c r="E473" s="80"/>
      <c r="F473" s="140" t="str">
        <f t="shared" si="36"/>
        <v/>
      </c>
      <c r="G473" s="147" t="str">
        <f t="shared" si="37"/>
        <v/>
      </c>
    </row>
    <row r="474" spans="2:7" x14ac:dyDescent="0.2">
      <c r="B474" s="146" t="str">
        <f t="shared" si="35"/>
        <v/>
      </c>
      <c r="C474" s="180"/>
      <c r="D474" s="180"/>
      <c r="E474" s="80"/>
      <c r="F474" s="140" t="str">
        <f t="shared" si="36"/>
        <v/>
      </c>
      <c r="G474" s="147" t="str">
        <f t="shared" si="37"/>
        <v/>
      </c>
    </row>
    <row r="475" spans="2:7" x14ac:dyDescent="0.2">
      <c r="B475" s="146" t="str">
        <f t="shared" si="35"/>
        <v/>
      </c>
      <c r="C475" s="180"/>
      <c r="D475" s="180"/>
      <c r="E475" s="80"/>
      <c r="F475" s="140" t="str">
        <f t="shared" si="36"/>
        <v/>
      </c>
      <c r="G475" s="147" t="str">
        <f t="shared" si="37"/>
        <v/>
      </c>
    </row>
    <row r="476" spans="2:7" x14ac:dyDescent="0.2">
      <c r="B476" s="146" t="str">
        <f t="shared" si="35"/>
        <v/>
      </c>
      <c r="C476" s="180"/>
      <c r="D476" s="180"/>
      <c r="E476" s="80"/>
      <c r="F476" s="140" t="str">
        <f t="shared" si="36"/>
        <v/>
      </c>
      <c r="G476" s="147" t="str">
        <f t="shared" si="37"/>
        <v/>
      </c>
    </row>
    <row r="477" spans="2:7" x14ac:dyDescent="0.2">
      <c r="B477" s="146" t="str">
        <f t="shared" si="35"/>
        <v/>
      </c>
      <c r="C477" s="180"/>
      <c r="D477" s="180"/>
      <c r="E477" s="80"/>
      <c r="F477" s="140" t="str">
        <f t="shared" si="36"/>
        <v/>
      </c>
      <c r="G477" s="147" t="str">
        <f t="shared" si="37"/>
        <v/>
      </c>
    </row>
    <row r="478" spans="2:7" x14ac:dyDescent="0.2">
      <c r="B478" s="146" t="str">
        <f t="shared" si="35"/>
        <v/>
      </c>
      <c r="C478" s="180"/>
      <c r="D478" s="180"/>
      <c r="E478" s="80"/>
      <c r="F478" s="140" t="str">
        <f t="shared" si="36"/>
        <v/>
      </c>
      <c r="G478" s="147" t="str">
        <f t="shared" si="37"/>
        <v/>
      </c>
    </row>
    <row r="479" spans="2:7" x14ac:dyDescent="0.2">
      <c r="B479" s="146" t="str">
        <f t="shared" si="35"/>
        <v/>
      </c>
      <c r="C479" s="180"/>
      <c r="D479" s="180"/>
      <c r="E479" s="80"/>
      <c r="F479" s="140" t="str">
        <f t="shared" si="36"/>
        <v/>
      </c>
      <c r="G479" s="147" t="str">
        <f t="shared" si="37"/>
        <v/>
      </c>
    </row>
    <row r="480" spans="2:7" x14ac:dyDescent="0.2">
      <c r="B480" s="146" t="str">
        <f t="shared" si="35"/>
        <v/>
      </c>
      <c r="C480" s="180"/>
      <c r="D480" s="180"/>
      <c r="E480" s="80"/>
      <c r="F480" s="140" t="str">
        <f t="shared" si="36"/>
        <v/>
      </c>
      <c r="G480" s="147" t="str">
        <f t="shared" si="37"/>
        <v/>
      </c>
    </row>
    <row r="481" spans="2:7" x14ac:dyDescent="0.2">
      <c r="B481" s="146" t="str">
        <f t="shared" si="35"/>
        <v/>
      </c>
      <c r="C481" s="180"/>
      <c r="D481" s="180"/>
      <c r="E481" s="80"/>
      <c r="F481" s="140" t="str">
        <f t="shared" si="36"/>
        <v/>
      </c>
      <c r="G481" s="147" t="str">
        <f t="shared" si="37"/>
        <v/>
      </c>
    </row>
    <row r="482" spans="2:7" x14ac:dyDescent="0.2">
      <c r="B482" s="146" t="str">
        <f t="shared" si="35"/>
        <v/>
      </c>
      <c r="C482" s="180"/>
      <c r="D482" s="180"/>
      <c r="E482" s="80"/>
      <c r="F482" s="140" t="str">
        <f t="shared" si="36"/>
        <v/>
      </c>
      <c r="G482" s="147" t="str">
        <f t="shared" si="37"/>
        <v/>
      </c>
    </row>
    <row r="483" spans="2:7" x14ac:dyDescent="0.2">
      <c r="B483" s="146" t="str">
        <f t="shared" si="35"/>
        <v/>
      </c>
      <c r="C483" s="180"/>
      <c r="D483" s="180"/>
      <c r="E483" s="80"/>
      <c r="F483" s="140" t="str">
        <f t="shared" si="36"/>
        <v/>
      </c>
      <c r="G483" s="147" t="str">
        <f t="shared" si="37"/>
        <v/>
      </c>
    </row>
    <row r="484" spans="2:7" x14ac:dyDescent="0.2">
      <c r="B484" s="146" t="str">
        <f t="shared" si="35"/>
        <v/>
      </c>
      <c r="C484" s="180"/>
      <c r="D484" s="180"/>
      <c r="E484" s="80"/>
      <c r="F484" s="140" t="str">
        <f t="shared" si="36"/>
        <v/>
      </c>
      <c r="G484" s="147" t="str">
        <f t="shared" si="37"/>
        <v/>
      </c>
    </row>
    <row r="485" spans="2:7" x14ac:dyDescent="0.2">
      <c r="B485" s="146" t="str">
        <f t="shared" si="35"/>
        <v/>
      </c>
      <c r="C485" s="180"/>
      <c r="D485" s="180"/>
      <c r="E485" s="80"/>
      <c r="F485" s="140" t="str">
        <f t="shared" si="36"/>
        <v/>
      </c>
      <c r="G485" s="147" t="str">
        <f t="shared" si="37"/>
        <v/>
      </c>
    </row>
    <row r="486" spans="2:7" x14ac:dyDescent="0.2">
      <c r="B486" s="146" t="str">
        <f t="shared" si="35"/>
        <v/>
      </c>
      <c r="C486" s="180"/>
      <c r="D486" s="180"/>
      <c r="E486" s="80"/>
      <c r="F486" s="140" t="str">
        <f t="shared" si="36"/>
        <v/>
      </c>
      <c r="G486" s="147" t="str">
        <f t="shared" si="37"/>
        <v/>
      </c>
    </row>
    <row r="487" spans="2:7" x14ac:dyDescent="0.2">
      <c r="B487" s="146" t="str">
        <f t="shared" si="35"/>
        <v/>
      </c>
      <c r="C487" s="180"/>
      <c r="D487" s="180"/>
      <c r="E487" s="80"/>
      <c r="F487" s="140" t="str">
        <f t="shared" si="36"/>
        <v/>
      </c>
      <c r="G487" s="147" t="str">
        <f t="shared" si="37"/>
        <v/>
      </c>
    </row>
    <row r="488" spans="2:7" x14ac:dyDescent="0.2">
      <c r="B488" s="146" t="str">
        <f t="shared" si="35"/>
        <v/>
      </c>
      <c r="C488" s="180"/>
      <c r="D488" s="180"/>
      <c r="E488" s="80"/>
      <c r="F488" s="140" t="str">
        <f t="shared" si="36"/>
        <v/>
      </c>
      <c r="G488" s="147" t="str">
        <f t="shared" si="37"/>
        <v/>
      </c>
    </row>
    <row r="489" spans="2:7" x14ac:dyDescent="0.2">
      <c r="B489" s="146" t="str">
        <f t="shared" si="35"/>
        <v/>
      </c>
      <c r="C489" s="180"/>
      <c r="D489" s="180"/>
      <c r="E489" s="80"/>
      <c r="F489" s="140" t="str">
        <f t="shared" si="36"/>
        <v/>
      </c>
      <c r="G489" s="147" t="str">
        <f t="shared" si="37"/>
        <v/>
      </c>
    </row>
    <row r="490" spans="2:7" x14ac:dyDescent="0.2">
      <c r="B490" s="146" t="str">
        <f t="shared" si="35"/>
        <v/>
      </c>
      <c r="C490" s="180"/>
      <c r="D490" s="180"/>
      <c r="E490" s="80"/>
      <c r="F490" s="140" t="str">
        <f t="shared" si="36"/>
        <v/>
      </c>
      <c r="G490" s="147" t="str">
        <f t="shared" si="37"/>
        <v/>
      </c>
    </row>
    <row r="491" spans="2:7" x14ac:dyDescent="0.2">
      <c r="B491" s="146" t="str">
        <f t="shared" si="35"/>
        <v/>
      </c>
      <c r="C491" s="180"/>
      <c r="D491" s="180"/>
      <c r="E491" s="80"/>
      <c r="F491" s="140" t="str">
        <f t="shared" si="36"/>
        <v/>
      </c>
      <c r="G491" s="147" t="str">
        <f t="shared" si="37"/>
        <v/>
      </c>
    </row>
    <row r="492" spans="2:7" x14ac:dyDescent="0.2">
      <c r="B492" s="146" t="str">
        <f t="shared" si="35"/>
        <v/>
      </c>
      <c r="C492" s="180"/>
      <c r="D492" s="180"/>
      <c r="E492" s="80"/>
      <c r="F492" s="140" t="str">
        <f t="shared" si="36"/>
        <v/>
      </c>
      <c r="G492" s="147" t="str">
        <f t="shared" si="37"/>
        <v/>
      </c>
    </row>
    <row r="493" spans="2:7" x14ac:dyDescent="0.2">
      <c r="B493" s="146" t="str">
        <f t="shared" si="35"/>
        <v/>
      </c>
      <c r="C493" s="180"/>
      <c r="D493" s="180"/>
      <c r="E493" s="80"/>
      <c r="F493" s="140" t="str">
        <f t="shared" si="36"/>
        <v/>
      </c>
      <c r="G493" s="147" t="str">
        <f t="shared" si="37"/>
        <v/>
      </c>
    </row>
    <row r="494" spans="2:7" x14ac:dyDescent="0.2">
      <c r="B494" s="146" t="str">
        <f t="shared" si="35"/>
        <v/>
      </c>
      <c r="C494" s="180"/>
      <c r="D494" s="180"/>
      <c r="E494" s="80"/>
      <c r="F494" s="140" t="str">
        <f t="shared" si="36"/>
        <v/>
      </c>
      <c r="G494" s="147" t="str">
        <f t="shared" si="37"/>
        <v/>
      </c>
    </row>
    <row r="495" spans="2:7" x14ac:dyDescent="0.2">
      <c r="B495" s="146" t="str">
        <f t="shared" si="35"/>
        <v/>
      </c>
      <c r="C495" s="180"/>
      <c r="D495" s="180"/>
      <c r="E495" s="80"/>
      <c r="F495" s="140" t="str">
        <f t="shared" si="36"/>
        <v/>
      </c>
      <c r="G495" s="147" t="str">
        <f t="shared" si="37"/>
        <v/>
      </c>
    </row>
    <row r="496" spans="2:7" x14ac:dyDescent="0.2">
      <c r="B496" s="146" t="str">
        <f t="shared" si="35"/>
        <v/>
      </c>
      <c r="C496" s="180"/>
      <c r="D496" s="180"/>
      <c r="E496" s="80"/>
      <c r="F496" s="140" t="str">
        <f t="shared" si="36"/>
        <v/>
      </c>
      <c r="G496" s="147" t="str">
        <f t="shared" si="37"/>
        <v/>
      </c>
    </row>
    <row r="497" spans="2:7" x14ac:dyDescent="0.2">
      <c r="B497" s="146" t="str">
        <f t="shared" si="35"/>
        <v/>
      </c>
      <c r="C497" s="180"/>
      <c r="D497" s="180"/>
      <c r="E497" s="80"/>
      <c r="F497" s="140" t="str">
        <f t="shared" si="36"/>
        <v/>
      </c>
      <c r="G497" s="147" t="str">
        <f t="shared" si="37"/>
        <v/>
      </c>
    </row>
    <row r="498" spans="2:7" x14ac:dyDescent="0.2">
      <c r="B498" s="146" t="str">
        <f t="shared" ref="B498:B561" si="38">IF(C498="","",VLOOKUP(C498,ユニット判定用,3))</f>
        <v/>
      </c>
      <c r="C498" s="180"/>
      <c r="D498" s="180"/>
      <c r="E498" s="80"/>
      <c r="F498" s="140" t="str">
        <f t="shared" ref="F498:F561" si="39">IF(C498="","",MROUND(D498-C498,"00:01"))</f>
        <v/>
      </c>
      <c r="G498" s="147" t="str">
        <f t="shared" ref="G498:G561" si="40">IF(C498="","",VLOOKUP(C498,施設運転・利用調整時間判定,5,1))</f>
        <v/>
      </c>
    </row>
    <row r="499" spans="2:7" x14ac:dyDescent="0.2">
      <c r="B499" s="146" t="str">
        <f t="shared" si="38"/>
        <v/>
      </c>
      <c r="C499" s="180"/>
      <c r="D499" s="180"/>
      <c r="E499" s="80"/>
      <c r="F499" s="140" t="str">
        <f t="shared" si="39"/>
        <v/>
      </c>
      <c r="G499" s="147" t="str">
        <f t="shared" si="40"/>
        <v/>
      </c>
    </row>
    <row r="500" spans="2:7" x14ac:dyDescent="0.2">
      <c r="B500" s="146" t="str">
        <f t="shared" si="38"/>
        <v/>
      </c>
      <c r="C500" s="180"/>
      <c r="D500" s="180"/>
      <c r="E500" s="80"/>
      <c r="F500" s="140" t="str">
        <f t="shared" si="39"/>
        <v/>
      </c>
      <c r="G500" s="147" t="str">
        <f t="shared" si="40"/>
        <v/>
      </c>
    </row>
    <row r="501" spans="2:7" x14ac:dyDescent="0.2">
      <c r="B501" s="146" t="str">
        <f t="shared" si="38"/>
        <v/>
      </c>
      <c r="C501" s="180"/>
      <c r="D501" s="180"/>
      <c r="E501" s="80"/>
      <c r="F501" s="140" t="str">
        <f t="shared" si="39"/>
        <v/>
      </c>
      <c r="G501" s="147" t="str">
        <f t="shared" si="40"/>
        <v/>
      </c>
    </row>
    <row r="502" spans="2:7" x14ac:dyDescent="0.2">
      <c r="B502" s="146" t="str">
        <f t="shared" si="38"/>
        <v/>
      </c>
      <c r="C502" s="180"/>
      <c r="D502" s="180"/>
      <c r="E502" s="80"/>
      <c r="F502" s="140" t="str">
        <f t="shared" si="39"/>
        <v/>
      </c>
      <c r="G502" s="147" t="str">
        <f t="shared" si="40"/>
        <v/>
      </c>
    </row>
    <row r="503" spans="2:7" x14ac:dyDescent="0.2">
      <c r="B503" s="146" t="str">
        <f t="shared" si="38"/>
        <v/>
      </c>
      <c r="C503" s="180"/>
      <c r="D503" s="180"/>
      <c r="E503" s="80"/>
      <c r="F503" s="140" t="str">
        <f t="shared" si="39"/>
        <v/>
      </c>
      <c r="G503" s="147" t="str">
        <f t="shared" si="40"/>
        <v/>
      </c>
    </row>
    <row r="504" spans="2:7" x14ac:dyDescent="0.2">
      <c r="B504" s="146" t="str">
        <f t="shared" si="38"/>
        <v/>
      </c>
      <c r="C504" s="180"/>
      <c r="D504" s="180"/>
      <c r="E504" s="80"/>
      <c r="F504" s="140" t="str">
        <f t="shared" si="39"/>
        <v/>
      </c>
      <c r="G504" s="147" t="str">
        <f t="shared" si="40"/>
        <v/>
      </c>
    </row>
    <row r="505" spans="2:7" x14ac:dyDescent="0.2">
      <c r="B505" s="146" t="str">
        <f t="shared" si="38"/>
        <v/>
      </c>
      <c r="C505" s="180"/>
      <c r="D505" s="180"/>
      <c r="E505" s="80"/>
      <c r="F505" s="140" t="str">
        <f t="shared" si="39"/>
        <v/>
      </c>
      <c r="G505" s="147" t="str">
        <f t="shared" si="40"/>
        <v/>
      </c>
    </row>
    <row r="506" spans="2:7" x14ac:dyDescent="0.2">
      <c r="B506" s="146" t="str">
        <f t="shared" si="38"/>
        <v/>
      </c>
      <c r="C506" s="180"/>
      <c r="D506" s="180"/>
      <c r="E506" s="80"/>
      <c r="F506" s="140" t="str">
        <f t="shared" si="39"/>
        <v/>
      </c>
      <c r="G506" s="147" t="str">
        <f t="shared" si="40"/>
        <v/>
      </c>
    </row>
    <row r="507" spans="2:7" x14ac:dyDescent="0.2">
      <c r="B507" s="146" t="str">
        <f t="shared" si="38"/>
        <v/>
      </c>
      <c r="C507" s="180"/>
      <c r="D507" s="180"/>
      <c r="E507" s="80"/>
      <c r="F507" s="140" t="str">
        <f t="shared" si="39"/>
        <v/>
      </c>
      <c r="G507" s="147" t="str">
        <f t="shared" si="40"/>
        <v/>
      </c>
    </row>
    <row r="508" spans="2:7" x14ac:dyDescent="0.2">
      <c r="B508" s="146" t="str">
        <f t="shared" si="38"/>
        <v/>
      </c>
      <c r="C508" s="180"/>
      <c r="D508" s="180"/>
      <c r="E508" s="80"/>
      <c r="F508" s="140" t="str">
        <f t="shared" si="39"/>
        <v/>
      </c>
      <c r="G508" s="147" t="str">
        <f t="shared" si="40"/>
        <v/>
      </c>
    </row>
    <row r="509" spans="2:7" x14ac:dyDescent="0.2">
      <c r="B509" s="146" t="str">
        <f t="shared" si="38"/>
        <v/>
      </c>
      <c r="C509" s="180"/>
      <c r="D509" s="180"/>
      <c r="E509" s="80"/>
      <c r="F509" s="140" t="str">
        <f t="shared" si="39"/>
        <v/>
      </c>
      <c r="G509" s="147" t="str">
        <f t="shared" si="40"/>
        <v/>
      </c>
    </row>
    <row r="510" spans="2:7" x14ac:dyDescent="0.2">
      <c r="B510" s="146" t="str">
        <f t="shared" si="38"/>
        <v/>
      </c>
      <c r="C510" s="180"/>
      <c r="D510" s="180"/>
      <c r="E510" s="80"/>
      <c r="F510" s="140" t="str">
        <f t="shared" si="39"/>
        <v/>
      </c>
      <c r="G510" s="147" t="str">
        <f t="shared" si="40"/>
        <v/>
      </c>
    </row>
    <row r="511" spans="2:7" x14ac:dyDescent="0.2">
      <c r="B511" s="146" t="str">
        <f t="shared" si="38"/>
        <v/>
      </c>
      <c r="C511" s="180"/>
      <c r="D511" s="180"/>
      <c r="E511" s="80"/>
      <c r="F511" s="140" t="str">
        <f t="shared" si="39"/>
        <v/>
      </c>
      <c r="G511" s="147" t="str">
        <f t="shared" si="40"/>
        <v/>
      </c>
    </row>
    <row r="512" spans="2:7" x14ac:dyDescent="0.2">
      <c r="B512" s="146" t="str">
        <f t="shared" si="38"/>
        <v/>
      </c>
      <c r="C512" s="180"/>
      <c r="D512" s="180"/>
      <c r="E512" s="80"/>
      <c r="F512" s="140" t="str">
        <f t="shared" si="39"/>
        <v/>
      </c>
      <c r="G512" s="147" t="str">
        <f t="shared" si="40"/>
        <v/>
      </c>
    </row>
    <row r="513" spans="2:7" x14ac:dyDescent="0.2">
      <c r="B513" s="146" t="str">
        <f t="shared" si="38"/>
        <v/>
      </c>
      <c r="C513" s="180"/>
      <c r="D513" s="180"/>
      <c r="E513" s="80"/>
      <c r="F513" s="140" t="str">
        <f t="shared" si="39"/>
        <v/>
      </c>
      <c r="G513" s="147" t="str">
        <f t="shared" si="40"/>
        <v/>
      </c>
    </row>
    <row r="514" spans="2:7" x14ac:dyDescent="0.2">
      <c r="B514" s="146" t="str">
        <f t="shared" si="38"/>
        <v/>
      </c>
      <c r="C514" s="180"/>
      <c r="D514" s="180"/>
      <c r="E514" s="80"/>
      <c r="F514" s="140" t="str">
        <f t="shared" si="39"/>
        <v/>
      </c>
      <c r="G514" s="147" t="str">
        <f t="shared" si="40"/>
        <v/>
      </c>
    </row>
    <row r="515" spans="2:7" x14ac:dyDescent="0.2">
      <c r="B515" s="146" t="str">
        <f t="shared" si="38"/>
        <v/>
      </c>
      <c r="C515" s="180"/>
      <c r="D515" s="180"/>
      <c r="E515" s="80"/>
      <c r="F515" s="140" t="str">
        <f t="shared" si="39"/>
        <v/>
      </c>
      <c r="G515" s="147" t="str">
        <f t="shared" si="40"/>
        <v/>
      </c>
    </row>
    <row r="516" spans="2:7" x14ac:dyDescent="0.2">
      <c r="B516" s="146" t="str">
        <f t="shared" si="38"/>
        <v/>
      </c>
      <c r="C516" s="180"/>
      <c r="D516" s="180"/>
      <c r="E516" s="80"/>
      <c r="F516" s="140" t="str">
        <f t="shared" si="39"/>
        <v/>
      </c>
      <c r="G516" s="147" t="str">
        <f t="shared" si="40"/>
        <v/>
      </c>
    </row>
    <row r="517" spans="2:7" x14ac:dyDescent="0.2">
      <c r="B517" s="146" t="str">
        <f t="shared" si="38"/>
        <v/>
      </c>
      <c r="C517" s="180"/>
      <c r="D517" s="180"/>
      <c r="E517" s="80"/>
      <c r="F517" s="140" t="str">
        <f t="shared" si="39"/>
        <v/>
      </c>
      <c r="G517" s="147" t="str">
        <f t="shared" si="40"/>
        <v/>
      </c>
    </row>
    <row r="518" spans="2:7" x14ac:dyDescent="0.2">
      <c r="B518" s="146" t="str">
        <f t="shared" si="38"/>
        <v/>
      </c>
      <c r="C518" s="180"/>
      <c r="D518" s="180"/>
      <c r="E518" s="80"/>
      <c r="F518" s="140" t="str">
        <f t="shared" si="39"/>
        <v/>
      </c>
      <c r="G518" s="147" t="str">
        <f t="shared" si="40"/>
        <v/>
      </c>
    </row>
    <row r="519" spans="2:7" x14ac:dyDescent="0.2">
      <c r="B519" s="146" t="str">
        <f t="shared" si="38"/>
        <v/>
      </c>
      <c r="C519" s="180"/>
      <c r="D519" s="180"/>
      <c r="E519" s="80"/>
      <c r="F519" s="140" t="str">
        <f t="shared" si="39"/>
        <v/>
      </c>
      <c r="G519" s="147" t="str">
        <f t="shared" si="40"/>
        <v/>
      </c>
    </row>
    <row r="520" spans="2:7" x14ac:dyDescent="0.2">
      <c r="B520" s="146" t="str">
        <f t="shared" si="38"/>
        <v/>
      </c>
      <c r="C520" s="180"/>
      <c r="D520" s="180"/>
      <c r="E520" s="80"/>
      <c r="F520" s="140" t="str">
        <f t="shared" si="39"/>
        <v/>
      </c>
      <c r="G520" s="147" t="str">
        <f t="shared" si="40"/>
        <v/>
      </c>
    </row>
    <row r="521" spans="2:7" x14ac:dyDescent="0.2">
      <c r="B521" s="146" t="str">
        <f t="shared" si="38"/>
        <v/>
      </c>
      <c r="C521" s="180"/>
      <c r="D521" s="180"/>
      <c r="E521" s="80"/>
      <c r="F521" s="140" t="str">
        <f t="shared" si="39"/>
        <v/>
      </c>
      <c r="G521" s="147" t="str">
        <f t="shared" si="40"/>
        <v/>
      </c>
    </row>
    <row r="522" spans="2:7" x14ac:dyDescent="0.2">
      <c r="B522" s="146" t="str">
        <f t="shared" si="38"/>
        <v/>
      </c>
      <c r="C522" s="180"/>
      <c r="D522" s="180"/>
      <c r="E522" s="80"/>
      <c r="F522" s="140" t="str">
        <f t="shared" si="39"/>
        <v/>
      </c>
      <c r="G522" s="147" t="str">
        <f t="shared" si="40"/>
        <v/>
      </c>
    </row>
    <row r="523" spans="2:7" x14ac:dyDescent="0.2">
      <c r="B523" s="146" t="str">
        <f t="shared" si="38"/>
        <v/>
      </c>
      <c r="C523" s="180"/>
      <c r="D523" s="180"/>
      <c r="E523" s="80"/>
      <c r="F523" s="140" t="str">
        <f t="shared" si="39"/>
        <v/>
      </c>
      <c r="G523" s="147" t="str">
        <f t="shared" si="40"/>
        <v/>
      </c>
    </row>
    <row r="524" spans="2:7" x14ac:dyDescent="0.2">
      <c r="B524" s="146" t="str">
        <f t="shared" si="38"/>
        <v/>
      </c>
      <c r="C524" s="180"/>
      <c r="D524" s="180"/>
      <c r="E524" s="80"/>
      <c r="F524" s="140" t="str">
        <f t="shared" si="39"/>
        <v/>
      </c>
      <c r="G524" s="147" t="str">
        <f t="shared" si="40"/>
        <v/>
      </c>
    </row>
    <row r="525" spans="2:7" x14ac:dyDescent="0.2">
      <c r="B525" s="146" t="str">
        <f t="shared" si="38"/>
        <v/>
      </c>
      <c r="C525" s="180"/>
      <c r="D525" s="180"/>
      <c r="E525" s="80"/>
      <c r="F525" s="140" t="str">
        <f t="shared" si="39"/>
        <v/>
      </c>
      <c r="G525" s="147" t="str">
        <f t="shared" si="40"/>
        <v/>
      </c>
    </row>
    <row r="526" spans="2:7" x14ac:dyDescent="0.2">
      <c r="B526" s="146" t="str">
        <f t="shared" si="38"/>
        <v/>
      </c>
      <c r="C526" s="180"/>
      <c r="D526" s="180"/>
      <c r="E526" s="80"/>
      <c r="F526" s="140" t="str">
        <f t="shared" si="39"/>
        <v/>
      </c>
      <c r="G526" s="147" t="str">
        <f t="shared" si="40"/>
        <v/>
      </c>
    </row>
    <row r="527" spans="2:7" x14ac:dyDescent="0.2">
      <c r="B527" s="146" t="str">
        <f t="shared" si="38"/>
        <v/>
      </c>
      <c r="C527" s="180"/>
      <c r="D527" s="180"/>
      <c r="E527" s="80"/>
      <c r="F527" s="140" t="str">
        <f t="shared" si="39"/>
        <v/>
      </c>
      <c r="G527" s="147" t="str">
        <f t="shared" si="40"/>
        <v/>
      </c>
    </row>
    <row r="528" spans="2:7" x14ac:dyDescent="0.2">
      <c r="B528" s="146" t="str">
        <f t="shared" si="38"/>
        <v/>
      </c>
      <c r="C528" s="180"/>
      <c r="D528" s="180"/>
      <c r="E528" s="80"/>
      <c r="F528" s="140" t="str">
        <f t="shared" si="39"/>
        <v/>
      </c>
      <c r="G528" s="147" t="str">
        <f t="shared" si="40"/>
        <v/>
      </c>
    </row>
    <row r="529" spans="2:7" x14ac:dyDescent="0.2">
      <c r="B529" s="146" t="str">
        <f t="shared" si="38"/>
        <v/>
      </c>
      <c r="C529" s="180"/>
      <c r="D529" s="180"/>
      <c r="E529" s="80"/>
      <c r="F529" s="140" t="str">
        <f t="shared" si="39"/>
        <v/>
      </c>
      <c r="G529" s="147" t="str">
        <f t="shared" si="40"/>
        <v/>
      </c>
    </row>
    <row r="530" spans="2:7" x14ac:dyDescent="0.2">
      <c r="B530" s="146" t="str">
        <f t="shared" si="38"/>
        <v/>
      </c>
      <c r="C530" s="180"/>
      <c r="D530" s="180"/>
      <c r="E530" s="80"/>
      <c r="F530" s="140" t="str">
        <f t="shared" si="39"/>
        <v/>
      </c>
      <c r="G530" s="147" t="str">
        <f t="shared" si="40"/>
        <v/>
      </c>
    </row>
    <row r="531" spans="2:7" x14ac:dyDescent="0.2">
      <c r="B531" s="146" t="str">
        <f t="shared" si="38"/>
        <v/>
      </c>
      <c r="C531" s="180"/>
      <c r="D531" s="180"/>
      <c r="E531" s="80"/>
      <c r="F531" s="140" t="str">
        <f t="shared" si="39"/>
        <v/>
      </c>
      <c r="G531" s="147" t="str">
        <f t="shared" si="40"/>
        <v/>
      </c>
    </row>
    <row r="532" spans="2:7" x14ac:dyDescent="0.2">
      <c r="B532" s="146" t="str">
        <f t="shared" si="38"/>
        <v/>
      </c>
      <c r="C532" s="180"/>
      <c r="D532" s="180"/>
      <c r="E532" s="80"/>
      <c r="F532" s="140" t="str">
        <f t="shared" si="39"/>
        <v/>
      </c>
      <c r="G532" s="147" t="str">
        <f t="shared" si="40"/>
        <v/>
      </c>
    </row>
    <row r="533" spans="2:7" x14ac:dyDescent="0.2">
      <c r="B533" s="146" t="str">
        <f t="shared" si="38"/>
        <v/>
      </c>
      <c r="C533" s="180"/>
      <c r="D533" s="180"/>
      <c r="E533" s="80"/>
      <c r="F533" s="140" t="str">
        <f t="shared" si="39"/>
        <v/>
      </c>
      <c r="G533" s="147" t="str">
        <f t="shared" si="40"/>
        <v/>
      </c>
    </row>
    <row r="534" spans="2:7" x14ac:dyDescent="0.2">
      <c r="B534" s="146" t="str">
        <f t="shared" si="38"/>
        <v/>
      </c>
      <c r="C534" s="180"/>
      <c r="D534" s="180"/>
      <c r="E534" s="80"/>
      <c r="F534" s="140" t="str">
        <f t="shared" si="39"/>
        <v/>
      </c>
      <c r="G534" s="147" t="str">
        <f t="shared" si="40"/>
        <v/>
      </c>
    </row>
    <row r="535" spans="2:7" x14ac:dyDescent="0.2">
      <c r="B535" s="146" t="str">
        <f t="shared" si="38"/>
        <v/>
      </c>
      <c r="C535" s="180"/>
      <c r="D535" s="180"/>
      <c r="E535" s="80"/>
      <c r="F535" s="140" t="str">
        <f t="shared" si="39"/>
        <v/>
      </c>
      <c r="G535" s="147" t="str">
        <f t="shared" si="40"/>
        <v/>
      </c>
    </row>
    <row r="536" spans="2:7" x14ac:dyDescent="0.2">
      <c r="B536" s="146" t="str">
        <f t="shared" si="38"/>
        <v/>
      </c>
      <c r="C536" s="180"/>
      <c r="D536" s="180"/>
      <c r="E536" s="80"/>
      <c r="F536" s="140" t="str">
        <f t="shared" si="39"/>
        <v/>
      </c>
      <c r="G536" s="147" t="str">
        <f t="shared" si="40"/>
        <v/>
      </c>
    </row>
    <row r="537" spans="2:7" x14ac:dyDescent="0.2">
      <c r="B537" s="146" t="str">
        <f t="shared" si="38"/>
        <v/>
      </c>
      <c r="C537" s="180"/>
      <c r="D537" s="180"/>
      <c r="E537" s="80"/>
      <c r="F537" s="140" t="str">
        <f t="shared" si="39"/>
        <v/>
      </c>
      <c r="G537" s="147" t="str">
        <f t="shared" si="40"/>
        <v/>
      </c>
    </row>
    <row r="538" spans="2:7" x14ac:dyDescent="0.2">
      <c r="B538" s="146" t="str">
        <f t="shared" si="38"/>
        <v/>
      </c>
      <c r="C538" s="180"/>
      <c r="D538" s="180"/>
      <c r="E538" s="80"/>
      <c r="F538" s="140" t="str">
        <f t="shared" si="39"/>
        <v/>
      </c>
      <c r="G538" s="147" t="str">
        <f t="shared" si="40"/>
        <v/>
      </c>
    </row>
    <row r="539" spans="2:7" x14ac:dyDescent="0.2">
      <c r="B539" s="146" t="str">
        <f t="shared" si="38"/>
        <v/>
      </c>
      <c r="C539" s="180"/>
      <c r="D539" s="180"/>
      <c r="E539" s="80"/>
      <c r="F539" s="140" t="str">
        <f t="shared" si="39"/>
        <v/>
      </c>
      <c r="G539" s="147" t="str">
        <f t="shared" si="40"/>
        <v/>
      </c>
    </row>
    <row r="540" spans="2:7" x14ac:dyDescent="0.2">
      <c r="B540" s="146" t="str">
        <f t="shared" si="38"/>
        <v/>
      </c>
      <c r="C540" s="180"/>
      <c r="D540" s="180"/>
      <c r="E540" s="80"/>
      <c r="F540" s="140" t="str">
        <f t="shared" si="39"/>
        <v/>
      </c>
      <c r="G540" s="147" t="str">
        <f t="shared" si="40"/>
        <v/>
      </c>
    </row>
    <row r="541" spans="2:7" x14ac:dyDescent="0.2">
      <c r="B541" s="146" t="str">
        <f t="shared" si="38"/>
        <v/>
      </c>
      <c r="C541" s="180"/>
      <c r="D541" s="180"/>
      <c r="E541" s="80"/>
      <c r="F541" s="140" t="str">
        <f t="shared" si="39"/>
        <v/>
      </c>
      <c r="G541" s="147" t="str">
        <f t="shared" si="40"/>
        <v/>
      </c>
    </row>
    <row r="542" spans="2:7" x14ac:dyDescent="0.2">
      <c r="B542" s="146" t="str">
        <f t="shared" si="38"/>
        <v/>
      </c>
      <c r="C542" s="180"/>
      <c r="D542" s="180"/>
      <c r="E542" s="80"/>
      <c r="F542" s="140" t="str">
        <f t="shared" si="39"/>
        <v/>
      </c>
      <c r="G542" s="147" t="str">
        <f t="shared" si="40"/>
        <v/>
      </c>
    </row>
    <row r="543" spans="2:7" x14ac:dyDescent="0.2">
      <c r="B543" s="146" t="str">
        <f t="shared" si="38"/>
        <v/>
      </c>
      <c r="C543" s="180"/>
      <c r="D543" s="180"/>
      <c r="E543" s="80"/>
      <c r="F543" s="140" t="str">
        <f t="shared" si="39"/>
        <v/>
      </c>
      <c r="G543" s="147" t="str">
        <f t="shared" si="40"/>
        <v/>
      </c>
    </row>
    <row r="544" spans="2:7" x14ac:dyDescent="0.2">
      <c r="B544" s="146" t="str">
        <f t="shared" si="38"/>
        <v/>
      </c>
      <c r="C544" s="180"/>
      <c r="D544" s="180"/>
      <c r="E544" s="80"/>
      <c r="F544" s="140" t="str">
        <f t="shared" si="39"/>
        <v/>
      </c>
      <c r="G544" s="147" t="str">
        <f t="shared" si="40"/>
        <v/>
      </c>
    </row>
    <row r="545" spans="2:7" x14ac:dyDescent="0.2">
      <c r="B545" s="146" t="str">
        <f t="shared" si="38"/>
        <v/>
      </c>
      <c r="C545" s="180"/>
      <c r="D545" s="180"/>
      <c r="E545" s="80"/>
      <c r="F545" s="140" t="str">
        <f t="shared" si="39"/>
        <v/>
      </c>
      <c r="G545" s="147" t="str">
        <f t="shared" si="40"/>
        <v/>
      </c>
    </row>
    <row r="546" spans="2:7" x14ac:dyDescent="0.2">
      <c r="B546" s="146" t="str">
        <f t="shared" si="38"/>
        <v/>
      </c>
      <c r="C546" s="180"/>
      <c r="D546" s="180"/>
      <c r="E546" s="80"/>
      <c r="F546" s="140" t="str">
        <f t="shared" si="39"/>
        <v/>
      </c>
      <c r="G546" s="147" t="str">
        <f t="shared" si="40"/>
        <v/>
      </c>
    </row>
    <row r="547" spans="2:7" x14ac:dyDescent="0.2">
      <c r="B547" s="146" t="str">
        <f t="shared" si="38"/>
        <v/>
      </c>
      <c r="C547" s="180"/>
      <c r="D547" s="180"/>
      <c r="E547" s="80"/>
      <c r="F547" s="140" t="str">
        <f t="shared" si="39"/>
        <v/>
      </c>
      <c r="G547" s="147" t="str">
        <f t="shared" si="40"/>
        <v/>
      </c>
    </row>
    <row r="548" spans="2:7" x14ac:dyDescent="0.2">
      <c r="B548" s="146" t="str">
        <f t="shared" si="38"/>
        <v/>
      </c>
      <c r="C548" s="180"/>
      <c r="D548" s="180"/>
      <c r="E548" s="80"/>
      <c r="F548" s="140" t="str">
        <f t="shared" si="39"/>
        <v/>
      </c>
      <c r="G548" s="147" t="str">
        <f t="shared" si="40"/>
        <v/>
      </c>
    </row>
    <row r="549" spans="2:7" x14ac:dyDescent="0.2">
      <c r="B549" s="146" t="str">
        <f t="shared" si="38"/>
        <v/>
      </c>
      <c r="C549" s="180"/>
      <c r="D549" s="180"/>
      <c r="E549" s="80"/>
      <c r="F549" s="140" t="str">
        <f t="shared" si="39"/>
        <v/>
      </c>
      <c r="G549" s="147" t="str">
        <f t="shared" si="40"/>
        <v/>
      </c>
    </row>
    <row r="550" spans="2:7" x14ac:dyDescent="0.2">
      <c r="B550" s="146" t="str">
        <f t="shared" si="38"/>
        <v/>
      </c>
      <c r="C550" s="180"/>
      <c r="D550" s="180"/>
      <c r="E550" s="80"/>
      <c r="F550" s="140" t="str">
        <f t="shared" si="39"/>
        <v/>
      </c>
      <c r="G550" s="147" t="str">
        <f t="shared" si="40"/>
        <v/>
      </c>
    </row>
    <row r="551" spans="2:7" x14ac:dyDescent="0.2">
      <c r="B551" s="146" t="str">
        <f t="shared" si="38"/>
        <v/>
      </c>
      <c r="C551" s="180"/>
      <c r="D551" s="180"/>
      <c r="E551" s="80"/>
      <c r="F551" s="140" t="str">
        <f t="shared" si="39"/>
        <v/>
      </c>
      <c r="G551" s="147" t="str">
        <f t="shared" si="40"/>
        <v/>
      </c>
    </row>
    <row r="552" spans="2:7" x14ac:dyDescent="0.2">
      <c r="B552" s="146" t="str">
        <f t="shared" si="38"/>
        <v/>
      </c>
      <c r="C552" s="180"/>
      <c r="D552" s="180"/>
      <c r="E552" s="80"/>
      <c r="F552" s="140" t="str">
        <f t="shared" si="39"/>
        <v/>
      </c>
      <c r="G552" s="147" t="str">
        <f t="shared" si="40"/>
        <v/>
      </c>
    </row>
    <row r="553" spans="2:7" x14ac:dyDescent="0.2">
      <c r="B553" s="146" t="str">
        <f t="shared" si="38"/>
        <v/>
      </c>
      <c r="C553" s="180"/>
      <c r="D553" s="180"/>
      <c r="E553" s="80"/>
      <c r="F553" s="140" t="str">
        <f t="shared" si="39"/>
        <v/>
      </c>
      <c r="G553" s="147" t="str">
        <f t="shared" si="40"/>
        <v/>
      </c>
    </row>
    <row r="554" spans="2:7" x14ac:dyDescent="0.2">
      <c r="B554" s="146" t="str">
        <f t="shared" si="38"/>
        <v/>
      </c>
      <c r="C554" s="180"/>
      <c r="D554" s="180"/>
      <c r="E554" s="80"/>
      <c r="F554" s="140" t="str">
        <f t="shared" si="39"/>
        <v/>
      </c>
      <c r="G554" s="147" t="str">
        <f t="shared" si="40"/>
        <v/>
      </c>
    </row>
    <row r="555" spans="2:7" x14ac:dyDescent="0.2">
      <c r="B555" s="146" t="str">
        <f t="shared" si="38"/>
        <v/>
      </c>
      <c r="C555" s="180"/>
      <c r="D555" s="180"/>
      <c r="E555" s="80"/>
      <c r="F555" s="140" t="str">
        <f t="shared" si="39"/>
        <v/>
      </c>
      <c r="G555" s="147" t="str">
        <f t="shared" si="40"/>
        <v/>
      </c>
    </row>
    <row r="556" spans="2:7" x14ac:dyDescent="0.2">
      <c r="B556" s="146" t="str">
        <f t="shared" si="38"/>
        <v/>
      </c>
      <c r="C556" s="180"/>
      <c r="D556" s="180"/>
      <c r="E556" s="80"/>
      <c r="F556" s="140" t="str">
        <f t="shared" si="39"/>
        <v/>
      </c>
      <c r="G556" s="147" t="str">
        <f t="shared" si="40"/>
        <v/>
      </c>
    </row>
    <row r="557" spans="2:7" x14ac:dyDescent="0.2">
      <c r="B557" s="146" t="str">
        <f t="shared" si="38"/>
        <v/>
      </c>
      <c r="C557" s="180"/>
      <c r="D557" s="180"/>
      <c r="E557" s="80"/>
      <c r="F557" s="140" t="str">
        <f t="shared" si="39"/>
        <v/>
      </c>
      <c r="G557" s="147" t="str">
        <f t="shared" si="40"/>
        <v/>
      </c>
    </row>
    <row r="558" spans="2:7" x14ac:dyDescent="0.2">
      <c r="B558" s="146" t="str">
        <f t="shared" si="38"/>
        <v/>
      </c>
      <c r="C558" s="180"/>
      <c r="D558" s="180"/>
      <c r="E558" s="80"/>
      <c r="F558" s="140" t="str">
        <f t="shared" si="39"/>
        <v/>
      </c>
      <c r="G558" s="147" t="str">
        <f t="shared" si="40"/>
        <v/>
      </c>
    </row>
    <row r="559" spans="2:7" x14ac:dyDescent="0.2">
      <c r="B559" s="146" t="str">
        <f t="shared" si="38"/>
        <v/>
      </c>
      <c r="C559" s="180"/>
      <c r="D559" s="180"/>
      <c r="E559" s="80"/>
      <c r="F559" s="140" t="str">
        <f t="shared" si="39"/>
        <v/>
      </c>
      <c r="G559" s="147" t="str">
        <f t="shared" si="40"/>
        <v/>
      </c>
    </row>
    <row r="560" spans="2:7" x14ac:dyDescent="0.2">
      <c r="B560" s="146" t="str">
        <f t="shared" si="38"/>
        <v/>
      </c>
      <c r="C560" s="180"/>
      <c r="D560" s="180"/>
      <c r="E560" s="80"/>
      <c r="F560" s="140" t="str">
        <f t="shared" si="39"/>
        <v/>
      </c>
      <c r="G560" s="147" t="str">
        <f t="shared" si="40"/>
        <v/>
      </c>
    </row>
    <row r="561" spans="2:7" x14ac:dyDescent="0.2">
      <c r="B561" s="146" t="str">
        <f t="shared" si="38"/>
        <v/>
      </c>
      <c r="C561" s="180"/>
      <c r="D561" s="180"/>
      <c r="E561" s="80"/>
      <c r="F561" s="140" t="str">
        <f t="shared" si="39"/>
        <v/>
      </c>
      <c r="G561" s="147" t="str">
        <f t="shared" si="40"/>
        <v/>
      </c>
    </row>
    <row r="562" spans="2:7" x14ac:dyDescent="0.2">
      <c r="B562" s="146" t="str">
        <f t="shared" ref="B562:B625" si="41">IF(C562="","",VLOOKUP(C562,ユニット判定用,3))</f>
        <v/>
      </c>
      <c r="C562" s="180"/>
      <c r="D562" s="180"/>
      <c r="E562" s="80"/>
      <c r="F562" s="140" t="str">
        <f t="shared" ref="F562:F625" si="42">IF(C562="","",MROUND(D562-C562,"00:01"))</f>
        <v/>
      </c>
      <c r="G562" s="147" t="str">
        <f t="shared" ref="G562:G625" si="43">IF(C562="","",VLOOKUP(C562,施設運転・利用調整時間判定,5,1))</f>
        <v/>
      </c>
    </row>
    <row r="563" spans="2:7" x14ac:dyDescent="0.2">
      <c r="B563" s="146" t="str">
        <f t="shared" si="41"/>
        <v/>
      </c>
      <c r="C563" s="180"/>
      <c r="D563" s="180"/>
      <c r="E563" s="80"/>
      <c r="F563" s="140" t="str">
        <f t="shared" si="42"/>
        <v/>
      </c>
      <c r="G563" s="147" t="str">
        <f t="shared" si="43"/>
        <v/>
      </c>
    </row>
    <row r="564" spans="2:7" x14ac:dyDescent="0.2">
      <c r="B564" s="146" t="str">
        <f t="shared" si="41"/>
        <v/>
      </c>
      <c r="C564" s="180"/>
      <c r="D564" s="180"/>
      <c r="E564" s="80"/>
      <c r="F564" s="140" t="str">
        <f t="shared" si="42"/>
        <v/>
      </c>
      <c r="G564" s="147" t="str">
        <f t="shared" si="43"/>
        <v/>
      </c>
    </row>
    <row r="565" spans="2:7" x14ac:dyDescent="0.2">
      <c r="B565" s="146" t="str">
        <f t="shared" si="41"/>
        <v/>
      </c>
      <c r="C565" s="180"/>
      <c r="D565" s="180"/>
      <c r="E565" s="80"/>
      <c r="F565" s="140" t="str">
        <f t="shared" si="42"/>
        <v/>
      </c>
      <c r="G565" s="147" t="str">
        <f t="shared" si="43"/>
        <v/>
      </c>
    </row>
    <row r="566" spans="2:7" x14ac:dyDescent="0.2">
      <c r="B566" s="146" t="str">
        <f t="shared" si="41"/>
        <v/>
      </c>
      <c r="C566" s="180"/>
      <c r="D566" s="180"/>
      <c r="E566" s="80"/>
      <c r="F566" s="140" t="str">
        <f t="shared" si="42"/>
        <v/>
      </c>
      <c r="G566" s="147" t="str">
        <f t="shared" si="43"/>
        <v/>
      </c>
    </row>
    <row r="567" spans="2:7" x14ac:dyDescent="0.2">
      <c r="B567" s="146" t="str">
        <f t="shared" si="41"/>
        <v/>
      </c>
      <c r="C567" s="180"/>
      <c r="D567" s="180"/>
      <c r="E567" s="80"/>
      <c r="F567" s="140" t="str">
        <f t="shared" si="42"/>
        <v/>
      </c>
      <c r="G567" s="147" t="str">
        <f t="shared" si="43"/>
        <v/>
      </c>
    </row>
    <row r="568" spans="2:7" x14ac:dyDescent="0.2">
      <c r="B568" s="146" t="str">
        <f t="shared" si="41"/>
        <v/>
      </c>
      <c r="C568" s="180"/>
      <c r="D568" s="180"/>
      <c r="E568" s="80"/>
      <c r="F568" s="140" t="str">
        <f t="shared" si="42"/>
        <v/>
      </c>
      <c r="G568" s="147" t="str">
        <f t="shared" si="43"/>
        <v/>
      </c>
    </row>
    <row r="569" spans="2:7" x14ac:dyDescent="0.2">
      <c r="B569" s="146" t="str">
        <f t="shared" si="41"/>
        <v/>
      </c>
      <c r="C569" s="180"/>
      <c r="D569" s="180"/>
      <c r="E569" s="80"/>
      <c r="F569" s="140" t="str">
        <f t="shared" si="42"/>
        <v/>
      </c>
      <c r="G569" s="147" t="str">
        <f t="shared" si="43"/>
        <v/>
      </c>
    </row>
    <row r="570" spans="2:7" x14ac:dyDescent="0.2">
      <c r="B570" s="146" t="str">
        <f t="shared" si="41"/>
        <v/>
      </c>
      <c r="C570" s="180"/>
      <c r="D570" s="180"/>
      <c r="E570" s="80"/>
      <c r="F570" s="140" t="str">
        <f t="shared" si="42"/>
        <v/>
      </c>
      <c r="G570" s="147" t="str">
        <f t="shared" si="43"/>
        <v/>
      </c>
    </row>
    <row r="571" spans="2:7" x14ac:dyDescent="0.2">
      <c r="B571" s="146" t="str">
        <f t="shared" si="41"/>
        <v/>
      </c>
      <c r="C571" s="180"/>
      <c r="D571" s="180"/>
      <c r="E571" s="80"/>
      <c r="F571" s="140" t="str">
        <f t="shared" si="42"/>
        <v/>
      </c>
      <c r="G571" s="147" t="str">
        <f t="shared" si="43"/>
        <v/>
      </c>
    </row>
    <row r="572" spans="2:7" x14ac:dyDescent="0.2">
      <c r="B572" s="146" t="str">
        <f t="shared" si="41"/>
        <v/>
      </c>
      <c r="C572" s="180"/>
      <c r="D572" s="180"/>
      <c r="E572" s="80"/>
      <c r="F572" s="140" t="str">
        <f t="shared" si="42"/>
        <v/>
      </c>
      <c r="G572" s="147" t="str">
        <f t="shared" si="43"/>
        <v/>
      </c>
    </row>
    <row r="573" spans="2:7" x14ac:dyDescent="0.2">
      <c r="B573" s="146" t="str">
        <f t="shared" si="41"/>
        <v/>
      </c>
      <c r="C573" s="180"/>
      <c r="D573" s="180"/>
      <c r="E573" s="80"/>
      <c r="F573" s="140" t="str">
        <f t="shared" si="42"/>
        <v/>
      </c>
      <c r="G573" s="147" t="str">
        <f t="shared" si="43"/>
        <v/>
      </c>
    </row>
    <row r="574" spans="2:7" x14ac:dyDescent="0.2">
      <c r="B574" s="146" t="str">
        <f t="shared" si="41"/>
        <v/>
      </c>
      <c r="C574" s="180"/>
      <c r="D574" s="180"/>
      <c r="E574" s="80"/>
      <c r="F574" s="140" t="str">
        <f t="shared" si="42"/>
        <v/>
      </c>
      <c r="G574" s="147" t="str">
        <f t="shared" si="43"/>
        <v/>
      </c>
    </row>
    <row r="575" spans="2:7" x14ac:dyDescent="0.2">
      <c r="B575" s="146" t="str">
        <f t="shared" si="41"/>
        <v/>
      </c>
      <c r="C575" s="180"/>
      <c r="D575" s="180"/>
      <c r="E575" s="80"/>
      <c r="F575" s="140" t="str">
        <f t="shared" si="42"/>
        <v/>
      </c>
      <c r="G575" s="147" t="str">
        <f t="shared" si="43"/>
        <v/>
      </c>
    </row>
    <row r="576" spans="2:7" x14ac:dyDescent="0.2">
      <c r="B576" s="146" t="str">
        <f t="shared" si="41"/>
        <v/>
      </c>
      <c r="C576" s="180"/>
      <c r="D576" s="180"/>
      <c r="E576" s="80"/>
      <c r="F576" s="140" t="str">
        <f t="shared" si="42"/>
        <v/>
      </c>
      <c r="G576" s="147" t="str">
        <f t="shared" si="43"/>
        <v/>
      </c>
    </row>
    <row r="577" spans="2:7" x14ac:dyDescent="0.2">
      <c r="B577" s="146" t="str">
        <f t="shared" si="41"/>
        <v/>
      </c>
      <c r="C577" s="180"/>
      <c r="D577" s="180"/>
      <c r="E577" s="80"/>
      <c r="F577" s="140" t="str">
        <f t="shared" si="42"/>
        <v/>
      </c>
      <c r="G577" s="147" t="str">
        <f t="shared" si="43"/>
        <v/>
      </c>
    </row>
    <row r="578" spans="2:7" x14ac:dyDescent="0.2">
      <c r="B578" s="146" t="str">
        <f t="shared" si="41"/>
        <v/>
      </c>
      <c r="C578" s="180"/>
      <c r="D578" s="180"/>
      <c r="E578" s="80"/>
      <c r="F578" s="140" t="str">
        <f t="shared" si="42"/>
        <v/>
      </c>
      <c r="G578" s="147" t="str">
        <f t="shared" si="43"/>
        <v/>
      </c>
    </row>
    <row r="579" spans="2:7" x14ac:dyDescent="0.2">
      <c r="B579" s="146" t="str">
        <f t="shared" si="41"/>
        <v/>
      </c>
      <c r="C579" s="180"/>
      <c r="D579" s="180"/>
      <c r="E579" s="80"/>
      <c r="F579" s="140" t="str">
        <f t="shared" si="42"/>
        <v/>
      </c>
      <c r="G579" s="147" t="str">
        <f t="shared" si="43"/>
        <v/>
      </c>
    </row>
    <row r="580" spans="2:7" x14ac:dyDescent="0.2">
      <c r="B580" s="146" t="str">
        <f t="shared" si="41"/>
        <v/>
      </c>
      <c r="C580" s="180"/>
      <c r="D580" s="180"/>
      <c r="E580" s="80"/>
      <c r="F580" s="140" t="str">
        <f t="shared" si="42"/>
        <v/>
      </c>
      <c r="G580" s="147" t="str">
        <f t="shared" si="43"/>
        <v/>
      </c>
    </row>
    <row r="581" spans="2:7" x14ac:dyDescent="0.2">
      <c r="B581" s="146" t="str">
        <f t="shared" si="41"/>
        <v/>
      </c>
      <c r="C581" s="180"/>
      <c r="D581" s="180"/>
      <c r="E581" s="80"/>
      <c r="F581" s="140" t="str">
        <f t="shared" si="42"/>
        <v/>
      </c>
      <c r="G581" s="147" t="str">
        <f t="shared" si="43"/>
        <v/>
      </c>
    </row>
    <row r="582" spans="2:7" x14ac:dyDescent="0.2">
      <c r="B582" s="146" t="str">
        <f t="shared" si="41"/>
        <v/>
      </c>
      <c r="C582" s="180"/>
      <c r="D582" s="180"/>
      <c r="E582" s="80"/>
      <c r="F582" s="140" t="str">
        <f t="shared" si="42"/>
        <v/>
      </c>
      <c r="G582" s="147" t="str">
        <f t="shared" si="43"/>
        <v/>
      </c>
    </row>
    <row r="583" spans="2:7" x14ac:dyDescent="0.2">
      <c r="B583" s="146" t="str">
        <f t="shared" si="41"/>
        <v/>
      </c>
      <c r="C583" s="180"/>
      <c r="D583" s="180"/>
      <c r="E583" s="80"/>
      <c r="F583" s="140" t="str">
        <f t="shared" si="42"/>
        <v/>
      </c>
      <c r="G583" s="147" t="str">
        <f t="shared" si="43"/>
        <v/>
      </c>
    </row>
    <row r="584" spans="2:7" x14ac:dyDescent="0.2">
      <c r="B584" s="146" t="str">
        <f t="shared" si="41"/>
        <v/>
      </c>
      <c r="C584" s="180"/>
      <c r="D584" s="180"/>
      <c r="E584" s="80"/>
      <c r="F584" s="140" t="str">
        <f t="shared" si="42"/>
        <v/>
      </c>
      <c r="G584" s="147" t="str">
        <f t="shared" si="43"/>
        <v/>
      </c>
    </row>
    <row r="585" spans="2:7" x14ac:dyDescent="0.2">
      <c r="B585" s="146" t="str">
        <f t="shared" si="41"/>
        <v/>
      </c>
      <c r="C585" s="180"/>
      <c r="D585" s="180"/>
      <c r="E585" s="80"/>
      <c r="F585" s="140" t="str">
        <f t="shared" si="42"/>
        <v/>
      </c>
      <c r="G585" s="147" t="str">
        <f t="shared" si="43"/>
        <v/>
      </c>
    </row>
    <row r="586" spans="2:7" x14ac:dyDescent="0.2">
      <c r="B586" s="146" t="str">
        <f t="shared" si="41"/>
        <v/>
      </c>
      <c r="C586" s="180"/>
      <c r="D586" s="180"/>
      <c r="E586" s="80"/>
      <c r="F586" s="140" t="str">
        <f t="shared" si="42"/>
        <v/>
      </c>
      <c r="G586" s="147" t="str">
        <f t="shared" si="43"/>
        <v/>
      </c>
    </row>
    <row r="587" spans="2:7" x14ac:dyDescent="0.2">
      <c r="B587" s="146" t="str">
        <f t="shared" si="41"/>
        <v/>
      </c>
      <c r="C587" s="180"/>
      <c r="D587" s="180"/>
      <c r="E587" s="80"/>
      <c r="F587" s="140" t="str">
        <f t="shared" si="42"/>
        <v/>
      </c>
      <c r="G587" s="147" t="str">
        <f t="shared" si="43"/>
        <v/>
      </c>
    </row>
    <row r="588" spans="2:7" x14ac:dyDescent="0.2">
      <c r="B588" s="146" t="str">
        <f t="shared" si="41"/>
        <v/>
      </c>
      <c r="C588" s="180"/>
      <c r="D588" s="180"/>
      <c r="E588" s="80"/>
      <c r="F588" s="140" t="str">
        <f t="shared" si="42"/>
        <v/>
      </c>
      <c r="G588" s="147" t="str">
        <f t="shared" si="43"/>
        <v/>
      </c>
    </row>
    <row r="589" spans="2:7" x14ac:dyDescent="0.2">
      <c r="B589" s="146" t="str">
        <f t="shared" si="41"/>
        <v/>
      </c>
      <c r="C589" s="180"/>
      <c r="D589" s="180"/>
      <c r="E589" s="80"/>
      <c r="F589" s="140" t="str">
        <f t="shared" si="42"/>
        <v/>
      </c>
      <c r="G589" s="147" t="str">
        <f t="shared" si="43"/>
        <v/>
      </c>
    </row>
    <row r="590" spans="2:7" x14ac:dyDescent="0.2">
      <c r="B590" s="146" t="str">
        <f t="shared" si="41"/>
        <v/>
      </c>
      <c r="C590" s="180"/>
      <c r="D590" s="180"/>
      <c r="E590" s="80"/>
      <c r="F590" s="140" t="str">
        <f t="shared" si="42"/>
        <v/>
      </c>
      <c r="G590" s="147" t="str">
        <f t="shared" si="43"/>
        <v/>
      </c>
    </row>
    <row r="591" spans="2:7" x14ac:dyDescent="0.2">
      <c r="B591" s="146" t="str">
        <f t="shared" si="41"/>
        <v/>
      </c>
      <c r="C591" s="180"/>
      <c r="D591" s="180"/>
      <c r="E591" s="80"/>
      <c r="F591" s="140" t="str">
        <f t="shared" si="42"/>
        <v/>
      </c>
      <c r="G591" s="147" t="str">
        <f t="shared" si="43"/>
        <v/>
      </c>
    </row>
    <row r="592" spans="2:7" x14ac:dyDescent="0.2">
      <c r="B592" s="146" t="str">
        <f t="shared" si="41"/>
        <v/>
      </c>
      <c r="C592" s="180"/>
      <c r="D592" s="180"/>
      <c r="E592" s="80"/>
      <c r="F592" s="140" t="str">
        <f t="shared" si="42"/>
        <v/>
      </c>
      <c r="G592" s="147" t="str">
        <f t="shared" si="43"/>
        <v/>
      </c>
    </row>
    <row r="593" spans="2:7" x14ac:dyDescent="0.2">
      <c r="B593" s="146" t="str">
        <f t="shared" si="41"/>
        <v/>
      </c>
      <c r="C593" s="180"/>
      <c r="D593" s="180"/>
      <c r="E593" s="80"/>
      <c r="F593" s="140" t="str">
        <f t="shared" si="42"/>
        <v/>
      </c>
      <c r="G593" s="147" t="str">
        <f t="shared" si="43"/>
        <v/>
      </c>
    </row>
    <row r="594" spans="2:7" x14ac:dyDescent="0.2">
      <c r="B594" s="146" t="str">
        <f t="shared" si="41"/>
        <v/>
      </c>
      <c r="C594" s="180"/>
      <c r="D594" s="180"/>
      <c r="E594" s="80"/>
      <c r="F594" s="140" t="str">
        <f t="shared" si="42"/>
        <v/>
      </c>
      <c r="G594" s="147" t="str">
        <f t="shared" si="43"/>
        <v/>
      </c>
    </row>
    <row r="595" spans="2:7" x14ac:dyDescent="0.2">
      <c r="B595" s="146" t="str">
        <f t="shared" si="41"/>
        <v/>
      </c>
      <c r="C595" s="180"/>
      <c r="D595" s="180"/>
      <c r="E595" s="80"/>
      <c r="F595" s="140" t="str">
        <f t="shared" si="42"/>
        <v/>
      </c>
      <c r="G595" s="147" t="str">
        <f t="shared" si="43"/>
        <v/>
      </c>
    </row>
    <row r="596" spans="2:7" x14ac:dyDescent="0.2">
      <c r="B596" s="146" t="str">
        <f t="shared" si="41"/>
        <v/>
      </c>
      <c r="C596" s="180"/>
      <c r="D596" s="180"/>
      <c r="E596" s="80"/>
      <c r="F596" s="140" t="str">
        <f t="shared" si="42"/>
        <v/>
      </c>
      <c r="G596" s="147" t="str">
        <f t="shared" si="43"/>
        <v/>
      </c>
    </row>
    <row r="597" spans="2:7" x14ac:dyDescent="0.2">
      <c r="B597" s="146" t="str">
        <f t="shared" si="41"/>
        <v/>
      </c>
      <c r="C597" s="180"/>
      <c r="D597" s="180"/>
      <c r="E597" s="80"/>
      <c r="F597" s="140" t="str">
        <f t="shared" si="42"/>
        <v/>
      </c>
      <c r="G597" s="147" t="str">
        <f t="shared" si="43"/>
        <v/>
      </c>
    </row>
    <row r="598" spans="2:7" x14ac:dyDescent="0.2">
      <c r="B598" s="146" t="str">
        <f t="shared" si="41"/>
        <v/>
      </c>
      <c r="C598" s="180"/>
      <c r="D598" s="180"/>
      <c r="E598" s="80"/>
      <c r="F598" s="140" t="str">
        <f t="shared" si="42"/>
        <v/>
      </c>
      <c r="G598" s="147" t="str">
        <f t="shared" si="43"/>
        <v/>
      </c>
    </row>
    <row r="599" spans="2:7" x14ac:dyDescent="0.2">
      <c r="B599" s="146" t="str">
        <f t="shared" si="41"/>
        <v/>
      </c>
      <c r="C599" s="180"/>
      <c r="D599" s="180"/>
      <c r="E599" s="80"/>
      <c r="F599" s="140" t="str">
        <f t="shared" si="42"/>
        <v/>
      </c>
      <c r="G599" s="147" t="str">
        <f t="shared" si="43"/>
        <v/>
      </c>
    </row>
    <row r="600" spans="2:7" x14ac:dyDescent="0.2">
      <c r="B600" s="146" t="str">
        <f t="shared" si="41"/>
        <v/>
      </c>
      <c r="C600" s="180"/>
      <c r="D600" s="180"/>
      <c r="E600" s="80"/>
      <c r="F600" s="140" t="str">
        <f t="shared" si="42"/>
        <v/>
      </c>
      <c r="G600" s="147" t="str">
        <f t="shared" si="43"/>
        <v/>
      </c>
    </row>
    <row r="601" spans="2:7" x14ac:dyDescent="0.2">
      <c r="B601" s="146" t="str">
        <f t="shared" si="41"/>
        <v/>
      </c>
      <c r="C601" s="180"/>
      <c r="D601" s="180"/>
      <c r="E601" s="80"/>
      <c r="F601" s="140" t="str">
        <f t="shared" si="42"/>
        <v/>
      </c>
      <c r="G601" s="147" t="str">
        <f t="shared" si="43"/>
        <v/>
      </c>
    </row>
    <row r="602" spans="2:7" x14ac:dyDescent="0.2">
      <c r="B602" s="146" t="str">
        <f t="shared" si="41"/>
        <v/>
      </c>
      <c r="C602" s="180"/>
      <c r="D602" s="180"/>
      <c r="E602" s="80"/>
      <c r="F602" s="140" t="str">
        <f t="shared" si="42"/>
        <v/>
      </c>
      <c r="G602" s="147" t="str">
        <f t="shared" si="43"/>
        <v/>
      </c>
    </row>
    <row r="603" spans="2:7" x14ac:dyDescent="0.2">
      <c r="B603" s="146" t="str">
        <f t="shared" si="41"/>
        <v/>
      </c>
      <c r="C603" s="180"/>
      <c r="D603" s="180"/>
      <c r="E603" s="80"/>
      <c r="F603" s="140" t="str">
        <f t="shared" si="42"/>
        <v/>
      </c>
      <c r="G603" s="147" t="str">
        <f t="shared" si="43"/>
        <v/>
      </c>
    </row>
    <row r="604" spans="2:7" x14ac:dyDescent="0.2">
      <c r="B604" s="146" t="str">
        <f t="shared" si="41"/>
        <v/>
      </c>
      <c r="C604" s="180"/>
      <c r="D604" s="180"/>
      <c r="E604" s="80"/>
      <c r="F604" s="140" t="str">
        <f t="shared" si="42"/>
        <v/>
      </c>
      <c r="G604" s="147" t="str">
        <f t="shared" si="43"/>
        <v/>
      </c>
    </row>
    <row r="605" spans="2:7" x14ac:dyDescent="0.2">
      <c r="B605" s="146" t="str">
        <f t="shared" si="41"/>
        <v/>
      </c>
      <c r="C605" s="180"/>
      <c r="D605" s="180"/>
      <c r="E605" s="80"/>
      <c r="F605" s="140" t="str">
        <f t="shared" si="42"/>
        <v/>
      </c>
      <c r="G605" s="147" t="str">
        <f t="shared" si="43"/>
        <v/>
      </c>
    </row>
    <row r="606" spans="2:7" x14ac:dyDescent="0.2">
      <c r="B606" s="146" t="str">
        <f t="shared" si="41"/>
        <v/>
      </c>
      <c r="C606" s="180"/>
      <c r="D606" s="180"/>
      <c r="E606" s="80"/>
      <c r="F606" s="140" t="str">
        <f t="shared" si="42"/>
        <v/>
      </c>
      <c r="G606" s="147" t="str">
        <f t="shared" si="43"/>
        <v/>
      </c>
    </row>
    <row r="607" spans="2:7" x14ac:dyDescent="0.2">
      <c r="B607" s="146" t="str">
        <f t="shared" si="41"/>
        <v/>
      </c>
      <c r="C607" s="180"/>
      <c r="D607" s="180"/>
      <c r="E607" s="80"/>
      <c r="F607" s="140" t="str">
        <f t="shared" si="42"/>
        <v/>
      </c>
      <c r="G607" s="147" t="str">
        <f t="shared" si="43"/>
        <v/>
      </c>
    </row>
    <row r="608" spans="2:7" x14ac:dyDescent="0.2">
      <c r="B608" s="146" t="str">
        <f t="shared" si="41"/>
        <v/>
      </c>
      <c r="C608" s="180"/>
      <c r="D608" s="180"/>
      <c r="E608" s="80"/>
      <c r="F608" s="140" t="str">
        <f t="shared" si="42"/>
        <v/>
      </c>
      <c r="G608" s="147" t="str">
        <f t="shared" si="43"/>
        <v/>
      </c>
    </row>
    <row r="609" spans="2:7" x14ac:dyDescent="0.2">
      <c r="B609" s="146" t="str">
        <f t="shared" si="41"/>
        <v/>
      </c>
      <c r="C609" s="180"/>
      <c r="D609" s="180"/>
      <c r="E609" s="80"/>
      <c r="F609" s="140" t="str">
        <f t="shared" si="42"/>
        <v/>
      </c>
      <c r="G609" s="147" t="str">
        <f t="shared" si="43"/>
        <v/>
      </c>
    </row>
    <row r="610" spans="2:7" x14ac:dyDescent="0.2">
      <c r="B610" s="146" t="str">
        <f t="shared" si="41"/>
        <v/>
      </c>
      <c r="C610" s="180"/>
      <c r="D610" s="180"/>
      <c r="E610" s="80"/>
      <c r="F610" s="140" t="str">
        <f t="shared" si="42"/>
        <v/>
      </c>
      <c r="G610" s="147" t="str">
        <f t="shared" si="43"/>
        <v/>
      </c>
    </row>
    <row r="611" spans="2:7" x14ac:dyDescent="0.2">
      <c r="B611" s="146" t="str">
        <f t="shared" si="41"/>
        <v/>
      </c>
      <c r="C611" s="180"/>
      <c r="D611" s="180"/>
      <c r="E611" s="80"/>
      <c r="F611" s="140" t="str">
        <f t="shared" si="42"/>
        <v/>
      </c>
      <c r="G611" s="147" t="str">
        <f t="shared" si="43"/>
        <v/>
      </c>
    </row>
    <row r="612" spans="2:7" x14ac:dyDescent="0.2">
      <c r="B612" s="146" t="str">
        <f t="shared" si="41"/>
        <v/>
      </c>
      <c r="C612" s="180"/>
      <c r="D612" s="180"/>
      <c r="E612" s="80"/>
      <c r="F612" s="140" t="str">
        <f t="shared" si="42"/>
        <v/>
      </c>
      <c r="G612" s="147" t="str">
        <f t="shared" si="43"/>
        <v/>
      </c>
    </row>
    <row r="613" spans="2:7" x14ac:dyDescent="0.2">
      <c r="B613" s="146" t="str">
        <f t="shared" si="41"/>
        <v/>
      </c>
      <c r="C613" s="180"/>
      <c r="D613" s="180"/>
      <c r="E613" s="80"/>
      <c r="F613" s="140" t="str">
        <f t="shared" si="42"/>
        <v/>
      </c>
      <c r="G613" s="147" t="str">
        <f t="shared" si="43"/>
        <v/>
      </c>
    </row>
    <row r="614" spans="2:7" x14ac:dyDescent="0.2">
      <c r="B614" s="146" t="str">
        <f t="shared" si="41"/>
        <v/>
      </c>
      <c r="C614" s="180"/>
      <c r="D614" s="180"/>
      <c r="E614" s="80"/>
      <c r="F614" s="140" t="str">
        <f t="shared" si="42"/>
        <v/>
      </c>
      <c r="G614" s="147" t="str">
        <f t="shared" si="43"/>
        <v/>
      </c>
    </row>
    <row r="615" spans="2:7" x14ac:dyDescent="0.2">
      <c r="B615" s="146" t="str">
        <f t="shared" si="41"/>
        <v/>
      </c>
      <c r="C615" s="180"/>
      <c r="D615" s="180"/>
      <c r="E615" s="80"/>
      <c r="F615" s="140" t="str">
        <f t="shared" si="42"/>
        <v/>
      </c>
      <c r="G615" s="147" t="str">
        <f t="shared" si="43"/>
        <v/>
      </c>
    </row>
    <row r="616" spans="2:7" x14ac:dyDescent="0.2">
      <c r="B616" s="146" t="str">
        <f t="shared" si="41"/>
        <v/>
      </c>
      <c r="C616" s="180"/>
      <c r="D616" s="180"/>
      <c r="E616" s="80"/>
      <c r="F616" s="140" t="str">
        <f t="shared" si="42"/>
        <v/>
      </c>
      <c r="G616" s="147" t="str">
        <f t="shared" si="43"/>
        <v/>
      </c>
    </row>
    <row r="617" spans="2:7" x14ac:dyDescent="0.2">
      <c r="B617" s="146" t="str">
        <f t="shared" si="41"/>
        <v/>
      </c>
      <c r="C617" s="180"/>
      <c r="D617" s="180"/>
      <c r="E617" s="80"/>
      <c r="F617" s="140" t="str">
        <f t="shared" si="42"/>
        <v/>
      </c>
      <c r="G617" s="147" t="str">
        <f t="shared" si="43"/>
        <v/>
      </c>
    </row>
    <row r="618" spans="2:7" x14ac:dyDescent="0.2">
      <c r="B618" s="146" t="str">
        <f t="shared" si="41"/>
        <v/>
      </c>
      <c r="C618" s="180"/>
      <c r="D618" s="180"/>
      <c r="E618" s="80"/>
      <c r="F618" s="140" t="str">
        <f t="shared" si="42"/>
        <v/>
      </c>
      <c r="G618" s="147" t="str">
        <f t="shared" si="43"/>
        <v/>
      </c>
    </row>
    <row r="619" spans="2:7" x14ac:dyDescent="0.2">
      <c r="B619" s="146" t="str">
        <f t="shared" si="41"/>
        <v/>
      </c>
      <c r="C619" s="180"/>
      <c r="D619" s="180"/>
      <c r="E619" s="80"/>
      <c r="F619" s="140" t="str">
        <f t="shared" si="42"/>
        <v/>
      </c>
      <c r="G619" s="147" t="str">
        <f t="shared" si="43"/>
        <v/>
      </c>
    </row>
    <row r="620" spans="2:7" x14ac:dyDescent="0.2">
      <c r="B620" s="146" t="str">
        <f t="shared" si="41"/>
        <v/>
      </c>
      <c r="C620" s="180"/>
      <c r="D620" s="180"/>
      <c r="E620" s="80"/>
      <c r="F620" s="140" t="str">
        <f t="shared" si="42"/>
        <v/>
      </c>
      <c r="G620" s="147" t="str">
        <f t="shared" si="43"/>
        <v/>
      </c>
    </row>
    <row r="621" spans="2:7" x14ac:dyDescent="0.2">
      <c r="B621" s="146" t="str">
        <f t="shared" si="41"/>
        <v/>
      </c>
      <c r="C621" s="180"/>
      <c r="D621" s="180"/>
      <c r="E621" s="80"/>
      <c r="F621" s="140" t="str">
        <f t="shared" si="42"/>
        <v/>
      </c>
      <c r="G621" s="147" t="str">
        <f t="shared" si="43"/>
        <v/>
      </c>
    </row>
    <row r="622" spans="2:7" x14ac:dyDescent="0.2">
      <c r="B622" s="146" t="str">
        <f t="shared" si="41"/>
        <v/>
      </c>
      <c r="C622" s="180"/>
      <c r="D622" s="180"/>
      <c r="E622" s="80"/>
      <c r="F622" s="140" t="str">
        <f t="shared" si="42"/>
        <v/>
      </c>
      <c r="G622" s="147" t="str">
        <f t="shared" si="43"/>
        <v/>
      </c>
    </row>
    <row r="623" spans="2:7" x14ac:dyDescent="0.2">
      <c r="B623" s="146" t="str">
        <f t="shared" si="41"/>
        <v/>
      </c>
      <c r="C623" s="180"/>
      <c r="D623" s="180"/>
      <c r="E623" s="80"/>
      <c r="F623" s="140" t="str">
        <f t="shared" si="42"/>
        <v/>
      </c>
      <c r="G623" s="147" t="str">
        <f t="shared" si="43"/>
        <v/>
      </c>
    </row>
    <row r="624" spans="2:7" x14ac:dyDescent="0.2">
      <c r="B624" s="146" t="str">
        <f t="shared" si="41"/>
        <v/>
      </c>
      <c r="C624" s="180"/>
      <c r="D624" s="180"/>
      <c r="E624" s="80"/>
      <c r="F624" s="140" t="str">
        <f t="shared" si="42"/>
        <v/>
      </c>
      <c r="G624" s="147" t="str">
        <f t="shared" si="43"/>
        <v/>
      </c>
    </row>
    <row r="625" spans="2:7" x14ac:dyDescent="0.2">
      <c r="B625" s="146" t="str">
        <f t="shared" si="41"/>
        <v/>
      </c>
      <c r="C625" s="180"/>
      <c r="D625" s="180"/>
      <c r="E625" s="80"/>
      <c r="F625" s="140" t="str">
        <f t="shared" si="42"/>
        <v/>
      </c>
      <c r="G625" s="147" t="str">
        <f t="shared" si="43"/>
        <v/>
      </c>
    </row>
    <row r="626" spans="2:7" x14ac:dyDescent="0.2">
      <c r="B626" s="146" t="str">
        <f t="shared" ref="B626:B689" si="44">IF(C626="","",VLOOKUP(C626,ユニット判定用,3))</f>
        <v/>
      </c>
      <c r="C626" s="180"/>
      <c r="D626" s="180"/>
      <c r="E626" s="80"/>
      <c r="F626" s="140" t="str">
        <f t="shared" ref="F626:F689" si="45">IF(C626="","",MROUND(D626-C626,"00:01"))</f>
        <v/>
      </c>
      <c r="G626" s="147" t="str">
        <f t="shared" ref="G626:G689" si="46">IF(C626="","",VLOOKUP(C626,施設運転・利用調整時間判定,5,1))</f>
        <v/>
      </c>
    </row>
    <row r="627" spans="2:7" x14ac:dyDescent="0.2">
      <c r="B627" s="146" t="str">
        <f t="shared" si="44"/>
        <v/>
      </c>
      <c r="C627" s="180"/>
      <c r="D627" s="180"/>
      <c r="E627" s="80"/>
      <c r="F627" s="140" t="str">
        <f t="shared" si="45"/>
        <v/>
      </c>
      <c r="G627" s="147" t="str">
        <f t="shared" si="46"/>
        <v/>
      </c>
    </row>
    <row r="628" spans="2:7" x14ac:dyDescent="0.2">
      <c r="B628" s="146" t="str">
        <f t="shared" si="44"/>
        <v/>
      </c>
      <c r="C628" s="180"/>
      <c r="D628" s="180"/>
      <c r="E628" s="80"/>
      <c r="F628" s="140" t="str">
        <f t="shared" si="45"/>
        <v/>
      </c>
      <c r="G628" s="147" t="str">
        <f t="shared" si="46"/>
        <v/>
      </c>
    </row>
    <row r="629" spans="2:7" x14ac:dyDescent="0.2">
      <c r="B629" s="146" t="str">
        <f t="shared" si="44"/>
        <v/>
      </c>
      <c r="C629" s="180"/>
      <c r="D629" s="180"/>
      <c r="E629" s="80"/>
      <c r="F629" s="140" t="str">
        <f t="shared" si="45"/>
        <v/>
      </c>
      <c r="G629" s="147" t="str">
        <f t="shared" si="46"/>
        <v/>
      </c>
    </row>
    <row r="630" spans="2:7" x14ac:dyDescent="0.2">
      <c r="B630" s="146" t="str">
        <f t="shared" si="44"/>
        <v/>
      </c>
      <c r="C630" s="180"/>
      <c r="D630" s="180"/>
      <c r="E630" s="80"/>
      <c r="F630" s="140" t="str">
        <f t="shared" si="45"/>
        <v/>
      </c>
      <c r="G630" s="147" t="str">
        <f t="shared" si="46"/>
        <v/>
      </c>
    </row>
    <row r="631" spans="2:7" x14ac:dyDescent="0.2">
      <c r="B631" s="146" t="str">
        <f t="shared" si="44"/>
        <v/>
      </c>
      <c r="C631" s="180"/>
      <c r="D631" s="180"/>
      <c r="E631" s="80"/>
      <c r="F631" s="140" t="str">
        <f t="shared" si="45"/>
        <v/>
      </c>
      <c r="G631" s="147" t="str">
        <f t="shared" si="46"/>
        <v/>
      </c>
    </row>
    <row r="632" spans="2:7" x14ac:dyDescent="0.2">
      <c r="B632" s="146" t="str">
        <f t="shared" si="44"/>
        <v/>
      </c>
      <c r="C632" s="180"/>
      <c r="D632" s="180"/>
      <c r="E632" s="80"/>
      <c r="F632" s="140" t="str">
        <f t="shared" si="45"/>
        <v/>
      </c>
      <c r="G632" s="147" t="str">
        <f t="shared" si="46"/>
        <v/>
      </c>
    </row>
    <row r="633" spans="2:7" x14ac:dyDescent="0.2">
      <c r="B633" s="146" t="str">
        <f t="shared" si="44"/>
        <v/>
      </c>
      <c r="C633" s="180"/>
      <c r="D633" s="180"/>
      <c r="E633" s="80"/>
      <c r="F633" s="140" t="str">
        <f t="shared" si="45"/>
        <v/>
      </c>
      <c r="G633" s="147" t="str">
        <f t="shared" si="46"/>
        <v/>
      </c>
    </row>
    <row r="634" spans="2:7" x14ac:dyDescent="0.2">
      <c r="B634" s="146" t="str">
        <f t="shared" si="44"/>
        <v/>
      </c>
      <c r="C634" s="180"/>
      <c r="D634" s="180"/>
      <c r="E634" s="80"/>
      <c r="F634" s="140" t="str">
        <f t="shared" si="45"/>
        <v/>
      </c>
      <c r="G634" s="147" t="str">
        <f t="shared" si="46"/>
        <v/>
      </c>
    </row>
    <row r="635" spans="2:7" x14ac:dyDescent="0.2">
      <c r="B635" s="146" t="str">
        <f t="shared" si="44"/>
        <v/>
      </c>
      <c r="C635" s="180"/>
      <c r="D635" s="180"/>
      <c r="E635" s="80"/>
      <c r="F635" s="140" t="str">
        <f t="shared" si="45"/>
        <v/>
      </c>
      <c r="G635" s="147" t="str">
        <f t="shared" si="46"/>
        <v/>
      </c>
    </row>
    <row r="636" spans="2:7" x14ac:dyDescent="0.2">
      <c r="B636" s="146" t="str">
        <f t="shared" si="44"/>
        <v/>
      </c>
      <c r="C636" s="180"/>
      <c r="D636" s="180"/>
      <c r="E636" s="80"/>
      <c r="F636" s="140" t="str">
        <f t="shared" si="45"/>
        <v/>
      </c>
      <c r="G636" s="147" t="str">
        <f t="shared" si="46"/>
        <v/>
      </c>
    </row>
    <row r="637" spans="2:7" x14ac:dyDescent="0.2">
      <c r="B637" s="146" t="str">
        <f t="shared" si="44"/>
        <v/>
      </c>
      <c r="C637" s="180"/>
      <c r="D637" s="180"/>
      <c r="E637" s="80"/>
      <c r="F637" s="140" t="str">
        <f t="shared" si="45"/>
        <v/>
      </c>
      <c r="G637" s="147" t="str">
        <f t="shared" si="46"/>
        <v/>
      </c>
    </row>
    <row r="638" spans="2:7" x14ac:dyDescent="0.2">
      <c r="B638" s="146" t="str">
        <f t="shared" si="44"/>
        <v/>
      </c>
      <c r="C638" s="180"/>
      <c r="D638" s="180"/>
      <c r="E638" s="80"/>
      <c r="F638" s="140" t="str">
        <f t="shared" si="45"/>
        <v/>
      </c>
      <c r="G638" s="147" t="str">
        <f t="shared" si="46"/>
        <v/>
      </c>
    </row>
    <row r="639" spans="2:7" x14ac:dyDescent="0.2">
      <c r="B639" s="146" t="str">
        <f t="shared" si="44"/>
        <v/>
      </c>
      <c r="C639" s="180"/>
      <c r="D639" s="180"/>
      <c r="E639" s="80"/>
      <c r="F639" s="140" t="str">
        <f t="shared" si="45"/>
        <v/>
      </c>
      <c r="G639" s="147" t="str">
        <f t="shared" si="46"/>
        <v/>
      </c>
    </row>
    <row r="640" spans="2:7" x14ac:dyDescent="0.2">
      <c r="B640" s="146" t="str">
        <f t="shared" si="44"/>
        <v/>
      </c>
      <c r="C640" s="180"/>
      <c r="D640" s="180"/>
      <c r="E640" s="80"/>
      <c r="F640" s="140" t="str">
        <f t="shared" si="45"/>
        <v/>
      </c>
      <c r="G640" s="147" t="str">
        <f t="shared" si="46"/>
        <v/>
      </c>
    </row>
    <row r="641" spans="2:7" x14ac:dyDescent="0.2">
      <c r="B641" s="146" t="str">
        <f t="shared" si="44"/>
        <v/>
      </c>
      <c r="C641" s="180"/>
      <c r="D641" s="180"/>
      <c r="E641" s="80"/>
      <c r="F641" s="140" t="str">
        <f t="shared" si="45"/>
        <v/>
      </c>
      <c r="G641" s="147" t="str">
        <f t="shared" si="46"/>
        <v/>
      </c>
    </row>
    <row r="642" spans="2:7" x14ac:dyDescent="0.2">
      <c r="B642" s="146" t="str">
        <f t="shared" si="44"/>
        <v/>
      </c>
      <c r="C642" s="180"/>
      <c r="D642" s="180"/>
      <c r="E642" s="80"/>
      <c r="F642" s="140" t="str">
        <f t="shared" si="45"/>
        <v/>
      </c>
      <c r="G642" s="147" t="str">
        <f t="shared" si="46"/>
        <v/>
      </c>
    </row>
    <row r="643" spans="2:7" x14ac:dyDescent="0.2">
      <c r="B643" s="146" t="str">
        <f t="shared" si="44"/>
        <v/>
      </c>
      <c r="C643" s="180"/>
      <c r="D643" s="180"/>
      <c r="E643" s="80"/>
      <c r="F643" s="140" t="str">
        <f t="shared" si="45"/>
        <v/>
      </c>
      <c r="G643" s="147" t="str">
        <f t="shared" si="46"/>
        <v/>
      </c>
    </row>
    <row r="644" spans="2:7" x14ac:dyDescent="0.2">
      <c r="B644" s="146" t="str">
        <f t="shared" si="44"/>
        <v/>
      </c>
      <c r="C644" s="180"/>
      <c r="D644" s="180"/>
      <c r="E644" s="80"/>
      <c r="F644" s="140" t="str">
        <f t="shared" si="45"/>
        <v/>
      </c>
      <c r="G644" s="147" t="str">
        <f t="shared" si="46"/>
        <v/>
      </c>
    </row>
    <row r="645" spans="2:7" x14ac:dyDescent="0.2">
      <c r="B645" s="146" t="str">
        <f t="shared" si="44"/>
        <v/>
      </c>
      <c r="C645" s="180"/>
      <c r="D645" s="180"/>
      <c r="E645" s="80"/>
      <c r="F645" s="140" t="str">
        <f t="shared" si="45"/>
        <v/>
      </c>
      <c r="G645" s="147" t="str">
        <f t="shared" si="46"/>
        <v/>
      </c>
    </row>
    <row r="646" spans="2:7" x14ac:dyDescent="0.2">
      <c r="B646" s="146" t="str">
        <f t="shared" si="44"/>
        <v/>
      </c>
      <c r="C646" s="180"/>
      <c r="D646" s="180"/>
      <c r="E646" s="80"/>
      <c r="F646" s="140" t="str">
        <f t="shared" si="45"/>
        <v/>
      </c>
      <c r="G646" s="147" t="str">
        <f t="shared" si="46"/>
        <v/>
      </c>
    </row>
    <row r="647" spans="2:7" x14ac:dyDescent="0.2">
      <c r="B647" s="146" t="str">
        <f t="shared" si="44"/>
        <v/>
      </c>
      <c r="C647" s="180"/>
      <c r="D647" s="180"/>
      <c r="E647" s="80"/>
      <c r="F647" s="140" t="str">
        <f t="shared" si="45"/>
        <v/>
      </c>
      <c r="G647" s="147" t="str">
        <f t="shared" si="46"/>
        <v/>
      </c>
    </row>
    <row r="648" spans="2:7" x14ac:dyDescent="0.2">
      <c r="B648" s="146" t="str">
        <f t="shared" si="44"/>
        <v/>
      </c>
      <c r="C648" s="180"/>
      <c r="D648" s="180"/>
      <c r="E648" s="80"/>
      <c r="F648" s="140" t="str">
        <f t="shared" si="45"/>
        <v/>
      </c>
      <c r="G648" s="147" t="str">
        <f t="shared" si="46"/>
        <v/>
      </c>
    </row>
    <row r="649" spans="2:7" x14ac:dyDescent="0.2">
      <c r="B649" s="146" t="str">
        <f t="shared" si="44"/>
        <v/>
      </c>
      <c r="C649" s="180"/>
      <c r="D649" s="180"/>
      <c r="E649" s="80"/>
      <c r="F649" s="140" t="str">
        <f t="shared" si="45"/>
        <v/>
      </c>
      <c r="G649" s="147" t="str">
        <f t="shared" si="46"/>
        <v/>
      </c>
    </row>
    <row r="650" spans="2:7" x14ac:dyDescent="0.2">
      <c r="B650" s="146" t="str">
        <f t="shared" si="44"/>
        <v/>
      </c>
      <c r="C650" s="180"/>
      <c r="D650" s="180"/>
      <c r="E650" s="80"/>
      <c r="F650" s="140" t="str">
        <f t="shared" si="45"/>
        <v/>
      </c>
      <c r="G650" s="147" t="str">
        <f t="shared" si="46"/>
        <v/>
      </c>
    </row>
    <row r="651" spans="2:7" x14ac:dyDescent="0.2">
      <c r="B651" s="146" t="str">
        <f t="shared" si="44"/>
        <v/>
      </c>
      <c r="C651" s="180"/>
      <c r="D651" s="180"/>
      <c r="E651" s="80"/>
      <c r="F651" s="140" t="str">
        <f t="shared" si="45"/>
        <v/>
      </c>
      <c r="G651" s="147" t="str">
        <f t="shared" si="46"/>
        <v/>
      </c>
    </row>
    <row r="652" spans="2:7" x14ac:dyDescent="0.2">
      <c r="B652" s="146" t="str">
        <f t="shared" si="44"/>
        <v/>
      </c>
      <c r="C652" s="180"/>
      <c r="D652" s="180"/>
      <c r="E652" s="80"/>
      <c r="F652" s="140" t="str">
        <f t="shared" si="45"/>
        <v/>
      </c>
      <c r="G652" s="147" t="str">
        <f t="shared" si="46"/>
        <v/>
      </c>
    </row>
    <row r="653" spans="2:7" x14ac:dyDescent="0.2">
      <c r="B653" s="146" t="str">
        <f t="shared" si="44"/>
        <v/>
      </c>
      <c r="C653" s="180"/>
      <c r="D653" s="180"/>
      <c r="E653" s="80"/>
      <c r="F653" s="140" t="str">
        <f t="shared" si="45"/>
        <v/>
      </c>
      <c r="G653" s="147" t="str">
        <f t="shared" si="46"/>
        <v/>
      </c>
    </row>
    <row r="654" spans="2:7" x14ac:dyDescent="0.2">
      <c r="B654" s="146" t="str">
        <f t="shared" si="44"/>
        <v/>
      </c>
      <c r="C654" s="180"/>
      <c r="D654" s="180"/>
      <c r="E654" s="80"/>
      <c r="F654" s="140" t="str">
        <f t="shared" si="45"/>
        <v/>
      </c>
      <c r="G654" s="147" t="str">
        <f t="shared" si="46"/>
        <v/>
      </c>
    </row>
    <row r="655" spans="2:7" x14ac:dyDescent="0.2">
      <c r="B655" s="146" t="str">
        <f t="shared" si="44"/>
        <v/>
      </c>
      <c r="C655" s="180"/>
      <c r="D655" s="180"/>
      <c r="E655" s="80"/>
      <c r="F655" s="140" t="str">
        <f t="shared" si="45"/>
        <v/>
      </c>
      <c r="G655" s="147" t="str">
        <f t="shared" si="46"/>
        <v/>
      </c>
    </row>
    <row r="656" spans="2:7" x14ac:dyDescent="0.2">
      <c r="B656" s="146" t="str">
        <f t="shared" si="44"/>
        <v/>
      </c>
      <c r="C656" s="180"/>
      <c r="D656" s="180"/>
      <c r="E656" s="80"/>
      <c r="F656" s="140" t="str">
        <f t="shared" si="45"/>
        <v/>
      </c>
      <c r="G656" s="147" t="str">
        <f t="shared" si="46"/>
        <v/>
      </c>
    </row>
    <row r="657" spans="2:7" x14ac:dyDescent="0.2">
      <c r="B657" s="146" t="str">
        <f t="shared" si="44"/>
        <v/>
      </c>
      <c r="C657" s="180"/>
      <c r="D657" s="180"/>
      <c r="E657" s="80"/>
      <c r="F657" s="140" t="str">
        <f t="shared" si="45"/>
        <v/>
      </c>
      <c r="G657" s="147" t="str">
        <f t="shared" si="46"/>
        <v/>
      </c>
    </row>
    <row r="658" spans="2:7" x14ac:dyDescent="0.2">
      <c r="B658" s="146" t="str">
        <f t="shared" si="44"/>
        <v/>
      </c>
      <c r="C658" s="180"/>
      <c r="D658" s="180"/>
      <c r="E658" s="80"/>
      <c r="F658" s="140" t="str">
        <f t="shared" si="45"/>
        <v/>
      </c>
      <c r="G658" s="147" t="str">
        <f t="shared" si="46"/>
        <v/>
      </c>
    </row>
    <row r="659" spans="2:7" x14ac:dyDescent="0.2">
      <c r="B659" s="146" t="str">
        <f t="shared" si="44"/>
        <v/>
      </c>
      <c r="C659" s="180"/>
      <c r="D659" s="180"/>
      <c r="E659" s="80"/>
      <c r="F659" s="140" t="str">
        <f t="shared" si="45"/>
        <v/>
      </c>
      <c r="G659" s="147" t="str">
        <f t="shared" si="46"/>
        <v/>
      </c>
    </row>
    <row r="660" spans="2:7" x14ac:dyDescent="0.2">
      <c r="B660" s="146" t="str">
        <f t="shared" si="44"/>
        <v/>
      </c>
      <c r="C660" s="180"/>
      <c r="D660" s="180"/>
      <c r="E660" s="80"/>
      <c r="F660" s="140" t="str">
        <f t="shared" si="45"/>
        <v/>
      </c>
      <c r="G660" s="147" t="str">
        <f t="shared" si="46"/>
        <v/>
      </c>
    </row>
    <row r="661" spans="2:7" x14ac:dyDescent="0.2">
      <c r="B661" s="146" t="str">
        <f t="shared" si="44"/>
        <v/>
      </c>
      <c r="C661" s="180"/>
      <c r="D661" s="180"/>
      <c r="E661" s="80"/>
      <c r="F661" s="140" t="str">
        <f t="shared" si="45"/>
        <v/>
      </c>
      <c r="G661" s="147" t="str">
        <f t="shared" si="46"/>
        <v/>
      </c>
    </row>
    <row r="662" spans="2:7" x14ac:dyDescent="0.2">
      <c r="B662" s="146" t="str">
        <f t="shared" si="44"/>
        <v/>
      </c>
      <c r="C662" s="180"/>
      <c r="D662" s="180"/>
      <c r="E662" s="80"/>
      <c r="F662" s="140" t="str">
        <f t="shared" si="45"/>
        <v/>
      </c>
      <c r="G662" s="147" t="str">
        <f t="shared" si="46"/>
        <v/>
      </c>
    </row>
    <row r="663" spans="2:7" x14ac:dyDescent="0.2">
      <c r="B663" s="146" t="str">
        <f t="shared" si="44"/>
        <v/>
      </c>
      <c r="C663" s="180"/>
      <c r="D663" s="180"/>
      <c r="E663" s="80"/>
      <c r="F663" s="140" t="str">
        <f t="shared" si="45"/>
        <v/>
      </c>
      <c r="G663" s="147" t="str">
        <f t="shared" si="46"/>
        <v/>
      </c>
    </row>
    <row r="664" spans="2:7" x14ac:dyDescent="0.2">
      <c r="B664" s="146" t="str">
        <f t="shared" si="44"/>
        <v/>
      </c>
      <c r="C664" s="180"/>
      <c r="D664" s="180"/>
      <c r="E664" s="80"/>
      <c r="F664" s="140" t="str">
        <f t="shared" si="45"/>
        <v/>
      </c>
      <c r="G664" s="147" t="str">
        <f t="shared" si="46"/>
        <v/>
      </c>
    </row>
    <row r="665" spans="2:7" x14ac:dyDescent="0.2">
      <c r="B665" s="146" t="str">
        <f t="shared" si="44"/>
        <v/>
      </c>
      <c r="C665" s="180"/>
      <c r="D665" s="180"/>
      <c r="E665" s="80"/>
      <c r="F665" s="140" t="str">
        <f t="shared" si="45"/>
        <v/>
      </c>
      <c r="G665" s="147" t="str">
        <f t="shared" si="46"/>
        <v/>
      </c>
    </row>
    <row r="666" spans="2:7" x14ac:dyDescent="0.2">
      <c r="B666" s="146" t="str">
        <f t="shared" si="44"/>
        <v/>
      </c>
      <c r="C666" s="180"/>
      <c r="D666" s="180"/>
      <c r="E666" s="80"/>
      <c r="F666" s="140" t="str">
        <f t="shared" si="45"/>
        <v/>
      </c>
      <c r="G666" s="147" t="str">
        <f t="shared" si="46"/>
        <v/>
      </c>
    </row>
    <row r="667" spans="2:7" x14ac:dyDescent="0.2">
      <c r="B667" s="146" t="str">
        <f t="shared" si="44"/>
        <v/>
      </c>
      <c r="C667" s="180"/>
      <c r="D667" s="180"/>
      <c r="E667" s="80"/>
      <c r="F667" s="140" t="str">
        <f t="shared" si="45"/>
        <v/>
      </c>
      <c r="G667" s="147" t="str">
        <f t="shared" si="46"/>
        <v/>
      </c>
    </row>
    <row r="668" spans="2:7" x14ac:dyDescent="0.2">
      <c r="B668" s="146" t="str">
        <f t="shared" si="44"/>
        <v/>
      </c>
      <c r="C668" s="180"/>
      <c r="D668" s="180"/>
      <c r="E668" s="80"/>
      <c r="F668" s="140" t="str">
        <f t="shared" si="45"/>
        <v/>
      </c>
      <c r="G668" s="147" t="str">
        <f t="shared" si="46"/>
        <v/>
      </c>
    </row>
    <row r="669" spans="2:7" x14ac:dyDescent="0.2">
      <c r="B669" s="146" t="str">
        <f t="shared" si="44"/>
        <v/>
      </c>
      <c r="C669" s="180"/>
      <c r="D669" s="180"/>
      <c r="E669" s="80"/>
      <c r="F669" s="140" t="str">
        <f t="shared" si="45"/>
        <v/>
      </c>
      <c r="G669" s="147" t="str">
        <f t="shared" si="46"/>
        <v/>
      </c>
    </row>
    <row r="670" spans="2:7" x14ac:dyDescent="0.2">
      <c r="B670" s="146" t="str">
        <f t="shared" si="44"/>
        <v/>
      </c>
      <c r="C670" s="180"/>
      <c r="D670" s="180"/>
      <c r="E670" s="80"/>
      <c r="F670" s="140" t="str">
        <f t="shared" si="45"/>
        <v/>
      </c>
      <c r="G670" s="147" t="str">
        <f t="shared" si="46"/>
        <v/>
      </c>
    </row>
    <row r="671" spans="2:7" x14ac:dyDescent="0.2">
      <c r="B671" s="146" t="str">
        <f t="shared" si="44"/>
        <v/>
      </c>
      <c r="C671" s="180"/>
      <c r="D671" s="180"/>
      <c r="E671" s="80"/>
      <c r="F671" s="140" t="str">
        <f t="shared" si="45"/>
        <v/>
      </c>
      <c r="G671" s="147" t="str">
        <f t="shared" si="46"/>
        <v/>
      </c>
    </row>
    <row r="672" spans="2:7" x14ac:dyDescent="0.2">
      <c r="B672" s="146" t="str">
        <f t="shared" si="44"/>
        <v/>
      </c>
      <c r="C672" s="180"/>
      <c r="D672" s="180"/>
      <c r="E672" s="80"/>
      <c r="F672" s="140" t="str">
        <f t="shared" si="45"/>
        <v/>
      </c>
      <c r="G672" s="147" t="str">
        <f t="shared" si="46"/>
        <v/>
      </c>
    </row>
    <row r="673" spans="2:7" x14ac:dyDescent="0.2">
      <c r="B673" s="146" t="str">
        <f t="shared" si="44"/>
        <v/>
      </c>
      <c r="C673" s="180"/>
      <c r="D673" s="180"/>
      <c r="E673" s="80"/>
      <c r="F673" s="140" t="str">
        <f t="shared" si="45"/>
        <v/>
      </c>
      <c r="G673" s="147" t="str">
        <f t="shared" si="46"/>
        <v/>
      </c>
    </row>
    <row r="674" spans="2:7" x14ac:dyDescent="0.2">
      <c r="B674" s="146" t="str">
        <f t="shared" si="44"/>
        <v/>
      </c>
      <c r="C674" s="180"/>
      <c r="D674" s="180"/>
      <c r="E674" s="80"/>
      <c r="F674" s="140" t="str">
        <f t="shared" si="45"/>
        <v/>
      </c>
      <c r="G674" s="147" t="str">
        <f t="shared" si="46"/>
        <v/>
      </c>
    </row>
    <row r="675" spans="2:7" x14ac:dyDescent="0.2">
      <c r="B675" s="146" t="str">
        <f t="shared" si="44"/>
        <v/>
      </c>
      <c r="C675" s="180"/>
      <c r="D675" s="180"/>
      <c r="E675" s="80"/>
      <c r="F675" s="140" t="str">
        <f t="shared" si="45"/>
        <v/>
      </c>
      <c r="G675" s="147" t="str">
        <f t="shared" si="46"/>
        <v/>
      </c>
    </row>
    <row r="676" spans="2:7" x14ac:dyDescent="0.2">
      <c r="B676" s="146" t="str">
        <f t="shared" si="44"/>
        <v/>
      </c>
      <c r="C676" s="180"/>
      <c r="D676" s="180"/>
      <c r="E676" s="80"/>
      <c r="F676" s="140" t="str">
        <f t="shared" si="45"/>
        <v/>
      </c>
      <c r="G676" s="147" t="str">
        <f t="shared" si="46"/>
        <v/>
      </c>
    </row>
    <row r="677" spans="2:7" x14ac:dyDescent="0.2">
      <c r="B677" s="146" t="str">
        <f t="shared" si="44"/>
        <v/>
      </c>
      <c r="C677" s="180"/>
      <c r="D677" s="180"/>
      <c r="E677" s="80"/>
      <c r="F677" s="140" t="str">
        <f t="shared" si="45"/>
        <v/>
      </c>
      <c r="G677" s="147" t="str">
        <f t="shared" si="46"/>
        <v/>
      </c>
    </row>
    <row r="678" spans="2:7" x14ac:dyDescent="0.2">
      <c r="B678" s="146" t="str">
        <f t="shared" si="44"/>
        <v/>
      </c>
      <c r="C678" s="180"/>
      <c r="D678" s="180"/>
      <c r="E678" s="80"/>
      <c r="F678" s="140" t="str">
        <f t="shared" si="45"/>
        <v/>
      </c>
      <c r="G678" s="147" t="str">
        <f t="shared" si="46"/>
        <v/>
      </c>
    </row>
    <row r="679" spans="2:7" x14ac:dyDescent="0.2">
      <c r="B679" s="146" t="str">
        <f t="shared" si="44"/>
        <v/>
      </c>
      <c r="C679" s="180"/>
      <c r="D679" s="180"/>
      <c r="E679" s="80"/>
      <c r="F679" s="140" t="str">
        <f t="shared" si="45"/>
        <v/>
      </c>
      <c r="G679" s="147" t="str">
        <f t="shared" si="46"/>
        <v/>
      </c>
    </row>
    <row r="680" spans="2:7" x14ac:dyDescent="0.2">
      <c r="B680" s="146" t="str">
        <f t="shared" si="44"/>
        <v/>
      </c>
      <c r="C680" s="180"/>
      <c r="D680" s="180"/>
      <c r="E680" s="80"/>
      <c r="F680" s="140" t="str">
        <f t="shared" si="45"/>
        <v/>
      </c>
      <c r="G680" s="147" t="str">
        <f t="shared" si="46"/>
        <v/>
      </c>
    </row>
    <row r="681" spans="2:7" x14ac:dyDescent="0.2">
      <c r="B681" s="146" t="str">
        <f t="shared" si="44"/>
        <v/>
      </c>
      <c r="C681" s="180"/>
      <c r="D681" s="180"/>
      <c r="E681" s="80"/>
      <c r="F681" s="140" t="str">
        <f t="shared" si="45"/>
        <v/>
      </c>
      <c r="G681" s="147" t="str">
        <f t="shared" si="46"/>
        <v/>
      </c>
    </row>
    <row r="682" spans="2:7" x14ac:dyDescent="0.2">
      <c r="B682" s="146" t="str">
        <f t="shared" si="44"/>
        <v/>
      </c>
      <c r="C682" s="180"/>
      <c r="D682" s="180"/>
      <c r="E682" s="80"/>
      <c r="F682" s="140" t="str">
        <f t="shared" si="45"/>
        <v/>
      </c>
      <c r="G682" s="147" t="str">
        <f t="shared" si="46"/>
        <v/>
      </c>
    </row>
    <row r="683" spans="2:7" x14ac:dyDescent="0.2">
      <c r="B683" s="146" t="str">
        <f t="shared" si="44"/>
        <v/>
      </c>
      <c r="C683" s="180"/>
      <c r="D683" s="180"/>
      <c r="E683" s="80"/>
      <c r="F683" s="140" t="str">
        <f t="shared" si="45"/>
        <v/>
      </c>
      <c r="G683" s="147" t="str">
        <f t="shared" si="46"/>
        <v/>
      </c>
    </row>
    <row r="684" spans="2:7" x14ac:dyDescent="0.2">
      <c r="B684" s="146" t="str">
        <f t="shared" si="44"/>
        <v/>
      </c>
      <c r="C684" s="180"/>
      <c r="D684" s="180"/>
      <c r="E684" s="80"/>
      <c r="F684" s="140" t="str">
        <f t="shared" si="45"/>
        <v/>
      </c>
      <c r="G684" s="147" t="str">
        <f t="shared" si="46"/>
        <v/>
      </c>
    </row>
    <row r="685" spans="2:7" x14ac:dyDescent="0.2">
      <c r="B685" s="146" t="str">
        <f t="shared" si="44"/>
        <v/>
      </c>
      <c r="C685" s="180"/>
      <c r="D685" s="180"/>
      <c r="E685" s="80"/>
      <c r="F685" s="140" t="str">
        <f t="shared" si="45"/>
        <v/>
      </c>
      <c r="G685" s="147" t="str">
        <f t="shared" si="46"/>
        <v/>
      </c>
    </row>
    <row r="686" spans="2:7" x14ac:dyDescent="0.2">
      <c r="B686" s="146" t="str">
        <f t="shared" si="44"/>
        <v/>
      </c>
      <c r="C686" s="180"/>
      <c r="D686" s="180"/>
      <c r="E686" s="80"/>
      <c r="F686" s="140" t="str">
        <f t="shared" si="45"/>
        <v/>
      </c>
      <c r="G686" s="147" t="str">
        <f t="shared" si="46"/>
        <v/>
      </c>
    </row>
    <row r="687" spans="2:7" x14ac:dyDescent="0.2">
      <c r="B687" s="146" t="str">
        <f t="shared" si="44"/>
        <v/>
      </c>
      <c r="C687" s="180"/>
      <c r="D687" s="180"/>
      <c r="E687" s="80"/>
      <c r="F687" s="140" t="str">
        <f t="shared" si="45"/>
        <v/>
      </c>
      <c r="G687" s="147" t="str">
        <f t="shared" si="46"/>
        <v/>
      </c>
    </row>
    <row r="688" spans="2:7" x14ac:dyDescent="0.2">
      <c r="B688" s="146" t="str">
        <f t="shared" si="44"/>
        <v/>
      </c>
      <c r="C688" s="180"/>
      <c r="D688" s="180"/>
      <c r="E688" s="80"/>
      <c r="F688" s="140" t="str">
        <f t="shared" si="45"/>
        <v/>
      </c>
      <c r="G688" s="147" t="str">
        <f t="shared" si="46"/>
        <v/>
      </c>
    </row>
    <row r="689" spans="2:7" x14ac:dyDescent="0.2">
      <c r="B689" s="146" t="str">
        <f t="shared" si="44"/>
        <v/>
      </c>
      <c r="C689" s="180"/>
      <c r="D689" s="180"/>
      <c r="E689" s="80"/>
      <c r="F689" s="140" t="str">
        <f t="shared" si="45"/>
        <v/>
      </c>
      <c r="G689" s="147" t="str">
        <f t="shared" si="46"/>
        <v/>
      </c>
    </row>
    <row r="690" spans="2:7" x14ac:dyDescent="0.2">
      <c r="B690" s="146" t="str">
        <f t="shared" ref="B690:B753" si="47">IF(C690="","",VLOOKUP(C690,ユニット判定用,3))</f>
        <v/>
      </c>
      <c r="C690" s="180"/>
      <c r="D690" s="180"/>
      <c r="E690" s="80"/>
      <c r="F690" s="140" t="str">
        <f t="shared" ref="F690:F753" si="48">IF(C690="","",MROUND(D690-C690,"00:01"))</f>
        <v/>
      </c>
      <c r="G690" s="147" t="str">
        <f t="shared" ref="G690:G753" si="49">IF(C690="","",VLOOKUP(C690,施設運転・利用調整時間判定,5,1))</f>
        <v/>
      </c>
    </row>
    <row r="691" spans="2:7" x14ac:dyDescent="0.2">
      <c r="B691" s="146" t="str">
        <f t="shared" si="47"/>
        <v/>
      </c>
      <c r="C691" s="180"/>
      <c r="D691" s="180"/>
      <c r="E691" s="80"/>
      <c r="F691" s="140" t="str">
        <f t="shared" si="48"/>
        <v/>
      </c>
      <c r="G691" s="147" t="str">
        <f t="shared" si="49"/>
        <v/>
      </c>
    </row>
    <row r="692" spans="2:7" x14ac:dyDescent="0.2">
      <c r="B692" s="146" t="str">
        <f t="shared" si="47"/>
        <v/>
      </c>
      <c r="C692" s="180"/>
      <c r="D692" s="180"/>
      <c r="E692" s="80"/>
      <c r="F692" s="140" t="str">
        <f t="shared" si="48"/>
        <v/>
      </c>
      <c r="G692" s="147" t="str">
        <f t="shared" si="49"/>
        <v/>
      </c>
    </row>
    <row r="693" spans="2:7" x14ac:dyDescent="0.2">
      <c r="B693" s="146" t="str">
        <f t="shared" si="47"/>
        <v/>
      </c>
      <c r="C693" s="180"/>
      <c r="D693" s="180"/>
      <c r="E693" s="80"/>
      <c r="F693" s="140" t="str">
        <f t="shared" si="48"/>
        <v/>
      </c>
      <c r="G693" s="147" t="str">
        <f t="shared" si="49"/>
        <v/>
      </c>
    </row>
    <row r="694" spans="2:7" x14ac:dyDescent="0.2">
      <c r="B694" s="146" t="str">
        <f t="shared" si="47"/>
        <v/>
      </c>
      <c r="C694" s="180"/>
      <c r="D694" s="180"/>
      <c r="E694" s="80"/>
      <c r="F694" s="140" t="str">
        <f t="shared" si="48"/>
        <v/>
      </c>
      <c r="G694" s="147" t="str">
        <f t="shared" si="49"/>
        <v/>
      </c>
    </row>
    <row r="695" spans="2:7" x14ac:dyDescent="0.2">
      <c r="B695" s="146" t="str">
        <f t="shared" si="47"/>
        <v/>
      </c>
      <c r="C695" s="180"/>
      <c r="D695" s="180"/>
      <c r="E695" s="80"/>
      <c r="F695" s="140" t="str">
        <f t="shared" si="48"/>
        <v/>
      </c>
      <c r="G695" s="147" t="str">
        <f t="shared" si="49"/>
        <v/>
      </c>
    </row>
    <row r="696" spans="2:7" x14ac:dyDescent="0.2">
      <c r="B696" s="146" t="str">
        <f t="shared" si="47"/>
        <v/>
      </c>
      <c r="C696" s="180"/>
      <c r="D696" s="180"/>
      <c r="E696" s="80"/>
      <c r="F696" s="140" t="str">
        <f t="shared" si="48"/>
        <v/>
      </c>
      <c r="G696" s="147" t="str">
        <f t="shared" si="49"/>
        <v/>
      </c>
    </row>
    <row r="697" spans="2:7" x14ac:dyDescent="0.2">
      <c r="B697" s="146" t="str">
        <f t="shared" si="47"/>
        <v/>
      </c>
      <c r="C697" s="180"/>
      <c r="D697" s="180"/>
      <c r="E697" s="80"/>
      <c r="F697" s="140" t="str">
        <f t="shared" si="48"/>
        <v/>
      </c>
      <c r="G697" s="147" t="str">
        <f t="shared" si="49"/>
        <v/>
      </c>
    </row>
    <row r="698" spans="2:7" x14ac:dyDescent="0.2">
      <c r="B698" s="146" t="str">
        <f t="shared" si="47"/>
        <v/>
      </c>
      <c r="C698" s="180"/>
      <c r="D698" s="180"/>
      <c r="E698" s="80"/>
      <c r="F698" s="140" t="str">
        <f t="shared" si="48"/>
        <v/>
      </c>
      <c r="G698" s="147" t="str">
        <f t="shared" si="49"/>
        <v/>
      </c>
    </row>
    <row r="699" spans="2:7" x14ac:dyDescent="0.2">
      <c r="B699" s="146" t="str">
        <f t="shared" si="47"/>
        <v/>
      </c>
      <c r="C699" s="180"/>
      <c r="D699" s="180"/>
      <c r="E699" s="80"/>
      <c r="F699" s="140" t="str">
        <f t="shared" si="48"/>
        <v/>
      </c>
      <c r="G699" s="147" t="str">
        <f t="shared" si="49"/>
        <v/>
      </c>
    </row>
    <row r="700" spans="2:7" x14ac:dyDescent="0.2">
      <c r="B700" s="146" t="str">
        <f t="shared" si="47"/>
        <v/>
      </c>
      <c r="C700" s="180"/>
      <c r="D700" s="180"/>
      <c r="E700" s="80"/>
      <c r="F700" s="140" t="str">
        <f t="shared" si="48"/>
        <v/>
      </c>
      <c r="G700" s="147" t="str">
        <f t="shared" si="49"/>
        <v/>
      </c>
    </row>
    <row r="701" spans="2:7" x14ac:dyDescent="0.2">
      <c r="B701" s="146" t="str">
        <f t="shared" si="47"/>
        <v/>
      </c>
      <c r="C701" s="180"/>
      <c r="D701" s="180"/>
      <c r="E701" s="80"/>
      <c r="F701" s="140" t="str">
        <f t="shared" si="48"/>
        <v/>
      </c>
      <c r="G701" s="147" t="str">
        <f t="shared" si="49"/>
        <v/>
      </c>
    </row>
    <row r="702" spans="2:7" x14ac:dyDescent="0.2">
      <c r="B702" s="146" t="str">
        <f t="shared" si="47"/>
        <v/>
      </c>
      <c r="C702" s="180"/>
      <c r="D702" s="180"/>
      <c r="E702" s="80"/>
      <c r="F702" s="140" t="str">
        <f t="shared" si="48"/>
        <v/>
      </c>
      <c r="G702" s="147" t="str">
        <f t="shared" si="49"/>
        <v/>
      </c>
    </row>
    <row r="703" spans="2:7" x14ac:dyDescent="0.2">
      <c r="B703" s="146" t="str">
        <f t="shared" si="47"/>
        <v/>
      </c>
      <c r="C703" s="180"/>
      <c r="D703" s="180"/>
      <c r="E703" s="80"/>
      <c r="F703" s="140" t="str">
        <f t="shared" si="48"/>
        <v/>
      </c>
      <c r="G703" s="147" t="str">
        <f t="shared" si="49"/>
        <v/>
      </c>
    </row>
    <row r="704" spans="2:7" x14ac:dyDescent="0.2">
      <c r="B704" s="146" t="str">
        <f t="shared" si="47"/>
        <v/>
      </c>
      <c r="C704" s="180"/>
      <c r="D704" s="180"/>
      <c r="E704" s="80"/>
      <c r="F704" s="140" t="str">
        <f t="shared" si="48"/>
        <v/>
      </c>
      <c r="G704" s="147" t="str">
        <f t="shared" si="49"/>
        <v/>
      </c>
    </row>
    <row r="705" spans="2:7" x14ac:dyDescent="0.2">
      <c r="B705" s="146" t="str">
        <f t="shared" si="47"/>
        <v/>
      </c>
      <c r="C705" s="180"/>
      <c r="D705" s="180"/>
      <c r="E705" s="80"/>
      <c r="F705" s="140" t="str">
        <f t="shared" si="48"/>
        <v/>
      </c>
      <c r="G705" s="147" t="str">
        <f t="shared" si="49"/>
        <v/>
      </c>
    </row>
    <row r="706" spans="2:7" x14ac:dyDescent="0.2">
      <c r="B706" s="146" t="str">
        <f t="shared" si="47"/>
        <v/>
      </c>
      <c r="C706" s="180"/>
      <c r="D706" s="180"/>
      <c r="E706" s="80"/>
      <c r="F706" s="140" t="str">
        <f t="shared" si="48"/>
        <v/>
      </c>
      <c r="G706" s="147" t="str">
        <f t="shared" si="49"/>
        <v/>
      </c>
    </row>
    <row r="707" spans="2:7" x14ac:dyDescent="0.2">
      <c r="B707" s="146" t="str">
        <f t="shared" si="47"/>
        <v/>
      </c>
      <c r="C707" s="180"/>
      <c r="D707" s="180"/>
      <c r="E707" s="80"/>
      <c r="F707" s="140" t="str">
        <f t="shared" si="48"/>
        <v/>
      </c>
      <c r="G707" s="147" t="str">
        <f t="shared" si="49"/>
        <v/>
      </c>
    </row>
    <row r="708" spans="2:7" x14ac:dyDescent="0.2">
      <c r="B708" s="146" t="str">
        <f t="shared" si="47"/>
        <v/>
      </c>
      <c r="C708" s="180"/>
      <c r="D708" s="180"/>
      <c r="E708" s="80"/>
      <c r="F708" s="140" t="str">
        <f t="shared" si="48"/>
        <v/>
      </c>
      <c r="G708" s="147" t="str">
        <f t="shared" si="49"/>
        <v/>
      </c>
    </row>
    <row r="709" spans="2:7" x14ac:dyDescent="0.2">
      <c r="B709" s="146" t="str">
        <f t="shared" si="47"/>
        <v/>
      </c>
      <c r="C709" s="180"/>
      <c r="D709" s="180"/>
      <c r="E709" s="80"/>
      <c r="F709" s="140" t="str">
        <f t="shared" si="48"/>
        <v/>
      </c>
      <c r="G709" s="147" t="str">
        <f t="shared" si="49"/>
        <v/>
      </c>
    </row>
    <row r="710" spans="2:7" x14ac:dyDescent="0.2">
      <c r="B710" s="146" t="str">
        <f t="shared" si="47"/>
        <v/>
      </c>
      <c r="C710" s="180"/>
      <c r="D710" s="180"/>
      <c r="E710" s="80"/>
      <c r="F710" s="140" t="str">
        <f t="shared" si="48"/>
        <v/>
      </c>
      <c r="G710" s="147" t="str">
        <f t="shared" si="49"/>
        <v/>
      </c>
    </row>
    <row r="711" spans="2:7" x14ac:dyDescent="0.2">
      <c r="B711" s="146" t="str">
        <f t="shared" si="47"/>
        <v/>
      </c>
      <c r="C711" s="180"/>
      <c r="D711" s="180"/>
      <c r="E711" s="80"/>
      <c r="F711" s="140" t="str">
        <f t="shared" si="48"/>
        <v/>
      </c>
      <c r="G711" s="147" t="str">
        <f t="shared" si="49"/>
        <v/>
      </c>
    </row>
    <row r="712" spans="2:7" x14ac:dyDescent="0.2">
      <c r="B712" s="146" t="str">
        <f t="shared" si="47"/>
        <v/>
      </c>
      <c r="C712" s="180"/>
      <c r="D712" s="180"/>
      <c r="E712" s="80"/>
      <c r="F712" s="140" t="str">
        <f t="shared" si="48"/>
        <v/>
      </c>
      <c r="G712" s="147" t="str">
        <f t="shared" si="49"/>
        <v/>
      </c>
    </row>
    <row r="713" spans="2:7" x14ac:dyDescent="0.2">
      <c r="B713" s="146" t="str">
        <f t="shared" si="47"/>
        <v/>
      </c>
      <c r="C713" s="180"/>
      <c r="D713" s="180"/>
      <c r="E713" s="80"/>
      <c r="F713" s="140" t="str">
        <f t="shared" si="48"/>
        <v/>
      </c>
      <c r="G713" s="147" t="str">
        <f t="shared" si="49"/>
        <v/>
      </c>
    </row>
    <row r="714" spans="2:7" x14ac:dyDescent="0.2">
      <c r="B714" s="146" t="str">
        <f t="shared" si="47"/>
        <v/>
      </c>
      <c r="C714" s="180"/>
      <c r="D714" s="180"/>
      <c r="E714" s="80"/>
      <c r="F714" s="140" t="str">
        <f t="shared" si="48"/>
        <v/>
      </c>
      <c r="G714" s="147" t="str">
        <f t="shared" si="49"/>
        <v/>
      </c>
    </row>
    <row r="715" spans="2:7" x14ac:dyDescent="0.2">
      <c r="B715" s="146" t="str">
        <f t="shared" si="47"/>
        <v/>
      </c>
      <c r="C715" s="180"/>
      <c r="D715" s="180"/>
      <c r="E715" s="80"/>
      <c r="F715" s="140" t="str">
        <f t="shared" si="48"/>
        <v/>
      </c>
      <c r="G715" s="147" t="str">
        <f t="shared" si="49"/>
        <v/>
      </c>
    </row>
    <row r="716" spans="2:7" x14ac:dyDescent="0.2">
      <c r="B716" s="146" t="str">
        <f t="shared" si="47"/>
        <v/>
      </c>
      <c r="C716" s="180"/>
      <c r="D716" s="180"/>
      <c r="E716" s="80"/>
      <c r="F716" s="140" t="str">
        <f t="shared" si="48"/>
        <v/>
      </c>
      <c r="G716" s="147" t="str">
        <f t="shared" si="49"/>
        <v/>
      </c>
    </row>
    <row r="717" spans="2:7" x14ac:dyDescent="0.2">
      <c r="B717" s="146" t="str">
        <f t="shared" si="47"/>
        <v/>
      </c>
      <c r="C717" s="180"/>
      <c r="D717" s="180"/>
      <c r="E717" s="80"/>
      <c r="F717" s="140" t="str">
        <f t="shared" si="48"/>
        <v/>
      </c>
      <c r="G717" s="147" t="str">
        <f t="shared" si="49"/>
        <v/>
      </c>
    </row>
    <row r="718" spans="2:7" x14ac:dyDescent="0.2">
      <c r="B718" s="146" t="str">
        <f t="shared" si="47"/>
        <v/>
      </c>
      <c r="C718" s="180"/>
      <c r="D718" s="180"/>
      <c r="E718" s="80"/>
      <c r="F718" s="140" t="str">
        <f t="shared" si="48"/>
        <v/>
      </c>
      <c r="G718" s="147" t="str">
        <f t="shared" si="49"/>
        <v/>
      </c>
    </row>
    <row r="719" spans="2:7" x14ac:dyDescent="0.2">
      <c r="B719" s="146" t="str">
        <f t="shared" si="47"/>
        <v/>
      </c>
      <c r="C719" s="180"/>
      <c r="D719" s="180"/>
      <c r="E719" s="80"/>
      <c r="F719" s="140" t="str">
        <f t="shared" si="48"/>
        <v/>
      </c>
      <c r="G719" s="147" t="str">
        <f t="shared" si="49"/>
        <v/>
      </c>
    </row>
    <row r="720" spans="2:7" x14ac:dyDescent="0.2">
      <c r="B720" s="146" t="str">
        <f t="shared" si="47"/>
        <v/>
      </c>
      <c r="C720" s="180"/>
      <c r="D720" s="180"/>
      <c r="E720" s="80"/>
      <c r="F720" s="140" t="str">
        <f t="shared" si="48"/>
        <v/>
      </c>
      <c r="G720" s="147" t="str">
        <f t="shared" si="49"/>
        <v/>
      </c>
    </row>
    <row r="721" spans="2:7" x14ac:dyDescent="0.2">
      <c r="B721" s="146" t="str">
        <f t="shared" si="47"/>
        <v/>
      </c>
      <c r="C721" s="180"/>
      <c r="D721" s="180"/>
      <c r="E721" s="80"/>
      <c r="F721" s="140" t="str">
        <f t="shared" si="48"/>
        <v/>
      </c>
      <c r="G721" s="147" t="str">
        <f t="shared" si="49"/>
        <v/>
      </c>
    </row>
    <row r="722" spans="2:7" x14ac:dyDescent="0.2">
      <c r="B722" s="146" t="str">
        <f t="shared" si="47"/>
        <v/>
      </c>
      <c r="C722" s="180"/>
      <c r="D722" s="180"/>
      <c r="E722" s="80"/>
      <c r="F722" s="140" t="str">
        <f t="shared" si="48"/>
        <v/>
      </c>
      <c r="G722" s="147" t="str">
        <f t="shared" si="49"/>
        <v/>
      </c>
    </row>
    <row r="723" spans="2:7" x14ac:dyDescent="0.2">
      <c r="B723" s="146" t="str">
        <f t="shared" si="47"/>
        <v/>
      </c>
      <c r="C723" s="180"/>
      <c r="D723" s="180"/>
      <c r="E723" s="80"/>
      <c r="F723" s="140" t="str">
        <f t="shared" si="48"/>
        <v/>
      </c>
      <c r="G723" s="147" t="str">
        <f t="shared" si="49"/>
        <v/>
      </c>
    </row>
    <row r="724" spans="2:7" x14ac:dyDescent="0.2">
      <c r="B724" s="146" t="str">
        <f t="shared" si="47"/>
        <v/>
      </c>
      <c r="C724" s="180"/>
      <c r="D724" s="180"/>
      <c r="E724" s="80"/>
      <c r="F724" s="140" t="str">
        <f t="shared" si="48"/>
        <v/>
      </c>
      <c r="G724" s="147" t="str">
        <f t="shared" si="49"/>
        <v/>
      </c>
    </row>
    <row r="725" spans="2:7" x14ac:dyDescent="0.2">
      <c r="B725" s="146" t="str">
        <f t="shared" si="47"/>
        <v/>
      </c>
      <c r="C725" s="180"/>
      <c r="D725" s="180"/>
      <c r="E725" s="80"/>
      <c r="F725" s="140" t="str">
        <f t="shared" si="48"/>
        <v/>
      </c>
      <c r="G725" s="147" t="str">
        <f t="shared" si="49"/>
        <v/>
      </c>
    </row>
    <row r="726" spans="2:7" x14ac:dyDescent="0.2">
      <c r="B726" s="146" t="str">
        <f t="shared" si="47"/>
        <v/>
      </c>
      <c r="C726" s="180"/>
      <c r="D726" s="180"/>
      <c r="E726" s="80"/>
      <c r="F726" s="140" t="str">
        <f t="shared" si="48"/>
        <v/>
      </c>
      <c r="G726" s="147" t="str">
        <f t="shared" si="49"/>
        <v/>
      </c>
    </row>
    <row r="727" spans="2:7" x14ac:dyDescent="0.2">
      <c r="B727" s="146" t="str">
        <f t="shared" si="47"/>
        <v/>
      </c>
      <c r="C727" s="180"/>
      <c r="D727" s="180"/>
      <c r="E727" s="80"/>
      <c r="F727" s="140" t="str">
        <f t="shared" si="48"/>
        <v/>
      </c>
      <c r="G727" s="147" t="str">
        <f t="shared" si="49"/>
        <v/>
      </c>
    </row>
    <row r="728" spans="2:7" x14ac:dyDescent="0.2">
      <c r="B728" s="146" t="str">
        <f t="shared" si="47"/>
        <v/>
      </c>
      <c r="C728" s="180"/>
      <c r="D728" s="180"/>
      <c r="E728" s="80"/>
      <c r="F728" s="140" t="str">
        <f t="shared" si="48"/>
        <v/>
      </c>
      <c r="G728" s="147" t="str">
        <f t="shared" si="49"/>
        <v/>
      </c>
    </row>
    <row r="729" spans="2:7" x14ac:dyDescent="0.2">
      <c r="B729" s="146" t="str">
        <f t="shared" si="47"/>
        <v/>
      </c>
      <c r="C729" s="180"/>
      <c r="D729" s="180"/>
      <c r="E729" s="80"/>
      <c r="F729" s="140" t="str">
        <f t="shared" si="48"/>
        <v/>
      </c>
      <c r="G729" s="147" t="str">
        <f t="shared" si="49"/>
        <v/>
      </c>
    </row>
    <row r="730" spans="2:7" x14ac:dyDescent="0.2">
      <c r="B730" s="146" t="str">
        <f t="shared" si="47"/>
        <v/>
      </c>
      <c r="C730" s="180"/>
      <c r="D730" s="180"/>
      <c r="E730" s="80"/>
      <c r="F730" s="140" t="str">
        <f t="shared" si="48"/>
        <v/>
      </c>
      <c r="G730" s="147" t="str">
        <f t="shared" si="49"/>
        <v/>
      </c>
    </row>
    <row r="731" spans="2:7" x14ac:dyDescent="0.2">
      <c r="B731" s="146" t="str">
        <f t="shared" si="47"/>
        <v/>
      </c>
      <c r="C731" s="180"/>
      <c r="D731" s="180"/>
      <c r="E731" s="80"/>
      <c r="F731" s="140" t="str">
        <f t="shared" si="48"/>
        <v/>
      </c>
      <c r="G731" s="147" t="str">
        <f t="shared" si="49"/>
        <v/>
      </c>
    </row>
    <row r="732" spans="2:7" x14ac:dyDescent="0.2">
      <c r="B732" s="146" t="str">
        <f t="shared" si="47"/>
        <v/>
      </c>
      <c r="C732" s="180"/>
      <c r="D732" s="180"/>
      <c r="E732" s="80"/>
      <c r="F732" s="140" t="str">
        <f t="shared" si="48"/>
        <v/>
      </c>
      <c r="G732" s="147" t="str">
        <f t="shared" si="49"/>
        <v/>
      </c>
    </row>
    <row r="733" spans="2:7" x14ac:dyDescent="0.2">
      <c r="B733" s="146" t="str">
        <f t="shared" si="47"/>
        <v/>
      </c>
      <c r="C733" s="180"/>
      <c r="D733" s="180"/>
      <c r="E733" s="80"/>
      <c r="F733" s="140" t="str">
        <f t="shared" si="48"/>
        <v/>
      </c>
      <c r="G733" s="147" t="str">
        <f t="shared" si="49"/>
        <v/>
      </c>
    </row>
    <row r="734" spans="2:7" x14ac:dyDescent="0.2">
      <c r="B734" s="146" t="str">
        <f t="shared" si="47"/>
        <v/>
      </c>
      <c r="C734" s="180"/>
      <c r="D734" s="180"/>
      <c r="E734" s="80"/>
      <c r="F734" s="140" t="str">
        <f t="shared" si="48"/>
        <v/>
      </c>
      <c r="G734" s="147" t="str">
        <f t="shared" si="49"/>
        <v/>
      </c>
    </row>
    <row r="735" spans="2:7" x14ac:dyDescent="0.2">
      <c r="B735" s="146" t="str">
        <f t="shared" si="47"/>
        <v/>
      </c>
      <c r="C735" s="180"/>
      <c r="D735" s="180"/>
      <c r="E735" s="80"/>
      <c r="F735" s="140" t="str">
        <f t="shared" si="48"/>
        <v/>
      </c>
      <c r="G735" s="147" t="str">
        <f t="shared" si="49"/>
        <v/>
      </c>
    </row>
    <row r="736" spans="2:7" x14ac:dyDescent="0.2">
      <c r="B736" s="146" t="str">
        <f t="shared" si="47"/>
        <v/>
      </c>
      <c r="C736" s="180"/>
      <c r="D736" s="180"/>
      <c r="E736" s="80"/>
      <c r="F736" s="140" t="str">
        <f t="shared" si="48"/>
        <v/>
      </c>
      <c r="G736" s="147" t="str">
        <f t="shared" si="49"/>
        <v/>
      </c>
    </row>
    <row r="737" spans="2:7" x14ac:dyDescent="0.2">
      <c r="B737" s="146" t="str">
        <f t="shared" si="47"/>
        <v/>
      </c>
      <c r="C737" s="180"/>
      <c r="D737" s="180"/>
      <c r="E737" s="80"/>
      <c r="F737" s="140" t="str">
        <f t="shared" si="48"/>
        <v/>
      </c>
      <c r="G737" s="147" t="str">
        <f t="shared" si="49"/>
        <v/>
      </c>
    </row>
    <row r="738" spans="2:7" x14ac:dyDescent="0.2">
      <c r="B738" s="146" t="str">
        <f t="shared" si="47"/>
        <v/>
      </c>
      <c r="C738" s="180"/>
      <c r="D738" s="180"/>
      <c r="E738" s="80"/>
      <c r="F738" s="140" t="str">
        <f t="shared" si="48"/>
        <v/>
      </c>
      <c r="G738" s="147" t="str">
        <f t="shared" si="49"/>
        <v/>
      </c>
    </row>
    <row r="739" spans="2:7" x14ac:dyDescent="0.2">
      <c r="B739" s="146" t="str">
        <f t="shared" si="47"/>
        <v/>
      </c>
      <c r="C739" s="180"/>
      <c r="D739" s="180"/>
      <c r="E739" s="80"/>
      <c r="F739" s="140" t="str">
        <f t="shared" si="48"/>
        <v/>
      </c>
      <c r="G739" s="147" t="str">
        <f t="shared" si="49"/>
        <v/>
      </c>
    </row>
    <row r="740" spans="2:7" x14ac:dyDescent="0.2">
      <c r="B740" s="146" t="str">
        <f t="shared" si="47"/>
        <v/>
      </c>
      <c r="C740" s="180"/>
      <c r="D740" s="180"/>
      <c r="E740" s="80"/>
      <c r="F740" s="140" t="str">
        <f t="shared" si="48"/>
        <v/>
      </c>
      <c r="G740" s="147" t="str">
        <f t="shared" si="49"/>
        <v/>
      </c>
    </row>
    <row r="741" spans="2:7" x14ac:dyDescent="0.2">
      <c r="B741" s="146" t="str">
        <f t="shared" si="47"/>
        <v/>
      </c>
      <c r="C741" s="180"/>
      <c r="D741" s="180"/>
      <c r="E741" s="80"/>
      <c r="F741" s="140" t="str">
        <f t="shared" si="48"/>
        <v/>
      </c>
      <c r="G741" s="147" t="str">
        <f t="shared" si="49"/>
        <v/>
      </c>
    </row>
    <row r="742" spans="2:7" x14ac:dyDescent="0.2">
      <c r="B742" s="146" t="str">
        <f t="shared" si="47"/>
        <v/>
      </c>
      <c r="C742" s="180"/>
      <c r="D742" s="180"/>
      <c r="E742" s="80"/>
      <c r="F742" s="140" t="str">
        <f t="shared" si="48"/>
        <v/>
      </c>
      <c r="G742" s="147" t="str">
        <f t="shared" si="49"/>
        <v/>
      </c>
    </row>
    <row r="743" spans="2:7" x14ac:dyDescent="0.2">
      <c r="B743" s="146" t="str">
        <f t="shared" si="47"/>
        <v/>
      </c>
      <c r="C743" s="180"/>
      <c r="D743" s="180"/>
      <c r="E743" s="80"/>
      <c r="F743" s="140" t="str">
        <f t="shared" si="48"/>
        <v/>
      </c>
      <c r="G743" s="147" t="str">
        <f t="shared" si="49"/>
        <v/>
      </c>
    </row>
    <row r="744" spans="2:7" x14ac:dyDescent="0.2">
      <c r="B744" s="146" t="str">
        <f t="shared" si="47"/>
        <v/>
      </c>
      <c r="C744" s="180"/>
      <c r="D744" s="180"/>
      <c r="E744" s="80"/>
      <c r="F744" s="140" t="str">
        <f t="shared" si="48"/>
        <v/>
      </c>
      <c r="G744" s="147" t="str">
        <f t="shared" si="49"/>
        <v/>
      </c>
    </row>
    <row r="745" spans="2:7" x14ac:dyDescent="0.2">
      <c r="B745" s="146" t="str">
        <f t="shared" si="47"/>
        <v/>
      </c>
      <c r="C745" s="180"/>
      <c r="D745" s="180"/>
      <c r="E745" s="80"/>
      <c r="F745" s="140" t="str">
        <f t="shared" si="48"/>
        <v/>
      </c>
      <c r="G745" s="147" t="str">
        <f t="shared" si="49"/>
        <v/>
      </c>
    </row>
    <row r="746" spans="2:7" x14ac:dyDescent="0.2">
      <c r="B746" s="146" t="str">
        <f t="shared" si="47"/>
        <v/>
      </c>
      <c r="C746" s="180"/>
      <c r="D746" s="180"/>
      <c r="E746" s="80"/>
      <c r="F746" s="140" t="str">
        <f t="shared" si="48"/>
        <v/>
      </c>
      <c r="G746" s="147" t="str">
        <f t="shared" si="49"/>
        <v/>
      </c>
    </row>
    <row r="747" spans="2:7" x14ac:dyDescent="0.2">
      <c r="B747" s="146" t="str">
        <f t="shared" si="47"/>
        <v/>
      </c>
      <c r="C747" s="180"/>
      <c r="D747" s="180"/>
      <c r="E747" s="80"/>
      <c r="F747" s="140" t="str">
        <f t="shared" si="48"/>
        <v/>
      </c>
      <c r="G747" s="147" t="str">
        <f t="shared" si="49"/>
        <v/>
      </c>
    </row>
    <row r="748" spans="2:7" x14ac:dyDescent="0.2">
      <c r="B748" s="146" t="str">
        <f t="shared" si="47"/>
        <v/>
      </c>
      <c r="C748" s="180"/>
      <c r="D748" s="180"/>
      <c r="E748" s="80"/>
      <c r="F748" s="140" t="str">
        <f t="shared" si="48"/>
        <v/>
      </c>
      <c r="G748" s="147" t="str">
        <f t="shared" si="49"/>
        <v/>
      </c>
    </row>
    <row r="749" spans="2:7" x14ac:dyDescent="0.2">
      <c r="B749" s="146" t="str">
        <f t="shared" si="47"/>
        <v/>
      </c>
      <c r="C749" s="180"/>
      <c r="D749" s="180"/>
      <c r="E749" s="80"/>
      <c r="F749" s="140" t="str">
        <f t="shared" si="48"/>
        <v/>
      </c>
      <c r="G749" s="147" t="str">
        <f t="shared" si="49"/>
        <v/>
      </c>
    </row>
    <row r="750" spans="2:7" x14ac:dyDescent="0.2">
      <c r="B750" s="146" t="str">
        <f t="shared" si="47"/>
        <v/>
      </c>
      <c r="C750" s="180"/>
      <c r="D750" s="180"/>
      <c r="E750" s="80"/>
      <c r="F750" s="140" t="str">
        <f t="shared" si="48"/>
        <v/>
      </c>
      <c r="G750" s="147" t="str">
        <f t="shared" si="49"/>
        <v/>
      </c>
    </row>
    <row r="751" spans="2:7" x14ac:dyDescent="0.2">
      <c r="B751" s="146" t="str">
        <f t="shared" si="47"/>
        <v/>
      </c>
      <c r="C751" s="180"/>
      <c r="D751" s="180"/>
      <c r="E751" s="80"/>
      <c r="F751" s="140" t="str">
        <f t="shared" si="48"/>
        <v/>
      </c>
      <c r="G751" s="147" t="str">
        <f t="shared" si="49"/>
        <v/>
      </c>
    </row>
    <row r="752" spans="2:7" x14ac:dyDescent="0.2">
      <c r="B752" s="146" t="str">
        <f t="shared" si="47"/>
        <v/>
      </c>
      <c r="C752" s="180"/>
      <c r="D752" s="180"/>
      <c r="E752" s="80"/>
      <c r="F752" s="140" t="str">
        <f t="shared" si="48"/>
        <v/>
      </c>
      <c r="G752" s="147" t="str">
        <f t="shared" si="49"/>
        <v/>
      </c>
    </row>
    <row r="753" spans="2:7" x14ac:dyDescent="0.2">
      <c r="B753" s="146" t="str">
        <f t="shared" si="47"/>
        <v/>
      </c>
      <c r="C753" s="180"/>
      <c r="D753" s="180"/>
      <c r="E753" s="80"/>
      <c r="F753" s="140" t="str">
        <f t="shared" si="48"/>
        <v/>
      </c>
      <c r="G753" s="147" t="str">
        <f t="shared" si="49"/>
        <v/>
      </c>
    </row>
    <row r="754" spans="2:7" x14ac:dyDescent="0.2">
      <c r="B754" s="146" t="str">
        <f t="shared" ref="B754:B817" si="50">IF(C754="","",VLOOKUP(C754,ユニット判定用,3))</f>
        <v/>
      </c>
      <c r="C754" s="180"/>
      <c r="D754" s="180"/>
      <c r="E754" s="80"/>
      <c r="F754" s="140" t="str">
        <f t="shared" ref="F754:F817" si="51">IF(C754="","",MROUND(D754-C754,"00:01"))</f>
        <v/>
      </c>
      <c r="G754" s="147" t="str">
        <f t="shared" ref="G754:G817" si="52">IF(C754="","",VLOOKUP(C754,施設運転・利用調整時間判定,5,1))</f>
        <v/>
      </c>
    </row>
    <row r="755" spans="2:7" x14ac:dyDescent="0.2">
      <c r="B755" s="146" t="str">
        <f t="shared" si="50"/>
        <v/>
      </c>
      <c r="C755" s="180"/>
      <c r="D755" s="180"/>
      <c r="E755" s="80"/>
      <c r="F755" s="140" t="str">
        <f t="shared" si="51"/>
        <v/>
      </c>
      <c r="G755" s="147" t="str">
        <f t="shared" si="52"/>
        <v/>
      </c>
    </row>
    <row r="756" spans="2:7" x14ac:dyDescent="0.2">
      <c r="B756" s="146" t="str">
        <f t="shared" si="50"/>
        <v/>
      </c>
      <c r="C756" s="180"/>
      <c r="D756" s="180"/>
      <c r="E756" s="80"/>
      <c r="F756" s="140" t="str">
        <f t="shared" si="51"/>
        <v/>
      </c>
      <c r="G756" s="147" t="str">
        <f t="shared" si="52"/>
        <v/>
      </c>
    </row>
    <row r="757" spans="2:7" x14ac:dyDescent="0.2">
      <c r="B757" s="146" t="str">
        <f t="shared" si="50"/>
        <v/>
      </c>
      <c r="C757" s="180"/>
      <c r="D757" s="180"/>
      <c r="E757" s="80"/>
      <c r="F757" s="140" t="str">
        <f t="shared" si="51"/>
        <v/>
      </c>
      <c r="G757" s="147" t="str">
        <f t="shared" si="52"/>
        <v/>
      </c>
    </row>
    <row r="758" spans="2:7" x14ac:dyDescent="0.2">
      <c r="B758" s="146" t="str">
        <f t="shared" si="50"/>
        <v/>
      </c>
      <c r="C758" s="180"/>
      <c r="D758" s="180"/>
      <c r="E758" s="80"/>
      <c r="F758" s="140" t="str">
        <f t="shared" si="51"/>
        <v/>
      </c>
      <c r="G758" s="147" t="str">
        <f t="shared" si="52"/>
        <v/>
      </c>
    </row>
    <row r="759" spans="2:7" x14ac:dyDescent="0.2">
      <c r="B759" s="146" t="str">
        <f t="shared" si="50"/>
        <v/>
      </c>
      <c r="C759" s="180"/>
      <c r="D759" s="180"/>
      <c r="E759" s="80"/>
      <c r="F759" s="140" t="str">
        <f t="shared" si="51"/>
        <v/>
      </c>
      <c r="G759" s="147" t="str">
        <f t="shared" si="52"/>
        <v/>
      </c>
    </row>
    <row r="760" spans="2:7" x14ac:dyDescent="0.2">
      <c r="B760" s="146" t="str">
        <f t="shared" si="50"/>
        <v/>
      </c>
      <c r="C760" s="180"/>
      <c r="D760" s="180"/>
      <c r="E760" s="80"/>
      <c r="F760" s="140" t="str">
        <f t="shared" si="51"/>
        <v/>
      </c>
      <c r="G760" s="147" t="str">
        <f t="shared" si="52"/>
        <v/>
      </c>
    </row>
    <row r="761" spans="2:7" x14ac:dyDescent="0.2">
      <c r="B761" s="146" t="str">
        <f t="shared" si="50"/>
        <v/>
      </c>
      <c r="C761" s="180"/>
      <c r="D761" s="180"/>
      <c r="E761" s="80"/>
      <c r="F761" s="140" t="str">
        <f t="shared" si="51"/>
        <v/>
      </c>
      <c r="G761" s="147" t="str">
        <f t="shared" si="52"/>
        <v/>
      </c>
    </row>
    <row r="762" spans="2:7" x14ac:dyDescent="0.2">
      <c r="B762" s="146" t="str">
        <f t="shared" si="50"/>
        <v/>
      </c>
      <c r="C762" s="180"/>
      <c r="D762" s="180"/>
      <c r="E762" s="80"/>
      <c r="F762" s="140" t="str">
        <f t="shared" si="51"/>
        <v/>
      </c>
      <c r="G762" s="147" t="str">
        <f t="shared" si="52"/>
        <v/>
      </c>
    </row>
    <row r="763" spans="2:7" x14ac:dyDescent="0.2">
      <c r="B763" s="146" t="str">
        <f t="shared" si="50"/>
        <v/>
      </c>
      <c r="C763" s="180"/>
      <c r="D763" s="180"/>
      <c r="E763" s="80"/>
      <c r="F763" s="140" t="str">
        <f t="shared" si="51"/>
        <v/>
      </c>
      <c r="G763" s="147" t="str">
        <f t="shared" si="52"/>
        <v/>
      </c>
    </row>
    <row r="764" spans="2:7" x14ac:dyDescent="0.2">
      <c r="B764" s="146" t="str">
        <f t="shared" si="50"/>
        <v/>
      </c>
      <c r="C764" s="180"/>
      <c r="D764" s="180"/>
      <c r="E764" s="80"/>
      <c r="F764" s="140" t="str">
        <f t="shared" si="51"/>
        <v/>
      </c>
      <c r="G764" s="147" t="str">
        <f t="shared" si="52"/>
        <v/>
      </c>
    </row>
    <row r="765" spans="2:7" x14ac:dyDescent="0.2">
      <c r="B765" s="146" t="str">
        <f t="shared" si="50"/>
        <v/>
      </c>
      <c r="C765" s="180"/>
      <c r="D765" s="180"/>
      <c r="E765" s="80"/>
      <c r="F765" s="140" t="str">
        <f t="shared" si="51"/>
        <v/>
      </c>
      <c r="G765" s="147" t="str">
        <f t="shared" si="52"/>
        <v/>
      </c>
    </row>
    <row r="766" spans="2:7" x14ac:dyDescent="0.2">
      <c r="B766" s="146" t="str">
        <f t="shared" si="50"/>
        <v/>
      </c>
      <c r="C766" s="180"/>
      <c r="D766" s="180"/>
      <c r="E766" s="80"/>
      <c r="F766" s="140" t="str">
        <f t="shared" si="51"/>
        <v/>
      </c>
      <c r="G766" s="147" t="str">
        <f t="shared" si="52"/>
        <v/>
      </c>
    </row>
    <row r="767" spans="2:7" x14ac:dyDescent="0.2">
      <c r="B767" s="146" t="str">
        <f t="shared" si="50"/>
        <v/>
      </c>
      <c r="C767" s="180"/>
      <c r="D767" s="180"/>
      <c r="E767" s="80"/>
      <c r="F767" s="140" t="str">
        <f t="shared" si="51"/>
        <v/>
      </c>
      <c r="G767" s="147" t="str">
        <f t="shared" si="52"/>
        <v/>
      </c>
    </row>
    <row r="768" spans="2:7" x14ac:dyDescent="0.2">
      <c r="B768" s="146" t="str">
        <f t="shared" si="50"/>
        <v/>
      </c>
      <c r="C768" s="180"/>
      <c r="D768" s="180"/>
      <c r="E768" s="80"/>
      <c r="F768" s="140" t="str">
        <f t="shared" si="51"/>
        <v/>
      </c>
      <c r="G768" s="147" t="str">
        <f t="shared" si="52"/>
        <v/>
      </c>
    </row>
    <row r="769" spans="2:7" x14ac:dyDescent="0.2">
      <c r="B769" s="146" t="str">
        <f t="shared" si="50"/>
        <v/>
      </c>
      <c r="C769" s="180"/>
      <c r="D769" s="180"/>
      <c r="E769" s="80"/>
      <c r="F769" s="140" t="str">
        <f t="shared" si="51"/>
        <v/>
      </c>
      <c r="G769" s="147" t="str">
        <f t="shared" si="52"/>
        <v/>
      </c>
    </row>
    <row r="770" spans="2:7" x14ac:dyDescent="0.2">
      <c r="B770" s="146" t="str">
        <f t="shared" si="50"/>
        <v/>
      </c>
      <c r="C770" s="180"/>
      <c r="D770" s="180"/>
      <c r="E770" s="80"/>
      <c r="F770" s="140" t="str">
        <f t="shared" si="51"/>
        <v/>
      </c>
      <c r="G770" s="147" t="str">
        <f t="shared" si="52"/>
        <v/>
      </c>
    </row>
    <row r="771" spans="2:7" x14ac:dyDescent="0.2">
      <c r="B771" s="146" t="str">
        <f t="shared" si="50"/>
        <v/>
      </c>
      <c r="C771" s="180"/>
      <c r="D771" s="180"/>
      <c r="E771" s="80"/>
      <c r="F771" s="140" t="str">
        <f t="shared" si="51"/>
        <v/>
      </c>
      <c r="G771" s="147" t="str">
        <f t="shared" si="52"/>
        <v/>
      </c>
    </row>
    <row r="772" spans="2:7" x14ac:dyDescent="0.2">
      <c r="B772" s="146" t="str">
        <f t="shared" si="50"/>
        <v/>
      </c>
      <c r="C772" s="180"/>
      <c r="D772" s="180"/>
      <c r="E772" s="80"/>
      <c r="F772" s="140" t="str">
        <f t="shared" si="51"/>
        <v/>
      </c>
      <c r="G772" s="147" t="str">
        <f t="shared" si="52"/>
        <v/>
      </c>
    </row>
    <row r="773" spans="2:7" x14ac:dyDescent="0.2">
      <c r="B773" s="146" t="str">
        <f t="shared" si="50"/>
        <v/>
      </c>
      <c r="C773" s="180"/>
      <c r="D773" s="180"/>
      <c r="E773" s="80"/>
      <c r="F773" s="140" t="str">
        <f t="shared" si="51"/>
        <v/>
      </c>
      <c r="G773" s="147" t="str">
        <f t="shared" si="52"/>
        <v/>
      </c>
    </row>
    <row r="774" spans="2:7" x14ac:dyDescent="0.2">
      <c r="B774" s="146" t="str">
        <f t="shared" si="50"/>
        <v/>
      </c>
      <c r="C774" s="180"/>
      <c r="D774" s="180"/>
      <c r="E774" s="80"/>
      <c r="F774" s="140" t="str">
        <f t="shared" si="51"/>
        <v/>
      </c>
      <c r="G774" s="147" t="str">
        <f t="shared" si="52"/>
        <v/>
      </c>
    </row>
    <row r="775" spans="2:7" x14ac:dyDescent="0.2">
      <c r="B775" s="146" t="str">
        <f t="shared" si="50"/>
        <v/>
      </c>
      <c r="C775" s="180"/>
      <c r="D775" s="180"/>
      <c r="E775" s="80"/>
      <c r="F775" s="140" t="str">
        <f t="shared" si="51"/>
        <v/>
      </c>
      <c r="G775" s="147" t="str">
        <f t="shared" si="52"/>
        <v/>
      </c>
    </row>
    <row r="776" spans="2:7" x14ac:dyDescent="0.2">
      <c r="B776" s="146" t="str">
        <f t="shared" si="50"/>
        <v/>
      </c>
      <c r="C776" s="180"/>
      <c r="D776" s="180"/>
      <c r="E776" s="80"/>
      <c r="F776" s="140" t="str">
        <f t="shared" si="51"/>
        <v/>
      </c>
      <c r="G776" s="147" t="str">
        <f t="shared" si="52"/>
        <v/>
      </c>
    </row>
    <row r="777" spans="2:7" x14ac:dyDescent="0.2">
      <c r="B777" s="146" t="str">
        <f t="shared" si="50"/>
        <v/>
      </c>
      <c r="C777" s="180"/>
      <c r="D777" s="180"/>
      <c r="E777" s="80"/>
      <c r="F777" s="140" t="str">
        <f t="shared" si="51"/>
        <v/>
      </c>
      <c r="G777" s="147" t="str">
        <f t="shared" si="52"/>
        <v/>
      </c>
    </row>
    <row r="778" spans="2:7" x14ac:dyDescent="0.2">
      <c r="B778" s="146" t="str">
        <f t="shared" si="50"/>
        <v/>
      </c>
      <c r="C778" s="180"/>
      <c r="D778" s="180"/>
      <c r="E778" s="80"/>
      <c r="F778" s="140" t="str">
        <f t="shared" si="51"/>
        <v/>
      </c>
      <c r="G778" s="147" t="str">
        <f t="shared" si="52"/>
        <v/>
      </c>
    </row>
    <row r="779" spans="2:7" x14ac:dyDescent="0.2">
      <c r="B779" s="146" t="str">
        <f t="shared" si="50"/>
        <v/>
      </c>
      <c r="C779" s="180"/>
      <c r="D779" s="180"/>
      <c r="E779" s="80"/>
      <c r="F779" s="140" t="str">
        <f t="shared" si="51"/>
        <v/>
      </c>
      <c r="G779" s="147" t="str">
        <f t="shared" si="52"/>
        <v/>
      </c>
    </row>
    <row r="780" spans="2:7" x14ac:dyDescent="0.2">
      <c r="B780" s="146" t="str">
        <f t="shared" si="50"/>
        <v/>
      </c>
      <c r="C780" s="180"/>
      <c r="D780" s="180"/>
      <c r="E780" s="80"/>
      <c r="F780" s="140" t="str">
        <f t="shared" si="51"/>
        <v/>
      </c>
      <c r="G780" s="147" t="str">
        <f t="shared" si="52"/>
        <v/>
      </c>
    </row>
    <row r="781" spans="2:7" x14ac:dyDescent="0.2">
      <c r="B781" s="146" t="str">
        <f t="shared" si="50"/>
        <v/>
      </c>
      <c r="C781" s="180"/>
      <c r="D781" s="180"/>
      <c r="E781" s="80"/>
      <c r="F781" s="140" t="str">
        <f t="shared" si="51"/>
        <v/>
      </c>
      <c r="G781" s="147" t="str">
        <f t="shared" si="52"/>
        <v/>
      </c>
    </row>
    <row r="782" spans="2:7" x14ac:dyDescent="0.2">
      <c r="B782" s="146" t="str">
        <f t="shared" si="50"/>
        <v/>
      </c>
      <c r="C782" s="180"/>
      <c r="D782" s="180"/>
      <c r="E782" s="80"/>
      <c r="F782" s="140" t="str">
        <f t="shared" si="51"/>
        <v/>
      </c>
      <c r="G782" s="147" t="str">
        <f t="shared" si="52"/>
        <v/>
      </c>
    </row>
    <row r="783" spans="2:7" x14ac:dyDescent="0.2">
      <c r="B783" s="146" t="str">
        <f t="shared" si="50"/>
        <v/>
      </c>
      <c r="C783" s="180"/>
      <c r="D783" s="180"/>
      <c r="E783" s="80"/>
      <c r="F783" s="140" t="str">
        <f t="shared" si="51"/>
        <v/>
      </c>
      <c r="G783" s="147" t="str">
        <f t="shared" si="52"/>
        <v/>
      </c>
    </row>
    <row r="784" spans="2:7" x14ac:dyDescent="0.2">
      <c r="B784" s="146" t="str">
        <f t="shared" si="50"/>
        <v/>
      </c>
      <c r="C784" s="180"/>
      <c r="D784" s="180"/>
      <c r="E784" s="80"/>
      <c r="F784" s="140" t="str">
        <f t="shared" si="51"/>
        <v/>
      </c>
      <c r="G784" s="147" t="str">
        <f t="shared" si="52"/>
        <v/>
      </c>
    </row>
    <row r="785" spans="2:7" x14ac:dyDescent="0.2">
      <c r="B785" s="146" t="str">
        <f t="shared" si="50"/>
        <v/>
      </c>
      <c r="C785" s="180"/>
      <c r="D785" s="180"/>
      <c r="E785" s="80"/>
      <c r="F785" s="140" t="str">
        <f t="shared" si="51"/>
        <v/>
      </c>
      <c r="G785" s="147" t="str">
        <f t="shared" si="52"/>
        <v/>
      </c>
    </row>
    <row r="786" spans="2:7" x14ac:dyDescent="0.2">
      <c r="B786" s="146" t="str">
        <f t="shared" si="50"/>
        <v/>
      </c>
      <c r="C786" s="180"/>
      <c r="D786" s="180"/>
      <c r="E786" s="80"/>
      <c r="F786" s="140" t="str">
        <f t="shared" si="51"/>
        <v/>
      </c>
      <c r="G786" s="147" t="str">
        <f t="shared" si="52"/>
        <v/>
      </c>
    </row>
    <row r="787" spans="2:7" x14ac:dyDescent="0.2">
      <c r="B787" s="146" t="str">
        <f t="shared" si="50"/>
        <v/>
      </c>
      <c r="C787" s="180"/>
      <c r="D787" s="180"/>
      <c r="E787" s="80"/>
      <c r="F787" s="140" t="str">
        <f t="shared" si="51"/>
        <v/>
      </c>
      <c r="G787" s="147" t="str">
        <f t="shared" si="52"/>
        <v/>
      </c>
    </row>
    <row r="788" spans="2:7" x14ac:dyDescent="0.2">
      <c r="B788" s="146" t="str">
        <f t="shared" si="50"/>
        <v/>
      </c>
      <c r="C788" s="180"/>
      <c r="D788" s="180"/>
      <c r="E788" s="80"/>
      <c r="F788" s="140" t="str">
        <f t="shared" si="51"/>
        <v/>
      </c>
      <c r="G788" s="147" t="str">
        <f t="shared" si="52"/>
        <v/>
      </c>
    </row>
    <row r="789" spans="2:7" x14ac:dyDescent="0.2">
      <c r="B789" s="146" t="str">
        <f t="shared" si="50"/>
        <v/>
      </c>
      <c r="C789" s="180"/>
      <c r="D789" s="180"/>
      <c r="E789" s="80"/>
      <c r="F789" s="140" t="str">
        <f t="shared" si="51"/>
        <v/>
      </c>
      <c r="G789" s="147" t="str">
        <f t="shared" si="52"/>
        <v/>
      </c>
    </row>
    <row r="790" spans="2:7" x14ac:dyDescent="0.2">
      <c r="B790" s="146" t="str">
        <f t="shared" si="50"/>
        <v/>
      </c>
      <c r="C790" s="180"/>
      <c r="D790" s="180"/>
      <c r="E790" s="80"/>
      <c r="F790" s="140" t="str">
        <f t="shared" si="51"/>
        <v/>
      </c>
      <c r="G790" s="147" t="str">
        <f t="shared" si="52"/>
        <v/>
      </c>
    </row>
    <row r="791" spans="2:7" x14ac:dyDescent="0.2">
      <c r="B791" s="146" t="str">
        <f t="shared" si="50"/>
        <v/>
      </c>
      <c r="C791" s="180"/>
      <c r="D791" s="180"/>
      <c r="E791" s="80"/>
      <c r="F791" s="140" t="str">
        <f t="shared" si="51"/>
        <v/>
      </c>
      <c r="G791" s="147" t="str">
        <f t="shared" si="52"/>
        <v/>
      </c>
    </row>
    <row r="792" spans="2:7" x14ac:dyDescent="0.2">
      <c r="B792" s="146" t="str">
        <f t="shared" si="50"/>
        <v/>
      </c>
      <c r="C792" s="180"/>
      <c r="D792" s="180"/>
      <c r="E792" s="80"/>
      <c r="F792" s="140" t="str">
        <f t="shared" si="51"/>
        <v/>
      </c>
      <c r="G792" s="147" t="str">
        <f t="shared" si="52"/>
        <v/>
      </c>
    </row>
    <row r="793" spans="2:7" x14ac:dyDescent="0.2">
      <c r="B793" s="146" t="str">
        <f t="shared" si="50"/>
        <v/>
      </c>
      <c r="C793" s="180"/>
      <c r="D793" s="180"/>
      <c r="E793" s="80"/>
      <c r="F793" s="140" t="str">
        <f t="shared" si="51"/>
        <v/>
      </c>
      <c r="G793" s="147" t="str">
        <f t="shared" si="52"/>
        <v/>
      </c>
    </row>
    <row r="794" spans="2:7" x14ac:dyDescent="0.2">
      <c r="B794" s="146" t="str">
        <f t="shared" si="50"/>
        <v/>
      </c>
      <c r="C794" s="180"/>
      <c r="D794" s="180"/>
      <c r="E794" s="80"/>
      <c r="F794" s="140" t="str">
        <f t="shared" si="51"/>
        <v/>
      </c>
      <c r="G794" s="147" t="str">
        <f t="shared" si="52"/>
        <v/>
      </c>
    </row>
    <row r="795" spans="2:7" x14ac:dyDescent="0.2">
      <c r="B795" s="146" t="str">
        <f t="shared" si="50"/>
        <v/>
      </c>
      <c r="C795" s="180"/>
      <c r="D795" s="180"/>
      <c r="E795" s="80"/>
      <c r="F795" s="140" t="str">
        <f t="shared" si="51"/>
        <v/>
      </c>
      <c r="G795" s="147" t="str">
        <f t="shared" si="52"/>
        <v/>
      </c>
    </row>
    <row r="796" spans="2:7" x14ac:dyDescent="0.2">
      <c r="B796" s="146" t="str">
        <f t="shared" si="50"/>
        <v/>
      </c>
      <c r="C796" s="180"/>
      <c r="D796" s="180"/>
      <c r="E796" s="80"/>
      <c r="F796" s="140" t="str">
        <f t="shared" si="51"/>
        <v/>
      </c>
      <c r="G796" s="147" t="str">
        <f t="shared" si="52"/>
        <v/>
      </c>
    </row>
    <row r="797" spans="2:7" x14ac:dyDescent="0.2">
      <c r="B797" s="146" t="str">
        <f t="shared" si="50"/>
        <v/>
      </c>
      <c r="C797" s="180"/>
      <c r="D797" s="180"/>
      <c r="E797" s="80"/>
      <c r="F797" s="140" t="str">
        <f t="shared" si="51"/>
        <v/>
      </c>
      <c r="G797" s="147" t="str">
        <f t="shared" si="52"/>
        <v/>
      </c>
    </row>
    <row r="798" spans="2:7" x14ac:dyDescent="0.2">
      <c r="B798" s="146" t="str">
        <f t="shared" si="50"/>
        <v/>
      </c>
      <c r="C798" s="180"/>
      <c r="D798" s="180"/>
      <c r="E798" s="80"/>
      <c r="F798" s="140" t="str">
        <f t="shared" si="51"/>
        <v/>
      </c>
      <c r="G798" s="147" t="str">
        <f t="shared" si="52"/>
        <v/>
      </c>
    </row>
    <row r="799" spans="2:7" x14ac:dyDescent="0.2">
      <c r="B799" s="146" t="str">
        <f t="shared" si="50"/>
        <v/>
      </c>
      <c r="C799" s="180"/>
      <c r="D799" s="180"/>
      <c r="E799" s="80"/>
      <c r="F799" s="140" t="str">
        <f t="shared" si="51"/>
        <v/>
      </c>
      <c r="G799" s="147" t="str">
        <f t="shared" si="52"/>
        <v/>
      </c>
    </row>
    <row r="800" spans="2:7" x14ac:dyDescent="0.2">
      <c r="B800" s="146" t="str">
        <f t="shared" si="50"/>
        <v/>
      </c>
      <c r="C800" s="180"/>
      <c r="D800" s="180"/>
      <c r="E800" s="80"/>
      <c r="F800" s="140" t="str">
        <f t="shared" si="51"/>
        <v/>
      </c>
      <c r="G800" s="147" t="str">
        <f t="shared" si="52"/>
        <v/>
      </c>
    </row>
    <row r="801" spans="2:7" x14ac:dyDescent="0.2">
      <c r="B801" s="146" t="str">
        <f t="shared" si="50"/>
        <v/>
      </c>
      <c r="C801" s="180"/>
      <c r="D801" s="180"/>
      <c r="E801" s="80"/>
      <c r="F801" s="140" t="str">
        <f t="shared" si="51"/>
        <v/>
      </c>
      <c r="G801" s="147" t="str">
        <f t="shared" si="52"/>
        <v/>
      </c>
    </row>
    <row r="802" spans="2:7" x14ac:dyDescent="0.2">
      <c r="B802" s="146" t="str">
        <f t="shared" si="50"/>
        <v/>
      </c>
      <c r="C802" s="180"/>
      <c r="D802" s="180"/>
      <c r="E802" s="80"/>
      <c r="F802" s="140" t="str">
        <f t="shared" si="51"/>
        <v/>
      </c>
      <c r="G802" s="147" t="str">
        <f t="shared" si="52"/>
        <v/>
      </c>
    </row>
    <row r="803" spans="2:7" x14ac:dyDescent="0.2">
      <c r="B803" s="146" t="str">
        <f t="shared" si="50"/>
        <v/>
      </c>
      <c r="C803" s="180"/>
      <c r="D803" s="180"/>
      <c r="E803" s="80"/>
      <c r="F803" s="140" t="str">
        <f t="shared" si="51"/>
        <v/>
      </c>
      <c r="G803" s="147" t="str">
        <f t="shared" si="52"/>
        <v/>
      </c>
    </row>
    <row r="804" spans="2:7" x14ac:dyDescent="0.2">
      <c r="B804" s="146" t="str">
        <f t="shared" si="50"/>
        <v/>
      </c>
      <c r="C804" s="180"/>
      <c r="D804" s="180"/>
      <c r="E804" s="80"/>
      <c r="F804" s="140" t="str">
        <f t="shared" si="51"/>
        <v/>
      </c>
      <c r="G804" s="147" t="str">
        <f t="shared" si="52"/>
        <v/>
      </c>
    </row>
    <row r="805" spans="2:7" x14ac:dyDescent="0.2">
      <c r="B805" s="146" t="str">
        <f t="shared" si="50"/>
        <v/>
      </c>
      <c r="C805" s="180"/>
      <c r="D805" s="180"/>
      <c r="E805" s="80"/>
      <c r="F805" s="140" t="str">
        <f t="shared" si="51"/>
        <v/>
      </c>
      <c r="G805" s="147" t="str">
        <f t="shared" si="52"/>
        <v/>
      </c>
    </row>
    <row r="806" spans="2:7" x14ac:dyDescent="0.2">
      <c r="B806" s="146" t="str">
        <f t="shared" si="50"/>
        <v/>
      </c>
      <c r="C806" s="180"/>
      <c r="D806" s="180"/>
      <c r="E806" s="80"/>
      <c r="F806" s="140" t="str">
        <f t="shared" si="51"/>
        <v/>
      </c>
      <c r="G806" s="147" t="str">
        <f t="shared" si="52"/>
        <v/>
      </c>
    </row>
    <row r="807" spans="2:7" x14ac:dyDescent="0.2">
      <c r="B807" s="146" t="str">
        <f t="shared" si="50"/>
        <v/>
      </c>
      <c r="C807" s="180"/>
      <c r="D807" s="180"/>
      <c r="E807" s="80"/>
      <c r="F807" s="140" t="str">
        <f t="shared" si="51"/>
        <v/>
      </c>
      <c r="G807" s="147" t="str">
        <f t="shared" si="52"/>
        <v/>
      </c>
    </row>
    <row r="808" spans="2:7" x14ac:dyDescent="0.2">
      <c r="B808" s="146" t="str">
        <f t="shared" si="50"/>
        <v/>
      </c>
      <c r="C808" s="180"/>
      <c r="D808" s="180"/>
      <c r="E808" s="80"/>
      <c r="F808" s="140" t="str">
        <f t="shared" si="51"/>
        <v/>
      </c>
      <c r="G808" s="147" t="str">
        <f t="shared" si="52"/>
        <v/>
      </c>
    </row>
    <row r="809" spans="2:7" x14ac:dyDescent="0.2">
      <c r="B809" s="146" t="str">
        <f t="shared" si="50"/>
        <v/>
      </c>
      <c r="C809" s="180"/>
      <c r="D809" s="180"/>
      <c r="E809" s="80"/>
      <c r="F809" s="140" t="str">
        <f t="shared" si="51"/>
        <v/>
      </c>
      <c r="G809" s="147" t="str">
        <f t="shared" si="52"/>
        <v/>
      </c>
    </row>
    <row r="810" spans="2:7" x14ac:dyDescent="0.2">
      <c r="B810" s="146" t="str">
        <f t="shared" si="50"/>
        <v/>
      </c>
      <c r="C810" s="180"/>
      <c r="D810" s="180"/>
      <c r="E810" s="80"/>
      <c r="F810" s="140" t="str">
        <f t="shared" si="51"/>
        <v/>
      </c>
      <c r="G810" s="147" t="str">
        <f t="shared" si="52"/>
        <v/>
      </c>
    </row>
    <row r="811" spans="2:7" x14ac:dyDescent="0.2">
      <c r="B811" s="146" t="str">
        <f t="shared" si="50"/>
        <v/>
      </c>
      <c r="C811" s="180"/>
      <c r="D811" s="180"/>
      <c r="E811" s="80"/>
      <c r="F811" s="140" t="str">
        <f t="shared" si="51"/>
        <v/>
      </c>
      <c r="G811" s="147" t="str">
        <f t="shared" si="52"/>
        <v/>
      </c>
    </row>
    <row r="812" spans="2:7" x14ac:dyDescent="0.2">
      <c r="B812" s="146" t="str">
        <f t="shared" si="50"/>
        <v/>
      </c>
      <c r="C812" s="180"/>
      <c r="D812" s="180"/>
      <c r="E812" s="80"/>
      <c r="F812" s="140" t="str">
        <f t="shared" si="51"/>
        <v/>
      </c>
      <c r="G812" s="147" t="str">
        <f t="shared" si="52"/>
        <v/>
      </c>
    </row>
    <row r="813" spans="2:7" x14ac:dyDescent="0.2">
      <c r="B813" s="146" t="str">
        <f t="shared" si="50"/>
        <v/>
      </c>
      <c r="C813" s="180"/>
      <c r="D813" s="180"/>
      <c r="E813" s="80"/>
      <c r="F813" s="140" t="str">
        <f t="shared" si="51"/>
        <v/>
      </c>
      <c r="G813" s="147" t="str">
        <f t="shared" si="52"/>
        <v/>
      </c>
    </row>
    <row r="814" spans="2:7" x14ac:dyDescent="0.2">
      <c r="B814" s="146" t="str">
        <f t="shared" si="50"/>
        <v/>
      </c>
      <c r="C814" s="180"/>
      <c r="D814" s="180"/>
      <c r="E814" s="80"/>
      <c r="F814" s="140" t="str">
        <f t="shared" si="51"/>
        <v/>
      </c>
      <c r="G814" s="147" t="str">
        <f t="shared" si="52"/>
        <v/>
      </c>
    </row>
    <row r="815" spans="2:7" x14ac:dyDescent="0.2">
      <c r="B815" s="146" t="str">
        <f t="shared" si="50"/>
        <v/>
      </c>
      <c r="C815" s="180"/>
      <c r="D815" s="180"/>
      <c r="E815" s="80"/>
      <c r="F815" s="140" t="str">
        <f t="shared" si="51"/>
        <v/>
      </c>
      <c r="G815" s="147" t="str">
        <f t="shared" si="52"/>
        <v/>
      </c>
    </row>
    <row r="816" spans="2:7" x14ac:dyDescent="0.2">
      <c r="B816" s="146" t="str">
        <f t="shared" si="50"/>
        <v/>
      </c>
      <c r="C816" s="180"/>
      <c r="D816" s="180"/>
      <c r="E816" s="80"/>
      <c r="F816" s="140" t="str">
        <f t="shared" si="51"/>
        <v/>
      </c>
      <c r="G816" s="147" t="str">
        <f t="shared" si="52"/>
        <v/>
      </c>
    </row>
    <row r="817" spans="2:7" x14ac:dyDescent="0.2">
      <c r="B817" s="146" t="str">
        <f t="shared" si="50"/>
        <v/>
      </c>
      <c r="C817" s="180"/>
      <c r="D817" s="180"/>
      <c r="E817" s="80"/>
      <c r="F817" s="140" t="str">
        <f t="shared" si="51"/>
        <v/>
      </c>
      <c r="G817" s="147" t="str">
        <f t="shared" si="52"/>
        <v/>
      </c>
    </row>
    <row r="818" spans="2:7" x14ac:dyDescent="0.2">
      <c r="B818" s="146" t="str">
        <f t="shared" ref="B818:B843" si="53">IF(C818="","",VLOOKUP(C818,ユニット判定用,3))</f>
        <v/>
      </c>
      <c r="C818" s="180"/>
      <c r="D818" s="180"/>
      <c r="E818" s="80"/>
      <c r="F818" s="140" t="str">
        <f t="shared" ref="F818:F843" si="54">IF(C818="","",MROUND(D818-C818,"00:01"))</f>
        <v/>
      </c>
      <c r="G818" s="147" t="str">
        <f t="shared" ref="G818:G843" si="55">IF(C818="","",VLOOKUP(C818,施設運転・利用調整時間判定,5,1))</f>
        <v/>
      </c>
    </row>
    <row r="819" spans="2:7" x14ac:dyDescent="0.2">
      <c r="B819" s="146" t="str">
        <f t="shared" si="53"/>
        <v/>
      </c>
      <c r="C819" s="180"/>
      <c r="D819" s="180"/>
      <c r="E819" s="80"/>
      <c r="F819" s="140" t="str">
        <f t="shared" si="54"/>
        <v/>
      </c>
      <c r="G819" s="147" t="str">
        <f t="shared" si="55"/>
        <v/>
      </c>
    </row>
    <row r="820" spans="2:7" x14ac:dyDescent="0.2">
      <c r="B820" s="146" t="str">
        <f t="shared" si="53"/>
        <v/>
      </c>
      <c r="C820" s="180"/>
      <c r="D820" s="180"/>
      <c r="E820" s="80"/>
      <c r="F820" s="140" t="str">
        <f t="shared" si="54"/>
        <v/>
      </c>
      <c r="G820" s="147" t="str">
        <f t="shared" si="55"/>
        <v/>
      </c>
    </row>
    <row r="821" spans="2:7" x14ac:dyDescent="0.2">
      <c r="B821" s="146" t="str">
        <f t="shared" si="53"/>
        <v/>
      </c>
      <c r="C821" s="180"/>
      <c r="D821" s="180"/>
      <c r="E821" s="80"/>
      <c r="F821" s="140" t="str">
        <f t="shared" si="54"/>
        <v/>
      </c>
      <c r="G821" s="147" t="str">
        <f t="shared" si="55"/>
        <v/>
      </c>
    </row>
    <row r="822" spans="2:7" x14ac:dyDescent="0.2">
      <c r="B822" s="146" t="str">
        <f t="shared" si="53"/>
        <v/>
      </c>
      <c r="C822" s="180"/>
      <c r="D822" s="180"/>
      <c r="E822" s="80"/>
      <c r="F822" s="140" t="str">
        <f t="shared" si="54"/>
        <v/>
      </c>
      <c r="G822" s="147" t="str">
        <f t="shared" si="55"/>
        <v/>
      </c>
    </row>
    <row r="823" spans="2:7" x14ac:dyDescent="0.2">
      <c r="B823" s="146" t="str">
        <f t="shared" si="53"/>
        <v/>
      </c>
      <c r="C823" s="180"/>
      <c r="D823" s="180"/>
      <c r="E823" s="80"/>
      <c r="F823" s="140" t="str">
        <f t="shared" si="54"/>
        <v/>
      </c>
      <c r="G823" s="147" t="str">
        <f t="shared" si="55"/>
        <v/>
      </c>
    </row>
    <row r="824" spans="2:7" x14ac:dyDescent="0.2">
      <c r="B824" s="146" t="str">
        <f t="shared" si="53"/>
        <v/>
      </c>
      <c r="C824" s="180"/>
      <c r="D824" s="180"/>
      <c r="E824" s="80"/>
      <c r="F824" s="140" t="str">
        <f t="shared" si="54"/>
        <v/>
      </c>
      <c r="G824" s="147" t="str">
        <f t="shared" si="55"/>
        <v/>
      </c>
    </row>
    <row r="825" spans="2:7" x14ac:dyDescent="0.2">
      <c r="B825" s="146" t="str">
        <f t="shared" si="53"/>
        <v/>
      </c>
      <c r="C825" s="180"/>
      <c r="D825" s="180"/>
      <c r="E825" s="80"/>
      <c r="F825" s="140" t="str">
        <f t="shared" si="54"/>
        <v/>
      </c>
      <c r="G825" s="147" t="str">
        <f t="shared" si="55"/>
        <v/>
      </c>
    </row>
    <row r="826" spans="2:7" x14ac:dyDescent="0.2">
      <c r="B826" s="146" t="str">
        <f t="shared" si="53"/>
        <v/>
      </c>
      <c r="C826" s="180"/>
      <c r="D826" s="180"/>
      <c r="E826" s="80"/>
      <c r="F826" s="140" t="str">
        <f t="shared" si="54"/>
        <v/>
      </c>
      <c r="G826" s="147" t="str">
        <f t="shared" si="55"/>
        <v/>
      </c>
    </row>
    <row r="827" spans="2:7" x14ac:dyDescent="0.2">
      <c r="B827" s="146" t="str">
        <f t="shared" si="53"/>
        <v/>
      </c>
      <c r="C827" s="180"/>
      <c r="D827" s="180"/>
      <c r="E827" s="80"/>
      <c r="F827" s="140" t="str">
        <f t="shared" si="54"/>
        <v/>
      </c>
      <c r="G827" s="147" t="str">
        <f t="shared" si="55"/>
        <v/>
      </c>
    </row>
    <row r="828" spans="2:7" x14ac:dyDescent="0.2">
      <c r="B828" s="146" t="str">
        <f t="shared" si="53"/>
        <v/>
      </c>
      <c r="C828" s="180"/>
      <c r="D828" s="180"/>
      <c r="E828" s="80"/>
      <c r="F828" s="140" t="str">
        <f t="shared" si="54"/>
        <v/>
      </c>
      <c r="G828" s="147" t="str">
        <f t="shared" si="55"/>
        <v/>
      </c>
    </row>
    <row r="829" spans="2:7" x14ac:dyDescent="0.2">
      <c r="B829" s="146" t="str">
        <f t="shared" si="53"/>
        <v/>
      </c>
      <c r="C829" s="180"/>
      <c r="D829" s="180"/>
      <c r="E829" s="80"/>
      <c r="F829" s="140" t="str">
        <f t="shared" si="54"/>
        <v/>
      </c>
      <c r="G829" s="147" t="str">
        <f t="shared" si="55"/>
        <v/>
      </c>
    </row>
    <row r="830" spans="2:7" x14ac:dyDescent="0.2">
      <c r="B830" s="146" t="str">
        <f t="shared" si="53"/>
        <v/>
      </c>
      <c r="C830" s="180"/>
      <c r="D830" s="180"/>
      <c r="E830" s="80"/>
      <c r="F830" s="140" t="str">
        <f t="shared" si="54"/>
        <v/>
      </c>
      <c r="G830" s="147" t="str">
        <f t="shared" si="55"/>
        <v/>
      </c>
    </row>
    <row r="831" spans="2:7" x14ac:dyDescent="0.2">
      <c r="B831" s="146" t="str">
        <f t="shared" si="53"/>
        <v/>
      </c>
      <c r="C831" s="180"/>
      <c r="D831" s="180"/>
      <c r="E831" s="80"/>
      <c r="F831" s="140" t="str">
        <f t="shared" si="54"/>
        <v/>
      </c>
      <c r="G831" s="147" t="str">
        <f t="shared" si="55"/>
        <v/>
      </c>
    </row>
    <row r="832" spans="2:7" x14ac:dyDescent="0.2">
      <c r="B832" s="146" t="str">
        <f t="shared" si="53"/>
        <v/>
      </c>
      <c r="C832" s="180"/>
      <c r="D832" s="180"/>
      <c r="E832" s="80"/>
      <c r="F832" s="140" t="str">
        <f t="shared" si="54"/>
        <v/>
      </c>
      <c r="G832" s="147" t="str">
        <f t="shared" si="55"/>
        <v/>
      </c>
    </row>
    <row r="833" spans="2:7" x14ac:dyDescent="0.2">
      <c r="B833" s="146" t="str">
        <f t="shared" si="53"/>
        <v/>
      </c>
      <c r="C833" s="180"/>
      <c r="D833" s="180"/>
      <c r="E833" s="80"/>
      <c r="F833" s="140" t="str">
        <f t="shared" si="54"/>
        <v/>
      </c>
      <c r="G833" s="147" t="str">
        <f t="shared" si="55"/>
        <v/>
      </c>
    </row>
    <row r="834" spans="2:7" x14ac:dyDescent="0.2">
      <c r="B834" s="146" t="str">
        <f t="shared" si="53"/>
        <v/>
      </c>
      <c r="C834" s="180"/>
      <c r="D834" s="180"/>
      <c r="E834" s="80"/>
      <c r="F834" s="140" t="str">
        <f t="shared" si="54"/>
        <v/>
      </c>
      <c r="G834" s="147" t="str">
        <f t="shared" si="55"/>
        <v/>
      </c>
    </row>
    <row r="835" spans="2:7" x14ac:dyDescent="0.2">
      <c r="B835" s="146" t="str">
        <f t="shared" si="53"/>
        <v/>
      </c>
      <c r="C835" s="180"/>
      <c r="D835" s="180"/>
      <c r="E835" s="80"/>
      <c r="F835" s="140" t="str">
        <f t="shared" si="54"/>
        <v/>
      </c>
      <c r="G835" s="147" t="str">
        <f t="shared" si="55"/>
        <v/>
      </c>
    </row>
    <row r="836" spans="2:7" x14ac:dyDescent="0.2">
      <c r="B836" s="146" t="str">
        <f t="shared" si="53"/>
        <v/>
      </c>
      <c r="C836" s="180"/>
      <c r="D836" s="180"/>
      <c r="E836" s="80"/>
      <c r="F836" s="140" t="str">
        <f t="shared" si="54"/>
        <v/>
      </c>
      <c r="G836" s="147" t="str">
        <f t="shared" si="55"/>
        <v/>
      </c>
    </row>
    <row r="837" spans="2:7" x14ac:dyDescent="0.2">
      <c r="B837" s="146" t="str">
        <f t="shared" si="53"/>
        <v/>
      </c>
      <c r="C837" s="180"/>
      <c r="D837" s="180"/>
      <c r="E837" s="80"/>
      <c r="F837" s="140" t="str">
        <f t="shared" si="54"/>
        <v/>
      </c>
      <c r="G837" s="147" t="str">
        <f t="shared" si="55"/>
        <v/>
      </c>
    </row>
    <row r="838" spans="2:7" x14ac:dyDescent="0.2">
      <c r="B838" s="146" t="str">
        <f t="shared" si="53"/>
        <v/>
      </c>
      <c r="C838" s="180"/>
      <c r="D838" s="180"/>
      <c r="E838" s="80"/>
      <c r="F838" s="140" t="str">
        <f t="shared" si="54"/>
        <v/>
      </c>
      <c r="G838" s="147" t="str">
        <f t="shared" si="55"/>
        <v/>
      </c>
    </row>
    <row r="839" spans="2:7" x14ac:dyDescent="0.2">
      <c r="B839" s="146" t="str">
        <f t="shared" si="53"/>
        <v/>
      </c>
      <c r="C839" s="180"/>
      <c r="D839" s="180"/>
      <c r="E839" s="80"/>
      <c r="F839" s="140" t="str">
        <f t="shared" si="54"/>
        <v/>
      </c>
      <c r="G839" s="147" t="str">
        <f t="shared" si="55"/>
        <v/>
      </c>
    </row>
    <row r="840" spans="2:7" x14ac:dyDescent="0.2">
      <c r="B840" s="146" t="str">
        <f t="shared" si="53"/>
        <v/>
      </c>
      <c r="C840" s="180"/>
      <c r="D840" s="180"/>
      <c r="E840" s="80"/>
      <c r="F840" s="140" t="str">
        <f t="shared" si="54"/>
        <v/>
      </c>
      <c r="G840" s="147" t="str">
        <f t="shared" si="55"/>
        <v/>
      </c>
    </row>
    <row r="841" spans="2:7" x14ac:dyDescent="0.2">
      <c r="B841" s="146" t="str">
        <f t="shared" si="53"/>
        <v/>
      </c>
      <c r="C841" s="180"/>
      <c r="D841" s="180"/>
      <c r="E841" s="80"/>
      <c r="F841" s="140" t="str">
        <f t="shared" si="54"/>
        <v/>
      </c>
      <c r="G841" s="147" t="str">
        <f t="shared" si="55"/>
        <v/>
      </c>
    </row>
    <row r="842" spans="2:7" x14ac:dyDescent="0.2">
      <c r="B842" s="146" t="str">
        <f t="shared" si="53"/>
        <v/>
      </c>
      <c r="C842" s="180"/>
      <c r="D842" s="180"/>
      <c r="E842" s="80"/>
      <c r="F842" s="140" t="str">
        <f t="shared" si="54"/>
        <v/>
      </c>
      <c r="G842" s="147" t="str">
        <f t="shared" si="55"/>
        <v/>
      </c>
    </row>
    <row r="843" spans="2:7" x14ac:dyDescent="0.2">
      <c r="B843" s="146" t="str">
        <f t="shared" si="53"/>
        <v/>
      </c>
      <c r="C843" s="180"/>
      <c r="D843" s="180"/>
      <c r="E843" s="80"/>
      <c r="F843" s="140" t="str">
        <f t="shared" si="54"/>
        <v/>
      </c>
      <c r="G843" s="147" t="str">
        <f t="shared" si="55"/>
        <v/>
      </c>
    </row>
  </sheetData>
  <mergeCells count="2">
    <mergeCell ref="I3:O3"/>
    <mergeCell ref="B3:G3"/>
  </mergeCells>
  <phoneticPr fontId="1"/>
  <conditionalFormatting sqref="D4">
    <cfRule type="expression" dxfId="181" priority="23">
      <formula>#REF!="トンネル入室"</formula>
    </cfRule>
    <cfRule type="expression" dxfId="180" priority="24">
      <formula>#REF!="ユーザー調整時間"</formula>
    </cfRule>
    <cfRule type="expression" dxfId="179" priority="25">
      <formula>#REF!="BL調整"</formula>
    </cfRule>
    <cfRule type="expression" dxfId="178" priority="26">
      <formula>#REF!="ユーザー運転"</formula>
    </cfRule>
  </conditionalFormatting>
  <conditionalFormatting sqref="K6:L112 M5:N112 F6:F843">
    <cfRule type="expression" dxfId="177" priority="22">
      <formula>SECOND(F5)&gt;0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  <pageSetUpPr fitToPage="1"/>
  </sheetPr>
  <dimension ref="A1:J2314"/>
  <sheetViews>
    <sheetView zoomScale="85" zoomScaleNormal="85" workbookViewId="0">
      <pane ySplit="8" topLeftCell="A1379" activePane="bottomLeft" state="frozenSplit"/>
      <selection activeCell="C195" sqref="C195"/>
      <selection pane="bottomLeft" activeCell="D1394" sqref="D1394"/>
    </sheetView>
  </sheetViews>
  <sheetFormatPr defaultColWidth="9" defaultRowHeight="13" x14ac:dyDescent="0.2"/>
  <cols>
    <col min="1" max="1" width="13.36328125" style="38" bestFit="1" customWidth="1"/>
    <col min="2" max="2" width="15.08984375" style="62" customWidth="1"/>
    <col min="3" max="3" width="17.08984375" style="63" bestFit="1" customWidth="1"/>
    <col min="4" max="4" width="17.08984375" style="63" customWidth="1"/>
    <col min="5" max="5" width="12.08984375" style="64" bestFit="1" customWidth="1"/>
    <col min="6" max="6" width="66.36328125" style="65" customWidth="1"/>
    <col min="7" max="7" width="14" style="67" bestFit="1" customWidth="1"/>
    <col min="8" max="8" width="9.90625" style="67" customWidth="1"/>
    <col min="9" max="9" width="6.08984375" style="66" customWidth="1"/>
    <col min="10" max="10" width="15" bestFit="1" customWidth="1"/>
  </cols>
  <sheetData>
    <row r="1" spans="1:10" x14ac:dyDescent="0.2">
      <c r="B1" s="16"/>
      <c r="C1" s="22"/>
      <c r="D1" s="22"/>
      <c r="E1" s="68"/>
      <c r="F1"/>
      <c r="G1" s="19"/>
      <c r="H1" s="19"/>
      <c r="I1" s="72"/>
    </row>
    <row r="2" spans="1:10" ht="21" x14ac:dyDescent="0.2">
      <c r="B2" s="14" t="s">
        <v>51</v>
      </c>
      <c r="C2" s="22"/>
      <c r="D2" s="22"/>
      <c r="E2" s="68"/>
      <c r="F2"/>
      <c r="G2" s="19"/>
      <c r="H2" s="19"/>
      <c r="I2" s="72"/>
    </row>
    <row r="3" spans="1:10" ht="16.5" x14ac:dyDescent="0.2">
      <c r="B3" s="16"/>
      <c r="C3" s="21"/>
      <c r="D3" s="22"/>
      <c r="E3" s="68"/>
      <c r="F3"/>
      <c r="G3" s="19"/>
      <c r="H3" s="19"/>
      <c r="I3" s="72"/>
    </row>
    <row r="4" spans="1:10" x14ac:dyDescent="0.2">
      <c r="B4" s="12" t="s">
        <v>52</v>
      </c>
      <c r="C4" s="22"/>
      <c r="D4" s="22"/>
      <c r="E4" s="68"/>
      <c r="F4"/>
      <c r="G4" s="19"/>
      <c r="H4" s="19"/>
      <c r="I4" s="72"/>
      <c r="J4" s="49"/>
    </row>
    <row r="5" spans="1:10" x14ac:dyDescent="0.2">
      <c r="B5" s="55"/>
      <c r="C5" s="22"/>
      <c r="D5" s="22"/>
      <c r="E5" s="68"/>
      <c r="F5"/>
      <c r="G5" s="19"/>
      <c r="H5" s="19"/>
      <c r="I5" s="72"/>
    </row>
    <row r="6" spans="1:10" x14ac:dyDescent="0.2">
      <c r="B6" s="75" t="s">
        <v>132</v>
      </c>
      <c r="C6" s="22"/>
      <c r="D6" s="22"/>
      <c r="E6" s="68"/>
      <c r="F6"/>
      <c r="G6" s="19"/>
      <c r="H6" s="19"/>
      <c r="I6" s="73"/>
    </row>
    <row r="7" spans="1:10" ht="23" thickBot="1" x14ac:dyDescent="0.25">
      <c r="B7" s="16"/>
      <c r="C7" s="21"/>
      <c r="D7" s="21"/>
      <c r="E7" s="70"/>
      <c r="F7" s="48"/>
      <c r="G7" s="69" t="s">
        <v>134</v>
      </c>
      <c r="H7" s="71"/>
      <c r="I7" s="74" t="str">
        <f>"連番("&amp;リスト!C5&amp;"+"&amp;リスト!C6&amp;")"</f>
        <v>連番(ユーザー運転+BL調整)</v>
      </c>
    </row>
    <row r="8" spans="1:10" s="1" customFormat="1" x14ac:dyDescent="0.2">
      <c r="A8" s="39"/>
      <c r="B8" s="189" t="s">
        <v>40</v>
      </c>
      <c r="C8" s="190" t="s">
        <v>41</v>
      </c>
      <c r="D8" s="191" t="s">
        <v>42</v>
      </c>
      <c r="E8" s="193" t="s">
        <v>47</v>
      </c>
      <c r="F8" s="195" t="s">
        <v>44</v>
      </c>
      <c r="G8" s="192" t="s">
        <v>43</v>
      </c>
      <c r="H8" s="194" t="s">
        <v>53</v>
      </c>
      <c r="I8" s="72">
        <v>0</v>
      </c>
    </row>
    <row r="9" spans="1:10" x14ac:dyDescent="0.2">
      <c r="B9" s="196"/>
      <c r="C9" s="197">
        <v>45398.968113425923</v>
      </c>
      <c r="D9" s="197">
        <v>45398.968368055554</v>
      </c>
      <c r="E9" s="198" t="s">
        <v>244</v>
      </c>
      <c r="F9" s="199"/>
      <c r="G9" s="140" t="e">
        <f ca="1">mif(C9="","",OR(B9=リスト!$C$5,B9=リスト!$C$6),SUM(INDEX(G:G,MATCH(I9-1,I:I,0)+1,1):INDEX(G:G,MATCH(I9,I:I,0)-1,1)),D9-C9)</f>
        <v>#NAME?</v>
      </c>
      <c r="H9" s="140" t="e">
        <f ca="1">mif(C9="","",B9=リスト!$C$5,SUMIF(INDEX(B:B,MATCH(I9-1,I:I,0)+1,1):INDEX(B:B,MATCH(I9,I:I,0)-1,1),リスト!$C$7,INDEX(G:G,MATCH(I9-1,I:I,0)+1,1):INDEX(G:G,MATCH(I9,I:I,0)-1,1)),"")</f>
        <v>#NAME?</v>
      </c>
      <c r="I9" s="200" t="str">
        <f>IF(OR(B9=リスト!$C$5,B9=リスト!$C$6),COUNTIF($B$9:B9,リスト!$C$5)+COUNTIF($B$9:B9,リスト!$C$6),"")</f>
        <v/>
      </c>
    </row>
    <row r="10" spans="1:10" x14ac:dyDescent="0.2">
      <c r="B10" s="196"/>
      <c r="C10" s="197">
        <v>45399.086273148147</v>
      </c>
      <c r="D10" s="197">
        <v>45399.086550925924</v>
      </c>
      <c r="E10" s="198" t="s">
        <v>244</v>
      </c>
      <c r="F10" s="199"/>
      <c r="G10" s="140" t="e">
        <f ca="1">mif(C10="","",OR(B10=リスト!$C$5,B10=リスト!$C$6),SUM(INDEX(G:G,MATCH(I10-1,I:I,0)+1,1):INDEX(G:G,MATCH(I10,I:I,0)-1,1)),D10-C10)</f>
        <v>#NAME?</v>
      </c>
      <c r="H10" s="140" t="e">
        <f ca="1">mif(C10="","",B10=リスト!$C$5,SUMIF(INDEX(B:B,MATCH(I10-1,I:I,0)+1,1):INDEX(B:B,MATCH(I10,I:I,0)-1,1),リスト!$C$7,INDEX(G:G,MATCH(I10-1,I:I,0)+1,1):INDEX(G:G,MATCH(I10,I:I,0)-1,1)),"")</f>
        <v>#NAME?</v>
      </c>
      <c r="I10" s="200" t="str">
        <f>IF(OR(B10=リスト!$C$5,B10=リスト!$C$6),COUNTIF($B$9:B10,リスト!$C$5)+COUNTIF($B$9:B10,リスト!$C$6),"")</f>
        <v/>
      </c>
    </row>
    <row r="11" spans="1:10" x14ac:dyDescent="0.2">
      <c r="B11" s="196" t="s">
        <v>245</v>
      </c>
      <c r="C11" s="197">
        <v>45399.122418981482</v>
      </c>
      <c r="D11" s="197">
        <v>45399.126400462963</v>
      </c>
      <c r="E11" s="198"/>
      <c r="F11" s="199" t="s">
        <v>246</v>
      </c>
      <c r="G11" s="140" t="e">
        <f ca="1">mif(C11="","",OR(B11=リスト!$C$5,B11=リスト!$C$6),SUM(INDEX(G:G,MATCH(I11-1,I:I,0)+1,1):INDEX(G:G,MATCH(I11,I:I,0)-1,1)),D11-C11)</f>
        <v>#NAME?</v>
      </c>
      <c r="H11" s="140" t="e">
        <f ca="1">mif(C11="","",B11=リスト!$C$5,SUMIF(INDEX(B:B,MATCH(I11-1,I:I,0)+1,1):INDEX(B:B,MATCH(I11,I:I,0)-1,1),リスト!$C$7,INDEX(G:G,MATCH(I11-1,I:I,0)+1,1):INDEX(G:G,MATCH(I11,I:I,0)-1,1)),"")</f>
        <v>#NAME?</v>
      </c>
      <c r="I11" s="200" t="str">
        <f>IF(OR(B11=リスト!$C$5,B11=リスト!$C$6),COUNTIF($B$9:B11,リスト!$C$5)+COUNTIF($B$9:B11,リスト!$C$6),"")</f>
        <v/>
      </c>
    </row>
    <row r="12" spans="1:10" x14ac:dyDescent="0.2">
      <c r="B12" s="196"/>
      <c r="C12" s="197">
        <v>45399.149606481478</v>
      </c>
      <c r="D12" s="197">
        <v>45399.149837962963</v>
      </c>
      <c r="E12" s="198" t="s">
        <v>244</v>
      </c>
      <c r="F12" s="199"/>
      <c r="G12" s="140" t="e">
        <f ca="1">mif(C12="","",OR(B12=リスト!$C$5,B12=リスト!$C$6),SUM(INDEX(G:G,MATCH(I12-1,I:I,0)+1,1):INDEX(G:G,MATCH(I12,I:I,0)-1,1)),D12-C12)</f>
        <v>#NAME?</v>
      </c>
      <c r="H12" s="140" t="e">
        <f ca="1">mif(C12="","",B12=リスト!$C$5,SUMIF(INDEX(B:B,MATCH(I12-1,I:I,0)+1,1):INDEX(B:B,MATCH(I12,I:I,0)-1,1),リスト!$C$7,INDEX(G:G,MATCH(I12-1,I:I,0)+1,1):INDEX(G:G,MATCH(I12,I:I,0)-1,1)),"")</f>
        <v>#NAME?</v>
      </c>
      <c r="I12" s="200" t="str">
        <f>IF(OR(B12=リスト!$C$5,B12=リスト!$C$6),COUNTIF($B$9:B12,リスト!$C$5)+COUNTIF($B$9:B12,リスト!$C$6),"")</f>
        <v/>
      </c>
    </row>
    <row r="13" spans="1:10" x14ac:dyDescent="0.2">
      <c r="B13" s="196"/>
      <c r="C13" s="197">
        <v>45399.167395833334</v>
      </c>
      <c r="D13" s="197">
        <v>45399.167650462965</v>
      </c>
      <c r="E13" s="198" t="s">
        <v>244</v>
      </c>
      <c r="F13" s="199"/>
      <c r="G13" s="140" t="e">
        <f ca="1">mif(C13="","",OR(B13=リスト!$C$5,B13=リスト!$C$6),SUM(INDEX(G:G,MATCH(I13-1,I:I,0)+1,1):INDEX(G:G,MATCH(I13,I:I,0)-1,1)),D13-C13)</f>
        <v>#NAME?</v>
      </c>
      <c r="H13" s="140" t="e">
        <f ca="1">mif(C13="","",B13=リスト!$C$5,SUMIF(INDEX(B:B,MATCH(I13-1,I:I,0)+1,1):INDEX(B:B,MATCH(I13,I:I,0)-1,1),リスト!$C$7,INDEX(G:G,MATCH(I13-1,I:I,0)+1,1):INDEX(G:G,MATCH(I13,I:I,0)-1,1)),"")</f>
        <v>#NAME?</v>
      </c>
      <c r="I13" s="200" t="str">
        <f>IF(OR(B13=リスト!$C$5,B13=リスト!$C$6),COUNTIF($B$9:B13,リスト!$C$5)+COUNTIF($B$9:B13,リスト!$C$6),"")</f>
        <v/>
      </c>
    </row>
    <row r="14" spans="1:10" x14ac:dyDescent="0.2">
      <c r="B14" s="196"/>
      <c r="C14" s="197">
        <v>45399.168321759258</v>
      </c>
      <c r="D14" s="197">
        <v>45399.168946759259</v>
      </c>
      <c r="E14" s="198" t="s">
        <v>244</v>
      </c>
      <c r="F14" s="199"/>
      <c r="G14" s="140" t="e">
        <f ca="1">mif(C14="","",OR(B14=リスト!$C$5,B14=リスト!$C$6),SUM(INDEX(G:G,MATCH(I14-1,I:I,0)+1,1):INDEX(G:G,MATCH(I14,I:I,0)-1,1)),D14-C14)</f>
        <v>#NAME?</v>
      </c>
      <c r="H14" s="140" t="e">
        <f ca="1">mif(C14="","",B14=リスト!$C$5,SUMIF(INDEX(B:B,MATCH(I14-1,I:I,0)+1,1):INDEX(B:B,MATCH(I14,I:I,0)-1,1),リスト!$C$7,INDEX(G:G,MATCH(I14-1,I:I,0)+1,1):INDEX(G:G,MATCH(I14,I:I,0)-1,1)),"")</f>
        <v>#NAME?</v>
      </c>
      <c r="I14" s="200" t="str">
        <f>IF(OR(B14=リスト!$C$5,B14=リスト!$C$6),COUNTIF($B$9:B14,リスト!$C$5)+COUNTIF($B$9:B14,リスト!$C$6),"")</f>
        <v/>
      </c>
    </row>
    <row r="15" spans="1:10" x14ac:dyDescent="0.2">
      <c r="B15" s="196"/>
      <c r="C15" s="197">
        <v>45399.222766203704</v>
      </c>
      <c r="D15" s="197">
        <v>45399.224270833336</v>
      </c>
      <c r="E15" s="198" t="s">
        <v>244</v>
      </c>
      <c r="F15" s="199"/>
      <c r="G15" s="140" t="e">
        <f ca="1">mif(C15="","",OR(B15=リスト!$C$5,B15=リスト!$C$6),SUM(INDEX(G:G,MATCH(I15-1,I:I,0)+1,1):INDEX(G:G,MATCH(I15,I:I,0)-1,1)),D15-C15)</f>
        <v>#NAME?</v>
      </c>
      <c r="H15" s="140" t="e">
        <f ca="1">mif(C15="","",B15=リスト!$C$5,SUMIF(INDEX(B:B,MATCH(I15-1,I:I,0)+1,1):INDEX(B:B,MATCH(I15,I:I,0)-1,1),リスト!$C$7,INDEX(G:G,MATCH(I15-1,I:I,0)+1,1):INDEX(G:G,MATCH(I15,I:I,0)-1,1)),"")</f>
        <v>#NAME?</v>
      </c>
      <c r="I15" s="200" t="str">
        <f>IF(OR(B15=リスト!$C$5,B15=リスト!$C$6),COUNTIF($B$9:B15,リスト!$C$5)+COUNTIF($B$9:B15,リスト!$C$6),"")</f>
        <v/>
      </c>
    </row>
    <row r="16" spans="1:10" x14ac:dyDescent="0.2">
      <c r="B16" s="196"/>
      <c r="C16" s="197">
        <v>45399.23636574074</v>
      </c>
      <c r="D16" s="197">
        <v>45399.236666666664</v>
      </c>
      <c r="E16" s="198" t="s">
        <v>244</v>
      </c>
      <c r="F16" s="199"/>
      <c r="G16" s="140" t="e">
        <f ca="1">mif(C16="","",OR(B16=リスト!$C$5,B16=リスト!$C$6),SUM(INDEX(G:G,MATCH(I16-1,I:I,0)+1,1):INDEX(G:G,MATCH(I16,I:I,0)-1,1)),D16-C16)</f>
        <v>#NAME?</v>
      </c>
      <c r="H16" s="140" t="e">
        <f ca="1">mif(C16="","",B16=リスト!$C$5,SUMIF(INDEX(B:B,MATCH(I16-1,I:I,0)+1,1):INDEX(B:B,MATCH(I16,I:I,0)-1,1),リスト!$C$7,INDEX(G:G,MATCH(I16-1,I:I,0)+1,1):INDEX(G:G,MATCH(I16,I:I,0)-1,1)),"")</f>
        <v>#NAME?</v>
      </c>
      <c r="I16" s="200" t="str">
        <f>IF(OR(B16=リスト!$C$5,B16=リスト!$C$6),COUNTIF($B$9:B16,リスト!$C$5)+COUNTIF($B$9:B16,リスト!$C$6),"")</f>
        <v/>
      </c>
    </row>
    <row r="17" spans="2:9" x14ac:dyDescent="0.2">
      <c r="B17" s="196" t="s">
        <v>247</v>
      </c>
      <c r="C17" s="197">
        <v>45398.916666666664</v>
      </c>
      <c r="D17" s="197">
        <v>45399.416666666664</v>
      </c>
      <c r="E17" s="198">
        <v>7</v>
      </c>
      <c r="F17" s="199" t="s">
        <v>246</v>
      </c>
      <c r="G17" s="140" t="e">
        <f ca="1">mif(C17="","",OR(B17=リスト!$C$5,B17=リスト!$C$6),SUM(INDEX(G:G,MATCH(I17-1,I:I,0)+1,1):INDEX(G:G,MATCH(I17,I:I,0)-1,1)),D17-C17)</f>
        <v>#NAME?</v>
      </c>
      <c r="H17" s="140" t="e">
        <f ca="1">mif(C17="","",B17=リスト!$C$5,SUMIF(INDEX(B:B,MATCH(I17-1,I:I,0)+1,1):INDEX(B:B,MATCH(I17,I:I,0)-1,1),リスト!$C$7,INDEX(G:G,MATCH(I17-1,I:I,0)+1,1):INDEX(G:G,MATCH(I17,I:I,0)-1,1)),"")</f>
        <v>#NAME?</v>
      </c>
      <c r="I17" s="200">
        <f>IF(OR(B17=リスト!$C$5,B17=リスト!$C$6),COUNTIF($B$9:B17,リスト!$C$5)+COUNTIF($B$9:B17,リスト!$C$6),"")</f>
        <v>1</v>
      </c>
    </row>
    <row r="18" spans="2:9" x14ac:dyDescent="0.2">
      <c r="B18" s="196"/>
      <c r="C18" s="197">
        <v>45399.424108796295</v>
      </c>
      <c r="D18" s="197">
        <v>45399.424363425926</v>
      </c>
      <c r="E18" s="198" t="s">
        <v>244</v>
      </c>
      <c r="F18" s="199"/>
      <c r="G18" s="140" t="e">
        <f ca="1">mif(C18="","",OR(B18=リスト!$C$5,B18=リスト!$C$6),SUM(INDEX(G:G,MATCH(I18-1,I:I,0)+1,1):INDEX(G:G,MATCH(I18,I:I,0)-1,1)),D18-C18)</f>
        <v>#NAME?</v>
      </c>
      <c r="H18" s="140" t="e">
        <f ca="1">mif(C18="","",B18=リスト!$C$5,SUMIF(INDEX(B:B,MATCH(I18-1,I:I,0)+1,1):INDEX(B:B,MATCH(I18,I:I,0)-1,1),リスト!$C$7,INDEX(G:G,MATCH(I18-1,I:I,0)+1,1):INDEX(G:G,MATCH(I18,I:I,0)-1,1)),"")</f>
        <v>#NAME?</v>
      </c>
      <c r="I18" s="200" t="str">
        <f>IF(OR(B18=リスト!$C$5,B18=リスト!$C$6),COUNTIF($B$9:B18,リスト!$C$5)+COUNTIF($B$9:B18,リスト!$C$6),"")</f>
        <v/>
      </c>
    </row>
    <row r="19" spans="2:9" x14ac:dyDescent="0.2">
      <c r="B19" s="196"/>
      <c r="C19" s="197">
        <v>45399.469618055555</v>
      </c>
      <c r="D19" s="197">
        <v>45399.469872685186</v>
      </c>
      <c r="E19" s="198" t="s">
        <v>244</v>
      </c>
      <c r="F19" s="199"/>
      <c r="G19" s="140" t="e">
        <f ca="1">mif(C19="","",OR(B19=リスト!$C$5,B19=リスト!$C$6),SUM(INDEX(G:G,MATCH(I19-1,I:I,0)+1,1):INDEX(G:G,MATCH(I19,I:I,0)-1,1)),D19-C19)</f>
        <v>#NAME?</v>
      </c>
      <c r="H19" s="140" t="e">
        <f ca="1">mif(C19="","",B19=リスト!$C$5,SUMIF(INDEX(B:B,MATCH(I19-1,I:I,0)+1,1):INDEX(B:B,MATCH(I19,I:I,0)-1,1),リスト!$C$7,INDEX(G:G,MATCH(I19-1,I:I,0)+1,1):INDEX(G:G,MATCH(I19,I:I,0)-1,1)),"")</f>
        <v>#NAME?</v>
      </c>
      <c r="I19" s="200" t="str">
        <f>IF(OR(B19=リスト!$C$5,B19=リスト!$C$6),COUNTIF($B$9:B19,リスト!$C$5)+COUNTIF($B$9:B19,リスト!$C$6),"")</f>
        <v/>
      </c>
    </row>
    <row r="20" spans="2:9" x14ac:dyDescent="0.2">
      <c r="B20" s="196"/>
      <c r="C20" s="197">
        <v>45399.482743055552</v>
      </c>
      <c r="D20" s="197">
        <v>45399.483020833337</v>
      </c>
      <c r="E20" s="198" t="s">
        <v>244</v>
      </c>
      <c r="F20" s="199"/>
      <c r="G20" s="140" t="e">
        <f ca="1">mif(C20="","",OR(B20=リスト!$C$5,B20=リスト!$C$6),SUM(INDEX(G:G,MATCH(I20-1,I:I,0)+1,1):INDEX(G:G,MATCH(I20,I:I,0)-1,1)),D20-C20)</f>
        <v>#NAME?</v>
      </c>
      <c r="H20" s="140" t="e">
        <f ca="1">mif(C20="","",B20=リスト!$C$5,SUMIF(INDEX(B:B,MATCH(I20-1,I:I,0)+1,1):INDEX(B:B,MATCH(I20,I:I,0)-1,1),リスト!$C$7,INDEX(G:G,MATCH(I20-1,I:I,0)+1,1):INDEX(G:G,MATCH(I20,I:I,0)-1,1)),"")</f>
        <v>#NAME?</v>
      </c>
      <c r="I20" s="200" t="str">
        <f>IF(OR(B20=リスト!$C$5,B20=リスト!$C$6),COUNTIF($B$9:B20,リスト!$C$5)+COUNTIF($B$9:B20,リスト!$C$6),"")</f>
        <v/>
      </c>
    </row>
    <row r="21" spans="2:9" x14ac:dyDescent="0.2">
      <c r="B21" s="196"/>
      <c r="C21" s="197">
        <v>45399.60601851852</v>
      </c>
      <c r="D21" s="197">
        <v>45399.606273148151</v>
      </c>
      <c r="E21" s="198" t="s">
        <v>244</v>
      </c>
      <c r="F21" s="199"/>
      <c r="G21" s="140" t="e">
        <f ca="1">mif(C21="","",OR(B21=リスト!$C$5,B21=リスト!$C$6),SUM(INDEX(G:G,MATCH(I21-1,I:I,0)+1,1):INDEX(G:G,MATCH(I21,I:I,0)-1,1)),D21-C21)</f>
        <v>#NAME?</v>
      </c>
      <c r="H21" s="140" t="e">
        <f ca="1">mif(C21="","",B21=リスト!$C$5,SUMIF(INDEX(B:B,MATCH(I21-1,I:I,0)+1,1):INDEX(B:B,MATCH(I21,I:I,0)-1,1),リスト!$C$7,INDEX(G:G,MATCH(I21-1,I:I,0)+1,1):INDEX(G:G,MATCH(I21,I:I,0)-1,1)),"")</f>
        <v>#NAME?</v>
      </c>
      <c r="I21" s="200" t="str">
        <f>IF(OR(B21=リスト!$C$5,B21=リスト!$C$6),COUNTIF($B$9:B21,リスト!$C$5)+COUNTIF($B$9:B21,リスト!$C$6),"")</f>
        <v/>
      </c>
    </row>
    <row r="22" spans="2:9" x14ac:dyDescent="0.2">
      <c r="B22" s="196"/>
      <c r="C22" s="197">
        <v>45399.636180555557</v>
      </c>
      <c r="D22" s="197">
        <v>45399.636412037034</v>
      </c>
      <c r="E22" s="198" t="s">
        <v>244</v>
      </c>
      <c r="F22" s="199"/>
      <c r="G22" s="140" t="e">
        <f ca="1">mif(C22="","",OR(B22=リスト!$C$5,B22=リスト!$C$6),SUM(INDEX(G:G,MATCH(I22-1,I:I,0)+1,1):INDEX(G:G,MATCH(I22,I:I,0)-1,1)),D22-C22)</f>
        <v>#NAME?</v>
      </c>
      <c r="H22" s="140" t="e">
        <f ca="1">mif(C22="","",B22=リスト!$C$5,SUMIF(INDEX(B:B,MATCH(I22-1,I:I,0)+1,1):INDEX(B:B,MATCH(I22,I:I,0)-1,1),リスト!$C$7,INDEX(G:G,MATCH(I22-1,I:I,0)+1,1):INDEX(G:G,MATCH(I22,I:I,0)-1,1)),"")</f>
        <v>#NAME?</v>
      </c>
      <c r="I22" s="200" t="str">
        <f>IF(OR(B22=リスト!$C$5,B22=リスト!$C$6),COUNTIF($B$9:B22,リスト!$C$5)+COUNTIF($B$9:B22,リスト!$C$6),"")</f>
        <v/>
      </c>
    </row>
    <row r="23" spans="2:9" x14ac:dyDescent="0.2">
      <c r="B23" s="196"/>
      <c r="C23" s="197">
        <v>45399.636689814812</v>
      </c>
      <c r="D23" s="197">
        <v>45399.637199074074</v>
      </c>
      <c r="E23" s="198" t="s">
        <v>244</v>
      </c>
      <c r="F23" s="199"/>
      <c r="G23" s="140" t="e">
        <f ca="1">mif(C23="","",OR(B23=リスト!$C$5,B23=リスト!$C$6),SUM(INDEX(G:G,MATCH(I23-1,I:I,0)+1,1):INDEX(G:G,MATCH(I23,I:I,0)-1,1)),D23-C23)</f>
        <v>#NAME?</v>
      </c>
      <c r="H23" s="140" t="e">
        <f ca="1">mif(C23="","",B23=リスト!$C$5,SUMIF(INDEX(B:B,MATCH(I23-1,I:I,0)+1,1):INDEX(B:B,MATCH(I23,I:I,0)-1,1),リスト!$C$7,INDEX(G:G,MATCH(I23-1,I:I,0)+1,1):INDEX(G:G,MATCH(I23,I:I,0)-1,1)),"")</f>
        <v>#NAME?</v>
      </c>
      <c r="I23" s="200" t="str">
        <f>IF(OR(B23=リスト!$C$5,B23=リスト!$C$6),COUNTIF($B$9:B23,リスト!$C$5)+COUNTIF($B$9:B23,リスト!$C$6),"")</f>
        <v/>
      </c>
    </row>
    <row r="24" spans="2:9" x14ac:dyDescent="0.2">
      <c r="B24" s="196"/>
      <c r="C24" s="197">
        <v>45399.670173611114</v>
      </c>
      <c r="D24" s="197">
        <v>45399.670451388891</v>
      </c>
      <c r="E24" s="198" t="s">
        <v>244</v>
      </c>
      <c r="F24" s="199"/>
      <c r="G24" s="140" t="e">
        <f ca="1">mif(C24="","",OR(B24=リスト!$C$5,B24=リスト!$C$6),SUM(INDEX(G:G,MATCH(I24-1,I:I,0)+1,1):INDEX(G:G,MATCH(I24,I:I,0)-1,1)),D24-C24)</f>
        <v>#NAME?</v>
      </c>
      <c r="H24" s="140" t="e">
        <f ca="1">mif(C24="","",B24=リスト!$C$5,SUMIF(INDEX(B:B,MATCH(I24-1,I:I,0)+1,1):INDEX(B:B,MATCH(I24,I:I,0)-1,1),リスト!$C$7,INDEX(G:G,MATCH(I24-1,I:I,0)+1,1):INDEX(G:G,MATCH(I24,I:I,0)-1,1)),"")</f>
        <v>#NAME?</v>
      </c>
      <c r="I24" s="200" t="str">
        <f>IF(OR(B24=リスト!$C$5,B24=リスト!$C$6),COUNTIF($B$9:B24,リスト!$C$5)+COUNTIF($B$9:B24,リスト!$C$6),"")</f>
        <v/>
      </c>
    </row>
    <row r="25" spans="2:9" x14ac:dyDescent="0.2">
      <c r="B25" s="196"/>
      <c r="C25" s="197">
        <v>45399.720127314817</v>
      </c>
      <c r="D25" s="197">
        <v>45399.720381944448</v>
      </c>
      <c r="E25" s="198" t="s">
        <v>244</v>
      </c>
      <c r="F25" s="199"/>
      <c r="G25" s="140" t="e">
        <f ca="1">mif(C25="","",OR(B25=リスト!$C$5,B25=リスト!$C$6),SUM(INDEX(G:G,MATCH(I25-1,I:I,0)+1,1):INDEX(G:G,MATCH(I25,I:I,0)-1,1)),D25-C25)</f>
        <v>#NAME?</v>
      </c>
      <c r="H25" s="140" t="e">
        <f ca="1">mif(C25="","",B25=リスト!$C$5,SUMIF(INDEX(B:B,MATCH(I25-1,I:I,0)+1,1):INDEX(B:B,MATCH(I25,I:I,0)-1,1),リスト!$C$7,INDEX(G:G,MATCH(I25-1,I:I,0)+1,1):INDEX(G:G,MATCH(I25,I:I,0)-1,1)),"")</f>
        <v>#NAME?</v>
      </c>
      <c r="I25" s="200" t="str">
        <f>IF(OR(B25=リスト!$C$5,B25=リスト!$C$6),COUNTIF($B$9:B25,リスト!$C$5)+COUNTIF($B$9:B25,リスト!$C$6),"")</f>
        <v/>
      </c>
    </row>
    <row r="26" spans="2:9" x14ac:dyDescent="0.2">
      <c r="B26" s="196"/>
      <c r="C26" s="197">
        <v>45399.775451388887</v>
      </c>
      <c r="D26" s="197">
        <v>45399.775983796295</v>
      </c>
      <c r="E26" s="198" t="s">
        <v>244</v>
      </c>
      <c r="F26" s="199"/>
      <c r="G26" s="140" t="e">
        <f ca="1">mif(C26="","",OR(B26=リスト!$C$5,B26=リスト!$C$6),SUM(INDEX(G:G,MATCH(I26-1,I:I,0)+1,1):INDEX(G:G,MATCH(I26,I:I,0)-1,1)),D26-C26)</f>
        <v>#NAME?</v>
      </c>
      <c r="H26" s="140" t="e">
        <f ca="1">mif(C26="","",B26=リスト!$C$5,SUMIF(INDEX(B:B,MATCH(I26-1,I:I,0)+1,1):INDEX(B:B,MATCH(I26,I:I,0)-1,1),リスト!$C$7,INDEX(G:G,MATCH(I26-1,I:I,0)+1,1):INDEX(G:G,MATCH(I26,I:I,0)-1,1)),"")</f>
        <v>#NAME?</v>
      </c>
      <c r="I26" s="200" t="str">
        <f>IF(OR(B26=リスト!$C$5,B26=リスト!$C$6),COUNTIF($B$9:B26,リスト!$C$5)+COUNTIF($B$9:B26,リスト!$C$6),"")</f>
        <v/>
      </c>
    </row>
    <row r="27" spans="2:9" x14ac:dyDescent="0.2">
      <c r="B27" s="196"/>
      <c r="C27" s="197">
        <v>45399.827604166669</v>
      </c>
      <c r="D27" s="197">
        <v>45399.828067129631</v>
      </c>
      <c r="E27" s="198" t="s">
        <v>244</v>
      </c>
      <c r="F27" s="199"/>
      <c r="G27" s="140" t="e">
        <f ca="1">mif(C27="","",OR(B27=リスト!$C$5,B27=リスト!$C$6),SUM(INDEX(G:G,MATCH(I27-1,I:I,0)+1,1):INDEX(G:G,MATCH(I27,I:I,0)-1,1)),D27-C27)</f>
        <v>#NAME?</v>
      </c>
      <c r="H27" s="140" t="e">
        <f ca="1">mif(C27="","",B27=リスト!$C$5,SUMIF(INDEX(B:B,MATCH(I27-1,I:I,0)+1,1):INDEX(B:B,MATCH(I27,I:I,0)-1,1),リスト!$C$7,INDEX(G:G,MATCH(I27-1,I:I,0)+1,1):INDEX(G:G,MATCH(I27,I:I,0)-1,1)),"")</f>
        <v>#NAME?</v>
      </c>
      <c r="I27" s="200" t="str">
        <f>IF(OR(B27=リスト!$C$5,B27=リスト!$C$6),COUNTIF($B$9:B27,リスト!$C$5)+COUNTIF($B$9:B27,リスト!$C$6),"")</f>
        <v/>
      </c>
    </row>
    <row r="28" spans="2:9" x14ac:dyDescent="0.2">
      <c r="B28" s="196"/>
      <c r="C28" s="197">
        <v>45399.829270833332</v>
      </c>
      <c r="D28" s="197">
        <v>45399.829548611109</v>
      </c>
      <c r="E28" s="198" t="s">
        <v>244</v>
      </c>
      <c r="F28" s="199"/>
      <c r="G28" s="140" t="e">
        <f ca="1">mif(C28="","",OR(B28=リスト!$C$5,B28=リスト!$C$6),SUM(INDEX(G:G,MATCH(I28-1,I:I,0)+1,1):INDEX(G:G,MATCH(I28,I:I,0)-1,1)),D28-C28)</f>
        <v>#NAME?</v>
      </c>
      <c r="H28" s="140" t="e">
        <f ca="1">mif(C28="","",B28=リスト!$C$5,SUMIF(INDEX(B:B,MATCH(I28-1,I:I,0)+1,1):INDEX(B:B,MATCH(I28,I:I,0)-1,1),リスト!$C$7,INDEX(G:G,MATCH(I28-1,I:I,0)+1,1):INDEX(G:G,MATCH(I28,I:I,0)-1,1)),"")</f>
        <v>#NAME?</v>
      </c>
      <c r="I28" s="200" t="str">
        <f>IF(OR(B28=リスト!$C$5,B28=リスト!$C$6),COUNTIF($B$9:B28,リスト!$C$5)+COUNTIF($B$9:B28,リスト!$C$6),"")</f>
        <v/>
      </c>
    </row>
    <row r="29" spans="2:9" x14ac:dyDescent="0.2">
      <c r="B29" s="196" t="s">
        <v>247</v>
      </c>
      <c r="C29" s="197">
        <v>45399.416666666664</v>
      </c>
      <c r="D29" s="197">
        <v>45399.916666666664</v>
      </c>
      <c r="E29" s="198">
        <v>11</v>
      </c>
      <c r="F29" s="199"/>
      <c r="G29" s="140" t="e">
        <f ca="1">mif(C29="","",OR(B29=リスト!$C$5,B29=リスト!$C$6),SUM(INDEX(G:G,MATCH(I29-1,I:I,0)+1,1):INDEX(G:G,MATCH(I29,I:I,0)-1,1)),D29-C29)</f>
        <v>#NAME?</v>
      </c>
      <c r="H29" s="140" t="e">
        <f ca="1">mif(C29="","",B29=リスト!$C$5,SUMIF(INDEX(B:B,MATCH(I29-1,I:I,0)+1,1):INDEX(B:B,MATCH(I29,I:I,0)-1,1),リスト!$C$7,INDEX(G:G,MATCH(I29-1,I:I,0)+1,1):INDEX(G:G,MATCH(I29,I:I,0)-1,1)),"")</f>
        <v>#NAME?</v>
      </c>
      <c r="I29" s="200">
        <f>IF(OR(B29=リスト!$C$5,B29=リスト!$C$6),COUNTIF($B$9:B29,リスト!$C$5)+COUNTIF($B$9:B29,リスト!$C$6),"")</f>
        <v>2</v>
      </c>
    </row>
    <row r="30" spans="2:9" x14ac:dyDescent="0.2">
      <c r="B30" s="196"/>
      <c r="C30" s="197">
        <v>45399.922766203701</v>
      </c>
      <c r="D30" s="197">
        <v>45399.92355324074</v>
      </c>
      <c r="E30" s="198" t="s">
        <v>244</v>
      </c>
      <c r="F30" s="199"/>
      <c r="G30" s="140" t="e">
        <f ca="1">mif(C30="","",OR(B30=リスト!$C$5,B30=リスト!$C$6),SUM(INDEX(G:G,MATCH(I30-1,I:I,0)+1,1):INDEX(G:G,MATCH(I30,I:I,0)-1,1)),D30-C30)</f>
        <v>#NAME?</v>
      </c>
      <c r="H30" s="140" t="e">
        <f ca="1">mif(C30="","",B30=リスト!$C$5,SUMIF(INDEX(B:B,MATCH(I30-1,I:I,0)+1,1):INDEX(B:B,MATCH(I30,I:I,0)-1,1),リスト!$C$7,INDEX(G:G,MATCH(I30-1,I:I,0)+1,1):INDEX(G:G,MATCH(I30,I:I,0)-1,1)),"")</f>
        <v>#NAME?</v>
      </c>
      <c r="I30" s="200" t="str">
        <f>IF(OR(B30=リスト!$C$5,B30=リスト!$C$6),COUNTIF($B$9:B30,リスト!$C$5)+COUNTIF($B$9:B30,リスト!$C$6),"")</f>
        <v/>
      </c>
    </row>
    <row r="31" spans="2:9" x14ac:dyDescent="0.2">
      <c r="B31" s="196"/>
      <c r="C31" s="197">
        <v>45399.935011574074</v>
      </c>
      <c r="D31" s="197">
        <v>45399.935312499998</v>
      </c>
      <c r="E31" s="198" t="s">
        <v>244</v>
      </c>
      <c r="F31" s="199"/>
      <c r="G31" s="140" t="e">
        <f ca="1">mif(C31="","",OR(B31=リスト!$C$5,B31=リスト!$C$6),SUM(INDEX(G:G,MATCH(I31-1,I:I,0)+1,1):INDEX(G:G,MATCH(I31,I:I,0)-1,1)),D31-C31)</f>
        <v>#NAME?</v>
      </c>
      <c r="H31" s="140" t="e">
        <f ca="1">mif(C31="","",B31=リスト!$C$5,SUMIF(INDEX(B:B,MATCH(I31-1,I:I,0)+1,1):INDEX(B:B,MATCH(I31,I:I,0)-1,1),リスト!$C$7,INDEX(G:G,MATCH(I31-1,I:I,0)+1,1):INDEX(G:G,MATCH(I31,I:I,0)-1,1)),"")</f>
        <v>#NAME?</v>
      </c>
      <c r="I31" s="200" t="str">
        <f>IF(OR(B31=リスト!$C$5,B31=リスト!$C$6),COUNTIF($B$9:B31,リスト!$C$5)+COUNTIF($B$9:B31,リスト!$C$6),"")</f>
        <v/>
      </c>
    </row>
    <row r="32" spans="2:9" x14ac:dyDescent="0.2">
      <c r="B32" s="196"/>
      <c r="C32" s="197">
        <v>45399.964328703703</v>
      </c>
      <c r="D32" s="197">
        <v>45399.964629629627</v>
      </c>
      <c r="E32" s="198" t="s">
        <v>244</v>
      </c>
      <c r="F32" s="199"/>
      <c r="G32" s="140" t="e">
        <f ca="1">mif(C32="","",OR(B32=リスト!$C$5,B32=リスト!$C$6),SUM(INDEX(G:G,MATCH(I32-1,I:I,0)+1,1):INDEX(G:G,MATCH(I32,I:I,0)-1,1)),D32-C32)</f>
        <v>#NAME?</v>
      </c>
      <c r="H32" s="140" t="e">
        <f ca="1">mif(C32="","",B32=リスト!$C$5,SUMIF(INDEX(B:B,MATCH(I32-1,I:I,0)+1,1):INDEX(B:B,MATCH(I32,I:I,0)-1,1),リスト!$C$7,INDEX(G:G,MATCH(I32-1,I:I,0)+1,1):INDEX(G:G,MATCH(I32,I:I,0)-1,1)),"")</f>
        <v>#NAME?</v>
      </c>
      <c r="I32" s="200" t="str">
        <f>IF(OR(B32=リスト!$C$5,B32=リスト!$C$6),COUNTIF($B$9:B32,リスト!$C$5)+COUNTIF($B$9:B32,リスト!$C$6),"")</f>
        <v/>
      </c>
    </row>
    <row r="33" spans="2:9" x14ac:dyDescent="0.2">
      <c r="B33" s="196"/>
      <c r="C33" s="197">
        <v>45399.969826388886</v>
      </c>
      <c r="D33" s="197">
        <v>45399.970057870371</v>
      </c>
      <c r="E33" s="198" t="s">
        <v>244</v>
      </c>
      <c r="F33" s="199"/>
      <c r="G33" s="140" t="e">
        <f ca="1">mif(C33="","",OR(B33=リスト!$C$5,B33=リスト!$C$6),SUM(INDEX(G:G,MATCH(I33-1,I:I,0)+1,1):INDEX(G:G,MATCH(I33,I:I,0)-1,1)),D33-C33)</f>
        <v>#NAME?</v>
      </c>
      <c r="H33" s="140" t="e">
        <f ca="1">mif(C33="","",B33=リスト!$C$5,SUMIF(INDEX(B:B,MATCH(I33-1,I:I,0)+1,1):INDEX(B:B,MATCH(I33,I:I,0)-1,1),リスト!$C$7,INDEX(G:G,MATCH(I33-1,I:I,0)+1,1):INDEX(G:G,MATCH(I33,I:I,0)-1,1)),"")</f>
        <v>#NAME?</v>
      </c>
      <c r="I33" s="200" t="str">
        <f>IF(OR(B33=リスト!$C$5,B33=リスト!$C$6),COUNTIF($B$9:B33,リスト!$C$5)+COUNTIF($B$9:B33,リスト!$C$6),"")</f>
        <v/>
      </c>
    </row>
    <row r="34" spans="2:9" x14ac:dyDescent="0.2">
      <c r="B34" s="196"/>
      <c r="C34" s="197">
        <v>45400.088599537034</v>
      </c>
      <c r="D34" s="197">
        <v>45400.088831018518</v>
      </c>
      <c r="E34" s="198" t="s">
        <v>244</v>
      </c>
      <c r="F34" s="199"/>
      <c r="G34" s="140" t="e">
        <f ca="1">mif(C34="","",OR(B34=リスト!$C$5,B34=リスト!$C$6),SUM(INDEX(G:G,MATCH(I34-1,I:I,0)+1,1):INDEX(G:G,MATCH(I34,I:I,0)-1,1)),D34-C34)</f>
        <v>#NAME?</v>
      </c>
      <c r="H34" s="140" t="e">
        <f ca="1">mif(C34="","",B34=リスト!$C$5,SUMIF(INDEX(B:B,MATCH(I34-1,I:I,0)+1,1):INDEX(B:B,MATCH(I34,I:I,0)-1,1),リスト!$C$7,INDEX(G:G,MATCH(I34-1,I:I,0)+1,1):INDEX(G:G,MATCH(I34,I:I,0)-1,1)),"")</f>
        <v>#NAME?</v>
      </c>
      <c r="I34" s="200" t="str">
        <f>IF(OR(B34=リスト!$C$5,B34=リスト!$C$6),COUNTIF($B$9:B34,リスト!$C$5)+COUNTIF($B$9:B34,リスト!$C$6),"")</f>
        <v/>
      </c>
    </row>
    <row r="35" spans="2:9" x14ac:dyDescent="0.2">
      <c r="B35" s="196"/>
      <c r="C35" s="197">
        <v>45400.164861111109</v>
      </c>
      <c r="D35" s="197">
        <v>45400.165092592593</v>
      </c>
      <c r="E35" s="198" t="s">
        <v>244</v>
      </c>
      <c r="F35" s="199"/>
      <c r="G35" s="140" t="e">
        <f ca="1">mif(C35="","",OR(B35=リスト!$C$5,B35=リスト!$C$6),SUM(INDEX(G:G,MATCH(I35-1,I:I,0)+1,1):INDEX(G:G,MATCH(I35,I:I,0)-1,1)),D35-C35)</f>
        <v>#NAME?</v>
      </c>
      <c r="H35" s="140" t="e">
        <f ca="1">mif(C35="","",B35=リスト!$C$5,SUMIF(INDEX(B:B,MATCH(I35-1,I:I,0)+1,1):INDEX(B:B,MATCH(I35,I:I,0)-1,1),リスト!$C$7,INDEX(G:G,MATCH(I35-1,I:I,0)+1,1):INDEX(G:G,MATCH(I35,I:I,0)-1,1)),"")</f>
        <v>#NAME?</v>
      </c>
      <c r="I35" s="200" t="str">
        <f>IF(OR(B35=リスト!$C$5,B35=リスト!$C$6),COUNTIF($B$9:B35,リスト!$C$5)+COUNTIF($B$9:B35,リスト!$C$6),"")</f>
        <v/>
      </c>
    </row>
    <row r="36" spans="2:9" x14ac:dyDescent="0.2">
      <c r="B36" s="196"/>
      <c r="C36" s="197">
        <v>45400.220902777779</v>
      </c>
      <c r="D36" s="197">
        <v>45400.221226851849</v>
      </c>
      <c r="E36" s="198" t="s">
        <v>244</v>
      </c>
      <c r="F36" s="199"/>
      <c r="G36" s="140" t="e">
        <f ca="1">mif(C36="","",OR(B36=リスト!$C$5,B36=リスト!$C$6),SUM(INDEX(G:G,MATCH(I36-1,I:I,0)+1,1):INDEX(G:G,MATCH(I36,I:I,0)-1,1)),D36-C36)</f>
        <v>#NAME?</v>
      </c>
      <c r="H36" s="140" t="e">
        <f ca="1">mif(C36="","",B36=リスト!$C$5,SUMIF(INDEX(B:B,MATCH(I36-1,I:I,0)+1,1):INDEX(B:B,MATCH(I36,I:I,0)-1,1),リスト!$C$7,INDEX(G:G,MATCH(I36-1,I:I,0)+1,1):INDEX(G:G,MATCH(I36,I:I,0)-1,1)),"")</f>
        <v>#NAME?</v>
      </c>
      <c r="I36" s="200" t="str">
        <f>IF(OR(B36=リスト!$C$5,B36=リスト!$C$6),COUNTIF($B$9:B36,リスト!$C$5)+COUNTIF($B$9:B36,リスト!$C$6),"")</f>
        <v/>
      </c>
    </row>
    <row r="37" spans="2:9" x14ac:dyDescent="0.2">
      <c r="B37" s="196"/>
      <c r="C37" s="197">
        <v>45400.26185185185</v>
      </c>
      <c r="D37" s="197">
        <v>45400.262083333335</v>
      </c>
      <c r="E37" s="198" t="s">
        <v>244</v>
      </c>
      <c r="F37" s="199"/>
      <c r="G37" s="140" t="e">
        <f ca="1">mif(C37="","",OR(B37=リスト!$C$5,B37=リスト!$C$6),SUM(INDEX(G:G,MATCH(I37-1,I:I,0)+1,1):INDEX(G:G,MATCH(I37,I:I,0)-1,1)),D37-C37)</f>
        <v>#NAME?</v>
      </c>
      <c r="H37" s="140" t="e">
        <f ca="1">mif(C37="","",B37=リスト!$C$5,SUMIF(INDEX(B:B,MATCH(I37-1,I:I,0)+1,1):INDEX(B:B,MATCH(I37,I:I,0)-1,1),リスト!$C$7,INDEX(G:G,MATCH(I37-1,I:I,0)+1,1):INDEX(G:G,MATCH(I37,I:I,0)-1,1)),"")</f>
        <v>#NAME?</v>
      </c>
      <c r="I37" s="200" t="str">
        <f>IF(OR(B37=リスト!$C$5,B37=リスト!$C$6),COUNTIF($B$9:B37,リスト!$C$5)+COUNTIF($B$9:B37,リスト!$C$6),"")</f>
        <v/>
      </c>
    </row>
    <row r="38" spans="2:9" x14ac:dyDescent="0.2">
      <c r="B38" s="196"/>
      <c r="C38" s="197">
        <v>45400.287488425929</v>
      </c>
      <c r="D38" s="197">
        <v>45400.287789351853</v>
      </c>
      <c r="E38" s="198" t="s">
        <v>244</v>
      </c>
      <c r="F38" s="199"/>
      <c r="G38" s="140" t="e">
        <f ca="1">mif(C38="","",OR(B38=リスト!$C$5,B38=リスト!$C$6),SUM(INDEX(G:G,MATCH(I38-1,I:I,0)+1,1):INDEX(G:G,MATCH(I38,I:I,0)-1,1)),D38-C38)</f>
        <v>#NAME?</v>
      </c>
      <c r="H38" s="140" t="e">
        <f ca="1">mif(C38="","",B38=リスト!$C$5,SUMIF(INDEX(B:B,MATCH(I38-1,I:I,0)+1,1):INDEX(B:B,MATCH(I38,I:I,0)-1,1),リスト!$C$7,INDEX(G:G,MATCH(I38-1,I:I,0)+1,1):INDEX(G:G,MATCH(I38,I:I,0)-1,1)),"")</f>
        <v>#NAME?</v>
      </c>
      <c r="I38" s="200" t="str">
        <f>IF(OR(B38=リスト!$C$5,B38=リスト!$C$6),COUNTIF($B$9:B38,リスト!$C$5)+COUNTIF($B$9:B38,リスト!$C$6),"")</f>
        <v/>
      </c>
    </row>
    <row r="39" spans="2:9" x14ac:dyDescent="0.2">
      <c r="B39" s="196"/>
      <c r="C39" s="197">
        <v>45400.363587962966</v>
      </c>
      <c r="D39" s="197">
        <v>45400.364398148151</v>
      </c>
      <c r="E39" s="198" t="s">
        <v>244</v>
      </c>
      <c r="F39" s="199"/>
      <c r="G39" s="140" t="e">
        <f ca="1">mif(C39="","",OR(B39=リスト!$C$5,B39=リスト!$C$6),SUM(INDEX(G:G,MATCH(I39-1,I:I,0)+1,1):INDEX(G:G,MATCH(I39,I:I,0)-1,1)),D39-C39)</f>
        <v>#NAME?</v>
      </c>
      <c r="H39" s="140" t="e">
        <f ca="1">mif(C39="","",B39=リスト!$C$5,SUMIF(INDEX(B:B,MATCH(I39-1,I:I,0)+1,1):INDEX(B:B,MATCH(I39,I:I,0)-1,1),リスト!$C$7,INDEX(G:G,MATCH(I39-1,I:I,0)+1,1):INDEX(G:G,MATCH(I39,I:I,0)-1,1)),"")</f>
        <v>#NAME?</v>
      </c>
      <c r="I39" s="200" t="str">
        <f>IF(OR(B39=リスト!$C$5,B39=リスト!$C$6),COUNTIF($B$9:B39,リスト!$C$5)+COUNTIF($B$9:B39,リスト!$C$6),"")</f>
        <v/>
      </c>
    </row>
    <row r="40" spans="2:9" x14ac:dyDescent="0.2">
      <c r="B40" s="196"/>
      <c r="C40" s="197">
        <v>45400.404189814813</v>
      </c>
      <c r="D40" s="197">
        <v>45400.404444444444</v>
      </c>
      <c r="E40" s="198" t="s">
        <v>244</v>
      </c>
      <c r="F40" s="199"/>
      <c r="G40" s="140" t="e">
        <f ca="1">mif(C40="","",OR(B40=リスト!$C$5,B40=リスト!$C$6),SUM(INDEX(G:G,MATCH(I40-1,I:I,0)+1,1):INDEX(G:G,MATCH(I40,I:I,0)-1,1)),D40-C40)</f>
        <v>#NAME?</v>
      </c>
      <c r="H40" s="140" t="e">
        <f ca="1">mif(C40="","",B40=リスト!$C$5,SUMIF(INDEX(B:B,MATCH(I40-1,I:I,0)+1,1):INDEX(B:B,MATCH(I40,I:I,0)-1,1),リスト!$C$7,INDEX(G:G,MATCH(I40-1,I:I,0)+1,1):INDEX(G:G,MATCH(I40,I:I,0)-1,1)),"")</f>
        <v>#NAME?</v>
      </c>
      <c r="I40" s="200" t="str">
        <f>IF(OR(B40=リスト!$C$5,B40=リスト!$C$6),COUNTIF($B$9:B40,リスト!$C$5)+COUNTIF($B$9:B40,リスト!$C$6),"")</f>
        <v/>
      </c>
    </row>
    <row r="41" spans="2:9" x14ac:dyDescent="0.2">
      <c r="B41" s="196" t="s">
        <v>247</v>
      </c>
      <c r="C41" s="197">
        <v>45399.916666666664</v>
      </c>
      <c r="D41" s="197">
        <v>45400.416666666664</v>
      </c>
      <c r="E41" s="198">
        <v>11</v>
      </c>
      <c r="F41" s="199"/>
      <c r="G41" s="140" t="e">
        <f ca="1">mif(C41="","",OR(B41=リスト!$C$5,B41=リスト!$C$6),SUM(INDEX(G:G,MATCH(I41-1,I:I,0)+1,1):INDEX(G:G,MATCH(I41,I:I,0)-1,1)),D41-C41)</f>
        <v>#NAME?</v>
      </c>
      <c r="H41" s="140" t="e">
        <f ca="1">mif(C41="","",B41=リスト!$C$5,SUMIF(INDEX(B:B,MATCH(I41-1,I:I,0)+1,1):INDEX(B:B,MATCH(I41,I:I,0)-1,1),リスト!$C$7,INDEX(G:G,MATCH(I41-1,I:I,0)+1,1):INDEX(G:G,MATCH(I41,I:I,0)-1,1)),"")</f>
        <v>#NAME?</v>
      </c>
      <c r="I41" s="200">
        <f>IF(OR(B41=リスト!$C$5,B41=リスト!$C$6),COUNTIF($B$9:B41,リスト!$C$5)+COUNTIF($B$9:B41,リスト!$C$6),"")</f>
        <v>3</v>
      </c>
    </row>
    <row r="42" spans="2:9" x14ac:dyDescent="0.2">
      <c r="B42" s="196"/>
      <c r="C42" s="197">
        <v>45400.420902777776</v>
      </c>
      <c r="D42" s="197">
        <v>45400.421203703707</v>
      </c>
      <c r="E42" s="198" t="s">
        <v>244</v>
      </c>
      <c r="F42" s="199"/>
      <c r="G42" s="140" t="e">
        <f ca="1">mif(C42="","",OR(B42=リスト!$C$5,B42=リスト!$C$6),SUM(INDEX(G:G,MATCH(I42-1,I:I,0)+1,1):INDEX(G:G,MATCH(I42,I:I,0)-1,1)),D42-C42)</f>
        <v>#NAME?</v>
      </c>
      <c r="H42" s="140" t="e">
        <f ca="1">mif(C42="","",B42=リスト!$C$5,SUMIF(INDEX(B:B,MATCH(I42-1,I:I,0)+1,1):INDEX(B:B,MATCH(I42,I:I,0)-1,1),リスト!$C$7,INDEX(G:G,MATCH(I42-1,I:I,0)+1,1):INDEX(G:G,MATCH(I42,I:I,0)-1,1)),"")</f>
        <v>#NAME?</v>
      </c>
      <c r="I42" s="200" t="str">
        <f>IF(OR(B42=リスト!$C$5,B42=リスト!$C$6),COUNTIF($B$9:B42,リスト!$C$5)+COUNTIF($B$9:B42,リスト!$C$6),"")</f>
        <v/>
      </c>
    </row>
    <row r="43" spans="2:9" x14ac:dyDescent="0.2">
      <c r="B43" s="196"/>
      <c r="C43" s="197">
        <v>45400.489247685182</v>
      </c>
      <c r="D43" s="197">
        <v>45400.489733796298</v>
      </c>
      <c r="E43" s="198" t="s">
        <v>244</v>
      </c>
      <c r="F43" s="199"/>
      <c r="G43" s="140" t="e">
        <f ca="1">mif(C43="","",OR(B43=リスト!$C$5,B43=リスト!$C$6),SUM(INDEX(G:G,MATCH(I43-1,I:I,0)+1,1):INDEX(G:G,MATCH(I43,I:I,0)-1,1)),D43-C43)</f>
        <v>#NAME?</v>
      </c>
      <c r="H43" s="140" t="e">
        <f ca="1">mif(C43="","",B43=リスト!$C$5,SUMIF(INDEX(B:B,MATCH(I43-1,I:I,0)+1,1):INDEX(B:B,MATCH(I43,I:I,0)-1,1),リスト!$C$7,INDEX(G:G,MATCH(I43-1,I:I,0)+1,1):INDEX(G:G,MATCH(I43,I:I,0)-1,1)),"")</f>
        <v>#NAME?</v>
      </c>
      <c r="I43" s="200" t="str">
        <f>IF(OR(B43=リスト!$C$5,B43=リスト!$C$6),COUNTIF($B$9:B43,リスト!$C$5)+COUNTIF($B$9:B43,リスト!$C$6),"")</f>
        <v/>
      </c>
    </row>
    <row r="44" spans="2:9" x14ac:dyDescent="0.2">
      <c r="B44" s="196"/>
      <c r="C44" s="197">
        <v>45400.495752314811</v>
      </c>
      <c r="D44" s="197">
        <v>45400.496053240742</v>
      </c>
      <c r="E44" s="198" t="s">
        <v>244</v>
      </c>
      <c r="F44" s="199"/>
      <c r="G44" s="140" t="e">
        <f ca="1">mif(C44="","",OR(B44=リスト!$C$5,B44=リスト!$C$6),SUM(INDEX(G:G,MATCH(I44-1,I:I,0)+1,1):INDEX(G:G,MATCH(I44,I:I,0)-1,1)),D44-C44)</f>
        <v>#NAME?</v>
      </c>
      <c r="H44" s="140" t="e">
        <f ca="1">mif(C44="","",B44=リスト!$C$5,SUMIF(INDEX(B:B,MATCH(I44-1,I:I,0)+1,1):INDEX(B:B,MATCH(I44,I:I,0)-1,1),リスト!$C$7,INDEX(G:G,MATCH(I44-1,I:I,0)+1,1):INDEX(G:G,MATCH(I44,I:I,0)-1,1)),"")</f>
        <v>#NAME?</v>
      </c>
      <c r="I44" s="200" t="str">
        <f>IF(OR(B44=リスト!$C$5,B44=リスト!$C$6),COUNTIF($B$9:B44,リスト!$C$5)+COUNTIF($B$9:B44,リスト!$C$6),"")</f>
        <v/>
      </c>
    </row>
    <row r="45" spans="2:9" x14ac:dyDescent="0.2">
      <c r="B45" s="196"/>
      <c r="C45" s="197">
        <v>45400.498831018522</v>
      </c>
      <c r="D45" s="197">
        <v>45400.499409722222</v>
      </c>
      <c r="E45" s="198" t="s">
        <v>244</v>
      </c>
      <c r="F45" s="199"/>
      <c r="G45" s="140" t="e">
        <f ca="1">mif(C45="","",OR(B45=リスト!$C$5,B45=リスト!$C$6),SUM(INDEX(G:G,MATCH(I45-1,I:I,0)+1,1):INDEX(G:G,MATCH(I45,I:I,0)-1,1)),D45-C45)</f>
        <v>#NAME?</v>
      </c>
      <c r="H45" s="140" t="e">
        <f ca="1">mif(C45="","",B45=リスト!$C$5,SUMIF(INDEX(B:B,MATCH(I45-1,I:I,0)+1,1):INDEX(B:B,MATCH(I45,I:I,0)-1,1),リスト!$C$7,INDEX(G:G,MATCH(I45-1,I:I,0)+1,1):INDEX(G:G,MATCH(I45,I:I,0)-1,1)),"")</f>
        <v>#NAME?</v>
      </c>
      <c r="I45" s="200" t="str">
        <f>IF(OR(B45=リスト!$C$5,B45=リスト!$C$6),COUNTIF($B$9:B45,リスト!$C$5)+COUNTIF($B$9:B45,リスト!$C$6),"")</f>
        <v/>
      </c>
    </row>
    <row r="46" spans="2:9" x14ac:dyDescent="0.2">
      <c r="B46" s="196"/>
      <c r="C46" s="197">
        <v>45400.517754629633</v>
      </c>
      <c r="D46" s="197">
        <v>45400.518055555556</v>
      </c>
      <c r="E46" s="198" t="s">
        <v>244</v>
      </c>
      <c r="F46" s="199"/>
      <c r="G46" s="140" t="e">
        <f ca="1">mif(C46="","",OR(B46=リスト!$C$5,B46=リスト!$C$6),SUM(INDEX(G:G,MATCH(I46-1,I:I,0)+1,1):INDEX(G:G,MATCH(I46,I:I,0)-1,1)),D46-C46)</f>
        <v>#NAME?</v>
      </c>
      <c r="H46" s="140" t="e">
        <f ca="1">mif(C46="","",B46=リスト!$C$5,SUMIF(INDEX(B:B,MATCH(I46-1,I:I,0)+1,1):INDEX(B:B,MATCH(I46,I:I,0)-1,1),リスト!$C$7,INDEX(G:G,MATCH(I46-1,I:I,0)+1,1):INDEX(G:G,MATCH(I46,I:I,0)-1,1)),"")</f>
        <v>#NAME?</v>
      </c>
      <c r="I46" s="200" t="str">
        <f>IF(OR(B46=リスト!$C$5,B46=リスト!$C$6),COUNTIF($B$9:B46,リスト!$C$5)+COUNTIF($B$9:B46,リスト!$C$6),"")</f>
        <v/>
      </c>
    </row>
    <row r="47" spans="2:9" x14ac:dyDescent="0.2">
      <c r="B47" s="196"/>
      <c r="C47" s="197">
        <v>45400.552928240744</v>
      </c>
      <c r="D47" s="197">
        <v>45400.553229166668</v>
      </c>
      <c r="E47" s="198" t="s">
        <v>244</v>
      </c>
      <c r="F47" s="199"/>
      <c r="G47" s="140" t="e">
        <f ca="1">mif(C47="","",OR(B47=リスト!$C$5,B47=リスト!$C$6),SUM(INDEX(G:G,MATCH(I47-1,I:I,0)+1,1):INDEX(G:G,MATCH(I47,I:I,0)-1,1)),D47-C47)</f>
        <v>#NAME?</v>
      </c>
      <c r="H47" s="140" t="e">
        <f ca="1">mif(C47="","",B47=リスト!$C$5,SUMIF(INDEX(B:B,MATCH(I47-1,I:I,0)+1,1):INDEX(B:B,MATCH(I47,I:I,0)-1,1),リスト!$C$7,INDEX(G:G,MATCH(I47-1,I:I,0)+1,1):INDEX(G:G,MATCH(I47,I:I,0)-1,1)),"")</f>
        <v>#NAME?</v>
      </c>
      <c r="I47" s="200" t="str">
        <f>IF(OR(B47=リスト!$C$5,B47=リスト!$C$6),COUNTIF($B$9:B47,リスト!$C$5)+COUNTIF($B$9:B47,リスト!$C$6),"")</f>
        <v/>
      </c>
    </row>
    <row r="48" spans="2:9" x14ac:dyDescent="0.2">
      <c r="B48" s="196"/>
      <c r="C48" s="197">
        <v>45400.63653935185</v>
      </c>
      <c r="D48" s="197">
        <v>45400.636840277781</v>
      </c>
      <c r="E48" s="198" t="s">
        <v>244</v>
      </c>
      <c r="F48" s="199"/>
      <c r="G48" s="140" t="e">
        <f ca="1">mif(C48="","",OR(B48=リスト!$C$5,B48=リスト!$C$6),SUM(INDEX(G:G,MATCH(I48-1,I:I,0)+1,1):INDEX(G:G,MATCH(I48,I:I,0)-1,1)),D48-C48)</f>
        <v>#NAME?</v>
      </c>
      <c r="H48" s="140" t="e">
        <f ca="1">mif(C48="","",B48=リスト!$C$5,SUMIF(INDEX(B:B,MATCH(I48-1,I:I,0)+1,1):INDEX(B:B,MATCH(I48,I:I,0)-1,1),リスト!$C$7,INDEX(G:G,MATCH(I48-1,I:I,0)+1,1):INDEX(G:G,MATCH(I48,I:I,0)-1,1)),"")</f>
        <v>#NAME?</v>
      </c>
      <c r="I48" s="200" t="str">
        <f>IF(OR(B48=リスト!$C$5,B48=リスト!$C$6),COUNTIF($B$9:B48,リスト!$C$5)+COUNTIF($B$9:B48,リスト!$C$6),"")</f>
        <v/>
      </c>
    </row>
    <row r="49" spans="2:9" x14ac:dyDescent="0.2">
      <c r="B49" s="196"/>
      <c r="C49" s="197">
        <v>45400.687442129631</v>
      </c>
      <c r="D49" s="197">
        <v>45400.687743055554</v>
      </c>
      <c r="E49" s="198" t="s">
        <v>244</v>
      </c>
      <c r="F49" s="199"/>
      <c r="G49" s="140" t="e">
        <f ca="1">mif(C49="","",OR(B49=リスト!$C$5,B49=リスト!$C$6),SUM(INDEX(G:G,MATCH(I49-1,I:I,0)+1,1):INDEX(G:G,MATCH(I49,I:I,0)-1,1)),D49-C49)</f>
        <v>#NAME?</v>
      </c>
      <c r="H49" s="140" t="e">
        <f ca="1">mif(C49="","",B49=リスト!$C$5,SUMIF(INDEX(B:B,MATCH(I49-1,I:I,0)+1,1):INDEX(B:B,MATCH(I49,I:I,0)-1,1),リスト!$C$7,INDEX(G:G,MATCH(I49-1,I:I,0)+1,1):INDEX(G:G,MATCH(I49,I:I,0)-1,1)),"")</f>
        <v>#NAME?</v>
      </c>
      <c r="I49" s="200" t="str">
        <f>IF(OR(B49=リスト!$C$5,B49=リスト!$C$6),COUNTIF($B$9:B49,リスト!$C$5)+COUNTIF($B$9:B49,リスト!$C$6),"")</f>
        <v/>
      </c>
    </row>
    <row r="50" spans="2:9" x14ac:dyDescent="0.2">
      <c r="B50" s="196"/>
      <c r="C50" s="197">
        <v>45400.689108796294</v>
      </c>
      <c r="D50" s="197">
        <v>45400.689363425925</v>
      </c>
      <c r="E50" s="198" t="s">
        <v>244</v>
      </c>
      <c r="F50" s="199"/>
      <c r="G50" s="140" t="e">
        <f ca="1">mif(C50="","",OR(B50=リスト!$C$5,B50=リスト!$C$6),SUM(INDEX(G:G,MATCH(I50-1,I:I,0)+1,1):INDEX(G:G,MATCH(I50,I:I,0)-1,1)),D50-C50)</f>
        <v>#NAME?</v>
      </c>
      <c r="H50" s="140" t="e">
        <f ca="1">mif(C50="","",B50=リスト!$C$5,SUMIF(INDEX(B:B,MATCH(I50-1,I:I,0)+1,1):INDEX(B:B,MATCH(I50,I:I,0)-1,1),リスト!$C$7,INDEX(G:G,MATCH(I50-1,I:I,0)+1,1):INDEX(G:G,MATCH(I50,I:I,0)-1,1)),"")</f>
        <v>#NAME?</v>
      </c>
      <c r="I50" s="200" t="str">
        <f>IF(OR(B50=リスト!$C$5,B50=リスト!$C$6),COUNTIF($B$9:B50,リスト!$C$5)+COUNTIF($B$9:B50,リスト!$C$6),"")</f>
        <v/>
      </c>
    </row>
    <row r="51" spans="2:9" x14ac:dyDescent="0.2">
      <c r="B51" s="196"/>
      <c r="C51" s="197">
        <v>45400.74658564815</v>
      </c>
      <c r="D51" s="197">
        <v>45400.746863425928</v>
      </c>
      <c r="E51" s="198" t="s">
        <v>244</v>
      </c>
      <c r="F51" s="199"/>
      <c r="G51" s="140" t="e">
        <f ca="1">mif(C51="","",OR(B51=リスト!$C$5,B51=リスト!$C$6),SUM(INDEX(G:G,MATCH(I51-1,I:I,0)+1,1):INDEX(G:G,MATCH(I51,I:I,0)-1,1)),D51-C51)</f>
        <v>#NAME?</v>
      </c>
      <c r="H51" s="140" t="e">
        <f ca="1">mif(C51="","",B51=リスト!$C$5,SUMIF(INDEX(B:B,MATCH(I51-1,I:I,0)+1,1):INDEX(B:B,MATCH(I51,I:I,0)-1,1),リスト!$C$7,INDEX(G:G,MATCH(I51-1,I:I,0)+1,1):INDEX(G:G,MATCH(I51,I:I,0)-1,1)),"")</f>
        <v>#NAME?</v>
      </c>
      <c r="I51" s="200" t="str">
        <f>IF(OR(B51=リスト!$C$5,B51=リスト!$C$6),COUNTIF($B$9:B51,リスト!$C$5)+COUNTIF($B$9:B51,リスト!$C$6),"")</f>
        <v/>
      </c>
    </row>
    <row r="52" spans="2:9" x14ac:dyDescent="0.2">
      <c r="B52" s="196"/>
      <c r="C52" s="197">
        <v>45400.747303240743</v>
      </c>
      <c r="D52" s="197">
        <v>45400.747719907406</v>
      </c>
      <c r="E52" s="198" t="s">
        <v>244</v>
      </c>
      <c r="F52" s="199"/>
      <c r="G52" s="140" t="e">
        <f ca="1">mif(C52="","",OR(B52=リスト!$C$5,B52=リスト!$C$6),SUM(INDEX(G:G,MATCH(I52-1,I:I,0)+1,1):INDEX(G:G,MATCH(I52,I:I,0)-1,1)),D52-C52)</f>
        <v>#NAME?</v>
      </c>
      <c r="H52" s="140" t="e">
        <f ca="1">mif(C52="","",B52=リスト!$C$5,SUMIF(INDEX(B:B,MATCH(I52-1,I:I,0)+1,1):INDEX(B:B,MATCH(I52,I:I,0)-1,1),リスト!$C$7,INDEX(G:G,MATCH(I52-1,I:I,0)+1,1):INDEX(G:G,MATCH(I52,I:I,0)-1,1)),"")</f>
        <v>#NAME?</v>
      </c>
      <c r="I52" s="200" t="str">
        <f>IF(OR(B52=リスト!$C$5,B52=リスト!$C$6),COUNTIF($B$9:B52,リスト!$C$5)+COUNTIF($B$9:B52,リスト!$C$6),"")</f>
        <v/>
      </c>
    </row>
    <row r="53" spans="2:9" x14ac:dyDescent="0.2">
      <c r="B53" s="196"/>
      <c r="C53" s="197">
        <v>45400.755983796298</v>
      </c>
      <c r="D53" s="197">
        <v>45400.756215277775</v>
      </c>
      <c r="E53" s="198" t="s">
        <v>244</v>
      </c>
      <c r="F53" s="199"/>
      <c r="G53" s="140" t="e">
        <f ca="1">mif(C53="","",OR(B53=リスト!$C$5,B53=リスト!$C$6),SUM(INDEX(G:G,MATCH(I53-1,I:I,0)+1,1):INDEX(G:G,MATCH(I53,I:I,0)-1,1)),D53-C53)</f>
        <v>#NAME?</v>
      </c>
      <c r="H53" s="140" t="e">
        <f ca="1">mif(C53="","",B53=リスト!$C$5,SUMIF(INDEX(B:B,MATCH(I53-1,I:I,0)+1,1):INDEX(B:B,MATCH(I53,I:I,0)-1,1),リスト!$C$7,INDEX(G:G,MATCH(I53-1,I:I,0)+1,1):INDEX(G:G,MATCH(I53,I:I,0)-1,1)),"")</f>
        <v>#NAME?</v>
      </c>
      <c r="I53" s="200" t="str">
        <f>IF(OR(B53=リスト!$C$5,B53=リスト!$C$6),COUNTIF($B$9:B53,リスト!$C$5)+COUNTIF($B$9:B53,リスト!$C$6),"")</f>
        <v/>
      </c>
    </row>
    <row r="54" spans="2:9" x14ac:dyDescent="0.2">
      <c r="B54" s="196"/>
      <c r="C54" s="197">
        <v>45400.781481481485</v>
      </c>
      <c r="D54" s="197">
        <v>45400.781921296293</v>
      </c>
      <c r="E54" s="198" t="s">
        <v>244</v>
      </c>
      <c r="F54" s="199"/>
      <c r="G54" s="140" t="e">
        <f ca="1">mif(C54="","",OR(B54=リスト!$C$5,B54=リスト!$C$6),SUM(INDEX(G:G,MATCH(I54-1,I:I,0)+1,1):INDEX(G:G,MATCH(I54,I:I,0)-1,1)),D54-C54)</f>
        <v>#NAME?</v>
      </c>
      <c r="H54" s="140" t="e">
        <f ca="1">mif(C54="","",B54=リスト!$C$5,SUMIF(INDEX(B:B,MATCH(I54-1,I:I,0)+1,1):INDEX(B:B,MATCH(I54,I:I,0)-1,1),リスト!$C$7,INDEX(G:G,MATCH(I54-1,I:I,0)+1,1):INDEX(G:G,MATCH(I54,I:I,0)-1,1)),"")</f>
        <v>#NAME?</v>
      </c>
      <c r="I54" s="200" t="str">
        <f>IF(OR(B54=リスト!$C$5,B54=リスト!$C$6),COUNTIF($B$9:B54,リスト!$C$5)+COUNTIF($B$9:B54,リスト!$C$6),"")</f>
        <v/>
      </c>
    </row>
    <row r="55" spans="2:9" x14ac:dyDescent="0.2">
      <c r="B55" s="196"/>
      <c r="C55" s="197">
        <v>45400.816666666666</v>
      </c>
      <c r="D55" s="197">
        <v>45400.81689814815</v>
      </c>
      <c r="E55" s="198" t="s">
        <v>244</v>
      </c>
      <c r="F55" s="199"/>
      <c r="G55" s="140" t="e">
        <f ca="1">mif(C55="","",OR(B55=リスト!$C$5,B55=リスト!$C$6),SUM(INDEX(G:G,MATCH(I55-1,I:I,0)+1,1):INDEX(G:G,MATCH(I55,I:I,0)-1,1)),D55-C55)</f>
        <v>#NAME?</v>
      </c>
      <c r="H55" s="140" t="e">
        <f ca="1">mif(C55="","",B55=リスト!$C$5,SUMIF(INDEX(B:B,MATCH(I55-1,I:I,0)+1,1):INDEX(B:B,MATCH(I55,I:I,0)-1,1),リスト!$C$7,INDEX(G:G,MATCH(I55-1,I:I,0)+1,1):INDEX(G:G,MATCH(I55,I:I,0)-1,1)),"")</f>
        <v>#NAME?</v>
      </c>
      <c r="I55" s="200" t="str">
        <f>IF(OR(B55=リスト!$C$5,B55=リスト!$C$6),COUNTIF($B$9:B55,リスト!$C$5)+COUNTIF($B$9:B55,リスト!$C$6),"")</f>
        <v/>
      </c>
    </row>
    <row r="56" spans="2:9" x14ac:dyDescent="0.2">
      <c r="B56" s="196"/>
      <c r="C56" s="197">
        <v>45400.881435185183</v>
      </c>
      <c r="D56" s="197">
        <v>45400.881828703707</v>
      </c>
      <c r="E56" s="198" t="s">
        <v>244</v>
      </c>
      <c r="F56" s="199"/>
      <c r="G56" s="140" t="e">
        <f ca="1">mif(C56="","",OR(B56=リスト!$C$5,B56=リスト!$C$6),SUM(INDEX(G:G,MATCH(I56-1,I:I,0)+1,1):INDEX(G:G,MATCH(I56,I:I,0)-1,1)),D56-C56)</f>
        <v>#NAME?</v>
      </c>
      <c r="H56" s="140" t="e">
        <f ca="1">mif(C56="","",B56=リスト!$C$5,SUMIF(INDEX(B:B,MATCH(I56-1,I:I,0)+1,1):INDEX(B:B,MATCH(I56,I:I,0)-1,1),リスト!$C$7,INDEX(G:G,MATCH(I56-1,I:I,0)+1,1):INDEX(G:G,MATCH(I56,I:I,0)-1,1)),"")</f>
        <v>#NAME?</v>
      </c>
      <c r="I56" s="200" t="str">
        <f>IF(OR(B56=リスト!$C$5,B56=リスト!$C$6),COUNTIF($B$9:B56,リスト!$C$5)+COUNTIF($B$9:B56,リスト!$C$6),"")</f>
        <v/>
      </c>
    </row>
    <row r="57" spans="2:9" x14ac:dyDescent="0.2">
      <c r="B57" s="196"/>
      <c r="C57" s="197">
        <v>45400.885138888887</v>
      </c>
      <c r="D57" s="197">
        <v>45400.885416666664</v>
      </c>
      <c r="E57" s="198" t="s">
        <v>244</v>
      </c>
      <c r="F57" s="199"/>
      <c r="G57" s="140" t="e">
        <f ca="1">mif(C57="","",OR(B57=リスト!$C$5,B57=リスト!$C$6),SUM(INDEX(G:G,MATCH(I57-1,I:I,0)+1,1):INDEX(G:G,MATCH(I57,I:I,0)-1,1)),D57-C57)</f>
        <v>#NAME?</v>
      </c>
      <c r="H57" s="140" t="e">
        <f ca="1">mif(C57="","",B57=リスト!$C$5,SUMIF(INDEX(B:B,MATCH(I57-1,I:I,0)+1,1):INDEX(B:B,MATCH(I57,I:I,0)-1,1),リスト!$C$7,INDEX(G:G,MATCH(I57-1,I:I,0)+1,1):INDEX(G:G,MATCH(I57,I:I,0)-1,1)),"")</f>
        <v>#NAME?</v>
      </c>
      <c r="I57" s="200" t="str">
        <f>IF(OR(B57=リスト!$C$5,B57=リスト!$C$6),COUNTIF($B$9:B57,リスト!$C$5)+COUNTIF($B$9:B57,リスト!$C$6),"")</f>
        <v/>
      </c>
    </row>
    <row r="58" spans="2:9" x14ac:dyDescent="0.2">
      <c r="B58" s="196"/>
      <c r="C58" s="197">
        <v>45400.902187500003</v>
      </c>
      <c r="D58" s="197">
        <v>45400.902511574073</v>
      </c>
      <c r="E58" s="198" t="s">
        <v>244</v>
      </c>
      <c r="F58" s="199"/>
      <c r="G58" s="140" t="e">
        <f ca="1">mif(C58="","",OR(B58=リスト!$C$5,B58=リスト!$C$6),SUM(INDEX(G:G,MATCH(I58-1,I:I,0)+1,1):INDEX(G:G,MATCH(I58,I:I,0)-1,1)),D58-C58)</f>
        <v>#NAME?</v>
      </c>
      <c r="H58" s="140" t="e">
        <f ca="1">mif(C58="","",B58=リスト!$C$5,SUMIF(INDEX(B:B,MATCH(I58-1,I:I,0)+1,1):INDEX(B:B,MATCH(I58,I:I,0)-1,1),リスト!$C$7,INDEX(G:G,MATCH(I58-1,I:I,0)+1,1):INDEX(G:G,MATCH(I58,I:I,0)-1,1)),"")</f>
        <v>#NAME?</v>
      </c>
      <c r="I58" s="200" t="str">
        <f>IF(OR(B58=リスト!$C$5,B58=リスト!$C$6),COUNTIF($B$9:B58,リスト!$C$5)+COUNTIF($B$9:B58,リスト!$C$6),"")</f>
        <v/>
      </c>
    </row>
    <row r="59" spans="2:9" x14ac:dyDescent="0.2">
      <c r="B59" s="196" t="s">
        <v>247</v>
      </c>
      <c r="C59" s="197">
        <v>45400.416666666664</v>
      </c>
      <c r="D59" s="197">
        <v>45400.916666666664</v>
      </c>
      <c r="E59" s="198">
        <v>17</v>
      </c>
      <c r="F59" s="199"/>
      <c r="G59" s="140" t="e">
        <f ca="1">mif(C59="","",OR(B59=リスト!$C$5,B59=リスト!$C$6),SUM(INDEX(G:G,MATCH(I59-1,I:I,0)+1,1):INDEX(G:G,MATCH(I59,I:I,0)-1,1)),D59-C59)</f>
        <v>#NAME?</v>
      </c>
      <c r="H59" s="140" t="e">
        <f ca="1">mif(C59="","",B59=リスト!$C$5,SUMIF(INDEX(B:B,MATCH(I59-1,I:I,0)+1,1):INDEX(B:B,MATCH(I59,I:I,0)-1,1),リスト!$C$7,INDEX(G:G,MATCH(I59-1,I:I,0)+1,1):INDEX(G:G,MATCH(I59,I:I,0)-1,1)),"")</f>
        <v>#NAME?</v>
      </c>
      <c r="I59" s="200">
        <f>IF(OR(B59=リスト!$C$5,B59=リスト!$C$6),COUNTIF($B$9:B59,リスト!$C$5)+COUNTIF($B$9:B59,リスト!$C$6),"")</f>
        <v>4</v>
      </c>
    </row>
    <row r="60" spans="2:9" x14ac:dyDescent="0.2">
      <c r="B60" s="196"/>
      <c r="C60" s="197">
        <v>45403.923819444448</v>
      </c>
      <c r="D60" s="197">
        <v>45403.92428240741</v>
      </c>
      <c r="E60" s="198" t="s">
        <v>244</v>
      </c>
      <c r="F60" s="199"/>
      <c r="G60" s="140" t="e">
        <f ca="1">mif(C60="","",OR(B60=リスト!$C$5,B60=リスト!$C$6),SUM(INDEX(G:G,MATCH(I60-1,I:I,0)+1,1):INDEX(G:G,MATCH(I60,I:I,0)-1,1)),D60-C60)</f>
        <v>#NAME?</v>
      </c>
      <c r="H60" s="140" t="e">
        <f ca="1">mif(C60="","",B60=リスト!$C$5,SUMIF(INDEX(B:B,MATCH(I60-1,I:I,0)+1,1):INDEX(B:B,MATCH(I60,I:I,0)-1,1),リスト!$C$7,INDEX(G:G,MATCH(I60-1,I:I,0)+1,1):INDEX(G:G,MATCH(I60,I:I,0)-1,1)),"")</f>
        <v>#NAME?</v>
      </c>
      <c r="I60" s="200" t="str">
        <f>IF(OR(B60=リスト!$C$5,B60=リスト!$C$6),COUNTIF($B$9:B60,リスト!$C$5)+COUNTIF($B$9:B60,リスト!$C$6),"")</f>
        <v/>
      </c>
    </row>
    <row r="61" spans="2:9" x14ac:dyDescent="0.2">
      <c r="B61" s="196"/>
      <c r="C61" s="197">
        <v>45404.040625000001</v>
      </c>
      <c r="D61" s="197">
        <v>45404.040949074071</v>
      </c>
      <c r="E61" s="198" t="s">
        <v>244</v>
      </c>
      <c r="F61" s="199"/>
      <c r="G61" s="140" t="e">
        <f ca="1">mif(C61="","",OR(B61=リスト!$C$5,B61=リスト!$C$6),SUM(INDEX(G:G,MATCH(I61-1,I:I,0)+1,1):INDEX(G:G,MATCH(I61,I:I,0)-1,1)),D61-C61)</f>
        <v>#NAME?</v>
      </c>
      <c r="H61" s="140" t="e">
        <f ca="1">mif(C61="","",B61=リスト!$C$5,SUMIF(INDEX(B:B,MATCH(I61-1,I:I,0)+1,1):INDEX(B:B,MATCH(I61,I:I,0)-1,1),リスト!$C$7,INDEX(G:G,MATCH(I61-1,I:I,0)+1,1):INDEX(G:G,MATCH(I61,I:I,0)-1,1)),"")</f>
        <v>#NAME?</v>
      </c>
      <c r="I61" s="200" t="str">
        <f>IF(OR(B61=リスト!$C$5,B61=リスト!$C$6),COUNTIF($B$9:B61,リスト!$C$5)+COUNTIF($B$9:B61,リスト!$C$6),"")</f>
        <v/>
      </c>
    </row>
    <row r="62" spans="2:9" x14ac:dyDescent="0.2">
      <c r="B62" s="196"/>
      <c r="C62" s="197">
        <v>45404.138935185183</v>
      </c>
      <c r="D62" s="197">
        <v>45404.139166666668</v>
      </c>
      <c r="E62" s="198" t="s">
        <v>244</v>
      </c>
      <c r="F62" s="199"/>
      <c r="G62" s="140" t="e">
        <f ca="1">mif(C62="","",OR(B62=リスト!$C$5,B62=リスト!$C$6),SUM(INDEX(G:G,MATCH(I62-1,I:I,0)+1,1):INDEX(G:G,MATCH(I62,I:I,0)-1,1)),D62-C62)</f>
        <v>#NAME?</v>
      </c>
      <c r="H62" s="140" t="e">
        <f ca="1">mif(C62="","",B62=リスト!$C$5,SUMIF(INDEX(B:B,MATCH(I62-1,I:I,0)+1,1):INDEX(B:B,MATCH(I62,I:I,0)-1,1),リスト!$C$7,INDEX(G:G,MATCH(I62-1,I:I,0)+1,1):INDEX(G:G,MATCH(I62,I:I,0)-1,1)),"")</f>
        <v>#NAME?</v>
      </c>
      <c r="I62" s="200" t="str">
        <f>IF(OR(B62=リスト!$C$5,B62=リスト!$C$6),COUNTIF($B$9:B62,リスト!$C$5)+COUNTIF($B$9:B62,リスト!$C$6),"")</f>
        <v/>
      </c>
    </row>
    <row r="63" spans="2:9" x14ac:dyDescent="0.2">
      <c r="B63" s="196"/>
      <c r="C63" s="197">
        <v>45404.174189814818</v>
      </c>
      <c r="D63" s="197">
        <v>45404.174768518518</v>
      </c>
      <c r="E63" s="198" t="s">
        <v>244</v>
      </c>
      <c r="F63" s="199"/>
      <c r="G63" s="140" t="e">
        <f ca="1">mif(C63="","",OR(B63=リスト!$C$5,B63=リスト!$C$6),SUM(INDEX(G:G,MATCH(I63-1,I:I,0)+1,1):INDEX(G:G,MATCH(I63,I:I,0)-1,1)),D63-C63)</f>
        <v>#NAME?</v>
      </c>
      <c r="H63" s="140" t="e">
        <f ca="1">mif(C63="","",B63=リスト!$C$5,SUMIF(INDEX(B:B,MATCH(I63-1,I:I,0)+1,1):INDEX(B:B,MATCH(I63,I:I,0)-1,1),リスト!$C$7,INDEX(G:G,MATCH(I63-1,I:I,0)+1,1):INDEX(G:G,MATCH(I63,I:I,0)-1,1)),"")</f>
        <v>#NAME?</v>
      </c>
      <c r="I63" s="200" t="str">
        <f>IF(OR(B63=リスト!$C$5,B63=リスト!$C$6),COUNTIF($B$9:B63,リスト!$C$5)+COUNTIF($B$9:B63,リスト!$C$6),"")</f>
        <v/>
      </c>
    </row>
    <row r="64" spans="2:9" x14ac:dyDescent="0.2">
      <c r="B64" s="196"/>
      <c r="C64" s="197">
        <v>45404.174814814818</v>
      </c>
      <c r="D64" s="197">
        <v>45404.175092592595</v>
      </c>
      <c r="E64" s="198" t="s">
        <v>244</v>
      </c>
      <c r="F64" s="199"/>
      <c r="G64" s="140" t="e">
        <f ca="1">mif(C64="","",OR(B64=リスト!$C$5,B64=リスト!$C$6),SUM(INDEX(G:G,MATCH(I64-1,I:I,0)+1,1):INDEX(G:G,MATCH(I64,I:I,0)-1,1)),D64-C64)</f>
        <v>#NAME?</v>
      </c>
      <c r="H64" s="140" t="e">
        <f ca="1">mif(C64="","",B64=リスト!$C$5,SUMIF(INDEX(B:B,MATCH(I64-1,I:I,0)+1,1):INDEX(B:B,MATCH(I64,I:I,0)-1,1),リスト!$C$7,INDEX(G:G,MATCH(I64-1,I:I,0)+1,1):INDEX(G:G,MATCH(I64,I:I,0)-1,1)),"")</f>
        <v>#NAME?</v>
      </c>
      <c r="I64" s="200" t="str">
        <f>IF(OR(B64=リスト!$C$5,B64=リスト!$C$6),COUNTIF($B$9:B64,リスト!$C$5)+COUNTIF($B$9:B64,リスト!$C$6),"")</f>
        <v/>
      </c>
    </row>
    <row r="65" spans="2:9" x14ac:dyDescent="0.2">
      <c r="B65" s="196"/>
      <c r="C65" s="197">
        <v>45404.25209490741</v>
      </c>
      <c r="D65" s="197">
        <v>45404.252395833333</v>
      </c>
      <c r="E65" s="198" t="s">
        <v>244</v>
      </c>
      <c r="F65" s="199"/>
      <c r="G65" s="140" t="e">
        <f ca="1">mif(C65="","",OR(B65=リスト!$C$5,B65=リスト!$C$6),SUM(INDEX(G:G,MATCH(I65-1,I:I,0)+1,1):INDEX(G:G,MATCH(I65,I:I,0)-1,1)),D65-C65)</f>
        <v>#NAME?</v>
      </c>
      <c r="H65" s="140" t="e">
        <f ca="1">mif(C65="","",B65=リスト!$C$5,SUMIF(INDEX(B:B,MATCH(I65-1,I:I,0)+1,1):INDEX(B:B,MATCH(I65,I:I,0)-1,1),リスト!$C$7,INDEX(G:G,MATCH(I65-1,I:I,0)+1,1):INDEX(G:G,MATCH(I65,I:I,0)-1,1)),"")</f>
        <v>#NAME?</v>
      </c>
      <c r="I65" s="200" t="str">
        <f>IF(OR(B65=リスト!$C$5,B65=リスト!$C$6),COUNTIF($B$9:B65,リスト!$C$5)+COUNTIF($B$9:B65,リスト!$C$6),"")</f>
        <v/>
      </c>
    </row>
    <row r="66" spans="2:9" x14ac:dyDescent="0.2">
      <c r="B66" s="196"/>
      <c r="C66" s="197">
        <v>45404.274513888886</v>
      </c>
      <c r="D66" s="197">
        <v>45404.274837962963</v>
      </c>
      <c r="E66" s="198" t="s">
        <v>244</v>
      </c>
      <c r="F66" s="199"/>
      <c r="G66" s="140" t="e">
        <f ca="1">mif(C66="","",OR(B66=リスト!$C$5,B66=リスト!$C$6),SUM(INDEX(G:G,MATCH(I66-1,I:I,0)+1,1):INDEX(G:G,MATCH(I66,I:I,0)-1,1)),D66-C66)</f>
        <v>#NAME?</v>
      </c>
      <c r="H66" s="140" t="e">
        <f ca="1">mif(C66="","",B66=リスト!$C$5,SUMIF(INDEX(B:B,MATCH(I66-1,I:I,0)+1,1):INDEX(B:B,MATCH(I66,I:I,0)-1,1),リスト!$C$7,INDEX(G:G,MATCH(I66-1,I:I,0)+1,1):INDEX(G:G,MATCH(I66,I:I,0)-1,1)),"")</f>
        <v>#NAME?</v>
      </c>
      <c r="I66" s="200" t="str">
        <f>IF(OR(B66=リスト!$C$5,B66=リスト!$C$6),COUNTIF($B$9:B66,リスト!$C$5)+COUNTIF($B$9:B66,リスト!$C$6),"")</f>
        <v/>
      </c>
    </row>
    <row r="67" spans="2:9" x14ac:dyDescent="0.2">
      <c r="B67" s="196"/>
      <c r="C67" s="197">
        <v>45404.275138888886</v>
      </c>
      <c r="D67" s="197">
        <v>45404.275625000002</v>
      </c>
      <c r="E67" s="198" t="s">
        <v>244</v>
      </c>
      <c r="F67" s="199"/>
      <c r="G67" s="140" t="e">
        <f ca="1">mif(C67="","",OR(B67=リスト!$C$5,B67=リスト!$C$6),SUM(INDEX(G:G,MATCH(I67-1,I:I,0)+1,1):INDEX(G:G,MATCH(I67,I:I,0)-1,1)),D67-C67)</f>
        <v>#NAME?</v>
      </c>
      <c r="H67" s="140" t="e">
        <f ca="1">mif(C67="","",B67=リスト!$C$5,SUMIF(INDEX(B:B,MATCH(I67-1,I:I,0)+1,1):INDEX(B:B,MATCH(I67,I:I,0)-1,1),リスト!$C$7,INDEX(G:G,MATCH(I67-1,I:I,0)+1,1):INDEX(G:G,MATCH(I67,I:I,0)-1,1)),"")</f>
        <v>#NAME?</v>
      </c>
      <c r="I67" s="200" t="str">
        <f>IF(OR(B67=リスト!$C$5,B67=リスト!$C$6),COUNTIF($B$9:B67,リスト!$C$5)+COUNTIF($B$9:B67,リスト!$C$6),"")</f>
        <v/>
      </c>
    </row>
    <row r="68" spans="2:9" x14ac:dyDescent="0.2">
      <c r="B68" s="196"/>
      <c r="C68" s="197">
        <v>45404.33421296296</v>
      </c>
      <c r="D68" s="197">
        <v>45404.334467592591</v>
      </c>
      <c r="E68" s="198" t="s">
        <v>244</v>
      </c>
      <c r="F68" s="199"/>
      <c r="G68" s="140" t="e">
        <f ca="1">mif(C68="","",OR(B68=リスト!$C$5,B68=リスト!$C$6),SUM(INDEX(G:G,MATCH(I68-1,I:I,0)+1,1):INDEX(G:G,MATCH(I68,I:I,0)-1,1)),D68-C68)</f>
        <v>#NAME?</v>
      </c>
      <c r="H68" s="140" t="e">
        <f ca="1">mif(C68="","",B68=リスト!$C$5,SUMIF(INDEX(B:B,MATCH(I68-1,I:I,0)+1,1):INDEX(B:B,MATCH(I68,I:I,0)-1,1),リスト!$C$7,INDEX(G:G,MATCH(I68-1,I:I,0)+1,1):INDEX(G:G,MATCH(I68,I:I,0)-1,1)),"")</f>
        <v>#NAME?</v>
      </c>
      <c r="I68" s="200" t="str">
        <f>IF(OR(B68=リスト!$C$5,B68=リスト!$C$6),COUNTIF($B$9:B68,リスト!$C$5)+COUNTIF($B$9:B68,リスト!$C$6),"")</f>
        <v/>
      </c>
    </row>
    <row r="69" spans="2:9" x14ac:dyDescent="0.2">
      <c r="B69" s="196"/>
      <c r="C69" s="197">
        <v>45404.364317129628</v>
      </c>
      <c r="D69" s="197">
        <v>45404.364594907405</v>
      </c>
      <c r="E69" s="198" t="s">
        <v>244</v>
      </c>
      <c r="F69" s="199"/>
      <c r="G69" s="140" t="e">
        <f ca="1">mif(C69="","",OR(B69=リスト!$C$5,B69=リスト!$C$6),SUM(INDEX(G:G,MATCH(I69-1,I:I,0)+1,1):INDEX(G:G,MATCH(I69,I:I,0)-1,1)),D69-C69)</f>
        <v>#NAME?</v>
      </c>
      <c r="H69" s="140" t="e">
        <f ca="1">mif(C69="","",B69=リスト!$C$5,SUMIF(INDEX(B:B,MATCH(I69-1,I:I,0)+1,1):INDEX(B:B,MATCH(I69,I:I,0)-1,1),リスト!$C$7,INDEX(G:G,MATCH(I69-1,I:I,0)+1,1):INDEX(G:G,MATCH(I69,I:I,0)-1,1)),"")</f>
        <v>#NAME?</v>
      </c>
      <c r="I69" s="200" t="str">
        <f>IF(OR(B69=リスト!$C$5,B69=リスト!$C$6),COUNTIF($B$9:B69,リスト!$C$5)+COUNTIF($B$9:B69,リスト!$C$6),"")</f>
        <v/>
      </c>
    </row>
    <row r="70" spans="2:9" x14ac:dyDescent="0.2">
      <c r="B70" s="196"/>
      <c r="C70" s="197">
        <v>45404.412743055553</v>
      </c>
      <c r="D70" s="197">
        <v>45404.41302083333</v>
      </c>
      <c r="E70" s="198" t="s">
        <v>244</v>
      </c>
      <c r="F70" s="199"/>
      <c r="G70" s="140" t="e">
        <f ca="1">mif(C70="","",OR(B70=リスト!$C$5,B70=リスト!$C$6),SUM(INDEX(G:G,MATCH(I70-1,I:I,0)+1,1):INDEX(G:G,MATCH(I70,I:I,0)-1,1)),D70-C70)</f>
        <v>#NAME?</v>
      </c>
      <c r="H70" s="140" t="e">
        <f ca="1">mif(C70="","",B70=リスト!$C$5,SUMIF(INDEX(B:B,MATCH(I70-1,I:I,0)+1,1):INDEX(B:B,MATCH(I70,I:I,0)-1,1),リスト!$C$7,INDEX(G:G,MATCH(I70-1,I:I,0)+1,1):INDEX(G:G,MATCH(I70,I:I,0)-1,1)),"")</f>
        <v>#NAME?</v>
      </c>
      <c r="I70" s="200" t="str">
        <f>IF(OR(B70=リスト!$C$5,B70=リスト!$C$6),COUNTIF($B$9:B70,リスト!$C$5)+COUNTIF($B$9:B70,リスト!$C$6),"")</f>
        <v/>
      </c>
    </row>
    <row r="71" spans="2:9" x14ac:dyDescent="0.2">
      <c r="B71" s="196" t="s">
        <v>247</v>
      </c>
      <c r="C71" s="197">
        <v>45403.916666666664</v>
      </c>
      <c r="D71" s="197">
        <v>45404.416666666664</v>
      </c>
      <c r="E71" s="198">
        <v>11</v>
      </c>
      <c r="F71" s="199"/>
      <c r="G71" s="140" t="e">
        <f ca="1">mif(C71="","",OR(B71=リスト!$C$5,B71=リスト!$C$6),SUM(INDEX(G:G,MATCH(I71-1,I:I,0)+1,1):INDEX(G:G,MATCH(I71,I:I,0)-1,1)),D71-C71)</f>
        <v>#NAME?</v>
      </c>
      <c r="H71" s="140" t="e">
        <f ca="1">mif(C71="","",B71=リスト!$C$5,SUMIF(INDEX(B:B,MATCH(I71-1,I:I,0)+1,1):INDEX(B:B,MATCH(I71,I:I,0)-1,1),リスト!$C$7,INDEX(G:G,MATCH(I71-1,I:I,0)+1,1):INDEX(G:G,MATCH(I71,I:I,0)-1,1)),"")</f>
        <v>#NAME?</v>
      </c>
      <c r="I71" s="200">
        <f>IF(OR(B71=リスト!$C$5,B71=リスト!$C$6),COUNTIF($B$9:B71,リスト!$C$5)+COUNTIF($B$9:B71,リスト!$C$6),"")</f>
        <v>5</v>
      </c>
    </row>
    <row r="72" spans="2:9" x14ac:dyDescent="0.2">
      <c r="B72" s="196"/>
      <c r="C72" s="197">
        <v>45404.443032407406</v>
      </c>
      <c r="D72" s="197">
        <v>45404.444189814814</v>
      </c>
      <c r="E72" s="198" t="s">
        <v>244</v>
      </c>
      <c r="F72" s="199"/>
      <c r="G72" s="140" t="e">
        <f ca="1">mif(C72="","",OR(B72=リスト!$C$5,B72=リスト!$C$6),SUM(INDEX(G:G,MATCH(I72-1,I:I,0)+1,1):INDEX(G:G,MATCH(I72,I:I,0)-1,1)),D72-C72)</f>
        <v>#NAME?</v>
      </c>
      <c r="H72" s="140" t="e">
        <f ca="1">mif(C72="","",B72=リスト!$C$5,SUMIF(INDEX(B:B,MATCH(I72-1,I:I,0)+1,1):INDEX(B:B,MATCH(I72,I:I,0)-1,1),リスト!$C$7,INDEX(G:G,MATCH(I72-1,I:I,0)+1,1):INDEX(G:G,MATCH(I72,I:I,0)-1,1)),"")</f>
        <v>#NAME?</v>
      </c>
      <c r="I72" s="200" t="str">
        <f>IF(OR(B72=リスト!$C$5,B72=リスト!$C$6),COUNTIF($B$9:B72,リスト!$C$5)+COUNTIF($B$9:B72,リスト!$C$6),"")</f>
        <v/>
      </c>
    </row>
    <row r="73" spans="2:9" x14ac:dyDescent="0.2">
      <c r="B73" s="196"/>
      <c r="C73" s="197">
        <v>45404.450682870367</v>
      </c>
      <c r="D73" s="197">
        <v>45404.451238425929</v>
      </c>
      <c r="E73" s="198" t="s">
        <v>244</v>
      </c>
      <c r="F73" s="199"/>
      <c r="G73" s="140" t="e">
        <f ca="1">mif(C73="","",OR(B73=リスト!$C$5,B73=リスト!$C$6),SUM(INDEX(G:G,MATCH(I73-1,I:I,0)+1,1):INDEX(G:G,MATCH(I73,I:I,0)-1,1)),D73-C73)</f>
        <v>#NAME?</v>
      </c>
      <c r="H73" s="140" t="e">
        <f ca="1">mif(C73="","",B73=リスト!$C$5,SUMIF(INDEX(B:B,MATCH(I73-1,I:I,0)+1,1):INDEX(B:B,MATCH(I73,I:I,0)-1,1),リスト!$C$7,INDEX(G:G,MATCH(I73-1,I:I,0)+1,1):INDEX(G:G,MATCH(I73,I:I,0)-1,1)),"")</f>
        <v>#NAME?</v>
      </c>
      <c r="I73" s="200" t="str">
        <f>IF(OR(B73=リスト!$C$5,B73=リスト!$C$6),COUNTIF($B$9:B73,リスト!$C$5)+COUNTIF($B$9:B73,リスト!$C$6),"")</f>
        <v/>
      </c>
    </row>
    <row r="74" spans="2:9" x14ac:dyDescent="0.2">
      <c r="B74" s="196"/>
      <c r="C74" s="197">
        <v>45404.47552083333</v>
      </c>
      <c r="D74" s="197">
        <v>45404.475752314815</v>
      </c>
      <c r="E74" s="198" t="s">
        <v>244</v>
      </c>
      <c r="F74" s="199"/>
      <c r="G74" s="140" t="e">
        <f ca="1">mif(C74="","",OR(B74=リスト!$C$5,B74=リスト!$C$6),SUM(INDEX(G:G,MATCH(I74-1,I:I,0)+1,1):INDEX(G:G,MATCH(I74,I:I,0)-1,1)),D74-C74)</f>
        <v>#NAME?</v>
      </c>
      <c r="H74" s="140" t="e">
        <f ca="1">mif(C74="","",B74=リスト!$C$5,SUMIF(INDEX(B:B,MATCH(I74-1,I:I,0)+1,1):INDEX(B:B,MATCH(I74,I:I,0)-1,1),リスト!$C$7,INDEX(G:G,MATCH(I74-1,I:I,0)+1,1):INDEX(G:G,MATCH(I74,I:I,0)-1,1)),"")</f>
        <v>#NAME?</v>
      </c>
      <c r="I74" s="200" t="str">
        <f>IF(OR(B74=リスト!$C$5,B74=リスト!$C$6),COUNTIF($B$9:B74,リスト!$C$5)+COUNTIF($B$9:B74,リスト!$C$6),"")</f>
        <v/>
      </c>
    </row>
    <row r="75" spans="2:9" x14ac:dyDescent="0.2">
      <c r="B75" s="196"/>
      <c r="C75" s="197">
        <v>45404.489930555559</v>
      </c>
      <c r="D75" s="197">
        <v>45404.490231481483</v>
      </c>
      <c r="E75" s="198" t="s">
        <v>244</v>
      </c>
      <c r="F75" s="199"/>
      <c r="G75" s="140" t="e">
        <f ca="1">mif(C75="","",OR(B75=リスト!$C$5,B75=リスト!$C$6),SUM(INDEX(G:G,MATCH(I75-1,I:I,0)+1,1):INDEX(G:G,MATCH(I75,I:I,0)-1,1)),D75-C75)</f>
        <v>#NAME?</v>
      </c>
      <c r="H75" s="140" t="e">
        <f ca="1">mif(C75="","",B75=リスト!$C$5,SUMIF(INDEX(B:B,MATCH(I75-1,I:I,0)+1,1):INDEX(B:B,MATCH(I75,I:I,0)-1,1),リスト!$C$7,INDEX(G:G,MATCH(I75-1,I:I,0)+1,1):INDEX(G:G,MATCH(I75,I:I,0)-1,1)),"")</f>
        <v>#NAME?</v>
      </c>
      <c r="I75" s="200" t="str">
        <f>IF(OR(B75=リスト!$C$5,B75=リスト!$C$6),COUNTIF($B$9:B75,リスト!$C$5)+COUNTIF($B$9:B75,リスト!$C$6),"")</f>
        <v/>
      </c>
    </row>
    <row r="76" spans="2:9" x14ac:dyDescent="0.2">
      <c r="B76" s="196"/>
      <c r="C76" s="197">
        <v>45404.51630787037</v>
      </c>
      <c r="D76" s="197">
        <v>45404.516655092593</v>
      </c>
      <c r="E76" s="198" t="s">
        <v>244</v>
      </c>
      <c r="F76" s="199"/>
      <c r="G76" s="140" t="e">
        <f ca="1">mif(C76="","",OR(B76=リスト!$C$5,B76=リスト!$C$6),SUM(INDEX(G:G,MATCH(I76-1,I:I,0)+1,1):INDEX(G:G,MATCH(I76,I:I,0)-1,1)),D76-C76)</f>
        <v>#NAME?</v>
      </c>
      <c r="H76" s="140" t="e">
        <f ca="1">mif(C76="","",B76=リスト!$C$5,SUMIF(INDEX(B:B,MATCH(I76-1,I:I,0)+1,1):INDEX(B:B,MATCH(I76,I:I,0)-1,1),リスト!$C$7,INDEX(G:G,MATCH(I76-1,I:I,0)+1,1):INDEX(G:G,MATCH(I76,I:I,0)-1,1)),"")</f>
        <v>#NAME?</v>
      </c>
      <c r="I76" s="200" t="str">
        <f>IF(OR(B76=リスト!$C$5,B76=リスト!$C$6),COUNTIF($B$9:B76,リスト!$C$5)+COUNTIF($B$9:B76,リスト!$C$6),"")</f>
        <v/>
      </c>
    </row>
    <row r="77" spans="2:9" x14ac:dyDescent="0.2">
      <c r="B77" s="196"/>
      <c r="C77" s="197">
        <v>45404.517372685186</v>
      </c>
      <c r="D77" s="197">
        <v>45404.517627314817</v>
      </c>
      <c r="E77" s="198" t="s">
        <v>244</v>
      </c>
      <c r="F77" s="199"/>
      <c r="G77" s="140" t="e">
        <f ca="1">mif(C77="","",OR(B77=リスト!$C$5,B77=リスト!$C$6),SUM(INDEX(G:G,MATCH(I77-1,I:I,0)+1,1):INDEX(G:G,MATCH(I77,I:I,0)-1,1)),D77-C77)</f>
        <v>#NAME?</v>
      </c>
      <c r="H77" s="140" t="e">
        <f ca="1">mif(C77="","",B77=リスト!$C$5,SUMIF(INDEX(B:B,MATCH(I77-1,I:I,0)+1,1):INDEX(B:B,MATCH(I77,I:I,0)-1,1),リスト!$C$7,INDEX(G:G,MATCH(I77-1,I:I,0)+1,1):INDEX(G:G,MATCH(I77,I:I,0)-1,1)),"")</f>
        <v>#NAME?</v>
      </c>
      <c r="I77" s="200" t="str">
        <f>IF(OR(B77=リスト!$C$5,B77=リスト!$C$6),COUNTIF($B$9:B77,リスト!$C$5)+COUNTIF($B$9:B77,リスト!$C$6),"")</f>
        <v/>
      </c>
    </row>
    <row r="78" spans="2:9" x14ac:dyDescent="0.2">
      <c r="B78" s="196"/>
      <c r="C78" s="197">
        <v>45404.526030092595</v>
      </c>
      <c r="D78" s="197">
        <v>45404.526331018518</v>
      </c>
      <c r="E78" s="198" t="s">
        <v>244</v>
      </c>
      <c r="F78" s="199"/>
      <c r="G78" s="140" t="e">
        <f ca="1">mif(C78="","",OR(B78=リスト!$C$5,B78=リスト!$C$6),SUM(INDEX(G:G,MATCH(I78-1,I:I,0)+1,1):INDEX(G:G,MATCH(I78,I:I,0)-1,1)),D78-C78)</f>
        <v>#NAME?</v>
      </c>
      <c r="H78" s="140" t="e">
        <f ca="1">mif(C78="","",B78=リスト!$C$5,SUMIF(INDEX(B:B,MATCH(I78-1,I:I,0)+1,1):INDEX(B:B,MATCH(I78,I:I,0)-1,1),リスト!$C$7,INDEX(G:G,MATCH(I78-1,I:I,0)+1,1):INDEX(G:G,MATCH(I78,I:I,0)-1,1)),"")</f>
        <v>#NAME?</v>
      </c>
      <c r="I78" s="200" t="str">
        <f>IF(OR(B78=リスト!$C$5,B78=リスト!$C$6),COUNTIF($B$9:B78,リスト!$C$5)+COUNTIF($B$9:B78,リスト!$C$6),"")</f>
        <v/>
      </c>
    </row>
    <row r="79" spans="2:9" x14ac:dyDescent="0.2">
      <c r="B79" s="196"/>
      <c r="C79" s="197">
        <v>45404.562094907407</v>
      </c>
      <c r="D79" s="197">
        <v>45404.562349537038</v>
      </c>
      <c r="E79" s="198" t="s">
        <v>244</v>
      </c>
      <c r="F79" s="199"/>
      <c r="G79" s="140" t="e">
        <f ca="1">mif(C79="","",OR(B79=リスト!$C$5,B79=リスト!$C$6),SUM(INDEX(G:G,MATCH(I79-1,I:I,0)+1,1):INDEX(G:G,MATCH(I79,I:I,0)-1,1)),D79-C79)</f>
        <v>#NAME?</v>
      </c>
      <c r="H79" s="140" t="e">
        <f ca="1">mif(C79="","",B79=リスト!$C$5,SUMIF(INDEX(B:B,MATCH(I79-1,I:I,0)+1,1):INDEX(B:B,MATCH(I79,I:I,0)-1,1),リスト!$C$7,INDEX(G:G,MATCH(I79-1,I:I,0)+1,1):INDEX(G:G,MATCH(I79,I:I,0)-1,1)),"")</f>
        <v>#NAME?</v>
      </c>
      <c r="I79" s="200" t="str">
        <f>IF(OR(B79=リスト!$C$5,B79=リスト!$C$6),COUNTIF($B$9:B79,リスト!$C$5)+COUNTIF($B$9:B79,リスト!$C$6),"")</f>
        <v/>
      </c>
    </row>
    <row r="80" spans="2:9" x14ac:dyDescent="0.2">
      <c r="B80" s="196"/>
      <c r="C80" s="197">
        <v>45404.567025462966</v>
      </c>
      <c r="D80" s="197">
        <v>45404.567326388889</v>
      </c>
      <c r="E80" s="198" t="s">
        <v>244</v>
      </c>
      <c r="F80" s="199"/>
      <c r="G80" s="140" t="e">
        <f ca="1">mif(C80="","",OR(B80=リスト!$C$5,B80=リスト!$C$6),SUM(INDEX(G:G,MATCH(I80-1,I:I,0)+1,1):INDEX(G:G,MATCH(I80,I:I,0)-1,1)),D80-C80)</f>
        <v>#NAME?</v>
      </c>
      <c r="H80" s="140" t="e">
        <f ca="1">mif(C80="","",B80=リスト!$C$5,SUMIF(INDEX(B:B,MATCH(I80-1,I:I,0)+1,1):INDEX(B:B,MATCH(I80,I:I,0)-1,1),リスト!$C$7,INDEX(G:G,MATCH(I80-1,I:I,0)+1,1):INDEX(G:G,MATCH(I80,I:I,0)-1,1)),"")</f>
        <v>#NAME?</v>
      </c>
      <c r="I80" s="200" t="str">
        <f>IF(OR(B80=リスト!$C$5,B80=リスト!$C$6),COUNTIF($B$9:B80,リスト!$C$5)+COUNTIF($B$9:B80,リスト!$C$6),"")</f>
        <v/>
      </c>
    </row>
    <row r="81" spans="2:9" x14ac:dyDescent="0.2">
      <c r="B81" s="196"/>
      <c r="C81" s="197">
        <v>45404.57508101852</v>
      </c>
      <c r="D81" s="197">
        <v>45404.575381944444</v>
      </c>
      <c r="E81" s="198" t="s">
        <v>244</v>
      </c>
      <c r="F81" s="199"/>
      <c r="G81" s="140" t="e">
        <f ca="1">mif(C81="","",OR(B81=リスト!$C$5,B81=リスト!$C$6),SUM(INDEX(G:G,MATCH(I81-1,I:I,0)+1,1):INDEX(G:G,MATCH(I81,I:I,0)-1,1)),D81-C81)</f>
        <v>#NAME?</v>
      </c>
      <c r="H81" s="140" t="e">
        <f ca="1">mif(C81="","",B81=リスト!$C$5,SUMIF(INDEX(B:B,MATCH(I81-1,I:I,0)+1,1):INDEX(B:B,MATCH(I81,I:I,0)-1,1),リスト!$C$7,INDEX(G:G,MATCH(I81-1,I:I,0)+1,1):INDEX(G:G,MATCH(I81,I:I,0)-1,1)),"")</f>
        <v>#NAME?</v>
      </c>
      <c r="I81" s="200" t="str">
        <f>IF(OR(B81=リスト!$C$5,B81=リスト!$C$6),COUNTIF($B$9:B81,リスト!$C$5)+COUNTIF($B$9:B81,リスト!$C$6),"")</f>
        <v/>
      </c>
    </row>
    <row r="82" spans="2:9" x14ac:dyDescent="0.2">
      <c r="B82" s="196"/>
      <c r="C82" s="197">
        <v>45404.590810185182</v>
      </c>
      <c r="D82" s="197">
        <v>45404.591087962966</v>
      </c>
      <c r="E82" s="198" t="s">
        <v>244</v>
      </c>
      <c r="F82" s="199"/>
      <c r="G82" s="140" t="e">
        <f ca="1">mif(C82="","",OR(B82=リスト!$C$5,B82=リスト!$C$6),SUM(INDEX(G:G,MATCH(I82-1,I:I,0)+1,1):INDEX(G:G,MATCH(I82,I:I,0)-1,1)),D82-C82)</f>
        <v>#NAME?</v>
      </c>
      <c r="H82" s="140" t="e">
        <f ca="1">mif(C82="","",B82=リスト!$C$5,SUMIF(INDEX(B:B,MATCH(I82-1,I:I,0)+1,1):INDEX(B:B,MATCH(I82,I:I,0)-1,1),リスト!$C$7,INDEX(G:G,MATCH(I82-1,I:I,0)+1,1):INDEX(G:G,MATCH(I82,I:I,0)-1,1)),"")</f>
        <v>#NAME?</v>
      </c>
      <c r="I82" s="200" t="str">
        <f>IF(OR(B82=リスト!$C$5,B82=リスト!$C$6),COUNTIF($B$9:B82,リスト!$C$5)+COUNTIF($B$9:B82,リスト!$C$6),"")</f>
        <v/>
      </c>
    </row>
    <row r="83" spans="2:9" x14ac:dyDescent="0.2">
      <c r="B83" s="196"/>
      <c r="C83" s="197">
        <v>45404.599166666667</v>
      </c>
      <c r="D83" s="197">
        <v>45404.599444444444</v>
      </c>
      <c r="E83" s="198" t="s">
        <v>244</v>
      </c>
      <c r="F83" s="199"/>
      <c r="G83" s="140" t="e">
        <f ca="1">mif(C83="","",OR(B83=リスト!$C$5,B83=リスト!$C$6),SUM(INDEX(G:G,MATCH(I83-1,I:I,0)+1,1):INDEX(G:G,MATCH(I83,I:I,0)-1,1)),D83-C83)</f>
        <v>#NAME?</v>
      </c>
      <c r="H83" s="140" t="e">
        <f ca="1">mif(C83="","",B83=リスト!$C$5,SUMIF(INDEX(B:B,MATCH(I83-1,I:I,0)+1,1):INDEX(B:B,MATCH(I83,I:I,0)-1,1),リスト!$C$7,INDEX(G:G,MATCH(I83-1,I:I,0)+1,1):INDEX(G:G,MATCH(I83,I:I,0)-1,1)),"")</f>
        <v>#NAME?</v>
      </c>
      <c r="I83" s="200" t="str">
        <f>IF(OR(B83=リスト!$C$5,B83=リスト!$C$6),COUNTIF($B$9:B83,リスト!$C$5)+COUNTIF($B$9:B83,リスト!$C$6),"")</f>
        <v/>
      </c>
    </row>
    <row r="84" spans="2:9" x14ac:dyDescent="0.2">
      <c r="B84" s="196"/>
      <c r="C84" s="197">
        <v>45404.648263888892</v>
      </c>
      <c r="D84" s="197">
        <v>45404.648495370369</v>
      </c>
      <c r="E84" s="198" t="s">
        <v>244</v>
      </c>
      <c r="F84" s="199"/>
      <c r="G84" s="140" t="e">
        <f ca="1">mif(C84="","",OR(B84=リスト!$C$5,B84=リスト!$C$6),SUM(INDEX(G:G,MATCH(I84-1,I:I,0)+1,1):INDEX(G:G,MATCH(I84,I:I,0)-1,1)),D84-C84)</f>
        <v>#NAME?</v>
      </c>
      <c r="H84" s="140" t="e">
        <f ca="1">mif(C84="","",B84=リスト!$C$5,SUMIF(INDEX(B:B,MATCH(I84-1,I:I,0)+1,1):INDEX(B:B,MATCH(I84,I:I,0)-1,1),リスト!$C$7,INDEX(G:G,MATCH(I84-1,I:I,0)+1,1):INDEX(G:G,MATCH(I84,I:I,0)-1,1)),"")</f>
        <v>#NAME?</v>
      </c>
      <c r="I84" s="200" t="str">
        <f>IF(OR(B84=リスト!$C$5,B84=リスト!$C$6),COUNTIF($B$9:B84,リスト!$C$5)+COUNTIF($B$9:B84,リスト!$C$6),"")</f>
        <v/>
      </c>
    </row>
    <row r="85" spans="2:9" x14ac:dyDescent="0.2">
      <c r="B85" s="196"/>
      <c r="C85" s="197">
        <v>45404.723391203705</v>
      </c>
      <c r="D85" s="197">
        <v>45404.723715277774</v>
      </c>
      <c r="E85" s="198" t="s">
        <v>244</v>
      </c>
      <c r="F85" s="199"/>
      <c r="G85" s="140" t="e">
        <f ca="1">mif(C85="","",OR(B85=リスト!$C$5,B85=リスト!$C$6),SUM(INDEX(G:G,MATCH(I85-1,I:I,0)+1,1):INDEX(G:G,MATCH(I85,I:I,0)-1,1)),D85-C85)</f>
        <v>#NAME?</v>
      </c>
      <c r="H85" s="140" t="e">
        <f ca="1">mif(C85="","",B85=リスト!$C$5,SUMIF(INDEX(B:B,MATCH(I85-1,I:I,0)+1,1):INDEX(B:B,MATCH(I85,I:I,0)-1,1),リスト!$C$7,INDEX(G:G,MATCH(I85-1,I:I,0)+1,1):INDEX(G:G,MATCH(I85,I:I,0)-1,1)),"")</f>
        <v>#NAME?</v>
      </c>
      <c r="I85" s="200" t="str">
        <f>IF(OR(B85=リスト!$C$5,B85=リスト!$C$6),COUNTIF($B$9:B85,リスト!$C$5)+COUNTIF($B$9:B85,リスト!$C$6),"")</f>
        <v/>
      </c>
    </row>
    <row r="86" spans="2:9" x14ac:dyDescent="0.2">
      <c r="B86" s="196"/>
      <c r="C86" s="197">
        <v>45404.762650462966</v>
      </c>
      <c r="D86" s="197">
        <v>45404.763321759259</v>
      </c>
      <c r="E86" s="198" t="s">
        <v>244</v>
      </c>
      <c r="F86" s="199"/>
      <c r="G86" s="140" t="e">
        <f ca="1">mif(C86="","",OR(B86=リスト!$C$5,B86=リスト!$C$6),SUM(INDEX(G:G,MATCH(I86-1,I:I,0)+1,1):INDEX(G:G,MATCH(I86,I:I,0)-1,1)),D86-C86)</f>
        <v>#NAME?</v>
      </c>
      <c r="H86" s="140" t="e">
        <f ca="1">mif(C86="","",B86=リスト!$C$5,SUMIF(INDEX(B:B,MATCH(I86-1,I:I,0)+1,1):INDEX(B:B,MATCH(I86,I:I,0)-1,1),リスト!$C$7,INDEX(G:G,MATCH(I86-1,I:I,0)+1,1):INDEX(G:G,MATCH(I86,I:I,0)-1,1)),"")</f>
        <v>#NAME?</v>
      </c>
      <c r="I86" s="200" t="str">
        <f>IF(OR(B86=リスト!$C$5,B86=リスト!$C$6),COUNTIF($B$9:B86,リスト!$C$5)+COUNTIF($B$9:B86,リスト!$C$6),"")</f>
        <v/>
      </c>
    </row>
    <row r="87" spans="2:9" x14ac:dyDescent="0.2">
      <c r="B87" s="196"/>
      <c r="C87" s="197">
        <v>45404.790810185186</v>
      </c>
      <c r="D87" s="197">
        <v>45404.79111111111</v>
      </c>
      <c r="E87" s="198" t="s">
        <v>244</v>
      </c>
      <c r="F87" s="199"/>
      <c r="G87" s="140" t="e">
        <f ca="1">mif(C87="","",OR(B87=リスト!$C$5,B87=リスト!$C$6),SUM(INDEX(G:G,MATCH(I87-1,I:I,0)+1,1):INDEX(G:G,MATCH(I87,I:I,0)-1,1)),D87-C87)</f>
        <v>#NAME?</v>
      </c>
      <c r="H87" s="140" t="e">
        <f ca="1">mif(C87="","",B87=リスト!$C$5,SUMIF(INDEX(B:B,MATCH(I87-1,I:I,0)+1,1):INDEX(B:B,MATCH(I87,I:I,0)-1,1),リスト!$C$7,INDEX(G:G,MATCH(I87-1,I:I,0)+1,1):INDEX(G:G,MATCH(I87,I:I,0)-1,1)),"")</f>
        <v>#NAME?</v>
      </c>
      <c r="I87" s="200" t="str">
        <f>IF(OR(B87=リスト!$C$5,B87=リスト!$C$6),COUNTIF($B$9:B87,リスト!$C$5)+COUNTIF($B$9:B87,リスト!$C$6),"")</f>
        <v/>
      </c>
    </row>
    <row r="88" spans="2:9" x14ac:dyDescent="0.2">
      <c r="B88" s="196"/>
      <c r="C88" s="197">
        <v>45404.792893518519</v>
      </c>
      <c r="D88" s="197">
        <v>45404.79351851852</v>
      </c>
      <c r="E88" s="198" t="s">
        <v>244</v>
      </c>
      <c r="F88" s="199"/>
      <c r="G88" s="140" t="e">
        <f ca="1">mif(C88="","",OR(B88=リスト!$C$5,B88=リスト!$C$6),SUM(INDEX(G:G,MATCH(I88-1,I:I,0)+1,1):INDEX(G:G,MATCH(I88,I:I,0)-1,1)),D88-C88)</f>
        <v>#NAME?</v>
      </c>
      <c r="H88" s="140" t="e">
        <f ca="1">mif(C88="","",B88=リスト!$C$5,SUMIF(INDEX(B:B,MATCH(I88-1,I:I,0)+1,1):INDEX(B:B,MATCH(I88,I:I,0)-1,1),リスト!$C$7,INDEX(G:G,MATCH(I88-1,I:I,0)+1,1):INDEX(G:G,MATCH(I88,I:I,0)-1,1)),"")</f>
        <v>#NAME?</v>
      </c>
      <c r="I88" s="200" t="str">
        <f>IF(OR(B88=リスト!$C$5,B88=リスト!$C$6),COUNTIF($B$9:B88,リスト!$C$5)+COUNTIF($B$9:B88,リスト!$C$6),"")</f>
        <v/>
      </c>
    </row>
    <row r="89" spans="2:9" x14ac:dyDescent="0.2">
      <c r="B89" s="196"/>
      <c r="C89" s="197">
        <v>45404.819849537038</v>
      </c>
      <c r="D89" s="197">
        <v>45404.820127314815</v>
      </c>
      <c r="E89" s="198" t="s">
        <v>244</v>
      </c>
      <c r="F89" s="199"/>
      <c r="G89" s="140" t="e">
        <f ca="1">mif(C89="","",OR(B89=リスト!$C$5,B89=リスト!$C$6),SUM(INDEX(G:G,MATCH(I89-1,I:I,0)+1,1):INDEX(G:G,MATCH(I89,I:I,0)-1,1)),D89-C89)</f>
        <v>#NAME?</v>
      </c>
      <c r="H89" s="140" t="e">
        <f ca="1">mif(C89="","",B89=リスト!$C$5,SUMIF(INDEX(B:B,MATCH(I89-1,I:I,0)+1,1):INDEX(B:B,MATCH(I89,I:I,0)-1,1),リスト!$C$7,INDEX(G:G,MATCH(I89-1,I:I,0)+1,1):INDEX(G:G,MATCH(I89,I:I,0)-1,1)),"")</f>
        <v>#NAME?</v>
      </c>
      <c r="I89" s="200" t="str">
        <f>IF(OR(B89=リスト!$C$5,B89=リスト!$C$6),COUNTIF($B$9:B89,リスト!$C$5)+COUNTIF($B$9:B89,リスト!$C$6),"")</f>
        <v/>
      </c>
    </row>
    <row r="90" spans="2:9" x14ac:dyDescent="0.2">
      <c r="B90" s="196"/>
      <c r="C90" s="197">
        <v>45404.825937499998</v>
      </c>
      <c r="D90" s="197">
        <v>45404.826215277775</v>
      </c>
      <c r="E90" s="198" t="s">
        <v>244</v>
      </c>
      <c r="F90" s="199"/>
      <c r="G90" s="140" t="e">
        <f ca="1">mif(C90="","",OR(B90=リスト!$C$5,B90=リスト!$C$6),SUM(INDEX(G:G,MATCH(I90-1,I:I,0)+1,1):INDEX(G:G,MATCH(I90,I:I,0)-1,1)),D90-C90)</f>
        <v>#NAME?</v>
      </c>
      <c r="H90" s="140" t="e">
        <f ca="1">mif(C90="","",B90=リスト!$C$5,SUMIF(INDEX(B:B,MATCH(I90-1,I:I,0)+1,1):INDEX(B:B,MATCH(I90,I:I,0)-1,1),リスト!$C$7,INDEX(G:G,MATCH(I90-1,I:I,0)+1,1):INDEX(G:G,MATCH(I90,I:I,0)-1,1)),"")</f>
        <v>#NAME?</v>
      </c>
      <c r="I90" s="200" t="str">
        <f>IF(OR(B90=リスト!$C$5,B90=リスト!$C$6),COUNTIF($B$9:B90,リスト!$C$5)+COUNTIF($B$9:B90,リスト!$C$6),"")</f>
        <v/>
      </c>
    </row>
    <row r="91" spans="2:9" x14ac:dyDescent="0.2">
      <c r="B91" s="196"/>
      <c r="C91" s="197">
        <v>45404.870057870372</v>
      </c>
      <c r="D91" s="197">
        <v>45404.870497685188</v>
      </c>
      <c r="E91" s="198" t="s">
        <v>244</v>
      </c>
      <c r="F91" s="199"/>
      <c r="G91" s="140" t="e">
        <f ca="1">mif(C91="","",OR(B91=リスト!$C$5,B91=リスト!$C$6),SUM(INDEX(G:G,MATCH(I91-1,I:I,0)+1,1):INDEX(G:G,MATCH(I91,I:I,0)-1,1)),D91-C91)</f>
        <v>#NAME?</v>
      </c>
      <c r="H91" s="140" t="e">
        <f ca="1">mif(C91="","",B91=リスト!$C$5,SUMIF(INDEX(B:B,MATCH(I91-1,I:I,0)+1,1):INDEX(B:B,MATCH(I91,I:I,0)-1,1),リスト!$C$7,INDEX(G:G,MATCH(I91-1,I:I,0)+1,1):INDEX(G:G,MATCH(I91,I:I,0)-1,1)),"")</f>
        <v>#NAME?</v>
      </c>
      <c r="I91" s="200" t="str">
        <f>IF(OR(B91=リスト!$C$5,B91=リスト!$C$6),COUNTIF($B$9:B91,リスト!$C$5)+COUNTIF($B$9:B91,リスト!$C$6),"")</f>
        <v/>
      </c>
    </row>
    <row r="92" spans="2:9" x14ac:dyDescent="0.2">
      <c r="B92" s="196"/>
      <c r="C92" s="197">
        <v>45404.903611111113</v>
      </c>
      <c r="D92" s="197">
        <v>45404.90388888889</v>
      </c>
      <c r="E92" s="198" t="s">
        <v>244</v>
      </c>
      <c r="F92" s="199"/>
      <c r="G92" s="140" t="e">
        <f ca="1">mif(C92="","",OR(B92=リスト!$C$5,B92=リスト!$C$6),SUM(INDEX(G:G,MATCH(I92-1,I:I,0)+1,1):INDEX(G:G,MATCH(I92,I:I,0)-1,1)),D92-C92)</f>
        <v>#NAME?</v>
      </c>
      <c r="H92" s="140" t="e">
        <f ca="1">mif(C92="","",B92=リスト!$C$5,SUMIF(INDEX(B:B,MATCH(I92-1,I:I,0)+1,1):INDEX(B:B,MATCH(I92,I:I,0)-1,1),リスト!$C$7,INDEX(G:G,MATCH(I92-1,I:I,0)+1,1):INDEX(G:G,MATCH(I92,I:I,0)-1,1)),"")</f>
        <v>#NAME?</v>
      </c>
      <c r="I92" s="200" t="str">
        <f>IF(OR(B92=リスト!$C$5,B92=リスト!$C$6),COUNTIF($B$9:B92,リスト!$C$5)+COUNTIF($B$9:B92,リスト!$C$6),"")</f>
        <v/>
      </c>
    </row>
    <row r="93" spans="2:9" x14ac:dyDescent="0.2">
      <c r="B93" s="196" t="s">
        <v>247</v>
      </c>
      <c r="C93" s="197">
        <v>45404.416666666664</v>
      </c>
      <c r="D93" s="197">
        <v>45404.916666666664</v>
      </c>
      <c r="E93" s="198">
        <v>21</v>
      </c>
      <c r="F93" s="199"/>
      <c r="G93" s="140" t="e">
        <f ca="1">mif(C93="","",OR(B93=リスト!$C$5,B93=リスト!$C$6),SUM(INDEX(G:G,MATCH(I93-1,I:I,0)+1,1):INDEX(G:G,MATCH(I93,I:I,0)-1,1)),D93-C93)</f>
        <v>#NAME?</v>
      </c>
      <c r="H93" s="140" t="e">
        <f ca="1">mif(C93="","",B93=リスト!$C$5,SUMIF(INDEX(B:B,MATCH(I93-1,I:I,0)+1,1):INDEX(B:B,MATCH(I93,I:I,0)-1,1),リスト!$C$7,INDEX(G:G,MATCH(I93-1,I:I,0)+1,1):INDEX(G:G,MATCH(I93,I:I,0)-1,1)),"")</f>
        <v>#NAME?</v>
      </c>
      <c r="I93" s="200">
        <f>IF(OR(B93=リスト!$C$5,B93=リスト!$C$6),COUNTIF($B$9:B93,リスト!$C$5)+COUNTIF($B$9:B93,リスト!$C$6),"")</f>
        <v>6</v>
      </c>
    </row>
    <row r="94" spans="2:9" x14ac:dyDescent="0.2">
      <c r="B94" s="196"/>
      <c r="C94" s="197">
        <v>45404.936967592592</v>
      </c>
      <c r="D94" s="197">
        <v>45404.938287037039</v>
      </c>
      <c r="E94" s="198" t="s">
        <v>244</v>
      </c>
      <c r="F94" s="199"/>
      <c r="G94" s="140" t="e">
        <f ca="1">mif(C94="","",OR(B94=リスト!$C$5,B94=リスト!$C$6),SUM(INDEX(G:G,MATCH(I94-1,I:I,0)+1,1):INDEX(G:G,MATCH(I94,I:I,0)-1,1)),D94-C94)</f>
        <v>#NAME?</v>
      </c>
      <c r="H94" s="140" t="e">
        <f ca="1">mif(C94="","",B94=リスト!$C$5,SUMIF(INDEX(B:B,MATCH(I94-1,I:I,0)+1,1):INDEX(B:B,MATCH(I94,I:I,0)-1,1),リスト!$C$7,INDEX(G:G,MATCH(I94-1,I:I,0)+1,1):INDEX(G:G,MATCH(I94,I:I,0)-1,1)),"")</f>
        <v>#NAME?</v>
      </c>
      <c r="I94" s="200" t="str">
        <f>IF(OR(B94=リスト!$C$5,B94=リスト!$C$6),COUNTIF($B$9:B94,リスト!$C$5)+COUNTIF($B$9:B94,リスト!$C$6),"")</f>
        <v/>
      </c>
    </row>
    <row r="95" spans="2:9" x14ac:dyDescent="0.2">
      <c r="B95" s="196"/>
      <c r="C95" s="197">
        <v>45404.938310185185</v>
      </c>
      <c r="D95" s="197">
        <v>45404.93854166667</v>
      </c>
      <c r="E95" s="198" t="s">
        <v>244</v>
      </c>
      <c r="F95" s="199"/>
      <c r="G95" s="140" t="e">
        <f ca="1">mif(C95="","",OR(B95=リスト!$C$5,B95=リスト!$C$6),SUM(INDEX(G:G,MATCH(I95-1,I:I,0)+1,1):INDEX(G:G,MATCH(I95,I:I,0)-1,1)),D95-C95)</f>
        <v>#NAME?</v>
      </c>
      <c r="H95" s="140" t="e">
        <f ca="1">mif(C95="","",B95=リスト!$C$5,SUMIF(INDEX(B:B,MATCH(I95-1,I:I,0)+1,1):INDEX(B:B,MATCH(I95,I:I,0)-1,1),リスト!$C$7,INDEX(G:G,MATCH(I95-1,I:I,0)+1,1):INDEX(G:G,MATCH(I95,I:I,0)-1,1)),"")</f>
        <v>#NAME?</v>
      </c>
      <c r="I95" s="200" t="str">
        <f>IF(OR(B95=リスト!$C$5,B95=リスト!$C$6),COUNTIF($B$9:B95,リスト!$C$5)+COUNTIF($B$9:B95,リスト!$C$6),"")</f>
        <v/>
      </c>
    </row>
    <row r="96" spans="2:9" x14ac:dyDescent="0.2">
      <c r="B96" s="196"/>
      <c r="C96" s="197">
        <v>45405.138043981482</v>
      </c>
      <c r="D96" s="197">
        <v>45405.138402777775</v>
      </c>
      <c r="E96" s="198" t="s">
        <v>244</v>
      </c>
      <c r="F96" s="199"/>
      <c r="G96" s="140" t="e">
        <f ca="1">mif(C96="","",OR(B96=リスト!$C$5,B96=リスト!$C$6),SUM(INDEX(G:G,MATCH(I96-1,I:I,0)+1,1):INDEX(G:G,MATCH(I96,I:I,0)-1,1)),D96-C96)</f>
        <v>#NAME?</v>
      </c>
      <c r="H96" s="140" t="e">
        <f ca="1">mif(C96="","",B96=リスト!$C$5,SUMIF(INDEX(B:B,MATCH(I96-1,I:I,0)+1,1):INDEX(B:B,MATCH(I96,I:I,0)-1,1),リスト!$C$7,INDEX(G:G,MATCH(I96-1,I:I,0)+1,1):INDEX(G:G,MATCH(I96,I:I,0)-1,1)),"")</f>
        <v>#NAME?</v>
      </c>
      <c r="I96" s="200" t="str">
        <f>IF(OR(B96=リスト!$C$5,B96=リスト!$C$6),COUNTIF($B$9:B96,リスト!$C$5)+COUNTIF($B$9:B96,リスト!$C$6),"")</f>
        <v/>
      </c>
    </row>
    <row r="97" spans="2:9" x14ac:dyDescent="0.2">
      <c r="B97" s="196"/>
      <c r="C97" s="197">
        <v>45405.219386574077</v>
      </c>
      <c r="D97" s="197">
        <v>45405.219942129632</v>
      </c>
      <c r="E97" s="198" t="s">
        <v>244</v>
      </c>
      <c r="F97" s="199"/>
      <c r="G97" s="140" t="e">
        <f ca="1">mif(C97="","",OR(B97=リスト!$C$5,B97=リスト!$C$6),SUM(INDEX(G:G,MATCH(I97-1,I:I,0)+1,1):INDEX(G:G,MATCH(I97,I:I,0)-1,1)),D97-C97)</f>
        <v>#NAME?</v>
      </c>
      <c r="H97" s="140" t="e">
        <f ca="1">mif(C97="","",B97=リスト!$C$5,SUMIF(INDEX(B:B,MATCH(I97-1,I:I,0)+1,1):INDEX(B:B,MATCH(I97,I:I,0)-1,1),リスト!$C$7,INDEX(G:G,MATCH(I97-1,I:I,0)+1,1):INDEX(G:G,MATCH(I97,I:I,0)-1,1)),"")</f>
        <v>#NAME?</v>
      </c>
      <c r="I97" s="200" t="str">
        <f>IF(OR(B97=リスト!$C$5,B97=リスト!$C$6),COUNTIF($B$9:B97,リスト!$C$5)+COUNTIF($B$9:B97,リスト!$C$6),"")</f>
        <v/>
      </c>
    </row>
    <row r="98" spans="2:9" x14ac:dyDescent="0.2">
      <c r="B98" s="196"/>
      <c r="C98" s="197">
        <v>45405.241435185184</v>
      </c>
      <c r="D98" s="197">
        <v>45405.241712962961</v>
      </c>
      <c r="E98" s="198" t="s">
        <v>244</v>
      </c>
      <c r="F98" s="199"/>
      <c r="G98" s="140" t="e">
        <f ca="1">mif(C98="","",OR(B98=リスト!$C$5,B98=リスト!$C$6),SUM(INDEX(G:G,MATCH(I98-1,I:I,0)+1,1):INDEX(G:G,MATCH(I98,I:I,0)-1,1)),D98-C98)</f>
        <v>#NAME?</v>
      </c>
      <c r="H98" s="140" t="e">
        <f ca="1">mif(C98="","",B98=リスト!$C$5,SUMIF(INDEX(B:B,MATCH(I98-1,I:I,0)+1,1):INDEX(B:B,MATCH(I98,I:I,0)-1,1),リスト!$C$7,INDEX(G:G,MATCH(I98-1,I:I,0)+1,1):INDEX(G:G,MATCH(I98,I:I,0)-1,1)),"")</f>
        <v>#NAME?</v>
      </c>
      <c r="I98" s="200" t="str">
        <f>IF(OR(B98=リスト!$C$5,B98=リスト!$C$6),COUNTIF($B$9:B98,リスト!$C$5)+COUNTIF($B$9:B98,リスト!$C$6),"")</f>
        <v/>
      </c>
    </row>
    <row r="99" spans="2:9" x14ac:dyDescent="0.2">
      <c r="B99" s="196"/>
      <c r="C99" s="197">
        <v>45405.263796296298</v>
      </c>
      <c r="D99" s="197">
        <v>45405.267800925925</v>
      </c>
      <c r="E99" s="198" t="s">
        <v>244</v>
      </c>
      <c r="F99" s="199"/>
      <c r="G99" s="140" t="e">
        <f ca="1">mif(C99="","",OR(B99=リスト!$C$5,B99=リスト!$C$6),SUM(INDEX(G:G,MATCH(I99-1,I:I,0)+1,1):INDEX(G:G,MATCH(I99,I:I,0)-1,1)),D99-C99)</f>
        <v>#NAME?</v>
      </c>
      <c r="H99" s="140" t="e">
        <f ca="1">mif(C99="","",B99=リスト!$C$5,SUMIF(INDEX(B:B,MATCH(I99-1,I:I,0)+1,1):INDEX(B:B,MATCH(I99,I:I,0)-1,1),リスト!$C$7,INDEX(G:G,MATCH(I99-1,I:I,0)+1,1):INDEX(G:G,MATCH(I99,I:I,0)-1,1)),"")</f>
        <v>#NAME?</v>
      </c>
      <c r="I99" s="200" t="str">
        <f>IF(OR(B99=リスト!$C$5,B99=リスト!$C$6),COUNTIF($B$9:B99,リスト!$C$5)+COUNTIF($B$9:B99,リスト!$C$6),"")</f>
        <v/>
      </c>
    </row>
    <row r="100" spans="2:9" x14ac:dyDescent="0.2">
      <c r="B100" s="196"/>
      <c r="C100" s="197">
        <v>45405.273784722223</v>
      </c>
      <c r="D100" s="197">
        <v>45405.274039351854</v>
      </c>
      <c r="E100" s="198" t="s">
        <v>244</v>
      </c>
      <c r="F100" s="199"/>
      <c r="G100" s="140" t="e">
        <f ca="1">mif(C100="","",OR(B100=リスト!$C$5,B100=リスト!$C$6),SUM(INDEX(G:G,MATCH(I100-1,I:I,0)+1,1):INDEX(G:G,MATCH(I100,I:I,0)-1,1)),D100-C100)</f>
        <v>#NAME?</v>
      </c>
      <c r="H100" s="140" t="e">
        <f ca="1">mif(C100="","",B100=リスト!$C$5,SUMIF(INDEX(B:B,MATCH(I100-1,I:I,0)+1,1):INDEX(B:B,MATCH(I100,I:I,0)-1,1),リスト!$C$7,INDEX(G:G,MATCH(I100-1,I:I,0)+1,1):INDEX(G:G,MATCH(I100,I:I,0)-1,1)),"")</f>
        <v>#NAME?</v>
      </c>
      <c r="I100" s="200" t="str">
        <f>IF(OR(B100=リスト!$C$5,B100=リスト!$C$6),COUNTIF($B$9:B100,リスト!$C$5)+COUNTIF($B$9:B100,リスト!$C$6),"")</f>
        <v/>
      </c>
    </row>
    <row r="101" spans="2:9" x14ac:dyDescent="0.2">
      <c r="B101" s="196"/>
      <c r="C101" s="197">
        <v>45405.304189814815</v>
      </c>
      <c r="D101" s="197">
        <v>45405.304444444446</v>
      </c>
      <c r="E101" s="198" t="s">
        <v>244</v>
      </c>
      <c r="F101" s="199"/>
      <c r="G101" s="140" t="e">
        <f ca="1">mif(C101="","",OR(B101=リスト!$C$5,B101=リスト!$C$6),SUM(INDEX(G:G,MATCH(I101-1,I:I,0)+1,1):INDEX(G:G,MATCH(I101,I:I,0)-1,1)),D101-C101)</f>
        <v>#NAME?</v>
      </c>
      <c r="H101" s="140" t="e">
        <f ca="1">mif(C101="","",B101=リスト!$C$5,SUMIF(INDEX(B:B,MATCH(I101-1,I:I,0)+1,1):INDEX(B:B,MATCH(I101,I:I,0)-1,1),リスト!$C$7,INDEX(G:G,MATCH(I101-1,I:I,0)+1,1):INDEX(G:G,MATCH(I101,I:I,0)-1,1)),"")</f>
        <v>#NAME?</v>
      </c>
      <c r="I101" s="200" t="str">
        <f>IF(OR(B101=リスト!$C$5,B101=リスト!$C$6),COUNTIF($B$9:B101,リスト!$C$5)+COUNTIF($B$9:B101,リスト!$C$6),"")</f>
        <v/>
      </c>
    </row>
    <row r="102" spans="2:9" x14ac:dyDescent="0.2">
      <c r="B102" s="196"/>
      <c r="C102" s="197">
        <v>45405.319293981483</v>
      </c>
      <c r="D102" s="197">
        <v>45405.319571759261</v>
      </c>
      <c r="E102" s="198" t="s">
        <v>244</v>
      </c>
      <c r="F102" s="199"/>
      <c r="G102" s="140" t="e">
        <f ca="1">mif(C102="","",OR(B102=リスト!$C$5,B102=リスト!$C$6),SUM(INDEX(G:G,MATCH(I102-1,I:I,0)+1,1):INDEX(G:G,MATCH(I102,I:I,0)-1,1)),D102-C102)</f>
        <v>#NAME?</v>
      </c>
      <c r="H102" s="140" t="e">
        <f ca="1">mif(C102="","",B102=リスト!$C$5,SUMIF(INDEX(B:B,MATCH(I102-1,I:I,0)+1,1):INDEX(B:B,MATCH(I102,I:I,0)-1,1),リスト!$C$7,INDEX(G:G,MATCH(I102-1,I:I,0)+1,1):INDEX(G:G,MATCH(I102,I:I,0)-1,1)),"")</f>
        <v>#NAME?</v>
      </c>
      <c r="I102" s="200" t="str">
        <f>IF(OR(B102=リスト!$C$5,B102=リスト!$C$6),COUNTIF($B$9:B102,リスト!$C$5)+COUNTIF($B$9:B102,リスト!$C$6),"")</f>
        <v/>
      </c>
    </row>
    <row r="103" spans="2:9" x14ac:dyDescent="0.2">
      <c r="B103" s="196"/>
      <c r="C103" s="197">
        <v>45405.344537037039</v>
      </c>
      <c r="D103" s="197">
        <v>45405.344814814816</v>
      </c>
      <c r="E103" s="198" t="s">
        <v>244</v>
      </c>
      <c r="F103" s="199"/>
      <c r="G103" s="140" t="e">
        <f ca="1">mif(C103="","",OR(B103=リスト!$C$5,B103=リスト!$C$6),SUM(INDEX(G:G,MATCH(I103-1,I:I,0)+1,1):INDEX(G:G,MATCH(I103,I:I,0)-1,1)),D103-C103)</f>
        <v>#NAME?</v>
      </c>
      <c r="H103" s="140" t="e">
        <f ca="1">mif(C103="","",B103=リスト!$C$5,SUMIF(INDEX(B:B,MATCH(I103-1,I:I,0)+1,1):INDEX(B:B,MATCH(I103,I:I,0)-1,1),リスト!$C$7,INDEX(G:G,MATCH(I103-1,I:I,0)+1,1):INDEX(G:G,MATCH(I103,I:I,0)-1,1)),"")</f>
        <v>#NAME?</v>
      </c>
      <c r="I103" s="200" t="str">
        <f>IF(OR(B103=リスト!$C$5,B103=リスト!$C$6),COUNTIF($B$9:B103,リスト!$C$5)+COUNTIF($B$9:B103,リスト!$C$6),"")</f>
        <v/>
      </c>
    </row>
    <row r="104" spans="2:9" x14ac:dyDescent="0.2">
      <c r="B104" s="196" t="s">
        <v>247</v>
      </c>
      <c r="C104" s="197">
        <v>45404.916666666664</v>
      </c>
      <c r="D104" s="197">
        <v>45405.416666666664</v>
      </c>
      <c r="E104" s="198">
        <v>10</v>
      </c>
      <c r="F104" s="199"/>
      <c r="G104" s="140" t="e">
        <f ca="1">mif(C104="","",OR(B104=リスト!$C$5,B104=リスト!$C$6),SUM(INDEX(G:G,MATCH(I104-1,I:I,0)+1,1):INDEX(G:G,MATCH(I104,I:I,0)-1,1)),D104-C104)</f>
        <v>#NAME?</v>
      </c>
      <c r="H104" s="140" t="e">
        <f ca="1">mif(C104="","",B104=リスト!$C$5,SUMIF(INDEX(B:B,MATCH(I104-1,I:I,0)+1,1):INDEX(B:B,MATCH(I104,I:I,0)-1,1),リスト!$C$7,INDEX(G:G,MATCH(I104-1,I:I,0)+1,1):INDEX(G:G,MATCH(I104,I:I,0)-1,1)),"")</f>
        <v>#NAME?</v>
      </c>
      <c r="I104" s="200">
        <f>IF(OR(B104=リスト!$C$5,B104=リスト!$C$6),COUNTIF($B$9:B104,リスト!$C$5)+COUNTIF($B$9:B104,リスト!$C$6),"")</f>
        <v>7</v>
      </c>
    </row>
    <row r="105" spans="2:9" x14ac:dyDescent="0.2">
      <c r="B105" s="196"/>
      <c r="C105" s="197">
        <v>45405.445416666669</v>
      </c>
      <c r="D105" s="197">
        <v>45405.445648148147</v>
      </c>
      <c r="E105" s="198" t="s">
        <v>244</v>
      </c>
      <c r="F105" s="199"/>
      <c r="G105" s="140" t="e">
        <f ca="1">mif(C105="","",OR(B105=リスト!$C$5,B105=リスト!$C$6),SUM(INDEX(G:G,MATCH(I105-1,I:I,0)+1,1):INDEX(G:G,MATCH(I105,I:I,0)-1,1)),D105-C105)</f>
        <v>#NAME?</v>
      </c>
      <c r="H105" s="140" t="e">
        <f ca="1">mif(C105="","",B105=リスト!$C$5,SUMIF(INDEX(B:B,MATCH(I105-1,I:I,0)+1,1):INDEX(B:B,MATCH(I105,I:I,0)-1,1),リスト!$C$7,INDEX(G:G,MATCH(I105-1,I:I,0)+1,1):INDEX(G:G,MATCH(I105,I:I,0)-1,1)),"")</f>
        <v>#NAME?</v>
      </c>
      <c r="I105" s="200" t="str">
        <f>IF(OR(B105=リスト!$C$5,B105=リスト!$C$6),COUNTIF($B$9:B105,リスト!$C$5)+COUNTIF($B$9:B105,リスト!$C$6),"")</f>
        <v/>
      </c>
    </row>
    <row r="106" spans="2:9" x14ac:dyDescent="0.2">
      <c r="B106" s="196"/>
      <c r="C106" s="197">
        <v>45405.451550925929</v>
      </c>
      <c r="D106" s="197">
        <v>45405.451828703706</v>
      </c>
      <c r="E106" s="198" t="s">
        <v>244</v>
      </c>
      <c r="F106" s="199"/>
      <c r="G106" s="140" t="e">
        <f ca="1">mif(C106="","",OR(B106=リスト!$C$5,B106=リスト!$C$6),SUM(INDEX(G:G,MATCH(I106-1,I:I,0)+1,1):INDEX(G:G,MATCH(I106,I:I,0)-1,1)),D106-C106)</f>
        <v>#NAME?</v>
      </c>
      <c r="H106" s="140" t="e">
        <f ca="1">mif(C106="","",B106=リスト!$C$5,SUMIF(INDEX(B:B,MATCH(I106-1,I:I,0)+1,1):INDEX(B:B,MATCH(I106,I:I,0)-1,1),リスト!$C$7,INDEX(G:G,MATCH(I106-1,I:I,0)+1,1):INDEX(G:G,MATCH(I106,I:I,0)-1,1)),"")</f>
        <v>#NAME?</v>
      </c>
      <c r="I106" s="200" t="str">
        <f>IF(OR(B106=リスト!$C$5,B106=リスト!$C$6),COUNTIF($B$9:B106,リスト!$C$5)+COUNTIF($B$9:B106,リスト!$C$6),"")</f>
        <v/>
      </c>
    </row>
    <row r="107" spans="2:9" x14ac:dyDescent="0.2">
      <c r="B107" s="196"/>
      <c r="C107" s="197">
        <v>45405.460532407407</v>
      </c>
      <c r="D107" s="197">
        <v>45405.461087962962</v>
      </c>
      <c r="E107" s="198" t="s">
        <v>244</v>
      </c>
      <c r="F107" s="199"/>
      <c r="G107" s="140" t="e">
        <f ca="1">mif(C107="","",OR(B107=リスト!$C$5,B107=リスト!$C$6),SUM(INDEX(G:G,MATCH(I107-1,I:I,0)+1,1):INDEX(G:G,MATCH(I107,I:I,0)-1,1)),D107-C107)</f>
        <v>#NAME?</v>
      </c>
      <c r="H107" s="140" t="e">
        <f ca="1">mif(C107="","",B107=リスト!$C$5,SUMIF(INDEX(B:B,MATCH(I107-1,I:I,0)+1,1):INDEX(B:B,MATCH(I107,I:I,0)-1,1),リスト!$C$7,INDEX(G:G,MATCH(I107-1,I:I,0)+1,1):INDEX(G:G,MATCH(I107,I:I,0)-1,1)),"")</f>
        <v>#NAME?</v>
      </c>
      <c r="I107" s="200" t="str">
        <f>IF(OR(B107=リスト!$C$5,B107=リスト!$C$6),COUNTIF($B$9:B107,リスト!$C$5)+COUNTIF($B$9:B107,リスト!$C$6),"")</f>
        <v/>
      </c>
    </row>
    <row r="108" spans="2:9" x14ac:dyDescent="0.2">
      <c r="B108" s="196"/>
      <c r="C108" s="197">
        <v>45405.533599537041</v>
      </c>
      <c r="D108" s="197">
        <v>45405.53392361111</v>
      </c>
      <c r="E108" s="198" t="s">
        <v>244</v>
      </c>
      <c r="F108" s="199"/>
      <c r="G108" s="140" t="e">
        <f ca="1">mif(C108="","",OR(B108=リスト!$C$5,B108=リスト!$C$6),SUM(INDEX(G:G,MATCH(I108-1,I:I,0)+1,1):INDEX(G:G,MATCH(I108,I:I,0)-1,1)),D108-C108)</f>
        <v>#NAME?</v>
      </c>
      <c r="H108" s="140" t="e">
        <f ca="1">mif(C108="","",B108=リスト!$C$5,SUMIF(INDEX(B:B,MATCH(I108-1,I:I,0)+1,1):INDEX(B:B,MATCH(I108,I:I,0)-1,1),リスト!$C$7,INDEX(G:G,MATCH(I108-1,I:I,0)+1,1):INDEX(G:G,MATCH(I108,I:I,0)-1,1)),"")</f>
        <v>#NAME?</v>
      </c>
      <c r="I108" s="200" t="str">
        <f>IF(OR(B108=リスト!$C$5,B108=リスト!$C$6),COUNTIF($B$9:B108,リスト!$C$5)+COUNTIF($B$9:B108,リスト!$C$6),"")</f>
        <v/>
      </c>
    </row>
    <row r="109" spans="2:9" x14ac:dyDescent="0.2">
      <c r="B109" s="196"/>
      <c r="C109" s="197">
        <v>45405.578321759262</v>
      </c>
      <c r="D109" s="197">
        <v>45405.578576388885</v>
      </c>
      <c r="E109" s="198" t="s">
        <v>244</v>
      </c>
      <c r="F109" s="199"/>
      <c r="G109" s="140" t="e">
        <f ca="1">mif(C109="","",OR(B109=リスト!$C$5,B109=リスト!$C$6),SUM(INDEX(G:G,MATCH(I109-1,I:I,0)+1,1):INDEX(G:G,MATCH(I109,I:I,0)-1,1)),D109-C109)</f>
        <v>#NAME?</v>
      </c>
      <c r="H109" s="140" t="e">
        <f ca="1">mif(C109="","",B109=リスト!$C$5,SUMIF(INDEX(B:B,MATCH(I109-1,I:I,0)+1,1):INDEX(B:B,MATCH(I109,I:I,0)-1,1),リスト!$C$7,INDEX(G:G,MATCH(I109-1,I:I,0)+1,1):INDEX(G:G,MATCH(I109,I:I,0)-1,1)),"")</f>
        <v>#NAME?</v>
      </c>
      <c r="I109" s="200" t="str">
        <f>IF(OR(B109=リスト!$C$5,B109=リスト!$C$6),COUNTIF($B$9:B109,リスト!$C$5)+COUNTIF($B$9:B109,リスト!$C$6),"")</f>
        <v/>
      </c>
    </row>
    <row r="110" spans="2:9" x14ac:dyDescent="0.2">
      <c r="B110" s="196"/>
      <c r="C110" s="197">
        <v>45405.622766203705</v>
      </c>
      <c r="D110" s="197">
        <v>45405.623043981483</v>
      </c>
      <c r="E110" s="198" t="s">
        <v>244</v>
      </c>
      <c r="F110" s="199"/>
      <c r="G110" s="140" t="e">
        <f ca="1">mif(C110="","",OR(B110=リスト!$C$5,B110=リスト!$C$6),SUM(INDEX(G:G,MATCH(I110-1,I:I,0)+1,1):INDEX(G:G,MATCH(I110,I:I,0)-1,1)),D110-C110)</f>
        <v>#NAME?</v>
      </c>
      <c r="H110" s="140" t="e">
        <f ca="1">mif(C110="","",B110=リスト!$C$5,SUMIF(INDEX(B:B,MATCH(I110-1,I:I,0)+1,1):INDEX(B:B,MATCH(I110,I:I,0)-1,1),リスト!$C$7,INDEX(G:G,MATCH(I110-1,I:I,0)+1,1):INDEX(G:G,MATCH(I110,I:I,0)-1,1)),"")</f>
        <v>#NAME?</v>
      </c>
      <c r="I110" s="200" t="str">
        <f>IF(OR(B110=リスト!$C$5,B110=リスト!$C$6),COUNTIF($B$9:B110,リスト!$C$5)+COUNTIF($B$9:B110,リスト!$C$6),"")</f>
        <v/>
      </c>
    </row>
    <row r="111" spans="2:9" x14ac:dyDescent="0.2">
      <c r="B111" s="196"/>
      <c r="C111" s="197">
        <v>45405.691145833334</v>
      </c>
      <c r="D111" s="197">
        <v>45405.691400462965</v>
      </c>
      <c r="E111" s="198" t="s">
        <v>244</v>
      </c>
      <c r="F111" s="199"/>
      <c r="G111" s="140" t="e">
        <f ca="1">mif(C111="","",OR(B111=リスト!$C$5,B111=リスト!$C$6),SUM(INDEX(G:G,MATCH(I111-1,I:I,0)+1,1):INDEX(G:G,MATCH(I111,I:I,0)-1,1)),D111-C111)</f>
        <v>#NAME?</v>
      </c>
      <c r="H111" s="140" t="e">
        <f ca="1">mif(C111="","",B111=リスト!$C$5,SUMIF(INDEX(B:B,MATCH(I111-1,I:I,0)+1,1):INDEX(B:B,MATCH(I111,I:I,0)-1,1),リスト!$C$7,INDEX(G:G,MATCH(I111-1,I:I,0)+1,1):INDEX(G:G,MATCH(I111,I:I,0)-1,1)),"")</f>
        <v>#NAME?</v>
      </c>
      <c r="I111" s="200" t="str">
        <f>IF(OR(B111=リスト!$C$5,B111=リスト!$C$6),COUNTIF($B$9:B111,リスト!$C$5)+COUNTIF($B$9:B111,リスト!$C$6),"")</f>
        <v/>
      </c>
    </row>
    <row r="112" spans="2:9" x14ac:dyDescent="0.2">
      <c r="B112" s="196"/>
      <c r="C112" s="197">
        <v>45405.736631944441</v>
      </c>
      <c r="D112" s="197">
        <v>45405.736863425926</v>
      </c>
      <c r="E112" s="198" t="s">
        <v>244</v>
      </c>
      <c r="F112" s="199"/>
      <c r="G112" s="140" t="e">
        <f ca="1">mif(C112="","",OR(B112=リスト!$C$5,B112=リスト!$C$6),SUM(INDEX(G:G,MATCH(I112-1,I:I,0)+1,1):INDEX(G:G,MATCH(I112,I:I,0)-1,1)),D112-C112)</f>
        <v>#NAME?</v>
      </c>
      <c r="H112" s="140" t="e">
        <f ca="1">mif(C112="","",B112=リスト!$C$5,SUMIF(INDEX(B:B,MATCH(I112-1,I:I,0)+1,1):INDEX(B:B,MATCH(I112,I:I,0)-1,1),リスト!$C$7,INDEX(G:G,MATCH(I112-1,I:I,0)+1,1):INDEX(G:G,MATCH(I112,I:I,0)-1,1)),"")</f>
        <v>#NAME?</v>
      </c>
      <c r="I112" s="200" t="str">
        <f>IF(OR(B112=リスト!$C$5,B112=リスト!$C$6),COUNTIF($B$9:B112,リスト!$C$5)+COUNTIF($B$9:B112,リスト!$C$6),"")</f>
        <v/>
      </c>
    </row>
    <row r="113" spans="2:9" x14ac:dyDescent="0.2">
      <c r="B113" s="196"/>
      <c r="C113" s="197">
        <v>45405.756643518522</v>
      </c>
      <c r="D113" s="197">
        <v>45405.756944444445</v>
      </c>
      <c r="E113" s="198" t="s">
        <v>244</v>
      </c>
      <c r="F113" s="199"/>
      <c r="G113" s="140" t="e">
        <f ca="1">mif(C113="","",OR(B113=リスト!$C$5,B113=リスト!$C$6),SUM(INDEX(G:G,MATCH(I113-1,I:I,0)+1,1):INDEX(G:G,MATCH(I113,I:I,0)-1,1)),D113-C113)</f>
        <v>#NAME?</v>
      </c>
      <c r="H113" s="140" t="e">
        <f ca="1">mif(C113="","",B113=リスト!$C$5,SUMIF(INDEX(B:B,MATCH(I113-1,I:I,0)+1,1):INDEX(B:B,MATCH(I113,I:I,0)-1,1),リスト!$C$7,INDEX(G:G,MATCH(I113-1,I:I,0)+1,1):INDEX(G:G,MATCH(I113,I:I,0)-1,1)),"")</f>
        <v>#NAME?</v>
      </c>
      <c r="I113" s="200" t="str">
        <f>IF(OR(B113=リスト!$C$5,B113=リスト!$C$6),COUNTIF($B$9:B113,リスト!$C$5)+COUNTIF($B$9:B113,リスト!$C$6),"")</f>
        <v/>
      </c>
    </row>
    <row r="114" spans="2:9" x14ac:dyDescent="0.2">
      <c r="B114" s="196"/>
      <c r="C114" s="197">
        <v>45405.76226851852</v>
      </c>
      <c r="D114" s="197">
        <v>45405.762546296297</v>
      </c>
      <c r="E114" s="198" t="s">
        <v>244</v>
      </c>
      <c r="F114" s="199"/>
      <c r="G114" s="140" t="e">
        <f ca="1">mif(C114="","",OR(B114=リスト!$C$5,B114=リスト!$C$6),SUM(INDEX(G:G,MATCH(I114-1,I:I,0)+1,1):INDEX(G:G,MATCH(I114,I:I,0)-1,1)),D114-C114)</f>
        <v>#NAME?</v>
      </c>
      <c r="H114" s="140" t="e">
        <f ca="1">mif(C114="","",B114=リスト!$C$5,SUMIF(INDEX(B:B,MATCH(I114-1,I:I,0)+1,1):INDEX(B:B,MATCH(I114,I:I,0)-1,1),リスト!$C$7,INDEX(G:G,MATCH(I114-1,I:I,0)+1,1):INDEX(G:G,MATCH(I114,I:I,0)-1,1)),"")</f>
        <v>#NAME?</v>
      </c>
      <c r="I114" s="200" t="str">
        <f>IF(OR(B114=リスト!$C$5,B114=リスト!$C$6),COUNTIF($B$9:B114,リスト!$C$5)+COUNTIF($B$9:B114,リスト!$C$6),"")</f>
        <v/>
      </c>
    </row>
    <row r="115" spans="2:9" x14ac:dyDescent="0.2">
      <c r="B115" s="196"/>
      <c r="C115" s="197">
        <v>45405.774155092593</v>
      </c>
      <c r="D115" s="197">
        <v>45405.774756944447</v>
      </c>
      <c r="E115" s="198" t="s">
        <v>244</v>
      </c>
      <c r="F115" s="199"/>
      <c r="G115" s="140" t="e">
        <f ca="1">mif(C115="","",OR(B115=リスト!$C$5,B115=リスト!$C$6),SUM(INDEX(G:G,MATCH(I115-1,I:I,0)+1,1):INDEX(G:G,MATCH(I115,I:I,0)-1,1)),D115-C115)</f>
        <v>#NAME?</v>
      </c>
      <c r="H115" s="140" t="e">
        <f ca="1">mif(C115="","",B115=リスト!$C$5,SUMIF(INDEX(B:B,MATCH(I115-1,I:I,0)+1,1):INDEX(B:B,MATCH(I115,I:I,0)-1,1),リスト!$C$7,INDEX(G:G,MATCH(I115-1,I:I,0)+1,1):INDEX(G:G,MATCH(I115,I:I,0)-1,1)),"")</f>
        <v>#NAME?</v>
      </c>
      <c r="I115" s="200" t="str">
        <f>IF(OR(B115=リスト!$C$5,B115=リスト!$C$6),COUNTIF($B$9:B115,リスト!$C$5)+COUNTIF($B$9:B115,リスト!$C$6),"")</f>
        <v/>
      </c>
    </row>
    <row r="116" spans="2:9" x14ac:dyDescent="0.2">
      <c r="B116" s="196"/>
      <c r="C116" s="197">
        <v>45405.782951388886</v>
      </c>
      <c r="D116" s="197">
        <v>45405.783229166664</v>
      </c>
      <c r="E116" s="198" t="s">
        <v>244</v>
      </c>
      <c r="F116" s="199"/>
      <c r="G116" s="140" t="e">
        <f ca="1">mif(C116="","",OR(B116=リスト!$C$5,B116=リスト!$C$6),SUM(INDEX(G:G,MATCH(I116-1,I:I,0)+1,1):INDEX(G:G,MATCH(I116,I:I,0)-1,1)),D116-C116)</f>
        <v>#NAME?</v>
      </c>
      <c r="H116" s="140" t="e">
        <f ca="1">mif(C116="","",B116=リスト!$C$5,SUMIF(INDEX(B:B,MATCH(I116-1,I:I,0)+1,1):INDEX(B:B,MATCH(I116,I:I,0)-1,1),リスト!$C$7,INDEX(G:G,MATCH(I116-1,I:I,0)+1,1):INDEX(G:G,MATCH(I116,I:I,0)-1,1)),"")</f>
        <v>#NAME?</v>
      </c>
      <c r="I116" s="200" t="str">
        <f>IF(OR(B116=リスト!$C$5,B116=リスト!$C$6),COUNTIF($B$9:B116,リスト!$C$5)+COUNTIF($B$9:B116,リスト!$C$6),"")</f>
        <v/>
      </c>
    </row>
    <row r="117" spans="2:9" x14ac:dyDescent="0.2">
      <c r="B117" s="196"/>
      <c r="C117" s="197">
        <v>45405.800671296296</v>
      </c>
      <c r="D117" s="197">
        <v>45405.802719907406</v>
      </c>
      <c r="E117" s="198" t="s">
        <v>244</v>
      </c>
      <c r="F117" s="199"/>
      <c r="G117" s="140" t="e">
        <f ca="1">mif(C117="","",OR(B117=リスト!$C$5,B117=リスト!$C$6),SUM(INDEX(G:G,MATCH(I117-1,I:I,0)+1,1):INDEX(G:G,MATCH(I117,I:I,0)-1,1)),D117-C117)</f>
        <v>#NAME?</v>
      </c>
      <c r="H117" s="140" t="e">
        <f ca="1">mif(C117="","",B117=リスト!$C$5,SUMIF(INDEX(B:B,MATCH(I117-1,I:I,0)+1,1):INDEX(B:B,MATCH(I117,I:I,0)-1,1),リスト!$C$7,INDEX(G:G,MATCH(I117-1,I:I,0)+1,1):INDEX(G:G,MATCH(I117,I:I,0)-1,1)),"")</f>
        <v>#NAME?</v>
      </c>
      <c r="I117" s="200" t="str">
        <f>IF(OR(B117=リスト!$C$5,B117=リスト!$C$6),COUNTIF($B$9:B117,リスト!$C$5)+COUNTIF($B$9:B117,リスト!$C$6),"")</f>
        <v/>
      </c>
    </row>
    <row r="118" spans="2:9" x14ac:dyDescent="0.2">
      <c r="B118" s="196"/>
      <c r="C118" s="197">
        <v>45405.856203703705</v>
      </c>
      <c r="D118" s="197">
        <v>45405.856481481482</v>
      </c>
      <c r="E118" s="198" t="s">
        <v>244</v>
      </c>
      <c r="F118" s="199"/>
      <c r="G118" s="140" t="e">
        <f ca="1">mif(C118="","",OR(B118=リスト!$C$5,B118=リスト!$C$6),SUM(INDEX(G:G,MATCH(I118-1,I:I,0)+1,1):INDEX(G:G,MATCH(I118,I:I,0)-1,1)),D118-C118)</f>
        <v>#NAME?</v>
      </c>
      <c r="H118" s="140" t="e">
        <f ca="1">mif(C118="","",B118=リスト!$C$5,SUMIF(INDEX(B:B,MATCH(I118-1,I:I,0)+1,1):INDEX(B:B,MATCH(I118,I:I,0)-1,1),リスト!$C$7,INDEX(G:G,MATCH(I118-1,I:I,0)+1,1):INDEX(G:G,MATCH(I118,I:I,0)-1,1)),"")</f>
        <v>#NAME?</v>
      </c>
      <c r="I118" s="200" t="str">
        <f>IF(OR(B118=リスト!$C$5,B118=リスト!$C$6),COUNTIF($B$9:B118,リスト!$C$5)+COUNTIF($B$9:B118,リスト!$C$6),"")</f>
        <v/>
      </c>
    </row>
    <row r="119" spans="2:9" x14ac:dyDescent="0.2">
      <c r="B119" s="196"/>
      <c r="C119" s="197">
        <v>45405.857824074075</v>
      </c>
      <c r="D119" s="197">
        <v>45405.858564814815</v>
      </c>
      <c r="E119" s="198" t="s">
        <v>244</v>
      </c>
      <c r="F119" s="199"/>
      <c r="G119" s="140" t="e">
        <f ca="1">mif(C119="","",OR(B119=リスト!$C$5,B119=リスト!$C$6),SUM(INDEX(G:G,MATCH(I119-1,I:I,0)+1,1):INDEX(G:G,MATCH(I119,I:I,0)-1,1)),D119-C119)</f>
        <v>#NAME?</v>
      </c>
      <c r="H119" s="140" t="e">
        <f ca="1">mif(C119="","",B119=リスト!$C$5,SUMIF(INDEX(B:B,MATCH(I119-1,I:I,0)+1,1):INDEX(B:B,MATCH(I119,I:I,0)-1,1),リスト!$C$7,INDEX(G:G,MATCH(I119-1,I:I,0)+1,1):INDEX(G:G,MATCH(I119,I:I,0)-1,1)),"")</f>
        <v>#NAME?</v>
      </c>
      <c r="I119" s="200" t="str">
        <f>IF(OR(B119=リスト!$C$5,B119=リスト!$C$6),COUNTIF($B$9:B119,リスト!$C$5)+COUNTIF($B$9:B119,リスト!$C$6),"")</f>
        <v/>
      </c>
    </row>
    <row r="120" spans="2:9" x14ac:dyDescent="0.2">
      <c r="B120" s="196"/>
      <c r="C120" s="197">
        <v>45405.891909722224</v>
      </c>
      <c r="D120" s="197">
        <v>45405.892141203702</v>
      </c>
      <c r="E120" s="198" t="s">
        <v>244</v>
      </c>
      <c r="F120" s="199"/>
      <c r="G120" s="140" t="e">
        <f ca="1">mif(C120="","",OR(B120=リスト!$C$5,B120=リスト!$C$6),SUM(INDEX(G:G,MATCH(I120-1,I:I,0)+1,1):INDEX(G:G,MATCH(I120,I:I,0)-1,1)),D120-C120)</f>
        <v>#NAME?</v>
      </c>
      <c r="H120" s="140" t="e">
        <f ca="1">mif(C120="","",B120=リスト!$C$5,SUMIF(INDEX(B:B,MATCH(I120-1,I:I,0)+1,1):INDEX(B:B,MATCH(I120,I:I,0)-1,1),リスト!$C$7,INDEX(G:G,MATCH(I120-1,I:I,0)+1,1):INDEX(G:G,MATCH(I120,I:I,0)-1,1)),"")</f>
        <v>#NAME?</v>
      </c>
      <c r="I120" s="200" t="str">
        <f>IF(OR(B120=リスト!$C$5,B120=リスト!$C$6),COUNTIF($B$9:B120,リスト!$C$5)+COUNTIF($B$9:B120,リスト!$C$6),"")</f>
        <v/>
      </c>
    </row>
    <row r="121" spans="2:9" x14ac:dyDescent="0.2">
      <c r="B121" s="196"/>
      <c r="C121" s="197">
        <v>45405.911203703705</v>
      </c>
      <c r="D121" s="197">
        <v>45405.911504629628</v>
      </c>
      <c r="E121" s="198" t="s">
        <v>244</v>
      </c>
      <c r="F121" s="199"/>
      <c r="G121" s="140" t="e">
        <f ca="1">mif(C121="","",OR(B121=リスト!$C$5,B121=リスト!$C$6),SUM(INDEX(G:G,MATCH(I121-1,I:I,0)+1,1):INDEX(G:G,MATCH(I121,I:I,0)-1,1)),D121-C121)</f>
        <v>#NAME?</v>
      </c>
      <c r="H121" s="140" t="e">
        <f ca="1">mif(C121="","",B121=リスト!$C$5,SUMIF(INDEX(B:B,MATCH(I121-1,I:I,0)+1,1):INDEX(B:B,MATCH(I121,I:I,0)-1,1),リスト!$C$7,INDEX(G:G,MATCH(I121-1,I:I,0)+1,1):INDEX(G:G,MATCH(I121,I:I,0)-1,1)),"")</f>
        <v>#NAME?</v>
      </c>
      <c r="I121" s="200" t="str">
        <f>IF(OR(B121=リスト!$C$5,B121=リスト!$C$6),COUNTIF($B$9:B121,リスト!$C$5)+COUNTIF($B$9:B121,リスト!$C$6),"")</f>
        <v/>
      </c>
    </row>
    <row r="122" spans="2:9" x14ac:dyDescent="0.2">
      <c r="B122" s="196"/>
      <c r="C122" s="197">
        <v>45405.915717592594</v>
      </c>
      <c r="D122" s="197">
        <v>45405.916018518517</v>
      </c>
      <c r="E122" s="198" t="s">
        <v>244</v>
      </c>
      <c r="F122" s="199"/>
      <c r="G122" s="140" t="e">
        <f ca="1">mif(C122="","",OR(B122=リスト!$C$5,B122=リスト!$C$6),SUM(INDEX(G:G,MATCH(I122-1,I:I,0)+1,1):INDEX(G:G,MATCH(I122,I:I,0)-1,1)),D122-C122)</f>
        <v>#NAME?</v>
      </c>
      <c r="H122" s="140" t="e">
        <f ca="1">mif(C122="","",B122=リスト!$C$5,SUMIF(INDEX(B:B,MATCH(I122-1,I:I,0)+1,1):INDEX(B:B,MATCH(I122,I:I,0)-1,1),リスト!$C$7,INDEX(G:G,MATCH(I122-1,I:I,0)+1,1):INDEX(G:G,MATCH(I122,I:I,0)-1,1)),"")</f>
        <v>#NAME?</v>
      </c>
      <c r="I122" s="200" t="str">
        <f>IF(OR(B122=リスト!$C$5,B122=リスト!$C$6),COUNTIF($B$9:B122,リスト!$C$5)+COUNTIF($B$9:B122,リスト!$C$6),"")</f>
        <v/>
      </c>
    </row>
    <row r="123" spans="2:9" x14ac:dyDescent="0.2">
      <c r="B123" s="196" t="s">
        <v>247</v>
      </c>
      <c r="C123" s="197">
        <v>45405.416666666664</v>
      </c>
      <c r="D123" s="197">
        <v>45405.916666666664</v>
      </c>
      <c r="E123" s="198">
        <v>18</v>
      </c>
      <c r="F123" s="199"/>
      <c r="G123" s="140" t="e">
        <f ca="1">mif(C123="","",OR(B123=リスト!$C$5,B123=リスト!$C$6),SUM(INDEX(G:G,MATCH(I123-1,I:I,0)+1,1):INDEX(G:G,MATCH(I123,I:I,0)-1,1)),D123-C123)</f>
        <v>#NAME?</v>
      </c>
      <c r="H123" s="140" t="e">
        <f ca="1">mif(C123="","",B123=リスト!$C$5,SUMIF(INDEX(B:B,MATCH(I123-1,I:I,0)+1,1):INDEX(B:B,MATCH(I123,I:I,0)-1,1),リスト!$C$7,INDEX(G:G,MATCH(I123-1,I:I,0)+1,1):INDEX(G:G,MATCH(I123,I:I,0)-1,1)),"")</f>
        <v>#NAME?</v>
      </c>
      <c r="I123" s="200">
        <f>IF(OR(B123=リスト!$C$5,B123=リスト!$C$6),COUNTIF($B$9:B123,リスト!$C$5)+COUNTIF($B$9:B123,リスト!$C$6),"")</f>
        <v>8</v>
      </c>
    </row>
    <row r="124" spans="2:9" x14ac:dyDescent="0.2">
      <c r="B124" s="196"/>
      <c r="C124" s="197">
        <v>45405.989270833335</v>
      </c>
      <c r="D124" s="197">
        <v>45405.989525462966</v>
      </c>
      <c r="E124" s="198" t="s">
        <v>244</v>
      </c>
      <c r="F124" s="199"/>
      <c r="G124" s="140" t="e">
        <f ca="1">mif(C124="","",OR(B124=リスト!$C$5,B124=リスト!$C$6),SUM(INDEX(G:G,MATCH(I124-1,I:I,0)+1,1):INDEX(G:G,MATCH(I124,I:I,0)-1,1)),D124-C124)</f>
        <v>#NAME?</v>
      </c>
      <c r="H124" s="140" t="e">
        <f ca="1">mif(C124="","",B124=リスト!$C$5,SUMIF(INDEX(B:B,MATCH(I124-1,I:I,0)+1,1):INDEX(B:B,MATCH(I124,I:I,0)-1,1),リスト!$C$7,INDEX(G:G,MATCH(I124-1,I:I,0)+1,1):INDEX(G:G,MATCH(I124,I:I,0)-1,1)),"")</f>
        <v>#NAME?</v>
      </c>
      <c r="I124" s="200" t="str">
        <f>IF(OR(B124=リスト!$C$5,B124=リスト!$C$6),COUNTIF($B$9:B124,リスト!$C$5)+COUNTIF($B$9:B124,リスト!$C$6),"")</f>
        <v/>
      </c>
    </row>
    <row r="125" spans="2:9" x14ac:dyDescent="0.2">
      <c r="B125" s="196"/>
      <c r="C125" s="197">
        <v>45406.045891203707</v>
      </c>
      <c r="D125" s="197">
        <v>45406.046122685184</v>
      </c>
      <c r="E125" s="198" t="s">
        <v>244</v>
      </c>
      <c r="F125" s="199"/>
      <c r="G125" s="140" t="e">
        <f ca="1">mif(C125="","",OR(B125=リスト!$C$5,B125=リスト!$C$6),SUM(INDEX(G:G,MATCH(I125-1,I:I,0)+1,1):INDEX(G:G,MATCH(I125,I:I,0)-1,1)),D125-C125)</f>
        <v>#NAME?</v>
      </c>
      <c r="H125" s="140" t="e">
        <f ca="1">mif(C125="","",B125=リスト!$C$5,SUMIF(INDEX(B:B,MATCH(I125-1,I:I,0)+1,1):INDEX(B:B,MATCH(I125,I:I,0)-1,1),リスト!$C$7,INDEX(G:G,MATCH(I125-1,I:I,0)+1,1):INDEX(G:G,MATCH(I125,I:I,0)-1,1)),"")</f>
        <v>#NAME?</v>
      </c>
      <c r="I125" s="200" t="str">
        <f>IF(OR(B125=リスト!$C$5,B125=リスト!$C$6),COUNTIF($B$9:B125,リスト!$C$5)+COUNTIF($B$9:B125,リスト!$C$6),"")</f>
        <v/>
      </c>
    </row>
    <row r="126" spans="2:9" x14ac:dyDescent="0.2">
      <c r="B126" s="196"/>
      <c r="C126" s="197">
        <v>45406.081331018519</v>
      </c>
      <c r="D126" s="197">
        <v>45406.081608796296</v>
      </c>
      <c r="E126" s="198" t="s">
        <v>244</v>
      </c>
      <c r="F126" s="199"/>
      <c r="G126" s="140" t="e">
        <f ca="1">mif(C126="","",OR(B126=リスト!$C$5,B126=リスト!$C$6),SUM(INDEX(G:G,MATCH(I126-1,I:I,0)+1,1):INDEX(G:G,MATCH(I126,I:I,0)-1,1)),D126-C126)</f>
        <v>#NAME?</v>
      </c>
      <c r="H126" s="140" t="e">
        <f ca="1">mif(C126="","",B126=リスト!$C$5,SUMIF(INDEX(B:B,MATCH(I126-1,I:I,0)+1,1):INDEX(B:B,MATCH(I126,I:I,0)-1,1),リスト!$C$7,INDEX(G:G,MATCH(I126-1,I:I,0)+1,1):INDEX(G:G,MATCH(I126,I:I,0)-1,1)),"")</f>
        <v>#NAME?</v>
      </c>
      <c r="I126" s="200" t="str">
        <f>IF(OR(B126=リスト!$C$5,B126=リスト!$C$6),COUNTIF($B$9:B126,リスト!$C$5)+COUNTIF($B$9:B126,リスト!$C$6),"")</f>
        <v/>
      </c>
    </row>
    <row r="127" spans="2:9" x14ac:dyDescent="0.2">
      <c r="B127" s="196"/>
      <c r="C127" s="197">
        <v>45406.086724537039</v>
      </c>
      <c r="D127" s="197">
        <v>45406.087002314816</v>
      </c>
      <c r="E127" s="198" t="s">
        <v>244</v>
      </c>
      <c r="F127" s="199"/>
      <c r="G127" s="140" t="e">
        <f ca="1">mif(C127="","",OR(B127=リスト!$C$5,B127=リスト!$C$6),SUM(INDEX(G:G,MATCH(I127-1,I:I,0)+1,1):INDEX(G:G,MATCH(I127,I:I,0)-1,1)),D127-C127)</f>
        <v>#NAME?</v>
      </c>
      <c r="H127" s="140" t="e">
        <f ca="1">mif(C127="","",B127=リスト!$C$5,SUMIF(INDEX(B:B,MATCH(I127-1,I:I,0)+1,1):INDEX(B:B,MATCH(I127,I:I,0)-1,1),リスト!$C$7,INDEX(G:G,MATCH(I127-1,I:I,0)+1,1):INDEX(G:G,MATCH(I127,I:I,0)-1,1)),"")</f>
        <v>#NAME?</v>
      </c>
      <c r="I127" s="200" t="str">
        <f>IF(OR(B127=リスト!$C$5,B127=リスト!$C$6),COUNTIF($B$9:B127,リスト!$C$5)+COUNTIF($B$9:B127,リスト!$C$6),"")</f>
        <v/>
      </c>
    </row>
    <row r="128" spans="2:9" x14ac:dyDescent="0.2">
      <c r="B128" s="196"/>
      <c r="C128" s="197">
        <v>45406.099108796298</v>
      </c>
      <c r="D128" s="197">
        <v>45406.099386574075</v>
      </c>
      <c r="E128" s="198" t="s">
        <v>244</v>
      </c>
      <c r="F128" s="199"/>
      <c r="G128" s="140" t="e">
        <f ca="1">mif(C128="","",OR(B128=リスト!$C$5,B128=リスト!$C$6),SUM(INDEX(G:G,MATCH(I128-1,I:I,0)+1,1):INDEX(G:G,MATCH(I128,I:I,0)-1,1)),D128-C128)</f>
        <v>#NAME?</v>
      </c>
      <c r="H128" s="140" t="e">
        <f ca="1">mif(C128="","",B128=リスト!$C$5,SUMIF(INDEX(B:B,MATCH(I128-1,I:I,0)+1,1):INDEX(B:B,MATCH(I128,I:I,0)-1,1),リスト!$C$7,INDEX(G:G,MATCH(I128-1,I:I,0)+1,1):INDEX(G:G,MATCH(I128,I:I,0)-1,1)),"")</f>
        <v>#NAME?</v>
      </c>
      <c r="I128" s="200" t="str">
        <f>IF(OR(B128=リスト!$C$5,B128=リスト!$C$6),COUNTIF($B$9:B128,リスト!$C$5)+COUNTIF($B$9:B128,リスト!$C$6),"")</f>
        <v/>
      </c>
    </row>
    <row r="129" spans="2:9" x14ac:dyDescent="0.2">
      <c r="B129" s="196"/>
      <c r="C129" s="197">
        <v>45406.219513888886</v>
      </c>
      <c r="D129" s="197">
        <v>45406.21974537037</v>
      </c>
      <c r="E129" s="198" t="s">
        <v>244</v>
      </c>
      <c r="F129" s="199"/>
      <c r="G129" s="140" t="e">
        <f ca="1">mif(C129="","",OR(B129=リスト!$C$5,B129=リスト!$C$6),SUM(INDEX(G:G,MATCH(I129-1,I:I,0)+1,1):INDEX(G:G,MATCH(I129,I:I,0)-1,1)),D129-C129)</f>
        <v>#NAME?</v>
      </c>
      <c r="H129" s="140" t="e">
        <f ca="1">mif(C129="","",B129=リスト!$C$5,SUMIF(INDEX(B:B,MATCH(I129-1,I:I,0)+1,1):INDEX(B:B,MATCH(I129,I:I,0)-1,1),リスト!$C$7,INDEX(G:G,MATCH(I129-1,I:I,0)+1,1):INDEX(G:G,MATCH(I129,I:I,0)-1,1)),"")</f>
        <v>#NAME?</v>
      </c>
      <c r="I129" s="200" t="str">
        <f>IF(OR(B129=リスト!$C$5,B129=リスト!$C$6),COUNTIF($B$9:B129,リスト!$C$5)+COUNTIF($B$9:B129,リスト!$C$6),"")</f>
        <v/>
      </c>
    </row>
    <row r="130" spans="2:9" x14ac:dyDescent="0.2">
      <c r="B130" s="196"/>
      <c r="C130" s="197">
        <v>45406.230115740742</v>
      </c>
      <c r="D130" s="197">
        <v>45406.230983796297</v>
      </c>
      <c r="E130" s="198" t="s">
        <v>244</v>
      </c>
      <c r="F130" s="199"/>
      <c r="G130" s="140" t="e">
        <f ca="1">mif(C130="","",OR(B130=リスト!$C$5,B130=リスト!$C$6),SUM(INDEX(G:G,MATCH(I130-1,I:I,0)+1,1):INDEX(G:G,MATCH(I130,I:I,0)-1,1)),D130-C130)</f>
        <v>#NAME?</v>
      </c>
      <c r="H130" s="140" t="e">
        <f ca="1">mif(C130="","",B130=リスト!$C$5,SUMIF(INDEX(B:B,MATCH(I130-1,I:I,0)+1,1):INDEX(B:B,MATCH(I130,I:I,0)-1,1),リスト!$C$7,INDEX(G:G,MATCH(I130-1,I:I,0)+1,1):INDEX(G:G,MATCH(I130,I:I,0)-1,1)),"")</f>
        <v>#NAME?</v>
      </c>
      <c r="I130" s="200" t="str">
        <f>IF(OR(B130=リスト!$C$5,B130=リスト!$C$6),COUNTIF($B$9:B130,リスト!$C$5)+COUNTIF($B$9:B130,リスト!$C$6),"")</f>
        <v/>
      </c>
    </row>
    <row r="131" spans="2:9" x14ac:dyDescent="0.2">
      <c r="B131" s="196"/>
      <c r="C131" s="197">
        <v>45406.242812500001</v>
      </c>
      <c r="D131" s="197">
        <v>45406.243067129632</v>
      </c>
      <c r="E131" s="198" t="s">
        <v>244</v>
      </c>
      <c r="F131" s="199"/>
      <c r="G131" s="140" t="e">
        <f ca="1">mif(C131="","",OR(B131=リスト!$C$5,B131=リスト!$C$6),SUM(INDEX(G:G,MATCH(I131-1,I:I,0)+1,1):INDEX(G:G,MATCH(I131,I:I,0)-1,1)),D131-C131)</f>
        <v>#NAME?</v>
      </c>
      <c r="H131" s="140" t="e">
        <f ca="1">mif(C131="","",B131=リスト!$C$5,SUMIF(INDEX(B:B,MATCH(I131-1,I:I,0)+1,1):INDEX(B:B,MATCH(I131,I:I,0)-1,1),リスト!$C$7,INDEX(G:G,MATCH(I131-1,I:I,0)+1,1):INDEX(G:G,MATCH(I131,I:I,0)-1,1)),"")</f>
        <v>#NAME?</v>
      </c>
      <c r="I131" s="200" t="str">
        <f>IF(OR(B131=リスト!$C$5,B131=リスト!$C$6),COUNTIF($B$9:B131,リスト!$C$5)+COUNTIF($B$9:B131,リスト!$C$6),"")</f>
        <v/>
      </c>
    </row>
    <row r="132" spans="2:9" x14ac:dyDescent="0.2">
      <c r="B132" s="196"/>
      <c r="C132" s="197">
        <v>45406.247812499998</v>
      </c>
      <c r="D132" s="197">
        <v>45406.248344907406</v>
      </c>
      <c r="E132" s="198" t="s">
        <v>244</v>
      </c>
      <c r="F132" s="199"/>
      <c r="G132" s="140" t="e">
        <f ca="1">mif(C132="","",OR(B132=リスト!$C$5,B132=リスト!$C$6),SUM(INDEX(G:G,MATCH(I132-1,I:I,0)+1,1):INDEX(G:G,MATCH(I132,I:I,0)-1,1)),D132-C132)</f>
        <v>#NAME?</v>
      </c>
      <c r="H132" s="140" t="e">
        <f ca="1">mif(C132="","",B132=リスト!$C$5,SUMIF(INDEX(B:B,MATCH(I132-1,I:I,0)+1,1):INDEX(B:B,MATCH(I132,I:I,0)-1,1),リスト!$C$7,INDEX(G:G,MATCH(I132-1,I:I,0)+1,1):INDEX(G:G,MATCH(I132,I:I,0)-1,1)),"")</f>
        <v>#NAME?</v>
      </c>
      <c r="I132" s="200" t="str">
        <f>IF(OR(B132=リスト!$C$5,B132=リスト!$C$6),COUNTIF($B$9:B132,リスト!$C$5)+COUNTIF($B$9:B132,リスト!$C$6),"")</f>
        <v/>
      </c>
    </row>
    <row r="133" spans="2:9" x14ac:dyDescent="0.2">
      <c r="B133" s="196"/>
      <c r="C133" s="197">
        <v>45406.268611111111</v>
      </c>
      <c r="D133" s="197">
        <v>45406.268958333334</v>
      </c>
      <c r="E133" s="198" t="s">
        <v>244</v>
      </c>
      <c r="F133" s="199"/>
      <c r="G133" s="140" t="e">
        <f ca="1">mif(C133="","",OR(B133=リスト!$C$5,B133=リスト!$C$6),SUM(INDEX(G:G,MATCH(I133-1,I:I,0)+1,1):INDEX(G:G,MATCH(I133,I:I,0)-1,1)),D133-C133)</f>
        <v>#NAME?</v>
      </c>
      <c r="H133" s="140" t="e">
        <f ca="1">mif(C133="","",B133=リスト!$C$5,SUMIF(INDEX(B:B,MATCH(I133-1,I:I,0)+1,1):INDEX(B:B,MATCH(I133,I:I,0)-1,1),リスト!$C$7,INDEX(G:G,MATCH(I133-1,I:I,0)+1,1):INDEX(G:G,MATCH(I133,I:I,0)-1,1)),"")</f>
        <v>#NAME?</v>
      </c>
      <c r="I133" s="200" t="str">
        <f>IF(OR(B133=リスト!$C$5,B133=リスト!$C$6),COUNTIF($B$9:B133,リスト!$C$5)+COUNTIF($B$9:B133,リスト!$C$6),"")</f>
        <v/>
      </c>
    </row>
    <row r="134" spans="2:9" x14ac:dyDescent="0.2">
      <c r="B134" s="196"/>
      <c r="C134" s="197">
        <v>45406.323796296296</v>
      </c>
      <c r="D134" s="197">
        <v>45406.324537037035</v>
      </c>
      <c r="E134" s="198" t="s">
        <v>244</v>
      </c>
      <c r="F134" s="199"/>
      <c r="G134" s="140" t="e">
        <f ca="1">mif(C134="","",OR(B134=リスト!$C$5,B134=リスト!$C$6),SUM(INDEX(G:G,MATCH(I134-1,I:I,0)+1,1):INDEX(G:G,MATCH(I134,I:I,0)-1,1)),D134-C134)</f>
        <v>#NAME?</v>
      </c>
      <c r="H134" s="140" t="e">
        <f ca="1">mif(C134="","",B134=リスト!$C$5,SUMIF(INDEX(B:B,MATCH(I134-1,I:I,0)+1,1):INDEX(B:B,MATCH(I134,I:I,0)-1,1),リスト!$C$7,INDEX(G:G,MATCH(I134-1,I:I,0)+1,1):INDEX(G:G,MATCH(I134,I:I,0)-1,1)),"")</f>
        <v>#NAME?</v>
      </c>
      <c r="I134" s="200" t="str">
        <f>IF(OR(B134=リスト!$C$5,B134=リスト!$C$6),COUNTIF($B$9:B134,リスト!$C$5)+COUNTIF($B$9:B134,リスト!$C$6),"")</f>
        <v/>
      </c>
    </row>
    <row r="135" spans="2:9" x14ac:dyDescent="0.2">
      <c r="B135" s="196"/>
      <c r="C135" s="197">
        <v>45406.339756944442</v>
      </c>
      <c r="D135" s="197">
        <v>45406.340081018519</v>
      </c>
      <c r="E135" s="198" t="s">
        <v>244</v>
      </c>
      <c r="F135" s="199"/>
      <c r="G135" s="140" t="e">
        <f ca="1">mif(C135="","",OR(B135=リスト!$C$5,B135=リスト!$C$6),SUM(INDEX(G:G,MATCH(I135-1,I:I,0)+1,1):INDEX(G:G,MATCH(I135,I:I,0)-1,1)),D135-C135)</f>
        <v>#NAME?</v>
      </c>
      <c r="H135" s="140" t="e">
        <f ca="1">mif(C135="","",B135=リスト!$C$5,SUMIF(INDEX(B:B,MATCH(I135-1,I:I,0)+1,1):INDEX(B:B,MATCH(I135,I:I,0)-1,1),リスト!$C$7,INDEX(G:G,MATCH(I135-1,I:I,0)+1,1):INDEX(G:G,MATCH(I135,I:I,0)-1,1)),"")</f>
        <v>#NAME?</v>
      </c>
      <c r="I135" s="200" t="str">
        <f>IF(OR(B135=リスト!$C$5,B135=リスト!$C$6),COUNTIF($B$9:B135,リスト!$C$5)+COUNTIF($B$9:B135,リスト!$C$6),"")</f>
        <v/>
      </c>
    </row>
    <row r="136" spans="2:9" x14ac:dyDescent="0.2">
      <c r="B136" s="196"/>
      <c r="C136" s="197">
        <v>45406.360300925924</v>
      </c>
      <c r="D136" s="197">
        <v>45406.360601851855</v>
      </c>
      <c r="E136" s="198" t="s">
        <v>244</v>
      </c>
      <c r="F136" s="199"/>
      <c r="G136" s="140" t="e">
        <f ca="1">mif(C136="","",OR(B136=リスト!$C$5,B136=リスト!$C$6),SUM(INDEX(G:G,MATCH(I136-1,I:I,0)+1,1):INDEX(G:G,MATCH(I136,I:I,0)-1,1)),D136-C136)</f>
        <v>#NAME?</v>
      </c>
      <c r="H136" s="140" t="e">
        <f ca="1">mif(C136="","",B136=リスト!$C$5,SUMIF(INDEX(B:B,MATCH(I136-1,I:I,0)+1,1):INDEX(B:B,MATCH(I136,I:I,0)-1,1),リスト!$C$7,INDEX(G:G,MATCH(I136-1,I:I,0)+1,1):INDEX(G:G,MATCH(I136,I:I,0)-1,1)),"")</f>
        <v>#NAME?</v>
      </c>
      <c r="I136" s="200" t="str">
        <f>IF(OR(B136=リスト!$C$5,B136=リスト!$C$6),COUNTIF($B$9:B136,リスト!$C$5)+COUNTIF($B$9:B136,リスト!$C$6),"")</f>
        <v/>
      </c>
    </row>
    <row r="137" spans="2:9" x14ac:dyDescent="0.2">
      <c r="B137" s="196" t="s">
        <v>247</v>
      </c>
      <c r="C137" s="197">
        <v>45405.916666666664</v>
      </c>
      <c r="D137" s="197">
        <v>45406.416666666664</v>
      </c>
      <c r="E137" s="198">
        <v>13</v>
      </c>
      <c r="F137" s="199"/>
      <c r="G137" s="140" t="e">
        <f ca="1">mif(C137="","",OR(B137=リスト!$C$5,B137=リスト!$C$6),SUM(INDEX(G:G,MATCH(I137-1,I:I,0)+1,1):INDEX(G:G,MATCH(I137,I:I,0)-1,1)),D137-C137)</f>
        <v>#NAME?</v>
      </c>
      <c r="H137" s="140" t="e">
        <f ca="1">mif(C137="","",B137=リスト!$C$5,SUMIF(INDEX(B:B,MATCH(I137-1,I:I,0)+1,1):INDEX(B:B,MATCH(I137,I:I,0)-1,1),リスト!$C$7,INDEX(G:G,MATCH(I137-1,I:I,0)+1,1):INDEX(G:G,MATCH(I137,I:I,0)-1,1)),"")</f>
        <v>#NAME?</v>
      </c>
      <c r="I137" s="200">
        <f>IF(OR(B137=リスト!$C$5,B137=リスト!$C$6),COUNTIF($B$9:B137,リスト!$C$5)+COUNTIF($B$9:B137,リスト!$C$6),"")</f>
        <v>9</v>
      </c>
    </row>
    <row r="138" spans="2:9" x14ac:dyDescent="0.2">
      <c r="B138" s="196"/>
      <c r="C138" s="197">
        <v>45426.924456018518</v>
      </c>
      <c r="D138" s="197">
        <v>45426.924733796295</v>
      </c>
      <c r="E138" s="198" t="s">
        <v>244</v>
      </c>
      <c r="F138" s="199"/>
      <c r="G138" s="140" t="e">
        <f ca="1">mif(C138="","",OR(B138=リスト!$C$5,B138=リスト!$C$6),SUM(INDEX(G:G,MATCH(I138-1,I:I,0)+1,1):INDEX(G:G,MATCH(I138,I:I,0)-1,1)),D138-C138)</f>
        <v>#NAME?</v>
      </c>
      <c r="H138" s="140" t="e">
        <f ca="1">mif(C138="","",B138=リスト!$C$5,SUMIF(INDEX(B:B,MATCH(I138-1,I:I,0)+1,1):INDEX(B:B,MATCH(I138,I:I,0)-1,1),リスト!$C$7,INDEX(G:G,MATCH(I138-1,I:I,0)+1,1):INDEX(G:G,MATCH(I138,I:I,0)-1,1)),"")</f>
        <v>#NAME?</v>
      </c>
      <c r="I138" s="200" t="str">
        <f>IF(OR(B138=リスト!$C$5,B138=リスト!$C$6),COUNTIF($B$9:B138,リスト!$C$5)+COUNTIF($B$9:B138,リスト!$C$6),"")</f>
        <v/>
      </c>
    </row>
    <row r="139" spans="2:9" x14ac:dyDescent="0.2">
      <c r="B139" s="196"/>
      <c r="C139" s="197">
        <v>45426.995439814818</v>
      </c>
      <c r="D139" s="197">
        <v>45426.995740740742</v>
      </c>
      <c r="E139" s="198" t="s">
        <v>244</v>
      </c>
      <c r="F139" s="199"/>
      <c r="G139" s="140" t="e">
        <f ca="1">mif(C139="","",OR(B139=リスト!$C$5,B139=リスト!$C$6),SUM(INDEX(G:G,MATCH(I139-1,I:I,0)+1,1):INDEX(G:G,MATCH(I139,I:I,0)-1,1)),D139-C139)</f>
        <v>#NAME?</v>
      </c>
      <c r="H139" s="140" t="e">
        <f ca="1">mif(C139="","",B139=リスト!$C$5,SUMIF(INDEX(B:B,MATCH(I139-1,I:I,0)+1,1):INDEX(B:B,MATCH(I139,I:I,0)-1,1),リスト!$C$7,INDEX(G:G,MATCH(I139-1,I:I,0)+1,1):INDEX(G:G,MATCH(I139,I:I,0)-1,1)),"")</f>
        <v>#NAME?</v>
      </c>
      <c r="I139" s="200" t="str">
        <f>IF(OR(B139=リスト!$C$5,B139=リスト!$C$6),COUNTIF($B$9:B139,リスト!$C$5)+COUNTIF($B$9:B139,リスト!$C$6),"")</f>
        <v/>
      </c>
    </row>
    <row r="140" spans="2:9" x14ac:dyDescent="0.2">
      <c r="B140" s="196"/>
      <c r="C140" s="197">
        <v>45427.013877314814</v>
      </c>
      <c r="D140" s="197">
        <v>45427.014201388891</v>
      </c>
      <c r="E140" s="198" t="s">
        <v>244</v>
      </c>
      <c r="F140" s="199"/>
      <c r="G140" s="140" t="e">
        <f ca="1">mif(C140="","",OR(B140=リスト!$C$5,B140=リスト!$C$6),SUM(INDEX(G:G,MATCH(I140-1,I:I,0)+1,1):INDEX(G:G,MATCH(I140,I:I,0)-1,1)),D140-C140)</f>
        <v>#NAME?</v>
      </c>
      <c r="H140" s="140" t="e">
        <f ca="1">mif(C140="","",B140=リスト!$C$5,SUMIF(INDEX(B:B,MATCH(I140-1,I:I,0)+1,1):INDEX(B:B,MATCH(I140,I:I,0)-1,1),リスト!$C$7,INDEX(G:G,MATCH(I140-1,I:I,0)+1,1):INDEX(G:G,MATCH(I140,I:I,0)-1,1)),"")</f>
        <v>#NAME?</v>
      </c>
      <c r="I140" s="200" t="str">
        <f>IF(OR(B140=リスト!$C$5,B140=リスト!$C$6),COUNTIF($B$9:B140,リスト!$C$5)+COUNTIF($B$9:B140,リスト!$C$6),"")</f>
        <v/>
      </c>
    </row>
    <row r="141" spans="2:9" x14ac:dyDescent="0.2">
      <c r="B141" s="196"/>
      <c r="C141" s="197">
        <v>45427.016863425924</v>
      </c>
      <c r="D141" s="197">
        <v>45427.017233796294</v>
      </c>
      <c r="E141" s="198" t="s">
        <v>244</v>
      </c>
      <c r="F141" s="199"/>
      <c r="G141" s="140" t="e">
        <f ca="1">mif(C141="","",OR(B141=リスト!$C$5,B141=リスト!$C$6),SUM(INDEX(G:G,MATCH(I141-1,I:I,0)+1,1):INDEX(G:G,MATCH(I141,I:I,0)-1,1)),D141-C141)</f>
        <v>#NAME?</v>
      </c>
      <c r="H141" s="140" t="e">
        <f ca="1">mif(C141="","",B141=リスト!$C$5,SUMIF(INDEX(B:B,MATCH(I141-1,I:I,0)+1,1):INDEX(B:B,MATCH(I141,I:I,0)-1,1),リスト!$C$7,INDEX(G:G,MATCH(I141-1,I:I,0)+1,1):INDEX(G:G,MATCH(I141,I:I,0)-1,1)),"")</f>
        <v>#NAME?</v>
      </c>
      <c r="I141" s="200" t="str">
        <f>IF(OR(B141=リスト!$C$5,B141=リスト!$C$6),COUNTIF($B$9:B141,リスト!$C$5)+COUNTIF($B$9:B141,リスト!$C$6),"")</f>
        <v/>
      </c>
    </row>
    <row r="142" spans="2:9" x14ac:dyDescent="0.2">
      <c r="B142" s="196"/>
      <c r="C142" s="197">
        <v>45427.03324074074</v>
      </c>
      <c r="D142" s="197">
        <v>45427.033587962964</v>
      </c>
      <c r="E142" s="198" t="s">
        <v>244</v>
      </c>
      <c r="F142" s="199"/>
      <c r="G142" s="140" t="e">
        <f ca="1">mif(C142="","",OR(B142=リスト!$C$5,B142=リスト!$C$6),SUM(INDEX(G:G,MATCH(I142-1,I:I,0)+1,1):INDEX(G:G,MATCH(I142,I:I,0)-1,1)),D142-C142)</f>
        <v>#NAME?</v>
      </c>
      <c r="H142" s="140" t="e">
        <f ca="1">mif(C142="","",B142=リスト!$C$5,SUMIF(INDEX(B:B,MATCH(I142-1,I:I,0)+1,1):INDEX(B:B,MATCH(I142,I:I,0)-1,1),リスト!$C$7,INDEX(G:G,MATCH(I142-1,I:I,0)+1,1):INDEX(G:G,MATCH(I142,I:I,0)-1,1)),"")</f>
        <v>#NAME?</v>
      </c>
      <c r="I142" s="200" t="str">
        <f>IF(OR(B142=リスト!$C$5,B142=リスト!$C$6),COUNTIF($B$9:B142,リスト!$C$5)+COUNTIF($B$9:B142,リスト!$C$6),"")</f>
        <v/>
      </c>
    </row>
    <row r="143" spans="2:9" x14ac:dyDescent="0.2">
      <c r="B143" s="196"/>
      <c r="C143" s="197">
        <v>45427.037685185183</v>
      </c>
      <c r="D143" s="197">
        <v>45427.037962962961</v>
      </c>
      <c r="E143" s="198" t="s">
        <v>244</v>
      </c>
      <c r="F143" s="199"/>
      <c r="G143" s="140" t="e">
        <f ca="1">mif(C143="","",OR(B143=リスト!$C$5,B143=リスト!$C$6),SUM(INDEX(G:G,MATCH(I143-1,I:I,0)+1,1):INDEX(G:G,MATCH(I143,I:I,0)-1,1)),D143-C143)</f>
        <v>#NAME?</v>
      </c>
      <c r="H143" s="140" t="e">
        <f ca="1">mif(C143="","",B143=リスト!$C$5,SUMIF(INDEX(B:B,MATCH(I143-1,I:I,0)+1,1):INDEX(B:B,MATCH(I143,I:I,0)-1,1),リスト!$C$7,INDEX(G:G,MATCH(I143-1,I:I,0)+1,1):INDEX(G:G,MATCH(I143,I:I,0)-1,1)),"")</f>
        <v>#NAME?</v>
      </c>
      <c r="I143" s="200" t="str">
        <f>IF(OR(B143=リスト!$C$5,B143=リスト!$C$6),COUNTIF($B$9:B143,リスト!$C$5)+COUNTIF($B$9:B143,リスト!$C$6),"")</f>
        <v/>
      </c>
    </row>
    <row r="144" spans="2:9" x14ac:dyDescent="0.2">
      <c r="B144" s="196"/>
      <c r="C144" s="197">
        <v>45427.07135416667</v>
      </c>
      <c r="D144" s="197">
        <v>45427.071655092594</v>
      </c>
      <c r="E144" s="198" t="s">
        <v>244</v>
      </c>
      <c r="F144" s="199"/>
      <c r="G144" s="140" t="e">
        <f ca="1">mif(C144="","",OR(B144=リスト!$C$5,B144=リスト!$C$6),SUM(INDEX(G:G,MATCH(I144-1,I:I,0)+1,1):INDEX(G:G,MATCH(I144,I:I,0)-1,1)),D144-C144)</f>
        <v>#NAME?</v>
      </c>
      <c r="H144" s="140" t="e">
        <f ca="1">mif(C144="","",B144=リスト!$C$5,SUMIF(INDEX(B:B,MATCH(I144-1,I:I,0)+1,1):INDEX(B:B,MATCH(I144,I:I,0)-1,1),リスト!$C$7,INDEX(G:G,MATCH(I144-1,I:I,0)+1,1):INDEX(G:G,MATCH(I144,I:I,0)-1,1)),"")</f>
        <v>#NAME?</v>
      </c>
      <c r="I144" s="200" t="str">
        <f>IF(OR(B144=リスト!$C$5,B144=リスト!$C$6),COUNTIF($B$9:B144,リスト!$C$5)+COUNTIF($B$9:B144,リスト!$C$6),"")</f>
        <v/>
      </c>
    </row>
    <row r="145" spans="2:9" x14ac:dyDescent="0.2">
      <c r="B145" s="196"/>
      <c r="C145" s="197">
        <v>45427.075729166667</v>
      </c>
      <c r="D145" s="197">
        <v>45427.076053240744</v>
      </c>
      <c r="E145" s="198" t="s">
        <v>244</v>
      </c>
      <c r="F145" s="199"/>
      <c r="G145" s="140" t="e">
        <f ca="1">mif(C145="","",OR(B145=リスト!$C$5,B145=リスト!$C$6),SUM(INDEX(G:G,MATCH(I145-1,I:I,0)+1,1):INDEX(G:G,MATCH(I145,I:I,0)-1,1)),D145-C145)</f>
        <v>#NAME?</v>
      </c>
      <c r="H145" s="140" t="e">
        <f ca="1">mif(C145="","",B145=リスト!$C$5,SUMIF(INDEX(B:B,MATCH(I145-1,I:I,0)+1,1):INDEX(B:B,MATCH(I145,I:I,0)-1,1),リスト!$C$7,INDEX(G:G,MATCH(I145-1,I:I,0)+1,1):INDEX(G:G,MATCH(I145,I:I,0)-1,1)),"")</f>
        <v>#NAME?</v>
      </c>
      <c r="I145" s="200" t="str">
        <f>IF(OR(B145=リスト!$C$5,B145=リスト!$C$6),COUNTIF($B$9:B145,リスト!$C$5)+COUNTIF($B$9:B145,リスト!$C$6),"")</f>
        <v/>
      </c>
    </row>
    <row r="146" spans="2:9" x14ac:dyDescent="0.2">
      <c r="B146" s="196"/>
      <c r="C146" s="197">
        <v>45427.201666666668</v>
      </c>
      <c r="D146" s="197">
        <v>45427.201921296299</v>
      </c>
      <c r="E146" s="198" t="s">
        <v>244</v>
      </c>
      <c r="F146" s="199"/>
      <c r="G146" s="140" t="e">
        <f ca="1">mif(C146="","",OR(B146=リスト!$C$5,B146=リスト!$C$6),SUM(INDEX(G:G,MATCH(I146-1,I:I,0)+1,1):INDEX(G:G,MATCH(I146,I:I,0)-1,1)),D146-C146)</f>
        <v>#NAME?</v>
      </c>
      <c r="H146" s="140" t="e">
        <f ca="1">mif(C146="","",B146=リスト!$C$5,SUMIF(INDEX(B:B,MATCH(I146-1,I:I,0)+1,1):INDEX(B:B,MATCH(I146,I:I,0)-1,1),リスト!$C$7,INDEX(G:G,MATCH(I146-1,I:I,0)+1,1):INDEX(G:G,MATCH(I146,I:I,0)-1,1)),"")</f>
        <v>#NAME?</v>
      </c>
      <c r="I146" s="200" t="str">
        <f>IF(OR(B146=リスト!$C$5,B146=リスト!$C$6),COUNTIF($B$9:B146,リスト!$C$5)+COUNTIF($B$9:B146,リスト!$C$6),"")</f>
        <v/>
      </c>
    </row>
    <row r="147" spans="2:9" x14ac:dyDescent="0.2">
      <c r="B147" s="196"/>
      <c r="C147" s="197">
        <v>45427.368854166663</v>
      </c>
      <c r="D147" s="197">
        <v>45427.369085648148</v>
      </c>
      <c r="E147" s="198" t="s">
        <v>244</v>
      </c>
      <c r="F147" s="199"/>
      <c r="G147" s="140" t="e">
        <f ca="1">mif(C147="","",OR(B147=リスト!$C$5,B147=リスト!$C$6),SUM(INDEX(G:G,MATCH(I147-1,I:I,0)+1,1):INDEX(G:G,MATCH(I147,I:I,0)-1,1)),D147-C147)</f>
        <v>#NAME?</v>
      </c>
      <c r="H147" s="140" t="e">
        <f ca="1">mif(C147="","",B147=リスト!$C$5,SUMIF(INDEX(B:B,MATCH(I147-1,I:I,0)+1,1):INDEX(B:B,MATCH(I147,I:I,0)-1,1),リスト!$C$7,INDEX(G:G,MATCH(I147-1,I:I,0)+1,1):INDEX(G:G,MATCH(I147,I:I,0)-1,1)),"")</f>
        <v>#NAME?</v>
      </c>
      <c r="I147" s="200" t="str">
        <f>IF(OR(B147=リスト!$C$5,B147=リスト!$C$6),COUNTIF($B$9:B147,リスト!$C$5)+COUNTIF($B$9:B147,リスト!$C$6),"")</f>
        <v/>
      </c>
    </row>
    <row r="148" spans="2:9" x14ac:dyDescent="0.2">
      <c r="B148" s="196"/>
      <c r="C148" s="197">
        <v>45427.408796296295</v>
      </c>
      <c r="D148" s="197">
        <v>45427.409351851849</v>
      </c>
      <c r="E148" s="198" t="s">
        <v>244</v>
      </c>
      <c r="F148" s="199"/>
      <c r="G148" s="140" t="e">
        <f ca="1">mif(C148="","",OR(B148=リスト!$C$5,B148=リスト!$C$6),SUM(INDEX(G:G,MATCH(I148-1,I:I,0)+1,1):INDEX(G:G,MATCH(I148,I:I,0)-1,1)),D148-C148)</f>
        <v>#NAME?</v>
      </c>
      <c r="H148" s="140" t="e">
        <f ca="1">mif(C148="","",B148=リスト!$C$5,SUMIF(INDEX(B:B,MATCH(I148-1,I:I,0)+1,1):INDEX(B:B,MATCH(I148,I:I,0)-1,1),リスト!$C$7,INDEX(G:G,MATCH(I148-1,I:I,0)+1,1):INDEX(G:G,MATCH(I148,I:I,0)-1,1)),"")</f>
        <v>#NAME?</v>
      </c>
      <c r="I148" s="200" t="str">
        <f>IF(OR(B148=リスト!$C$5,B148=リスト!$C$6),COUNTIF($B$9:B148,リスト!$C$5)+COUNTIF($B$9:B148,リスト!$C$6),"")</f>
        <v/>
      </c>
    </row>
    <row r="149" spans="2:9" x14ac:dyDescent="0.2">
      <c r="B149" s="196"/>
      <c r="C149" s="197">
        <v>45427.412569444445</v>
      </c>
      <c r="D149" s="197">
        <v>45427.413263888891</v>
      </c>
      <c r="E149" s="198" t="s">
        <v>244</v>
      </c>
      <c r="F149" s="199"/>
      <c r="G149" s="140" t="e">
        <f ca="1">mif(C149="","",OR(B149=リスト!$C$5,B149=リスト!$C$6),SUM(INDEX(G:G,MATCH(I149-1,I:I,0)+1,1):INDEX(G:G,MATCH(I149,I:I,0)-1,1)),D149-C149)</f>
        <v>#NAME?</v>
      </c>
      <c r="H149" s="140" t="e">
        <f ca="1">mif(C149="","",B149=リスト!$C$5,SUMIF(INDEX(B:B,MATCH(I149-1,I:I,0)+1,1):INDEX(B:B,MATCH(I149,I:I,0)-1,1),リスト!$C$7,INDEX(G:G,MATCH(I149-1,I:I,0)+1,1):INDEX(G:G,MATCH(I149,I:I,0)-1,1)),"")</f>
        <v>#NAME?</v>
      </c>
      <c r="I149" s="200" t="str">
        <f>IF(OR(B149=リスト!$C$5,B149=リスト!$C$6),COUNTIF($B$9:B149,リスト!$C$5)+COUNTIF($B$9:B149,リスト!$C$6),"")</f>
        <v/>
      </c>
    </row>
    <row r="150" spans="2:9" x14ac:dyDescent="0.2">
      <c r="B150" s="196" t="s">
        <v>247</v>
      </c>
      <c r="C150" s="197">
        <v>45426.916666666664</v>
      </c>
      <c r="D150" s="197">
        <v>45427.416666666664</v>
      </c>
      <c r="E150" s="198">
        <v>12</v>
      </c>
      <c r="F150" s="199"/>
      <c r="G150" s="140" t="e">
        <f ca="1">mif(C150="","",OR(B150=リスト!$C$5,B150=リスト!$C$6),SUM(INDEX(G:G,MATCH(I150-1,I:I,0)+1,1):INDEX(G:G,MATCH(I150,I:I,0)-1,1)),D150-C150)</f>
        <v>#NAME?</v>
      </c>
      <c r="H150" s="140" t="e">
        <f ca="1">mif(C150="","",B150=リスト!$C$5,SUMIF(INDEX(B:B,MATCH(I150-1,I:I,0)+1,1):INDEX(B:B,MATCH(I150,I:I,0)-1,1),リスト!$C$7,INDEX(G:G,MATCH(I150-1,I:I,0)+1,1):INDEX(G:G,MATCH(I150,I:I,0)-1,1)),"")</f>
        <v>#NAME?</v>
      </c>
      <c r="I150" s="200">
        <f>IF(OR(B150=リスト!$C$5,B150=リスト!$C$6),COUNTIF($B$9:B150,リスト!$C$5)+COUNTIF($B$9:B150,リスト!$C$6),"")</f>
        <v>10</v>
      </c>
    </row>
    <row r="151" spans="2:9" x14ac:dyDescent="0.2">
      <c r="B151" s="196"/>
      <c r="C151" s="197">
        <v>45427.418923611112</v>
      </c>
      <c r="D151" s="197">
        <v>45427.419178240743</v>
      </c>
      <c r="E151" s="198" t="s">
        <v>244</v>
      </c>
      <c r="F151" s="199"/>
      <c r="G151" s="140" t="e">
        <f ca="1">mif(C151="","",OR(B151=リスト!$C$5,B151=リスト!$C$6),SUM(INDEX(G:G,MATCH(I151-1,I:I,0)+1,1):INDEX(G:G,MATCH(I151,I:I,0)-1,1)),D151-C151)</f>
        <v>#NAME?</v>
      </c>
      <c r="H151" s="140" t="e">
        <f ca="1">mif(C151="","",B151=リスト!$C$5,SUMIF(INDEX(B:B,MATCH(I151-1,I:I,0)+1,1):INDEX(B:B,MATCH(I151,I:I,0)-1,1),リスト!$C$7,INDEX(G:G,MATCH(I151-1,I:I,0)+1,1):INDEX(G:G,MATCH(I151,I:I,0)-1,1)),"")</f>
        <v>#NAME?</v>
      </c>
      <c r="I151" s="200" t="str">
        <f>IF(OR(B151=リスト!$C$5,B151=リスト!$C$6),COUNTIF($B$9:B151,リスト!$C$5)+COUNTIF($B$9:B151,リスト!$C$6),"")</f>
        <v/>
      </c>
    </row>
    <row r="152" spans="2:9" x14ac:dyDescent="0.2">
      <c r="B152" s="196"/>
      <c r="C152" s="197">
        <v>45427.474502314813</v>
      </c>
      <c r="D152" s="197">
        <v>45427.475451388891</v>
      </c>
      <c r="E152" s="198" t="s">
        <v>244</v>
      </c>
      <c r="F152" s="199"/>
      <c r="G152" s="140" t="e">
        <f ca="1">mif(C152="","",OR(B152=リスト!$C$5,B152=リスト!$C$6),SUM(INDEX(G:G,MATCH(I152-1,I:I,0)+1,1):INDEX(G:G,MATCH(I152,I:I,0)-1,1)),D152-C152)</f>
        <v>#NAME?</v>
      </c>
      <c r="H152" s="140" t="e">
        <f ca="1">mif(C152="","",B152=リスト!$C$5,SUMIF(INDEX(B:B,MATCH(I152-1,I:I,0)+1,1):INDEX(B:B,MATCH(I152,I:I,0)-1,1),リスト!$C$7,INDEX(G:G,MATCH(I152-1,I:I,0)+1,1):INDEX(G:G,MATCH(I152,I:I,0)-1,1)),"")</f>
        <v>#NAME?</v>
      </c>
      <c r="I152" s="200" t="str">
        <f>IF(OR(B152=リスト!$C$5,B152=リスト!$C$6),COUNTIF($B$9:B152,リスト!$C$5)+COUNTIF($B$9:B152,リスト!$C$6),"")</f>
        <v/>
      </c>
    </row>
    <row r="153" spans="2:9" x14ac:dyDescent="0.2">
      <c r="B153" s="196"/>
      <c r="C153" s="197">
        <v>45427.478067129632</v>
      </c>
      <c r="D153" s="197">
        <v>45427.47859953704</v>
      </c>
      <c r="E153" s="198" t="s">
        <v>244</v>
      </c>
      <c r="F153" s="199"/>
      <c r="G153" s="140" t="e">
        <f ca="1">mif(C153="","",OR(B153=リスト!$C$5,B153=リスト!$C$6),SUM(INDEX(G:G,MATCH(I153-1,I:I,0)+1,1):INDEX(G:G,MATCH(I153,I:I,0)-1,1)),D153-C153)</f>
        <v>#NAME?</v>
      </c>
      <c r="H153" s="140" t="e">
        <f ca="1">mif(C153="","",B153=リスト!$C$5,SUMIF(INDEX(B:B,MATCH(I153-1,I:I,0)+1,1):INDEX(B:B,MATCH(I153,I:I,0)-1,1),リスト!$C$7,INDEX(G:G,MATCH(I153-1,I:I,0)+1,1):INDEX(G:G,MATCH(I153,I:I,0)-1,1)),"")</f>
        <v>#NAME?</v>
      </c>
      <c r="I153" s="200" t="str">
        <f>IF(OR(B153=リスト!$C$5,B153=リスト!$C$6),COUNTIF($B$9:B153,リスト!$C$5)+COUNTIF($B$9:B153,リスト!$C$6),"")</f>
        <v/>
      </c>
    </row>
    <row r="154" spans="2:9" x14ac:dyDescent="0.2">
      <c r="B154" s="196"/>
      <c r="C154" s="197">
        <v>45427.485150462962</v>
      </c>
      <c r="D154" s="197">
        <v>45427.48542824074</v>
      </c>
      <c r="E154" s="198" t="s">
        <v>244</v>
      </c>
      <c r="F154" s="199"/>
      <c r="G154" s="140" t="e">
        <f ca="1">mif(C154="","",OR(B154=リスト!$C$5,B154=リスト!$C$6),SUM(INDEX(G:G,MATCH(I154-1,I:I,0)+1,1):INDEX(G:G,MATCH(I154,I:I,0)-1,1)),D154-C154)</f>
        <v>#NAME?</v>
      </c>
      <c r="H154" s="140" t="e">
        <f ca="1">mif(C154="","",B154=リスト!$C$5,SUMIF(INDEX(B:B,MATCH(I154-1,I:I,0)+1,1):INDEX(B:B,MATCH(I154,I:I,0)-1,1),リスト!$C$7,INDEX(G:G,MATCH(I154-1,I:I,0)+1,1):INDEX(G:G,MATCH(I154,I:I,0)-1,1)),"")</f>
        <v>#NAME?</v>
      </c>
      <c r="I154" s="200" t="str">
        <f>IF(OR(B154=リスト!$C$5,B154=リスト!$C$6),COUNTIF($B$9:B154,リスト!$C$5)+COUNTIF($B$9:B154,リスト!$C$6),"")</f>
        <v/>
      </c>
    </row>
    <row r="155" spans="2:9" x14ac:dyDescent="0.2">
      <c r="B155" s="196"/>
      <c r="C155" s="197">
        <v>45427.495416666665</v>
      </c>
      <c r="D155" s="197">
        <v>45427.495717592596</v>
      </c>
      <c r="E155" s="198" t="s">
        <v>244</v>
      </c>
      <c r="F155" s="199"/>
      <c r="G155" s="140" t="e">
        <f ca="1">mif(C155="","",OR(B155=リスト!$C$5,B155=リスト!$C$6),SUM(INDEX(G:G,MATCH(I155-1,I:I,0)+1,1):INDEX(G:G,MATCH(I155,I:I,0)-1,1)),D155-C155)</f>
        <v>#NAME?</v>
      </c>
      <c r="H155" s="140" t="e">
        <f ca="1">mif(C155="","",B155=リスト!$C$5,SUMIF(INDEX(B:B,MATCH(I155-1,I:I,0)+1,1):INDEX(B:B,MATCH(I155,I:I,0)-1,1),リスト!$C$7,INDEX(G:G,MATCH(I155-1,I:I,0)+1,1):INDEX(G:G,MATCH(I155,I:I,0)-1,1)),"")</f>
        <v>#NAME?</v>
      </c>
      <c r="I155" s="200" t="str">
        <f>IF(OR(B155=リスト!$C$5,B155=リスト!$C$6),COUNTIF($B$9:B155,リスト!$C$5)+COUNTIF($B$9:B155,リスト!$C$6),"")</f>
        <v/>
      </c>
    </row>
    <row r="156" spans="2:9" x14ac:dyDescent="0.2">
      <c r="B156" s="196"/>
      <c r="C156" s="197">
        <v>45427.512592592589</v>
      </c>
      <c r="D156" s="197">
        <v>45427.513657407406</v>
      </c>
      <c r="E156" s="198" t="s">
        <v>244</v>
      </c>
      <c r="F156" s="199"/>
      <c r="G156" s="140" t="e">
        <f ca="1">mif(C156="","",OR(B156=リスト!$C$5,B156=リスト!$C$6),SUM(INDEX(G:G,MATCH(I156-1,I:I,0)+1,1):INDEX(G:G,MATCH(I156,I:I,0)-1,1)),D156-C156)</f>
        <v>#NAME?</v>
      </c>
      <c r="H156" s="140" t="e">
        <f ca="1">mif(C156="","",B156=リスト!$C$5,SUMIF(INDEX(B:B,MATCH(I156-1,I:I,0)+1,1):INDEX(B:B,MATCH(I156,I:I,0)-1,1),リスト!$C$7,INDEX(G:G,MATCH(I156-1,I:I,0)+1,1):INDEX(G:G,MATCH(I156,I:I,0)-1,1)),"")</f>
        <v>#NAME?</v>
      </c>
      <c r="I156" s="200" t="str">
        <f>IF(OR(B156=リスト!$C$5,B156=リスト!$C$6),COUNTIF($B$9:B156,リスト!$C$5)+COUNTIF($B$9:B156,リスト!$C$6),"")</f>
        <v/>
      </c>
    </row>
    <row r="157" spans="2:9" x14ac:dyDescent="0.2">
      <c r="B157" s="196"/>
      <c r="C157" s="197">
        <v>45427.645856481482</v>
      </c>
      <c r="D157" s="197">
        <v>45427.64770833333</v>
      </c>
      <c r="E157" s="198" t="s">
        <v>244</v>
      </c>
      <c r="F157" s="199"/>
      <c r="G157" s="140" t="e">
        <f ca="1">mif(C157="","",OR(B157=リスト!$C$5,B157=リスト!$C$6),SUM(INDEX(G:G,MATCH(I157-1,I:I,0)+1,1):INDEX(G:G,MATCH(I157,I:I,0)-1,1)),D157-C157)</f>
        <v>#NAME?</v>
      </c>
      <c r="H157" s="140" t="e">
        <f ca="1">mif(C157="","",B157=リスト!$C$5,SUMIF(INDEX(B:B,MATCH(I157-1,I:I,0)+1,1):INDEX(B:B,MATCH(I157,I:I,0)-1,1),リスト!$C$7,INDEX(G:G,MATCH(I157-1,I:I,0)+1,1):INDEX(G:G,MATCH(I157,I:I,0)-1,1)),"")</f>
        <v>#NAME?</v>
      </c>
      <c r="I157" s="200" t="str">
        <f>IF(OR(B157=リスト!$C$5,B157=リスト!$C$6),COUNTIF($B$9:B157,リスト!$C$5)+COUNTIF($B$9:B157,リスト!$C$6),"")</f>
        <v/>
      </c>
    </row>
    <row r="158" spans="2:9" x14ac:dyDescent="0.2">
      <c r="B158" s="196"/>
      <c r="C158" s="197">
        <v>45427.823993055557</v>
      </c>
      <c r="D158" s="197">
        <v>45427.824317129627</v>
      </c>
      <c r="E158" s="198" t="s">
        <v>244</v>
      </c>
      <c r="F158" s="199"/>
      <c r="G158" s="140" t="e">
        <f ca="1">mif(C158="","",OR(B158=リスト!$C$5,B158=リスト!$C$6),SUM(INDEX(G:G,MATCH(I158-1,I:I,0)+1,1):INDEX(G:G,MATCH(I158,I:I,0)-1,1)),D158-C158)</f>
        <v>#NAME?</v>
      </c>
      <c r="H158" s="140" t="e">
        <f ca="1">mif(C158="","",B158=リスト!$C$5,SUMIF(INDEX(B:B,MATCH(I158-1,I:I,0)+1,1):INDEX(B:B,MATCH(I158,I:I,0)-1,1),リスト!$C$7,INDEX(G:G,MATCH(I158-1,I:I,0)+1,1):INDEX(G:G,MATCH(I158,I:I,0)-1,1)),"")</f>
        <v>#NAME?</v>
      </c>
      <c r="I158" s="200" t="str">
        <f>IF(OR(B158=リスト!$C$5,B158=リスト!$C$6),COUNTIF($B$9:B158,リスト!$C$5)+COUNTIF($B$9:B158,リスト!$C$6),"")</f>
        <v/>
      </c>
    </row>
    <row r="159" spans="2:9" x14ac:dyDescent="0.2">
      <c r="B159" s="196"/>
      <c r="C159" s="197">
        <v>45427.831076388888</v>
      </c>
      <c r="D159" s="197">
        <v>45427.832025462965</v>
      </c>
      <c r="E159" s="198" t="s">
        <v>244</v>
      </c>
      <c r="F159" s="199"/>
      <c r="G159" s="140" t="e">
        <f ca="1">mif(C159="","",OR(B159=リスト!$C$5,B159=リスト!$C$6),SUM(INDEX(G:G,MATCH(I159-1,I:I,0)+1,1):INDEX(G:G,MATCH(I159,I:I,0)-1,1)),D159-C159)</f>
        <v>#NAME?</v>
      </c>
      <c r="H159" s="140" t="e">
        <f ca="1">mif(C159="","",B159=リスト!$C$5,SUMIF(INDEX(B:B,MATCH(I159-1,I:I,0)+1,1):INDEX(B:B,MATCH(I159,I:I,0)-1,1),リスト!$C$7,INDEX(G:G,MATCH(I159-1,I:I,0)+1,1):INDEX(G:G,MATCH(I159,I:I,0)-1,1)),"")</f>
        <v>#NAME?</v>
      </c>
      <c r="I159" s="200" t="str">
        <f>IF(OR(B159=リスト!$C$5,B159=リスト!$C$6),COUNTIF($B$9:B159,リスト!$C$5)+COUNTIF($B$9:B159,リスト!$C$6),"")</f>
        <v/>
      </c>
    </row>
    <row r="160" spans="2:9" x14ac:dyDescent="0.2">
      <c r="B160" s="196"/>
      <c r="C160" s="197">
        <v>45427.866898148146</v>
      </c>
      <c r="D160" s="197">
        <v>45427.867199074077</v>
      </c>
      <c r="E160" s="198" t="s">
        <v>244</v>
      </c>
      <c r="F160" s="199"/>
      <c r="G160" s="140" t="e">
        <f ca="1">mif(C160="","",OR(B160=リスト!$C$5,B160=リスト!$C$6),SUM(INDEX(G:G,MATCH(I160-1,I:I,0)+1,1):INDEX(G:G,MATCH(I160,I:I,0)-1,1)),D160-C160)</f>
        <v>#NAME?</v>
      </c>
      <c r="H160" s="140" t="e">
        <f ca="1">mif(C160="","",B160=リスト!$C$5,SUMIF(INDEX(B:B,MATCH(I160-1,I:I,0)+1,1):INDEX(B:B,MATCH(I160,I:I,0)-1,1),リスト!$C$7,INDEX(G:G,MATCH(I160-1,I:I,0)+1,1):INDEX(G:G,MATCH(I160,I:I,0)-1,1)),"")</f>
        <v>#NAME?</v>
      </c>
      <c r="I160" s="200" t="str">
        <f>IF(OR(B160=リスト!$C$5,B160=リスト!$C$6),COUNTIF($B$9:B160,リスト!$C$5)+COUNTIF($B$9:B160,リスト!$C$6),"")</f>
        <v/>
      </c>
    </row>
    <row r="161" spans="2:9" x14ac:dyDescent="0.2">
      <c r="B161" s="196" t="s">
        <v>247</v>
      </c>
      <c r="C161" s="197">
        <v>45427.416666666664</v>
      </c>
      <c r="D161" s="197">
        <v>45427.916666666664</v>
      </c>
      <c r="E161" s="198">
        <v>10</v>
      </c>
      <c r="F161" s="199"/>
      <c r="G161" s="140" t="e">
        <f ca="1">mif(C161="","",OR(B161=リスト!$C$5,B161=リスト!$C$6),SUM(INDEX(G:G,MATCH(I161-1,I:I,0)+1,1):INDEX(G:G,MATCH(I161,I:I,0)-1,1)),D161-C161)</f>
        <v>#NAME?</v>
      </c>
      <c r="H161" s="140" t="e">
        <f ca="1">mif(C161="","",B161=リスト!$C$5,SUMIF(INDEX(B:B,MATCH(I161-1,I:I,0)+1,1):INDEX(B:B,MATCH(I161,I:I,0)-1,1),リスト!$C$7,INDEX(G:G,MATCH(I161-1,I:I,0)+1,1):INDEX(G:G,MATCH(I161,I:I,0)-1,1)),"")</f>
        <v>#NAME?</v>
      </c>
      <c r="I161" s="200">
        <f>IF(OR(B161=リスト!$C$5,B161=リスト!$C$6),COUNTIF($B$9:B161,リスト!$C$5)+COUNTIF($B$9:B161,リスト!$C$6),"")</f>
        <v>11</v>
      </c>
    </row>
    <row r="162" spans="2:9" x14ac:dyDescent="0.2">
      <c r="B162" s="196"/>
      <c r="C162" s="197">
        <v>45427.924618055556</v>
      </c>
      <c r="D162" s="197">
        <v>45427.924849537034</v>
      </c>
      <c r="E162" s="198" t="s">
        <v>244</v>
      </c>
      <c r="F162" s="199"/>
      <c r="G162" s="140" t="e">
        <f ca="1">mif(C162="","",OR(B162=リスト!$C$5,B162=リスト!$C$6),SUM(INDEX(G:G,MATCH(I162-1,I:I,0)+1,1):INDEX(G:G,MATCH(I162,I:I,0)-1,1)),D162-C162)</f>
        <v>#NAME?</v>
      </c>
      <c r="H162" s="140" t="e">
        <f ca="1">mif(C162="","",B162=リスト!$C$5,SUMIF(INDEX(B:B,MATCH(I162-1,I:I,0)+1,1):INDEX(B:B,MATCH(I162,I:I,0)-1,1),リスト!$C$7,INDEX(G:G,MATCH(I162-1,I:I,0)+1,1):INDEX(G:G,MATCH(I162,I:I,0)-1,1)),"")</f>
        <v>#NAME?</v>
      </c>
      <c r="I162" s="200" t="str">
        <f>IF(OR(B162=リスト!$C$5,B162=リスト!$C$6),COUNTIF($B$9:B162,リスト!$C$5)+COUNTIF($B$9:B162,リスト!$C$6),"")</f>
        <v/>
      </c>
    </row>
    <row r="163" spans="2:9" x14ac:dyDescent="0.2">
      <c r="B163" s="196" t="s">
        <v>245</v>
      </c>
      <c r="C163" s="197">
        <v>45427.994131944448</v>
      </c>
      <c r="D163" s="197">
        <v>45428.052152777775</v>
      </c>
      <c r="E163" s="198"/>
      <c r="F163" s="199" t="s">
        <v>251</v>
      </c>
      <c r="G163" s="140" t="e">
        <f ca="1">mif(C163="","",OR(B163=リスト!$C$5,B163=リスト!$C$6),SUM(INDEX(G:G,MATCH(I163-1,I:I,0)+1,1):INDEX(G:G,MATCH(I163,I:I,0)-1,1)),D163-C163)</f>
        <v>#NAME?</v>
      </c>
      <c r="H163" s="140" t="e">
        <f ca="1">mif(C163="","",B163=リスト!$C$5,SUMIF(INDEX(B:B,MATCH(I163-1,I:I,0)+1,1):INDEX(B:B,MATCH(I163,I:I,0)-1,1),リスト!$C$7,INDEX(G:G,MATCH(I163-1,I:I,0)+1,1):INDEX(G:G,MATCH(I163,I:I,0)-1,1)),"")</f>
        <v>#NAME?</v>
      </c>
      <c r="I163" s="200" t="str">
        <f>IF(OR(B163=リスト!$C$5,B163=リスト!$C$6),COUNTIF($B$9:B163,リスト!$C$5)+COUNTIF($B$9:B163,リスト!$C$6),"")</f>
        <v/>
      </c>
    </row>
    <row r="164" spans="2:9" x14ac:dyDescent="0.2">
      <c r="B164" s="196"/>
      <c r="C164" s="197">
        <v>45428.053657407407</v>
      </c>
      <c r="D164" s="197">
        <v>45428.055625000001</v>
      </c>
      <c r="E164" s="198" t="s">
        <v>244</v>
      </c>
      <c r="F164" s="199"/>
      <c r="G164" s="140" t="e">
        <f ca="1">mif(C164="","",OR(B164=リスト!$C$5,B164=リスト!$C$6),SUM(INDEX(G:G,MATCH(I164-1,I:I,0)+1,1):INDEX(G:G,MATCH(I164,I:I,0)-1,1)),D164-C164)</f>
        <v>#NAME?</v>
      </c>
      <c r="H164" s="140" t="e">
        <f ca="1">mif(C164="","",B164=リスト!$C$5,SUMIF(INDEX(B:B,MATCH(I164-1,I:I,0)+1,1):INDEX(B:B,MATCH(I164,I:I,0)-1,1),リスト!$C$7,INDEX(G:G,MATCH(I164-1,I:I,0)+1,1):INDEX(G:G,MATCH(I164,I:I,0)-1,1)),"")</f>
        <v>#NAME?</v>
      </c>
      <c r="I164" s="200" t="str">
        <f>IF(OR(B164=リスト!$C$5,B164=リスト!$C$6),COUNTIF($B$9:B164,リスト!$C$5)+COUNTIF($B$9:B164,リスト!$C$6),"")</f>
        <v/>
      </c>
    </row>
    <row r="165" spans="2:9" x14ac:dyDescent="0.2">
      <c r="B165" s="196"/>
      <c r="C165" s="197">
        <v>45428.056250000001</v>
      </c>
      <c r="D165" s="197">
        <v>45428.05641203704</v>
      </c>
      <c r="E165" s="198" t="s">
        <v>244</v>
      </c>
      <c r="F165" s="199"/>
      <c r="G165" s="140" t="e">
        <f ca="1">mif(C165="","",OR(B165=リスト!$C$5,B165=リスト!$C$6),SUM(INDEX(G:G,MATCH(I165-1,I:I,0)+1,1):INDEX(G:G,MATCH(I165,I:I,0)-1,1)),D165-C165)</f>
        <v>#NAME?</v>
      </c>
      <c r="H165" s="140" t="e">
        <f ca="1">mif(C165="","",B165=リスト!$C$5,SUMIF(INDEX(B:B,MATCH(I165-1,I:I,0)+1,1):INDEX(B:B,MATCH(I165,I:I,0)-1,1),リスト!$C$7,INDEX(G:G,MATCH(I165-1,I:I,0)+1,1):INDEX(G:G,MATCH(I165,I:I,0)-1,1)),"")</f>
        <v>#NAME?</v>
      </c>
      <c r="I165" s="200" t="str">
        <f>IF(OR(B165=リスト!$C$5,B165=リスト!$C$6),COUNTIF($B$9:B165,リスト!$C$5)+COUNTIF($B$9:B165,リスト!$C$6),"")</f>
        <v/>
      </c>
    </row>
    <row r="166" spans="2:9" x14ac:dyDescent="0.2">
      <c r="B166" s="196"/>
      <c r="C166" s="197">
        <v>45428.056574074071</v>
      </c>
      <c r="D166" s="197">
        <v>45428.056921296295</v>
      </c>
      <c r="E166" s="198" t="s">
        <v>244</v>
      </c>
      <c r="F166" s="199"/>
      <c r="G166" s="140" t="e">
        <f ca="1">mif(C166="","",OR(B166=リスト!$C$5,B166=リスト!$C$6),SUM(INDEX(G:G,MATCH(I166-1,I:I,0)+1,1):INDEX(G:G,MATCH(I166,I:I,0)-1,1)),D166-C166)</f>
        <v>#NAME?</v>
      </c>
      <c r="H166" s="140" t="e">
        <f ca="1">mif(C166="","",B166=リスト!$C$5,SUMIF(INDEX(B:B,MATCH(I166-1,I:I,0)+1,1):INDEX(B:B,MATCH(I166,I:I,0)-1,1),リスト!$C$7,INDEX(G:G,MATCH(I166-1,I:I,0)+1,1):INDEX(G:G,MATCH(I166,I:I,0)-1,1)),"")</f>
        <v>#NAME?</v>
      </c>
      <c r="I166" s="200" t="str">
        <f>IF(OR(B166=リスト!$C$5,B166=リスト!$C$6),COUNTIF($B$9:B166,リスト!$C$5)+COUNTIF($B$9:B166,リスト!$C$6),"")</f>
        <v/>
      </c>
    </row>
    <row r="167" spans="2:9" x14ac:dyDescent="0.2">
      <c r="B167" s="196"/>
      <c r="C167" s="197">
        <v>45428.06113425926</v>
      </c>
      <c r="D167" s="197">
        <v>45428.062303240738</v>
      </c>
      <c r="E167" s="198" t="s">
        <v>244</v>
      </c>
      <c r="F167" s="199"/>
      <c r="G167" s="140" t="e">
        <f ca="1">mif(C167="","",OR(B167=リスト!$C$5,B167=リスト!$C$6),SUM(INDEX(G:G,MATCH(I167-1,I:I,0)+1,1):INDEX(G:G,MATCH(I167,I:I,0)-1,1)),D167-C167)</f>
        <v>#NAME?</v>
      </c>
      <c r="H167" s="140" t="e">
        <f ca="1">mif(C167="","",B167=リスト!$C$5,SUMIF(INDEX(B:B,MATCH(I167-1,I:I,0)+1,1):INDEX(B:B,MATCH(I167,I:I,0)-1,1),リスト!$C$7,INDEX(G:G,MATCH(I167-1,I:I,0)+1,1):INDEX(G:G,MATCH(I167,I:I,0)-1,1)),"")</f>
        <v>#NAME?</v>
      </c>
      <c r="I167" s="200" t="str">
        <f>IF(OR(B167=リスト!$C$5,B167=リスト!$C$6),COUNTIF($B$9:B167,リスト!$C$5)+COUNTIF($B$9:B167,リスト!$C$6),"")</f>
        <v/>
      </c>
    </row>
    <row r="168" spans="2:9" x14ac:dyDescent="0.2">
      <c r="B168" s="196"/>
      <c r="C168" s="197">
        <v>45428.101990740739</v>
      </c>
      <c r="D168" s="197">
        <v>45428.102407407408</v>
      </c>
      <c r="E168" s="198" t="s">
        <v>244</v>
      </c>
      <c r="F168" s="199"/>
      <c r="G168" s="140" t="e">
        <f ca="1">mif(C168="","",OR(B168=リスト!$C$5,B168=リスト!$C$6),SUM(INDEX(G:G,MATCH(I168-1,I:I,0)+1,1):INDEX(G:G,MATCH(I168,I:I,0)-1,1)),D168-C168)</f>
        <v>#NAME?</v>
      </c>
      <c r="H168" s="140" t="e">
        <f ca="1">mif(C168="","",B168=リスト!$C$5,SUMIF(INDEX(B:B,MATCH(I168-1,I:I,0)+1,1):INDEX(B:B,MATCH(I168,I:I,0)-1,1),リスト!$C$7,INDEX(G:G,MATCH(I168-1,I:I,0)+1,1):INDEX(G:G,MATCH(I168,I:I,0)-1,1)),"")</f>
        <v>#NAME?</v>
      </c>
      <c r="I168" s="200" t="str">
        <f>IF(OR(B168=リスト!$C$5,B168=リスト!$C$6),COUNTIF($B$9:B168,リスト!$C$5)+COUNTIF($B$9:B168,リスト!$C$6),"")</f>
        <v/>
      </c>
    </row>
    <row r="169" spans="2:9" x14ac:dyDescent="0.2">
      <c r="B169" s="196"/>
      <c r="C169" s="197">
        <v>45428.109513888892</v>
      </c>
      <c r="D169" s="197">
        <v>45428.10974537037</v>
      </c>
      <c r="E169" s="198" t="s">
        <v>244</v>
      </c>
      <c r="F169" s="199"/>
      <c r="G169" s="140" t="e">
        <f ca="1">mif(C169="","",OR(B169=リスト!$C$5,B169=リスト!$C$6),SUM(INDEX(G:G,MATCH(I169-1,I:I,0)+1,1):INDEX(G:G,MATCH(I169,I:I,0)-1,1)),D169-C169)</f>
        <v>#NAME?</v>
      </c>
      <c r="H169" s="140" t="e">
        <f ca="1">mif(C169="","",B169=リスト!$C$5,SUMIF(INDEX(B:B,MATCH(I169-1,I:I,0)+1,1):INDEX(B:B,MATCH(I169,I:I,0)-1,1),リスト!$C$7,INDEX(G:G,MATCH(I169-1,I:I,0)+1,1):INDEX(G:G,MATCH(I169,I:I,0)-1,1)),"")</f>
        <v>#NAME?</v>
      </c>
      <c r="I169" s="200" t="str">
        <f>IF(OR(B169=リスト!$C$5,B169=リスト!$C$6),COUNTIF($B$9:B169,リスト!$C$5)+COUNTIF($B$9:B169,リスト!$C$6),"")</f>
        <v/>
      </c>
    </row>
    <row r="170" spans="2:9" x14ac:dyDescent="0.2">
      <c r="B170" s="196"/>
      <c r="C170" s="197">
        <v>45428.136284722219</v>
      </c>
      <c r="D170" s="197">
        <v>45428.13653935185</v>
      </c>
      <c r="E170" s="198" t="s">
        <v>244</v>
      </c>
      <c r="F170" s="199"/>
      <c r="G170" s="140" t="e">
        <f ca="1">mif(C170="","",OR(B170=リスト!$C$5,B170=リスト!$C$6),SUM(INDEX(G:G,MATCH(I170-1,I:I,0)+1,1):INDEX(G:G,MATCH(I170,I:I,0)-1,1)),D170-C170)</f>
        <v>#NAME?</v>
      </c>
      <c r="H170" s="140" t="e">
        <f ca="1">mif(C170="","",B170=リスト!$C$5,SUMIF(INDEX(B:B,MATCH(I170-1,I:I,0)+1,1):INDEX(B:B,MATCH(I170,I:I,0)-1,1),リスト!$C$7,INDEX(G:G,MATCH(I170-1,I:I,0)+1,1):INDEX(G:G,MATCH(I170,I:I,0)-1,1)),"")</f>
        <v>#NAME?</v>
      </c>
      <c r="I170" s="200" t="str">
        <f>IF(OR(B170=リスト!$C$5,B170=リスト!$C$6),COUNTIF($B$9:B170,リスト!$C$5)+COUNTIF($B$9:B170,リスト!$C$6),"")</f>
        <v/>
      </c>
    </row>
    <row r="171" spans="2:9" x14ac:dyDescent="0.2">
      <c r="B171" s="196"/>
      <c r="C171" s="197">
        <v>45428.172361111108</v>
      </c>
      <c r="D171" s="197">
        <v>45428.172638888886</v>
      </c>
      <c r="E171" s="198" t="s">
        <v>244</v>
      </c>
      <c r="F171" s="199"/>
      <c r="G171" s="140" t="e">
        <f ca="1">mif(C171="","",OR(B171=リスト!$C$5,B171=リスト!$C$6),SUM(INDEX(G:G,MATCH(I171-1,I:I,0)+1,1):INDEX(G:G,MATCH(I171,I:I,0)-1,1)),D171-C171)</f>
        <v>#NAME?</v>
      </c>
      <c r="H171" s="140" t="e">
        <f ca="1">mif(C171="","",B171=リスト!$C$5,SUMIF(INDEX(B:B,MATCH(I171-1,I:I,0)+1,1):INDEX(B:B,MATCH(I171,I:I,0)-1,1),リスト!$C$7,INDEX(G:G,MATCH(I171-1,I:I,0)+1,1):INDEX(G:G,MATCH(I171,I:I,0)-1,1)),"")</f>
        <v>#NAME?</v>
      </c>
      <c r="I171" s="200" t="str">
        <f>IF(OR(B171=リスト!$C$5,B171=リスト!$C$6),COUNTIF($B$9:B171,リスト!$C$5)+COUNTIF($B$9:B171,リスト!$C$6),"")</f>
        <v/>
      </c>
    </row>
    <row r="172" spans="2:9" x14ac:dyDescent="0.2">
      <c r="B172" s="196"/>
      <c r="C172" s="197">
        <v>45428.214907407404</v>
      </c>
      <c r="D172" s="197">
        <v>45428.215300925927</v>
      </c>
      <c r="E172" s="198" t="s">
        <v>244</v>
      </c>
      <c r="F172" s="199"/>
      <c r="G172" s="140" t="e">
        <f ca="1">mif(C172="","",OR(B172=リスト!$C$5,B172=リスト!$C$6),SUM(INDEX(G:G,MATCH(I172-1,I:I,0)+1,1):INDEX(G:G,MATCH(I172,I:I,0)-1,1)),D172-C172)</f>
        <v>#NAME?</v>
      </c>
      <c r="H172" s="140" t="e">
        <f ca="1">mif(C172="","",B172=リスト!$C$5,SUMIF(INDEX(B:B,MATCH(I172-1,I:I,0)+1,1):INDEX(B:B,MATCH(I172,I:I,0)-1,1),リスト!$C$7,INDEX(G:G,MATCH(I172-1,I:I,0)+1,1):INDEX(G:G,MATCH(I172,I:I,0)-1,1)),"")</f>
        <v>#NAME?</v>
      </c>
      <c r="I172" s="200" t="str">
        <f>IF(OR(B172=リスト!$C$5,B172=リスト!$C$6),COUNTIF($B$9:B172,リスト!$C$5)+COUNTIF($B$9:B172,リスト!$C$6),"")</f>
        <v/>
      </c>
    </row>
    <row r="173" spans="2:9" x14ac:dyDescent="0.2">
      <c r="B173" s="196"/>
      <c r="C173" s="197">
        <v>45428.231608796297</v>
      </c>
      <c r="D173" s="197">
        <v>45428.231932870367</v>
      </c>
      <c r="E173" s="198" t="s">
        <v>244</v>
      </c>
      <c r="F173" s="199"/>
      <c r="G173" s="140" t="e">
        <f ca="1">mif(C173="","",OR(B173=リスト!$C$5,B173=リスト!$C$6),SUM(INDEX(G:G,MATCH(I173-1,I:I,0)+1,1):INDEX(G:G,MATCH(I173,I:I,0)-1,1)),D173-C173)</f>
        <v>#NAME?</v>
      </c>
      <c r="H173" s="140" t="e">
        <f ca="1">mif(C173="","",B173=リスト!$C$5,SUMIF(INDEX(B:B,MATCH(I173-1,I:I,0)+1,1):INDEX(B:B,MATCH(I173,I:I,0)-1,1),リスト!$C$7,INDEX(G:G,MATCH(I173-1,I:I,0)+1,1):INDEX(G:G,MATCH(I173,I:I,0)-1,1)),"")</f>
        <v>#NAME?</v>
      </c>
      <c r="I173" s="200" t="str">
        <f>IF(OR(B173=リスト!$C$5,B173=リスト!$C$6),COUNTIF($B$9:B173,リスト!$C$5)+COUNTIF($B$9:B173,リスト!$C$6),"")</f>
        <v/>
      </c>
    </row>
    <row r="174" spans="2:9" x14ac:dyDescent="0.2">
      <c r="B174" s="196"/>
      <c r="C174" s="197">
        <v>45428.271828703706</v>
      </c>
      <c r="D174" s="197">
        <v>45428.272106481483</v>
      </c>
      <c r="E174" s="198" t="s">
        <v>244</v>
      </c>
      <c r="F174" s="199"/>
      <c r="G174" s="140" t="e">
        <f ca="1">mif(C174="","",OR(B174=リスト!$C$5,B174=リスト!$C$6),SUM(INDEX(G:G,MATCH(I174-1,I:I,0)+1,1):INDEX(G:G,MATCH(I174,I:I,0)-1,1)),D174-C174)</f>
        <v>#NAME?</v>
      </c>
      <c r="H174" s="140" t="e">
        <f ca="1">mif(C174="","",B174=リスト!$C$5,SUMIF(INDEX(B:B,MATCH(I174-1,I:I,0)+1,1):INDEX(B:B,MATCH(I174,I:I,0)-1,1),リスト!$C$7,INDEX(G:G,MATCH(I174-1,I:I,0)+1,1):INDEX(G:G,MATCH(I174,I:I,0)-1,1)),"")</f>
        <v>#NAME?</v>
      </c>
      <c r="I174" s="200" t="str">
        <f>IF(OR(B174=リスト!$C$5,B174=リスト!$C$6),COUNTIF($B$9:B174,リスト!$C$5)+COUNTIF($B$9:B174,リスト!$C$6),"")</f>
        <v/>
      </c>
    </row>
    <row r="175" spans="2:9" x14ac:dyDescent="0.2">
      <c r="B175" s="196"/>
      <c r="C175" s="197">
        <v>45428.402372685188</v>
      </c>
      <c r="D175" s="197">
        <v>45428.402650462966</v>
      </c>
      <c r="E175" s="198" t="s">
        <v>244</v>
      </c>
      <c r="F175" s="199"/>
      <c r="G175" s="140" t="e">
        <f ca="1">mif(C175="","",OR(B175=リスト!$C$5,B175=リスト!$C$6),SUM(INDEX(G:G,MATCH(I175-1,I:I,0)+1,1):INDEX(G:G,MATCH(I175,I:I,0)-1,1)),D175-C175)</f>
        <v>#NAME?</v>
      </c>
      <c r="H175" s="140" t="e">
        <f ca="1">mif(C175="","",B175=リスト!$C$5,SUMIF(INDEX(B:B,MATCH(I175-1,I:I,0)+1,1):INDEX(B:B,MATCH(I175,I:I,0)-1,1),リスト!$C$7,INDEX(G:G,MATCH(I175-1,I:I,0)+1,1):INDEX(G:G,MATCH(I175,I:I,0)-1,1)),"")</f>
        <v>#NAME?</v>
      </c>
      <c r="I175" s="200" t="str">
        <f>IF(OR(B175=リスト!$C$5,B175=リスト!$C$6),COUNTIF($B$9:B175,リスト!$C$5)+COUNTIF($B$9:B175,リスト!$C$6),"")</f>
        <v/>
      </c>
    </row>
    <row r="176" spans="2:9" x14ac:dyDescent="0.2">
      <c r="B176" s="196" t="s">
        <v>247</v>
      </c>
      <c r="C176" s="197">
        <v>45427.916666666664</v>
      </c>
      <c r="D176" s="197">
        <v>45428.416666666664</v>
      </c>
      <c r="E176" s="198">
        <v>13</v>
      </c>
      <c r="F176" s="199" t="s">
        <v>251</v>
      </c>
      <c r="G176" s="140" t="e">
        <f ca="1">mif(C176="","",OR(B176=リスト!$C$5,B176=リスト!$C$6),SUM(INDEX(G:G,MATCH(I176-1,I:I,0)+1,1):INDEX(G:G,MATCH(I176,I:I,0)-1,1)),D176-C176)</f>
        <v>#NAME?</v>
      </c>
      <c r="H176" s="140" t="e">
        <f ca="1">mif(C176="","",B176=リスト!$C$5,SUMIF(INDEX(B:B,MATCH(I176-1,I:I,0)+1,1):INDEX(B:B,MATCH(I176,I:I,0)-1,1),リスト!$C$7,INDEX(G:G,MATCH(I176-1,I:I,0)+1,1):INDEX(G:G,MATCH(I176,I:I,0)-1,1)),"")</f>
        <v>#NAME?</v>
      </c>
      <c r="I176" s="200">
        <f>IF(OR(B176=リスト!$C$5,B176=リスト!$C$6),COUNTIF($B$9:B176,リスト!$C$5)+COUNTIF($B$9:B176,リスト!$C$6),"")</f>
        <v>12</v>
      </c>
    </row>
    <row r="177" spans="2:9" x14ac:dyDescent="0.2">
      <c r="B177" s="196"/>
      <c r="C177" s="197">
        <v>45428.423888888887</v>
      </c>
      <c r="D177" s="197">
        <v>45428.424143518518</v>
      </c>
      <c r="E177" s="198" t="s">
        <v>244</v>
      </c>
      <c r="F177" s="199"/>
      <c r="G177" s="140" t="e">
        <f ca="1">mif(C177="","",OR(B177=リスト!$C$5,B177=リスト!$C$6),SUM(INDEX(G:G,MATCH(I177-1,I:I,0)+1,1):INDEX(G:G,MATCH(I177,I:I,0)-1,1)),D177-C177)</f>
        <v>#NAME?</v>
      </c>
      <c r="H177" s="140" t="e">
        <f ca="1">mif(C177="","",B177=リスト!$C$5,SUMIF(INDEX(B:B,MATCH(I177-1,I:I,0)+1,1):INDEX(B:B,MATCH(I177,I:I,0)-1,1),リスト!$C$7,INDEX(G:G,MATCH(I177-1,I:I,0)+1,1):INDEX(G:G,MATCH(I177,I:I,0)-1,1)),"")</f>
        <v>#NAME?</v>
      </c>
      <c r="I177" s="200" t="str">
        <f>IF(OR(B177=リスト!$C$5,B177=リスト!$C$6),COUNTIF($B$9:B177,リスト!$C$5)+COUNTIF($B$9:B177,リスト!$C$6),"")</f>
        <v/>
      </c>
    </row>
    <row r="178" spans="2:9" x14ac:dyDescent="0.2">
      <c r="B178" s="196"/>
      <c r="C178" s="197">
        <v>45428.510115740741</v>
      </c>
      <c r="D178" s="197">
        <v>45428.510370370372</v>
      </c>
      <c r="E178" s="198" t="s">
        <v>244</v>
      </c>
      <c r="F178" s="199"/>
      <c r="G178" s="140" t="e">
        <f ca="1">mif(C178="","",OR(B178=リスト!$C$5,B178=リスト!$C$6),SUM(INDEX(G:G,MATCH(I178-1,I:I,0)+1,1):INDEX(G:G,MATCH(I178,I:I,0)-1,1)),D178-C178)</f>
        <v>#NAME?</v>
      </c>
      <c r="H178" s="140" t="e">
        <f ca="1">mif(C178="","",B178=リスト!$C$5,SUMIF(INDEX(B:B,MATCH(I178-1,I:I,0)+1,1):INDEX(B:B,MATCH(I178,I:I,0)-1,1),リスト!$C$7,INDEX(G:G,MATCH(I178-1,I:I,0)+1,1):INDEX(G:G,MATCH(I178,I:I,0)-1,1)),"")</f>
        <v>#NAME?</v>
      </c>
      <c r="I178" s="200" t="str">
        <f>IF(OR(B178=リスト!$C$5,B178=リスト!$C$6),COUNTIF($B$9:B178,リスト!$C$5)+COUNTIF($B$9:B178,リスト!$C$6),"")</f>
        <v/>
      </c>
    </row>
    <row r="179" spans="2:9" x14ac:dyDescent="0.2">
      <c r="B179" s="196"/>
      <c r="C179" s="197">
        <v>45428.526597222219</v>
      </c>
      <c r="D179" s="197">
        <v>45428.52685185185</v>
      </c>
      <c r="E179" s="198" t="s">
        <v>244</v>
      </c>
      <c r="F179" s="199"/>
      <c r="G179" s="140" t="e">
        <f ca="1">mif(C179="","",OR(B179=リスト!$C$5,B179=リスト!$C$6),SUM(INDEX(G:G,MATCH(I179-1,I:I,0)+1,1):INDEX(G:G,MATCH(I179,I:I,0)-1,1)),D179-C179)</f>
        <v>#NAME?</v>
      </c>
      <c r="H179" s="140" t="e">
        <f ca="1">mif(C179="","",B179=リスト!$C$5,SUMIF(INDEX(B:B,MATCH(I179-1,I:I,0)+1,1):INDEX(B:B,MATCH(I179,I:I,0)-1,1),リスト!$C$7,INDEX(G:G,MATCH(I179-1,I:I,0)+1,1):INDEX(G:G,MATCH(I179,I:I,0)-1,1)),"")</f>
        <v>#NAME?</v>
      </c>
      <c r="I179" s="200" t="str">
        <f>IF(OR(B179=リスト!$C$5,B179=リスト!$C$6),COUNTIF($B$9:B179,リスト!$C$5)+COUNTIF($B$9:B179,リスト!$C$6),"")</f>
        <v/>
      </c>
    </row>
    <row r="180" spans="2:9" x14ac:dyDescent="0.2">
      <c r="B180" s="196"/>
      <c r="C180" s="197">
        <v>45428.595011574071</v>
      </c>
      <c r="D180" s="197">
        <v>45428.595335648148</v>
      </c>
      <c r="E180" s="198" t="s">
        <v>244</v>
      </c>
      <c r="F180" s="199"/>
      <c r="G180" s="140" t="e">
        <f ca="1">mif(C180="","",OR(B180=リスト!$C$5,B180=リスト!$C$6),SUM(INDEX(G:G,MATCH(I180-1,I:I,0)+1,1):INDEX(G:G,MATCH(I180,I:I,0)-1,1)),D180-C180)</f>
        <v>#NAME?</v>
      </c>
      <c r="H180" s="140" t="e">
        <f ca="1">mif(C180="","",B180=リスト!$C$5,SUMIF(INDEX(B:B,MATCH(I180-1,I:I,0)+1,1):INDEX(B:B,MATCH(I180,I:I,0)-1,1),リスト!$C$7,INDEX(G:G,MATCH(I180-1,I:I,0)+1,1):INDEX(G:G,MATCH(I180,I:I,0)-1,1)),"")</f>
        <v>#NAME?</v>
      </c>
      <c r="I180" s="200" t="str">
        <f>IF(OR(B180=リスト!$C$5,B180=リスト!$C$6),COUNTIF($B$9:B180,リスト!$C$5)+COUNTIF($B$9:B180,リスト!$C$6),"")</f>
        <v/>
      </c>
    </row>
    <row r="181" spans="2:9" x14ac:dyDescent="0.2">
      <c r="B181" s="196"/>
      <c r="C181" s="197">
        <v>45428.602534722224</v>
      </c>
      <c r="D181" s="197">
        <v>45428.603043981479</v>
      </c>
      <c r="E181" s="198" t="s">
        <v>244</v>
      </c>
      <c r="F181" s="199"/>
      <c r="G181" s="140" t="e">
        <f ca="1">mif(C181="","",OR(B181=リスト!$C$5,B181=リスト!$C$6),SUM(INDEX(G:G,MATCH(I181-1,I:I,0)+1,1):INDEX(G:G,MATCH(I181,I:I,0)-1,1)),D181-C181)</f>
        <v>#NAME?</v>
      </c>
      <c r="H181" s="140" t="e">
        <f ca="1">mif(C181="","",B181=リスト!$C$5,SUMIF(INDEX(B:B,MATCH(I181-1,I:I,0)+1,1):INDEX(B:B,MATCH(I181,I:I,0)-1,1),リスト!$C$7,INDEX(G:G,MATCH(I181-1,I:I,0)+1,1):INDEX(G:G,MATCH(I181,I:I,0)-1,1)),"")</f>
        <v>#NAME?</v>
      </c>
      <c r="I181" s="200" t="str">
        <f>IF(OR(B181=リスト!$C$5,B181=リスト!$C$6),COUNTIF($B$9:B181,リスト!$C$5)+COUNTIF($B$9:B181,リスト!$C$6),"")</f>
        <v/>
      </c>
    </row>
    <row r="182" spans="2:9" x14ac:dyDescent="0.2">
      <c r="B182" s="196"/>
      <c r="C182" s="197">
        <v>45428.604594907411</v>
      </c>
      <c r="D182" s="197">
        <v>45428.604872685188</v>
      </c>
      <c r="E182" s="198" t="s">
        <v>244</v>
      </c>
      <c r="F182" s="199"/>
      <c r="G182" s="140" t="e">
        <f ca="1">mif(C182="","",OR(B182=リスト!$C$5,B182=リスト!$C$6),SUM(INDEX(G:G,MATCH(I182-1,I:I,0)+1,1):INDEX(G:G,MATCH(I182,I:I,0)-1,1)),D182-C182)</f>
        <v>#NAME?</v>
      </c>
      <c r="H182" s="140" t="e">
        <f ca="1">mif(C182="","",B182=リスト!$C$5,SUMIF(INDEX(B:B,MATCH(I182-1,I:I,0)+1,1):INDEX(B:B,MATCH(I182,I:I,0)-1,1),リスト!$C$7,INDEX(G:G,MATCH(I182-1,I:I,0)+1,1):INDEX(G:G,MATCH(I182,I:I,0)-1,1)),"")</f>
        <v>#NAME?</v>
      </c>
      <c r="I182" s="200" t="str">
        <f>IF(OR(B182=リスト!$C$5,B182=リスト!$C$6),COUNTIF($B$9:B182,リスト!$C$5)+COUNTIF($B$9:B182,リスト!$C$6),"")</f>
        <v/>
      </c>
    </row>
    <row r="183" spans="2:9" x14ac:dyDescent="0.2">
      <c r="B183" s="196"/>
      <c r="C183" s="197">
        <v>45428.669490740744</v>
      </c>
      <c r="D183" s="197">
        <v>45428.669722222221</v>
      </c>
      <c r="E183" s="198" t="s">
        <v>244</v>
      </c>
      <c r="F183" s="199"/>
      <c r="G183" s="140" t="e">
        <f ca="1">mif(C183="","",OR(B183=リスト!$C$5,B183=リスト!$C$6),SUM(INDEX(G:G,MATCH(I183-1,I:I,0)+1,1):INDEX(G:G,MATCH(I183,I:I,0)-1,1)),D183-C183)</f>
        <v>#NAME?</v>
      </c>
      <c r="H183" s="140" t="e">
        <f ca="1">mif(C183="","",B183=リスト!$C$5,SUMIF(INDEX(B:B,MATCH(I183-1,I:I,0)+1,1):INDEX(B:B,MATCH(I183,I:I,0)-1,1),リスト!$C$7,INDEX(G:G,MATCH(I183-1,I:I,0)+1,1):INDEX(G:G,MATCH(I183,I:I,0)-1,1)),"")</f>
        <v>#NAME?</v>
      </c>
      <c r="I183" s="200" t="str">
        <f>IF(OR(B183=リスト!$C$5,B183=リスト!$C$6),COUNTIF($B$9:B183,リスト!$C$5)+COUNTIF($B$9:B183,リスト!$C$6),"")</f>
        <v/>
      </c>
    </row>
    <row r="184" spans="2:9" x14ac:dyDescent="0.2">
      <c r="B184" s="196"/>
      <c r="C184" s="197">
        <v>45428.812928240739</v>
      </c>
      <c r="D184" s="197">
        <v>45428.81322916667</v>
      </c>
      <c r="E184" s="198" t="s">
        <v>244</v>
      </c>
      <c r="F184" s="199"/>
      <c r="G184" s="140" t="e">
        <f ca="1">mif(C184="","",OR(B184=リスト!$C$5,B184=リスト!$C$6),SUM(INDEX(G:G,MATCH(I184-1,I:I,0)+1,1):INDEX(G:G,MATCH(I184,I:I,0)-1,1)),D184-C184)</f>
        <v>#NAME?</v>
      </c>
      <c r="H184" s="140" t="e">
        <f ca="1">mif(C184="","",B184=リスト!$C$5,SUMIF(INDEX(B:B,MATCH(I184-1,I:I,0)+1,1):INDEX(B:B,MATCH(I184,I:I,0)-1,1),リスト!$C$7,INDEX(G:G,MATCH(I184-1,I:I,0)+1,1):INDEX(G:G,MATCH(I184,I:I,0)-1,1)),"")</f>
        <v>#NAME?</v>
      </c>
      <c r="I184" s="200" t="str">
        <f>IF(OR(B184=リスト!$C$5,B184=リスト!$C$6),COUNTIF($B$9:B184,リスト!$C$5)+COUNTIF($B$9:B184,リスト!$C$6),"")</f>
        <v/>
      </c>
    </row>
    <row r="185" spans="2:9" x14ac:dyDescent="0.2">
      <c r="B185" s="196"/>
      <c r="C185" s="197">
        <v>45428.834120370368</v>
      </c>
      <c r="D185" s="197">
        <v>45428.834421296298</v>
      </c>
      <c r="E185" s="198" t="s">
        <v>244</v>
      </c>
      <c r="F185" s="199"/>
      <c r="G185" s="140" t="e">
        <f ca="1">mif(C185="","",OR(B185=リスト!$C$5,B185=リスト!$C$6),SUM(INDEX(G:G,MATCH(I185-1,I:I,0)+1,1):INDEX(G:G,MATCH(I185,I:I,0)-1,1)),D185-C185)</f>
        <v>#NAME?</v>
      </c>
      <c r="H185" s="140" t="e">
        <f ca="1">mif(C185="","",B185=リスト!$C$5,SUMIF(INDEX(B:B,MATCH(I185-1,I:I,0)+1,1):INDEX(B:B,MATCH(I185,I:I,0)-1,1),リスト!$C$7,INDEX(G:G,MATCH(I185-1,I:I,0)+1,1):INDEX(G:G,MATCH(I185,I:I,0)-1,1)),"")</f>
        <v>#NAME?</v>
      </c>
      <c r="I185" s="200" t="str">
        <f>IF(OR(B185=リスト!$C$5,B185=リスト!$C$6),COUNTIF($B$9:B185,リスト!$C$5)+COUNTIF($B$9:B185,リスト!$C$6),"")</f>
        <v/>
      </c>
    </row>
    <row r="186" spans="2:9" x14ac:dyDescent="0.2">
      <c r="B186" s="196" t="s">
        <v>247</v>
      </c>
      <c r="C186" s="197">
        <v>45428.416666666664</v>
      </c>
      <c r="D186" s="197">
        <v>45428.916666666664</v>
      </c>
      <c r="E186" s="198">
        <v>9</v>
      </c>
      <c r="F186" s="199"/>
      <c r="G186" s="140" t="e">
        <f ca="1">mif(C186="","",OR(B186=リスト!$C$5,B186=リスト!$C$6),SUM(INDEX(G:G,MATCH(I186-1,I:I,0)+1,1):INDEX(G:G,MATCH(I186,I:I,0)-1,1)),D186-C186)</f>
        <v>#NAME?</v>
      </c>
      <c r="H186" s="140" t="e">
        <f ca="1">mif(C186="","",B186=リスト!$C$5,SUMIF(INDEX(B:B,MATCH(I186-1,I:I,0)+1,1):INDEX(B:B,MATCH(I186,I:I,0)-1,1),リスト!$C$7,INDEX(G:G,MATCH(I186-1,I:I,0)+1,1):INDEX(G:G,MATCH(I186,I:I,0)-1,1)),"")</f>
        <v>#NAME?</v>
      </c>
      <c r="I186" s="200">
        <f>IF(OR(B186=リスト!$C$5,B186=リスト!$C$6),COUNTIF($B$9:B186,リスト!$C$5)+COUNTIF($B$9:B186,リスト!$C$6),"")</f>
        <v>13</v>
      </c>
    </row>
    <row r="187" spans="2:9" x14ac:dyDescent="0.2">
      <c r="B187" s="196"/>
      <c r="C187" s="197">
        <v>45428.946099537039</v>
      </c>
      <c r="D187" s="197">
        <v>45428.946331018517</v>
      </c>
      <c r="E187" s="198" t="s">
        <v>244</v>
      </c>
      <c r="F187" s="199"/>
      <c r="G187" s="140" t="e">
        <f ca="1">mif(C187="","",OR(B187=リスト!$C$5,B187=リスト!$C$6),SUM(INDEX(G:G,MATCH(I187-1,I:I,0)+1,1):INDEX(G:G,MATCH(I187,I:I,0)-1,1)),D187-C187)</f>
        <v>#NAME?</v>
      </c>
      <c r="H187" s="140" t="e">
        <f ca="1">mif(C187="","",B187=リスト!$C$5,SUMIF(INDEX(B:B,MATCH(I187-1,I:I,0)+1,1):INDEX(B:B,MATCH(I187,I:I,0)-1,1),リスト!$C$7,INDEX(G:G,MATCH(I187-1,I:I,0)+1,1):INDEX(G:G,MATCH(I187,I:I,0)-1,1)),"")</f>
        <v>#NAME?</v>
      </c>
      <c r="I187" s="200" t="str">
        <f>IF(OR(B187=リスト!$C$5,B187=リスト!$C$6),COUNTIF($B$9:B187,リスト!$C$5)+COUNTIF($B$9:B187,リスト!$C$6),"")</f>
        <v/>
      </c>
    </row>
    <row r="188" spans="2:9" x14ac:dyDescent="0.2">
      <c r="B188" s="196"/>
      <c r="C188" s="197">
        <v>45428.959062499998</v>
      </c>
      <c r="D188" s="197">
        <v>45428.959664351853</v>
      </c>
      <c r="E188" s="198" t="s">
        <v>244</v>
      </c>
      <c r="F188" s="199"/>
      <c r="G188" s="140" t="e">
        <f ca="1">mif(C188="","",OR(B188=リスト!$C$5,B188=リスト!$C$6),SUM(INDEX(G:G,MATCH(I188-1,I:I,0)+1,1):INDEX(G:G,MATCH(I188,I:I,0)-1,1)),D188-C188)</f>
        <v>#NAME?</v>
      </c>
      <c r="H188" s="140" t="e">
        <f ca="1">mif(C188="","",B188=リスト!$C$5,SUMIF(INDEX(B:B,MATCH(I188-1,I:I,0)+1,1):INDEX(B:B,MATCH(I188,I:I,0)-1,1),リスト!$C$7,INDEX(G:G,MATCH(I188-1,I:I,0)+1,1):INDEX(G:G,MATCH(I188,I:I,0)-1,1)),"")</f>
        <v>#NAME?</v>
      </c>
      <c r="I188" s="200" t="str">
        <f>IF(OR(B188=リスト!$C$5,B188=リスト!$C$6),COUNTIF($B$9:B188,リスト!$C$5)+COUNTIF($B$9:B188,リスト!$C$6),"")</f>
        <v/>
      </c>
    </row>
    <row r="189" spans="2:9" x14ac:dyDescent="0.2">
      <c r="B189" s="196"/>
      <c r="C189" s="197">
        <v>45428.967152777775</v>
      </c>
      <c r="D189" s="197">
        <v>45428.967453703706</v>
      </c>
      <c r="E189" s="198" t="s">
        <v>244</v>
      </c>
      <c r="F189" s="199"/>
      <c r="G189" s="140" t="e">
        <f ca="1">mif(C189="","",OR(B189=リスト!$C$5,B189=リスト!$C$6),SUM(INDEX(G:G,MATCH(I189-1,I:I,0)+1,1):INDEX(G:G,MATCH(I189,I:I,0)-1,1)),D189-C189)</f>
        <v>#NAME?</v>
      </c>
      <c r="H189" s="140" t="e">
        <f ca="1">mif(C189="","",B189=リスト!$C$5,SUMIF(INDEX(B:B,MATCH(I189-1,I:I,0)+1,1):INDEX(B:B,MATCH(I189,I:I,0)-1,1),リスト!$C$7,INDEX(G:G,MATCH(I189-1,I:I,0)+1,1):INDEX(G:G,MATCH(I189,I:I,0)-1,1)),"")</f>
        <v>#NAME?</v>
      </c>
      <c r="I189" s="200" t="str">
        <f>IF(OR(B189=リスト!$C$5,B189=リスト!$C$6),COUNTIF($B$9:B189,リスト!$C$5)+COUNTIF($B$9:B189,リスト!$C$6),"")</f>
        <v/>
      </c>
    </row>
    <row r="190" spans="2:9" x14ac:dyDescent="0.2">
      <c r="B190" s="196"/>
      <c r="C190" s="197">
        <v>45429.036249999997</v>
      </c>
      <c r="D190" s="197">
        <v>45429.036527777775</v>
      </c>
      <c r="E190" s="198" t="s">
        <v>244</v>
      </c>
      <c r="F190" s="199"/>
      <c r="G190" s="140" t="e">
        <f ca="1">mif(C190="","",OR(B190=リスト!$C$5,B190=リスト!$C$6),SUM(INDEX(G:G,MATCH(I190-1,I:I,0)+1,1):INDEX(G:G,MATCH(I190,I:I,0)-1,1)),D190-C190)</f>
        <v>#NAME?</v>
      </c>
      <c r="H190" s="140" t="e">
        <f ca="1">mif(C190="","",B190=リスト!$C$5,SUMIF(INDEX(B:B,MATCH(I190-1,I:I,0)+1,1):INDEX(B:B,MATCH(I190,I:I,0)-1,1),リスト!$C$7,INDEX(G:G,MATCH(I190-1,I:I,0)+1,1):INDEX(G:G,MATCH(I190,I:I,0)-1,1)),"")</f>
        <v>#NAME?</v>
      </c>
      <c r="I190" s="200" t="str">
        <f>IF(OR(B190=リスト!$C$5,B190=リスト!$C$6),COUNTIF($B$9:B190,リスト!$C$5)+COUNTIF($B$9:B190,リスト!$C$6),"")</f>
        <v/>
      </c>
    </row>
    <row r="191" spans="2:9" x14ac:dyDescent="0.2">
      <c r="B191" s="196"/>
      <c r="C191" s="197">
        <v>45429.041712962964</v>
      </c>
      <c r="D191" s="197">
        <v>45429.042372685188</v>
      </c>
      <c r="E191" s="198" t="s">
        <v>244</v>
      </c>
      <c r="F191" s="199"/>
      <c r="G191" s="140" t="e">
        <f ca="1">mif(C191="","",OR(B191=リスト!$C$5,B191=リスト!$C$6),SUM(INDEX(G:G,MATCH(I191-1,I:I,0)+1,1):INDEX(G:G,MATCH(I191,I:I,0)-1,1)),D191-C191)</f>
        <v>#NAME?</v>
      </c>
      <c r="H191" s="140" t="e">
        <f ca="1">mif(C191="","",B191=リスト!$C$5,SUMIF(INDEX(B:B,MATCH(I191-1,I:I,0)+1,1):INDEX(B:B,MATCH(I191,I:I,0)-1,1),リスト!$C$7,INDEX(G:G,MATCH(I191-1,I:I,0)+1,1):INDEX(G:G,MATCH(I191,I:I,0)-1,1)),"")</f>
        <v>#NAME?</v>
      </c>
      <c r="I191" s="200" t="str">
        <f>IF(OR(B191=リスト!$C$5,B191=リスト!$C$6),COUNTIF($B$9:B191,リスト!$C$5)+COUNTIF($B$9:B191,リスト!$C$6),"")</f>
        <v/>
      </c>
    </row>
    <row r="192" spans="2:9" x14ac:dyDescent="0.2">
      <c r="B192" s="196"/>
      <c r="C192" s="197">
        <v>45429.066076388888</v>
      </c>
      <c r="D192" s="197">
        <v>45429.06658564815</v>
      </c>
      <c r="E192" s="198" t="s">
        <v>244</v>
      </c>
      <c r="F192" s="199"/>
      <c r="G192" s="140" t="e">
        <f ca="1">mif(C192="","",OR(B192=リスト!$C$5,B192=リスト!$C$6),SUM(INDEX(G:G,MATCH(I192-1,I:I,0)+1,1):INDEX(G:G,MATCH(I192,I:I,0)-1,1)),D192-C192)</f>
        <v>#NAME?</v>
      </c>
      <c r="H192" s="140" t="e">
        <f ca="1">mif(C192="","",B192=リスト!$C$5,SUMIF(INDEX(B:B,MATCH(I192-1,I:I,0)+1,1):INDEX(B:B,MATCH(I192,I:I,0)-1,1),リスト!$C$7,INDEX(G:G,MATCH(I192-1,I:I,0)+1,1):INDEX(G:G,MATCH(I192,I:I,0)-1,1)),"")</f>
        <v>#NAME?</v>
      </c>
      <c r="I192" s="200" t="str">
        <f>IF(OR(B192=リスト!$C$5,B192=リスト!$C$6),COUNTIF($B$9:B192,リスト!$C$5)+COUNTIF($B$9:B192,リスト!$C$6),"")</f>
        <v/>
      </c>
    </row>
    <row r="193" spans="2:9" x14ac:dyDescent="0.2">
      <c r="B193" s="196"/>
      <c r="C193" s="197">
        <v>45429.105706018519</v>
      </c>
      <c r="D193" s="197">
        <v>45429.105983796297</v>
      </c>
      <c r="E193" s="198" t="s">
        <v>244</v>
      </c>
      <c r="F193" s="199"/>
      <c r="G193" s="140" t="e">
        <f ca="1">mif(C193="","",OR(B193=リスト!$C$5,B193=リスト!$C$6),SUM(INDEX(G:G,MATCH(I193-1,I:I,0)+1,1):INDEX(G:G,MATCH(I193,I:I,0)-1,1)),D193-C193)</f>
        <v>#NAME?</v>
      </c>
      <c r="H193" s="140" t="e">
        <f ca="1">mif(C193="","",B193=リスト!$C$5,SUMIF(INDEX(B:B,MATCH(I193-1,I:I,0)+1,1):INDEX(B:B,MATCH(I193,I:I,0)-1,1),リスト!$C$7,INDEX(G:G,MATCH(I193-1,I:I,0)+1,1):INDEX(G:G,MATCH(I193,I:I,0)-1,1)),"")</f>
        <v>#NAME?</v>
      </c>
      <c r="I193" s="200" t="str">
        <f>IF(OR(B193=リスト!$C$5,B193=リスト!$C$6),COUNTIF($B$9:B193,リスト!$C$5)+COUNTIF($B$9:B193,リスト!$C$6),"")</f>
        <v/>
      </c>
    </row>
    <row r="194" spans="2:9" x14ac:dyDescent="0.2">
      <c r="B194" s="196"/>
      <c r="C194" s="197">
        <v>45429.133750000001</v>
      </c>
      <c r="D194" s="197">
        <v>45429.134004629632</v>
      </c>
      <c r="E194" s="198" t="s">
        <v>244</v>
      </c>
      <c r="F194" s="199"/>
      <c r="G194" s="140" t="e">
        <f ca="1">mif(C194="","",OR(B194=リスト!$C$5,B194=リスト!$C$6),SUM(INDEX(G:G,MATCH(I194-1,I:I,0)+1,1):INDEX(G:G,MATCH(I194,I:I,0)-1,1)),D194-C194)</f>
        <v>#NAME?</v>
      </c>
      <c r="H194" s="140" t="e">
        <f ca="1">mif(C194="","",B194=リスト!$C$5,SUMIF(INDEX(B:B,MATCH(I194-1,I:I,0)+1,1):INDEX(B:B,MATCH(I194,I:I,0)-1,1),リスト!$C$7,INDEX(G:G,MATCH(I194-1,I:I,0)+1,1):INDEX(G:G,MATCH(I194,I:I,0)-1,1)),"")</f>
        <v>#NAME?</v>
      </c>
      <c r="I194" s="200" t="str">
        <f>IF(OR(B194=リスト!$C$5,B194=リスト!$C$6),COUNTIF($B$9:B194,リスト!$C$5)+COUNTIF($B$9:B194,リスト!$C$6),"")</f>
        <v/>
      </c>
    </row>
    <row r="195" spans="2:9" x14ac:dyDescent="0.2">
      <c r="B195" s="196"/>
      <c r="C195" s="197">
        <v>45429.214548611111</v>
      </c>
      <c r="D195" s="197">
        <v>45429.215266203704</v>
      </c>
      <c r="E195" s="198" t="s">
        <v>244</v>
      </c>
      <c r="F195" s="199"/>
      <c r="G195" s="140" t="e">
        <f ca="1">mif(C195="","",OR(B195=リスト!$C$5,B195=リスト!$C$6),SUM(INDEX(G:G,MATCH(I195-1,I:I,0)+1,1):INDEX(G:G,MATCH(I195,I:I,0)-1,1)),D195-C195)</f>
        <v>#NAME?</v>
      </c>
      <c r="H195" s="140" t="e">
        <f ca="1">mif(C195="","",B195=リスト!$C$5,SUMIF(INDEX(B:B,MATCH(I195-1,I:I,0)+1,1):INDEX(B:B,MATCH(I195,I:I,0)-1,1),リスト!$C$7,INDEX(G:G,MATCH(I195-1,I:I,0)+1,1):INDEX(G:G,MATCH(I195,I:I,0)-1,1)),"")</f>
        <v>#NAME?</v>
      </c>
      <c r="I195" s="200" t="str">
        <f>IF(OR(B195=リスト!$C$5,B195=リスト!$C$6),COUNTIF($B$9:B195,リスト!$C$5)+COUNTIF($B$9:B195,リスト!$C$6),"")</f>
        <v/>
      </c>
    </row>
    <row r="196" spans="2:9" x14ac:dyDescent="0.2">
      <c r="B196" s="196"/>
      <c r="C196" s="197">
        <v>45429.235625000001</v>
      </c>
      <c r="D196" s="197">
        <v>45429.236805555556</v>
      </c>
      <c r="E196" s="198" t="s">
        <v>244</v>
      </c>
      <c r="F196" s="199"/>
      <c r="G196" s="140" t="e">
        <f ca="1">mif(C196="","",OR(B196=リスト!$C$5,B196=リスト!$C$6),SUM(INDEX(G:G,MATCH(I196-1,I:I,0)+1,1):INDEX(G:G,MATCH(I196,I:I,0)-1,1)),D196-C196)</f>
        <v>#NAME?</v>
      </c>
      <c r="H196" s="140" t="e">
        <f ca="1">mif(C196="","",B196=リスト!$C$5,SUMIF(INDEX(B:B,MATCH(I196-1,I:I,0)+1,1):INDEX(B:B,MATCH(I196,I:I,0)-1,1),リスト!$C$7,INDEX(G:G,MATCH(I196-1,I:I,0)+1,1):INDEX(G:G,MATCH(I196,I:I,0)-1,1)),"")</f>
        <v>#NAME?</v>
      </c>
      <c r="I196" s="200" t="str">
        <f>IF(OR(B196=リスト!$C$5,B196=リスト!$C$6),COUNTIF($B$9:B196,リスト!$C$5)+COUNTIF($B$9:B196,リスト!$C$6),"")</f>
        <v/>
      </c>
    </row>
    <row r="197" spans="2:9" x14ac:dyDescent="0.2">
      <c r="B197" s="196"/>
      <c r="C197" s="197">
        <v>45429.356446759259</v>
      </c>
      <c r="D197" s="197">
        <v>45429.356724537036</v>
      </c>
      <c r="E197" s="198" t="s">
        <v>244</v>
      </c>
      <c r="F197" s="199"/>
      <c r="G197" s="140" t="e">
        <f ca="1">mif(C197="","",OR(B197=リスト!$C$5,B197=リスト!$C$6),SUM(INDEX(G:G,MATCH(I197-1,I:I,0)+1,1):INDEX(G:G,MATCH(I197,I:I,0)-1,1)),D197-C197)</f>
        <v>#NAME?</v>
      </c>
      <c r="H197" s="140" t="e">
        <f ca="1">mif(C197="","",B197=リスト!$C$5,SUMIF(INDEX(B:B,MATCH(I197-1,I:I,0)+1,1):INDEX(B:B,MATCH(I197,I:I,0)-1,1),リスト!$C$7,INDEX(G:G,MATCH(I197-1,I:I,0)+1,1):INDEX(G:G,MATCH(I197,I:I,0)-1,1)),"")</f>
        <v>#NAME?</v>
      </c>
      <c r="I197" s="200" t="str">
        <f>IF(OR(B197=リスト!$C$5,B197=リスト!$C$6),COUNTIF($B$9:B197,リスト!$C$5)+COUNTIF($B$9:B197,リスト!$C$6),"")</f>
        <v/>
      </c>
    </row>
    <row r="198" spans="2:9" x14ac:dyDescent="0.2">
      <c r="B198" s="196"/>
      <c r="C198" s="197">
        <v>45429.371678240743</v>
      </c>
      <c r="D198" s="197">
        <v>45429.371932870374</v>
      </c>
      <c r="E198" s="198" t="s">
        <v>244</v>
      </c>
      <c r="F198" s="199"/>
      <c r="G198" s="140" t="e">
        <f ca="1">mif(C198="","",OR(B198=リスト!$C$5,B198=リスト!$C$6),SUM(INDEX(G:G,MATCH(I198-1,I:I,0)+1,1):INDEX(G:G,MATCH(I198,I:I,0)-1,1)),D198-C198)</f>
        <v>#NAME?</v>
      </c>
      <c r="H198" s="140" t="e">
        <f ca="1">mif(C198="","",B198=リスト!$C$5,SUMIF(INDEX(B:B,MATCH(I198-1,I:I,0)+1,1):INDEX(B:B,MATCH(I198,I:I,0)-1,1),リスト!$C$7,INDEX(G:G,MATCH(I198-1,I:I,0)+1,1):INDEX(G:G,MATCH(I198,I:I,0)-1,1)),"")</f>
        <v>#NAME?</v>
      </c>
      <c r="I198" s="200" t="str">
        <f>IF(OR(B198=リスト!$C$5,B198=リスト!$C$6),COUNTIF($B$9:B198,リスト!$C$5)+COUNTIF($B$9:B198,リスト!$C$6),"")</f>
        <v/>
      </c>
    </row>
    <row r="199" spans="2:9" x14ac:dyDescent="0.2">
      <c r="B199" s="196"/>
      <c r="C199" s="197">
        <v>45429.382824074077</v>
      </c>
      <c r="D199" s="197">
        <v>45429.383101851854</v>
      </c>
      <c r="E199" s="198" t="s">
        <v>244</v>
      </c>
      <c r="F199" s="199"/>
      <c r="G199" s="140" t="e">
        <f ca="1">mif(C199="","",OR(B199=リスト!$C$5,B199=リスト!$C$6),SUM(INDEX(G:G,MATCH(I199-1,I:I,0)+1,1):INDEX(G:G,MATCH(I199,I:I,0)-1,1)),D199-C199)</f>
        <v>#NAME?</v>
      </c>
      <c r="H199" s="140" t="e">
        <f ca="1">mif(C199="","",B199=リスト!$C$5,SUMIF(INDEX(B:B,MATCH(I199-1,I:I,0)+1,1):INDEX(B:B,MATCH(I199,I:I,0)-1,1),リスト!$C$7,INDEX(G:G,MATCH(I199-1,I:I,0)+1,1):INDEX(G:G,MATCH(I199,I:I,0)-1,1)),"")</f>
        <v>#NAME?</v>
      </c>
      <c r="I199" s="200" t="str">
        <f>IF(OR(B199=リスト!$C$5,B199=リスト!$C$6),COUNTIF($B$9:B199,リスト!$C$5)+COUNTIF($B$9:B199,リスト!$C$6),"")</f>
        <v/>
      </c>
    </row>
    <row r="200" spans="2:9" x14ac:dyDescent="0.2">
      <c r="B200" s="196"/>
      <c r="C200" s="197">
        <v>45429.415937500002</v>
      </c>
      <c r="D200" s="197">
        <v>45429.416261574072</v>
      </c>
      <c r="E200" s="198" t="s">
        <v>244</v>
      </c>
      <c r="F200" s="199"/>
      <c r="G200" s="140" t="e">
        <f ca="1">mif(C200="","",OR(B200=リスト!$C$5,B200=リスト!$C$6),SUM(INDEX(G:G,MATCH(I200-1,I:I,0)+1,1):INDEX(G:G,MATCH(I200,I:I,0)-1,1)),D200-C200)</f>
        <v>#NAME?</v>
      </c>
      <c r="H200" s="140" t="e">
        <f ca="1">mif(C200="","",B200=リスト!$C$5,SUMIF(INDEX(B:B,MATCH(I200-1,I:I,0)+1,1):INDEX(B:B,MATCH(I200,I:I,0)-1,1),リスト!$C$7,INDEX(G:G,MATCH(I200-1,I:I,0)+1,1):INDEX(G:G,MATCH(I200,I:I,0)-1,1)),"")</f>
        <v>#NAME?</v>
      </c>
      <c r="I200" s="200" t="str">
        <f>IF(OR(B200=リスト!$C$5,B200=リスト!$C$6),COUNTIF($B$9:B200,リスト!$C$5)+COUNTIF($B$9:B200,リスト!$C$6),"")</f>
        <v/>
      </c>
    </row>
    <row r="201" spans="2:9" x14ac:dyDescent="0.2">
      <c r="B201" s="196" t="s">
        <v>247</v>
      </c>
      <c r="C201" s="197">
        <v>45428.916666666664</v>
      </c>
      <c r="D201" s="197">
        <v>45429.416666666664</v>
      </c>
      <c r="E201" s="198">
        <v>14</v>
      </c>
      <c r="F201" s="199"/>
      <c r="G201" s="140" t="e">
        <f ca="1">mif(C201="","",OR(B201=リスト!$C$5,B201=リスト!$C$6),SUM(INDEX(G:G,MATCH(I201-1,I:I,0)+1,1):INDEX(G:G,MATCH(I201,I:I,0)-1,1)),D201-C201)</f>
        <v>#NAME?</v>
      </c>
      <c r="H201" s="140" t="e">
        <f ca="1">mif(C201="","",B201=リスト!$C$5,SUMIF(INDEX(B:B,MATCH(I201-1,I:I,0)+1,1):INDEX(B:B,MATCH(I201,I:I,0)-1,1),リスト!$C$7,INDEX(G:G,MATCH(I201-1,I:I,0)+1,1):INDEX(G:G,MATCH(I201,I:I,0)-1,1)),"")</f>
        <v>#NAME?</v>
      </c>
      <c r="I201" s="200">
        <f>IF(OR(B201=リスト!$C$5,B201=リスト!$C$6),COUNTIF($B$9:B201,リスト!$C$5)+COUNTIF($B$9:B201,リスト!$C$6),"")</f>
        <v>14</v>
      </c>
    </row>
    <row r="202" spans="2:9" x14ac:dyDescent="0.2">
      <c r="B202" s="196"/>
      <c r="C202" s="197">
        <v>45429.922789351855</v>
      </c>
      <c r="D202" s="197">
        <v>45429.923136574071</v>
      </c>
      <c r="E202" s="198" t="s">
        <v>244</v>
      </c>
      <c r="F202" s="199"/>
      <c r="G202" s="140" t="e">
        <f ca="1">mif(C202="","",OR(B202=リスト!$C$5,B202=リスト!$C$6),SUM(INDEX(G:G,MATCH(I202-1,I:I,0)+1,1):INDEX(G:G,MATCH(I202,I:I,0)-1,1)),D202-C202)</f>
        <v>#NAME?</v>
      </c>
      <c r="H202" s="140" t="e">
        <f ca="1">mif(C202="","",B202=リスト!$C$5,SUMIF(INDEX(B:B,MATCH(I202-1,I:I,0)+1,1):INDEX(B:B,MATCH(I202,I:I,0)-1,1),リスト!$C$7,INDEX(G:G,MATCH(I202-1,I:I,0)+1,1):INDEX(G:G,MATCH(I202,I:I,0)-1,1)),"")</f>
        <v>#NAME?</v>
      </c>
      <c r="I202" s="200" t="str">
        <f>IF(OR(B202=リスト!$C$5,B202=リスト!$C$6),COUNTIF($B$9:B202,リスト!$C$5)+COUNTIF($B$9:B202,リスト!$C$6),"")</f>
        <v/>
      </c>
    </row>
    <row r="203" spans="2:9" x14ac:dyDescent="0.2">
      <c r="B203" s="196"/>
      <c r="C203" s="197">
        <v>45429.969988425924</v>
      </c>
      <c r="D203" s="197">
        <v>45429.970312500001</v>
      </c>
      <c r="E203" s="198" t="s">
        <v>244</v>
      </c>
      <c r="F203" s="199"/>
      <c r="G203" s="140" t="e">
        <f ca="1">mif(C203="","",OR(B203=リスト!$C$5,B203=リスト!$C$6),SUM(INDEX(G:G,MATCH(I203-1,I:I,0)+1,1):INDEX(G:G,MATCH(I203,I:I,0)-1,1)),D203-C203)</f>
        <v>#NAME?</v>
      </c>
      <c r="H203" s="140" t="e">
        <f ca="1">mif(C203="","",B203=リスト!$C$5,SUMIF(INDEX(B:B,MATCH(I203-1,I:I,0)+1,1):INDEX(B:B,MATCH(I203,I:I,0)-1,1),リスト!$C$7,INDEX(G:G,MATCH(I203-1,I:I,0)+1,1):INDEX(G:G,MATCH(I203,I:I,0)-1,1)),"")</f>
        <v>#NAME?</v>
      </c>
      <c r="I203" s="200" t="str">
        <f>IF(OR(B203=リスト!$C$5,B203=リスト!$C$6),COUNTIF($B$9:B203,リスト!$C$5)+COUNTIF($B$9:B203,リスト!$C$6),"")</f>
        <v/>
      </c>
    </row>
    <row r="204" spans="2:9" x14ac:dyDescent="0.2">
      <c r="B204" s="196"/>
      <c r="C204" s="197">
        <v>45429.97792824074</v>
      </c>
      <c r="D204" s="197">
        <v>45429.978206018517</v>
      </c>
      <c r="E204" s="198" t="s">
        <v>244</v>
      </c>
      <c r="F204" s="199"/>
      <c r="G204" s="140" t="e">
        <f ca="1">mif(C204="","",OR(B204=リスト!$C$5,B204=リスト!$C$6),SUM(INDEX(G:G,MATCH(I204-1,I:I,0)+1,1):INDEX(G:G,MATCH(I204,I:I,0)-1,1)),D204-C204)</f>
        <v>#NAME?</v>
      </c>
      <c r="H204" s="140" t="e">
        <f ca="1">mif(C204="","",B204=リスト!$C$5,SUMIF(INDEX(B:B,MATCH(I204-1,I:I,0)+1,1):INDEX(B:B,MATCH(I204,I:I,0)-1,1),リスト!$C$7,INDEX(G:G,MATCH(I204-1,I:I,0)+1,1):INDEX(G:G,MATCH(I204,I:I,0)-1,1)),"")</f>
        <v>#NAME?</v>
      </c>
      <c r="I204" s="200" t="str">
        <f>IF(OR(B204=リスト!$C$5,B204=リスト!$C$6),COUNTIF($B$9:B204,リスト!$C$5)+COUNTIF($B$9:B204,リスト!$C$6),"")</f>
        <v/>
      </c>
    </row>
    <row r="205" spans="2:9" x14ac:dyDescent="0.2">
      <c r="B205" s="196"/>
      <c r="C205" s="197">
        <v>45430.023622685185</v>
      </c>
      <c r="D205" s="197">
        <v>45430.023854166669</v>
      </c>
      <c r="E205" s="198" t="s">
        <v>244</v>
      </c>
      <c r="F205" s="199"/>
      <c r="G205" s="140" t="e">
        <f ca="1">mif(C205="","",OR(B205=リスト!$C$5,B205=リスト!$C$6),SUM(INDEX(G:G,MATCH(I205-1,I:I,0)+1,1):INDEX(G:G,MATCH(I205,I:I,0)-1,1)),D205-C205)</f>
        <v>#NAME?</v>
      </c>
      <c r="H205" s="140" t="e">
        <f ca="1">mif(C205="","",B205=リスト!$C$5,SUMIF(INDEX(B:B,MATCH(I205-1,I:I,0)+1,1):INDEX(B:B,MATCH(I205,I:I,0)-1,1),リスト!$C$7,INDEX(G:G,MATCH(I205-1,I:I,0)+1,1):INDEX(G:G,MATCH(I205,I:I,0)-1,1)),"")</f>
        <v>#NAME?</v>
      </c>
      <c r="I205" s="200" t="str">
        <f>IF(OR(B205=リスト!$C$5,B205=リスト!$C$6),COUNTIF($B$9:B205,リスト!$C$5)+COUNTIF($B$9:B205,リスト!$C$6),"")</f>
        <v/>
      </c>
    </row>
    <row r="206" spans="2:9" x14ac:dyDescent="0.2">
      <c r="B206" s="196"/>
      <c r="C206" s="197">
        <v>45430.038958333331</v>
      </c>
      <c r="D206" s="197">
        <v>45430.039259259262</v>
      </c>
      <c r="E206" s="198" t="s">
        <v>244</v>
      </c>
      <c r="F206" s="199"/>
      <c r="G206" s="140" t="e">
        <f ca="1">mif(C206="","",OR(B206=リスト!$C$5,B206=リスト!$C$6),SUM(INDEX(G:G,MATCH(I206-1,I:I,0)+1,1):INDEX(G:G,MATCH(I206,I:I,0)-1,1)),D206-C206)</f>
        <v>#NAME?</v>
      </c>
      <c r="H206" s="140" t="e">
        <f ca="1">mif(C206="","",B206=リスト!$C$5,SUMIF(INDEX(B:B,MATCH(I206-1,I:I,0)+1,1):INDEX(B:B,MATCH(I206,I:I,0)-1,1),リスト!$C$7,INDEX(G:G,MATCH(I206-1,I:I,0)+1,1):INDEX(G:G,MATCH(I206,I:I,0)-1,1)),"")</f>
        <v>#NAME?</v>
      </c>
      <c r="I206" s="200" t="str">
        <f>IF(OR(B206=リスト!$C$5,B206=リスト!$C$6),COUNTIF($B$9:B206,リスト!$C$5)+COUNTIF($B$9:B206,リスト!$C$6),"")</f>
        <v/>
      </c>
    </row>
    <row r="207" spans="2:9" x14ac:dyDescent="0.2">
      <c r="B207" s="196"/>
      <c r="C207" s="197">
        <v>45430.059965277775</v>
      </c>
      <c r="D207" s="197">
        <v>45430.060543981483</v>
      </c>
      <c r="E207" s="198" t="s">
        <v>244</v>
      </c>
      <c r="F207" s="199"/>
      <c r="G207" s="140" t="e">
        <f ca="1">mif(C207="","",OR(B207=リスト!$C$5,B207=リスト!$C$6),SUM(INDEX(G:G,MATCH(I207-1,I:I,0)+1,1):INDEX(G:G,MATCH(I207,I:I,0)-1,1)),D207-C207)</f>
        <v>#NAME?</v>
      </c>
      <c r="H207" s="140" t="e">
        <f ca="1">mif(C207="","",B207=リスト!$C$5,SUMIF(INDEX(B:B,MATCH(I207-1,I:I,0)+1,1):INDEX(B:B,MATCH(I207,I:I,0)-1,1),リスト!$C$7,INDEX(G:G,MATCH(I207-1,I:I,0)+1,1):INDEX(G:G,MATCH(I207,I:I,0)-1,1)),"")</f>
        <v>#NAME?</v>
      </c>
      <c r="I207" s="200" t="str">
        <f>IF(OR(B207=リスト!$C$5,B207=リスト!$C$6),COUNTIF($B$9:B207,リスト!$C$5)+COUNTIF($B$9:B207,リスト!$C$6),"")</f>
        <v/>
      </c>
    </row>
    <row r="208" spans="2:9" x14ac:dyDescent="0.2">
      <c r="B208" s="196"/>
      <c r="C208" s="197">
        <v>45430.115405092591</v>
      </c>
      <c r="D208" s="197">
        <v>45430.115682870368</v>
      </c>
      <c r="E208" s="198" t="s">
        <v>244</v>
      </c>
      <c r="F208" s="199"/>
      <c r="G208" s="140" t="e">
        <f ca="1">mif(C208="","",OR(B208=リスト!$C$5,B208=リスト!$C$6),SUM(INDEX(G:G,MATCH(I208-1,I:I,0)+1,1):INDEX(G:G,MATCH(I208,I:I,0)-1,1)),D208-C208)</f>
        <v>#NAME?</v>
      </c>
      <c r="H208" s="140" t="e">
        <f ca="1">mif(C208="","",B208=リスト!$C$5,SUMIF(INDEX(B:B,MATCH(I208-1,I:I,0)+1,1):INDEX(B:B,MATCH(I208,I:I,0)-1,1),リスト!$C$7,INDEX(G:G,MATCH(I208-1,I:I,0)+1,1):INDEX(G:G,MATCH(I208,I:I,0)-1,1)),"")</f>
        <v>#NAME?</v>
      </c>
      <c r="I208" s="200" t="str">
        <f>IF(OR(B208=リスト!$C$5,B208=リスト!$C$6),COUNTIF($B$9:B208,リスト!$C$5)+COUNTIF($B$9:B208,リスト!$C$6),"")</f>
        <v/>
      </c>
    </row>
    <row r="209" spans="2:9" x14ac:dyDescent="0.2">
      <c r="B209" s="196"/>
      <c r="C209" s="197">
        <v>45430.122488425928</v>
      </c>
      <c r="D209" s="197">
        <v>45430.12290509259</v>
      </c>
      <c r="E209" s="198" t="s">
        <v>244</v>
      </c>
      <c r="F209" s="199"/>
      <c r="G209" s="140" t="e">
        <f ca="1">mif(C209="","",OR(B209=リスト!$C$5,B209=リスト!$C$6),SUM(INDEX(G:G,MATCH(I209-1,I:I,0)+1,1):INDEX(G:G,MATCH(I209,I:I,0)-1,1)),D209-C209)</f>
        <v>#NAME?</v>
      </c>
      <c r="H209" s="140" t="e">
        <f ca="1">mif(C209="","",B209=リスト!$C$5,SUMIF(INDEX(B:B,MATCH(I209-1,I:I,0)+1,1):INDEX(B:B,MATCH(I209,I:I,0)-1,1),リスト!$C$7,INDEX(G:G,MATCH(I209-1,I:I,0)+1,1):INDEX(G:G,MATCH(I209,I:I,0)-1,1)),"")</f>
        <v>#NAME?</v>
      </c>
      <c r="I209" s="200" t="str">
        <f>IF(OR(B209=リスト!$C$5,B209=リスト!$C$6),COUNTIF($B$9:B209,リスト!$C$5)+COUNTIF($B$9:B209,リスト!$C$6),"")</f>
        <v/>
      </c>
    </row>
    <row r="210" spans="2:9" x14ac:dyDescent="0.2">
      <c r="B210" s="196"/>
      <c r="C210" s="197">
        <v>45430.135300925926</v>
      </c>
      <c r="D210" s="197">
        <v>45430.135972222219</v>
      </c>
      <c r="E210" s="198" t="s">
        <v>244</v>
      </c>
      <c r="F210" s="199"/>
      <c r="G210" s="140" t="e">
        <f ca="1">mif(C210="","",OR(B210=リスト!$C$5,B210=リスト!$C$6),SUM(INDEX(G:G,MATCH(I210-1,I:I,0)+1,1):INDEX(G:G,MATCH(I210,I:I,0)-1,1)),D210-C210)</f>
        <v>#NAME?</v>
      </c>
      <c r="H210" s="140" t="e">
        <f ca="1">mif(C210="","",B210=リスト!$C$5,SUMIF(INDEX(B:B,MATCH(I210-1,I:I,0)+1,1):INDEX(B:B,MATCH(I210,I:I,0)-1,1),リスト!$C$7,INDEX(G:G,MATCH(I210-1,I:I,0)+1,1):INDEX(G:G,MATCH(I210,I:I,0)-1,1)),"")</f>
        <v>#NAME?</v>
      </c>
      <c r="I210" s="200" t="str">
        <f>IF(OR(B210=リスト!$C$5,B210=リスト!$C$6),COUNTIF($B$9:B210,リスト!$C$5)+COUNTIF($B$9:B210,リスト!$C$6),"")</f>
        <v/>
      </c>
    </row>
    <row r="211" spans="2:9" x14ac:dyDescent="0.2">
      <c r="B211" s="196"/>
      <c r="C211" s="197">
        <v>45430.253518518519</v>
      </c>
      <c r="D211" s="197">
        <v>45430.254166666666</v>
      </c>
      <c r="E211" s="198" t="s">
        <v>244</v>
      </c>
      <c r="F211" s="199"/>
      <c r="G211" s="140" t="e">
        <f ca="1">mif(C211="","",OR(B211=リスト!$C$5,B211=リスト!$C$6),SUM(INDEX(G:G,MATCH(I211-1,I:I,0)+1,1):INDEX(G:G,MATCH(I211,I:I,0)-1,1)),D211-C211)</f>
        <v>#NAME?</v>
      </c>
      <c r="H211" s="140" t="e">
        <f ca="1">mif(C211="","",B211=リスト!$C$5,SUMIF(INDEX(B:B,MATCH(I211-1,I:I,0)+1,1):INDEX(B:B,MATCH(I211,I:I,0)-1,1),リスト!$C$7,INDEX(G:G,MATCH(I211-1,I:I,0)+1,1):INDEX(G:G,MATCH(I211,I:I,0)-1,1)),"")</f>
        <v>#NAME?</v>
      </c>
      <c r="I211" s="200" t="str">
        <f>IF(OR(B211=リスト!$C$5,B211=リスト!$C$6),COUNTIF($B$9:B211,リスト!$C$5)+COUNTIF($B$9:B211,リスト!$C$6),"")</f>
        <v/>
      </c>
    </row>
    <row r="212" spans="2:9" x14ac:dyDescent="0.2">
      <c r="B212" s="196"/>
      <c r="C212" s="197">
        <v>45430.260057870371</v>
      </c>
      <c r="D212" s="197">
        <v>45430.260381944441</v>
      </c>
      <c r="E212" s="198" t="s">
        <v>244</v>
      </c>
      <c r="F212" s="199"/>
      <c r="G212" s="140" t="e">
        <f ca="1">mif(C212="","",OR(B212=リスト!$C$5,B212=リスト!$C$6),SUM(INDEX(G:G,MATCH(I212-1,I:I,0)+1,1):INDEX(G:G,MATCH(I212,I:I,0)-1,1)),D212-C212)</f>
        <v>#NAME?</v>
      </c>
      <c r="H212" s="140" t="e">
        <f ca="1">mif(C212="","",B212=リスト!$C$5,SUMIF(INDEX(B:B,MATCH(I212-1,I:I,0)+1,1):INDEX(B:B,MATCH(I212,I:I,0)-1,1),リスト!$C$7,INDEX(G:G,MATCH(I212-1,I:I,0)+1,1):INDEX(G:G,MATCH(I212,I:I,0)-1,1)),"")</f>
        <v>#NAME?</v>
      </c>
      <c r="I212" s="200" t="str">
        <f>IF(OR(B212=リスト!$C$5,B212=リスト!$C$6),COUNTIF($B$9:B212,リスト!$C$5)+COUNTIF($B$9:B212,リスト!$C$6),"")</f>
        <v/>
      </c>
    </row>
    <row r="213" spans="2:9" x14ac:dyDescent="0.2">
      <c r="B213" s="196"/>
      <c r="C213" s="197">
        <v>45430.261886574073</v>
      </c>
      <c r="D213" s="197">
        <v>45430.262187499997</v>
      </c>
      <c r="E213" s="198" t="s">
        <v>244</v>
      </c>
      <c r="F213" s="199"/>
      <c r="G213" s="140" t="e">
        <f ca="1">mif(C213="","",OR(B213=リスト!$C$5,B213=リスト!$C$6),SUM(INDEX(G:G,MATCH(I213-1,I:I,0)+1,1):INDEX(G:G,MATCH(I213,I:I,0)-1,1)),D213-C213)</f>
        <v>#NAME?</v>
      </c>
      <c r="H213" s="140" t="e">
        <f ca="1">mif(C213="","",B213=リスト!$C$5,SUMIF(INDEX(B:B,MATCH(I213-1,I:I,0)+1,1):INDEX(B:B,MATCH(I213,I:I,0)-1,1),リスト!$C$7,INDEX(G:G,MATCH(I213-1,I:I,0)+1,1):INDEX(G:G,MATCH(I213,I:I,0)-1,1)),"")</f>
        <v>#NAME?</v>
      </c>
      <c r="I213" s="200" t="str">
        <f>IF(OR(B213=リスト!$C$5,B213=リスト!$C$6),COUNTIF($B$9:B213,リスト!$C$5)+COUNTIF($B$9:B213,リスト!$C$6),"")</f>
        <v/>
      </c>
    </row>
    <row r="214" spans="2:9" x14ac:dyDescent="0.2">
      <c r="B214" s="196"/>
      <c r="C214" s="197">
        <v>45430.280729166669</v>
      </c>
      <c r="D214" s="197">
        <v>45430.2809837963</v>
      </c>
      <c r="E214" s="198" t="s">
        <v>244</v>
      </c>
      <c r="F214" s="199"/>
      <c r="G214" s="140" t="e">
        <f ca="1">mif(C214="","",OR(B214=リスト!$C$5,B214=リスト!$C$6),SUM(INDEX(G:G,MATCH(I214-1,I:I,0)+1,1):INDEX(G:G,MATCH(I214,I:I,0)-1,1)),D214-C214)</f>
        <v>#NAME?</v>
      </c>
      <c r="H214" s="140" t="e">
        <f ca="1">mif(C214="","",B214=リスト!$C$5,SUMIF(INDEX(B:B,MATCH(I214-1,I:I,0)+1,1):INDEX(B:B,MATCH(I214,I:I,0)-1,1),リスト!$C$7,INDEX(G:G,MATCH(I214-1,I:I,0)+1,1):INDEX(G:G,MATCH(I214,I:I,0)-1,1)),"")</f>
        <v>#NAME?</v>
      </c>
      <c r="I214" s="200" t="str">
        <f>IF(OR(B214=リスト!$C$5,B214=リスト!$C$6),COUNTIF($B$9:B214,リスト!$C$5)+COUNTIF($B$9:B214,リスト!$C$6),"")</f>
        <v/>
      </c>
    </row>
    <row r="215" spans="2:9" x14ac:dyDescent="0.2">
      <c r="B215" s="196"/>
      <c r="C215" s="197">
        <v>45430.341226851851</v>
      </c>
      <c r="D215" s="197">
        <v>45430.341504629629</v>
      </c>
      <c r="E215" s="198" t="s">
        <v>244</v>
      </c>
      <c r="F215" s="199"/>
      <c r="G215" s="140" t="e">
        <f ca="1">mif(C215="","",OR(B215=リスト!$C$5,B215=リスト!$C$6),SUM(INDEX(G:G,MATCH(I215-1,I:I,0)+1,1):INDEX(G:G,MATCH(I215,I:I,0)-1,1)),D215-C215)</f>
        <v>#NAME?</v>
      </c>
      <c r="H215" s="140" t="e">
        <f ca="1">mif(C215="","",B215=リスト!$C$5,SUMIF(INDEX(B:B,MATCH(I215-1,I:I,0)+1,1):INDEX(B:B,MATCH(I215,I:I,0)-1,1),リスト!$C$7,INDEX(G:G,MATCH(I215-1,I:I,0)+1,1):INDEX(G:G,MATCH(I215,I:I,0)-1,1)),"")</f>
        <v>#NAME?</v>
      </c>
      <c r="I215" s="200" t="str">
        <f>IF(OR(B215=リスト!$C$5,B215=リスト!$C$6),COUNTIF($B$9:B215,リスト!$C$5)+COUNTIF($B$9:B215,リスト!$C$6),"")</f>
        <v/>
      </c>
    </row>
    <row r="216" spans="2:9" x14ac:dyDescent="0.2">
      <c r="B216" s="196"/>
      <c r="C216" s="197">
        <v>45430.35361111111</v>
      </c>
      <c r="D216" s="197">
        <v>45430.353912037041</v>
      </c>
      <c r="E216" s="198" t="s">
        <v>244</v>
      </c>
      <c r="F216" s="199"/>
      <c r="G216" s="140" t="e">
        <f ca="1">mif(C216="","",OR(B216=リスト!$C$5,B216=リスト!$C$6),SUM(INDEX(G:G,MATCH(I216-1,I:I,0)+1,1):INDEX(G:G,MATCH(I216,I:I,0)-1,1)),D216-C216)</f>
        <v>#NAME?</v>
      </c>
      <c r="H216" s="140" t="e">
        <f ca="1">mif(C216="","",B216=リスト!$C$5,SUMIF(INDEX(B:B,MATCH(I216-1,I:I,0)+1,1):INDEX(B:B,MATCH(I216,I:I,0)-1,1),リスト!$C$7,INDEX(G:G,MATCH(I216-1,I:I,0)+1,1):INDEX(G:G,MATCH(I216,I:I,0)-1,1)),"")</f>
        <v>#NAME?</v>
      </c>
      <c r="I216" s="200" t="str">
        <f>IF(OR(B216=リスト!$C$5,B216=リスト!$C$6),COUNTIF($B$9:B216,リスト!$C$5)+COUNTIF($B$9:B216,リスト!$C$6),"")</f>
        <v/>
      </c>
    </row>
    <row r="217" spans="2:9" x14ac:dyDescent="0.2">
      <c r="B217" s="196"/>
      <c r="C217" s="197">
        <v>45430.387546296297</v>
      </c>
      <c r="D217" s="197">
        <v>45430.387916666667</v>
      </c>
      <c r="E217" s="198" t="s">
        <v>244</v>
      </c>
      <c r="F217" s="199"/>
      <c r="G217" s="140" t="e">
        <f ca="1">mif(C217="","",OR(B217=リスト!$C$5,B217=リスト!$C$6),SUM(INDEX(G:G,MATCH(I217-1,I:I,0)+1,1):INDEX(G:G,MATCH(I217,I:I,0)-1,1)),D217-C217)</f>
        <v>#NAME?</v>
      </c>
      <c r="H217" s="140" t="e">
        <f ca="1">mif(C217="","",B217=リスト!$C$5,SUMIF(INDEX(B:B,MATCH(I217-1,I:I,0)+1,1):INDEX(B:B,MATCH(I217,I:I,0)-1,1),リスト!$C$7,INDEX(G:G,MATCH(I217-1,I:I,0)+1,1):INDEX(G:G,MATCH(I217,I:I,0)-1,1)),"")</f>
        <v>#NAME?</v>
      </c>
      <c r="I217" s="200" t="str">
        <f>IF(OR(B217=リスト!$C$5,B217=リスト!$C$6),COUNTIF($B$9:B217,リスト!$C$5)+COUNTIF($B$9:B217,リスト!$C$6),"")</f>
        <v/>
      </c>
    </row>
    <row r="218" spans="2:9" x14ac:dyDescent="0.2">
      <c r="B218" s="196" t="s">
        <v>247</v>
      </c>
      <c r="C218" s="197">
        <v>45429.916666666664</v>
      </c>
      <c r="D218" s="197">
        <v>45430.416666666664</v>
      </c>
      <c r="E218" s="198">
        <v>16</v>
      </c>
      <c r="F218" s="199"/>
      <c r="G218" s="140" t="e">
        <f ca="1">mif(C218="","",OR(B218=リスト!$C$5,B218=リスト!$C$6),SUM(INDEX(G:G,MATCH(I218-1,I:I,0)+1,1):INDEX(G:G,MATCH(I218,I:I,0)-1,1)),D218-C218)</f>
        <v>#NAME?</v>
      </c>
      <c r="H218" s="140" t="e">
        <f ca="1">mif(C218="","",B218=リスト!$C$5,SUMIF(INDEX(B:B,MATCH(I218-1,I:I,0)+1,1):INDEX(B:B,MATCH(I218,I:I,0)-1,1),リスト!$C$7,INDEX(G:G,MATCH(I218-1,I:I,0)+1,1):INDEX(G:G,MATCH(I218,I:I,0)-1,1)),"")</f>
        <v>#NAME?</v>
      </c>
      <c r="I218" s="200">
        <f>IF(OR(B218=リスト!$C$5,B218=リスト!$C$6),COUNTIF($B$9:B218,リスト!$C$5)+COUNTIF($B$9:B218,リスト!$C$6),"")</f>
        <v>15</v>
      </c>
    </row>
    <row r="219" spans="2:9" x14ac:dyDescent="0.2">
      <c r="B219" s="196"/>
      <c r="C219" s="197">
        <v>45430.627905092595</v>
      </c>
      <c r="D219" s="197">
        <v>45430.628159722219</v>
      </c>
      <c r="E219" s="198" t="s">
        <v>244</v>
      </c>
      <c r="F219" s="199"/>
      <c r="G219" s="140" t="e">
        <f ca="1">mif(C219="","",OR(B219=リスト!$C$5,B219=リスト!$C$6),SUM(INDEX(G:G,MATCH(I219-1,I:I,0)+1,1):INDEX(G:G,MATCH(I219,I:I,0)-1,1)),D219-C219)</f>
        <v>#NAME?</v>
      </c>
      <c r="H219" s="140" t="e">
        <f ca="1">mif(C219="","",B219=リスト!$C$5,SUMIF(INDEX(B:B,MATCH(I219-1,I:I,0)+1,1):INDEX(B:B,MATCH(I219,I:I,0)-1,1),リスト!$C$7,INDEX(G:G,MATCH(I219-1,I:I,0)+1,1):INDEX(G:G,MATCH(I219,I:I,0)-1,1)),"")</f>
        <v>#NAME?</v>
      </c>
      <c r="I219" s="200" t="str">
        <f>IF(OR(B219=リスト!$C$5,B219=リスト!$C$6),COUNTIF($B$9:B219,リスト!$C$5)+COUNTIF($B$9:B219,リスト!$C$6),"")</f>
        <v/>
      </c>
    </row>
    <row r="220" spans="2:9" x14ac:dyDescent="0.2">
      <c r="B220" s="196"/>
      <c r="C220" s="197">
        <v>45430.639432870368</v>
      </c>
      <c r="D220" s="197">
        <v>45430.640601851854</v>
      </c>
      <c r="E220" s="198" t="s">
        <v>244</v>
      </c>
      <c r="F220" s="199"/>
      <c r="G220" s="140" t="e">
        <f ca="1">mif(C220="","",OR(B220=リスト!$C$5,B220=リスト!$C$6),SUM(INDEX(G:G,MATCH(I220-1,I:I,0)+1,1):INDEX(G:G,MATCH(I220,I:I,0)-1,1)),D220-C220)</f>
        <v>#NAME?</v>
      </c>
      <c r="H220" s="140" t="e">
        <f ca="1">mif(C220="","",B220=リスト!$C$5,SUMIF(INDEX(B:B,MATCH(I220-1,I:I,0)+1,1):INDEX(B:B,MATCH(I220,I:I,0)-1,1),リスト!$C$7,INDEX(G:G,MATCH(I220-1,I:I,0)+1,1):INDEX(G:G,MATCH(I220,I:I,0)-1,1)),"")</f>
        <v>#NAME?</v>
      </c>
      <c r="I220" s="200" t="str">
        <f>IF(OR(B220=リスト!$C$5,B220=リスト!$C$6),COUNTIF($B$9:B220,リスト!$C$5)+COUNTIF($B$9:B220,リスト!$C$6),"")</f>
        <v/>
      </c>
    </row>
    <row r="221" spans="2:9" x14ac:dyDescent="0.2">
      <c r="B221" s="196"/>
      <c r="C221" s="197">
        <v>45430.645972222221</v>
      </c>
      <c r="D221" s="197">
        <v>45430.646296296298</v>
      </c>
      <c r="E221" s="198" t="s">
        <v>244</v>
      </c>
      <c r="F221" s="199"/>
      <c r="G221" s="140" t="e">
        <f ca="1">mif(C221="","",OR(B221=リスト!$C$5,B221=リスト!$C$6),SUM(INDEX(G:G,MATCH(I221-1,I:I,0)+1,1):INDEX(G:G,MATCH(I221,I:I,0)-1,1)),D221-C221)</f>
        <v>#NAME?</v>
      </c>
      <c r="H221" s="140" t="e">
        <f ca="1">mif(C221="","",B221=リスト!$C$5,SUMIF(INDEX(B:B,MATCH(I221-1,I:I,0)+1,1):INDEX(B:B,MATCH(I221,I:I,0)-1,1),リスト!$C$7,INDEX(G:G,MATCH(I221-1,I:I,0)+1,1):INDEX(G:G,MATCH(I221,I:I,0)-1,1)),"")</f>
        <v>#NAME?</v>
      </c>
      <c r="I221" s="200" t="str">
        <f>IF(OR(B221=リスト!$C$5,B221=リスト!$C$6),COUNTIF($B$9:B221,リスト!$C$5)+COUNTIF($B$9:B221,リスト!$C$6),"")</f>
        <v/>
      </c>
    </row>
    <row r="222" spans="2:9" x14ac:dyDescent="0.2">
      <c r="B222" s="196"/>
      <c r="C222" s="197">
        <v>45430.652291666665</v>
      </c>
      <c r="D222" s="197">
        <v>45430.652708333335</v>
      </c>
      <c r="E222" s="198" t="s">
        <v>244</v>
      </c>
      <c r="F222" s="199"/>
      <c r="G222" s="140" t="e">
        <f ca="1">mif(C222="","",OR(B222=リスト!$C$5,B222=リスト!$C$6),SUM(INDEX(G:G,MATCH(I222-1,I:I,0)+1,1):INDEX(G:G,MATCH(I222,I:I,0)-1,1)),D222-C222)</f>
        <v>#NAME?</v>
      </c>
      <c r="H222" s="140" t="e">
        <f ca="1">mif(C222="","",B222=リスト!$C$5,SUMIF(INDEX(B:B,MATCH(I222-1,I:I,0)+1,1):INDEX(B:B,MATCH(I222,I:I,0)-1,1),リスト!$C$7,INDEX(G:G,MATCH(I222-1,I:I,0)+1,1):INDEX(G:G,MATCH(I222,I:I,0)-1,1)),"")</f>
        <v>#NAME?</v>
      </c>
      <c r="I222" s="200" t="str">
        <f>IF(OR(B222=リスト!$C$5,B222=リスト!$C$6),COUNTIF($B$9:B222,リスト!$C$5)+COUNTIF($B$9:B222,リスト!$C$6),"")</f>
        <v/>
      </c>
    </row>
    <row r="223" spans="2:9" x14ac:dyDescent="0.2">
      <c r="B223" s="196"/>
      <c r="C223" s="197">
        <v>45430.678229166668</v>
      </c>
      <c r="D223" s="197">
        <v>45430.678460648145</v>
      </c>
      <c r="E223" s="198" t="s">
        <v>244</v>
      </c>
      <c r="F223" s="199"/>
      <c r="G223" s="140" t="e">
        <f ca="1">mif(C223="","",OR(B223=リスト!$C$5,B223=リスト!$C$6),SUM(INDEX(G:G,MATCH(I223-1,I:I,0)+1,1):INDEX(G:G,MATCH(I223,I:I,0)-1,1)),D223-C223)</f>
        <v>#NAME?</v>
      </c>
      <c r="H223" s="140" t="e">
        <f ca="1">mif(C223="","",B223=リスト!$C$5,SUMIF(INDEX(B:B,MATCH(I223-1,I:I,0)+1,1):INDEX(B:B,MATCH(I223,I:I,0)-1,1),リスト!$C$7,INDEX(G:G,MATCH(I223-1,I:I,0)+1,1):INDEX(G:G,MATCH(I223,I:I,0)-1,1)),"")</f>
        <v>#NAME?</v>
      </c>
      <c r="I223" s="200" t="str">
        <f>IF(OR(B223=リスト!$C$5,B223=リスト!$C$6),COUNTIF($B$9:B223,リスト!$C$5)+COUNTIF($B$9:B223,リスト!$C$6),"")</f>
        <v/>
      </c>
    </row>
    <row r="224" spans="2:9" x14ac:dyDescent="0.2">
      <c r="B224" s="196"/>
      <c r="C224" s="197">
        <v>45430.740486111114</v>
      </c>
      <c r="D224" s="197">
        <v>45430.741087962961</v>
      </c>
      <c r="E224" s="198" t="s">
        <v>244</v>
      </c>
      <c r="F224" s="199"/>
      <c r="G224" s="140" t="e">
        <f ca="1">mif(C224="","",OR(B224=リスト!$C$5,B224=リスト!$C$6),SUM(INDEX(G:G,MATCH(I224-1,I:I,0)+1,1):INDEX(G:G,MATCH(I224,I:I,0)-1,1)),D224-C224)</f>
        <v>#NAME?</v>
      </c>
      <c r="H224" s="140" t="e">
        <f ca="1">mif(C224="","",B224=リスト!$C$5,SUMIF(INDEX(B:B,MATCH(I224-1,I:I,0)+1,1):INDEX(B:B,MATCH(I224,I:I,0)-1,1),リスト!$C$7,INDEX(G:G,MATCH(I224-1,I:I,0)+1,1):INDEX(G:G,MATCH(I224,I:I,0)-1,1)),"")</f>
        <v>#NAME?</v>
      </c>
      <c r="I224" s="200" t="str">
        <f>IF(OR(B224=リスト!$C$5,B224=リスト!$C$6),COUNTIF($B$9:B224,リスト!$C$5)+COUNTIF($B$9:B224,リスト!$C$6),"")</f>
        <v/>
      </c>
    </row>
    <row r="225" spans="2:9" x14ac:dyDescent="0.2">
      <c r="B225" s="196"/>
      <c r="C225" s="197">
        <v>45430.828622685185</v>
      </c>
      <c r="D225" s="197">
        <v>45430.828923611109</v>
      </c>
      <c r="E225" s="198" t="s">
        <v>244</v>
      </c>
      <c r="F225" s="199"/>
      <c r="G225" s="140" t="e">
        <f ca="1">mif(C225="","",OR(B225=リスト!$C$5,B225=リスト!$C$6),SUM(INDEX(G:G,MATCH(I225-1,I:I,0)+1,1):INDEX(G:G,MATCH(I225,I:I,0)-1,1)),D225-C225)</f>
        <v>#NAME?</v>
      </c>
      <c r="H225" s="140" t="e">
        <f ca="1">mif(C225="","",B225=リスト!$C$5,SUMIF(INDEX(B:B,MATCH(I225-1,I:I,0)+1,1):INDEX(B:B,MATCH(I225,I:I,0)-1,1),リスト!$C$7,INDEX(G:G,MATCH(I225-1,I:I,0)+1,1):INDEX(G:G,MATCH(I225,I:I,0)-1,1)),"")</f>
        <v>#NAME?</v>
      </c>
      <c r="I225" s="200" t="str">
        <f>IF(OR(B225=リスト!$C$5,B225=リスト!$C$6),COUNTIF($B$9:B225,リスト!$C$5)+COUNTIF($B$9:B225,リスト!$C$6),"")</f>
        <v/>
      </c>
    </row>
    <row r="226" spans="2:9" x14ac:dyDescent="0.2">
      <c r="B226" s="196"/>
      <c r="C226" s="197">
        <v>45430.837557870371</v>
      </c>
      <c r="D226" s="197">
        <v>45430.83866898148</v>
      </c>
      <c r="E226" s="198" t="s">
        <v>244</v>
      </c>
      <c r="F226" s="199"/>
      <c r="G226" s="140" t="e">
        <f ca="1">mif(C226="","",OR(B226=リスト!$C$5,B226=リスト!$C$6),SUM(INDEX(G:G,MATCH(I226-1,I:I,0)+1,1):INDEX(G:G,MATCH(I226,I:I,0)-1,1)),D226-C226)</f>
        <v>#NAME?</v>
      </c>
      <c r="H226" s="140" t="e">
        <f ca="1">mif(C226="","",B226=リスト!$C$5,SUMIF(INDEX(B:B,MATCH(I226-1,I:I,0)+1,1):INDEX(B:B,MATCH(I226,I:I,0)-1,1),リスト!$C$7,INDEX(G:G,MATCH(I226-1,I:I,0)+1,1):INDEX(G:G,MATCH(I226,I:I,0)-1,1)),"")</f>
        <v>#NAME?</v>
      </c>
      <c r="I226" s="200" t="str">
        <f>IF(OR(B226=リスト!$C$5,B226=リスト!$C$6),COUNTIF($B$9:B226,リスト!$C$5)+COUNTIF($B$9:B226,リスト!$C$6),"")</f>
        <v/>
      </c>
    </row>
    <row r="227" spans="2:9" x14ac:dyDescent="0.2">
      <c r="B227" s="196"/>
      <c r="C227" s="197">
        <v>45430.847291666665</v>
      </c>
      <c r="D227" s="197">
        <v>45430.847546296296</v>
      </c>
      <c r="E227" s="198" t="s">
        <v>244</v>
      </c>
      <c r="F227" s="199"/>
      <c r="G227" s="140" t="e">
        <f ca="1">mif(C227="","",OR(B227=リスト!$C$5,B227=リスト!$C$6),SUM(INDEX(G:G,MATCH(I227-1,I:I,0)+1,1):INDEX(G:G,MATCH(I227,I:I,0)-1,1)),D227-C227)</f>
        <v>#NAME?</v>
      </c>
      <c r="H227" s="140" t="e">
        <f ca="1">mif(C227="","",B227=リスト!$C$5,SUMIF(INDEX(B:B,MATCH(I227-1,I:I,0)+1,1):INDEX(B:B,MATCH(I227,I:I,0)-1,1),リスト!$C$7,INDEX(G:G,MATCH(I227-1,I:I,0)+1,1):INDEX(G:G,MATCH(I227,I:I,0)-1,1)),"")</f>
        <v>#NAME?</v>
      </c>
      <c r="I227" s="200" t="str">
        <f>IF(OR(B227=リスト!$C$5,B227=リスト!$C$6),COUNTIF($B$9:B227,リスト!$C$5)+COUNTIF($B$9:B227,リスト!$C$6),"")</f>
        <v/>
      </c>
    </row>
    <row r="228" spans="2:9" x14ac:dyDescent="0.2">
      <c r="B228" s="196"/>
      <c r="C228" s="197">
        <v>45430.855787037035</v>
      </c>
      <c r="D228" s="197">
        <v>45430.856064814812</v>
      </c>
      <c r="E228" s="198" t="s">
        <v>244</v>
      </c>
      <c r="F228" s="199"/>
      <c r="G228" s="140" t="e">
        <f ca="1">mif(C228="","",OR(B228=リスト!$C$5,B228=リスト!$C$6),SUM(INDEX(G:G,MATCH(I228-1,I:I,0)+1,1):INDEX(G:G,MATCH(I228,I:I,0)-1,1)),D228-C228)</f>
        <v>#NAME?</v>
      </c>
      <c r="H228" s="140" t="e">
        <f ca="1">mif(C228="","",B228=リスト!$C$5,SUMIF(INDEX(B:B,MATCH(I228-1,I:I,0)+1,1):INDEX(B:B,MATCH(I228,I:I,0)-1,1),リスト!$C$7,INDEX(G:G,MATCH(I228-1,I:I,0)+1,1):INDEX(G:G,MATCH(I228,I:I,0)-1,1)),"")</f>
        <v>#NAME?</v>
      </c>
      <c r="I228" s="200" t="str">
        <f>IF(OR(B228=リスト!$C$5,B228=リスト!$C$6),COUNTIF($B$9:B228,リスト!$C$5)+COUNTIF($B$9:B228,リスト!$C$6),"")</f>
        <v/>
      </c>
    </row>
    <row r="229" spans="2:9" x14ac:dyDescent="0.2">
      <c r="B229" s="196"/>
      <c r="C229" s="197">
        <v>45430.885081018518</v>
      </c>
      <c r="D229" s="197">
        <v>45430.885358796295</v>
      </c>
      <c r="E229" s="198" t="s">
        <v>244</v>
      </c>
      <c r="F229" s="199"/>
      <c r="G229" s="140" t="e">
        <f ca="1">mif(C229="","",OR(B229=リスト!$C$5,B229=リスト!$C$6),SUM(INDEX(G:G,MATCH(I229-1,I:I,0)+1,1):INDEX(G:G,MATCH(I229,I:I,0)-1,1)),D229-C229)</f>
        <v>#NAME?</v>
      </c>
      <c r="H229" s="140" t="e">
        <f ca="1">mif(C229="","",B229=リスト!$C$5,SUMIF(INDEX(B:B,MATCH(I229-1,I:I,0)+1,1):INDEX(B:B,MATCH(I229,I:I,0)-1,1),リスト!$C$7,INDEX(G:G,MATCH(I229-1,I:I,0)+1,1):INDEX(G:G,MATCH(I229,I:I,0)-1,1)),"")</f>
        <v>#NAME?</v>
      </c>
      <c r="I229" s="200" t="str">
        <f>IF(OR(B229=リスト!$C$5,B229=リスト!$C$6),COUNTIF($B$9:B229,リスト!$C$5)+COUNTIF($B$9:B229,リスト!$C$6),"")</f>
        <v/>
      </c>
    </row>
    <row r="230" spans="2:9" x14ac:dyDescent="0.2">
      <c r="B230" s="196" t="s">
        <v>247</v>
      </c>
      <c r="C230" s="197">
        <v>45430.416666666664</v>
      </c>
      <c r="D230" s="197">
        <v>45430.916666666664</v>
      </c>
      <c r="E230" s="198">
        <v>11</v>
      </c>
      <c r="F230" s="199"/>
      <c r="G230" s="140" t="e">
        <f ca="1">mif(C230="","",OR(B230=リスト!$C$5,B230=リスト!$C$6),SUM(INDEX(G:G,MATCH(I230-1,I:I,0)+1,1):INDEX(G:G,MATCH(I230,I:I,0)-1,1)),D230-C230)</f>
        <v>#NAME?</v>
      </c>
      <c r="H230" s="140" t="e">
        <f ca="1">mif(C230="","",B230=リスト!$C$5,SUMIF(INDEX(B:B,MATCH(I230-1,I:I,0)+1,1):INDEX(B:B,MATCH(I230,I:I,0)-1,1),リスト!$C$7,INDEX(G:G,MATCH(I230-1,I:I,0)+1,1):INDEX(G:G,MATCH(I230,I:I,0)-1,1)),"")</f>
        <v>#NAME?</v>
      </c>
      <c r="I230" s="200">
        <f>IF(OR(B230=リスト!$C$5,B230=リスト!$C$6),COUNTIF($B$9:B230,リスト!$C$5)+COUNTIF($B$9:B230,リスト!$C$6),"")</f>
        <v>16</v>
      </c>
    </row>
    <row r="231" spans="2:9" x14ac:dyDescent="0.2">
      <c r="B231" s="196"/>
      <c r="C231" s="197">
        <v>45430.975289351853</v>
      </c>
      <c r="D231" s="197">
        <v>45430.975868055553</v>
      </c>
      <c r="E231" s="198" t="s">
        <v>244</v>
      </c>
      <c r="F231" s="199"/>
      <c r="G231" s="140" t="e">
        <f ca="1">mif(C231="","",OR(B231=リスト!$C$5,B231=リスト!$C$6),SUM(INDEX(G:G,MATCH(I231-1,I:I,0)+1,1):INDEX(G:G,MATCH(I231,I:I,0)-1,1)),D231-C231)</f>
        <v>#NAME?</v>
      </c>
      <c r="H231" s="140" t="e">
        <f ca="1">mif(C231="","",B231=リスト!$C$5,SUMIF(INDEX(B:B,MATCH(I231-1,I:I,0)+1,1):INDEX(B:B,MATCH(I231,I:I,0)-1,1),リスト!$C$7,INDEX(G:G,MATCH(I231-1,I:I,0)+1,1):INDEX(G:G,MATCH(I231,I:I,0)-1,1)),"")</f>
        <v>#NAME?</v>
      </c>
      <c r="I231" s="200" t="str">
        <f>IF(OR(B231=リスト!$C$5,B231=リスト!$C$6),COUNTIF($B$9:B231,リスト!$C$5)+COUNTIF($B$9:B231,リスト!$C$6),"")</f>
        <v/>
      </c>
    </row>
    <row r="232" spans="2:9" x14ac:dyDescent="0.2">
      <c r="B232" s="196"/>
      <c r="C232" s="197">
        <v>45430.977372685185</v>
      </c>
      <c r="D232" s="197">
        <v>45430.977627314816</v>
      </c>
      <c r="E232" s="198" t="s">
        <v>244</v>
      </c>
      <c r="F232" s="199"/>
      <c r="G232" s="140" t="e">
        <f ca="1">mif(C232="","",OR(B232=リスト!$C$5,B232=リスト!$C$6),SUM(INDEX(G:G,MATCH(I232-1,I:I,0)+1,1):INDEX(G:G,MATCH(I232,I:I,0)-1,1)),D232-C232)</f>
        <v>#NAME?</v>
      </c>
      <c r="H232" s="140" t="e">
        <f ca="1">mif(C232="","",B232=リスト!$C$5,SUMIF(INDEX(B:B,MATCH(I232-1,I:I,0)+1,1):INDEX(B:B,MATCH(I232,I:I,0)-1,1),リスト!$C$7,INDEX(G:G,MATCH(I232-1,I:I,0)+1,1):INDEX(G:G,MATCH(I232,I:I,0)-1,1)),"")</f>
        <v>#NAME?</v>
      </c>
      <c r="I232" s="200" t="str">
        <f>IF(OR(B232=リスト!$C$5,B232=リスト!$C$6),COUNTIF($B$9:B232,リスト!$C$5)+COUNTIF($B$9:B232,リスト!$C$6),"")</f>
        <v/>
      </c>
    </row>
    <row r="233" spans="2:9" x14ac:dyDescent="0.2">
      <c r="B233" s="196"/>
      <c r="C233" s="197">
        <v>45431.041006944448</v>
      </c>
      <c r="D233" s="197">
        <v>45431.041377314818</v>
      </c>
      <c r="E233" s="198" t="s">
        <v>244</v>
      </c>
      <c r="F233" s="199"/>
      <c r="G233" s="140" t="e">
        <f ca="1">mif(C233="","",OR(B233=リスト!$C$5,B233=リスト!$C$6),SUM(INDEX(G:G,MATCH(I233-1,I:I,0)+1,1):INDEX(G:G,MATCH(I233,I:I,0)-1,1)),D233-C233)</f>
        <v>#NAME?</v>
      </c>
      <c r="H233" s="140" t="e">
        <f ca="1">mif(C233="","",B233=リスト!$C$5,SUMIF(INDEX(B:B,MATCH(I233-1,I:I,0)+1,1):INDEX(B:B,MATCH(I233,I:I,0)-1,1),リスト!$C$7,INDEX(G:G,MATCH(I233-1,I:I,0)+1,1):INDEX(G:G,MATCH(I233,I:I,0)-1,1)),"")</f>
        <v>#NAME?</v>
      </c>
      <c r="I233" s="200" t="str">
        <f>IF(OR(B233=リスト!$C$5,B233=リスト!$C$6),COUNTIF($B$9:B233,リスト!$C$5)+COUNTIF($B$9:B233,リスト!$C$6),"")</f>
        <v/>
      </c>
    </row>
    <row r="234" spans="2:9" x14ac:dyDescent="0.2">
      <c r="B234" s="196"/>
      <c r="C234" s="197">
        <v>45431.045856481483</v>
      </c>
      <c r="D234" s="197">
        <v>45431.046157407407</v>
      </c>
      <c r="E234" s="198" t="s">
        <v>244</v>
      </c>
      <c r="F234" s="199"/>
      <c r="G234" s="140" t="e">
        <f ca="1">mif(C234="","",OR(B234=リスト!$C$5,B234=リスト!$C$6),SUM(INDEX(G:G,MATCH(I234-1,I:I,0)+1,1):INDEX(G:G,MATCH(I234,I:I,0)-1,1)),D234-C234)</f>
        <v>#NAME?</v>
      </c>
      <c r="H234" s="140" t="e">
        <f ca="1">mif(C234="","",B234=リスト!$C$5,SUMIF(INDEX(B:B,MATCH(I234-1,I:I,0)+1,1):INDEX(B:B,MATCH(I234,I:I,0)-1,1),リスト!$C$7,INDEX(G:G,MATCH(I234-1,I:I,0)+1,1):INDEX(G:G,MATCH(I234,I:I,0)-1,1)),"")</f>
        <v>#NAME?</v>
      </c>
      <c r="I234" s="200" t="str">
        <f>IF(OR(B234=リスト!$C$5,B234=リスト!$C$6),COUNTIF($B$9:B234,リスト!$C$5)+COUNTIF($B$9:B234,リスト!$C$6),"")</f>
        <v/>
      </c>
    </row>
    <row r="235" spans="2:9" x14ac:dyDescent="0.2">
      <c r="B235" s="196"/>
      <c r="C235" s="197">
        <v>45431.046296296299</v>
      </c>
      <c r="D235" s="197">
        <v>45431.046666666669</v>
      </c>
      <c r="E235" s="198" t="s">
        <v>244</v>
      </c>
      <c r="F235" s="199"/>
      <c r="G235" s="140" t="e">
        <f ca="1">mif(C235="","",OR(B235=リスト!$C$5,B235=リスト!$C$6),SUM(INDEX(G:G,MATCH(I235-1,I:I,0)+1,1):INDEX(G:G,MATCH(I235,I:I,0)-1,1)),D235-C235)</f>
        <v>#NAME?</v>
      </c>
      <c r="H235" s="140" t="e">
        <f ca="1">mif(C235="","",B235=リスト!$C$5,SUMIF(INDEX(B:B,MATCH(I235-1,I:I,0)+1,1):INDEX(B:B,MATCH(I235,I:I,0)-1,1),リスト!$C$7,INDEX(G:G,MATCH(I235-1,I:I,0)+1,1):INDEX(G:G,MATCH(I235,I:I,0)-1,1)),"")</f>
        <v>#NAME?</v>
      </c>
      <c r="I235" s="200" t="str">
        <f>IF(OR(B235=リスト!$C$5,B235=リスト!$C$6),COUNTIF($B$9:B235,リスト!$C$5)+COUNTIF($B$9:B235,リスト!$C$6),"")</f>
        <v/>
      </c>
    </row>
    <row r="236" spans="2:9" x14ac:dyDescent="0.2">
      <c r="B236" s="196"/>
      <c r="C236" s="197">
        <v>45431.086678240739</v>
      </c>
      <c r="D236" s="197">
        <v>45431.08693287037</v>
      </c>
      <c r="E236" s="198" t="s">
        <v>244</v>
      </c>
      <c r="F236" s="199"/>
      <c r="G236" s="140" t="e">
        <f ca="1">mif(C236="","",OR(B236=リスト!$C$5,B236=リスト!$C$6),SUM(INDEX(G:G,MATCH(I236-1,I:I,0)+1,1):INDEX(G:G,MATCH(I236,I:I,0)-1,1)),D236-C236)</f>
        <v>#NAME?</v>
      </c>
      <c r="H236" s="140" t="e">
        <f ca="1">mif(C236="","",B236=リスト!$C$5,SUMIF(INDEX(B:B,MATCH(I236-1,I:I,0)+1,1):INDEX(B:B,MATCH(I236,I:I,0)-1,1),リスト!$C$7,INDEX(G:G,MATCH(I236-1,I:I,0)+1,1):INDEX(G:G,MATCH(I236,I:I,0)-1,1)),"")</f>
        <v>#NAME?</v>
      </c>
      <c r="I236" s="200" t="str">
        <f>IF(OR(B236=リスト!$C$5,B236=リスト!$C$6),COUNTIF($B$9:B236,リスト!$C$5)+COUNTIF($B$9:B236,リスト!$C$6),"")</f>
        <v/>
      </c>
    </row>
    <row r="237" spans="2:9" x14ac:dyDescent="0.2">
      <c r="B237" s="196"/>
      <c r="C237" s="197">
        <v>45431.113634259258</v>
      </c>
      <c r="D237" s="197">
        <v>45431.113935185182</v>
      </c>
      <c r="E237" s="198" t="s">
        <v>244</v>
      </c>
      <c r="F237" s="199"/>
      <c r="G237" s="140" t="e">
        <f ca="1">mif(C237="","",OR(B237=リスト!$C$5,B237=リスト!$C$6),SUM(INDEX(G:G,MATCH(I237-1,I:I,0)+1,1):INDEX(G:G,MATCH(I237,I:I,0)-1,1)),D237-C237)</f>
        <v>#NAME?</v>
      </c>
      <c r="H237" s="140" t="e">
        <f ca="1">mif(C237="","",B237=リスト!$C$5,SUMIF(INDEX(B:B,MATCH(I237-1,I:I,0)+1,1):INDEX(B:B,MATCH(I237,I:I,0)-1,1),リスト!$C$7,INDEX(G:G,MATCH(I237-1,I:I,0)+1,1):INDEX(G:G,MATCH(I237,I:I,0)-1,1)),"")</f>
        <v>#NAME?</v>
      </c>
      <c r="I237" s="200" t="str">
        <f>IF(OR(B237=リスト!$C$5,B237=リスト!$C$6),COUNTIF($B$9:B237,リスト!$C$5)+COUNTIF($B$9:B237,リスト!$C$6),"")</f>
        <v/>
      </c>
    </row>
    <row r="238" spans="2:9" x14ac:dyDescent="0.2">
      <c r="B238" s="196"/>
      <c r="C238" s="197">
        <v>45431.142118055555</v>
      </c>
      <c r="D238" s="197">
        <v>45431.143807870372</v>
      </c>
      <c r="E238" s="198" t="s">
        <v>244</v>
      </c>
      <c r="F238" s="199"/>
      <c r="G238" s="140" t="e">
        <f ca="1">mif(C238="","",OR(B238=リスト!$C$5,B238=リスト!$C$6),SUM(INDEX(G:G,MATCH(I238-1,I:I,0)+1,1):INDEX(G:G,MATCH(I238,I:I,0)-1,1)),D238-C238)</f>
        <v>#NAME?</v>
      </c>
      <c r="H238" s="140" t="e">
        <f ca="1">mif(C238="","",B238=リスト!$C$5,SUMIF(INDEX(B:B,MATCH(I238-1,I:I,0)+1,1):INDEX(B:B,MATCH(I238,I:I,0)-1,1),リスト!$C$7,INDEX(G:G,MATCH(I238-1,I:I,0)+1,1):INDEX(G:G,MATCH(I238,I:I,0)-1,1)),"")</f>
        <v>#NAME?</v>
      </c>
      <c r="I238" s="200" t="str">
        <f>IF(OR(B238=リスト!$C$5,B238=リスト!$C$6),COUNTIF($B$9:B238,リスト!$C$5)+COUNTIF($B$9:B238,リスト!$C$6),"")</f>
        <v/>
      </c>
    </row>
    <row r="239" spans="2:9" x14ac:dyDescent="0.2">
      <c r="B239" s="196"/>
      <c r="C239" s="197">
        <v>45431.144502314812</v>
      </c>
      <c r="D239" s="197">
        <v>45431.144803240742</v>
      </c>
      <c r="E239" s="198" t="s">
        <v>244</v>
      </c>
      <c r="F239" s="199"/>
      <c r="G239" s="140" t="e">
        <f ca="1">mif(C239="","",OR(B239=リスト!$C$5,B239=リスト!$C$6),SUM(INDEX(G:G,MATCH(I239-1,I:I,0)+1,1):INDEX(G:G,MATCH(I239,I:I,0)-1,1)),D239-C239)</f>
        <v>#NAME?</v>
      </c>
      <c r="H239" s="140" t="e">
        <f ca="1">mif(C239="","",B239=リスト!$C$5,SUMIF(INDEX(B:B,MATCH(I239-1,I:I,0)+1,1):INDEX(B:B,MATCH(I239,I:I,0)-1,1),リスト!$C$7,INDEX(G:G,MATCH(I239-1,I:I,0)+1,1):INDEX(G:G,MATCH(I239,I:I,0)-1,1)),"")</f>
        <v>#NAME?</v>
      </c>
      <c r="I239" s="200" t="str">
        <f>IF(OR(B239=リスト!$C$5,B239=リスト!$C$6),COUNTIF($B$9:B239,リスト!$C$5)+COUNTIF($B$9:B239,リスト!$C$6),"")</f>
        <v/>
      </c>
    </row>
    <row r="240" spans="2:9" x14ac:dyDescent="0.2">
      <c r="B240" s="196"/>
      <c r="C240" s="197">
        <v>45431.197372685187</v>
      </c>
      <c r="D240" s="197">
        <v>45431.19767361111</v>
      </c>
      <c r="E240" s="198" t="s">
        <v>244</v>
      </c>
      <c r="F240" s="199"/>
      <c r="G240" s="140" t="e">
        <f ca="1">mif(C240="","",OR(B240=リスト!$C$5,B240=リスト!$C$6),SUM(INDEX(G:G,MATCH(I240-1,I:I,0)+1,1):INDEX(G:G,MATCH(I240,I:I,0)-1,1)),D240-C240)</f>
        <v>#NAME?</v>
      </c>
      <c r="H240" s="140" t="e">
        <f ca="1">mif(C240="","",B240=リスト!$C$5,SUMIF(INDEX(B:B,MATCH(I240-1,I:I,0)+1,1):INDEX(B:B,MATCH(I240,I:I,0)-1,1),リスト!$C$7,INDEX(G:G,MATCH(I240-1,I:I,0)+1,1):INDEX(G:G,MATCH(I240,I:I,0)-1,1)),"")</f>
        <v>#NAME?</v>
      </c>
      <c r="I240" s="200" t="str">
        <f>IF(OR(B240=リスト!$C$5,B240=リスト!$C$6),COUNTIF($B$9:B240,リスト!$C$5)+COUNTIF($B$9:B240,リスト!$C$6),"")</f>
        <v/>
      </c>
    </row>
    <row r="241" spans="2:9" x14ac:dyDescent="0.2">
      <c r="B241" s="196" t="s">
        <v>245</v>
      </c>
      <c r="C241" s="197">
        <v>45431.202743055554</v>
      </c>
      <c r="D241" s="197">
        <v>45431.207627314812</v>
      </c>
      <c r="E241" s="198"/>
      <c r="F241" s="199" t="s">
        <v>246</v>
      </c>
      <c r="G241" s="140" t="e">
        <f ca="1">mif(C241="","",OR(B241=リスト!$C$5,B241=リスト!$C$6),SUM(INDEX(G:G,MATCH(I241-1,I:I,0)+1,1):INDEX(G:G,MATCH(I241,I:I,0)-1,1)),D241-C241)</f>
        <v>#NAME?</v>
      </c>
      <c r="H241" s="140" t="e">
        <f ca="1">mif(C241="","",B241=リスト!$C$5,SUMIF(INDEX(B:B,MATCH(I241-1,I:I,0)+1,1):INDEX(B:B,MATCH(I241,I:I,0)-1,1),リスト!$C$7,INDEX(G:G,MATCH(I241-1,I:I,0)+1,1):INDEX(G:G,MATCH(I241,I:I,0)-1,1)),"")</f>
        <v>#NAME?</v>
      </c>
      <c r="I241" s="200" t="str">
        <f>IF(OR(B241=リスト!$C$5,B241=リスト!$C$6),COUNTIF($B$9:B241,リスト!$C$5)+COUNTIF($B$9:B241,リスト!$C$6),"")</f>
        <v/>
      </c>
    </row>
    <row r="242" spans="2:9" x14ac:dyDescent="0.2">
      <c r="B242" s="196"/>
      <c r="C242" s="197">
        <v>45431.246168981481</v>
      </c>
      <c r="D242" s="197">
        <v>45431.246400462966</v>
      </c>
      <c r="E242" s="198" t="s">
        <v>244</v>
      </c>
      <c r="F242" s="199"/>
      <c r="G242" s="140" t="e">
        <f ca="1">mif(C242="","",OR(B242=リスト!$C$5,B242=リスト!$C$6),SUM(INDEX(G:G,MATCH(I242-1,I:I,0)+1,1):INDEX(G:G,MATCH(I242,I:I,0)-1,1)),D242-C242)</f>
        <v>#NAME?</v>
      </c>
      <c r="H242" s="140" t="e">
        <f ca="1">mif(C242="","",B242=リスト!$C$5,SUMIF(INDEX(B:B,MATCH(I242-1,I:I,0)+1,1):INDEX(B:B,MATCH(I242,I:I,0)-1,1),リスト!$C$7,INDEX(G:G,MATCH(I242-1,I:I,0)+1,1):INDEX(G:G,MATCH(I242,I:I,0)-1,1)),"")</f>
        <v>#NAME?</v>
      </c>
      <c r="I242" s="200" t="str">
        <f>IF(OR(B242=リスト!$C$5,B242=リスト!$C$6),COUNTIF($B$9:B242,リスト!$C$5)+COUNTIF($B$9:B242,リスト!$C$6),"")</f>
        <v/>
      </c>
    </row>
    <row r="243" spans="2:9" x14ac:dyDescent="0.2">
      <c r="B243" s="196"/>
      <c r="C243" s="197">
        <v>45431.254976851851</v>
      </c>
      <c r="D243" s="197">
        <v>45431.255254629628</v>
      </c>
      <c r="E243" s="198" t="s">
        <v>244</v>
      </c>
      <c r="F243" s="199"/>
      <c r="G243" s="140" t="e">
        <f ca="1">mif(C243="","",OR(B243=リスト!$C$5,B243=リスト!$C$6),SUM(INDEX(G:G,MATCH(I243-1,I:I,0)+1,1):INDEX(G:G,MATCH(I243,I:I,0)-1,1)),D243-C243)</f>
        <v>#NAME?</v>
      </c>
      <c r="H243" s="140" t="e">
        <f ca="1">mif(C243="","",B243=リスト!$C$5,SUMIF(INDEX(B:B,MATCH(I243-1,I:I,0)+1,1):INDEX(B:B,MATCH(I243,I:I,0)-1,1),リスト!$C$7,INDEX(G:G,MATCH(I243-1,I:I,0)+1,1):INDEX(G:G,MATCH(I243,I:I,0)-1,1)),"")</f>
        <v>#NAME?</v>
      </c>
      <c r="I243" s="200" t="str">
        <f>IF(OR(B243=リスト!$C$5,B243=リスト!$C$6),COUNTIF($B$9:B243,リスト!$C$5)+COUNTIF($B$9:B243,リスト!$C$6),"")</f>
        <v/>
      </c>
    </row>
    <row r="244" spans="2:9" x14ac:dyDescent="0.2">
      <c r="B244" s="196"/>
      <c r="C244" s="197">
        <v>45431.266689814816</v>
      </c>
      <c r="D244" s="197">
        <v>45431.267175925925</v>
      </c>
      <c r="E244" s="198" t="s">
        <v>244</v>
      </c>
      <c r="F244" s="199"/>
      <c r="G244" s="140" t="e">
        <f ca="1">mif(C244="","",OR(B244=リスト!$C$5,B244=リスト!$C$6),SUM(INDEX(G:G,MATCH(I244-1,I:I,0)+1,1):INDEX(G:G,MATCH(I244,I:I,0)-1,1)),D244-C244)</f>
        <v>#NAME?</v>
      </c>
      <c r="H244" s="140" t="e">
        <f ca="1">mif(C244="","",B244=リスト!$C$5,SUMIF(INDEX(B:B,MATCH(I244-1,I:I,0)+1,1):INDEX(B:B,MATCH(I244,I:I,0)-1,1),リスト!$C$7,INDEX(G:G,MATCH(I244-1,I:I,0)+1,1):INDEX(G:G,MATCH(I244,I:I,0)-1,1)),"")</f>
        <v>#NAME?</v>
      </c>
      <c r="I244" s="200" t="str">
        <f>IF(OR(B244=リスト!$C$5,B244=リスト!$C$6),COUNTIF($B$9:B244,リスト!$C$5)+COUNTIF($B$9:B244,リスト!$C$6),"")</f>
        <v/>
      </c>
    </row>
    <row r="245" spans="2:9" x14ac:dyDescent="0.2">
      <c r="B245" s="196"/>
      <c r="C245" s="197">
        <v>45431.382048611114</v>
      </c>
      <c r="D245" s="197">
        <v>45431.382303240738</v>
      </c>
      <c r="E245" s="198" t="s">
        <v>244</v>
      </c>
      <c r="F245" s="199"/>
      <c r="G245" s="140" t="e">
        <f ca="1">mif(C245="","",OR(B245=リスト!$C$5,B245=リスト!$C$6),SUM(INDEX(G:G,MATCH(I245-1,I:I,0)+1,1):INDEX(G:G,MATCH(I245,I:I,0)-1,1)),D245-C245)</f>
        <v>#NAME?</v>
      </c>
      <c r="H245" s="140" t="e">
        <f ca="1">mif(C245="","",B245=リスト!$C$5,SUMIF(INDEX(B:B,MATCH(I245-1,I:I,0)+1,1):INDEX(B:B,MATCH(I245,I:I,0)-1,1),リスト!$C$7,INDEX(G:G,MATCH(I245-1,I:I,0)+1,1):INDEX(G:G,MATCH(I245,I:I,0)-1,1)),"")</f>
        <v>#NAME?</v>
      </c>
      <c r="I245" s="200" t="str">
        <f>IF(OR(B245=リスト!$C$5,B245=リスト!$C$6),COUNTIF($B$9:B245,リスト!$C$5)+COUNTIF($B$9:B245,リスト!$C$6),"")</f>
        <v/>
      </c>
    </row>
    <row r="246" spans="2:9" x14ac:dyDescent="0.2">
      <c r="B246" s="196" t="s">
        <v>247</v>
      </c>
      <c r="C246" s="197">
        <v>45430.916666666664</v>
      </c>
      <c r="D246" s="197">
        <v>45431.416666666664</v>
      </c>
      <c r="E246" s="198">
        <v>14</v>
      </c>
      <c r="F246" s="199" t="s">
        <v>246</v>
      </c>
      <c r="G246" s="140" t="e">
        <f ca="1">mif(C246="","",OR(B246=リスト!$C$5,B246=リスト!$C$6),SUM(INDEX(G:G,MATCH(I246-1,I:I,0)+1,1):INDEX(G:G,MATCH(I246,I:I,0)-1,1)),D246-C246)</f>
        <v>#NAME?</v>
      </c>
      <c r="H246" s="140" t="e">
        <f ca="1">mif(C246="","",B246=リスト!$C$5,SUMIF(INDEX(B:B,MATCH(I246-1,I:I,0)+1,1):INDEX(B:B,MATCH(I246,I:I,0)-1,1),リスト!$C$7,INDEX(G:G,MATCH(I246-1,I:I,0)+1,1):INDEX(G:G,MATCH(I246,I:I,0)-1,1)),"")</f>
        <v>#NAME?</v>
      </c>
      <c r="I246" s="200">
        <f>IF(OR(B246=リスト!$C$5,B246=リスト!$C$6),COUNTIF($B$9:B246,リスト!$C$5)+COUNTIF($B$9:B246,リスト!$C$6),"")</f>
        <v>17</v>
      </c>
    </row>
    <row r="247" spans="2:9" x14ac:dyDescent="0.2">
      <c r="B247" s="196" t="s">
        <v>245</v>
      </c>
      <c r="C247" s="197">
        <v>45431.457638888889</v>
      </c>
      <c r="D247" s="197">
        <v>45431.466400462959</v>
      </c>
      <c r="E247" s="198"/>
      <c r="F247" s="199" t="s">
        <v>246</v>
      </c>
      <c r="G247" s="140" t="e">
        <f ca="1">mif(C247="","",OR(B247=リスト!$C$5,B247=リスト!$C$6),SUM(INDEX(G:G,MATCH(I247-1,I:I,0)+1,1):INDEX(G:G,MATCH(I247,I:I,0)-1,1)),D247-C247)</f>
        <v>#NAME?</v>
      </c>
      <c r="H247" s="140" t="e">
        <f ca="1">mif(C247="","",B247=リスト!$C$5,SUMIF(INDEX(B:B,MATCH(I247-1,I:I,0)+1,1):INDEX(B:B,MATCH(I247,I:I,0)-1,1),リスト!$C$7,INDEX(G:G,MATCH(I247-1,I:I,0)+1,1):INDEX(G:G,MATCH(I247,I:I,0)-1,1)),"")</f>
        <v>#NAME?</v>
      </c>
      <c r="I247" s="200" t="str">
        <f>IF(OR(B247=リスト!$C$5,B247=リスト!$C$6),COUNTIF($B$9:B247,リスト!$C$5)+COUNTIF($B$9:B247,リスト!$C$6),"")</f>
        <v/>
      </c>
    </row>
    <row r="248" spans="2:9" x14ac:dyDescent="0.2">
      <c r="B248" s="196"/>
      <c r="C248" s="197">
        <v>45431.537627314814</v>
      </c>
      <c r="D248" s="197">
        <v>45431.537905092591</v>
      </c>
      <c r="E248" s="198" t="s">
        <v>244</v>
      </c>
      <c r="F248" s="199"/>
      <c r="G248" s="140" t="e">
        <f ca="1">mif(C248="","",OR(B248=リスト!$C$5,B248=リスト!$C$6),SUM(INDEX(G:G,MATCH(I248-1,I:I,0)+1,1):INDEX(G:G,MATCH(I248,I:I,0)-1,1)),D248-C248)</f>
        <v>#NAME?</v>
      </c>
      <c r="H248" s="140" t="e">
        <f ca="1">mif(C248="","",B248=リスト!$C$5,SUMIF(INDEX(B:B,MATCH(I248-1,I:I,0)+1,1):INDEX(B:B,MATCH(I248,I:I,0)-1,1),リスト!$C$7,INDEX(G:G,MATCH(I248-1,I:I,0)+1,1):INDEX(G:G,MATCH(I248,I:I,0)-1,1)),"")</f>
        <v>#NAME?</v>
      </c>
      <c r="I248" s="200" t="str">
        <f>IF(OR(B248=リスト!$C$5,B248=リスト!$C$6),COUNTIF($B$9:B248,リスト!$C$5)+COUNTIF($B$9:B248,リスト!$C$6),"")</f>
        <v/>
      </c>
    </row>
    <row r="249" spans="2:9" x14ac:dyDescent="0.2">
      <c r="B249" s="196"/>
      <c r="C249" s="197">
        <v>45431.538784722223</v>
      </c>
      <c r="D249" s="197">
        <v>45431.539085648146</v>
      </c>
      <c r="E249" s="198" t="s">
        <v>244</v>
      </c>
      <c r="F249" s="199"/>
      <c r="G249" s="140" t="e">
        <f ca="1">mif(C249="","",OR(B249=リスト!$C$5,B249=リスト!$C$6),SUM(INDEX(G:G,MATCH(I249-1,I:I,0)+1,1):INDEX(G:G,MATCH(I249,I:I,0)-1,1)),D249-C249)</f>
        <v>#NAME?</v>
      </c>
      <c r="H249" s="140" t="e">
        <f ca="1">mif(C249="","",B249=リスト!$C$5,SUMIF(INDEX(B:B,MATCH(I249-1,I:I,0)+1,1):INDEX(B:B,MATCH(I249,I:I,0)-1,1),リスト!$C$7,INDEX(G:G,MATCH(I249-1,I:I,0)+1,1):INDEX(G:G,MATCH(I249,I:I,0)-1,1)),"")</f>
        <v>#NAME?</v>
      </c>
      <c r="I249" s="200" t="str">
        <f>IF(OR(B249=リスト!$C$5,B249=リスト!$C$6),COUNTIF($B$9:B249,リスト!$C$5)+COUNTIF($B$9:B249,リスト!$C$6),"")</f>
        <v/>
      </c>
    </row>
    <row r="250" spans="2:9" x14ac:dyDescent="0.2">
      <c r="B250" s="196"/>
      <c r="C250" s="197">
        <v>45431.552094907405</v>
      </c>
      <c r="D250" s="197">
        <v>45431.552395833336</v>
      </c>
      <c r="E250" s="198" t="s">
        <v>244</v>
      </c>
      <c r="F250" s="199"/>
      <c r="G250" s="140" t="e">
        <f ca="1">mif(C250="","",OR(B250=リスト!$C$5,B250=リスト!$C$6),SUM(INDEX(G:G,MATCH(I250-1,I:I,0)+1,1):INDEX(G:G,MATCH(I250,I:I,0)-1,1)),D250-C250)</f>
        <v>#NAME?</v>
      </c>
      <c r="H250" s="140" t="e">
        <f ca="1">mif(C250="","",B250=リスト!$C$5,SUMIF(INDEX(B:B,MATCH(I250-1,I:I,0)+1,1):INDEX(B:B,MATCH(I250,I:I,0)-1,1),リスト!$C$7,INDEX(G:G,MATCH(I250-1,I:I,0)+1,1):INDEX(G:G,MATCH(I250,I:I,0)-1,1)),"")</f>
        <v>#NAME?</v>
      </c>
      <c r="I250" s="200" t="str">
        <f>IF(OR(B250=リスト!$C$5,B250=リスト!$C$6),COUNTIF($B$9:B250,リスト!$C$5)+COUNTIF($B$9:B250,リスト!$C$6),"")</f>
        <v/>
      </c>
    </row>
    <row r="251" spans="2:9" x14ac:dyDescent="0.2">
      <c r="B251" s="196"/>
      <c r="C251" s="197">
        <v>45431.553206018521</v>
      </c>
      <c r="D251" s="197">
        <v>45431.553460648145</v>
      </c>
      <c r="E251" s="198" t="s">
        <v>244</v>
      </c>
      <c r="F251" s="199"/>
      <c r="G251" s="140" t="e">
        <f ca="1">mif(C251="","",OR(B251=リスト!$C$5,B251=リスト!$C$6),SUM(INDEX(G:G,MATCH(I251-1,I:I,0)+1,1):INDEX(G:G,MATCH(I251,I:I,0)-1,1)),D251-C251)</f>
        <v>#NAME?</v>
      </c>
      <c r="H251" s="140" t="e">
        <f ca="1">mif(C251="","",B251=リスト!$C$5,SUMIF(INDEX(B:B,MATCH(I251-1,I:I,0)+1,1):INDEX(B:B,MATCH(I251,I:I,0)-1,1),リスト!$C$7,INDEX(G:G,MATCH(I251-1,I:I,0)+1,1):INDEX(G:G,MATCH(I251,I:I,0)-1,1)),"")</f>
        <v>#NAME?</v>
      </c>
      <c r="I251" s="200" t="str">
        <f>IF(OR(B251=リスト!$C$5,B251=リスト!$C$6),COUNTIF($B$9:B251,リスト!$C$5)+COUNTIF($B$9:B251,リスト!$C$6),"")</f>
        <v/>
      </c>
    </row>
    <row r="252" spans="2:9" x14ac:dyDescent="0.2">
      <c r="B252" s="196"/>
      <c r="C252" s="197">
        <v>45431.604432870372</v>
      </c>
      <c r="D252" s="197">
        <v>45431.604675925926</v>
      </c>
      <c r="E252" s="198" t="s">
        <v>244</v>
      </c>
      <c r="F252" s="199"/>
      <c r="G252" s="140" t="e">
        <f ca="1">mif(C252="","",OR(B252=リスト!$C$5,B252=リスト!$C$6),SUM(INDEX(G:G,MATCH(I252-1,I:I,0)+1,1):INDEX(G:G,MATCH(I252,I:I,0)-1,1)),D252-C252)</f>
        <v>#NAME?</v>
      </c>
      <c r="H252" s="140" t="e">
        <f ca="1">mif(C252="","",B252=リスト!$C$5,SUMIF(INDEX(B:B,MATCH(I252-1,I:I,0)+1,1):INDEX(B:B,MATCH(I252,I:I,0)-1,1),リスト!$C$7,INDEX(G:G,MATCH(I252-1,I:I,0)+1,1):INDEX(G:G,MATCH(I252,I:I,0)-1,1)),"")</f>
        <v>#NAME?</v>
      </c>
      <c r="I252" s="200" t="str">
        <f>IF(OR(B252=リスト!$C$5,B252=リスト!$C$6),COUNTIF($B$9:B252,リスト!$C$5)+COUNTIF($B$9:B252,リスト!$C$6),"")</f>
        <v/>
      </c>
    </row>
    <row r="253" spans="2:9" x14ac:dyDescent="0.2">
      <c r="B253" s="196"/>
      <c r="C253" s="197">
        <v>45431.644942129627</v>
      </c>
      <c r="D253" s="197">
        <v>45431.645289351851</v>
      </c>
      <c r="E253" s="198" t="s">
        <v>244</v>
      </c>
      <c r="F253" s="199"/>
      <c r="G253" s="140" t="e">
        <f ca="1">mif(C253="","",OR(B253=リスト!$C$5,B253=リスト!$C$6),SUM(INDEX(G:G,MATCH(I253-1,I:I,0)+1,1):INDEX(G:G,MATCH(I253,I:I,0)-1,1)),D253-C253)</f>
        <v>#NAME?</v>
      </c>
      <c r="H253" s="140" t="e">
        <f ca="1">mif(C253="","",B253=リスト!$C$5,SUMIF(INDEX(B:B,MATCH(I253-1,I:I,0)+1,1):INDEX(B:B,MATCH(I253,I:I,0)-1,1),リスト!$C$7,INDEX(G:G,MATCH(I253-1,I:I,0)+1,1):INDEX(G:G,MATCH(I253,I:I,0)-1,1)),"")</f>
        <v>#NAME?</v>
      </c>
      <c r="I253" s="200" t="str">
        <f>IF(OR(B253=リスト!$C$5,B253=リスト!$C$6),COUNTIF($B$9:B253,リスト!$C$5)+COUNTIF($B$9:B253,リスト!$C$6),"")</f>
        <v/>
      </c>
    </row>
    <row r="254" spans="2:9" x14ac:dyDescent="0.2">
      <c r="B254" s="196"/>
      <c r="C254" s="197">
        <v>45431.649016203701</v>
      </c>
      <c r="D254" s="197">
        <v>45431.649247685185</v>
      </c>
      <c r="E254" s="198" t="s">
        <v>244</v>
      </c>
      <c r="F254" s="199"/>
      <c r="G254" s="140" t="e">
        <f ca="1">mif(C254="","",OR(B254=リスト!$C$5,B254=リスト!$C$6),SUM(INDEX(G:G,MATCH(I254-1,I:I,0)+1,1):INDEX(G:G,MATCH(I254,I:I,0)-1,1)),D254-C254)</f>
        <v>#NAME?</v>
      </c>
      <c r="H254" s="140" t="e">
        <f ca="1">mif(C254="","",B254=リスト!$C$5,SUMIF(INDEX(B:B,MATCH(I254-1,I:I,0)+1,1):INDEX(B:B,MATCH(I254,I:I,0)-1,1),リスト!$C$7,INDEX(G:G,MATCH(I254-1,I:I,0)+1,1):INDEX(G:G,MATCH(I254,I:I,0)-1,1)),"")</f>
        <v>#NAME?</v>
      </c>
      <c r="I254" s="200" t="str">
        <f>IF(OR(B254=リスト!$C$5,B254=リスト!$C$6),COUNTIF($B$9:B254,リスト!$C$5)+COUNTIF($B$9:B254,リスト!$C$6),"")</f>
        <v/>
      </c>
    </row>
    <row r="255" spans="2:9" x14ac:dyDescent="0.2">
      <c r="B255" s="196"/>
      <c r="C255" s="197">
        <v>45431.685983796298</v>
      </c>
      <c r="D255" s="197">
        <v>45431.686261574076</v>
      </c>
      <c r="E255" s="198" t="s">
        <v>244</v>
      </c>
      <c r="F255" s="199"/>
      <c r="G255" s="140" t="e">
        <f ca="1">mif(C255="","",OR(B255=リスト!$C$5,B255=リスト!$C$6),SUM(INDEX(G:G,MATCH(I255-1,I:I,0)+1,1):INDEX(G:G,MATCH(I255,I:I,0)-1,1)),D255-C255)</f>
        <v>#NAME?</v>
      </c>
      <c r="H255" s="140" t="e">
        <f ca="1">mif(C255="","",B255=リスト!$C$5,SUMIF(INDEX(B:B,MATCH(I255-1,I:I,0)+1,1):INDEX(B:B,MATCH(I255,I:I,0)-1,1),リスト!$C$7,INDEX(G:G,MATCH(I255-1,I:I,0)+1,1):INDEX(G:G,MATCH(I255,I:I,0)-1,1)),"")</f>
        <v>#NAME?</v>
      </c>
      <c r="I255" s="200" t="str">
        <f>IF(OR(B255=リスト!$C$5,B255=リスト!$C$6),COUNTIF($B$9:B255,リスト!$C$5)+COUNTIF($B$9:B255,リスト!$C$6),"")</f>
        <v/>
      </c>
    </row>
    <row r="256" spans="2:9" x14ac:dyDescent="0.2">
      <c r="B256" s="196"/>
      <c r="C256" s="197">
        <v>45431.792094907411</v>
      </c>
      <c r="D256" s="197">
        <v>45431.793495370373</v>
      </c>
      <c r="E256" s="198" t="s">
        <v>244</v>
      </c>
      <c r="F256" s="199"/>
      <c r="G256" s="140" t="e">
        <f ca="1">mif(C256="","",OR(B256=リスト!$C$5,B256=リスト!$C$6),SUM(INDEX(G:G,MATCH(I256-1,I:I,0)+1,1):INDEX(G:G,MATCH(I256,I:I,0)-1,1)),D256-C256)</f>
        <v>#NAME?</v>
      </c>
      <c r="H256" s="140" t="e">
        <f ca="1">mif(C256="","",B256=リスト!$C$5,SUMIF(INDEX(B:B,MATCH(I256-1,I:I,0)+1,1):INDEX(B:B,MATCH(I256,I:I,0)-1,1),リスト!$C$7,INDEX(G:G,MATCH(I256-1,I:I,0)+1,1):INDEX(G:G,MATCH(I256,I:I,0)-1,1)),"")</f>
        <v>#NAME?</v>
      </c>
      <c r="I256" s="200" t="str">
        <f>IF(OR(B256=リスト!$C$5,B256=リスト!$C$6),COUNTIF($B$9:B256,リスト!$C$5)+COUNTIF($B$9:B256,リスト!$C$6),"")</f>
        <v/>
      </c>
    </row>
    <row r="257" spans="2:9" x14ac:dyDescent="0.2">
      <c r="B257" s="196"/>
      <c r="C257" s="197">
        <v>45431.805104166669</v>
      </c>
      <c r="D257" s="197">
        <v>45431.805590277778</v>
      </c>
      <c r="E257" s="198" t="s">
        <v>244</v>
      </c>
      <c r="F257" s="199"/>
      <c r="G257" s="140" t="e">
        <f ca="1">mif(C257="","",OR(B257=リスト!$C$5,B257=リスト!$C$6),SUM(INDEX(G:G,MATCH(I257-1,I:I,0)+1,1):INDEX(G:G,MATCH(I257,I:I,0)-1,1)),D257-C257)</f>
        <v>#NAME?</v>
      </c>
      <c r="H257" s="140" t="e">
        <f ca="1">mif(C257="","",B257=リスト!$C$5,SUMIF(INDEX(B:B,MATCH(I257-1,I:I,0)+1,1):INDEX(B:B,MATCH(I257,I:I,0)-1,1),リスト!$C$7,INDEX(G:G,MATCH(I257-1,I:I,0)+1,1):INDEX(G:G,MATCH(I257,I:I,0)-1,1)),"")</f>
        <v>#NAME?</v>
      </c>
      <c r="I257" s="200" t="str">
        <f>IF(OR(B257=リスト!$C$5,B257=リスト!$C$6),COUNTIF($B$9:B257,リスト!$C$5)+COUNTIF($B$9:B257,リスト!$C$6),"")</f>
        <v/>
      </c>
    </row>
    <row r="258" spans="2:9" x14ac:dyDescent="0.2">
      <c r="B258" s="196"/>
      <c r="C258" s="197">
        <v>45431.805613425924</v>
      </c>
      <c r="D258" s="197">
        <v>45431.805752314816</v>
      </c>
      <c r="E258" s="198" t="s">
        <v>244</v>
      </c>
      <c r="F258" s="199"/>
      <c r="G258" s="140" t="e">
        <f ca="1">mif(C258="","",OR(B258=リスト!$C$5,B258=リスト!$C$6),SUM(INDEX(G:G,MATCH(I258-1,I:I,0)+1,1):INDEX(G:G,MATCH(I258,I:I,0)-1,1)),D258-C258)</f>
        <v>#NAME?</v>
      </c>
      <c r="H258" s="140" t="e">
        <f ca="1">mif(C258="","",B258=リスト!$C$5,SUMIF(INDEX(B:B,MATCH(I258-1,I:I,0)+1,1):INDEX(B:B,MATCH(I258,I:I,0)-1,1),リスト!$C$7,INDEX(G:G,MATCH(I258-1,I:I,0)+1,1):INDEX(G:G,MATCH(I258,I:I,0)-1,1)),"")</f>
        <v>#NAME?</v>
      </c>
      <c r="I258" s="200" t="str">
        <f>IF(OR(B258=リスト!$C$5,B258=リスト!$C$6),COUNTIF($B$9:B258,リスト!$C$5)+COUNTIF($B$9:B258,リスト!$C$6),"")</f>
        <v/>
      </c>
    </row>
    <row r="259" spans="2:9" x14ac:dyDescent="0.2">
      <c r="B259" s="196"/>
      <c r="C259" s="197">
        <v>45431.871111111112</v>
      </c>
      <c r="D259" s="197">
        <v>45431.871412037035</v>
      </c>
      <c r="E259" s="198" t="s">
        <v>244</v>
      </c>
      <c r="F259" s="199"/>
      <c r="G259" s="140" t="e">
        <f ca="1">mif(C259="","",OR(B259=リスト!$C$5,B259=リスト!$C$6),SUM(INDEX(G:G,MATCH(I259-1,I:I,0)+1,1):INDEX(G:G,MATCH(I259,I:I,0)-1,1)),D259-C259)</f>
        <v>#NAME?</v>
      </c>
      <c r="H259" s="140" t="e">
        <f ca="1">mif(C259="","",B259=リスト!$C$5,SUMIF(INDEX(B:B,MATCH(I259-1,I:I,0)+1,1):INDEX(B:B,MATCH(I259,I:I,0)-1,1),リスト!$C$7,INDEX(G:G,MATCH(I259-1,I:I,0)+1,1):INDEX(G:G,MATCH(I259,I:I,0)-1,1)),"")</f>
        <v>#NAME?</v>
      </c>
      <c r="I259" s="200" t="str">
        <f>IF(OR(B259=リスト!$C$5,B259=リスト!$C$6),COUNTIF($B$9:B259,リスト!$C$5)+COUNTIF($B$9:B259,リスト!$C$6),"")</f>
        <v/>
      </c>
    </row>
    <row r="260" spans="2:9" x14ac:dyDescent="0.2">
      <c r="B260" s="196"/>
      <c r="C260" s="197">
        <v>45431.890243055554</v>
      </c>
      <c r="D260" s="197">
        <v>45431.890706018516</v>
      </c>
      <c r="E260" s="198" t="s">
        <v>244</v>
      </c>
      <c r="F260" s="199"/>
      <c r="G260" s="140" t="e">
        <f ca="1">mif(C260="","",OR(B260=リスト!$C$5,B260=リスト!$C$6),SUM(INDEX(G:G,MATCH(I260-1,I:I,0)+1,1):INDEX(G:G,MATCH(I260,I:I,0)-1,1)),D260-C260)</f>
        <v>#NAME?</v>
      </c>
      <c r="H260" s="140" t="e">
        <f ca="1">mif(C260="","",B260=リスト!$C$5,SUMIF(INDEX(B:B,MATCH(I260-1,I:I,0)+1,1):INDEX(B:B,MATCH(I260,I:I,0)-1,1),リスト!$C$7,INDEX(G:G,MATCH(I260-1,I:I,0)+1,1):INDEX(G:G,MATCH(I260,I:I,0)-1,1)),"")</f>
        <v>#NAME?</v>
      </c>
      <c r="I260" s="200" t="str">
        <f>IF(OR(B260=リスト!$C$5,B260=リスト!$C$6),COUNTIF($B$9:B260,リスト!$C$5)+COUNTIF($B$9:B260,リスト!$C$6),"")</f>
        <v/>
      </c>
    </row>
    <row r="261" spans="2:9" x14ac:dyDescent="0.2">
      <c r="B261" s="196"/>
      <c r="C261" s="197">
        <v>45431.901469907411</v>
      </c>
      <c r="D261" s="197">
        <v>45431.901770833334</v>
      </c>
      <c r="E261" s="198" t="s">
        <v>244</v>
      </c>
      <c r="F261" s="199"/>
      <c r="G261" s="140" t="e">
        <f ca="1">mif(C261="","",OR(B261=リスト!$C$5,B261=リスト!$C$6),SUM(INDEX(G:G,MATCH(I261-1,I:I,0)+1,1):INDEX(G:G,MATCH(I261,I:I,0)-1,1)),D261-C261)</f>
        <v>#NAME?</v>
      </c>
      <c r="H261" s="140" t="e">
        <f ca="1">mif(C261="","",B261=リスト!$C$5,SUMIF(INDEX(B:B,MATCH(I261-1,I:I,0)+1,1):INDEX(B:B,MATCH(I261,I:I,0)-1,1),リスト!$C$7,INDEX(G:G,MATCH(I261-1,I:I,0)+1,1):INDEX(G:G,MATCH(I261,I:I,0)-1,1)),"")</f>
        <v>#NAME?</v>
      </c>
      <c r="I261" s="200" t="str">
        <f>IF(OR(B261=リスト!$C$5,B261=リスト!$C$6),COUNTIF($B$9:B261,リスト!$C$5)+COUNTIF($B$9:B261,リスト!$C$6),"")</f>
        <v/>
      </c>
    </row>
    <row r="262" spans="2:9" x14ac:dyDescent="0.2">
      <c r="B262" s="196" t="s">
        <v>247</v>
      </c>
      <c r="C262" s="197">
        <v>45431.416666666664</v>
      </c>
      <c r="D262" s="197">
        <v>45431.916666666664</v>
      </c>
      <c r="E262" s="198">
        <v>14</v>
      </c>
      <c r="F262" s="199" t="s">
        <v>246</v>
      </c>
      <c r="G262" s="140" t="e">
        <f ca="1">mif(C262="","",OR(B262=リスト!$C$5,B262=リスト!$C$6),SUM(INDEX(G:G,MATCH(I262-1,I:I,0)+1,1):INDEX(G:G,MATCH(I262,I:I,0)-1,1)),D262-C262)</f>
        <v>#NAME?</v>
      </c>
      <c r="H262" s="140" t="e">
        <f ca="1">mif(C262="","",B262=リスト!$C$5,SUMIF(INDEX(B:B,MATCH(I262-1,I:I,0)+1,1):INDEX(B:B,MATCH(I262,I:I,0)-1,1),リスト!$C$7,INDEX(G:G,MATCH(I262-1,I:I,0)+1,1):INDEX(G:G,MATCH(I262,I:I,0)-1,1)),"")</f>
        <v>#NAME?</v>
      </c>
      <c r="I262" s="200">
        <f>IF(OR(B262=リスト!$C$5,B262=リスト!$C$6),COUNTIF($B$9:B262,リスト!$C$5)+COUNTIF($B$9:B262,リスト!$C$6),"")</f>
        <v>18</v>
      </c>
    </row>
    <row r="263" spans="2:9" x14ac:dyDescent="0.2">
      <c r="B263" s="196"/>
      <c r="C263" s="197">
        <v>45433.999467592592</v>
      </c>
      <c r="D263" s="197">
        <v>45433.999768518515</v>
      </c>
      <c r="E263" s="198" t="s">
        <v>244</v>
      </c>
      <c r="F263" s="199"/>
      <c r="G263" s="140" t="e">
        <f ca="1">mif(C263="","",OR(B263=リスト!$C$5,B263=リスト!$C$6),SUM(INDEX(G:G,MATCH(I263-1,I:I,0)+1,1):INDEX(G:G,MATCH(I263,I:I,0)-1,1)),D263-C263)</f>
        <v>#NAME?</v>
      </c>
      <c r="H263" s="140" t="e">
        <f ca="1">mif(C263="","",B263=リスト!$C$5,SUMIF(INDEX(B:B,MATCH(I263-1,I:I,0)+1,1):INDEX(B:B,MATCH(I263,I:I,0)-1,1),リスト!$C$7,INDEX(G:G,MATCH(I263-1,I:I,0)+1,1):INDEX(G:G,MATCH(I263,I:I,0)-1,1)),"")</f>
        <v>#NAME?</v>
      </c>
      <c r="I263" s="200" t="str">
        <f>IF(OR(B263=リスト!$C$5,B263=リスト!$C$6),COUNTIF($B$9:B263,リスト!$C$5)+COUNTIF($B$9:B263,リスト!$C$6),"")</f>
        <v/>
      </c>
    </row>
    <row r="264" spans="2:9" x14ac:dyDescent="0.2">
      <c r="B264" s="196"/>
      <c r="C264" s="197">
        <v>45434.010555555556</v>
      </c>
      <c r="D264" s="197">
        <v>45434.01085648148</v>
      </c>
      <c r="E264" s="198" t="s">
        <v>244</v>
      </c>
      <c r="F264" s="199"/>
      <c r="G264" s="140" t="e">
        <f ca="1">mif(C264="","",OR(B264=リスト!$C$5,B264=リスト!$C$6),SUM(INDEX(G:G,MATCH(I264-1,I:I,0)+1,1):INDEX(G:G,MATCH(I264,I:I,0)-1,1)),D264-C264)</f>
        <v>#NAME?</v>
      </c>
      <c r="H264" s="140" t="e">
        <f ca="1">mif(C264="","",B264=リスト!$C$5,SUMIF(INDEX(B:B,MATCH(I264-1,I:I,0)+1,1):INDEX(B:B,MATCH(I264,I:I,0)-1,1),リスト!$C$7,INDEX(G:G,MATCH(I264-1,I:I,0)+1,1):INDEX(G:G,MATCH(I264,I:I,0)-1,1)),"")</f>
        <v>#NAME?</v>
      </c>
      <c r="I264" s="200" t="str">
        <f>IF(OR(B264=リスト!$C$5,B264=リスト!$C$6),COUNTIF($B$9:B264,リスト!$C$5)+COUNTIF($B$9:B264,リスト!$C$6),"")</f>
        <v/>
      </c>
    </row>
    <row r="265" spans="2:9" x14ac:dyDescent="0.2">
      <c r="B265" s="196"/>
      <c r="C265" s="197">
        <v>45434.036724537036</v>
      </c>
      <c r="D265" s="197">
        <v>45434.037210648145</v>
      </c>
      <c r="E265" s="198" t="s">
        <v>244</v>
      </c>
      <c r="F265" s="199"/>
      <c r="G265" s="140" t="e">
        <f ca="1">mif(C265="","",OR(B265=リスト!$C$5,B265=リスト!$C$6),SUM(INDEX(G:G,MATCH(I265-1,I:I,0)+1,1):INDEX(G:G,MATCH(I265,I:I,0)-1,1)),D265-C265)</f>
        <v>#NAME?</v>
      </c>
      <c r="H265" s="140" t="e">
        <f ca="1">mif(C265="","",B265=リスト!$C$5,SUMIF(INDEX(B:B,MATCH(I265-1,I:I,0)+1,1):INDEX(B:B,MATCH(I265,I:I,0)-1,1),リスト!$C$7,INDEX(G:G,MATCH(I265-1,I:I,0)+1,1):INDEX(G:G,MATCH(I265,I:I,0)-1,1)),"")</f>
        <v>#NAME?</v>
      </c>
      <c r="I265" s="200" t="str">
        <f>IF(OR(B265=リスト!$C$5,B265=リスト!$C$6),COUNTIF($B$9:B265,リスト!$C$5)+COUNTIF($B$9:B265,リスト!$C$6),"")</f>
        <v/>
      </c>
    </row>
    <row r="266" spans="2:9" x14ac:dyDescent="0.2">
      <c r="B266" s="196"/>
      <c r="C266" s="197">
        <v>45434.055115740739</v>
      </c>
      <c r="D266" s="197">
        <v>45434.05541666667</v>
      </c>
      <c r="E266" s="198" t="s">
        <v>244</v>
      </c>
      <c r="F266" s="199"/>
      <c r="G266" s="140" t="e">
        <f ca="1">mif(C266="","",OR(B266=リスト!$C$5,B266=リスト!$C$6),SUM(INDEX(G:G,MATCH(I266-1,I:I,0)+1,1):INDEX(G:G,MATCH(I266,I:I,0)-1,1)),D266-C266)</f>
        <v>#NAME?</v>
      </c>
      <c r="H266" s="140" t="e">
        <f ca="1">mif(C266="","",B266=リスト!$C$5,SUMIF(INDEX(B:B,MATCH(I266-1,I:I,0)+1,1):INDEX(B:B,MATCH(I266,I:I,0)-1,1),リスト!$C$7,INDEX(G:G,MATCH(I266-1,I:I,0)+1,1):INDEX(G:G,MATCH(I266,I:I,0)-1,1)),"")</f>
        <v>#NAME?</v>
      </c>
      <c r="I266" s="200" t="str">
        <f>IF(OR(B266=リスト!$C$5,B266=リスト!$C$6),COUNTIF($B$9:B266,リスト!$C$5)+COUNTIF($B$9:B266,リスト!$C$6),"")</f>
        <v/>
      </c>
    </row>
    <row r="267" spans="2:9" x14ac:dyDescent="0.2">
      <c r="B267" s="196"/>
      <c r="C267" s="197">
        <v>45434.065254629626</v>
      </c>
      <c r="D267" s="197">
        <v>45434.065509259257</v>
      </c>
      <c r="E267" s="198" t="s">
        <v>244</v>
      </c>
      <c r="F267" s="199"/>
      <c r="G267" s="140" t="e">
        <f ca="1">mif(C267="","",OR(B267=リスト!$C$5,B267=リスト!$C$6),SUM(INDEX(G:G,MATCH(I267-1,I:I,0)+1,1):INDEX(G:G,MATCH(I267,I:I,0)-1,1)),D267-C267)</f>
        <v>#NAME?</v>
      </c>
      <c r="H267" s="140" t="e">
        <f ca="1">mif(C267="","",B267=リスト!$C$5,SUMIF(INDEX(B:B,MATCH(I267-1,I:I,0)+1,1):INDEX(B:B,MATCH(I267,I:I,0)-1,1),リスト!$C$7,INDEX(G:G,MATCH(I267-1,I:I,0)+1,1):INDEX(G:G,MATCH(I267,I:I,0)-1,1)),"")</f>
        <v>#NAME?</v>
      </c>
      <c r="I267" s="200" t="str">
        <f>IF(OR(B267=リスト!$C$5,B267=リスト!$C$6),COUNTIF($B$9:B267,リスト!$C$5)+COUNTIF($B$9:B267,リスト!$C$6),"")</f>
        <v/>
      </c>
    </row>
    <row r="268" spans="2:9" x14ac:dyDescent="0.2">
      <c r="B268" s="196"/>
      <c r="C268" s="197">
        <v>45434.069293981483</v>
      </c>
      <c r="D268" s="197">
        <v>45434.069872685184</v>
      </c>
      <c r="E268" s="198" t="s">
        <v>244</v>
      </c>
      <c r="F268" s="199"/>
      <c r="G268" s="140" t="e">
        <f ca="1">mif(C268="","",OR(B268=リスト!$C$5,B268=リスト!$C$6),SUM(INDEX(G:G,MATCH(I268-1,I:I,0)+1,1):INDEX(G:G,MATCH(I268,I:I,0)-1,1)),D268-C268)</f>
        <v>#NAME?</v>
      </c>
      <c r="H268" s="140" t="e">
        <f ca="1">mif(C268="","",B268=リスト!$C$5,SUMIF(INDEX(B:B,MATCH(I268-1,I:I,0)+1,1):INDEX(B:B,MATCH(I268,I:I,0)-1,1),リスト!$C$7,INDEX(G:G,MATCH(I268-1,I:I,0)+1,1):INDEX(G:G,MATCH(I268,I:I,0)-1,1)),"")</f>
        <v>#NAME?</v>
      </c>
      <c r="I268" s="200" t="str">
        <f>IF(OR(B268=リスト!$C$5,B268=リスト!$C$6),COUNTIF($B$9:B268,リスト!$C$5)+COUNTIF($B$9:B268,リスト!$C$6),"")</f>
        <v/>
      </c>
    </row>
    <row r="269" spans="2:9" x14ac:dyDescent="0.2">
      <c r="B269" s="196"/>
      <c r="C269" s="197">
        <v>45434.080057870371</v>
      </c>
      <c r="D269" s="197">
        <v>45434.080335648148</v>
      </c>
      <c r="E269" s="198" t="s">
        <v>244</v>
      </c>
      <c r="F269" s="199"/>
      <c r="G269" s="140" t="e">
        <f ca="1">mif(C269="","",OR(B269=リスト!$C$5,B269=リスト!$C$6),SUM(INDEX(G:G,MATCH(I269-1,I:I,0)+1,1):INDEX(G:G,MATCH(I269,I:I,0)-1,1)),D269-C269)</f>
        <v>#NAME?</v>
      </c>
      <c r="H269" s="140" t="e">
        <f ca="1">mif(C269="","",B269=リスト!$C$5,SUMIF(INDEX(B:B,MATCH(I269-1,I:I,0)+1,1):INDEX(B:B,MATCH(I269,I:I,0)-1,1),リスト!$C$7,INDEX(G:G,MATCH(I269-1,I:I,0)+1,1):INDEX(G:G,MATCH(I269,I:I,0)-1,1)),"")</f>
        <v>#NAME?</v>
      </c>
      <c r="I269" s="200" t="str">
        <f>IF(OR(B269=リスト!$C$5,B269=リスト!$C$6),COUNTIF($B$9:B269,リスト!$C$5)+COUNTIF($B$9:B269,リスト!$C$6),"")</f>
        <v/>
      </c>
    </row>
    <row r="270" spans="2:9" x14ac:dyDescent="0.2">
      <c r="B270" s="196"/>
      <c r="C270" s="197">
        <v>45434.106157407405</v>
      </c>
      <c r="D270" s="197">
        <v>45434.10664351852</v>
      </c>
      <c r="E270" s="198" t="s">
        <v>244</v>
      </c>
      <c r="F270" s="199"/>
      <c r="G270" s="140" t="e">
        <f ca="1">mif(C270="","",OR(B270=リスト!$C$5,B270=リスト!$C$6),SUM(INDEX(G:G,MATCH(I270-1,I:I,0)+1,1):INDEX(G:G,MATCH(I270,I:I,0)-1,1)),D270-C270)</f>
        <v>#NAME?</v>
      </c>
      <c r="H270" s="140" t="e">
        <f ca="1">mif(C270="","",B270=リスト!$C$5,SUMIF(INDEX(B:B,MATCH(I270-1,I:I,0)+1,1):INDEX(B:B,MATCH(I270,I:I,0)-1,1),リスト!$C$7,INDEX(G:G,MATCH(I270-1,I:I,0)+1,1):INDEX(G:G,MATCH(I270,I:I,0)-1,1)),"")</f>
        <v>#NAME?</v>
      </c>
      <c r="I270" s="200" t="str">
        <f>IF(OR(B270=リスト!$C$5,B270=リスト!$C$6),COUNTIF($B$9:B270,リスト!$C$5)+COUNTIF($B$9:B270,リスト!$C$6),"")</f>
        <v/>
      </c>
    </row>
    <row r="271" spans="2:9" x14ac:dyDescent="0.2">
      <c r="B271" s="196"/>
      <c r="C271" s="197">
        <v>45434.116875</v>
      </c>
      <c r="D271" s="197">
        <v>45434.117129629631</v>
      </c>
      <c r="E271" s="198" t="s">
        <v>244</v>
      </c>
      <c r="F271" s="199"/>
      <c r="G271" s="140" t="e">
        <f ca="1">mif(C271="","",OR(B271=リスト!$C$5,B271=リスト!$C$6),SUM(INDEX(G:G,MATCH(I271-1,I:I,0)+1,1):INDEX(G:G,MATCH(I271,I:I,0)-1,1)),D271-C271)</f>
        <v>#NAME?</v>
      </c>
      <c r="H271" s="140" t="e">
        <f ca="1">mif(C271="","",B271=リスト!$C$5,SUMIF(INDEX(B:B,MATCH(I271-1,I:I,0)+1,1):INDEX(B:B,MATCH(I271,I:I,0)-1,1),リスト!$C$7,INDEX(G:G,MATCH(I271-1,I:I,0)+1,1):INDEX(G:G,MATCH(I271,I:I,0)-1,1)),"")</f>
        <v>#NAME?</v>
      </c>
      <c r="I271" s="200" t="str">
        <f>IF(OR(B271=リスト!$C$5,B271=リスト!$C$6),COUNTIF($B$9:B271,リスト!$C$5)+COUNTIF($B$9:B271,リスト!$C$6),"")</f>
        <v/>
      </c>
    </row>
    <row r="272" spans="2:9" x14ac:dyDescent="0.2">
      <c r="B272" s="196"/>
      <c r="C272" s="197">
        <v>45434.189710648148</v>
      </c>
      <c r="D272" s="197">
        <v>45434.189988425926</v>
      </c>
      <c r="E272" s="198" t="s">
        <v>244</v>
      </c>
      <c r="F272" s="199"/>
      <c r="G272" s="140" t="e">
        <f ca="1">mif(C272="","",OR(B272=リスト!$C$5,B272=リスト!$C$6),SUM(INDEX(G:G,MATCH(I272-1,I:I,0)+1,1):INDEX(G:G,MATCH(I272,I:I,0)-1,1)),D272-C272)</f>
        <v>#NAME?</v>
      </c>
      <c r="H272" s="140" t="e">
        <f ca="1">mif(C272="","",B272=リスト!$C$5,SUMIF(INDEX(B:B,MATCH(I272-1,I:I,0)+1,1):INDEX(B:B,MATCH(I272,I:I,0)-1,1),リスト!$C$7,INDEX(G:G,MATCH(I272-1,I:I,0)+1,1):INDEX(G:G,MATCH(I272,I:I,0)-1,1)),"")</f>
        <v>#NAME?</v>
      </c>
      <c r="I272" s="200" t="str">
        <f>IF(OR(B272=リスト!$C$5,B272=リスト!$C$6),COUNTIF($B$9:B272,リスト!$C$5)+COUNTIF($B$9:B272,リスト!$C$6),"")</f>
        <v/>
      </c>
    </row>
    <row r="273" spans="2:9" x14ac:dyDescent="0.2">
      <c r="B273" s="196"/>
      <c r="C273" s="197">
        <v>45434.213958333334</v>
      </c>
      <c r="D273" s="197">
        <v>45434.214699074073</v>
      </c>
      <c r="E273" s="198" t="s">
        <v>244</v>
      </c>
      <c r="F273" s="199"/>
      <c r="G273" s="140" t="e">
        <f ca="1">mif(C273="","",OR(B273=リスト!$C$5,B273=リスト!$C$6),SUM(INDEX(G:G,MATCH(I273-1,I:I,0)+1,1):INDEX(G:G,MATCH(I273,I:I,0)-1,1)),D273-C273)</f>
        <v>#NAME?</v>
      </c>
      <c r="H273" s="140" t="e">
        <f ca="1">mif(C273="","",B273=リスト!$C$5,SUMIF(INDEX(B:B,MATCH(I273-1,I:I,0)+1,1):INDEX(B:B,MATCH(I273,I:I,0)-1,1),リスト!$C$7,INDEX(G:G,MATCH(I273-1,I:I,0)+1,1):INDEX(G:G,MATCH(I273,I:I,0)-1,1)),"")</f>
        <v>#NAME?</v>
      </c>
      <c r="I273" s="200" t="str">
        <f>IF(OR(B273=リスト!$C$5,B273=リスト!$C$6),COUNTIF($B$9:B273,リスト!$C$5)+COUNTIF($B$9:B273,リスト!$C$6),"")</f>
        <v/>
      </c>
    </row>
    <row r="274" spans="2:9" x14ac:dyDescent="0.2">
      <c r="B274" s="196"/>
      <c r="C274" s="197">
        <v>45434.22184027778</v>
      </c>
      <c r="D274" s="197">
        <v>45434.222141203703</v>
      </c>
      <c r="E274" s="198" t="s">
        <v>244</v>
      </c>
      <c r="F274" s="199"/>
      <c r="G274" s="140" t="e">
        <f ca="1">mif(C274="","",OR(B274=リスト!$C$5,B274=リスト!$C$6),SUM(INDEX(G:G,MATCH(I274-1,I:I,0)+1,1):INDEX(G:G,MATCH(I274,I:I,0)-1,1)),D274-C274)</f>
        <v>#NAME?</v>
      </c>
      <c r="H274" s="140" t="e">
        <f ca="1">mif(C274="","",B274=リスト!$C$5,SUMIF(INDEX(B:B,MATCH(I274-1,I:I,0)+1,1):INDEX(B:B,MATCH(I274,I:I,0)-1,1),リスト!$C$7,INDEX(G:G,MATCH(I274-1,I:I,0)+1,1):INDEX(G:G,MATCH(I274,I:I,0)-1,1)),"")</f>
        <v>#NAME?</v>
      </c>
      <c r="I274" s="200" t="str">
        <f>IF(OR(B274=リスト!$C$5,B274=リスト!$C$6),COUNTIF($B$9:B274,リスト!$C$5)+COUNTIF($B$9:B274,リスト!$C$6),"")</f>
        <v/>
      </c>
    </row>
    <row r="275" spans="2:9" x14ac:dyDescent="0.2">
      <c r="B275" s="196"/>
      <c r="C275" s="197">
        <v>45434.279965277776</v>
      </c>
      <c r="D275" s="197">
        <v>45434.280243055553</v>
      </c>
      <c r="E275" s="198" t="s">
        <v>244</v>
      </c>
      <c r="F275" s="199"/>
      <c r="G275" s="140" t="e">
        <f ca="1">mif(C275="","",OR(B275=リスト!$C$5,B275=リスト!$C$6),SUM(INDEX(G:G,MATCH(I275-1,I:I,0)+1,1):INDEX(G:G,MATCH(I275,I:I,0)-1,1)),D275-C275)</f>
        <v>#NAME?</v>
      </c>
      <c r="H275" s="140" t="e">
        <f ca="1">mif(C275="","",B275=リスト!$C$5,SUMIF(INDEX(B:B,MATCH(I275-1,I:I,0)+1,1):INDEX(B:B,MATCH(I275,I:I,0)-1,1),リスト!$C$7,INDEX(G:G,MATCH(I275-1,I:I,0)+1,1):INDEX(G:G,MATCH(I275,I:I,0)-1,1)),"")</f>
        <v>#NAME?</v>
      </c>
      <c r="I275" s="200" t="str">
        <f>IF(OR(B275=リスト!$C$5,B275=リスト!$C$6),COUNTIF($B$9:B275,リスト!$C$5)+COUNTIF($B$9:B275,リスト!$C$6),"")</f>
        <v/>
      </c>
    </row>
    <row r="276" spans="2:9" x14ac:dyDescent="0.2">
      <c r="B276" s="196"/>
      <c r="C276" s="197">
        <v>45434.33320601852</v>
      </c>
      <c r="D276" s="197">
        <v>45434.333460648151</v>
      </c>
      <c r="E276" s="198" t="s">
        <v>244</v>
      </c>
      <c r="F276" s="199"/>
      <c r="G276" s="140" t="e">
        <f ca="1">mif(C276="","",OR(B276=リスト!$C$5,B276=リスト!$C$6),SUM(INDEX(G:G,MATCH(I276-1,I:I,0)+1,1):INDEX(G:G,MATCH(I276,I:I,0)-1,1)),D276-C276)</f>
        <v>#NAME?</v>
      </c>
      <c r="H276" s="140" t="e">
        <f ca="1">mif(C276="","",B276=リスト!$C$5,SUMIF(INDEX(B:B,MATCH(I276-1,I:I,0)+1,1):INDEX(B:B,MATCH(I276,I:I,0)-1,1),リスト!$C$7,INDEX(G:G,MATCH(I276-1,I:I,0)+1,1):INDEX(G:G,MATCH(I276,I:I,0)-1,1)),"")</f>
        <v>#NAME?</v>
      </c>
      <c r="I276" s="200" t="str">
        <f>IF(OR(B276=リスト!$C$5,B276=リスト!$C$6),COUNTIF($B$9:B276,リスト!$C$5)+COUNTIF($B$9:B276,リスト!$C$6),"")</f>
        <v/>
      </c>
    </row>
    <row r="277" spans="2:9" x14ac:dyDescent="0.2">
      <c r="B277" s="196" t="s">
        <v>247</v>
      </c>
      <c r="C277" s="197">
        <v>45433.916666666664</v>
      </c>
      <c r="D277" s="197">
        <v>45434.416666666664</v>
      </c>
      <c r="E277" s="198">
        <v>14</v>
      </c>
      <c r="F277" s="199"/>
      <c r="G277" s="140" t="e">
        <f ca="1">mif(C277="","",OR(B277=リスト!$C$5,B277=リスト!$C$6),SUM(INDEX(G:G,MATCH(I277-1,I:I,0)+1,1):INDEX(G:G,MATCH(I277,I:I,0)-1,1)),D277-C277)</f>
        <v>#NAME?</v>
      </c>
      <c r="H277" s="140" t="e">
        <f ca="1">mif(C277="","",B277=リスト!$C$5,SUMIF(INDEX(B:B,MATCH(I277-1,I:I,0)+1,1):INDEX(B:B,MATCH(I277,I:I,0)-1,1),リスト!$C$7,INDEX(G:G,MATCH(I277-1,I:I,0)+1,1):INDEX(G:G,MATCH(I277,I:I,0)-1,1)),"")</f>
        <v>#NAME?</v>
      </c>
      <c r="I277" s="200">
        <f>IF(OR(B277=リスト!$C$5,B277=リスト!$C$6),COUNTIF($B$9:B277,リスト!$C$5)+COUNTIF($B$9:B277,リスト!$C$6),"")</f>
        <v>19</v>
      </c>
    </row>
    <row r="278" spans="2:9" x14ac:dyDescent="0.2">
      <c r="B278" s="196"/>
      <c r="C278" s="197">
        <v>45434.417245370372</v>
      </c>
      <c r="D278" s="197">
        <v>45434.417523148149</v>
      </c>
      <c r="E278" s="198" t="s">
        <v>244</v>
      </c>
      <c r="F278" s="199"/>
      <c r="G278" s="140" t="e">
        <f ca="1">mif(C278="","",OR(B278=リスト!$C$5,B278=リスト!$C$6),SUM(INDEX(G:G,MATCH(I278-1,I:I,0)+1,1):INDEX(G:G,MATCH(I278,I:I,0)-1,1)),D278-C278)</f>
        <v>#NAME?</v>
      </c>
      <c r="H278" s="140" t="e">
        <f ca="1">mif(C278="","",B278=リスト!$C$5,SUMIF(INDEX(B:B,MATCH(I278-1,I:I,0)+1,1):INDEX(B:B,MATCH(I278,I:I,0)-1,1),リスト!$C$7,INDEX(G:G,MATCH(I278-1,I:I,0)+1,1):INDEX(G:G,MATCH(I278,I:I,0)-1,1)),"")</f>
        <v>#NAME?</v>
      </c>
      <c r="I278" s="200" t="str">
        <f>IF(OR(B278=リスト!$C$5,B278=リスト!$C$6),COUNTIF($B$9:B278,リスト!$C$5)+COUNTIF($B$9:B278,リスト!$C$6),"")</f>
        <v/>
      </c>
    </row>
    <row r="279" spans="2:9" x14ac:dyDescent="0.2">
      <c r="B279" s="196"/>
      <c r="C279" s="197">
        <v>45434.575358796297</v>
      </c>
      <c r="D279" s="197">
        <v>45434.575844907406</v>
      </c>
      <c r="E279" s="198" t="s">
        <v>244</v>
      </c>
      <c r="F279" s="199"/>
      <c r="G279" s="140" t="e">
        <f ca="1">mif(C279="","",OR(B279=リスト!$C$5,B279=リスト!$C$6),SUM(INDEX(G:G,MATCH(I279-1,I:I,0)+1,1):INDEX(G:G,MATCH(I279,I:I,0)-1,1)),D279-C279)</f>
        <v>#NAME?</v>
      </c>
      <c r="H279" s="140" t="e">
        <f ca="1">mif(C279="","",B279=リスト!$C$5,SUMIF(INDEX(B:B,MATCH(I279-1,I:I,0)+1,1):INDEX(B:B,MATCH(I279,I:I,0)-1,1),リスト!$C$7,INDEX(G:G,MATCH(I279-1,I:I,0)+1,1):INDEX(G:G,MATCH(I279,I:I,0)-1,1)),"")</f>
        <v>#NAME?</v>
      </c>
      <c r="I279" s="200" t="str">
        <f>IF(OR(B279=リスト!$C$5,B279=リスト!$C$6),COUNTIF($B$9:B279,リスト!$C$5)+COUNTIF($B$9:B279,リスト!$C$6),"")</f>
        <v/>
      </c>
    </row>
    <row r="280" spans="2:9" x14ac:dyDescent="0.2">
      <c r="B280" s="196"/>
      <c r="C280" s="197">
        <v>45434.58021990741</v>
      </c>
      <c r="D280" s="197">
        <v>45434.580868055556</v>
      </c>
      <c r="E280" s="198" t="s">
        <v>244</v>
      </c>
      <c r="F280" s="199"/>
      <c r="G280" s="140" t="e">
        <f ca="1">mif(C280="","",OR(B280=リスト!$C$5,B280=リスト!$C$6),SUM(INDEX(G:G,MATCH(I280-1,I:I,0)+1,1):INDEX(G:G,MATCH(I280,I:I,0)-1,1)),D280-C280)</f>
        <v>#NAME?</v>
      </c>
      <c r="H280" s="140" t="e">
        <f ca="1">mif(C280="","",B280=リスト!$C$5,SUMIF(INDEX(B:B,MATCH(I280-1,I:I,0)+1,1):INDEX(B:B,MATCH(I280,I:I,0)-1,1),リスト!$C$7,INDEX(G:G,MATCH(I280-1,I:I,0)+1,1):INDEX(G:G,MATCH(I280,I:I,0)-1,1)),"")</f>
        <v>#NAME?</v>
      </c>
      <c r="I280" s="200" t="str">
        <f>IF(OR(B280=リスト!$C$5,B280=リスト!$C$6),COUNTIF($B$9:B280,リスト!$C$5)+COUNTIF($B$9:B280,リスト!$C$6),"")</f>
        <v/>
      </c>
    </row>
    <row r="281" spans="2:9" x14ac:dyDescent="0.2">
      <c r="B281" s="196"/>
      <c r="C281" s="197">
        <v>45434.584386574075</v>
      </c>
      <c r="D281" s="197">
        <v>45434.584641203706</v>
      </c>
      <c r="E281" s="198" t="s">
        <v>244</v>
      </c>
      <c r="F281" s="199"/>
      <c r="G281" s="140" t="e">
        <f ca="1">mif(C281="","",OR(B281=リスト!$C$5,B281=リスト!$C$6),SUM(INDEX(G:G,MATCH(I281-1,I:I,0)+1,1):INDEX(G:G,MATCH(I281,I:I,0)-1,1)),D281-C281)</f>
        <v>#NAME?</v>
      </c>
      <c r="H281" s="140" t="e">
        <f ca="1">mif(C281="","",B281=リスト!$C$5,SUMIF(INDEX(B:B,MATCH(I281-1,I:I,0)+1,1):INDEX(B:B,MATCH(I281,I:I,0)-1,1),リスト!$C$7,INDEX(G:G,MATCH(I281-1,I:I,0)+1,1):INDEX(G:G,MATCH(I281,I:I,0)-1,1)),"")</f>
        <v>#NAME?</v>
      </c>
      <c r="I281" s="200" t="str">
        <f>IF(OR(B281=リスト!$C$5,B281=リスト!$C$6),COUNTIF($B$9:B281,リスト!$C$5)+COUNTIF($B$9:B281,リスト!$C$6),"")</f>
        <v/>
      </c>
    </row>
    <row r="282" spans="2:9" x14ac:dyDescent="0.2">
      <c r="B282" s="196"/>
      <c r="C282" s="197">
        <v>45434.592673611114</v>
      </c>
      <c r="D282" s="197">
        <v>45434.592951388891</v>
      </c>
      <c r="E282" s="198" t="s">
        <v>244</v>
      </c>
      <c r="F282" s="199"/>
      <c r="G282" s="140" t="e">
        <f ca="1">mif(C282="","",OR(B282=リスト!$C$5,B282=リスト!$C$6),SUM(INDEX(G:G,MATCH(I282-1,I:I,0)+1,1):INDEX(G:G,MATCH(I282,I:I,0)-1,1)),D282-C282)</f>
        <v>#NAME?</v>
      </c>
      <c r="H282" s="140" t="e">
        <f ca="1">mif(C282="","",B282=リスト!$C$5,SUMIF(INDEX(B:B,MATCH(I282-1,I:I,0)+1,1):INDEX(B:B,MATCH(I282,I:I,0)-1,1),リスト!$C$7,INDEX(G:G,MATCH(I282-1,I:I,0)+1,1):INDEX(G:G,MATCH(I282,I:I,0)-1,1)),"")</f>
        <v>#NAME?</v>
      </c>
      <c r="I282" s="200" t="str">
        <f>IF(OR(B282=リスト!$C$5,B282=リスト!$C$6),COUNTIF($B$9:B282,リスト!$C$5)+COUNTIF($B$9:B282,リスト!$C$6),"")</f>
        <v/>
      </c>
    </row>
    <row r="283" spans="2:9" x14ac:dyDescent="0.2">
      <c r="B283" s="196"/>
      <c r="C283" s="197">
        <v>45434.655115740738</v>
      </c>
      <c r="D283" s="197">
        <v>45434.655578703707</v>
      </c>
      <c r="E283" s="198" t="s">
        <v>244</v>
      </c>
      <c r="F283" s="199"/>
      <c r="G283" s="140" t="e">
        <f ca="1">mif(C283="","",OR(B283=リスト!$C$5,B283=リスト!$C$6),SUM(INDEX(G:G,MATCH(I283-1,I:I,0)+1,1):INDEX(G:G,MATCH(I283,I:I,0)-1,1)),D283-C283)</f>
        <v>#NAME?</v>
      </c>
      <c r="H283" s="140" t="e">
        <f ca="1">mif(C283="","",B283=リスト!$C$5,SUMIF(INDEX(B:B,MATCH(I283-1,I:I,0)+1,1):INDEX(B:B,MATCH(I283,I:I,0)-1,1),リスト!$C$7,INDEX(G:G,MATCH(I283-1,I:I,0)+1,1):INDEX(G:G,MATCH(I283,I:I,0)-1,1)),"")</f>
        <v>#NAME?</v>
      </c>
      <c r="I283" s="200" t="str">
        <f>IF(OR(B283=リスト!$C$5,B283=リスト!$C$6),COUNTIF($B$9:B283,リスト!$C$5)+COUNTIF($B$9:B283,リスト!$C$6),"")</f>
        <v/>
      </c>
    </row>
    <row r="284" spans="2:9" x14ac:dyDescent="0.2">
      <c r="B284" s="196"/>
      <c r="C284" s="197">
        <v>45434.679363425923</v>
      </c>
      <c r="D284" s="197">
        <v>45434.679780092592</v>
      </c>
      <c r="E284" s="198" t="s">
        <v>244</v>
      </c>
      <c r="F284" s="199"/>
      <c r="G284" s="140" t="e">
        <f ca="1">mif(C284="","",OR(B284=リスト!$C$5,B284=リスト!$C$6),SUM(INDEX(G:G,MATCH(I284-1,I:I,0)+1,1):INDEX(G:G,MATCH(I284,I:I,0)-1,1)),D284-C284)</f>
        <v>#NAME?</v>
      </c>
      <c r="H284" s="140" t="e">
        <f ca="1">mif(C284="","",B284=リスト!$C$5,SUMIF(INDEX(B:B,MATCH(I284-1,I:I,0)+1,1):INDEX(B:B,MATCH(I284,I:I,0)-1,1),リスト!$C$7,INDEX(G:G,MATCH(I284-1,I:I,0)+1,1):INDEX(G:G,MATCH(I284,I:I,0)-1,1)),"")</f>
        <v>#NAME?</v>
      </c>
      <c r="I284" s="200" t="str">
        <f>IF(OR(B284=リスト!$C$5,B284=リスト!$C$6),COUNTIF($B$9:B284,リスト!$C$5)+COUNTIF($B$9:B284,リスト!$C$6),"")</f>
        <v/>
      </c>
    </row>
    <row r="285" spans="2:9" x14ac:dyDescent="0.2">
      <c r="B285" s="196"/>
      <c r="C285" s="197">
        <v>45434.685520833336</v>
      </c>
      <c r="D285" s="197">
        <v>45434.685798611114</v>
      </c>
      <c r="E285" s="198" t="s">
        <v>244</v>
      </c>
      <c r="F285" s="199"/>
      <c r="G285" s="140" t="e">
        <f ca="1">mif(C285="","",OR(B285=リスト!$C$5,B285=リスト!$C$6),SUM(INDEX(G:G,MATCH(I285-1,I:I,0)+1,1):INDEX(G:G,MATCH(I285,I:I,0)-1,1)),D285-C285)</f>
        <v>#NAME?</v>
      </c>
      <c r="H285" s="140" t="e">
        <f ca="1">mif(C285="","",B285=リスト!$C$5,SUMIF(INDEX(B:B,MATCH(I285-1,I:I,0)+1,1):INDEX(B:B,MATCH(I285,I:I,0)-1,1),リスト!$C$7,INDEX(G:G,MATCH(I285-1,I:I,0)+1,1):INDEX(G:G,MATCH(I285,I:I,0)-1,1)),"")</f>
        <v>#NAME?</v>
      </c>
      <c r="I285" s="200" t="str">
        <f>IF(OR(B285=リスト!$C$5,B285=リスト!$C$6),COUNTIF($B$9:B285,リスト!$C$5)+COUNTIF($B$9:B285,リスト!$C$6),"")</f>
        <v/>
      </c>
    </row>
    <row r="286" spans="2:9" x14ac:dyDescent="0.2">
      <c r="B286" s="196"/>
      <c r="C286" s="197">
        <v>45434.704583333332</v>
      </c>
      <c r="D286" s="197">
        <v>45434.705000000002</v>
      </c>
      <c r="E286" s="198" t="s">
        <v>244</v>
      </c>
      <c r="F286" s="199"/>
      <c r="G286" s="140" t="e">
        <f ca="1">mif(C286="","",OR(B286=リスト!$C$5,B286=リスト!$C$6),SUM(INDEX(G:G,MATCH(I286-1,I:I,0)+1,1):INDEX(G:G,MATCH(I286,I:I,0)-1,1)),D286-C286)</f>
        <v>#NAME?</v>
      </c>
      <c r="H286" s="140" t="e">
        <f ca="1">mif(C286="","",B286=リスト!$C$5,SUMIF(INDEX(B:B,MATCH(I286-1,I:I,0)+1,1):INDEX(B:B,MATCH(I286,I:I,0)-1,1),リスト!$C$7,INDEX(G:G,MATCH(I286-1,I:I,0)+1,1):INDEX(G:G,MATCH(I286,I:I,0)-1,1)),"")</f>
        <v>#NAME?</v>
      </c>
      <c r="I286" s="200" t="str">
        <f>IF(OR(B286=リスト!$C$5,B286=リスト!$C$6),COUNTIF($B$9:B286,リスト!$C$5)+COUNTIF($B$9:B286,リスト!$C$6),"")</f>
        <v/>
      </c>
    </row>
    <row r="287" spans="2:9" x14ac:dyDescent="0.2">
      <c r="B287" s="196"/>
      <c r="C287" s="197">
        <v>45434.728090277778</v>
      </c>
      <c r="D287" s="197">
        <v>45434.728344907409</v>
      </c>
      <c r="E287" s="198" t="s">
        <v>244</v>
      </c>
      <c r="F287" s="199"/>
      <c r="G287" s="140" t="e">
        <f ca="1">mif(C287="","",OR(B287=リスト!$C$5,B287=リスト!$C$6),SUM(INDEX(G:G,MATCH(I287-1,I:I,0)+1,1):INDEX(G:G,MATCH(I287,I:I,0)-1,1)),D287-C287)</f>
        <v>#NAME?</v>
      </c>
      <c r="H287" s="140" t="e">
        <f ca="1">mif(C287="","",B287=リスト!$C$5,SUMIF(INDEX(B:B,MATCH(I287-1,I:I,0)+1,1):INDEX(B:B,MATCH(I287,I:I,0)-1,1),リスト!$C$7,INDEX(G:G,MATCH(I287-1,I:I,0)+1,1):INDEX(G:G,MATCH(I287,I:I,0)-1,1)),"")</f>
        <v>#NAME?</v>
      </c>
      <c r="I287" s="200" t="str">
        <f>IF(OR(B287=リスト!$C$5,B287=リスト!$C$6),COUNTIF($B$9:B287,リスト!$C$5)+COUNTIF($B$9:B287,リスト!$C$6),"")</f>
        <v/>
      </c>
    </row>
    <row r="288" spans="2:9" x14ac:dyDescent="0.2">
      <c r="B288" s="196"/>
      <c r="C288" s="197">
        <v>45434.760671296295</v>
      </c>
      <c r="D288" s="197">
        <v>45434.76090277778</v>
      </c>
      <c r="E288" s="198" t="s">
        <v>244</v>
      </c>
      <c r="F288" s="199"/>
      <c r="G288" s="140" t="e">
        <f ca="1">mif(C288="","",OR(B288=リスト!$C$5,B288=リスト!$C$6),SUM(INDEX(G:G,MATCH(I288-1,I:I,0)+1,1):INDEX(G:G,MATCH(I288,I:I,0)-1,1)),D288-C288)</f>
        <v>#NAME?</v>
      </c>
      <c r="H288" s="140" t="e">
        <f ca="1">mif(C288="","",B288=リスト!$C$5,SUMIF(INDEX(B:B,MATCH(I288-1,I:I,0)+1,1):INDEX(B:B,MATCH(I288,I:I,0)-1,1),リスト!$C$7,INDEX(G:G,MATCH(I288-1,I:I,0)+1,1):INDEX(G:G,MATCH(I288,I:I,0)-1,1)),"")</f>
        <v>#NAME?</v>
      </c>
      <c r="I288" s="200" t="str">
        <f>IF(OR(B288=リスト!$C$5,B288=リスト!$C$6),COUNTIF($B$9:B288,リスト!$C$5)+COUNTIF($B$9:B288,リスト!$C$6),"")</f>
        <v/>
      </c>
    </row>
    <row r="289" spans="2:9" x14ac:dyDescent="0.2">
      <c r="B289" s="196"/>
      <c r="C289" s="197">
        <v>45434.780914351853</v>
      </c>
      <c r="D289" s="197">
        <v>45434.781192129631</v>
      </c>
      <c r="E289" s="198" t="s">
        <v>244</v>
      </c>
      <c r="F289" s="199"/>
      <c r="G289" s="140" t="e">
        <f ca="1">mif(C289="","",OR(B289=リスト!$C$5,B289=リスト!$C$6),SUM(INDEX(G:G,MATCH(I289-1,I:I,0)+1,1):INDEX(G:G,MATCH(I289,I:I,0)-1,1)),D289-C289)</f>
        <v>#NAME?</v>
      </c>
      <c r="H289" s="140" t="e">
        <f ca="1">mif(C289="","",B289=リスト!$C$5,SUMIF(INDEX(B:B,MATCH(I289-1,I:I,0)+1,1):INDEX(B:B,MATCH(I289,I:I,0)-1,1),リスト!$C$7,INDEX(G:G,MATCH(I289-1,I:I,0)+1,1):INDEX(G:G,MATCH(I289,I:I,0)-1,1)),"")</f>
        <v>#NAME?</v>
      </c>
      <c r="I289" s="200" t="str">
        <f>IF(OR(B289=リスト!$C$5,B289=リスト!$C$6),COUNTIF($B$9:B289,リスト!$C$5)+COUNTIF($B$9:B289,リスト!$C$6),"")</f>
        <v/>
      </c>
    </row>
    <row r="290" spans="2:9" x14ac:dyDescent="0.2">
      <c r="B290" s="196"/>
      <c r="C290" s="197">
        <v>45434.793506944443</v>
      </c>
      <c r="D290" s="197">
        <v>45434.793969907405</v>
      </c>
      <c r="E290" s="198" t="s">
        <v>244</v>
      </c>
      <c r="F290" s="199"/>
      <c r="G290" s="140" t="e">
        <f ca="1">mif(C290="","",OR(B290=リスト!$C$5,B290=リスト!$C$6),SUM(INDEX(G:G,MATCH(I290-1,I:I,0)+1,1):INDEX(G:G,MATCH(I290,I:I,0)-1,1)),D290-C290)</f>
        <v>#NAME?</v>
      </c>
      <c r="H290" s="140" t="e">
        <f ca="1">mif(C290="","",B290=リスト!$C$5,SUMIF(INDEX(B:B,MATCH(I290-1,I:I,0)+1,1):INDEX(B:B,MATCH(I290,I:I,0)-1,1),リスト!$C$7,INDEX(G:G,MATCH(I290-1,I:I,0)+1,1):INDEX(G:G,MATCH(I290,I:I,0)-1,1)),"")</f>
        <v>#NAME?</v>
      </c>
      <c r="I290" s="200" t="str">
        <f>IF(OR(B290=リスト!$C$5,B290=リスト!$C$6),COUNTIF($B$9:B290,リスト!$C$5)+COUNTIF($B$9:B290,リスト!$C$6),"")</f>
        <v/>
      </c>
    </row>
    <row r="291" spans="2:9" x14ac:dyDescent="0.2">
      <c r="B291" s="196"/>
      <c r="C291" s="197">
        <v>45434.844456018516</v>
      </c>
      <c r="D291" s="197">
        <v>45434.844942129632</v>
      </c>
      <c r="E291" s="198" t="s">
        <v>244</v>
      </c>
      <c r="F291" s="199"/>
      <c r="G291" s="140" t="e">
        <f ca="1">mif(C291="","",OR(B291=リスト!$C$5,B291=リスト!$C$6),SUM(INDEX(G:G,MATCH(I291-1,I:I,0)+1,1):INDEX(G:G,MATCH(I291,I:I,0)-1,1)),D291-C291)</f>
        <v>#NAME?</v>
      </c>
      <c r="H291" s="140" t="e">
        <f ca="1">mif(C291="","",B291=リスト!$C$5,SUMIF(INDEX(B:B,MATCH(I291-1,I:I,0)+1,1):INDEX(B:B,MATCH(I291,I:I,0)-1,1),リスト!$C$7,INDEX(G:G,MATCH(I291-1,I:I,0)+1,1):INDEX(G:G,MATCH(I291,I:I,0)-1,1)),"")</f>
        <v>#NAME?</v>
      </c>
      <c r="I291" s="200" t="str">
        <f>IF(OR(B291=リスト!$C$5,B291=リスト!$C$6),COUNTIF($B$9:B291,リスト!$C$5)+COUNTIF($B$9:B291,リスト!$C$6),"")</f>
        <v/>
      </c>
    </row>
    <row r="292" spans="2:9" x14ac:dyDescent="0.2">
      <c r="B292" s="196"/>
      <c r="C292" s="197">
        <v>45434.858518518522</v>
      </c>
      <c r="D292" s="197">
        <v>45434.859027777777</v>
      </c>
      <c r="E292" s="198" t="s">
        <v>244</v>
      </c>
      <c r="F292" s="199"/>
      <c r="G292" s="140" t="e">
        <f ca="1">mif(C292="","",OR(B292=リスト!$C$5,B292=リスト!$C$6),SUM(INDEX(G:G,MATCH(I292-1,I:I,0)+1,1):INDEX(G:G,MATCH(I292,I:I,0)-1,1)),D292-C292)</f>
        <v>#NAME?</v>
      </c>
      <c r="H292" s="140" t="e">
        <f ca="1">mif(C292="","",B292=リスト!$C$5,SUMIF(INDEX(B:B,MATCH(I292-1,I:I,0)+1,1):INDEX(B:B,MATCH(I292,I:I,0)-1,1),リスト!$C$7,INDEX(G:G,MATCH(I292-1,I:I,0)+1,1):INDEX(G:G,MATCH(I292,I:I,0)-1,1)),"")</f>
        <v>#NAME?</v>
      </c>
      <c r="I292" s="200" t="str">
        <f>IF(OR(B292=リスト!$C$5,B292=リスト!$C$6),COUNTIF($B$9:B292,リスト!$C$5)+COUNTIF($B$9:B292,リスト!$C$6),"")</f>
        <v/>
      </c>
    </row>
    <row r="293" spans="2:9" x14ac:dyDescent="0.2">
      <c r="B293" s="196"/>
      <c r="C293" s="197">
        <v>45434.859351851854</v>
      </c>
      <c r="D293" s="197">
        <v>45434.859675925924</v>
      </c>
      <c r="E293" s="198" t="s">
        <v>244</v>
      </c>
      <c r="F293" s="199"/>
      <c r="G293" s="140" t="e">
        <f ca="1">mif(C293="","",OR(B293=リスト!$C$5,B293=リスト!$C$6),SUM(INDEX(G:G,MATCH(I293-1,I:I,0)+1,1):INDEX(G:G,MATCH(I293,I:I,0)-1,1)),D293-C293)</f>
        <v>#NAME?</v>
      </c>
      <c r="H293" s="140" t="e">
        <f ca="1">mif(C293="","",B293=リスト!$C$5,SUMIF(INDEX(B:B,MATCH(I293-1,I:I,0)+1,1):INDEX(B:B,MATCH(I293,I:I,0)-1,1),リスト!$C$7,INDEX(G:G,MATCH(I293-1,I:I,0)+1,1):INDEX(G:G,MATCH(I293,I:I,0)-1,1)),"")</f>
        <v>#NAME?</v>
      </c>
      <c r="I293" s="200" t="str">
        <f>IF(OR(B293=リスト!$C$5,B293=リスト!$C$6),COUNTIF($B$9:B293,リスト!$C$5)+COUNTIF($B$9:B293,リスト!$C$6),"")</f>
        <v/>
      </c>
    </row>
    <row r="294" spans="2:9" x14ac:dyDescent="0.2">
      <c r="B294" s="196"/>
      <c r="C294" s="197">
        <v>45434.887557870374</v>
      </c>
      <c r="D294" s="197">
        <v>45434.887858796297</v>
      </c>
      <c r="E294" s="198" t="s">
        <v>244</v>
      </c>
      <c r="F294" s="199"/>
      <c r="G294" s="140" t="e">
        <f ca="1">mif(C294="","",OR(B294=リスト!$C$5,B294=リスト!$C$6),SUM(INDEX(G:G,MATCH(I294-1,I:I,0)+1,1):INDEX(G:G,MATCH(I294,I:I,0)-1,1)),D294-C294)</f>
        <v>#NAME?</v>
      </c>
      <c r="H294" s="140" t="e">
        <f ca="1">mif(C294="","",B294=リスト!$C$5,SUMIF(INDEX(B:B,MATCH(I294-1,I:I,0)+1,1):INDEX(B:B,MATCH(I294,I:I,0)-1,1),リスト!$C$7,INDEX(G:G,MATCH(I294-1,I:I,0)+1,1):INDEX(G:G,MATCH(I294,I:I,0)-1,1)),"")</f>
        <v>#NAME?</v>
      </c>
      <c r="I294" s="200" t="str">
        <f>IF(OR(B294=リスト!$C$5,B294=リスト!$C$6),COUNTIF($B$9:B294,リスト!$C$5)+COUNTIF($B$9:B294,リスト!$C$6),"")</f>
        <v/>
      </c>
    </row>
    <row r="295" spans="2:9" x14ac:dyDescent="0.2">
      <c r="B295" s="196" t="s">
        <v>247</v>
      </c>
      <c r="C295" s="197">
        <v>45434.416666666664</v>
      </c>
      <c r="D295" s="197">
        <v>45434.916666666664</v>
      </c>
      <c r="E295" s="198">
        <v>17</v>
      </c>
      <c r="F295" s="199"/>
      <c r="G295" s="140" t="e">
        <f ca="1">mif(C295="","",OR(B295=リスト!$C$5,B295=リスト!$C$6),SUM(INDEX(G:G,MATCH(I295-1,I:I,0)+1,1):INDEX(G:G,MATCH(I295,I:I,0)-1,1)),D295-C295)</f>
        <v>#NAME?</v>
      </c>
      <c r="H295" s="140" t="e">
        <f ca="1">mif(C295="","",B295=リスト!$C$5,SUMIF(INDEX(B:B,MATCH(I295-1,I:I,0)+1,1):INDEX(B:B,MATCH(I295,I:I,0)-1,1),リスト!$C$7,INDEX(G:G,MATCH(I295-1,I:I,0)+1,1):INDEX(G:G,MATCH(I295,I:I,0)-1,1)),"")</f>
        <v>#NAME?</v>
      </c>
      <c r="I295" s="200">
        <f>IF(OR(B295=リスト!$C$5,B295=リスト!$C$6),COUNTIF($B$9:B295,リスト!$C$5)+COUNTIF($B$9:B295,リスト!$C$6),"")</f>
        <v>20</v>
      </c>
    </row>
    <row r="296" spans="2:9" x14ac:dyDescent="0.2">
      <c r="B296" s="196"/>
      <c r="C296" s="197">
        <v>45434.992465277777</v>
      </c>
      <c r="D296" s="197">
        <v>45434.993298611109</v>
      </c>
      <c r="E296" s="198" t="s">
        <v>244</v>
      </c>
      <c r="F296" s="199"/>
      <c r="G296" s="140" t="e">
        <f ca="1">mif(C296="","",OR(B296=リスト!$C$5,B296=リスト!$C$6),SUM(INDEX(G:G,MATCH(I296-1,I:I,0)+1,1):INDEX(G:G,MATCH(I296,I:I,0)-1,1)),D296-C296)</f>
        <v>#NAME?</v>
      </c>
      <c r="H296" s="140" t="e">
        <f ca="1">mif(C296="","",B296=リスト!$C$5,SUMIF(INDEX(B:B,MATCH(I296-1,I:I,0)+1,1):INDEX(B:B,MATCH(I296,I:I,0)-1,1),リスト!$C$7,INDEX(G:G,MATCH(I296-1,I:I,0)+1,1):INDEX(G:G,MATCH(I296,I:I,0)-1,1)),"")</f>
        <v>#NAME?</v>
      </c>
      <c r="I296" s="200" t="str">
        <f>IF(OR(B296=リスト!$C$5,B296=リスト!$C$6),COUNTIF($B$9:B296,リスト!$C$5)+COUNTIF($B$9:B296,リスト!$C$6),"")</f>
        <v/>
      </c>
    </row>
    <row r="297" spans="2:9" x14ac:dyDescent="0.2">
      <c r="B297" s="196"/>
      <c r="C297" s="197">
        <v>45434.996469907404</v>
      </c>
      <c r="D297" s="197">
        <v>45434.996747685182</v>
      </c>
      <c r="E297" s="198" t="s">
        <v>244</v>
      </c>
      <c r="F297" s="199"/>
      <c r="G297" s="140" t="e">
        <f ca="1">mif(C297="","",OR(B297=リスト!$C$5,B297=リスト!$C$6),SUM(INDEX(G:G,MATCH(I297-1,I:I,0)+1,1):INDEX(G:G,MATCH(I297,I:I,0)-1,1)),D297-C297)</f>
        <v>#NAME?</v>
      </c>
      <c r="H297" s="140" t="e">
        <f ca="1">mif(C297="","",B297=リスト!$C$5,SUMIF(INDEX(B:B,MATCH(I297-1,I:I,0)+1,1):INDEX(B:B,MATCH(I297,I:I,0)-1,1),リスト!$C$7,INDEX(G:G,MATCH(I297-1,I:I,0)+1,1):INDEX(G:G,MATCH(I297,I:I,0)-1,1)),"")</f>
        <v>#NAME?</v>
      </c>
      <c r="I297" s="200" t="str">
        <f>IF(OR(B297=リスト!$C$5,B297=リスト!$C$6),COUNTIF($B$9:B297,リスト!$C$5)+COUNTIF($B$9:B297,リスト!$C$6),"")</f>
        <v/>
      </c>
    </row>
    <row r="298" spans="2:9" x14ac:dyDescent="0.2">
      <c r="B298" s="196"/>
      <c r="C298" s="197">
        <v>45435.034594907411</v>
      </c>
      <c r="D298" s="197">
        <v>45435.034849537034</v>
      </c>
      <c r="E298" s="198" t="s">
        <v>244</v>
      </c>
      <c r="F298" s="199"/>
      <c r="G298" s="140" t="e">
        <f ca="1">mif(C298="","",OR(B298=リスト!$C$5,B298=リスト!$C$6),SUM(INDEX(G:G,MATCH(I298-1,I:I,0)+1,1):INDEX(G:G,MATCH(I298,I:I,0)-1,1)),D298-C298)</f>
        <v>#NAME?</v>
      </c>
      <c r="H298" s="140" t="e">
        <f ca="1">mif(C298="","",B298=リスト!$C$5,SUMIF(INDEX(B:B,MATCH(I298-1,I:I,0)+1,1):INDEX(B:B,MATCH(I298,I:I,0)-1,1),リスト!$C$7,INDEX(G:G,MATCH(I298-1,I:I,0)+1,1):INDEX(G:G,MATCH(I298,I:I,0)-1,1)),"")</f>
        <v>#NAME?</v>
      </c>
      <c r="I298" s="200" t="str">
        <f>IF(OR(B298=リスト!$C$5,B298=リスト!$C$6),COUNTIF($B$9:B298,リスト!$C$5)+COUNTIF($B$9:B298,リスト!$C$6),"")</f>
        <v/>
      </c>
    </row>
    <row r="299" spans="2:9" x14ac:dyDescent="0.2">
      <c r="B299" s="196"/>
      <c r="C299" s="197">
        <v>45435.035844907405</v>
      </c>
      <c r="D299" s="197">
        <v>45435.036122685182</v>
      </c>
      <c r="E299" s="198" t="s">
        <v>244</v>
      </c>
      <c r="F299" s="199"/>
      <c r="G299" s="140" t="e">
        <f ca="1">mif(C299="","",OR(B299=リスト!$C$5,B299=リスト!$C$6),SUM(INDEX(G:G,MATCH(I299-1,I:I,0)+1,1):INDEX(G:G,MATCH(I299,I:I,0)-1,1)),D299-C299)</f>
        <v>#NAME?</v>
      </c>
      <c r="H299" s="140" t="e">
        <f ca="1">mif(C299="","",B299=リスト!$C$5,SUMIF(INDEX(B:B,MATCH(I299-1,I:I,0)+1,1):INDEX(B:B,MATCH(I299,I:I,0)-1,1),リスト!$C$7,INDEX(G:G,MATCH(I299-1,I:I,0)+1,1):INDEX(G:G,MATCH(I299,I:I,0)-1,1)),"")</f>
        <v>#NAME?</v>
      </c>
      <c r="I299" s="200" t="str">
        <f>IF(OR(B299=リスト!$C$5,B299=リスト!$C$6),COUNTIF($B$9:B299,リスト!$C$5)+COUNTIF($B$9:B299,リスト!$C$6),"")</f>
        <v/>
      </c>
    </row>
    <row r="300" spans="2:9" x14ac:dyDescent="0.2">
      <c r="B300" s="196"/>
      <c r="C300" s="197">
        <v>45435.098483796297</v>
      </c>
      <c r="D300" s="197">
        <v>45435.098738425928</v>
      </c>
      <c r="E300" s="198" t="s">
        <v>244</v>
      </c>
      <c r="F300" s="199"/>
      <c r="G300" s="140" t="e">
        <f ca="1">mif(C300="","",OR(B300=リスト!$C$5,B300=リスト!$C$6),SUM(INDEX(G:G,MATCH(I300-1,I:I,0)+1,1):INDEX(G:G,MATCH(I300,I:I,0)-1,1)),D300-C300)</f>
        <v>#NAME?</v>
      </c>
      <c r="H300" s="140" t="e">
        <f ca="1">mif(C300="","",B300=リスト!$C$5,SUMIF(INDEX(B:B,MATCH(I300-1,I:I,0)+1,1):INDEX(B:B,MATCH(I300,I:I,0)-1,1),リスト!$C$7,INDEX(G:G,MATCH(I300-1,I:I,0)+1,1):INDEX(G:G,MATCH(I300,I:I,0)-1,1)),"")</f>
        <v>#NAME?</v>
      </c>
      <c r="I300" s="200" t="str">
        <f>IF(OR(B300=リスト!$C$5,B300=リスト!$C$6),COUNTIF($B$9:B300,リスト!$C$5)+COUNTIF($B$9:B300,リスト!$C$6),"")</f>
        <v/>
      </c>
    </row>
    <row r="301" spans="2:9" x14ac:dyDescent="0.2">
      <c r="B301" s="196"/>
      <c r="C301" s="197">
        <v>45435.144548611112</v>
      </c>
      <c r="D301" s="197">
        <v>45435.144849537035</v>
      </c>
      <c r="E301" s="198" t="s">
        <v>244</v>
      </c>
      <c r="F301" s="199"/>
      <c r="G301" s="140" t="e">
        <f ca="1">mif(C301="","",OR(B301=リスト!$C$5,B301=リスト!$C$6),SUM(INDEX(G:G,MATCH(I301-1,I:I,0)+1,1):INDEX(G:G,MATCH(I301,I:I,0)-1,1)),D301-C301)</f>
        <v>#NAME?</v>
      </c>
      <c r="H301" s="140" t="e">
        <f ca="1">mif(C301="","",B301=リスト!$C$5,SUMIF(INDEX(B:B,MATCH(I301-1,I:I,0)+1,1):INDEX(B:B,MATCH(I301,I:I,0)-1,1),リスト!$C$7,INDEX(G:G,MATCH(I301-1,I:I,0)+1,1):INDEX(G:G,MATCH(I301,I:I,0)-1,1)),"")</f>
        <v>#NAME?</v>
      </c>
      <c r="I301" s="200" t="str">
        <f>IF(OR(B301=リスト!$C$5,B301=リスト!$C$6),COUNTIF($B$9:B301,リスト!$C$5)+COUNTIF($B$9:B301,リスト!$C$6),"")</f>
        <v/>
      </c>
    </row>
    <row r="302" spans="2:9" x14ac:dyDescent="0.2">
      <c r="B302" s="196"/>
      <c r="C302" s="197">
        <v>45435.257303240738</v>
      </c>
      <c r="D302" s="197">
        <v>45435.258090277777</v>
      </c>
      <c r="E302" s="198" t="s">
        <v>244</v>
      </c>
      <c r="F302" s="199"/>
      <c r="G302" s="140" t="e">
        <f ca="1">mif(C302="","",OR(B302=リスト!$C$5,B302=リスト!$C$6),SUM(INDEX(G:G,MATCH(I302-1,I:I,0)+1,1):INDEX(G:G,MATCH(I302,I:I,0)-1,1)),D302-C302)</f>
        <v>#NAME?</v>
      </c>
      <c r="H302" s="140" t="e">
        <f ca="1">mif(C302="","",B302=リスト!$C$5,SUMIF(INDEX(B:B,MATCH(I302-1,I:I,0)+1,1):INDEX(B:B,MATCH(I302,I:I,0)-1,1),リスト!$C$7,INDEX(G:G,MATCH(I302-1,I:I,0)+1,1):INDEX(G:G,MATCH(I302,I:I,0)-1,1)),"")</f>
        <v>#NAME?</v>
      </c>
      <c r="I302" s="200" t="str">
        <f>IF(OR(B302=リスト!$C$5,B302=リスト!$C$6),COUNTIF($B$9:B302,リスト!$C$5)+COUNTIF($B$9:B302,リスト!$C$6),"")</f>
        <v/>
      </c>
    </row>
    <row r="303" spans="2:9" x14ac:dyDescent="0.2">
      <c r="B303" s="196"/>
      <c r="C303" s="197">
        <v>45435.293113425927</v>
      </c>
      <c r="D303" s="197">
        <v>45435.293344907404</v>
      </c>
      <c r="E303" s="198" t="s">
        <v>244</v>
      </c>
      <c r="F303" s="199"/>
      <c r="G303" s="140" t="e">
        <f ca="1">mif(C303="","",OR(B303=リスト!$C$5,B303=リスト!$C$6),SUM(INDEX(G:G,MATCH(I303-1,I:I,0)+1,1):INDEX(G:G,MATCH(I303,I:I,0)-1,1)),D303-C303)</f>
        <v>#NAME?</v>
      </c>
      <c r="H303" s="140" t="e">
        <f ca="1">mif(C303="","",B303=リスト!$C$5,SUMIF(INDEX(B:B,MATCH(I303-1,I:I,0)+1,1):INDEX(B:B,MATCH(I303,I:I,0)-1,1),リスト!$C$7,INDEX(G:G,MATCH(I303-1,I:I,0)+1,1):INDEX(G:G,MATCH(I303,I:I,0)-1,1)),"")</f>
        <v>#NAME?</v>
      </c>
      <c r="I303" s="200" t="str">
        <f>IF(OR(B303=リスト!$C$5,B303=リスト!$C$6),COUNTIF($B$9:B303,リスト!$C$5)+COUNTIF($B$9:B303,リスト!$C$6),"")</f>
        <v/>
      </c>
    </row>
    <row r="304" spans="2:9" x14ac:dyDescent="0.2">
      <c r="B304" s="196"/>
      <c r="C304" s="197">
        <v>45435.297372685185</v>
      </c>
      <c r="D304" s="197">
        <v>45435.29760416667</v>
      </c>
      <c r="E304" s="198" t="s">
        <v>244</v>
      </c>
      <c r="F304" s="199"/>
      <c r="G304" s="140" t="e">
        <f ca="1">mif(C304="","",OR(B304=リスト!$C$5,B304=リスト!$C$6),SUM(INDEX(G:G,MATCH(I304-1,I:I,0)+1,1):INDEX(G:G,MATCH(I304,I:I,0)-1,1)),D304-C304)</f>
        <v>#NAME?</v>
      </c>
      <c r="H304" s="140" t="e">
        <f ca="1">mif(C304="","",B304=リスト!$C$5,SUMIF(INDEX(B:B,MATCH(I304-1,I:I,0)+1,1):INDEX(B:B,MATCH(I304,I:I,0)-1,1),リスト!$C$7,INDEX(G:G,MATCH(I304-1,I:I,0)+1,1):INDEX(G:G,MATCH(I304,I:I,0)-1,1)),"")</f>
        <v>#NAME?</v>
      </c>
      <c r="I304" s="200" t="str">
        <f>IF(OR(B304=リスト!$C$5,B304=リスト!$C$6),COUNTIF($B$9:B304,リスト!$C$5)+COUNTIF($B$9:B304,リスト!$C$6),"")</f>
        <v/>
      </c>
    </row>
    <row r="305" spans="2:9" x14ac:dyDescent="0.2">
      <c r="B305" s="196"/>
      <c r="C305" s="197">
        <v>45435.309872685182</v>
      </c>
      <c r="D305" s="197">
        <v>45435.310428240744</v>
      </c>
      <c r="E305" s="198" t="s">
        <v>244</v>
      </c>
      <c r="F305" s="199"/>
      <c r="G305" s="140" t="e">
        <f ca="1">mif(C305="","",OR(B305=リスト!$C$5,B305=リスト!$C$6),SUM(INDEX(G:G,MATCH(I305-1,I:I,0)+1,1):INDEX(G:G,MATCH(I305,I:I,0)-1,1)),D305-C305)</f>
        <v>#NAME?</v>
      </c>
      <c r="H305" s="140" t="e">
        <f ca="1">mif(C305="","",B305=リスト!$C$5,SUMIF(INDEX(B:B,MATCH(I305-1,I:I,0)+1,1):INDEX(B:B,MATCH(I305,I:I,0)-1,1),リスト!$C$7,INDEX(G:G,MATCH(I305-1,I:I,0)+1,1):INDEX(G:G,MATCH(I305,I:I,0)-1,1)),"")</f>
        <v>#NAME?</v>
      </c>
      <c r="I305" s="200" t="str">
        <f>IF(OR(B305=リスト!$C$5,B305=リスト!$C$6),COUNTIF($B$9:B305,リスト!$C$5)+COUNTIF($B$9:B305,リスト!$C$6),"")</f>
        <v/>
      </c>
    </row>
    <row r="306" spans="2:9" x14ac:dyDescent="0.2">
      <c r="B306" s="196"/>
      <c r="C306" s="197">
        <v>45435.346076388887</v>
      </c>
      <c r="D306" s="197">
        <v>45435.346863425926</v>
      </c>
      <c r="E306" s="198" t="s">
        <v>244</v>
      </c>
      <c r="F306" s="199"/>
      <c r="G306" s="140" t="e">
        <f ca="1">mif(C306="","",OR(B306=リスト!$C$5,B306=リスト!$C$6),SUM(INDEX(G:G,MATCH(I306-1,I:I,0)+1,1):INDEX(G:G,MATCH(I306,I:I,0)-1,1)),D306-C306)</f>
        <v>#NAME?</v>
      </c>
      <c r="H306" s="140" t="e">
        <f ca="1">mif(C306="","",B306=リスト!$C$5,SUMIF(INDEX(B:B,MATCH(I306-1,I:I,0)+1,1):INDEX(B:B,MATCH(I306,I:I,0)-1,1),リスト!$C$7,INDEX(G:G,MATCH(I306-1,I:I,0)+1,1):INDEX(G:G,MATCH(I306,I:I,0)-1,1)),"")</f>
        <v>#NAME?</v>
      </c>
      <c r="I306" s="200" t="str">
        <f>IF(OR(B306=リスト!$C$5,B306=リスト!$C$6),COUNTIF($B$9:B306,リスト!$C$5)+COUNTIF($B$9:B306,リスト!$C$6),"")</f>
        <v/>
      </c>
    </row>
    <row r="307" spans="2:9" x14ac:dyDescent="0.2">
      <c r="B307" s="196"/>
      <c r="C307" s="197">
        <v>45435.347557870373</v>
      </c>
      <c r="D307" s="197">
        <v>45435.34783564815</v>
      </c>
      <c r="E307" s="198" t="s">
        <v>244</v>
      </c>
      <c r="F307" s="199"/>
      <c r="G307" s="140" t="e">
        <f ca="1">mif(C307="","",OR(B307=リスト!$C$5,B307=リスト!$C$6),SUM(INDEX(G:G,MATCH(I307-1,I:I,0)+1,1):INDEX(G:G,MATCH(I307,I:I,0)-1,1)),D307-C307)</f>
        <v>#NAME?</v>
      </c>
      <c r="H307" s="140" t="e">
        <f ca="1">mif(C307="","",B307=リスト!$C$5,SUMIF(INDEX(B:B,MATCH(I307-1,I:I,0)+1,1):INDEX(B:B,MATCH(I307,I:I,0)-1,1),リスト!$C$7,INDEX(G:G,MATCH(I307-1,I:I,0)+1,1):INDEX(G:G,MATCH(I307,I:I,0)-1,1)),"")</f>
        <v>#NAME?</v>
      </c>
      <c r="I307" s="200" t="str">
        <f>IF(OR(B307=リスト!$C$5,B307=リスト!$C$6),COUNTIF($B$9:B307,リスト!$C$5)+COUNTIF($B$9:B307,リスト!$C$6),"")</f>
        <v/>
      </c>
    </row>
    <row r="308" spans="2:9" x14ac:dyDescent="0.2">
      <c r="B308" s="196"/>
      <c r="C308" s="197">
        <v>45435.354988425926</v>
      </c>
      <c r="D308" s="197">
        <v>45435.355312500003</v>
      </c>
      <c r="E308" s="198" t="s">
        <v>244</v>
      </c>
      <c r="F308" s="199"/>
      <c r="G308" s="140" t="e">
        <f ca="1">mif(C308="","",OR(B308=リスト!$C$5,B308=リスト!$C$6),SUM(INDEX(G:G,MATCH(I308-1,I:I,0)+1,1):INDEX(G:G,MATCH(I308,I:I,0)-1,1)),D308-C308)</f>
        <v>#NAME?</v>
      </c>
      <c r="H308" s="140" t="e">
        <f ca="1">mif(C308="","",B308=リスト!$C$5,SUMIF(INDEX(B:B,MATCH(I308-1,I:I,0)+1,1):INDEX(B:B,MATCH(I308,I:I,0)-1,1),リスト!$C$7,INDEX(G:G,MATCH(I308-1,I:I,0)+1,1):INDEX(G:G,MATCH(I308,I:I,0)-1,1)),"")</f>
        <v>#NAME?</v>
      </c>
      <c r="I308" s="200" t="str">
        <f>IF(OR(B308=リスト!$C$5,B308=リスト!$C$6),COUNTIF($B$9:B308,リスト!$C$5)+COUNTIF($B$9:B308,リスト!$C$6),"")</f>
        <v/>
      </c>
    </row>
    <row r="309" spans="2:9" x14ac:dyDescent="0.2">
      <c r="B309" s="196"/>
      <c r="C309" s="197">
        <v>45435.368356481478</v>
      </c>
      <c r="D309" s="197">
        <v>45435.368657407409</v>
      </c>
      <c r="E309" s="198" t="s">
        <v>244</v>
      </c>
      <c r="F309" s="199"/>
      <c r="G309" s="140" t="e">
        <f ca="1">mif(C309="","",OR(B309=リスト!$C$5,B309=リスト!$C$6),SUM(INDEX(G:G,MATCH(I309-1,I:I,0)+1,1):INDEX(G:G,MATCH(I309,I:I,0)-1,1)),D309-C309)</f>
        <v>#NAME?</v>
      </c>
      <c r="H309" s="140" t="e">
        <f ca="1">mif(C309="","",B309=リスト!$C$5,SUMIF(INDEX(B:B,MATCH(I309-1,I:I,0)+1,1):INDEX(B:B,MATCH(I309,I:I,0)-1,1),リスト!$C$7,INDEX(G:G,MATCH(I309-1,I:I,0)+1,1):INDEX(G:G,MATCH(I309,I:I,0)-1,1)),"")</f>
        <v>#NAME?</v>
      </c>
      <c r="I309" s="200" t="str">
        <f>IF(OR(B309=リスト!$C$5,B309=リスト!$C$6),COUNTIF($B$9:B309,リスト!$C$5)+COUNTIF($B$9:B309,リスト!$C$6),"")</f>
        <v/>
      </c>
    </row>
    <row r="310" spans="2:9" x14ac:dyDescent="0.2">
      <c r="B310" s="196"/>
      <c r="C310" s="197">
        <v>45435.381689814814</v>
      </c>
      <c r="D310" s="197">
        <v>45435.381990740738</v>
      </c>
      <c r="E310" s="198" t="s">
        <v>244</v>
      </c>
      <c r="F310" s="199"/>
      <c r="G310" s="140" t="e">
        <f ca="1">mif(C310="","",OR(B310=リスト!$C$5,B310=リスト!$C$6),SUM(INDEX(G:G,MATCH(I310-1,I:I,0)+1,1):INDEX(G:G,MATCH(I310,I:I,0)-1,1)),D310-C310)</f>
        <v>#NAME?</v>
      </c>
      <c r="H310" s="140" t="e">
        <f ca="1">mif(C310="","",B310=リスト!$C$5,SUMIF(INDEX(B:B,MATCH(I310-1,I:I,0)+1,1):INDEX(B:B,MATCH(I310,I:I,0)-1,1),リスト!$C$7,INDEX(G:G,MATCH(I310-1,I:I,0)+1,1):INDEX(G:G,MATCH(I310,I:I,0)-1,1)),"")</f>
        <v>#NAME?</v>
      </c>
      <c r="I310" s="200" t="str">
        <f>IF(OR(B310=リスト!$C$5,B310=リスト!$C$6),COUNTIF($B$9:B310,リスト!$C$5)+COUNTIF($B$9:B310,リスト!$C$6),"")</f>
        <v/>
      </c>
    </row>
    <row r="311" spans="2:9" x14ac:dyDescent="0.2">
      <c r="B311" s="196"/>
      <c r="C311" s="197">
        <v>45435.387349537035</v>
      </c>
      <c r="D311" s="197">
        <v>45435.387650462966</v>
      </c>
      <c r="E311" s="198" t="s">
        <v>244</v>
      </c>
      <c r="F311" s="199"/>
      <c r="G311" s="140" t="e">
        <f ca="1">mif(C311="","",OR(B311=リスト!$C$5,B311=リスト!$C$6),SUM(INDEX(G:G,MATCH(I311-1,I:I,0)+1,1):INDEX(G:G,MATCH(I311,I:I,0)-1,1)),D311-C311)</f>
        <v>#NAME?</v>
      </c>
      <c r="H311" s="140" t="e">
        <f ca="1">mif(C311="","",B311=リスト!$C$5,SUMIF(INDEX(B:B,MATCH(I311-1,I:I,0)+1,1):INDEX(B:B,MATCH(I311,I:I,0)-1,1),リスト!$C$7,INDEX(G:G,MATCH(I311-1,I:I,0)+1,1):INDEX(G:G,MATCH(I311,I:I,0)-1,1)),"")</f>
        <v>#NAME?</v>
      </c>
      <c r="I311" s="200" t="str">
        <f>IF(OR(B311=リスト!$C$5,B311=リスト!$C$6),COUNTIF($B$9:B311,リスト!$C$5)+COUNTIF($B$9:B311,リスト!$C$6),"")</f>
        <v/>
      </c>
    </row>
    <row r="312" spans="2:9" x14ac:dyDescent="0.2">
      <c r="B312" s="196" t="s">
        <v>247</v>
      </c>
      <c r="C312" s="197">
        <v>45434.916666666664</v>
      </c>
      <c r="D312" s="197">
        <v>45435.416666666664</v>
      </c>
      <c r="E312" s="198">
        <v>16</v>
      </c>
      <c r="F312" s="199"/>
      <c r="G312" s="140" t="e">
        <f ca="1">mif(C312="","",OR(B312=リスト!$C$5,B312=リスト!$C$6),SUM(INDEX(G:G,MATCH(I312-1,I:I,0)+1,1):INDEX(G:G,MATCH(I312,I:I,0)-1,1)),D312-C312)</f>
        <v>#NAME?</v>
      </c>
      <c r="H312" s="140" t="e">
        <f ca="1">mif(C312="","",B312=リスト!$C$5,SUMIF(INDEX(B:B,MATCH(I312-1,I:I,0)+1,1):INDEX(B:B,MATCH(I312,I:I,0)-1,1),リスト!$C$7,INDEX(G:G,MATCH(I312-1,I:I,0)+1,1):INDEX(G:G,MATCH(I312,I:I,0)-1,1)),"")</f>
        <v>#NAME?</v>
      </c>
      <c r="I312" s="200">
        <f>IF(OR(B312=リスト!$C$5,B312=リスト!$C$6),COUNTIF($B$9:B312,リスト!$C$5)+COUNTIF($B$9:B312,リスト!$C$6),"")</f>
        <v>21</v>
      </c>
    </row>
    <row r="313" spans="2:9" x14ac:dyDescent="0.2">
      <c r="B313" s="196"/>
      <c r="C313" s="197">
        <v>45435.437222222223</v>
      </c>
      <c r="D313" s="197">
        <v>45435.437511574077</v>
      </c>
      <c r="E313" s="198" t="s">
        <v>244</v>
      </c>
      <c r="F313" s="199"/>
      <c r="G313" s="140" t="e">
        <f ca="1">mif(C313="","",OR(B313=リスト!$C$5,B313=リスト!$C$6),SUM(INDEX(G:G,MATCH(I313-1,I:I,0)+1,1):INDEX(G:G,MATCH(I313,I:I,0)-1,1)),D313-C313)</f>
        <v>#NAME?</v>
      </c>
      <c r="H313" s="140" t="e">
        <f ca="1">mif(C313="","",B313=リスト!$C$5,SUMIF(INDEX(B:B,MATCH(I313-1,I:I,0)+1,1):INDEX(B:B,MATCH(I313,I:I,0)-1,1),リスト!$C$7,INDEX(G:G,MATCH(I313-1,I:I,0)+1,1):INDEX(G:G,MATCH(I313,I:I,0)-1,1)),"")</f>
        <v>#NAME?</v>
      </c>
      <c r="I313" s="200" t="str">
        <f>IF(OR(B313=リスト!$C$5,B313=リスト!$C$6),COUNTIF($B$9:B313,リスト!$C$5)+COUNTIF($B$9:B313,リスト!$C$6),"")</f>
        <v/>
      </c>
    </row>
    <row r="314" spans="2:9" x14ac:dyDescent="0.2">
      <c r="B314" s="196"/>
      <c r="C314" s="197">
        <v>45435.475578703707</v>
      </c>
      <c r="D314" s="197">
        <v>45435.47587962963</v>
      </c>
      <c r="E314" s="198" t="s">
        <v>244</v>
      </c>
      <c r="F314" s="199"/>
      <c r="G314" s="140" t="e">
        <f ca="1">mif(C314="","",OR(B314=リスト!$C$5,B314=リスト!$C$6),SUM(INDEX(G:G,MATCH(I314-1,I:I,0)+1,1):INDEX(G:G,MATCH(I314,I:I,0)-1,1)),D314-C314)</f>
        <v>#NAME?</v>
      </c>
      <c r="H314" s="140" t="e">
        <f ca="1">mif(C314="","",B314=リスト!$C$5,SUMIF(INDEX(B:B,MATCH(I314-1,I:I,0)+1,1):INDEX(B:B,MATCH(I314,I:I,0)-1,1),リスト!$C$7,INDEX(G:G,MATCH(I314-1,I:I,0)+1,1):INDEX(G:G,MATCH(I314,I:I,0)-1,1)),"")</f>
        <v>#NAME?</v>
      </c>
      <c r="I314" s="200" t="str">
        <f>IF(OR(B314=リスト!$C$5,B314=リスト!$C$6),COUNTIF($B$9:B314,リスト!$C$5)+COUNTIF($B$9:B314,リスト!$C$6),"")</f>
        <v/>
      </c>
    </row>
    <row r="315" spans="2:9" x14ac:dyDescent="0.2">
      <c r="B315" s="196"/>
      <c r="C315" s="197">
        <v>45435.481990740744</v>
      </c>
      <c r="D315" s="197">
        <v>45435.482291666667</v>
      </c>
      <c r="E315" s="198" t="s">
        <v>244</v>
      </c>
      <c r="F315" s="199"/>
      <c r="G315" s="140" t="e">
        <f ca="1">mif(C315="","",OR(B315=リスト!$C$5,B315=リスト!$C$6),SUM(INDEX(G:G,MATCH(I315-1,I:I,0)+1,1):INDEX(G:G,MATCH(I315,I:I,0)-1,1)),D315-C315)</f>
        <v>#NAME?</v>
      </c>
      <c r="H315" s="140" t="e">
        <f ca="1">mif(C315="","",B315=リスト!$C$5,SUMIF(INDEX(B:B,MATCH(I315-1,I:I,0)+1,1):INDEX(B:B,MATCH(I315,I:I,0)-1,1),リスト!$C$7,INDEX(G:G,MATCH(I315-1,I:I,0)+1,1):INDEX(G:G,MATCH(I315,I:I,0)-1,1)),"")</f>
        <v>#NAME?</v>
      </c>
      <c r="I315" s="200" t="str">
        <f>IF(OR(B315=リスト!$C$5,B315=リスト!$C$6),COUNTIF($B$9:B315,リスト!$C$5)+COUNTIF($B$9:B315,リスト!$C$6),"")</f>
        <v/>
      </c>
    </row>
    <row r="316" spans="2:9" x14ac:dyDescent="0.2">
      <c r="B316" s="196"/>
      <c r="C316" s="197">
        <v>45435.502557870372</v>
      </c>
      <c r="D316" s="197">
        <v>45435.502835648149</v>
      </c>
      <c r="E316" s="198" t="s">
        <v>244</v>
      </c>
      <c r="F316" s="199"/>
      <c r="G316" s="140" t="e">
        <f ca="1">mif(C316="","",OR(B316=リスト!$C$5,B316=リスト!$C$6),SUM(INDEX(G:G,MATCH(I316-1,I:I,0)+1,1):INDEX(G:G,MATCH(I316,I:I,0)-1,1)),D316-C316)</f>
        <v>#NAME?</v>
      </c>
      <c r="H316" s="140" t="e">
        <f ca="1">mif(C316="","",B316=リスト!$C$5,SUMIF(INDEX(B:B,MATCH(I316-1,I:I,0)+1,1):INDEX(B:B,MATCH(I316,I:I,0)-1,1),リスト!$C$7,INDEX(G:G,MATCH(I316-1,I:I,0)+1,1):INDEX(G:G,MATCH(I316,I:I,0)-1,1)),"")</f>
        <v>#NAME?</v>
      </c>
      <c r="I316" s="200" t="str">
        <f>IF(OR(B316=リスト!$C$5,B316=リスト!$C$6),COUNTIF($B$9:B316,リスト!$C$5)+COUNTIF($B$9:B316,リスト!$C$6),"")</f>
        <v/>
      </c>
    </row>
    <row r="317" spans="2:9" x14ac:dyDescent="0.2">
      <c r="B317" s="196"/>
      <c r="C317" s="197">
        <v>45435.647696759261</v>
      </c>
      <c r="D317" s="197">
        <v>45435.647951388892</v>
      </c>
      <c r="E317" s="198" t="s">
        <v>244</v>
      </c>
      <c r="F317" s="199"/>
      <c r="G317" s="140" t="e">
        <f ca="1">mif(C317="","",OR(B317=リスト!$C$5,B317=リスト!$C$6),SUM(INDEX(G:G,MATCH(I317-1,I:I,0)+1,1):INDEX(G:G,MATCH(I317,I:I,0)-1,1)),D317-C317)</f>
        <v>#NAME?</v>
      </c>
      <c r="H317" s="140" t="e">
        <f ca="1">mif(C317="","",B317=リスト!$C$5,SUMIF(INDEX(B:B,MATCH(I317-1,I:I,0)+1,1):INDEX(B:B,MATCH(I317,I:I,0)-1,1),リスト!$C$7,INDEX(G:G,MATCH(I317-1,I:I,0)+1,1):INDEX(G:G,MATCH(I317,I:I,0)-1,1)),"")</f>
        <v>#NAME?</v>
      </c>
      <c r="I317" s="200" t="str">
        <f>IF(OR(B317=リスト!$C$5,B317=リスト!$C$6),COUNTIF($B$9:B317,リスト!$C$5)+COUNTIF($B$9:B317,リスト!$C$6),"")</f>
        <v/>
      </c>
    </row>
    <row r="318" spans="2:9" x14ac:dyDescent="0.2">
      <c r="B318" s="196"/>
      <c r="C318" s="197">
        <v>45435.679189814815</v>
      </c>
      <c r="D318" s="197">
        <v>45435.6794212963</v>
      </c>
      <c r="E318" s="198" t="s">
        <v>244</v>
      </c>
      <c r="F318" s="199"/>
      <c r="G318" s="140" t="e">
        <f ca="1">mif(C318="","",OR(B318=リスト!$C$5,B318=リスト!$C$6),SUM(INDEX(G:G,MATCH(I318-1,I:I,0)+1,1):INDEX(G:G,MATCH(I318,I:I,0)-1,1)),D318-C318)</f>
        <v>#NAME?</v>
      </c>
      <c r="H318" s="140" t="e">
        <f ca="1">mif(C318="","",B318=リスト!$C$5,SUMIF(INDEX(B:B,MATCH(I318-1,I:I,0)+1,1):INDEX(B:B,MATCH(I318,I:I,0)-1,1),リスト!$C$7,INDEX(G:G,MATCH(I318-1,I:I,0)+1,1):INDEX(G:G,MATCH(I318,I:I,0)-1,1)),"")</f>
        <v>#NAME?</v>
      </c>
      <c r="I318" s="200" t="str">
        <f>IF(OR(B318=リスト!$C$5,B318=リスト!$C$6),COUNTIF($B$9:B318,リスト!$C$5)+COUNTIF($B$9:B318,リスト!$C$6),"")</f>
        <v/>
      </c>
    </row>
    <row r="319" spans="2:9" x14ac:dyDescent="0.2">
      <c r="B319" s="196"/>
      <c r="C319" s="197">
        <v>45435.70045138889</v>
      </c>
      <c r="D319" s="197">
        <v>45435.700729166667</v>
      </c>
      <c r="E319" s="198" t="s">
        <v>244</v>
      </c>
      <c r="F319" s="199"/>
      <c r="G319" s="140" t="e">
        <f ca="1">mif(C319="","",OR(B319=リスト!$C$5,B319=リスト!$C$6),SUM(INDEX(G:G,MATCH(I319-1,I:I,0)+1,1):INDEX(G:G,MATCH(I319,I:I,0)-1,1)),D319-C319)</f>
        <v>#NAME?</v>
      </c>
      <c r="H319" s="140" t="e">
        <f ca="1">mif(C319="","",B319=リスト!$C$5,SUMIF(INDEX(B:B,MATCH(I319-1,I:I,0)+1,1):INDEX(B:B,MATCH(I319,I:I,0)-1,1),リスト!$C$7,INDEX(G:G,MATCH(I319-1,I:I,0)+1,1):INDEX(G:G,MATCH(I319,I:I,0)-1,1)),"")</f>
        <v>#NAME?</v>
      </c>
      <c r="I319" s="200" t="str">
        <f>IF(OR(B319=リスト!$C$5,B319=リスト!$C$6),COUNTIF($B$9:B319,リスト!$C$5)+COUNTIF($B$9:B319,リスト!$C$6),"")</f>
        <v/>
      </c>
    </row>
    <row r="320" spans="2:9" x14ac:dyDescent="0.2">
      <c r="B320" s="196"/>
      <c r="C320" s="197">
        <v>45435.801192129627</v>
      </c>
      <c r="D320" s="197">
        <v>45435.802048611113</v>
      </c>
      <c r="E320" s="198" t="s">
        <v>244</v>
      </c>
      <c r="F320" s="199"/>
      <c r="G320" s="140" t="e">
        <f ca="1">mif(C320="","",OR(B320=リスト!$C$5,B320=リスト!$C$6),SUM(INDEX(G:G,MATCH(I320-1,I:I,0)+1,1):INDEX(G:G,MATCH(I320,I:I,0)-1,1)),D320-C320)</f>
        <v>#NAME?</v>
      </c>
      <c r="H320" s="140" t="e">
        <f ca="1">mif(C320="","",B320=リスト!$C$5,SUMIF(INDEX(B:B,MATCH(I320-1,I:I,0)+1,1):INDEX(B:B,MATCH(I320,I:I,0)-1,1),リスト!$C$7,INDEX(G:G,MATCH(I320-1,I:I,0)+1,1):INDEX(G:G,MATCH(I320,I:I,0)-1,1)),"")</f>
        <v>#NAME?</v>
      </c>
      <c r="I320" s="200" t="str">
        <f>IF(OR(B320=リスト!$C$5,B320=リスト!$C$6),COUNTIF($B$9:B320,リスト!$C$5)+COUNTIF($B$9:B320,リスト!$C$6),"")</f>
        <v/>
      </c>
    </row>
    <row r="321" spans="2:9" x14ac:dyDescent="0.2">
      <c r="B321" s="196"/>
      <c r="C321" s="197">
        <v>45435.891759259262</v>
      </c>
      <c r="D321" s="197">
        <v>45435.892060185186</v>
      </c>
      <c r="E321" s="198" t="s">
        <v>244</v>
      </c>
      <c r="F321" s="199"/>
      <c r="G321" s="140" t="e">
        <f ca="1">mif(C321="","",OR(B321=リスト!$C$5,B321=リスト!$C$6),SUM(INDEX(G:G,MATCH(I321-1,I:I,0)+1,1):INDEX(G:G,MATCH(I321,I:I,0)-1,1)),D321-C321)</f>
        <v>#NAME?</v>
      </c>
      <c r="H321" s="140" t="e">
        <f ca="1">mif(C321="","",B321=リスト!$C$5,SUMIF(INDEX(B:B,MATCH(I321-1,I:I,0)+1,1):INDEX(B:B,MATCH(I321,I:I,0)-1,1),リスト!$C$7,INDEX(G:G,MATCH(I321-1,I:I,0)+1,1):INDEX(G:G,MATCH(I321,I:I,0)-1,1)),"")</f>
        <v>#NAME?</v>
      </c>
      <c r="I321" s="200" t="str">
        <f>IF(OR(B321=リスト!$C$5,B321=リスト!$C$6),COUNTIF($B$9:B321,リスト!$C$5)+COUNTIF($B$9:B321,リスト!$C$6),"")</f>
        <v/>
      </c>
    </row>
    <row r="322" spans="2:9" x14ac:dyDescent="0.2">
      <c r="B322" s="196" t="s">
        <v>247</v>
      </c>
      <c r="C322" s="197">
        <v>45435.416666666664</v>
      </c>
      <c r="D322" s="197">
        <v>45435.916666666664</v>
      </c>
      <c r="E322" s="198">
        <v>9</v>
      </c>
      <c r="F322" s="199"/>
      <c r="G322" s="140" t="e">
        <f ca="1">mif(C322="","",OR(B322=リスト!$C$5,B322=リスト!$C$6),SUM(INDEX(G:G,MATCH(I322-1,I:I,0)+1,1):INDEX(G:G,MATCH(I322,I:I,0)-1,1)),D322-C322)</f>
        <v>#NAME?</v>
      </c>
      <c r="H322" s="140" t="e">
        <f ca="1">mif(C322="","",B322=リスト!$C$5,SUMIF(INDEX(B:B,MATCH(I322-1,I:I,0)+1,1):INDEX(B:B,MATCH(I322,I:I,0)-1,1),リスト!$C$7,INDEX(G:G,MATCH(I322-1,I:I,0)+1,1):INDEX(G:G,MATCH(I322,I:I,0)-1,1)),"")</f>
        <v>#NAME?</v>
      </c>
      <c r="I322" s="200">
        <f>IF(OR(B322=リスト!$C$5,B322=リスト!$C$6),COUNTIF($B$9:B322,リスト!$C$5)+COUNTIF($B$9:B322,リスト!$C$6),"")</f>
        <v>22</v>
      </c>
    </row>
    <row r="323" spans="2:9" x14ac:dyDescent="0.2">
      <c r="B323" s="196"/>
      <c r="C323" s="197">
        <v>45437.018900462965</v>
      </c>
      <c r="D323" s="197">
        <v>45437.019363425927</v>
      </c>
      <c r="E323" s="198" t="s">
        <v>244</v>
      </c>
      <c r="F323" s="199"/>
      <c r="G323" s="140" t="e">
        <f ca="1">mif(C323="","",OR(B323=リスト!$C$5,B323=リスト!$C$6),SUM(INDEX(G:G,MATCH(I323-1,I:I,0)+1,1):INDEX(G:G,MATCH(I323,I:I,0)-1,1)),D323-C323)</f>
        <v>#NAME?</v>
      </c>
      <c r="H323" s="140" t="e">
        <f ca="1">mif(C323="","",B323=リスト!$C$5,SUMIF(INDEX(B:B,MATCH(I323-1,I:I,0)+1,1):INDEX(B:B,MATCH(I323,I:I,0)-1,1),リスト!$C$7,INDEX(G:G,MATCH(I323-1,I:I,0)+1,1):INDEX(G:G,MATCH(I323,I:I,0)-1,1)),"")</f>
        <v>#NAME?</v>
      </c>
      <c r="I323" s="200" t="str">
        <f>IF(OR(B323=リスト!$C$5,B323=リスト!$C$6),COUNTIF($B$9:B323,リスト!$C$5)+COUNTIF($B$9:B323,リスト!$C$6),"")</f>
        <v/>
      </c>
    </row>
    <row r="324" spans="2:9" x14ac:dyDescent="0.2">
      <c r="B324" s="196"/>
      <c r="C324" s="197">
        <v>45437.115312499998</v>
      </c>
      <c r="D324" s="197">
        <v>45437.115659722222</v>
      </c>
      <c r="E324" s="198" t="s">
        <v>244</v>
      </c>
      <c r="F324" s="199"/>
      <c r="G324" s="140" t="e">
        <f ca="1">mif(C324="","",OR(B324=リスト!$C$5,B324=リスト!$C$6),SUM(INDEX(G:G,MATCH(I324-1,I:I,0)+1,1):INDEX(G:G,MATCH(I324,I:I,0)-1,1)),D324-C324)</f>
        <v>#NAME?</v>
      </c>
      <c r="H324" s="140" t="e">
        <f ca="1">mif(C324="","",B324=リスト!$C$5,SUMIF(INDEX(B:B,MATCH(I324-1,I:I,0)+1,1):INDEX(B:B,MATCH(I324,I:I,0)-1,1),リスト!$C$7,INDEX(G:G,MATCH(I324-1,I:I,0)+1,1):INDEX(G:G,MATCH(I324,I:I,0)-1,1)),"")</f>
        <v>#NAME?</v>
      </c>
      <c r="I324" s="200" t="str">
        <f>IF(OR(B324=リスト!$C$5,B324=リスト!$C$6),COUNTIF($B$9:B324,リスト!$C$5)+COUNTIF($B$9:B324,リスト!$C$6),"")</f>
        <v/>
      </c>
    </row>
    <row r="325" spans="2:9" x14ac:dyDescent="0.2">
      <c r="B325" s="196"/>
      <c r="C325" s="197">
        <v>45437.273020833331</v>
      </c>
      <c r="D325" s="197">
        <v>45437.273298611108</v>
      </c>
      <c r="E325" s="198" t="s">
        <v>244</v>
      </c>
      <c r="F325" s="199"/>
      <c r="G325" s="140" t="e">
        <f ca="1">mif(C325="","",OR(B325=リスト!$C$5,B325=リスト!$C$6),SUM(INDEX(G:G,MATCH(I325-1,I:I,0)+1,1):INDEX(G:G,MATCH(I325,I:I,0)-1,1)),D325-C325)</f>
        <v>#NAME?</v>
      </c>
      <c r="H325" s="140" t="e">
        <f ca="1">mif(C325="","",B325=リスト!$C$5,SUMIF(INDEX(B:B,MATCH(I325-1,I:I,0)+1,1):INDEX(B:B,MATCH(I325,I:I,0)-1,1),リスト!$C$7,INDEX(G:G,MATCH(I325-1,I:I,0)+1,1):INDEX(G:G,MATCH(I325,I:I,0)-1,1)),"")</f>
        <v>#NAME?</v>
      </c>
      <c r="I325" s="200" t="str">
        <f>IF(OR(B325=リスト!$C$5,B325=リスト!$C$6),COUNTIF($B$9:B325,リスト!$C$5)+COUNTIF($B$9:B325,リスト!$C$6),"")</f>
        <v/>
      </c>
    </row>
    <row r="326" spans="2:9" x14ac:dyDescent="0.2">
      <c r="B326" s="196"/>
      <c r="C326" s="197">
        <v>45437.285196759258</v>
      </c>
      <c r="D326" s="197">
        <v>45437.285451388889</v>
      </c>
      <c r="E326" s="198" t="s">
        <v>244</v>
      </c>
      <c r="F326" s="199"/>
      <c r="G326" s="140" t="e">
        <f ca="1">mif(C326="","",OR(B326=リスト!$C$5,B326=リスト!$C$6),SUM(INDEX(G:G,MATCH(I326-1,I:I,0)+1,1):INDEX(G:G,MATCH(I326,I:I,0)-1,1)),D326-C326)</f>
        <v>#NAME?</v>
      </c>
      <c r="H326" s="140" t="e">
        <f ca="1">mif(C326="","",B326=リスト!$C$5,SUMIF(INDEX(B:B,MATCH(I326-1,I:I,0)+1,1):INDEX(B:B,MATCH(I326,I:I,0)-1,1),リスト!$C$7,INDEX(G:G,MATCH(I326-1,I:I,0)+1,1):INDEX(G:G,MATCH(I326,I:I,0)-1,1)),"")</f>
        <v>#NAME?</v>
      </c>
      <c r="I326" s="200" t="str">
        <f>IF(OR(B326=リスト!$C$5,B326=リスト!$C$6),COUNTIF($B$9:B326,リスト!$C$5)+COUNTIF($B$9:B326,リスト!$C$6),"")</f>
        <v/>
      </c>
    </row>
    <row r="327" spans="2:9" x14ac:dyDescent="0.2">
      <c r="B327" s="196"/>
      <c r="C327" s="197">
        <v>45437.311874999999</v>
      </c>
      <c r="D327" s="197">
        <v>45437.312152777777</v>
      </c>
      <c r="E327" s="198" t="s">
        <v>244</v>
      </c>
      <c r="F327" s="199"/>
      <c r="G327" s="140" t="e">
        <f ca="1">mif(C327="","",OR(B327=リスト!$C$5,B327=リスト!$C$6),SUM(INDEX(G:G,MATCH(I327-1,I:I,0)+1,1):INDEX(G:G,MATCH(I327,I:I,0)-1,1)),D327-C327)</f>
        <v>#NAME?</v>
      </c>
      <c r="H327" s="140" t="e">
        <f ca="1">mif(C327="","",B327=リスト!$C$5,SUMIF(INDEX(B:B,MATCH(I327-1,I:I,0)+1,1):INDEX(B:B,MATCH(I327,I:I,0)-1,1),リスト!$C$7,INDEX(G:G,MATCH(I327-1,I:I,0)+1,1):INDEX(G:G,MATCH(I327,I:I,0)-1,1)),"")</f>
        <v>#NAME?</v>
      </c>
      <c r="I327" s="200" t="str">
        <f>IF(OR(B327=リスト!$C$5,B327=リスト!$C$6),COUNTIF($B$9:B327,リスト!$C$5)+COUNTIF($B$9:B327,リスト!$C$6),"")</f>
        <v/>
      </c>
    </row>
    <row r="328" spans="2:9" x14ac:dyDescent="0.2">
      <c r="B328" s="196"/>
      <c r="C328" s="197">
        <v>45437.31621527778</v>
      </c>
      <c r="D328" s="197">
        <v>45437.316516203704</v>
      </c>
      <c r="E328" s="198" t="s">
        <v>244</v>
      </c>
      <c r="F328" s="199"/>
      <c r="G328" s="140" t="e">
        <f ca="1">mif(C328="","",OR(B328=リスト!$C$5,B328=リスト!$C$6),SUM(INDEX(G:G,MATCH(I328-1,I:I,0)+1,1):INDEX(G:G,MATCH(I328,I:I,0)-1,1)),D328-C328)</f>
        <v>#NAME?</v>
      </c>
      <c r="H328" s="140" t="e">
        <f ca="1">mif(C328="","",B328=リスト!$C$5,SUMIF(INDEX(B:B,MATCH(I328-1,I:I,0)+1,1):INDEX(B:B,MATCH(I328,I:I,0)-1,1),リスト!$C$7,INDEX(G:G,MATCH(I328-1,I:I,0)+1,1):INDEX(G:G,MATCH(I328,I:I,0)-1,1)),"")</f>
        <v>#NAME?</v>
      </c>
      <c r="I328" s="200" t="str">
        <f>IF(OR(B328=リスト!$C$5,B328=リスト!$C$6),COUNTIF($B$9:B328,リスト!$C$5)+COUNTIF($B$9:B328,リスト!$C$6),"")</f>
        <v/>
      </c>
    </row>
    <row r="329" spans="2:9" x14ac:dyDescent="0.2">
      <c r="B329" s="196"/>
      <c r="C329" s="197">
        <v>45437.384710648148</v>
      </c>
      <c r="D329" s="197">
        <v>45437.385011574072</v>
      </c>
      <c r="E329" s="198" t="s">
        <v>244</v>
      </c>
      <c r="F329" s="199"/>
      <c r="G329" s="140" t="e">
        <f ca="1">mif(C329="","",OR(B329=リスト!$C$5,B329=リスト!$C$6),SUM(INDEX(G:G,MATCH(I329-1,I:I,0)+1,1):INDEX(G:G,MATCH(I329,I:I,0)-1,1)),D329-C329)</f>
        <v>#NAME?</v>
      </c>
      <c r="H329" s="140" t="e">
        <f ca="1">mif(C329="","",B329=リスト!$C$5,SUMIF(INDEX(B:B,MATCH(I329-1,I:I,0)+1,1):INDEX(B:B,MATCH(I329,I:I,0)-1,1),リスト!$C$7,INDEX(G:G,MATCH(I329-1,I:I,0)+1,1):INDEX(G:G,MATCH(I329,I:I,0)-1,1)),"")</f>
        <v>#NAME?</v>
      </c>
      <c r="I329" s="200" t="str">
        <f>IF(OR(B329=リスト!$C$5,B329=リスト!$C$6),COUNTIF($B$9:B329,リスト!$C$5)+COUNTIF($B$9:B329,リスト!$C$6),"")</f>
        <v/>
      </c>
    </row>
    <row r="330" spans="2:9" x14ac:dyDescent="0.2">
      <c r="B330" s="196" t="s">
        <v>247</v>
      </c>
      <c r="C330" s="197">
        <v>45436.916666666664</v>
      </c>
      <c r="D330" s="197">
        <v>45437.416666666664</v>
      </c>
      <c r="E330" s="198">
        <v>7</v>
      </c>
      <c r="F330" s="199"/>
      <c r="G330" s="140" t="e">
        <f ca="1">mif(C330="","",OR(B330=リスト!$C$5,B330=リスト!$C$6),SUM(INDEX(G:G,MATCH(I330-1,I:I,0)+1,1):INDEX(G:G,MATCH(I330,I:I,0)-1,1)),D330-C330)</f>
        <v>#NAME?</v>
      </c>
      <c r="H330" s="140" t="e">
        <f ca="1">mif(C330="","",B330=リスト!$C$5,SUMIF(INDEX(B:B,MATCH(I330-1,I:I,0)+1,1):INDEX(B:B,MATCH(I330,I:I,0)-1,1),リスト!$C$7,INDEX(G:G,MATCH(I330-1,I:I,0)+1,1):INDEX(G:G,MATCH(I330,I:I,0)-1,1)),"")</f>
        <v>#NAME?</v>
      </c>
      <c r="I330" s="200">
        <f>IF(OR(B330=リスト!$C$5,B330=リスト!$C$6),COUNTIF($B$9:B330,リスト!$C$5)+COUNTIF($B$9:B330,リスト!$C$6),"")</f>
        <v>23</v>
      </c>
    </row>
    <row r="331" spans="2:9" x14ac:dyDescent="0.2">
      <c r="B331" s="196"/>
      <c r="C331" s="197">
        <v>45437.418622685182</v>
      </c>
      <c r="D331" s="197">
        <v>45437.420231481483</v>
      </c>
      <c r="E331" s="198" t="s">
        <v>244</v>
      </c>
      <c r="F331" s="199"/>
      <c r="G331" s="140" t="e">
        <f ca="1">mif(C331="","",OR(B331=リスト!$C$5,B331=リスト!$C$6),SUM(INDEX(G:G,MATCH(I331-1,I:I,0)+1,1):INDEX(G:G,MATCH(I331,I:I,0)-1,1)),D331-C331)</f>
        <v>#NAME?</v>
      </c>
      <c r="H331" s="140" t="e">
        <f ca="1">mif(C331="","",B331=リスト!$C$5,SUMIF(INDEX(B:B,MATCH(I331-1,I:I,0)+1,1):INDEX(B:B,MATCH(I331,I:I,0)-1,1),リスト!$C$7,INDEX(G:G,MATCH(I331-1,I:I,0)+1,1):INDEX(G:G,MATCH(I331,I:I,0)-1,1)),"")</f>
        <v>#NAME?</v>
      </c>
      <c r="I331" s="200" t="str">
        <f>IF(OR(B331=リスト!$C$5,B331=リスト!$C$6),COUNTIF($B$9:B331,リスト!$C$5)+COUNTIF($B$9:B331,リスト!$C$6),"")</f>
        <v/>
      </c>
    </row>
    <row r="332" spans="2:9" x14ac:dyDescent="0.2">
      <c r="B332" s="196"/>
      <c r="C332" s="197">
        <v>45437.460717592592</v>
      </c>
      <c r="D332" s="197">
        <v>45437.461018518516</v>
      </c>
      <c r="E332" s="198" t="s">
        <v>244</v>
      </c>
      <c r="F332" s="199"/>
      <c r="G332" s="140" t="e">
        <f ca="1">mif(C332="","",OR(B332=リスト!$C$5,B332=リスト!$C$6),SUM(INDEX(G:G,MATCH(I332-1,I:I,0)+1,1):INDEX(G:G,MATCH(I332,I:I,0)-1,1)),D332-C332)</f>
        <v>#NAME?</v>
      </c>
      <c r="H332" s="140" t="e">
        <f ca="1">mif(C332="","",B332=リスト!$C$5,SUMIF(INDEX(B:B,MATCH(I332-1,I:I,0)+1,1):INDEX(B:B,MATCH(I332,I:I,0)-1,1),リスト!$C$7,INDEX(G:G,MATCH(I332-1,I:I,0)+1,1):INDEX(G:G,MATCH(I332,I:I,0)-1,1)),"")</f>
        <v>#NAME?</v>
      </c>
      <c r="I332" s="200" t="str">
        <f>IF(OR(B332=リスト!$C$5,B332=リスト!$C$6),COUNTIF($B$9:B332,リスト!$C$5)+COUNTIF($B$9:B332,リスト!$C$6),"")</f>
        <v/>
      </c>
    </row>
    <row r="333" spans="2:9" x14ac:dyDescent="0.2">
      <c r="B333" s="196"/>
      <c r="C333" s="197">
        <v>45437.490914351853</v>
      </c>
      <c r="D333" s="197">
        <v>45437.491238425922</v>
      </c>
      <c r="E333" s="198" t="s">
        <v>244</v>
      </c>
      <c r="F333" s="199"/>
      <c r="G333" s="140" t="e">
        <f ca="1">mif(C333="","",OR(B333=リスト!$C$5,B333=リスト!$C$6),SUM(INDEX(G:G,MATCH(I333-1,I:I,0)+1,1):INDEX(G:G,MATCH(I333,I:I,0)-1,1)),D333-C333)</f>
        <v>#NAME?</v>
      </c>
      <c r="H333" s="140" t="e">
        <f ca="1">mif(C333="","",B333=リスト!$C$5,SUMIF(INDEX(B:B,MATCH(I333-1,I:I,0)+1,1):INDEX(B:B,MATCH(I333,I:I,0)-1,1),リスト!$C$7,INDEX(G:G,MATCH(I333-1,I:I,0)+1,1):INDEX(G:G,MATCH(I333,I:I,0)-1,1)),"")</f>
        <v>#NAME?</v>
      </c>
      <c r="I333" s="200" t="str">
        <f>IF(OR(B333=リスト!$C$5,B333=リスト!$C$6),COUNTIF($B$9:B333,リスト!$C$5)+COUNTIF($B$9:B333,リスト!$C$6),"")</f>
        <v/>
      </c>
    </row>
    <row r="334" spans="2:9" x14ac:dyDescent="0.2">
      <c r="B334" s="196"/>
      <c r="C334" s="197">
        <v>45437.492442129631</v>
      </c>
      <c r="D334" s="197">
        <v>45437.492696759262</v>
      </c>
      <c r="E334" s="198" t="s">
        <v>244</v>
      </c>
      <c r="F334" s="199"/>
      <c r="G334" s="140" t="e">
        <f ca="1">mif(C334="","",OR(B334=リスト!$C$5,B334=リスト!$C$6),SUM(INDEX(G:G,MATCH(I334-1,I:I,0)+1,1):INDEX(G:G,MATCH(I334,I:I,0)-1,1)),D334-C334)</f>
        <v>#NAME?</v>
      </c>
      <c r="H334" s="140" t="e">
        <f ca="1">mif(C334="","",B334=リスト!$C$5,SUMIF(INDEX(B:B,MATCH(I334-1,I:I,0)+1,1):INDEX(B:B,MATCH(I334,I:I,0)-1,1),リスト!$C$7,INDEX(G:G,MATCH(I334-1,I:I,0)+1,1):INDEX(G:G,MATCH(I334,I:I,0)-1,1)),"")</f>
        <v>#NAME?</v>
      </c>
      <c r="I334" s="200" t="str">
        <f>IF(OR(B334=リスト!$C$5,B334=リスト!$C$6),COUNTIF($B$9:B334,リスト!$C$5)+COUNTIF($B$9:B334,リスト!$C$6),"")</f>
        <v/>
      </c>
    </row>
    <row r="335" spans="2:9" x14ac:dyDescent="0.2">
      <c r="B335" s="196"/>
      <c r="C335" s="197">
        <v>45437.514745370368</v>
      </c>
      <c r="D335" s="197">
        <v>45437.515046296299</v>
      </c>
      <c r="E335" s="198" t="s">
        <v>244</v>
      </c>
      <c r="F335" s="199"/>
      <c r="G335" s="140" t="e">
        <f ca="1">mif(C335="","",OR(B335=リスト!$C$5,B335=リスト!$C$6),SUM(INDEX(G:G,MATCH(I335-1,I:I,0)+1,1):INDEX(G:G,MATCH(I335,I:I,0)-1,1)),D335-C335)</f>
        <v>#NAME?</v>
      </c>
      <c r="H335" s="140" t="e">
        <f ca="1">mif(C335="","",B335=リスト!$C$5,SUMIF(INDEX(B:B,MATCH(I335-1,I:I,0)+1,1):INDEX(B:B,MATCH(I335,I:I,0)-1,1),リスト!$C$7,INDEX(G:G,MATCH(I335-1,I:I,0)+1,1):INDEX(G:G,MATCH(I335,I:I,0)-1,1)),"")</f>
        <v>#NAME?</v>
      </c>
      <c r="I335" s="200" t="str">
        <f>IF(OR(B335=リスト!$C$5,B335=リスト!$C$6),COUNTIF($B$9:B335,リスト!$C$5)+COUNTIF($B$9:B335,リスト!$C$6),"")</f>
        <v/>
      </c>
    </row>
    <row r="336" spans="2:9" x14ac:dyDescent="0.2">
      <c r="B336" s="196"/>
      <c r="C336" s="197">
        <v>45437.516157407408</v>
      </c>
      <c r="D336" s="197">
        <v>45437.516435185185</v>
      </c>
      <c r="E336" s="198" t="s">
        <v>244</v>
      </c>
      <c r="F336" s="199"/>
      <c r="G336" s="140" t="e">
        <f ca="1">mif(C336="","",OR(B336=リスト!$C$5,B336=リスト!$C$6),SUM(INDEX(G:G,MATCH(I336-1,I:I,0)+1,1):INDEX(G:G,MATCH(I336,I:I,0)-1,1)),D336-C336)</f>
        <v>#NAME?</v>
      </c>
      <c r="H336" s="140" t="e">
        <f ca="1">mif(C336="","",B336=リスト!$C$5,SUMIF(INDEX(B:B,MATCH(I336-1,I:I,0)+1,1):INDEX(B:B,MATCH(I336,I:I,0)-1,1),リスト!$C$7,INDEX(G:G,MATCH(I336-1,I:I,0)+1,1):INDEX(G:G,MATCH(I336,I:I,0)-1,1)),"")</f>
        <v>#NAME?</v>
      </c>
      <c r="I336" s="200" t="str">
        <f>IF(OR(B336=リスト!$C$5,B336=リスト!$C$6),COUNTIF($B$9:B336,リスト!$C$5)+COUNTIF($B$9:B336,リスト!$C$6),"")</f>
        <v/>
      </c>
    </row>
    <row r="337" spans="2:9" x14ac:dyDescent="0.2">
      <c r="B337" s="196"/>
      <c r="C337" s="197">
        <v>45437.542673611111</v>
      </c>
      <c r="D337" s="197">
        <v>45437.542997685188</v>
      </c>
      <c r="E337" s="198" t="s">
        <v>244</v>
      </c>
      <c r="F337" s="199"/>
      <c r="G337" s="140" t="e">
        <f ca="1">mif(C337="","",OR(B337=リスト!$C$5,B337=リスト!$C$6),SUM(INDEX(G:G,MATCH(I337-1,I:I,0)+1,1):INDEX(G:G,MATCH(I337,I:I,0)-1,1)),D337-C337)</f>
        <v>#NAME?</v>
      </c>
      <c r="H337" s="140" t="e">
        <f ca="1">mif(C337="","",B337=リスト!$C$5,SUMIF(INDEX(B:B,MATCH(I337-1,I:I,0)+1,1):INDEX(B:B,MATCH(I337,I:I,0)-1,1),リスト!$C$7,INDEX(G:G,MATCH(I337-1,I:I,0)+1,1):INDEX(G:G,MATCH(I337,I:I,0)-1,1)),"")</f>
        <v>#NAME?</v>
      </c>
      <c r="I337" s="200" t="str">
        <f>IF(OR(B337=リスト!$C$5,B337=リスト!$C$6),COUNTIF($B$9:B337,リスト!$C$5)+COUNTIF($B$9:B337,リスト!$C$6),"")</f>
        <v/>
      </c>
    </row>
    <row r="338" spans="2:9" x14ac:dyDescent="0.2">
      <c r="B338" s="196"/>
      <c r="C338" s="197">
        <v>45437.552291666667</v>
      </c>
      <c r="D338" s="197">
        <v>45437.552847222221</v>
      </c>
      <c r="E338" s="198" t="s">
        <v>244</v>
      </c>
      <c r="F338" s="199"/>
      <c r="G338" s="140" t="e">
        <f ca="1">mif(C338="","",OR(B338=リスト!$C$5,B338=リスト!$C$6),SUM(INDEX(G:G,MATCH(I338-1,I:I,0)+1,1):INDEX(G:G,MATCH(I338,I:I,0)-1,1)),D338-C338)</f>
        <v>#NAME?</v>
      </c>
      <c r="H338" s="140" t="e">
        <f ca="1">mif(C338="","",B338=リスト!$C$5,SUMIF(INDEX(B:B,MATCH(I338-1,I:I,0)+1,1):INDEX(B:B,MATCH(I338,I:I,0)-1,1),リスト!$C$7,INDEX(G:G,MATCH(I338-1,I:I,0)+1,1):INDEX(G:G,MATCH(I338,I:I,0)-1,1)),"")</f>
        <v>#NAME?</v>
      </c>
      <c r="I338" s="200" t="str">
        <f>IF(OR(B338=リスト!$C$5,B338=リスト!$C$6),COUNTIF($B$9:B338,リスト!$C$5)+COUNTIF($B$9:B338,リスト!$C$6),"")</f>
        <v/>
      </c>
    </row>
    <row r="339" spans="2:9" x14ac:dyDescent="0.2">
      <c r="B339" s="196"/>
      <c r="C339" s="197">
        <v>45437.556712962964</v>
      </c>
      <c r="D339" s="197">
        <v>45437.557569444441</v>
      </c>
      <c r="E339" s="198" t="s">
        <v>244</v>
      </c>
      <c r="F339" s="199"/>
      <c r="G339" s="140" t="e">
        <f ca="1">mif(C339="","",OR(B339=リスト!$C$5,B339=リスト!$C$6),SUM(INDEX(G:G,MATCH(I339-1,I:I,0)+1,1):INDEX(G:G,MATCH(I339,I:I,0)-1,1)),D339-C339)</f>
        <v>#NAME?</v>
      </c>
      <c r="H339" s="140" t="e">
        <f ca="1">mif(C339="","",B339=リスト!$C$5,SUMIF(INDEX(B:B,MATCH(I339-1,I:I,0)+1,1):INDEX(B:B,MATCH(I339,I:I,0)-1,1),リスト!$C$7,INDEX(G:G,MATCH(I339-1,I:I,0)+1,1):INDEX(G:G,MATCH(I339,I:I,0)-1,1)),"")</f>
        <v>#NAME?</v>
      </c>
      <c r="I339" s="200" t="str">
        <f>IF(OR(B339=リスト!$C$5,B339=リスト!$C$6),COUNTIF($B$9:B339,リスト!$C$5)+COUNTIF($B$9:B339,リスト!$C$6),"")</f>
        <v/>
      </c>
    </row>
    <row r="340" spans="2:9" x14ac:dyDescent="0.2">
      <c r="B340" s="196"/>
      <c r="C340" s="197">
        <v>45437.557962962965</v>
      </c>
      <c r="D340" s="197">
        <v>45437.558993055558</v>
      </c>
      <c r="E340" s="198" t="s">
        <v>244</v>
      </c>
      <c r="F340" s="199"/>
      <c r="G340" s="140" t="e">
        <f ca="1">mif(C340="","",OR(B340=リスト!$C$5,B340=リスト!$C$6),SUM(INDEX(G:G,MATCH(I340-1,I:I,0)+1,1):INDEX(G:G,MATCH(I340,I:I,0)-1,1)),D340-C340)</f>
        <v>#NAME?</v>
      </c>
      <c r="H340" s="140" t="e">
        <f ca="1">mif(C340="","",B340=リスト!$C$5,SUMIF(INDEX(B:B,MATCH(I340-1,I:I,0)+1,1):INDEX(B:B,MATCH(I340,I:I,0)-1,1),リスト!$C$7,INDEX(G:G,MATCH(I340-1,I:I,0)+1,1):INDEX(G:G,MATCH(I340,I:I,0)-1,1)),"")</f>
        <v>#NAME?</v>
      </c>
      <c r="I340" s="200" t="str">
        <f>IF(OR(B340=リスト!$C$5,B340=リスト!$C$6),COUNTIF($B$9:B340,リスト!$C$5)+COUNTIF($B$9:B340,リスト!$C$6),"")</f>
        <v/>
      </c>
    </row>
    <row r="341" spans="2:9" x14ac:dyDescent="0.2">
      <c r="B341" s="196"/>
      <c r="C341" s="197">
        <v>45437.559351851851</v>
      </c>
      <c r="D341" s="197">
        <v>45437.559895833336</v>
      </c>
      <c r="E341" s="198" t="s">
        <v>244</v>
      </c>
      <c r="F341" s="199"/>
      <c r="G341" s="140" t="e">
        <f ca="1">mif(C341="","",OR(B341=リスト!$C$5,B341=リスト!$C$6),SUM(INDEX(G:G,MATCH(I341-1,I:I,0)+1,1):INDEX(G:G,MATCH(I341,I:I,0)-1,1)),D341-C341)</f>
        <v>#NAME?</v>
      </c>
      <c r="H341" s="140" t="e">
        <f ca="1">mif(C341="","",B341=リスト!$C$5,SUMIF(INDEX(B:B,MATCH(I341-1,I:I,0)+1,1):INDEX(B:B,MATCH(I341,I:I,0)-1,1),リスト!$C$7,INDEX(G:G,MATCH(I341-1,I:I,0)+1,1):INDEX(G:G,MATCH(I341,I:I,0)-1,1)),"")</f>
        <v>#NAME?</v>
      </c>
      <c r="I341" s="200" t="str">
        <f>IF(OR(B341=リスト!$C$5,B341=リスト!$C$6),COUNTIF($B$9:B341,リスト!$C$5)+COUNTIF($B$9:B341,リスト!$C$6),"")</f>
        <v/>
      </c>
    </row>
    <row r="342" spans="2:9" x14ac:dyDescent="0.2">
      <c r="B342" s="196"/>
      <c r="C342" s="197">
        <v>45437.566041666665</v>
      </c>
      <c r="D342" s="197">
        <v>45437.566342592596</v>
      </c>
      <c r="E342" s="198" t="s">
        <v>244</v>
      </c>
      <c r="F342" s="199"/>
      <c r="G342" s="140" t="e">
        <f ca="1">mif(C342="","",OR(B342=リスト!$C$5,B342=リスト!$C$6),SUM(INDEX(G:G,MATCH(I342-1,I:I,0)+1,1):INDEX(G:G,MATCH(I342,I:I,0)-1,1)),D342-C342)</f>
        <v>#NAME?</v>
      </c>
      <c r="H342" s="140" t="e">
        <f ca="1">mif(C342="","",B342=リスト!$C$5,SUMIF(INDEX(B:B,MATCH(I342-1,I:I,0)+1,1):INDEX(B:B,MATCH(I342,I:I,0)-1,1),リスト!$C$7,INDEX(G:G,MATCH(I342-1,I:I,0)+1,1):INDEX(G:G,MATCH(I342,I:I,0)-1,1)),"")</f>
        <v>#NAME?</v>
      </c>
      <c r="I342" s="200" t="str">
        <f>IF(OR(B342=リスト!$C$5,B342=リスト!$C$6),COUNTIF($B$9:B342,リスト!$C$5)+COUNTIF($B$9:B342,リスト!$C$6),"")</f>
        <v/>
      </c>
    </row>
    <row r="343" spans="2:9" x14ac:dyDescent="0.2">
      <c r="B343" s="196"/>
      <c r="C343" s="197">
        <v>45437.585034722222</v>
      </c>
      <c r="D343" s="197">
        <v>45437.585266203707</v>
      </c>
      <c r="E343" s="198" t="s">
        <v>244</v>
      </c>
      <c r="F343" s="199"/>
      <c r="G343" s="140" t="e">
        <f ca="1">mif(C343="","",OR(B343=リスト!$C$5,B343=リスト!$C$6),SUM(INDEX(G:G,MATCH(I343-1,I:I,0)+1,1):INDEX(G:G,MATCH(I343,I:I,0)-1,1)),D343-C343)</f>
        <v>#NAME?</v>
      </c>
      <c r="H343" s="140" t="e">
        <f ca="1">mif(C343="","",B343=リスト!$C$5,SUMIF(INDEX(B:B,MATCH(I343-1,I:I,0)+1,1):INDEX(B:B,MATCH(I343,I:I,0)-1,1),リスト!$C$7,INDEX(G:G,MATCH(I343-1,I:I,0)+1,1):INDEX(G:G,MATCH(I343,I:I,0)-1,1)),"")</f>
        <v>#NAME?</v>
      </c>
      <c r="I343" s="200" t="str">
        <f>IF(OR(B343=リスト!$C$5,B343=リスト!$C$6),COUNTIF($B$9:B343,リスト!$C$5)+COUNTIF($B$9:B343,リスト!$C$6),"")</f>
        <v/>
      </c>
    </row>
    <row r="344" spans="2:9" x14ac:dyDescent="0.2">
      <c r="B344" s="196"/>
      <c r="C344" s="197">
        <v>45437.606736111113</v>
      </c>
      <c r="D344" s="197">
        <v>45437.60701388889</v>
      </c>
      <c r="E344" s="198" t="s">
        <v>244</v>
      </c>
      <c r="F344" s="199"/>
      <c r="G344" s="140" t="e">
        <f ca="1">mif(C344="","",OR(B344=リスト!$C$5,B344=リスト!$C$6),SUM(INDEX(G:G,MATCH(I344-1,I:I,0)+1,1):INDEX(G:G,MATCH(I344,I:I,0)-1,1)),D344-C344)</f>
        <v>#NAME?</v>
      </c>
      <c r="H344" s="140" t="e">
        <f ca="1">mif(C344="","",B344=リスト!$C$5,SUMIF(INDEX(B:B,MATCH(I344-1,I:I,0)+1,1):INDEX(B:B,MATCH(I344,I:I,0)-1,1),リスト!$C$7,INDEX(G:G,MATCH(I344-1,I:I,0)+1,1):INDEX(G:G,MATCH(I344,I:I,0)-1,1)),"")</f>
        <v>#NAME?</v>
      </c>
      <c r="I344" s="200" t="str">
        <f>IF(OR(B344=リスト!$C$5,B344=リスト!$C$6),COUNTIF($B$9:B344,リスト!$C$5)+COUNTIF($B$9:B344,リスト!$C$6),"")</f>
        <v/>
      </c>
    </row>
    <row r="345" spans="2:9" x14ac:dyDescent="0.2">
      <c r="B345" s="196"/>
      <c r="C345" s="197">
        <v>45437.61078703704</v>
      </c>
      <c r="D345" s="197">
        <v>45437.611018518517</v>
      </c>
      <c r="E345" s="198" t="s">
        <v>244</v>
      </c>
      <c r="F345" s="199"/>
      <c r="G345" s="140" t="e">
        <f ca="1">mif(C345="","",OR(B345=リスト!$C$5,B345=リスト!$C$6),SUM(INDEX(G:G,MATCH(I345-1,I:I,0)+1,1):INDEX(G:G,MATCH(I345,I:I,0)-1,1)),D345-C345)</f>
        <v>#NAME?</v>
      </c>
      <c r="H345" s="140" t="e">
        <f ca="1">mif(C345="","",B345=リスト!$C$5,SUMIF(INDEX(B:B,MATCH(I345-1,I:I,0)+1,1):INDEX(B:B,MATCH(I345,I:I,0)-1,1),リスト!$C$7,INDEX(G:G,MATCH(I345-1,I:I,0)+1,1):INDEX(G:G,MATCH(I345,I:I,0)-1,1)),"")</f>
        <v>#NAME?</v>
      </c>
      <c r="I345" s="200" t="str">
        <f>IF(OR(B345=リスト!$C$5,B345=リスト!$C$6),COUNTIF($B$9:B345,リスト!$C$5)+COUNTIF($B$9:B345,リスト!$C$6),"")</f>
        <v/>
      </c>
    </row>
    <row r="346" spans="2:9" x14ac:dyDescent="0.2">
      <c r="B346" s="196"/>
      <c r="C346" s="197">
        <v>45437.654722222222</v>
      </c>
      <c r="D346" s="197">
        <v>45437.655069444445</v>
      </c>
      <c r="E346" s="198" t="s">
        <v>244</v>
      </c>
      <c r="F346" s="199"/>
      <c r="G346" s="140" t="e">
        <f ca="1">mif(C346="","",OR(B346=リスト!$C$5,B346=リスト!$C$6),SUM(INDEX(G:G,MATCH(I346-1,I:I,0)+1,1):INDEX(G:G,MATCH(I346,I:I,0)-1,1)),D346-C346)</f>
        <v>#NAME?</v>
      </c>
      <c r="H346" s="140" t="e">
        <f ca="1">mif(C346="","",B346=リスト!$C$5,SUMIF(INDEX(B:B,MATCH(I346-1,I:I,0)+1,1):INDEX(B:B,MATCH(I346,I:I,0)-1,1),リスト!$C$7,INDEX(G:G,MATCH(I346-1,I:I,0)+1,1):INDEX(G:G,MATCH(I346,I:I,0)-1,1)),"")</f>
        <v>#NAME?</v>
      </c>
      <c r="I346" s="200" t="str">
        <f>IF(OR(B346=リスト!$C$5,B346=リスト!$C$6),COUNTIF($B$9:B346,リスト!$C$5)+COUNTIF($B$9:B346,リスト!$C$6),"")</f>
        <v/>
      </c>
    </row>
    <row r="347" spans="2:9" x14ac:dyDescent="0.2">
      <c r="B347" s="196"/>
      <c r="C347" s="197">
        <v>45437.668935185182</v>
      </c>
      <c r="D347" s="197">
        <v>45437.669236111113</v>
      </c>
      <c r="E347" s="198" t="s">
        <v>244</v>
      </c>
      <c r="F347" s="199"/>
      <c r="G347" s="140" t="e">
        <f ca="1">mif(C347="","",OR(B347=リスト!$C$5,B347=リスト!$C$6),SUM(INDEX(G:G,MATCH(I347-1,I:I,0)+1,1):INDEX(G:G,MATCH(I347,I:I,0)-1,1)),D347-C347)</f>
        <v>#NAME?</v>
      </c>
      <c r="H347" s="140" t="e">
        <f ca="1">mif(C347="","",B347=リスト!$C$5,SUMIF(INDEX(B:B,MATCH(I347-1,I:I,0)+1,1):INDEX(B:B,MATCH(I347,I:I,0)-1,1),リスト!$C$7,INDEX(G:G,MATCH(I347-1,I:I,0)+1,1):INDEX(G:G,MATCH(I347,I:I,0)-1,1)),"")</f>
        <v>#NAME?</v>
      </c>
      <c r="I347" s="200" t="str">
        <f>IF(OR(B347=リスト!$C$5,B347=リスト!$C$6),COUNTIF($B$9:B347,リスト!$C$5)+COUNTIF($B$9:B347,リスト!$C$6),"")</f>
        <v/>
      </c>
    </row>
    <row r="348" spans="2:9" x14ac:dyDescent="0.2">
      <c r="B348" s="196"/>
      <c r="C348" s="197">
        <v>45437.685636574075</v>
      </c>
      <c r="D348" s="197">
        <v>45437.686736111114</v>
      </c>
      <c r="E348" s="198" t="s">
        <v>244</v>
      </c>
      <c r="F348" s="199"/>
      <c r="G348" s="140" t="e">
        <f ca="1">mif(C348="","",OR(B348=リスト!$C$5,B348=リスト!$C$6),SUM(INDEX(G:G,MATCH(I348-1,I:I,0)+1,1):INDEX(G:G,MATCH(I348,I:I,0)-1,1)),D348-C348)</f>
        <v>#NAME?</v>
      </c>
      <c r="H348" s="140" t="e">
        <f ca="1">mif(C348="","",B348=リスト!$C$5,SUMIF(INDEX(B:B,MATCH(I348-1,I:I,0)+1,1):INDEX(B:B,MATCH(I348,I:I,0)-1,1),リスト!$C$7,INDEX(G:G,MATCH(I348-1,I:I,0)+1,1):INDEX(G:G,MATCH(I348,I:I,0)-1,1)),"")</f>
        <v>#NAME?</v>
      </c>
      <c r="I348" s="200" t="str">
        <f>IF(OR(B348=リスト!$C$5,B348=リスト!$C$6),COUNTIF($B$9:B348,リスト!$C$5)+COUNTIF($B$9:B348,リスト!$C$6),"")</f>
        <v/>
      </c>
    </row>
    <row r="349" spans="2:9" x14ac:dyDescent="0.2">
      <c r="B349" s="196"/>
      <c r="C349" s="197">
        <v>45437.694965277777</v>
      </c>
      <c r="D349" s="197">
        <v>45437.695243055554</v>
      </c>
      <c r="E349" s="198" t="s">
        <v>244</v>
      </c>
      <c r="F349" s="199"/>
      <c r="G349" s="140" t="e">
        <f ca="1">mif(C349="","",OR(B349=リスト!$C$5,B349=リスト!$C$6),SUM(INDEX(G:G,MATCH(I349-1,I:I,0)+1,1):INDEX(G:G,MATCH(I349,I:I,0)-1,1)),D349-C349)</f>
        <v>#NAME?</v>
      </c>
      <c r="H349" s="140" t="e">
        <f ca="1">mif(C349="","",B349=リスト!$C$5,SUMIF(INDEX(B:B,MATCH(I349-1,I:I,0)+1,1):INDEX(B:B,MATCH(I349,I:I,0)-1,1),リスト!$C$7,INDEX(G:G,MATCH(I349-1,I:I,0)+1,1):INDEX(G:G,MATCH(I349,I:I,0)-1,1)),"")</f>
        <v>#NAME?</v>
      </c>
      <c r="I349" s="200" t="str">
        <f>IF(OR(B349=リスト!$C$5,B349=リスト!$C$6),COUNTIF($B$9:B349,リスト!$C$5)+COUNTIF($B$9:B349,リスト!$C$6),"")</f>
        <v/>
      </c>
    </row>
    <row r="350" spans="2:9" x14ac:dyDescent="0.2">
      <c r="B350" s="196"/>
      <c r="C350" s="197">
        <v>45437.732581018521</v>
      </c>
      <c r="D350" s="197">
        <v>45437.733252314814</v>
      </c>
      <c r="E350" s="198" t="s">
        <v>244</v>
      </c>
      <c r="F350" s="199"/>
      <c r="G350" s="140" t="e">
        <f ca="1">mif(C350="","",OR(B350=リスト!$C$5,B350=リスト!$C$6),SUM(INDEX(G:G,MATCH(I350-1,I:I,0)+1,1):INDEX(G:G,MATCH(I350,I:I,0)-1,1)),D350-C350)</f>
        <v>#NAME?</v>
      </c>
      <c r="H350" s="140" t="e">
        <f ca="1">mif(C350="","",B350=リスト!$C$5,SUMIF(INDEX(B:B,MATCH(I350-1,I:I,0)+1,1):INDEX(B:B,MATCH(I350,I:I,0)-1,1),リスト!$C$7,INDEX(G:G,MATCH(I350-1,I:I,0)+1,1):INDEX(G:G,MATCH(I350,I:I,0)-1,1)),"")</f>
        <v>#NAME?</v>
      </c>
      <c r="I350" s="200" t="str">
        <f>IF(OR(B350=リスト!$C$5,B350=リスト!$C$6),COUNTIF($B$9:B350,リスト!$C$5)+COUNTIF($B$9:B350,リスト!$C$6),"")</f>
        <v/>
      </c>
    </row>
    <row r="351" spans="2:9" x14ac:dyDescent="0.2">
      <c r="B351" s="196"/>
      <c r="C351" s="197">
        <v>45437.7580787037</v>
      </c>
      <c r="D351" s="197">
        <v>45437.758333333331</v>
      </c>
      <c r="E351" s="198" t="s">
        <v>244</v>
      </c>
      <c r="F351" s="199"/>
      <c r="G351" s="140" t="e">
        <f ca="1">mif(C351="","",OR(B351=リスト!$C$5,B351=リスト!$C$6),SUM(INDEX(G:G,MATCH(I351-1,I:I,0)+1,1):INDEX(G:G,MATCH(I351,I:I,0)-1,1)),D351-C351)</f>
        <v>#NAME?</v>
      </c>
      <c r="H351" s="140" t="e">
        <f ca="1">mif(C351="","",B351=リスト!$C$5,SUMIF(INDEX(B:B,MATCH(I351-1,I:I,0)+1,1):INDEX(B:B,MATCH(I351,I:I,0)-1,1),リスト!$C$7,INDEX(G:G,MATCH(I351-1,I:I,0)+1,1):INDEX(G:G,MATCH(I351,I:I,0)-1,1)),"")</f>
        <v>#NAME?</v>
      </c>
      <c r="I351" s="200" t="str">
        <f>IF(OR(B351=リスト!$C$5,B351=リスト!$C$6),COUNTIF($B$9:B351,リスト!$C$5)+COUNTIF($B$9:B351,リスト!$C$6),"")</f>
        <v/>
      </c>
    </row>
    <row r="352" spans="2:9" x14ac:dyDescent="0.2">
      <c r="B352" s="196"/>
      <c r="C352" s="197">
        <v>45437.797164351854</v>
      </c>
      <c r="D352" s="197">
        <v>45437.797442129631</v>
      </c>
      <c r="E352" s="198" t="s">
        <v>244</v>
      </c>
      <c r="F352" s="199"/>
      <c r="G352" s="140" t="e">
        <f ca="1">mif(C352="","",OR(B352=リスト!$C$5,B352=リスト!$C$6),SUM(INDEX(G:G,MATCH(I352-1,I:I,0)+1,1):INDEX(G:G,MATCH(I352,I:I,0)-1,1)),D352-C352)</f>
        <v>#NAME?</v>
      </c>
      <c r="H352" s="140" t="e">
        <f ca="1">mif(C352="","",B352=リスト!$C$5,SUMIF(INDEX(B:B,MATCH(I352-1,I:I,0)+1,1):INDEX(B:B,MATCH(I352,I:I,0)-1,1),リスト!$C$7,INDEX(G:G,MATCH(I352-1,I:I,0)+1,1):INDEX(G:G,MATCH(I352,I:I,0)-1,1)),"")</f>
        <v>#NAME?</v>
      </c>
      <c r="I352" s="200" t="str">
        <f>IF(OR(B352=リスト!$C$5,B352=リスト!$C$6),COUNTIF($B$9:B352,リスト!$C$5)+COUNTIF($B$9:B352,リスト!$C$6),"")</f>
        <v/>
      </c>
    </row>
    <row r="353" spans="2:9" x14ac:dyDescent="0.2">
      <c r="B353" s="196"/>
      <c r="C353" s="197">
        <v>45437.805879629632</v>
      </c>
      <c r="D353" s="197">
        <v>45437.806111111109</v>
      </c>
      <c r="E353" s="198" t="s">
        <v>244</v>
      </c>
      <c r="F353" s="199"/>
      <c r="G353" s="140" t="e">
        <f ca="1">mif(C353="","",OR(B353=リスト!$C$5,B353=リスト!$C$6),SUM(INDEX(G:G,MATCH(I353-1,I:I,0)+1,1):INDEX(G:G,MATCH(I353,I:I,0)-1,1)),D353-C353)</f>
        <v>#NAME?</v>
      </c>
      <c r="H353" s="140" t="e">
        <f ca="1">mif(C353="","",B353=リスト!$C$5,SUMIF(INDEX(B:B,MATCH(I353-1,I:I,0)+1,1):INDEX(B:B,MATCH(I353,I:I,0)-1,1),リスト!$C$7,INDEX(G:G,MATCH(I353-1,I:I,0)+1,1):INDEX(G:G,MATCH(I353,I:I,0)-1,1)),"")</f>
        <v>#NAME?</v>
      </c>
      <c r="I353" s="200" t="str">
        <f>IF(OR(B353=リスト!$C$5,B353=リスト!$C$6),COUNTIF($B$9:B353,リスト!$C$5)+COUNTIF($B$9:B353,リスト!$C$6),"")</f>
        <v/>
      </c>
    </row>
    <row r="354" spans="2:9" x14ac:dyDescent="0.2">
      <c r="B354" s="196"/>
      <c r="C354" s="197">
        <v>45437.808518518519</v>
      </c>
      <c r="D354" s="197">
        <v>45437.80877314815</v>
      </c>
      <c r="E354" s="198" t="s">
        <v>244</v>
      </c>
      <c r="F354" s="199"/>
      <c r="G354" s="140" t="e">
        <f ca="1">mif(C354="","",OR(B354=リスト!$C$5,B354=リスト!$C$6),SUM(INDEX(G:G,MATCH(I354-1,I:I,0)+1,1):INDEX(G:G,MATCH(I354,I:I,0)-1,1)),D354-C354)</f>
        <v>#NAME?</v>
      </c>
      <c r="H354" s="140" t="e">
        <f ca="1">mif(C354="","",B354=リスト!$C$5,SUMIF(INDEX(B:B,MATCH(I354-1,I:I,0)+1,1):INDEX(B:B,MATCH(I354,I:I,0)-1,1),リスト!$C$7,INDEX(G:G,MATCH(I354-1,I:I,0)+1,1):INDEX(G:G,MATCH(I354,I:I,0)-1,1)),"")</f>
        <v>#NAME?</v>
      </c>
      <c r="I354" s="200" t="str">
        <f>IF(OR(B354=リスト!$C$5,B354=リスト!$C$6),COUNTIF($B$9:B354,リスト!$C$5)+COUNTIF($B$9:B354,リスト!$C$6),"")</f>
        <v/>
      </c>
    </row>
    <row r="355" spans="2:9" x14ac:dyDescent="0.2">
      <c r="B355" s="196"/>
      <c r="C355" s="197">
        <v>45437.817569444444</v>
      </c>
      <c r="D355" s="197">
        <v>45437.817847222221</v>
      </c>
      <c r="E355" s="198" t="s">
        <v>244</v>
      </c>
      <c r="F355" s="199"/>
      <c r="G355" s="140" t="e">
        <f ca="1">mif(C355="","",OR(B355=リスト!$C$5,B355=リスト!$C$6),SUM(INDEX(G:G,MATCH(I355-1,I:I,0)+1,1):INDEX(G:G,MATCH(I355,I:I,0)-1,1)),D355-C355)</f>
        <v>#NAME?</v>
      </c>
      <c r="H355" s="140" t="e">
        <f ca="1">mif(C355="","",B355=リスト!$C$5,SUMIF(INDEX(B:B,MATCH(I355-1,I:I,0)+1,1):INDEX(B:B,MATCH(I355,I:I,0)-1,1),リスト!$C$7,INDEX(G:G,MATCH(I355-1,I:I,0)+1,1):INDEX(G:G,MATCH(I355,I:I,0)-1,1)),"")</f>
        <v>#NAME?</v>
      </c>
      <c r="I355" s="200" t="str">
        <f>IF(OR(B355=リスト!$C$5,B355=リスト!$C$6),COUNTIF($B$9:B355,リスト!$C$5)+COUNTIF($B$9:B355,リスト!$C$6),"")</f>
        <v/>
      </c>
    </row>
    <row r="356" spans="2:9" x14ac:dyDescent="0.2">
      <c r="B356" s="196"/>
      <c r="C356" s="197">
        <v>45437.849166666667</v>
      </c>
      <c r="D356" s="197">
        <v>45437.850104166668</v>
      </c>
      <c r="E356" s="198" t="s">
        <v>244</v>
      </c>
      <c r="F356" s="199"/>
      <c r="G356" s="140" t="e">
        <f ca="1">mif(C356="","",OR(B356=リスト!$C$5,B356=リスト!$C$6),SUM(INDEX(G:G,MATCH(I356-1,I:I,0)+1,1):INDEX(G:G,MATCH(I356,I:I,0)-1,1)),D356-C356)</f>
        <v>#NAME?</v>
      </c>
      <c r="H356" s="140" t="e">
        <f ca="1">mif(C356="","",B356=リスト!$C$5,SUMIF(INDEX(B:B,MATCH(I356-1,I:I,0)+1,1):INDEX(B:B,MATCH(I356,I:I,0)-1,1),リスト!$C$7,INDEX(G:G,MATCH(I356-1,I:I,0)+1,1):INDEX(G:G,MATCH(I356,I:I,0)-1,1)),"")</f>
        <v>#NAME?</v>
      </c>
      <c r="I356" s="200" t="str">
        <f>IF(OR(B356=リスト!$C$5,B356=リスト!$C$6),COUNTIF($B$9:B356,リスト!$C$5)+COUNTIF($B$9:B356,リスト!$C$6),"")</f>
        <v/>
      </c>
    </row>
    <row r="357" spans="2:9" x14ac:dyDescent="0.2">
      <c r="B357" s="196"/>
      <c r="C357" s="197">
        <v>45437.856921296298</v>
      </c>
      <c r="D357" s="197">
        <v>45437.857175925928</v>
      </c>
      <c r="E357" s="198" t="s">
        <v>244</v>
      </c>
      <c r="F357" s="199"/>
      <c r="G357" s="140" t="e">
        <f ca="1">mif(C357="","",OR(B357=リスト!$C$5,B357=リスト!$C$6),SUM(INDEX(G:G,MATCH(I357-1,I:I,0)+1,1):INDEX(G:G,MATCH(I357,I:I,0)-1,1)),D357-C357)</f>
        <v>#NAME?</v>
      </c>
      <c r="H357" s="140" t="e">
        <f ca="1">mif(C357="","",B357=リスト!$C$5,SUMIF(INDEX(B:B,MATCH(I357-1,I:I,0)+1,1):INDEX(B:B,MATCH(I357,I:I,0)-1,1),リスト!$C$7,INDEX(G:G,MATCH(I357-1,I:I,0)+1,1):INDEX(G:G,MATCH(I357,I:I,0)-1,1)),"")</f>
        <v>#NAME?</v>
      </c>
      <c r="I357" s="200" t="str">
        <f>IF(OR(B357=リスト!$C$5,B357=リスト!$C$6),COUNTIF($B$9:B357,リスト!$C$5)+COUNTIF($B$9:B357,リスト!$C$6),"")</f>
        <v/>
      </c>
    </row>
    <row r="358" spans="2:9" x14ac:dyDescent="0.2">
      <c r="B358" s="196"/>
      <c r="C358" s="197">
        <v>45437.857685185183</v>
      </c>
      <c r="D358" s="197">
        <v>45437.858425925922</v>
      </c>
      <c r="E358" s="198" t="s">
        <v>244</v>
      </c>
      <c r="F358" s="199"/>
      <c r="G358" s="140" t="e">
        <f ca="1">mif(C358="","",OR(B358=リスト!$C$5,B358=リスト!$C$6),SUM(INDEX(G:G,MATCH(I358-1,I:I,0)+1,1):INDEX(G:G,MATCH(I358,I:I,0)-1,1)),D358-C358)</f>
        <v>#NAME?</v>
      </c>
      <c r="H358" s="140" t="e">
        <f ca="1">mif(C358="","",B358=リスト!$C$5,SUMIF(INDEX(B:B,MATCH(I358-1,I:I,0)+1,1):INDEX(B:B,MATCH(I358,I:I,0)-1,1),リスト!$C$7,INDEX(G:G,MATCH(I358-1,I:I,0)+1,1):INDEX(G:G,MATCH(I358,I:I,0)-1,1)),"")</f>
        <v>#NAME?</v>
      </c>
      <c r="I358" s="200" t="str">
        <f>IF(OR(B358=リスト!$C$5,B358=リスト!$C$6),COUNTIF($B$9:B358,リスト!$C$5)+COUNTIF($B$9:B358,リスト!$C$6),"")</f>
        <v/>
      </c>
    </row>
    <row r="359" spans="2:9" x14ac:dyDescent="0.2">
      <c r="B359" s="196"/>
      <c r="C359" s="197">
        <v>45437.858634259261</v>
      </c>
      <c r="D359" s="197">
        <v>45437.860196759262</v>
      </c>
      <c r="E359" s="198" t="s">
        <v>244</v>
      </c>
      <c r="F359" s="199"/>
      <c r="G359" s="140" t="e">
        <f ca="1">mif(C359="","",OR(B359=リスト!$C$5,B359=リスト!$C$6),SUM(INDEX(G:G,MATCH(I359-1,I:I,0)+1,1):INDEX(G:G,MATCH(I359,I:I,0)-1,1)),D359-C359)</f>
        <v>#NAME?</v>
      </c>
      <c r="H359" s="140" t="e">
        <f ca="1">mif(C359="","",B359=リスト!$C$5,SUMIF(INDEX(B:B,MATCH(I359-1,I:I,0)+1,1):INDEX(B:B,MATCH(I359,I:I,0)-1,1),リスト!$C$7,INDEX(G:G,MATCH(I359-1,I:I,0)+1,1):INDEX(G:G,MATCH(I359,I:I,0)-1,1)),"")</f>
        <v>#NAME?</v>
      </c>
      <c r="I359" s="200" t="str">
        <f>IF(OR(B359=リスト!$C$5,B359=リスト!$C$6),COUNTIF($B$9:B359,リスト!$C$5)+COUNTIF($B$9:B359,リスト!$C$6),"")</f>
        <v/>
      </c>
    </row>
    <row r="360" spans="2:9" x14ac:dyDescent="0.2">
      <c r="B360" s="196"/>
      <c r="C360" s="197">
        <v>45437.870879629627</v>
      </c>
      <c r="D360" s="197">
        <v>45437.872511574074</v>
      </c>
      <c r="E360" s="198" t="s">
        <v>244</v>
      </c>
      <c r="F360" s="199"/>
      <c r="G360" s="140" t="e">
        <f ca="1">mif(C360="","",OR(B360=リスト!$C$5,B360=リスト!$C$6),SUM(INDEX(G:G,MATCH(I360-1,I:I,0)+1,1):INDEX(G:G,MATCH(I360,I:I,0)-1,1)),D360-C360)</f>
        <v>#NAME?</v>
      </c>
      <c r="H360" s="140" t="e">
        <f ca="1">mif(C360="","",B360=リスト!$C$5,SUMIF(INDEX(B:B,MATCH(I360-1,I:I,0)+1,1):INDEX(B:B,MATCH(I360,I:I,0)-1,1),リスト!$C$7,INDEX(G:G,MATCH(I360-1,I:I,0)+1,1):INDEX(G:G,MATCH(I360,I:I,0)-1,1)),"")</f>
        <v>#NAME?</v>
      </c>
      <c r="I360" s="200" t="str">
        <f>IF(OR(B360=リスト!$C$5,B360=リスト!$C$6),COUNTIF($B$9:B360,リスト!$C$5)+COUNTIF($B$9:B360,リスト!$C$6),"")</f>
        <v/>
      </c>
    </row>
    <row r="361" spans="2:9" x14ac:dyDescent="0.2">
      <c r="B361" s="196"/>
      <c r="C361" s="197">
        <v>45437.891793981478</v>
      </c>
      <c r="D361" s="197">
        <v>45437.892094907409</v>
      </c>
      <c r="E361" s="198" t="s">
        <v>244</v>
      </c>
      <c r="F361" s="199"/>
      <c r="G361" s="140" t="e">
        <f ca="1">mif(C361="","",OR(B361=リスト!$C$5,B361=リスト!$C$6),SUM(INDEX(G:G,MATCH(I361-1,I:I,0)+1,1):INDEX(G:G,MATCH(I361,I:I,0)-1,1)),D361-C361)</f>
        <v>#NAME?</v>
      </c>
      <c r="H361" s="140" t="e">
        <f ca="1">mif(C361="","",B361=リスト!$C$5,SUMIF(INDEX(B:B,MATCH(I361-1,I:I,0)+1,1):INDEX(B:B,MATCH(I361,I:I,0)-1,1),リスト!$C$7,INDEX(G:G,MATCH(I361-1,I:I,0)+1,1):INDEX(G:G,MATCH(I361,I:I,0)-1,1)),"")</f>
        <v>#NAME?</v>
      </c>
      <c r="I361" s="200" t="str">
        <f>IF(OR(B361=リスト!$C$5,B361=リスト!$C$6),COUNTIF($B$9:B361,リスト!$C$5)+COUNTIF($B$9:B361,リスト!$C$6),"")</f>
        <v/>
      </c>
    </row>
    <row r="362" spans="2:9" x14ac:dyDescent="0.2">
      <c r="B362" s="196"/>
      <c r="C362" s="197">
        <v>45437.892951388887</v>
      </c>
      <c r="D362" s="197">
        <v>45437.893206018518</v>
      </c>
      <c r="E362" s="198" t="s">
        <v>244</v>
      </c>
      <c r="F362" s="199"/>
      <c r="G362" s="140" t="e">
        <f ca="1">mif(C362="","",OR(B362=リスト!$C$5,B362=リスト!$C$6),SUM(INDEX(G:G,MATCH(I362-1,I:I,0)+1,1):INDEX(G:G,MATCH(I362,I:I,0)-1,1)),D362-C362)</f>
        <v>#NAME?</v>
      </c>
      <c r="H362" s="140" t="e">
        <f ca="1">mif(C362="","",B362=リスト!$C$5,SUMIF(INDEX(B:B,MATCH(I362-1,I:I,0)+1,1):INDEX(B:B,MATCH(I362,I:I,0)-1,1),リスト!$C$7,INDEX(G:G,MATCH(I362-1,I:I,0)+1,1):INDEX(G:G,MATCH(I362,I:I,0)-1,1)),"")</f>
        <v>#NAME?</v>
      </c>
      <c r="I362" s="200" t="str">
        <f>IF(OR(B362=リスト!$C$5,B362=リスト!$C$6),COUNTIF($B$9:B362,リスト!$C$5)+COUNTIF($B$9:B362,リスト!$C$6),"")</f>
        <v/>
      </c>
    </row>
    <row r="363" spans="2:9" x14ac:dyDescent="0.2">
      <c r="B363" s="196"/>
      <c r="C363" s="197">
        <v>45437.895983796298</v>
      </c>
      <c r="D363" s="197">
        <v>45437.897361111114</v>
      </c>
      <c r="E363" s="198" t="s">
        <v>244</v>
      </c>
      <c r="F363" s="199"/>
      <c r="G363" s="140" t="e">
        <f ca="1">mif(C363="","",OR(B363=リスト!$C$5,B363=リスト!$C$6),SUM(INDEX(G:G,MATCH(I363-1,I:I,0)+1,1):INDEX(G:G,MATCH(I363,I:I,0)-1,1)),D363-C363)</f>
        <v>#NAME?</v>
      </c>
      <c r="H363" s="140" t="e">
        <f ca="1">mif(C363="","",B363=リスト!$C$5,SUMIF(INDEX(B:B,MATCH(I363-1,I:I,0)+1,1):INDEX(B:B,MATCH(I363,I:I,0)-1,1),リスト!$C$7,INDEX(G:G,MATCH(I363-1,I:I,0)+1,1):INDEX(G:G,MATCH(I363,I:I,0)-1,1)),"")</f>
        <v>#NAME?</v>
      </c>
      <c r="I363" s="200" t="str">
        <f>IF(OR(B363=リスト!$C$5,B363=リスト!$C$6),COUNTIF($B$9:B363,リスト!$C$5)+COUNTIF($B$9:B363,リスト!$C$6),"")</f>
        <v/>
      </c>
    </row>
    <row r="364" spans="2:9" x14ac:dyDescent="0.2">
      <c r="B364" s="196"/>
      <c r="C364" s="197">
        <v>45437.900810185187</v>
      </c>
      <c r="D364" s="197">
        <v>45437.90115740741</v>
      </c>
      <c r="E364" s="198" t="s">
        <v>244</v>
      </c>
      <c r="F364" s="199"/>
      <c r="G364" s="140" t="e">
        <f ca="1">mif(C364="","",OR(B364=リスト!$C$5,B364=リスト!$C$6),SUM(INDEX(G:G,MATCH(I364-1,I:I,0)+1,1):INDEX(G:G,MATCH(I364,I:I,0)-1,1)),D364-C364)</f>
        <v>#NAME?</v>
      </c>
      <c r="H364" s="140" t="e">
        <f ca="1">mif(C364="","",B364=リスト!$C$5,SUMIF(INDEX(B:B,MATCH(I364-1,I:I,0)+1,1):INDEX(B:B,MATCH(I364,I:I,0)-1,1),リスト!$C$7,INDEX(G:G,MATCH(I364-1,I:I,0)+1,1):INDEX(G:G,MATCH(I364,I:I,0)-1,1)),"")</f>
        <v>#NAME?</v>
      </c>
      <c r="I364" s="200" t="str">
        <f>IF(OR(B364=リスト!$C$5,B364=リスト!$C$6),COUNTIF($B$9:B364,リスト!$C$5)+COUNTIF($B$9:B364,リスト!$C$6),"")</f>
        <v/>
      </c>
    </row>
    <row r="365" spans="2:9" x14ac:dyDescent="0.2">
      <c r="B365" s="196"/>
      <c r="C365" s="197">
        <v>45437.901712962965</v>
      </c>
      <c r="D365" s="197">
        <v>45437.901944444442</v>
      </c>
      <c r="E365" s="198" t="s">
        <v>244</v>
      </c>
      <c r="F365" s="199"/>
      <c r="G365" s="140" t="e">
        <f ca="1">mif(C365="","",OR(B365=リスト!$C$5,B365=リスト!$C$6),SUM(INDEX(G:G,MATCH(I365-1,I:I,0)+1,1):INDEX(G:G,MATCH(I365,I:I,0)-1,1)),D365-C365)</f>
        <v>#NAME?</v>
      </c>
      <c r="H365" s="140" t="e">
        <f ca="1">mif(C365="","",B365=リスト!$C$5,SUMIF(INDEX(B:B,MATCH(I365-1,I:I,0)+1,1):INDEX(B:B,MATCH(I365,I:I,0)-1,1),リスト!$C$7,INDEX(G:G,MATCH(I365-1,I:I,0)+1,1):INDEX(G:G,MATCH(I365,I:I,0)-1,1)),"")</f>
        <v>#NAME?</v>
      </c>
      <c r="I365" s="200" t="str">
        <f>IF(OR(B365=リスト!$C$5,B365=リスト!$C$6),COUNTIF($B$9:B365,リスト!$C$5)+COUNTIF($B$9:B365,リスト!$C$6),"")</f>
        <v/>
      </c>
    </row>
    <row r="366" spans="2:9" x14ac:dyDescent="0.2">
      <c r="B366" s="196"/>
      <c r="C366" s="197">
        <v>45437.908449074072</v>
      </c>
      <c r="D366" s="197">
        <v>45437.908750000002</v>
      </c>
      <c r="E366" s="198" t="s">
        <v>244</v>
      </c>
      <c r="F366" s="199"/>
      <c r="G366" s="140" t="e">
        <f ca="1">mif(C366="","",OR(B366=リスト!$C$5,B366=リスト!$C$6),SUM(INDEX(G:G,MATCH(I366-1,I:I,0)+1,1):INDEX(G:G,MATCH(I366,I:I,0)-1,1)),D366-C366)</f>
        <v>#NAME?</v>
      </c>
      <c r="H366" s="140" t="e">
        <f ca="1">mif(C366="","",B366=リスト!$C$5,SUMIF(INDEX(B:B,MATCH(I366-1,I:I,0)+1,1):INDEX(B:B,MATCH(I366,I:I,0)-1,1),リスト!$C$7,INDEX(G:G,MATCH(I366-1,I:I,0)+1,1):INDEX(G:G,MATCH(I366,I:I,0)-1,1)),"")</f>
        <v>#NAME?</v>
      </c>
      <c r="I366" s="200" t="str">
        <f>IF(OR(B366=リスト!$C$5,B366=リスト!$C$6),COUNTIF($B$9:B366,リスト!$C$5)+COUNTIF($B$9:B366,リスト!$C$6),"")</f>
        <v/>
      </c>
    </row>
    <row r="367" spans="2:9" x14ac:dyDescent="0.2">
      <c r="B367" s="196" t="s">
        <v>247</v>
      </c>
      <c r="C367" s="197">
        <v>45437.416666666664</v>
      </c>
      <c r="D367" s="197">
        <v>45437.916666666664</v>
      </c>
      <c r="E367" s="198">
        <v>36</v>
      </c>
      <c r="F367" s="199"/>
      <c r="G367" s="140" t="e">
        <f ca="1">mif(C367="","",OR(B367=リスト!$C$5,B367=リスト!$C$6),SUM(INDEX(G:G,MATCH(I367-1,I:I,0)+1,1):INDEX(G:G,MATCH(I367,I:I,0)-1,1)),D367-C367)</f>
        <v>#NAME?</v>
      </c>
      <c r="H367" s="140" t="e">
        <f ca="1">mif(C367="","",B367=リスト!$C$5,SUMIF(INDEX(B:B,MATCH(I367-1,I:I,0)+1,1):INDEX(B:B,MATCH(I367,I:I,0)-1,1),リスト!$C$7,INDEX(G:G,MATCH(I367-1,I:I,0)+1,1):INDEX(G:G,MATCH(I367,I:I,0)-1,1)),"")</f>
        <v>#NAME?</v>
      </c>
      <c r="I367" s="200">
        <f>IF(OR(B367=リスト!$C$5,B367=リスト!$C$6),COUNTIF($B$9:B367,リスト!$C$5)+COUNTIF($B$9:B367,リスト!$C$6),"")</f>
        <v>24</v>
      </c>
    </row>
    <row r="368" spans="2:9" x14ac:dyDescent="0.2">
      <c r="B368" s="196"/>
      <c r="C368" s="197">
        <v>45437.921574074076</v>
      </c>
      <c r="D368" s="197">
        <v>45437.921990740739</v>
      </c>
      <c r="E368" s="198" t="s">
        <v>244</v>
      </c>
      <c r="F368" s="199"/>
      <c r="G368" s="140" t="e">
        <f ca="1">mif(C368="","",OR(B368=リスト!$C$5,B368=リスト!$C$6),SUM(INDEX(G:G,MATCH(I368-1,I:I,0)+1,1):INDEX(G:G,MATCH(I368,I:I,0)-1,1)),D368-C368)</f>
        <v>#NAME?</v>
      </c>
      <c r="H368" s="140" t="e">
        <f ca="1">mif(C368="","",B368=リスト!$C$5,SUMIF(INDEX(B:B,MATCH(I368-1,I:I,0)+1,1):INDEX(B:B,MATCH(I368,I:I,0)-1,1),リスト!$C$7,INDEX(G:G,MATCH(I368-1,I:I,0)+1,1):INDEX(G:G,MATCH(I368,I:I,0)-1,1)),"")</f>
        <v>#NAME?</v>
      </c>
      <c r="I368" s="200" t="str">
        <f>IF(OR(B368=リスト!$C$5,B368=リスト!$C$6),COUNTIF($B$9:B368,リスト!$C$5)+COUNTIF($B$9:B368,リスト!$C$6),"")</f>
        <v/>
      </c>
    </row>
    <row r="369" spans="2:9" x14ac:dyDescent="0.2">
      <c r="B369" s="196"/>
      <c r="C369" s="197">
        <v>45437.926747685182</v>
      </c>
      <c r="D369" s="197">
        <v>45437.927847222221</v>
      </c>
      <c r="E369" s="198" t="s">
        <v>244</v>
      </c>
      <c r="F369" s="199"/>
      <c r="G369" s="140" t="e">
        <f ca="1">mif(C369="","",OR(B369=リスト!$C$5,B369=リスト!$C$6),SUM(INDEX(G:G,MATCH(I369-1,I:I,0)+1,1):INDEX(G:G,MATCH(I369,I:I,0)-1,1)),D369-C369)</f>
        <v>#NAME?</v>
      </c>
      <c r="H369" s="140" t="e">
        <f ca="1">mif(C369="","",B369=リスト!$C$5,SUMIF(INDEX(B:B,MATCH(I369-1,I:I,0)+1,1):INDEX(B:B,MATCH(I369,I:I,0)-1,1),リスト!$C$7,INDEX(G:G,MATCH(I369-1,I:I,0)+1,1):INDEX(G:G,MATCH(I369,I:I,0)-1,1)),"")</f>
        <v>#NAME?</v>
      </c>
      <c r="I369" s="200" t="str">
        <f>IF(OR(B369=リスト!$C$5,B369=リスト!$C$6),COUNTIF($B$9:B369,リスト!$C$5)+COUNTIF($B$9:B369,リスト!$C$6),"")</f>
        <v/>
      </c>
    </row>
    <row r="370" spans="2:9" x14ac:dyDescent="0.2">
      <c r="B370" s="196"/>
      <c r="C370" s="197">
        <v>45437.930983796294</v>
      </c>
      <c r="D370" s="197">
        <v>45437.9375462963</v>
      </c>
      <c r="E370" s="198" t="s">
        <v>244</v>
      </c>
      <c r="F370" s="199"/>
      <c r="G370" s="140" t="e">
        <f ca="1">mif(C370="","",OR(B370=リスト!$C$5,B370=リスト!$C$6),SUM(INDEX(G:G,MATCH(I370-1,I:I,0)+1,1):INDEX(G:G,MATCH(I370,I:I,0)-1,1)),D370-C370)</f>
        <v>#NAME?</v>
      </c>
      <c r="H370" s="140" t="e">
        <f ca="1">mif(C370="","",B370=リスト!$C$5,SUMIF(INDEX(B:B,MATCH(I370-1,I:I,0)+1,1):INDEX(B:B,MATCH(I370,I:I,0)-1,1),リスト!$C$7,INDEX(G:G,MATCH(I370-1,I:I,0)+1,1):INDEX(G:G,MATCH(I370,I:I,0)-1,1)),"")</f>
        <v>#NAME?</v>
      </c>
      <c r="I370" s="200" t="str">
        <f>IF(OR(B370=リスト!$C$5,B370=リスト!$C$6),COUNTIF($B$9:B370,リスト!$C$5)+COUNTIF($B$9:B370,リスト!$C$6),"")</f>
        <v/>
      </c>
    </row>
    <row r="371" spans="2:9" x14ac:dyDescent="0.2">
      <c r="B371" s="196"/>
      <c r="C371" s="197">
        <v>45437.953379629631</v>
      </c>
      <c r="D371" s="197">
        <v>45437.953657407408</v>
      </c>
      <c r="E371" s="198" t="s">
        <v>244</v>
      </c>
      <c r="F371" s="199"/>
      <c r="G371" s="140" t="e">
        <f ca="1">mif(C371="","",OR(B371=リスト!$C$5,B371=リスト!$C$6),SUM(INDEX(G:G,MATCH(I371-1,I:I,0)+1,1):INDEX(G:G,MATCH(I371,I:I,0)-1,1)),D371-C371)</f>
        <v>#NAME?</v>
      </c>
      <c r="H371" s="140" t="e">
        <f ca="1">mif(C371="","",B371=リスト!$C$5,SUMIF(INDEX(B:B,MATCH(I371-1,I:I,0)+1,1):INDEX(B:B,MATCH(I371,I:I,0)-1,1),リスト!$C$7,INDEX(G:G,MATCH(I371-1,I:I,0)+1,1):INDEX(G:G,MATCH(I371,I:I,0)-1,1)),"")</f>
        <v>#NAME?</v>
      </c>
      <c r="I371" s="200" t="str">
        <f>IF(OR(B371=リスト!$C$5,B371=リスト!$C$6),COUNTIF($B$9:B371,リスト!$C$5)+COUNTIF($B$9:B371,リスト!$C$6),"")</f>
        <v/>
      </c>
    </row>
    <row r="372" spans="2:9" x14ac:dyDescent="0.2">
      <c r="B372" s="196"/>
      <c r="C372" s="197">
        <v>45437.953726851854</v>
      </c>
      <c r="D372" s="197">
        <v>45437.954004629632</v>
      </c>
      <c r="E372" s="198" t="s">
        <v>244</v>
      </c>
      <c r="F372" s="199"/>
      <c r="G372" s="140" t="e">
        <f ca="1">mif(C372="","",OR(B372=リスト!$C$5,B372=リスト!$C$6),SUM(INDEX(G:G,MATCH(I372-1,I:I,0)+1,1):INDEX(G:G,MATCH(I372,I:I,0)-1,1)),D372-C372)</f>
        <v>#NAME?</v>
      </c>
      <c r="H372" s="140" t="e">
        <f ca="1">mif(C372="","",B372=リスト!$C$5,SUMIF(INDEX(B:B,MATCH(I372-1,I:I,0)+1,1):INDEX(B:B,MATCH(I372,I:I,0)-1,1),リスト!$C$7,INDEX(G:G,MATCH(I372-1,I:I,0)+1,1):INDEX(G:G,MATCH(I372,I:I,0)-1,1)),"")</f>
        <v>#NAME?</v>
      </c>
      <c r="I372" s="200" t="str">
        <f>IF(OR(B372=リスト!$C$5,B372=リスト!$C$6),COUNTIF($B$9:B372,リスト!$C$5)+COUNTIF($B$9:B372,リスト!$C$6),"")</f>
        <v/>
      </c>
    </row>
    <row r="373" spans="2:9" x14ac:dyDescent="0.2">
      <c r="B373" s="196"/>
      <c r="C373" s="197">
        <v>45437.955231481479</v>
      </c>
      <c r="D373" s="197">
        <v>45437.956678240742</v>
      </c>
      <c r="E373" s="198" t="s">
        <v>244</v>
      </c>
      <c r="F373" s="199"/>
      <c r="G373" s="140" t="e">
        <f ca="1">mif(C373="","",OR(B373=リスト!$C$5,B373=リスト!$C$6),SUM(INDEX(G:G,MATCH(I373-1,I:I,0)+1,1):INDEX(G:G,MATCH(I373,I:I,0)-1,1)),D373-C373)</f>
        <v>#NAME?</v>
      </c>
      <c r="H373" s="140" t="e">
        <f ca="1">mif(C373="","",B373=リスト!$C$5,SUMIF(INDEX(B:B,MATCH(I373-1,I:I,0)+1,1):INDEX(B:B,MATCH(I373,I:I,0)-1,1),リスト!$C$7,INDEX(G:G,MATCH(I373-1,I:I,0)+1,1):INDEX(G:G,MATCH(I373,I:I,0)-1,1)),"")</f>
        <v>#NAME?</v>
      </c>
      <c r="I373" s="200" t="str">
        <f>IF(OR(B373=リスト!$C$5,B373=リスト!$C$6),COUNTIF($B$9:B373,リスト!$C$5)+COUNTIF($B$9:B373,リスト!$C$6),"")</f>
        <v/>
      </c>
    </row>
    <row r="374" spans="2:9" x14ac:dyDescent="0.2">
      <c r="B374" s="196"/>
      <c r="C374" s="197">
        <v>45437.969236111108</v>
      </c>
      <c r="D374" s="197">
        <v>45437.969513888886</v>
      </c>
      <c r="E374" s="198" t="s">
        <v>244</v>
      </c>
      <c r="F374" s="199"/>
      <c r="G374" s="140" t="e">
        <f ca="1">mif(C374="","",OR(B374=リスト!$C$5,B374=リスト!$C$6),SUM(INDEX(G:G,MATCH(I374-1,I:I,0)+1,1):INDEX(G:G,MATCH(I374,I:I,0)-1,1)),D374-C374)</f>
        <v>#NAME?</v>
      </c>
      <c r="H374" s="140" t="e">
        <f ca="1">mif(C374="","",B374=リスト!$C$5,SUMIF(INDEX(B:B,MATCH(I374-1,I:I,0)+1,1):INDEX(B:B,MATCH(I374,I:I,0)-1,1),リスト!$C$7,INDEX(G:G,MATCH(I374-1,I:I,0)+1,1):INDEX(G:G,MATCH(I374,I:I,0)-1,1)),"")</f>
        <v>#NAME?</v>
      </c>
      <c r="I374" s="200" t="str">
        <f>IF(OR(B374=リスト!$C$5,B374=リスト!$C$6),COUNTIF($B$9:B374,リスト!$C$5)+COUNTIF($B$9:B374,リスト!$C$6),"")</f>
        <v/>
      </c>
    </row>
    <row r="375" spans="2:9" x14ac:dyDescent="0.2">
      <c r="B375" s="196"/>
      <c r="C375" s="197">
        <v>45437.998599537037</v>
      </c>
      <c r="D375" s="197">
        <v>45437.998854166668</v>
      </c>
      <c r="E375" s="198" t="s">
        <v>244</v>
      </c>
      <c r="F375" s="199"/>
      <c r="G375" s="140" t="e">
        <f ca="1">mif(C375="","",OR(B375=リスト!$C$5,B375=リスト!$C$6),SUM(INDEX(G:G,MATCH(I375-1,I:I,0)+1,1):INDEX(G:G,MATCH(I375,I:I,0)-1,1)),D375-C375)</f>
        <v>#NAME?</v>
      </c>
      <c r="H375" s="140" t="e">
        <f ca="1">mif(C375="","",B375=リスト!$C$5,SUMIF(INDEX(B:B,MATCH(I375-1,I:I,0)+1,1):INDEX(B:B,MATCH(I375,I:I,0)-1,1),リスト!$C$7,INDEX(G:G,MATCH(I375-1,I:I,0)+1,1):INDEX(G:G,MATCH(I375,I:I,0)-1,1)),"")</f>
        <v>#NAME?</v>
      </c>
      <c r="I375" s="200" t="str">
        <f>IF(OR(B375=リスト!$C$5,B375=リスト!$C$6),COUNTIF($B$9:B375,リスト!$C$5)+COUNTIF($B$9:B375,リスト!$C$6),"")</f>
        <v/>
      </c>
    </row>
    <row r="376" spans="2:9" x14ac:dyDescent="0.2">
      <c r="B376" s="196"/>
      <c r="C376" s="197">
        <v>45438.02820601852</v>
      </c>
      <c r="D376" s="197">
        <v>45438.028645833336</v>
      </c>
      <c r="E376" s="198" t="s">
        <v>244</v>
      </c>
      <c r="F376" s="199"/>
      <c r="G376" s="140" t="e">
        <f ca="1">mif(C376="","",OR(B376=リスト!$C$5,B376=リスト!$C$6),SUM(INDEX(G:G,MATCH(I376-1,I:I,0)+1,1):INDEX(G:G,MATCH(I376,I:I,0)-1,1)),D376-C376)</f>
        <v>#NAME?</v>
      </c>
      <c r="H376" s="140" t="e">
        <f ca="1">mif(C376="","",B376=リスト!$C$5,SUMIF(INDEX(B:B,MATCH(I376-1,I:I,0)+1,1):INDEX(B:B,MATCH(I376,I:I,0)-1,1),リスト!$C$7,INDEX(G:G,MATCH(I376-1,I:I,0)+1,1):INDEX(G:G,MATCH(I376,I:I,0)-1,1)),"")</f>
        <v>#NAME?</v>
      </c>
      <c r="I376" s="200" t="str">
        <f>IF(OR(B376=リスト!$C$5,B376=リスト!$C$6),COUNTIF($B$9:B376,リスト!$C$5)+COUNTIF($B$9:B376,リスト!$C$6),"")</f>
        <v/>
      </c>
    </row>
    <row r="377" spans="2:9" x14ac:dyDescent="0.2">
      <c r="B377" s="196"/>
      <c r="C377" s="197">
        <v>45438.073171296295</v>
      </c>
      <c r="D377" s="197">
        <v>45438.073449074072</v>
      </c>
      <c r="E377" s="198" t="s">
        <v>244</v>
      </c>
      <c r="F377" s="199"/>
      <c r="G377" s="140" t="e">
        <f ca="1">mif(C377="","",OR(B377=リスト!$C$5,B377=リスト!$C$6),SUM(INDEX(G:G,MATCH(I377-1,I:I,0)+1,1):INDEX(G:G,MATCH(I377,I:I,0)-1,1)),D377-C377)</f>
        <v>#NAME?</v>
      </c>
      <c r="H377" s="140" t="e">
        <f ca="1">mif(C377="","",B377=リスト!$C$5,SUMIF(INDEX(B:B,MATCH(I377-1,I:I,0)+1,1):INDEX(B:B,MATCH(I377,I:I,0)-1,1),リスト!$C$7,INDEX(G:G,MATCH(I377-1,I:I,0)+1,1):INDEX(G:G,MATCH(I377,I:I,0)-1,1)),"")</f>
        <v>#NAME?</v>
      </c>
      <c r="I377" s="200" t="str">
        <f>IF(OR(B377=リスト!$C$5,B377=リスト!$C$6),COUNTIF($B$9:B377,リスト!$C$5)+COUNTIF($B$9:B377,リスト!$C$6),"")</f>
        <v/>
      </c>
    </row>
    <row r="378" spans="2:9" x14ac:dyDescent="0.2">
      <c r="B378" s="196"/>
      <c r="C378" s="197">
        <v>45438.080381944441</v>
      </c>
      <c r="D378" s="197">
        <v>45438.080659722225</v>
      </c>
      <c r="E378" s="198" t="s">
        <v>244</v>
      </c>
      <c r="F378" s="199"/>
      <c r="G378" s="140" t="e">
        <f ca="1">mif(C378="","",OR(B378=リスト!$C$5,B378=リスト!$C$6),SUM(INDEX(G:G,MATCH(I378-1,I:I,0)+1,1):INDEX(G:G,MATCH(I378,I:I,0)-1,1)),D378-C378)</f>
        <v>#NAME?</v>
      </c>
      <c r="H378" s="140" t="e">
        <f ca="1">mif(C378="","",B378=リスト!$C$5,SUMIF(INDEX(B:B,MATCH(I378-1,I:I,0)+1,1):INDEX(B:B,MATCH(I378,I:I,0)-1,1),リスト!$C$7,INDEX(G:G,MATCH(I378-1,I:I,0)+1,1):INDEX(G:G,MATCH(I378,I:I,0)-1,1)),"")</f>
        <v>#NAME?</v>
      </c>
      <c r="I378" s="200" t="str">
        <f>IF(OR(B378=リスト!$C$5,B378=リスト!$C$6),COUNTIF($B$9:B378,リスト!$C$5)+COUNTIF($B$9:B378,リスト!$C$6),"")</f>
        <v/>
      </c>
    </row>
    <row r="379" spans="2:9" x14ac:dyDescent="0.2">
      <c r="B379" s="196"/>
      <c r="C379" s="197">
        <v>45438.128182870372</v>
      </c>
      <c r="D379" s="197">
        <v>45438.129490740743</v>
      </c>
      <c r="E379" s="198" t="s">
        <v>244</v>
      </c>
      <c r="F379" s="199"/>
      <c r="G379" s="140" t="e">
        <f ca="1">mif(C379="","",OR(B379=リスト!$C$5,B379=リスト!$C$6),SUM(INDEX(G:G,MATCH(I379-1,I:I,0)+1,1):INDEX(G:G,MATCH(I379,I:I,0)-1,1)),D379-C379)</f>
        <v>#NAME?</v>
      </c>
      <c r="H379" s="140" t="e">
        <f ca="1">mif(C379="","",B379=リスト!$C$5,SUMIF(INDEX(B:B,MATCH(I379-1,I:I,0)+1,1):INDEX(B:B,MATCH(I379,I:I,0)-1,1),リスト!$C$7,INDEX(G:G,MATCH(I379-1,I:I,0)+1,1):INDEX(G:G,MATCH(I379,I:I,0)-1,1)),"")</f>
        <v>#NAME?</v>
      </c>
      <c r="I379" s="200" t="str">
        <f>IF(OR(B379=リスト!$C$5,B379=リスト!$C$6),COUNTIF($B$9:B379,リスト!$C$5)+COUNTIF($B$9:B379,リスト!$C$6),"")</f>
        <v/>
      </c>
    </row>
    <row r="380" spans="2:9" x14ac:dyDescent="0.2">
      <c r="B380" s="196"/>
      <c r="C380" s="197">
        <v>45438.177384259259</v>
      </c>
      <c r="D380" s="197">
        <v>45438.177685185183</v>
      </c>
      <c r="E380" s="198" t="s">
        <v>244</v>
      </c>
      <c r="F380" s="199"/>
      <c r="G380" s="140" t="e">
        <f ca="1">mif(C380="","",OR(B380=リスト!$C$5,B380=リスト!$C$6),SUM(INDEX(G:G,MATCH(I380-1,I:I,0)+1,1):INDEX(G:G,MATCH(I380,I:I,0)-1,1)),D380-C380)</f>
        <v>#NAME?</v>
      </c>
      <c r="H380" s="140" t="e">
        <f ca="1">mif(C380="","",B380=リスト!$C$5,SUMIF(INDEX(B:B,MATCH(I380-1,I:I,0)+1,1):INDEX(B:B,MATCH(I380,I:I,0)-1,1),リスト!$C$7,INDEX(G:G,MATCH(I380-1,I:I,0)+1,1):INDEX(G:G,MATCH(I380,I:I,0)-1,1)),"")</f>
        <v>#NAME?</v>
      </c>
      <c r="I380" s="200" t="str">
        <f>IF(OR(B380=リスト!$C$5,B380=リスト!$C$6),COUNTIF($B$9:B380,リスト!$C$5)+COUNTIF($B$9:B380,リスト!$C$6),"")</f>
        <v/>
      </c>
    </row>
    <row r="381" spans="2:9" x14ac:dyDescent="0.2">
      <c r="B381" s="196"/>
      <c r="C381" s="197">
        <v>45438.213263888887</v>
      </c>
      <c r="D381" s="197">
        <v>45438.213703703703</v>
      </c>
      <c r="E381" s="198" t="s">
        <v>244</v>
      </c>
      <c r="F381" s="199"/>
      <c r="G381" s="140" t="e">
        <f ca="1">mif(C381="","",OR(B381=リスト!$C$5,B381=リスト!$C$6),SUM(INDEX(G:G,MATCH(I381-1,I:I,0)+1,1):INDEX(G:G,MATCH(I381,I:I,0)-1,1)),D381-C381)</f>
        <v>#NAME?</v>
      </c>
      <c r="H381" s="140" t="e">
        <f ca="1">mif(C381="","",B381=リスト!$C$5,SUMIF(INDEX(B:B,MATCH(I381-1,I:I,0)+1,1):INDEX(B:B,MATCH(I381,I:I,0)-1,1),リスト!$C$7,INDEX(G:G,MATCH(I381-1,I:I,0)+1,1):INDEX(G:G,MATCH(I381,I:I,0)-1,1)),"")</f>
        <v>#NAME?</v>
      </c>
      <c r="I381" s="200" t="str">
        <f>IF(OR(B381=リスト!$C$5,B381=リスト!$C$6),COUNTIF($B$9:B381,リスト!$C$5)+COUNTIF($B$9:B381,リスト!$C$6),"")</f>
        <v/>
      </c>
    </row>
    <row r="382" spans="2:9" x14ac:dyDescent="0.2">
      <c r="B382" s="196"/>
      <c r="C382" s="197">
        <v>45438.269861111112</v>
      </c>
      <c r="D382" s="197">
        <v>45438.270138888889</v>
      </c>
      <c r="E382" s="198" t="s">
        <v>244</v>
      </c>
      <c r="F382" s="199"/>
      <c r="G382" s="140" t="e">
        <f ca="1">mif(C382="","",OR(B382=リスト!$C$5,B382=リスト!$C$6),SUM(INDEX(G:G,MATCH(I382-1,I:I,0)+1,1):INDEX(G:G,MATCH(I382,I:I,0)-1,1)),D382-C382)</f>
        <v>#NAME?</v>
      </c>
      <c r="H382" s="140" t="e">
        <f ca="1">mif(C382="","",B382=リスト!$C$5,SUMIF(INDEX(B:B,MATCH(I382-1,I:I,0)+1,1):INDEX(B:B,MATCH(I382,I:I,0)-1,1),リスト!$C$7,INDEX(G:G,MATCH(I382-1,I:I,0)+1,1):INDEX(G:G,MATCH(I382,I:I,0)-1,1)),"")</f>
        <v>#NAME?</v>
      </c>
      <c r="I382" s="200" t="str">
        <f>IF(OR(B382=リスト!$C$5,B382=リスト!$C$6),COUNTIF($B$9:B382,リスト!$C$5)+COUNTIF($B$9:B382,リスト!$C$6),"")</f>
        <v/>
      </c>
    </row>
    <row r="383" spans="2:9" x14ac:dyDescent="0.2">
      <c r="B383" s="196"/>
      <c r="C383" s="197">
        <v>45438.299201388887</v>
      </c>
      <c r="D383" s="197">
        <v>45438.299502314818</v>
      </c>
      <c r="E383" s="198" t="s">
        <v>244</v>
      </c>
      <c r="F383" s="199"/>
      <c r="G383" s="140" t="e">
        <f ca="1">mif(C383="","",OR(B383=リスト!$C$5,B383=リスト!$C$6),SUM(INDEX(G:G,MATCH(I383-1,I:I,0)+1,1):INDEX(G:G,MATCH(I383,I:I,0)-1,1)),D383-C383)</f>
        <v>#NAME?</v>
      </c>
      <c r="H383" s="140" t="e">
        <f ca="1">mif(C383="","",B383=リスト!$C$5,SUMIF(INDEX(B:B,MATCH(I383-1,I:I,0)+1,1):INDEX(B:B,MATCH(I383,I:I,0)-1,1),リスト!$C$7,INDEX(G:G,MATCH(I383-1,I:I,0)+1,1):INDEX(G:G,MATCH(I383,I:I,0)-1,1)),"")</f>
        <v>#NAME?</v>
      </c>
      <c r="I383" s="200" t="str">
        <f>IF(OR(B383=リスト!$C$5,B383=リスト!$C$6),COUNTIF($B$9:B383,リスト!$C$5)+COUNTIF($B$9:B383,リスト!$C$6),"")</f>
        <v/>
      </c>
    </row>
    <row r="384" spans="2:9" x14ac:dyDescent="0.2">
      <c r="B384" s="196"/>
      <c r="C384" s="197">
        <v>45438.379374999997</v>
      </c>
      <c r="D384" s="197">
        <v>45438.379629629628</v>
      </c>
      <c r="E384" s="198" t="s">
        <v>244</v>
      </c>
      <c r="F384" s="199"/>
      <c r="G384" s="140" t="e">
        <f ca="1">mif(C384="","",OR(B384=リスト!$C$5,B384=リスト!$C$6),SUM(INDEX(G:G,MATCH(I384-1,I:I,0)+1,1):INDEX(G:G,MATCH(I384,I:I,0)-1,1)),D384-C384)</f>
        <v>#NAME?</v>
      </c>
      <c r="H384" s="140" t="e">
        <f ca="1">mif(C384="","",B384=リスト!$C$5,SUMIF(INDEX(B:B,MATCH(I384-1,I:I,0)+1,1):INDEX(B:B,MATCH(I384,I:I,0)-1,1),リスト!$C$7,INDEX(G:G,MATCH(I384-1,I:I,0)+1,1):INDEX(G:G,MATCH(I384,I:I,0)-1,1)),"")</f>
        <v>#NAME?</v>
      </c>
      <c r="I384" s="200" t="str">
        <f>IF(OR(B384=リスト!$C$5,B384=リスト!$C$6),COUNTIF($B$9:B384,リスト!$C$5)+COUNTIF($B$9:B384,リスト!$C$6),"")</f>
        <v/>
      </c>
    </row>
    <row r="385" spans="2:9" x14ac:dyDescent="0.2">
      <c r="B385" s="196"/>
      <c r="C385" s="197">
        <v>45438.389340277776</v>
      </c>
      <c r="D385" s="197">
        <v>45438.38957175926</v>
      </c>
      <c r="E385" s="198" t="s">
        <v>244</v>
      </c>
      <c r="F385" s="199"/>
      <c r="G385" s="140" t="e">
        <f ca="1">mif(C385="","",OR(B385=リスト!$C$5,B385=リスト!$C$6),SUM(INDEX(G:G,MATCH(I385-1,I:I,0)+1,1):INDEX(G:G,MATCH(I385,I:I,0)-1,1)),D385-C385)</f>
        <v>#NAME?</v>
      </c>
      <c r="H385" s="140" t="e">
        <f ca="1">mif(C385="","",B385=リスト!$C$5,SUMIF(INDEX(B:B,MATCH(I385-1,I:I,0)+1,1):INDEX(B:B,MATCH(I385,I:I,0)-1,1),リスト!$C$7,INDEX(G:G,MATCH(I385-1,I:I,0)+1,1):INDEX(G:G,MATCH(I385,I:I,0)-1,1)),"")</f>
        <v>#NAME?</v>
      </c>
      <c r="I385" s="200" t="str">
        <f>IF(OR(B385=リスト!$C$5,B385=リスト!$C$6),COUNTIF($B$9:B385,リスト!$C$5)+COUNTIF($B$9:B385,リスト!$C$6),"")</f>
        <v/>
      </c>
    </row>
    <row r="386" spans="2:9" x14ac:dyDescent="0.2">
      <c r="B386" s="196" t="s">
        <v>247</v>
      </c>
      <c r="C386" s="197">
        <v>45437.916666666664</v>
      </c>
      <c r="D386" s="197">
        <v>45438.416666666664</v>
      </c>
      <c r="E386" s="198">
        <v>18</v>
      </c>
      <c r="F386" s="199"/>
      <c r="G386" s="140" t="e">
        <f ca="1">mif(C386="","",OR(B386=リスト!$C$5,B386=リスト!$C$6),SUM(INDEX(G:G,MATCH(I386-1,I:I,0)+1,1):INDEX(G:G,MATCH(I386,I:I,0)-1,1)),D386-C386)</f>
        <v>#NAME?</v>
      </c>
      <c r="H386" s="140" t="e">
        <f ca="1">mif(C386="","",B386=リスト!$C$5,SUMIF(INDEX(B:B,MATCH(I386-1,I:I,0)+1,1):INDEX(B:B,MATCH(I386,I:I,0)-1,1),リスト!$C$7,INDEX(G:G,MATCH(I386-1,I:I,0)+1,1):INDEX(G:G,MATCH(I386,I:I,0)-1,1)),"")</f>
        <v>#NAME?</v>
      </c>
      <c r="I386" s="200">
        <f>IF(OR(B386=リスト!$C$5,B386=リスト!$C$6),COUNTIF($B$9:B386,リスト!$C$5)+COUNTIF($B$9:B386,リスト!$C$6),"")</f>
        <v>25</v>
      </c>
    </row>
    <row r="387" spans="2:9" x14ac:dyDescent="0.2">
      <c r="B387" s="196"/>
      <c r="C387" s="197">
        <v>45443.92763888889</v>
      </c>
      <c r="D387" s="197">
        <v>45443.927939814814</v>
      </c>
      <c r="E387" s="198" t="s">
        <v>244</v>
      </c>
      <c r="F387" s="199"/>
      <c r="G387" s="140" t="e">
        <f ca="1">mif(C387="","",OR(B387=リスト!$C$5,B387=リスト!$C$6),SUM(INDEX(G:G,MATCH(I387-1,I:I,0)+1,1):INDEX(G:G,MATCH(I387,I:I,0)-1,1)),D387-C387)</f>
        <v>#NAME?</v>
      </c>
      <c r="H387" s="140" t="e">
        <f ca="1">mif(C387="","",B387=リスト!$C$5,SUMIF(INDEX(B:B,MATCH(I387-1,I:I,0)+1,1):INDEX(B:B,MATCH(I387,I:I,0)-1,1),リスト!$C$7,INDEX(G:G,MATCH(I387-1,I:I,0)+1,1):INDEX(G:G,MATCH(I387,I:I,0)-1,1)),"")</f>
        <v>#NAME?</v>
      </c>
      <c r="I387" s="200" t="str">
        <f>IF(OR(B387=リスト!$C$5,B387=リスト!$C$6),COUNTIF($B$9:B387,リスト!$C$5)+COUNTIF($B$9:B387,リスト!$C$6),"")</f>
        <v/>
      </c>
    </row>
    <row r="388" spans="2:9" x14ac:dyDescent="0.2">
      <c r="B388" s="196"/>
      <c r="C388" s="197">
        <v>45443.944965277777</v>
      </c>
      <c r="D388" s="197">
        <v>45443.945335648146</v>
      </c>
      <c r="E388" s="198" t="s">
        <v>244</v>
      </c>
      <c r="F388" s="199"/>
      <c r="G388" s="140" t="e">
        <f ca="1">mif(C388="","",OR(B388=リスト!$C$5,B388=リスト!$C$6),SUM(INDEX(G:G,MATCH(I388-1,I:I,0)+1,1):INDEX(G:G,MATCH(I388,I:I,0)-1,1)),D388-C388)</f>
        <v>#NAME?</v>
      </c>
      <c r="H388" s="140" t="e">
        <f ca="1">mif(C388="","",B388=リスト!$C$5,SUMIF(INDEX(B:B,MATCH(I388-1,I:I,0)+1,1):INDEX(B:B,MATCH(I388,I:I,0)-1,1),リスト!$C$7,INDEX(G:G,MATCH(I388-1,I:I,0)+1,1):INDEX(G:G,MATCH(I388,I:I,0)-1,1)),"")</f>
        <v>#NAME?</v>
      </c>
      <c r="I388" s="200" t="str">
        <f>IF(OR(B388=リスト!$C$5,B388=リスト!$C$6),COUNTIF($B$9:B388,リスト!$C$5)+COUNTIF($B$9:B388,リスト!$C$6),"")</f>
        <v/>
      </c>
    </row>
    <row r="389" spans="2:9" x14ac:dyDescent="0.2">
      <c r="B389" s="196"/>
      <c r="C389" s="197">
        <v>45444.025300925925</v>
      </c>
      <c r="D389" s="197">
        <v>45444.025671296295</v>
      </c>
      <c r="E389" s="198" t="s">
        <v>244</v>
      </c>
      <c r="F389" s="199"/>
      <c r="G389" s="140" t="e">
        <f ca="1">mif(C389="","",OR(B389=リスト!$C$5,B389=リスト!$C$6),SUM(INDEX(G:G,MATCH(I389-1,I:I,0)+1,1):INDEX(G:G,MATCH(I389,I:I,0)-1,1)),D389-C389)</f>
        <v>#NAME?</v>
      </c>
      <c r="H389" s="140" t="e">
        <f ca="1">mif(C389="","",B389=リスト!$C$5,SUMIF(INDEX(B:B,MATCH(I389-1,I:I,0)+1,1):INDEX(B:B,MATCH(I389,I:I,0)-1,1),リスト!$C$7,INDEX(G:G,MATCH(I389-1,I:I,0)+1,1):INDEX(G:G,MATCH(I389,I:I,0)-1,1)),"")</f>
        <v>#NAME?</v>
      </c>
      <c r="I389" s="200" t="str">
        <f>IF(OR(B389=リスト!$C$5,B389=リスト!$C$6),COUNTIF($B$9:B389,リスト!$C$5)+COUNTIF($B$9:B389,リスト!$C$6),"")</f>
        <v/>
      </c>
    </row>
    <row r="390" spans="2:9" x14ac:dyDescent="0.2">
      <c r="B390" s="196"/>
      <c r="C390" s="197">
        <v>45444.056076388886</v>
      </c>
      <c r="D390" s="197">
        <v>45444.056377314817</v>
      </c>
      <c r="E390" s="198" t="s">
        <v>244</v>
      </c>
      <c r="F390" s="199"/>
      <c r="G390" s="140" t="e">
        <f ca="1">mif(C390="","",OR(B390=リスト!$C$5,B390=リスト!$C$6),SUM(INDEX(G:G,MATCH(I390-1,I:I,0)+1,1):INDEX(G:G,MATCH(I390,I:I,0)-1,1)),D390-C390)</f>
        <v>#NAME?</v>
      </c>
      <c r="H390" s="140" t="e">
        <f ca="1">mif(C390="","",B390=リスト!$C$5,SUMIF(INDEX(B:B,MATCH(I390-1,I:I,0)+1,1):INDEX(B:B,MATCH(I390,I:I,0)-1,1),リスト!$C$7,INDEX(G:G,MATCH(I390-1,I:I,0)+1,1):INDEX(G:G,MATCH(I390,I:I,0)-1,1)),"")</f>
        <v>#NAME?</v>
      </c>
      <c r="I390" s="200" t="str">
        <f>IF(OR(B390=リスト!$C$5,B390=リスト!$C$6),COUNTIF($B$9:B390,リスト!$C$5)+COUNTIF($B$9:B390,リスト!$C$6),"")</f>
        <v/>
      </c>
    </row>
    <row r="391" spans="2:9" x14ac:dyDescent="0.2">
      <c r="B391" s="196"/>
      <c r="C391" s="197">
        <v>45444.065046296295</v>
      </c>
      <c r="D391" s="197">
        <v>45444.065370370372</v>
      </c>
      <c r="E391" s="198" t="s">
        <v>244</v>
      </c>
      <c r="F391" s="199"/>
      <c r="G391" s="140" t="e">
        <f ca="1">mif(C391="","",OR(B391=リスト!$C$5,B391=リスト!$C$6),SUM(INDEX(G:G,MATCH(I391-1,I:I,0)+1,1):INDEX(G:G,MATCH(I391,I:I,0)-1,1)),D391-C391)</f>
        <v>#NAME?</v>
      </c>
      <c r="H391" s="140" t="e">
        <f ca="1">mif(C391="","",B391=リスト!$C$5,SUMIF(INDEX(B:B,MATCH(I391-1,I:I,0)+1,1):INDEX(B:B,MATCH(I391,I:I,0)-1,1),リスト!$C$7,INDEX(G:G,MATCH(I391-1,I:I,0)+1,1):INDEX(G:G,MATCH(I391,I:I,0)-1,1)),"")</f>
        <v>#NAME?</v>
      </c>
      <c r="I391" s="200" t="str">
        <f>IF(OR(B391=リスト!$C$5,B391=リスト!$C$6),COUNTIF($B$9:B391,リスト!$C$5)+COUNTIF($B$9:B391,リスト!$C$6),"")</f>
        <v/>
      </c>
    </row>
    <row r="392" spans="2:9" x14ac:dyDescent="0.2">
      <c r="B392" s="196"/>
      <c r="C392" s="197">
        <v>45444.088483796295</v>
      </c>
      <c r="D392" s="197">
        <v>45444.088784722226</v>
      </c>
      <c r="E392" s="198" t="s">
        <v>244</v>
      </c>
      <c r="F392" s="199"/>
      <c r="G392" s="140" t="e">
        <f ca="1">mif(C392="","",OR(B392=リスト!$C$5,B392=リスト!$C$6),SUM(INDEX(G:G,MATCH(I392-1,I:I,0)+1,1):INDEX(G:G,MATCH(I392,I:I,0)-1,1)),D392-C392)</f>
        <v>#NAME?</v>
      </c>
      <c r="H392" s="140" t="e">
        <f ca="1">mif(C392="","",B392=リスト!$C$5,SUMIF(INDEX(B:B,MATCH(I392-1,I:I,0)+1,1):INDEX(B:B,MATCH(I392,I:I,0)-1,1),リスト!$C$7,INDEX(G:G,MATCH(I392-1,I:I,0)+1,1):INDEX(G:G,MATCH(I392,I:I,0)-1,1)),"")</f>
        <v>#NAME?</v>
      </c>
      <c r="I392" s="200" t="str">
        <f>IF(OR(B392=リスト!$C$5,B392=リスト!$C$6),COUNTIF($B$9:B392,リスト!$C$5)+COUNTIF($B$9:B392,リスト!$C$6),"")</f>
        <v/>
      </c>
    </row>
    <row r="393" spans="2:9" x14ac:dyDescent="0.2">
      <c r="B393" s="196"/>
      <c r="C393" s="197">
        <v>45444.101585648146</v>
      </c>
      <c r="D393" s="197">
        <v>45444.102673611109</v>
      </c>
      <c r="E393" s="198" t="s">
        <v>244</v>
      </c>
      <c r="F393" s="199"/>
      <c r="G393" s="140" t="e">
        <f ca="1">mif(C393="","",OR(B393=リスト!$C$5,B393=リスト!$C$6),SUM(INDEX(G:G,MATCH(I393-1,I:I,0)+1,1):INDEX(G:G,MATCH(I393,I:I,0)-1,1)),D393-C393)</f>
        <v>#NAME?</v>
      </c>
      <c r="H393" s="140" t="e">
        <f ca="1">mif(C393="","",B393=リスト!$C$5,SUMIF(INDEX(B:B,MATCH(I393-1,I:I,0)+1,1):INDEX(B:B,MATCH(I393,I:I,0)-1,1),リスト!$C$7,INDEX(G:G,MATCH(I393-1,I:I,0)+1,1):INDEX(G:G,MATCH(I393,I:I,0)-1,1)),"")</f>
        <v>#NAME?</v>
      </c>
      <c r="I393" s="200" t="str">
        <f>IF(OR(B393=リスト!$C$5,B393=リスト!$C$6),COUNTIF($B$9:B393,リスト!$C$5)+COUNTIF($B$9:B393,リスト!$C$6),"")</f>
        <v/>
      </c>
    </row>
    <row r="394" spans="2:9" x14ac:dyDescent="0.2">
      <c r="B394" s="196"/>
      <c r="C394" s="197">
        <v>45444.130949074075</v>
      </c>
      <c r="D394" s="197">
        <v>45444.131273148145</v>
      </c>
      <c r="E394" s="198" t="s">
        <v>244</v>
      </c>
      <c r="F394" s="199"/>
      <c r="G394" s="140" t="e">
        <f ca="1">mif(C394="","",OR(B394=リスト!$C$5,B394=リスト!$C$6),SUM(INDEX(G:G,MATCH(I394-1,I:I,0)+1,1):INDEX(G:G,MATCH(I394,I:I,0)-1,1)),D394-C394)</f>
        <v>#NAME?</v>
      </c>
      <c r="H394" s="140" t="e">
        <f ca="1">mif(C394="","",B394=リスト!$C$5,SUMIF(INDEX(B:B,MATCH(I394-1,I:I,0)+1,1):INDEX(B:B,MATCH(I394,I:I,0)-1,1),リスト!$C$7,INDEX(G:G,MATCH(I394-1,I:I,0)+1,1):INDEX(G:G,MATCH(I394,I:I,0)-1,1)),"")</f>
        <v>#NAME?</v>
      </c>
      <c r="I394" s="200" t="str">
        <f>IF(OR(B394=リスト!$C$5,B394=リスト!$C$6),COUNTIF($B$9:B394,リスト!$C$5)+COUNTIF($B$9:B394,リスト!$C$6),"")</f>
        <v/>
      </c>
    </row>
    <row r="395" spans="2:9" x14ac:dyDescent="0.2">
      <c r="B395" s="196"/>
      <c r="C395" s="197">
        <v>45444.197905092595</v>
      </c>
      <c r="D395" s="197">
        <v>45444.198275462964</v>
      </c>
      <c r="E395" s="198" t="s">
        <v>244</v>
      </c>
      <c r="F395" s="199"/>
      <c r="G395" s="140" t="e">
        <f ca="1">mif(C395="","",OR(B395=リスト!$C$5,B395=リスト!$C$6),SUM(INDEX(G:G,MATCH(I395-1,I:I,0)+1,1):INDEX(G:G,MATCH(I395,I:I,0)-1,1)),D395-C395)</f>
        <v>#NAME?</v>
      </c>
      <c r="H395" s="140" t="e">
        <f ca="1">mif(C395="","",B395=リスト!$C$5,SUMIF(INDEX(B:B,MATCH(I395-1,I:I,0)+1,1):INDEX(B:B,MATCH(I395,I:I,0)-1,1),リスト!$C$7,INDEX(G:G,MATCH(I395-1,I:I,0)+1,1):INDEX(G:G,MATCH(I395,I:I,0)-1,1)),"")</f>
        <v>#NAME?</v>
      </c>
      <c r="I395" s="200" t="str">
        <f>IF(OR(B395=リスト!$C$5,B395=リスト!$C$6),COUNTIF($B$9:B395,リスト!$C$5)+COUNTIF($B$9:B395,リスト!$C$6),"")</f>
        <v/>
      </c>
    </row>
    <row r="396" spans="2:9" x14ac:dyDescent="0.2">
      <c r="B396" s="196"/>
      <c r="C396" s="197">
        <v>45444.202581018515</v>
      </c>
      <c r="D396" s="197">
        <v>45444.203090277777</v>
      </c>
      <c r="E396" s="198" t="s">
        <v>244</v>
      </c>
      <c r="F396" s="199"/>
      <c r="G396" s="140" t="e">
        <f ca="1">mif(C396="","",OR(B396=リスト!$C$5,B396=リスト!$C$6),SUM(INDEX(G:G,MATCH(I396-1,I:I,0)+1,1):INDEX(G:G,MATCH(I396,I:I,0)-1,1)),D396-C396)</f>
        <v>#NAME?</v>
      </c>
      <c r="H396" s="140" t="e">
        <f ca="1">mif(C396="","",B396=リスト!$C$5,SUMIF(INDEX(B:B,MATCH(I396-1,I:I,0)+1,1):INDEX(B:B,MATCH(I396,I:I,0)-1,1),リスト!$C$7,INDEX(G:G,MATCH(I396-1,I:I,0)+1,1):INDEX(G:G,MATCH(I396,I:I,0)-1,1)),"")</f>
        <v>#NAME?</v>
      </c>
      <c r="I396" s="200" t="str">
        <f>IF(OR(B396=リスト!$C$5,B396=リスト!$C$6),COUNTIF($B$9:B396,リスト!$C$5)+COUNTIF($B$9:B396,リスト!$C$6),"")</f>
        <v/>
      </c>
    </row>
    <row r="397" spans="2:9" x14ac:dyDescent="0.2">
      <c r="B397" s="196"/>
      <c r="C397" s="197">
        <v>45444.284791666665</v>
      </c>
      <c r="D397" s="197">
        <v>45444.285092592596</v>
      </c>
      <c r="E397" s="198" t="s">
        <v>244</v>
      </c>
      <c r="F397" s="199"/>
      <c r="G397" s="140" t="e">
        <f ca="1">mif(C397="","",OR(B397=リスト!$C$5,B397=リスト!$C$6),SUM(INDEX(G:G,MATCH(I397-1,I:I,0)+1,1):INDEX(G:G,MATCH(I397,I:I,0)-1,1)),D397-C397)</f>
        <v>#NAME?</v>
      </c>
      <c r="H397" s="140" t="e">
        <f ca="1">mif(C397="","",B397=リスト!$C$5,SUMIF(INDEX(B:B,MATCH(I397-1,I:I,0)+1,1):INDEX(B:B,MATCH(I397,I:I,0)-1,1),リスト!$C$7,INDEX(G:G,MATCH(I397-1,I:I,0)+1,1):INDEX(G:G,MATCH(I397,I:I,0)-1,1)),"")</f>
        <v>#NAME?</v>
      </c>
      <c r="I397" s="200" t="str">
        <f>IF(OR(B397=リスト!$C$5,B397=リスト!$C$6),COUNTIF($B$9:B397,リスト!$C$5)+COUNTIF($B$9:B397,リスト!$C$6),"")</f>
        <v/>
      </c>
    </row>
    <row r="398" spans="2:9" x14ac:dyDescent="0.2">
      <c r="B398" s="196"/>
      <c r="C398" s="197">
        <v>45444.286226851851</v>
      </c>
      <c r="D398" s="197">
        <v>45444.286712962959</v>
      </c>
      <c r="E398" s="198" t="s">
        <v>244</v>
      </c>
      <c r="F398" s="199"/>
      <c r="G398" s="140" t="e">
        <f ca="1">mif(C398="","",OR(B398=リスト!$C$5,B398=リスト!$C$6),SUM(INDEX(G:G,MATCH(I398-1,I:I,0)+1,1):INDEX(G:G,MATCH(I398,I:I,0)-1,1)),D398-C398)</f>
        <v>#NAME?</v>
      </c>
      <c r="H398" s="140" t="e">
        <f ca="1">mif(C398="","",B398=リスト!$C$5,SUMIF(INDEX(B:B,MATCH(I398-1,I:I,0)+1,1):INDEX(B:B,MATCH(I398,I:I,0)-1,1),リスト!$C$7,INDEX(G:G,MATCH(I398-1,I:I,0)+1,1):INDEX(G:G,MATCH(I398,I:I,0)-1,1)),"")</f>
        <v>#NAME?</v>
      </c>
      <c r="I398" s="200" t="str">
        <f>IF(OR(B398=リスト!$C$5,B398=リスト!$C$6),COUNTIF($B$9:B398,リスト!$C$5)+COUNTIF($B$9:B398,リスト!$C$6),"")</f>
        <v/>
      </c>
    </row>
    <row r="399" spans="2:9" x14ac:dyDescent="0.2">
      <c r="B399" s="196"/>
      <c r="C399" s="197">
        <v>45444.291655092595</v>
      </c>
      <c r="D399" s="197">
        <v>45444.291886574072</v>
      </c>
      <c r="E399" s="198" t="s">
        <v>244</v>
      </c>
      <c r="F399" s="199"/>
      <c r="G399" s="140" t="e">
        <f ca="1">mif(C399="","",OR(B399=リスト!$C$5,B399=リスト!$C$6),SUM(INDEX(G:G,MATCH(I399-1,I:I,0)+1,1):INDEX(G:G,MATCH(I399,I:I,0)-1,1)),D399-C399)</f>
        <v>#NAME?</v>
      </c>
      <c r="H399" s="140" t="e">
        <f ca="1">mif(C399="","",B399=リスト!$C$5,SUMIF(INDEX(B:B,MATCH(I399-1,I:I,0)+1,1):INDEX(B:B,MATCH(I399,I:I,0)-1,1),リスト!$C$7,INDEX(G:G,MATCH(I399-1,I:I,0)+1,1):INDEX(G:G,MATCH(I399,I:I,0)-1,1)),"")</f>
        <v>#NAME?</v>
      </c>
      <c r="I399" s="200" t="str">
        <f>IF(OR(B399=リスト!$C$5,B399=リスト!$C$6),COUNTIF($B$9:B399,リスト!$C$5)+COUNTIF($B$9:B399,リスト!$C$6),"")</f>
        <v/>
      </c>
    </row>
    <row r="400" spans="2:9" x14ac:dyDescent="0.2">
      <c r="B400" s="196"/>
      <c r="C400" s="197">
        <v>45444.311724537038</v>
      </c>
      <c r="D400" s="197">
        <v>45444.3122337963</v>
      </c>
      <c r="E400" s="198" t="s">
        <v>244</v>
      </c>
      <c r="F400" s="199"/>
      <c r="G400" s="140" t="e">
        <f ca="1">mif(C400="","",OR(B400=リスト!$C$5,B400=リスト!$C$6),SUM(INDEX(G:G,MATCH(I400-1,I:I,0)+1,1):INDEX(G:G,MATCH(I400,I:I,0)-1,1)),D400-C400)</f>
        <v>#NAME?</v>
      </c>
      <c r="H400" s="140" t="e">
        <f ca="1">mif(C400="","",B400=リスト!$C$5,SUMIF(INDEX(B:B,MATCH(I400-1,I:I,0)+1,1):INDEX(B:B,MATCH(I400,I:I,0)-1,1),リスト!$C$7,INDEX(G:G,MATCH(I400-1,I:I,0)+1,1):INDEX(G:G,MATCH(I400,I:I,0)-1,1)),"")</f>
        <v>#NAME?</v>
      </c>
      <c r="I400" s="200" t="str">
        <f>IF(OR(B400=リスト!$C$5,B400=リスト!$C$6),COUNTIF($B$9:B400,リスト!$C$5)+COUNTIF($B$9:B400,リスト!$C$6),"")</f>
        <v/>
      </c>
    </row>
    <row r="401" spans="2:9" x14ac:dyDescent="0.2">
      <c r="B401" s="196"/>
      <c r="C401" s="197">
        <v>45444.322592592594</v>
      </c>
      <c r="D401" s="197">
        <v>45444.322870370372</v>
      </c>
      <c r="E401" s="198" t="s">
        <v>244</v>
      </c>
      <c r="F401" s="199"/>
      <c r="G401" s="140" t="e">
        <f ca="1">mif(C401="","",OR(B401=リスト!$C$5,B401=リスト!$C$6),SUM(INDEX(G:G,MATCH(I401-1,I:I,0)+1,1):INDEX(G:G,MATCH(I401,I:I,0)-1,1)),D401-C401)</f>
        <v>#NAME?</v>
      </c>
      <c r="H401" s="140" t="e">
        <f ca="1">mif(C401="","",B401=リスト!$C$5,SUMIF(INDEX(B:B,MATCH(I401-1,I:I,0)+1,1):INDEX(B:B,MATCH(I401,I:I,0)-1,1),リスト!$C$7,INDEX(G:G,MATCH(I401-1,I:I,0)+1,1):INDEX(G:G,MATCH(I401,I:I,0)-1,1)),"")</f>
        <v>#NAME?</v>
      </c>
      <c r="I401" s="200" t="str">
        <f>IF(OR(B401=リスト!$C$5,B401=リスト!$C$6),COUNTIF($B$9:B401,リスト!$C$5)+COUNTIF($B$9:B401,リスト!$C$6),"")</f>
        <v/>
      </c>
    </row>
    <row r="402" spans="2:9" x14ac:dyDescent="0.2">
      <c r="B402" s="196"/>
      <c r="C402" s="197">
        <v>45444.334675925929</v>
      </c>
      <c r="D402" s="197">
        <v>45444.334953703707</v>
      </c>
      <c r="E402" s="198" t="s">
        <v>244</v>
      </c>
      <c r="F402" s="199"/>
      <c r="G402" s="140" t="e">
        <f ca="1">mif(C402="","",OR(B402=リスト!$C$5,B402=リスト!$C$6),SUM(INDEX(G:G,MATCH(I402-1,I:I,0)+1,1):INDEX(G:G,MATCH(I402,I:I,0)-1,1)),D402-C402)</f>
        <v>#NAME?</v>
      </c>
      <c r="H402" s="140" t="e">
        <f ca="1">mif(C402="","",B402=リスト!$C$5,SUMIF(INDEX(B:B,MATCH(I402-1,I:I,0)+1,1):INDEX(B:B,MATCH(I402,I:I,0)-1,1),リスト!$C$7,INDEX(G:G,MATCH(I402-1,I:I,0)+1,1):INDEX(G:G,MATCH(I402,I:I,0)-1,1)),"")</f>
        <v>#NAME?</v>
      </c>
      <c r="I402" s="200" t="str">
        <f>IF(OR(B402=リスト!$C$5,B402=リスト!$C$6),COUNTIF($B$9:B402,リスト!$C$5)+COUNTIF($B$9:B402,リスト!$C$6),"")</f>
        <v/>
      </c>
    </row>
    <row r="403" spans="2:9" x14ac:dyDescent="0.2">
      <c r="B403" s="196"/>
      <c r="C403" s="197">
        <v>45444.384560185186</v>
      </c>
      <c r="D403" s="197">
        <v>45444.384837962964</v>
      </c>
      <c r="E403" s="198" t="s">
        <v>244</v>
      </c>
      <c r="F403" s="199"/>
      <c r="G403" s="140" t="e">
        <f ca="1">mif(C403="","",OR(B403=リスト!$C$5,B403=リスト!$C$6),SUM(INDEX(G:G,MATCH(I403-1,I:I,0)+1,1):INDEX(G:G,MATCH(I403,I:I,0)-1,1)),D403-C403)</f>
        <v>#NAME?</v>
      </c>
      <c r="H403" s="140" t="e">
        <f ca="1">mif(C403="","",B403=リスト!$C$5,SUMIF(INDEX(B:B,MATCH(I403-1,I:I,0)+1,1):INDEX(B:B,MATCH(I403,I:I,0)-1,1),リスト!$C$7,INDEX(G:G,MATCH(I403-1,I:I,0)+1,1):INDEX(G:G,MATCH(I403,I:I,0)-1,1)),"")</f>
        <v>#NAME?</v>
      </c>
      <c r="I403" s="200" t="str">
        <f>IF(OR(B403=リスト!$C$5,B403=リスト!$C$6),COUNTIF($B$9:B403,リスト!$C$5)+COUNTIF($B$9:B403,リスト!$C$6),"")</f>
        <v/>
      </c>
    </row>
    <row r="404" spans="2:9" x14ac:dyDescent="0.2">
      <c r="B404" s="196" t="s">
        <v>247</v>
      </c>
      <c r="C404" s="197">
        <v>45443.916666666664</v>
      </c>
      <c r="D404" s="197">
        <v>45444.416666666664</v>
      </c>
      <c r="E404" s="198">
        <v>17</v>
      </c>
      <c r="F404" s="199"/>
      <c r="G404" s="140" t="e">
        <f ca="1">mif(C404="","",OR(B404=リスト!$C$5,B404=リスト!$C$6),SUM(INDEX(G:G,MATCH(I404-1,I:I,0)+1,1):INDEX(G:G,MATCH(I404,I:I,0)-1,1)),D404-C404)</f>
        <v>#NAME?</v>
      </c>
      <c r="H404" s="140" t="e">
        <f ca="1">mif(C404="","",B404=リスト!$C$5,SUMIF(INDEX(B:B,MATCH(I404-1,I:I,0)+1,1):INDEX(B:B,MATCH(I404,I:I,0)-1,1),リスト!$C$7,INDEX(G:G,MATCH(I404-1,I:I,0)+1,1):INDEX(G:G,MATCH(I404,I:I,0)-1,1)),"")</f>
        <v>#NAME?</v>
      </c>
      <c r="I404" s="200">
        <f>IF(OR(B404=リスト!$C$5,B404=リスト!$C$6),COUNTIF($B$9:B404,リスト!$C$5)+COUNTIF($B$9:B404,リスト!$C$6),"")</f>
        <v>26</v>
      </c>
    </row>
    <row r="405" spans="2:9" x14ac:dyDescent="0.2">
      <c r="B405" s="196"/>
      <c r="C405" s="197">
        <v>45444.418842592589</v>
      </c>
      <c r="D405" s="197">
        <v>45444.419305555559</v>
      </c>
      <c r="E405" s="198" t="s">
        <v>244</v>
      </c>
      <c r="F405" s="199"/>
      <c r="G405" s="140" t="e">
        <f ca="1">mif(C405="","",OR(B405=リスト!$C$5,B405=リスト!$C$6),SUM(INDEX(G:G,MATCH(I405-1,I:I,0)+1,1):INDEX(G:G,MATCH(I405,I:I,0)-1,1)),D405-C405)</f>
        <v>#NAME?</v>
      </c>
      <c r="H405" s="140" t="e">
        <f ca="1">mif(C405="","",B405=リスト!$C$5,SUMIF(INDEX(B:B,MATCH(I405-1,I:I,0)+1,1):INDEX(B:B,MATCH(I405,I:I,0)-1,1),リスト!$C$7,INDEX(G:G,MATCH(I405-1,I:I,0)+1,1):INDEX(G:G,MATCH(I405,I:I,0)-1,1)),"")</f>
        <v>#NAME?</v>
      </c>
      <c r="I405" s="200" t="str">
        <f>IF(OR(B405=リスト!$C$5,B405=リスト!$C$6),COUNTIF($B$9:B405,リスト!$C$5)+COUNTIF($B$9:B405,リスト!$C$6),"")</f>
        <v/>
      </c>
    </row>
    <row r="406" spans="2:9" x14ac:dyDescent="0.2">
      <c r="B406" s="196"/>
      <c r="C406" s="197">
        <v>45444.423495370371</v>
      </c>
      <c r="D406" s="197">
        <v>45444.423750000002</v>
      </c>
      <c r="E406" s="198" t="s">
        <v>244</v>
      </c>
      <c r="F406" s="199"/>
      <c r="G406" s="140" t="e">
        <f ca="1">mif(C406="","",OR(B406=リスト!$C$5,B406=リスト!$C$6),SUM(INDEX(G:G,MATCH(I406-1,I:I,0)+1,1):INDEX(G:G,MATCH(I406,I:I,0)-1,1)),D406-C406)</f>
        <v>#NAME?</v>
      </c>
      <c r="H406" s="140" t="e">
        <f ca="1">mif(C406="","",B406=リスト!$C$5,SUMIF(INDEX(B:B,MATCH(I406-1,I:I,0)+1,1):INDEX(B:B,MATCH(I406,I:I,0)-1,1),リスト!$C$7,INDEX(G:G,MATCH(I406-1,I:I,0)+1,1):INDEX(G:G,MATCH(I406,I:I,0)-1,1)),"")</f>
        <v>#NAME?</v>
      </c>
      <c r="I406" s="200" t="str">
        <f>IF(OR(B406=リスト!$C$5,B406=リスト!$C$6),COUNTIF($B$9:B406,リスト!$C$5)+COUNTIF($B$9:B406,リスト!$C$6),"")</f>
        <v/>
      </c>
    </row>
    <row r="407" spans="2:9" x14ac:dyDescent="0.2">
      <c r="B407" s="196"/>
      <c r="C407" s="197">
        <v>45444.470902777779</v>
      </c>
      <c r="D407" s="197">
        <v>45444.471296296295</v>
      </c>
      <c r="E407" s="198" t="s">
        <v>244</v>
      </c>
      <c r="F407" s="199"/>
      <c r="G407" s="140" t="e">
        <f ca="1">mif(C407="","",OR(B407=リスト!$C$5,B407=リスト!$C$6),SUM(INDEX(G:G,MATCH(I407-1,I:I,0)+1,1):INDEX(G:G,MATCH(I407,I:I,0)-1,1)),D407-C407)</f>
        <v>#NAME?</v>
      </c>
      <c r="H407" s="140" t="e">
        <f ca="1">mif(C407="","",B407=リスト!$C$5,SUMIF(INDEX(B:B,MATCH(I407-1,I:I,0)+1,1):INDEX(B:B,MATCH(I407,I:I,0)-1,1),リスト!$C$7,INDEX(G:G,MATCH(I407-1,I:I,0)+1,1):INDEX(G:G,MATCH(I407,I:I,0)-1,1)),"")</f>
        <v>#NAME?</v>
      </c>
      <c r="I407" s="200" t="str">
        <f>IF(OR(B407=リスト!$C$5,B407=リスト!$C$6),COUNTIF($B$9:B407,リスト!$C$5)+COUNTIF($B$9:B407,リスト!$C$6),"")</f>
        <v/>
      </c>
    </row>
    <row r="408" spans="2:9" x14ac:dyDescent="0.2">
      <c r="B408" s="196"/>
      <c r="C408" s="197">
        <v>45444.510659722226</v>
      </c>
      <c r="D408" s="197">
        <v>45444.510937500003</v>
      </c>
      <c r="E408" s="198" t="s">
        <v>244</v>
      </c>
      <c r="F408" s="199"/>
      <c r="G408" s="140" t="e">
        <f ca="1">mif(C408="","",OR(B408=リスト!$C$5,B408=リスト!$C$6),SUM(INDEX(G:G,MATCH(I408-1,I:I,0)+1,1):INDEX(G:G,MATCH(I408,I:I,0)-1,1)),D408-C408)</f>
        <v>#NAME?</v>
      </c>
      <c r="H408" s="140" t="e">
        <f ca="1">mif(C408="","",B408=リスト!$C$5,SUMIF(INDEX(B:B,MATCH(I408-1,I:I,0)+1,1):INDEX(B:B,MATCH(I408,I:I,0)-1,1),リスト!$C$7,INDEX(G:G,MATCH(I408-1,I:I,0)+1,1):INDEX(G:G,MATCH(I408,I:I,0)-1,1)),"")</f>
        <v>#NAME?</v>
      </c>
      <c r="I408" s="200" t="str">
        <f>IF(OR(B408=リスト!$C$5,B408=リスト!$C$6),COUNTIF($B$9:B408,リスト!$C$5)+COUNTIF($B$9:B408,リスト!$C$6),"")</f>
        <v/>
      </c>
    </row>
    <row r="409" spans="2:9" x14ac:dyDescent="0.2">
      <c r="B409" s="196"/>
      <c r="C409" s="197">
        <v>45444.565451388888</v>
      </c>
      <c r="D409" s="197">
        <v>45444.565775462965</v>
      </c>
      <c r="E409" s="198" t="s">
        <v>244</v>
      </c>
      <c r="F409" s="199"/>
      <c r="G409" s="140" t="e">
        <f ca="1">mif(C409="","",OR(B409=リスト!$C$5,B409=リスト!$C$6),SUM(INDEX(G:G,MATCH(I409-1,I:I,0)+1,1):INDEX(G:G,MATCH(I409,I:I,0)-1,1)),D409-C409)</f>
        <v>#NAME?</v>
      </c>
      <c r="H409" s="140" t="e">
        <f ca="1">mif(C409="","",B409=リスト!$C$5,SUMIF(INDEX(B:B,MATCH(I409-1,I:I,0)+1,1):INDEX(B:B,MATCH(I409,I:I,0)-1,1),リスト!$C$7,INDEX(G:G,MATCH(I409-1,I:I,0)+1,1):INDEX(G:G,MATCH(I409,I:I,0)-1,1)),"")</f>
        <v>#NAME?</v>
      </c>
      <c r="I409" s="200" t="str">
        <f>IF(OR(B409=リスト!$C$5,B409=リスト!$C$6),COUNTIF($B$9:B409,リスト!$C$5)+COUNTIF($B$9:B409,リスト!$C$6),"")</f>
        <v/>
      </c>
    </row>
    <row r="410" spans="2:9" x14ac:dyDescent="0.2">
      <c r="B410" s="196"/>
      <c r="C410" s="197">
        <v>45444.593124999999</v>
      </c>
      <c r="D410" s="197">
        <v>45444.593425925923</v>
      </c>
      <c r="E410" s="198" t="s">
        <v>244</v>
      </c>
      <c r="F410" s="199"/>
      <c r="G410" s="140" t="e">
        <f ca="1">mif(C410="","",OR(B410=リスト!$C$5,B410=リスト!$C$6),SUM(INDEX(G:G,MATCH(I410-1,I:I,0)+1,1):INDEX(G:G,MATCH(I410,I:I,0)-1,1)),D410-C410)</f>
        <v>#NAME?</v>
      </c>
      <c r="H410" s="140" t="e">
        <f ca="1">mif(C410="","",B410=リスト!$C$5,SUMIF(INDEX(B:B,MATCH(I410-1,I:I,0)+1,1):INDEX(B:B,MATCH(I410,I:I,0)-1,1),リスト!$C$7,INDEX(G:G,MATCH(I410-1,I:I,0)+1,1):INDEX(G:G,MATCH(I410,I:I,0)-1,1)),"")</f>
        <v>#NAME?</v>
      </c>
      <c r="I410" s="200" t="str">
        <f>IF(OR(B410=リスト!$C$5,B410=リスト!$C$6),COUNTIF($B$9:B410,リスト!$C$5)+COUNTIF($B$9:B410,リスト!$C$6),"")</f>
        <v/>
      </c>
    </row>
    <row r="411" spans="2:9" x14ac:dyDescent="0.2">
      <c r="B411" s="196"/>
      <c r="C411" s="197">
        <v>45444.69363425926</v>
      </c>
      <c r="D411" s="197">
        <v>45444.693865740737</v>
      </c>
      <c r="E411" s="198" t="s">
        <v>244</v>
      </c>
      <c r="F411" s="199"/>
      <c r="G411" s="140" t="e">
        <f ca="1">mif(C411="","",OR(B411=リスト!$C$5,B411=リスト!$C$6),SUM(INDEX(G:G,MATCH(I411-1,I:I,0)+1,1):INDEX(G:G,MATCH(I411,I:I,0)-1,1)),D411-C411)</f>
        <v>#NAME?</v>
      </c>
      <c r="H411" s="140" t="e">
        <f ca="1">mif(C411="","",B411=リスト!$C$5,SUMIF(INDEX(B:B,MATCH(I411-1,I:I,0)+1,1):INDEX(B:B,MATCH(I411,I:I,0)-1,1),リスト!$C$7,INDEX(G:G,MATCH(I411-1,I:I,0)+1,1):INDEX(G:G,MATCH(I411,I:I,0)-1,1)),"")</f>
        <v>#NAME?</v>
      </c>
      <c r="I411" s="200" t="str">
        <f>IF(OR(B411=リスト!$C$5,B411=リスト!$C$6),COUNTIF($B$9:B411,リスト!$C$5)+COUNTIF($B$9:B411,リスト!$C$6),"")</f>
        <v/>
      </c>
    </row>
    <row r="412" spans="2:9" x14ac:dyDescent="0.2">
      <c r="B412" s="196"/>
      <c r="C412" s="197">
        <v>45444.725347222222</v>
      </c>
      <c r="D412" s="197">
        <v>45444.72583333333</v>
      </c>
      <c r="E412" s="198" t="s">
        <v>244</v>
      </c>
      <c r="F412" s="199"/>
      <c r="G412" s="140" t="e">
        <f ca="1">mif(C412="","",OR(B412=リスト!$C$5,B412=リスト!$C$6),SUM(INDEX(G:G,MATCH(I412-1,I:I,0)+1,1):INDEX(G:G,MATCH(I412,I:I,0)-1,1)),D412-C412)</f>
        <v>#NAME?</v>
      </c>
      <c r="H412" s="140" t="e">
        <f ca="1">mif(C412="","",B412=リスト!$C$5,SUMIF(INDEX(B:B,MATCH(I412-1,I:I,0)+1,1):INDEX(B:B,MATCH(I412,I:I,0)-1,1),リスト!$C$7,INDEX(G:G,MATCH(I412-1,I:I,0)+1,1):INDEX(G:G,MATCH(I412,I:I,0)-1,1)),"")</f>
        <v>#NAME?</v>
      </c>
      <c r="I412" s="200" t="str">
        <f>IF(OR(B412=リスト!$C$5,B412=リスト!$C$6),COUNTIF($B$9:B412,リスト!$C$5)+COUNTIF($B$9:B412,リスト!$C$6),"")</f>
        <v/>
      </c>
    </row>
    <row r="413" spans="2:9" x14ac:dyDescent="0.2">
      <c r="B413" s="196"/>
      <c r="C413" s="197">
        <v>45444.735648148147</v>
      </c>
      <c r="D413" s="197">
        <v>45444.735925925925</v>
      </c>
      <c r="E413" s="198" t="s">
        <v>244</v>
      </c>
      <c r="F413" s="199"/>
      <c r="G413" s="140" t="e">
        <f ca="1">mif(C413="","",OR(B413=リスト!$C$5,B413=リスト!$C$6),SUM(INDEX(G:G,MATCH(I413-1,I:I,0)+1,1):INDEX(G:G,MATCH(I413,I:I,0)-1,1)),D413-C413)</f>
        <v>#NAME?</v>
      </c>
      <c r="H413" s="140" t="e">
        <f ca="1">mif(C413="","",B413=リスト!$C$5,SUMIF(INDEX(B:B,MATCH(I413-1,I:I,0)+1,1):INDEX(B:B,MATCH(I413,I:I,0)-1,1),リスト!$C$7,INDEX(G:G,MATCH(I413-1,I:I,0)+1,1):INDEX(G:G,MATCH(I413,I:I,0)-1,1)),"")</f>
        <v>#NAME?</v>
      </c>
      <c r="I413" s="200" t="str">
        <f>IF(OR(B413=リスト!$C$5,B413=リスト!$C$6),COUNTIF($B$9:B413,リスト!$C$5)+COUNTIF($B$9:B413,リスト!$C$6),"")</f>
        <v/>
      </c>
    </row>
    <row r="414" spans="2:9" x14ac:dyDescent="0.2">
      <c r="B414" s="196"/>
      <c r="C414" s="197">
        <v>45444.831041666665</v>
      </c>
      <c r="D414" s="197">
        <v>45444.831412037034</v>
      </c>
      <c r="E414" s="198" t="s">
        <v>244</v>
      </c>
      <c r="F414" s="199"/>
      <c r="G414" s="140" t="e">
        <f ca="1">mif(C414="","",OR(B414=リスト!$C$5,B414=リスト!$C$6),SUM(INDEX(G:G,MATCH(I414-1,I:I,0)+1,1):INDEX(G:G,MATCH(I414,I:I,0)-1,1)),D414-C414)</f>
        <v>#NAME?</v>
      </c>
      <c r="H414" s="140" t="e">
        <f ca="1">mif(C414="","",B414=リスト!$C$5,SUMIF(INDEX(B:B,MATCH(I414-1,I:I,0)+1,1):INDEX(B:B,MATCH(I414,I:I,0)-1,1),リスト!$C$7,INDEX(G:G,MATCH(I414-1,I:I,0)+1,1):INDEX(G:G,MATCH(I414,I:I,0)-1,1)),"")</f>
        <v>#NAME?</v>
      </c>
      <c r="I414" s="200" t="str">
        <f>IF(OR(B414=リスト!$C$5,B414=リスト!$C$6),COUNTIF($B$9:B414,リスト!$C$5)+COUNTIF($B$9:B414,リスト!$C$6),"")</f>
        <v/>
      </c>
    </row>
    <row r="415" spans="2:9" x14ac:dyDescent="0.2">
      <c r="B415" s="196"/>
      <c r="C415" s="197">
        <v>45444.890046296299</v>
      </c>
      <c r="D415" s="197">
        <v>45444.890324074076</v>
      </c>
      <c r="E415" s="198" t="s">
        <v>244</v>
      </c>
      <c r="F415" s="199"/>
      <c r="G415" s="140" t="e">
        <f ca="1">mif(C415="","",OR(B415=リスト!$C$5,B415=リスト!$C$6),SUM(INDEX(G:G,MATCH(I415-1,I:I,0)+1,1):INDEX(G:G,MATCH(I415,I:I,0)-1,1)),D415-C415)</f>
        <v>#NAME?</v>
      </c>
      <c r="H415" s="140" t="e">
        <f ca="1">mif(C415="","",B415=リスト!$C$5,SUMIF(INDEX(B:B,MATCH(I415-1,I:I,0)+1,1):INDEX(B:B,MATCH(I415,I:I,0)-1,1),リスト!$C$7,INDEX(G:G,MATCH(I415-1,I:I,0)+1,1):INDEX(G:G,MATCH(I415,I:I,0)-1,1)),"")</f>
        <v>#NAME?</v>
      </c>
      <c r="I415" s="200" t="str">
        <f>IF(OR(B415=リスト!$C$5,B415=リスト!$C$6),COUNTIF($B$9:B415,リスト!$C$5)+COUNTIF($B$9:B415,リスト!$C$6),"")</f>
        <v/>
      </c>
    </row>
    <row r="416" spans="2:9" x14ac:dyDescent="0.2">
      <c r="B416" s="196" t="s">
        <v>247</v>
      </c>
      <c r="C416" s="197">
        <v>45444.416666666664</v>
      </c>
      <c r="D416" s="197">
        <v>45444.916666666664</v>
      </c>
      <c r="E416" s="198">
        <v>11</v>
      </c>
      <c r="F416" s="199"/>
      <c r="G416" s="140" t="e">
        <f ca="1">mif(C416="","",OR(B416=リスト!$C$5,B416=リスト!$C$6),SUM(INDEX(G:G,MATCH(I416-1,I:I,0)+1,1):INDEX(G:G,MATCH(I416,I:I,0)-1,1)),D416-C416)</f>
        <v>#NAME?</v>
      </c>
      <c r="H416" s="140" t="e">
        <f ca="1">mif(C416="","",B416=リスト!$C$5,SUMIF(INDEX(B:B,MATCH(I416-1,I:I,0)+1,1):INDEX(B:B,MATCH(I416,I:I,0)-1,1),リスト!$C$7,INDEX(G:G,MATCH(I416-1,I:I,0)+1,1):INDEX(G:G,MATCH(I416,I:I,0)-1,1)),"")</f>
        <v>#NAME?</v>
      </c>
      <c r="I416" s="200">
        <f>IF(OR(B416=リスト!$C$5,B416=リスト!$C$6),COUNTIF($B$9:B416,リスト!$C$5)+COUNTIF($B$9:B416,リスト!$C$6),"")</f>
        <v>27</v>
      </c>
    </row>
    <row r="417" spans="2:9" x14ac:dyDescent="0.2">
      <c r="B417" s="196"/>
      <c r="C417" s="197">
        <v>45444.934004629627</v>
      </c>
      <c r="D417" s="197">
        <v>45444.934305555558</v>
      </c>
      <c r="E417" s="198" t="s">
        <v>244</v>
      </c>
      <c r="F417" s="199"/>
      <c r="G417" s="140" t="e">
        <f ca="1">mif(C417="","",OR(B417=リスト!$C$5,B417=リスト!$C$6),SUM(INDEX(G:G,MATCH(I417-1,I:I,0)+1,1):INDEX(G:G,MATCH(I417,I:I,0)-1,1)),D417-C417)</f>
        <v>#NAME?</v>
      </c>
      <c r="H417" s="140" t="e">
        <f ca="1">mif(C417="","",B417=リスト!$C$5,SUMIF(INDEX(B:B,MATCH(I417-1,I:I,0)+1,1):INDEX(B:B,MATCH(I417,I:I,0)-1,1),リスト!$C$7,INDEX(G:G,MATCH(I417-1,I:I,0)+1,1):INDEX(G:G,MATCH(I417,I:I,0)-1,1)),"")</f>
        <v>#NAME?</v>
      </c>
      <c r="I417" s="200" t="str">
        <f>IF(OR(B417=リスト!$C$5,B417=リスト!$C$6),COUNTIF($B$9:B417,リスト!$C$5)+COUNTIF($B$9:B417,リスト!$C$6),"")</f>
        <v/>
      </c>
    </row>
    <row r="418" spans="2:9" x14ac:dyDescent="0.2">
      <c r="B418" s="196"/>
      <c r="C418" s="197">
        <v>45444.996689814812</v>
      </c>
      <c r="D418" s="197">
        <v>45444.997037037036</v>
      </c>
      <c r="E418" s="198" t="s">
        <v>244</v>
      </c>
      <c r="F418" s="199"/>
      <c r="G418" s="140" t="e">
        <f ca="1">mif(C418="","",OR(B418=リスト!$C$5,B418=リスト!$C$6),SUM(INDEX(G:G,MATCH(I418-1,I:I,0)+1,1):INDEX(G:G,MATCH(I418,I:I,0)-1,1)),D418-C418)</f>
        <v>#NAME?</v>
      </c>
      <c r="H418" s="140" t="e">
        <f ca="1">mif(C418="","",B418=リスト!$C$5,SUMIF(INDEX(B:B,MATCH(I418-1,I:I,0)+1,1):INDEX(B:B,MATCH(I418,I:I,0)-1,1),リスト!$C$7,INDEX(G:G,MATCH(I418-1,I:I,0)+1,1):INDEX(G:G,MATCH(I418,I:I,0)-1,1)),"")</f>
        <v>#NAME?</v>
      </c>
      <c r="I418" s="200" t="str">
        <f>IF(OR(B418=リスト!$C$5,B418=リスト!$C$6),COUNTIF($B$9:B418,リスト!$C$5)+COUNTIF($B$9:B418,リスト!$C$6),"")</f>
        <v/>
      </c>
    </row>
    <row r="419" spans="2:9" x14ac:dyDescent="0.2">
      <c r="B419" s="196"/>
      <c r="C419" s="197">
        <v>45445.028773148151</v>
      </c>
      <c r="D419" s="197">
        <v>45445.029768518521</v>
      </c>
      <c r="E419" s="198" t="s">
        <v>244</v>
      </c>
      <c r="F419" s="199"/>
      <c r="G419" s="140" t="e">
        <f ca="1">mif(C419="","",OR(B419=リスト!$C$5,B419=リスト!$C$6),SUM(INDEX(G:G,MATCH(I419-1,I:I,0)+1,1):INDEX(G:G,MATCH(I419,I:I,0)-1,1)),D419-C419)</f>
        <v>#NAME?</v>
      </c>
      <c r="H419" s="140" t="e">
        <f ca="1">mif(C419="","",B419=リスト!$C$5,SUMIF(INDEX(B:B,MATCH(I419-1,I:I,0)+1,1):INDEX(B:B,MATCH(I419,I:I,0)-1,1),リスト!$C$7,INDEX(G:G,MATCH(I419-1,I:I,0)+1,1):INDEX(G:G,MATCH(I419,I:I,0)-1,1)),"")</f>
        <v>#NAME?</v>
      </c>
      <c r="I419" s="200" t="str">
        <f>IF(OR(B419=リスト!$C$5,B419=リスト!$C$6),COUNTIF($B$9:B419,リスト!$C$5)+COUNTIF($B$9:B419,リスト!$C$6),"")</f>
        <v/>
      </c>
    </row>
    <row r="420" spans="2:9" x14ac:dyDescent="0.2">
      <c r="B420" s="196"/>
      <c r="C420" s="197">
        <v>45445.030023148145</v>
      </c>
      <c r="D420" s="197">
        <v>45445.030347222222</v>
      </c>
      <c r="E420" s="198" t="s">
        <v>244</v>
      </c>
      <c r="F420" s="199"/>
      <c r="G420" s="140" t="e">
        <f ca="1">mif(C420="","",OR(B420=リスト!$C$5,B420=リスト!$C$6),SUM(INDEX(G:G,MATCH(I420-1,I:I,0)+1,1):INDEX(G:G,MATCH(I420,I:I,0)-1,1)),D420-C420)</f>
        <v>#NAME?</v>
      </c>
      <c r="H420" s="140" t="e">
        <f ca="1">mif(C420="","",B420=リスト!$C$5,SUMIF(INDEX(B:B,MATCH(I420-1,I:I,0)+1,1):INDEX(B:B,MATCH(I420,I:I,0)-1,1),リスト!$C$7,INDEX(G:G,MATCH(I420-1,I:I,0)+1,1):INDEX(G:G,MATCH(I420,I:I,0)-1,1)),"")</f>
        <v>#NAME?</v>
      </c>
      <c r="I420" s="200" t="str">
        <f>IF(OR(B420=リスト!$C$5,B420=リスト!$C$6),COUNTIF($B$9:B420,リスト!$C$5)+COUNTIF($B$9:B420,リスト!$C$6),"")</f>
        <v/>
      </c>
    </row>
    <row r="421" spans="2:9" x14ac:dyDescent="0.2">
      <c r="B421" s="196"/>
      <c r="C421" s="197">
        <v>45445.034768518519</v>
      </c>
      <c r="D421" s="197">
        <v>45445.035046296296</v>
      </c>
      <c r="E421" s="198" t="s">
        <v>244</v>
      </c>
      <c r="F421" s="199"/>
      <c r="G421" s="140" t="e">
        <f ca="1">mif(C421="","",OR(B421=リスト!$C$5,B421=リスト!$C$6),SUM(INDEX(G:G,MATCH(I421-1,I:I,0)+1,1):INDEX(G:G,MATCH(I421,I:I,0)-1,1)),D421-C421)</f>
        <v>#NAME?</v>
      </c>
      <c r="H421" s="140" t="e">
        <f ca="1">mif(C421="","",B421=リスト!$C$5,SUMIF(INDEX(B:B,MATCH(I421-1,I:I,0)+1,1):INDEX(B:B,MATCH(I421,I:I,0)-1,1),リスト!$C$7,INDEX(G:G,MATCH(I421-1,I:I,0)+1,1):INDEX(G:G,MATCH(I421,I:I,0)-1,1)),"")</f>
        <v>#NAME?</v>
      </c>
      <c r="I421" s="200" t="str">
        <f>IF(OR(B421=リスト!$C$5,B421=リスト!$C$6),COUNTIF($B$9:B421,リスト!$C$5)+COUNTIF($B$9:B421,リスト!$C$6),"")</f>
        <v/>
      </c>
    </row>
    <row r="422" spans="2:9" x14ac:dyDescent="0.2">
      <c r="B422" s="196"/>
      <c r="C422" s="197">
        <v>45445.039236111108</v>
      </c>
      <c r="D422" s="197">
        <v>45445.03979166667</v>
      </c>
      <c r="E422" s="198" t="s">
        <v>244</v>
      </c>
      <c r="F422" s="199"/>
      <c r="G422" s="140" t="e">
        <f ca="1">mif(C422="","",OR(B422=リスト!$C$5,B422=リスト!$C$6),SUM(INDEX(G:G,MATCH(I422-1,I:I,0)+1,1):INDEX(G:G,MATCH(I422,I:I,0)-1,1)),D422-C422)</f>
        <v>#NAME?</v>
      </c>
      <c r="H422" s="140" t="e">
        <f ca="1">mif(C422="","",B422=リスト!$C$5,SUMIF(INDEX(B:B,MATCH(I422-1,I:I,0)+1,1):INDEX(B:B,MATCH(I422,I:I,0)-1,1),リスト!$C$7,INDEX(G:G,MATCH(I422-1,I:I,0)+1,1):INDEX(G:G,MATCH(I422,I:I,0)-1,1)),"")</f>
        <v>#NAME?</v>
      </c>
      <c r="I422" s="200" t="str">
        <f>IF(OR(B422=リスト!$C$5,B422=リスト!$C$6),COUNTIF($B$9:B422,リスト!$C$5)+COUNTIF($B$9:B422,リスト!$C$6),"")</f>
        <v/>
      </c>
    </row>
    <row r="423" spans="2:9" x14ac:dyDescent="0.2">
      <c r="B423" s="196"/>
      <c r="C423" s="197">
        <v>45445.082337962966</v>
      </c>
      <c r="D423" s="197">
        <v>45445.082569444443</v>
      </c>
      <c r="E423" s="198" t="s">
        <v>244</v>
      </c>
      <c r="F423" s="199"/>
      <c r="G423" s="140" t="e">
        <f ca="1">mif(C423="","",OR(B423=リスト!$C$5,B423=リスト!$C$6),SUM(INDEX(G:G,MATCH(I423-1,I:I,0)+1,1):INDEX(G:G,MATCH(I423,I:I,0)-1,1)),D423-C423)</f>
        <v>#NAME?</v>
      </c>
      <c r="H423" s="140" t="e">
        <f ca="1">mif(C423="","",B423=リスト!$C$5,SUMIF(INDEX(B:B,MATCH(I423-1,I:I,0)+1,1):INDEX(B:B,MATCH(I423,I:I,0)-1,1),リスト!$C$7,INDEX(G:G,MATCH(I423-1,I:I,0)+1,1):INDEX(G:G,MATCH(I423,I:I,0)-1,1)),"")</f>
        <v>#NAME?</v>
      </c>
      <c r="I423" s="200" t="str">
        <f>IF(OR(B423=リスト!$C$5,B423=リスト!$C$6),COUNTIF($B$9:B423,リスト!$C$5)+COUNTIF($B$9:B423,リスト!$C$6),"")</f>
        <v/>
      </c>
    </row>
    <row r="424" spans="2:9" x14ac:dyDescent="0.2">
      <c r="B424" s="196"/>
      <c r="C424" s="197">
        <v>45445.185115740744</v>
      </c>
      <c r="D424" s="197">
        <v>45445.185648148145</v>
      </c>
      <c r="E424" s="198" t="s">
        <v>244</v>
      </c>
      <c r="F424" s="199"/>
      <c r="G424" s="140" t="e">
        <f ca="1">mif(C424="","",OR(B424=リスト!$C$5,B424=リスト!$C$6),SUM(INDEX(G:G,MATCH(I424-1,I:I,0)+1,1):INDEX(G:G,MATCH(I424,I:I,0)-1,1)),D424-C424)</f>
        <v>#NAME?</v>
      </c>
      <c r="H424" s="140" t="e">
        <f ca="1">mif(C424="","",B424=リスト!$C$5,SUMIF(INDEX(B:B,MATCH(I424-1,I:I,0)+1,1):INDEX(B:B,MATCH(I424,I:I,0)-1,1),リスト!$C$7,INDEX(G:G,MATCH(I424-1,I:I,0)+1,1):INDEX(G:G,MATCH(I424,I:I,0)-1,1)),"")</f>
        <v>#NAME?</v>
      </c>
      <c r="I424" s="200" t="str">
        <f>IF(OR(B424=リスト!$C$5,B424=リスト!$C$6),COUNTIF($B$9:B424,リスト!$C$5)+COUNTIF($B$9:B424,リスト!$C$6),"")</f>
        <v/>
      </c>
    </row>
    <row r="425" spans="2:9" x14ac:dyDescent="0.2">
      <c r="B425" s="196"/>
      <c r="C425" s="197">
        <v>45445.187245370369</v>
      </c>
      <c r="D425" s="197">
        <v>45445.1875462963</v>
      </c>
      <c r="E425" s="198" t="s">
        <v>244</v>
      </c>
      <c r="F425" s="199"/>
      <c r="G425" s="140" t="e">
        <f ca="1">mif(C425="","",OR(B425=リスト!$C$5,B425=リスト!$C$6),SUM(INDEX(G:G,MATCH(I425-1,I:I,0)+1,1):INDEX(G:G,MATCH(I425,I:I,0)-1,1)),D425-C425)</f>
        <v>#NAME?</v>
      </c>
      <c r="H425" s="140" t="e">
        <f ca="1">mif(C425="","",B425=リスト!$C$5,SUMIF(INDEX(B:B,MATCH(I425-1,I:I,0)+1,1):INDEX(B:B,MATCH(I425,I:I,0)-1,1),リスト!$C$7,INDEX(G:G,MATCH(I425-1,I:I,0)+1,1):INDEX(G:G,MATCH(I425,I:I,0)-1,1)),"")</f>
        <v>#NAME?</v>
      </c>
      <c r="I425" s="200" t="str">
        <f>IF(OR(B425=リスト!$C$5,B425=リスト!$C$6),COUNTIF($B$9:B425,リスト!$C$5)+COUNTIF($B$9:B425,リスト!$C$6),"")</f>
        <v/>
      </c>
    </row>
    <row r="426" spans="2:9" x14ac:dyDescent="0.2">
      <c r="B426" s="196"/>
      <c r="C426" s="197">
        <v>45445.202476851853</v>
      </c>
      <c r="D426" s="197">
        <v>45445.202847222223</v>
      </c>
      <c r="E426" s="198" t="s">
        <v>244</v>
      </c>
      <c r="F426" s="199"/>
      <c r="G426" s="140" t="e">
        <f ca="1">mif(C426="","",OR(B426=リスト!$C$5,B426=リスト!$C$6),SUM(INDEX(G:G,MATCH(I426-1,I:I,0)+1,1):INDEX(G:G,MATCH(I426,I:I,0)-1,1)),D426-C426)</f>
        <v>#NAME?</v>
      </c>
      <c r="H426" s="140" t="e">
        <f ca="1">mif(C426="","",B426=リスト!$C$5,SUMIF(INDEX(B:B,MATCH(I426-1,I:I,0)+1,1):INDEX(B:B,MATCH(I426,I:I,0)-1,1),リスト!$C$7,INDEX(G:G,MATCH(I426-1,I:I,0)+1,1):INDEX(G:G,MATCH(I426,I:I,0)-1,1)),"")</f>
        <v>#NAME?</v>
      </c>
      <c r="I426" s="200" t="str">
        <f>IF(OR(B426=リスト!$C$5,B426=リスト!$C$6),COUNTIF($B$9:B426,リスト!$C$5)+COUNTIF($B$9:B426,リスト!$C$6),"")</f>
        <v/>
      </c>
    </row>
    <row r="427" spans="2:9" x14ac:dyDescent="0.2">
      <c r="B427" s="196"/>
      <c r="C427" s="197">
        <v>45445.204710648148</v>
      </c>
      <c r="D427" s="197">
        <v>45445.205289351848</v>
      </c>
      <c r="E427" s="198" t="s">
        <v>244</v>
      </c>
      <c r="F427" s="199"/>
      <c r="G427" s="140" t="e">
        <f ca="1">mif(C427="","",OR(B427=リスト!$C$5,B427=リスト!$C$6),SUM(INDEX(G:G,MATCH(I427-1,I:I,0)+1,1):INDEX(G:G,MATCH(I427,I:I,0)-1,1)),D427-C427)</f>
        <v>#NAME?</v>
      </c>
      <c r="H427" s="140" t="e">
        <f ca="1">mif(C427="","",B427=リスト!$C$5,SUMIF(INDEX(B:B,MATCH(I427-1,I:I,0)+1,1):INDEX(B:B,MATCH(I427,I:I,0)-1,1),リスト!$C$7,INDEX(G:G,MATCH(I427-1,I:I,0)+1,1):INDEX(G:G,MATCH(I427,I:I,0)-1,1)),"")</f>
        <v>#NAME?</v>
      </c>
      <c r="I427" s="200" t="str">
        <f>IF(OR(B427=リスト!$C$5,B427=リスト!$C$6),COUNTIF($B$9:B427,リスト!$C$5)+COUNTIF($B$9:B427,リスト!$C$6),"")</f>
        <v/>
      </c>
    </row>
    <row r="428" spans="2:9" x14ac:dyDescent="0.2">
      <c r="B428" s="196"/>
      <c r="C428" s="197">
        <v>45445.206608796296</v>
      </c>
      <c r="D428" s="197">
        <v>45445.207094907404</v>
      </c>
      <c r="E428" s="198" t="s">
        <v>244</v>
      </c>
      <c r="F428" s="199"/>
      <c r="G428" s="140" t="e">
        <f ca="1">mif(C428="","",OR(B428=リスト!$C$5,B428=リスト!$C$6),SUM(INDEX(G:G,MATCH(I428-1,I:I,0)+1,1):INDEX(G:G,MATCH(I428,I:I,0)-1,1)),D428-C428)</f>
        <v>#NAME?</v>
      </c>
      <c r="H428" s="140" t="e">
        <f ca="1">mif(C428="","",B428=リスト!$C$5,SUMIF(INDEX(B:B,MATCH(I428-1,I:I,0)+1,1):INDEX(B:B,MATCH(I428,I:I,0)-1,1),リスト!$C$7,INDEX(G:G,MATCH(I428-1,I:I,0)+1,1):INDEX(G:G,MATCH(I428,I:I,0)-1,1)),"")</f>
        <v>#NAME?</v>
      </c>
      <c r="I428" s="200" t="str">
        <f>IF(OR(B428=リスト!$C$5,B428=リスト!$C$6),COUNTIF($B$9:B428,リスト!$C$5)+COUNTIF($B$9:B428,リスト!$C$6),"")</f>
        <v/>
      </c>
    </row>
    <row r="429" spans="2:9" x14ac:dyDescent="0.2">
      <c r="B429" s="196"/>
      <c r="C429" s="197">
        <v>45445.265613425923</v>
      </c>
      <c r="D429" s="197">
        <v>45445.265868055554</v>
      </c>
      <c r="E429" s="198" t="s">
        <v>244</v>
      </c>
      <c r="F429" s="199"/>
      <c r="G429" s="140" t="e">
        <f ca="1">mif(C429="","",OR(B429=リスト!$C$5,B429=リスト!$C$6),SUM(INDEX(G:G,MATCH(I429-1,I:I,0)+1,1):INDEX(G:G,MATCH(I429,I:I,0)-1,1)),D429-C429)</f>
        <v>#NAME?</v>
      </c>
      <c r="H429" s="140" t="e">
        <f ca="1">mif(C429="","",B429=リスト!$C$5,SUMIF(INDEX(B:B,MATCH(I429-1,I:I,0)+1,1):INDEX(B:B,MATCH(I429,I:I,0)-1,1),リスト!$C$7,INDEX(G:G,MATCH(I429-1,I:I,0)+1,1):INDEX(G:G,MATCH(I429,I:I,0)-1,1)),"")</f>
        <v>#NAME?</v>
      </c>
      <c r="I429" s="200" t="str">
        <f>IF(OR(B429=リスト!$C$5,B429=リスト!$C$6),COUNTIF($B$9:B429,リスト!$C$5)+COUNTIF($B$9:B429,リスト!$C$6),"")</f>
        <v/>
      </c>
    </row>
    <row r="430" spans="2:9" x14ac:dyDescent="0.2">
      <c r="B430" s="196"/>
      <c r="C430" s="197">
        <v>45445.385648148149</v>
      </c>
      <c r="D430" s="197">
        <v>45445.385925925926</v>
      </c>
      <c r="E430" s="198" t="s">
        <v>244</v>
      </c>
      <c r="F430" s="199"/>
      <c r="G430" s="140" t="e">
        <f ca="1">mif(C430="","",OR(B430=リスト!$C$5,B430=リスト!$C$6),SUM(INDEX(G:G,MATCH(I430-1,I:I,0)+1,1):INDEX(G:G,MATCH(I430,I:I,0)-1,1)),D430-C430)</f>
        <v>#NAME?</v>
      </c>
      <c r="H430" s="140" t="e">
        <f ca="1">mif(C430="","",B430=リスト!$C$5,SUMIF(INDEX(B:B,MATCH(I430-1,I:I,0)+1,1):INDEX(B:B,MATCH(I430,I:I,0)-1,1),リスト!$C$7,INDEX(G:G,MATCH(I430-1,I:I,0)+1,1):INDEX(G:G,MATCH(I430,I:I,0)-1,1)),"")</f>
        <v>#NAME?</v>
      </c>
      <c r="I430" s="200" t="str">
        <f>IF(OR(B430=リスト!$C$5,B430=リスト!$C$6),COUNTIF($B$9:B430,リスト!$C$5)+COUNTIF($B$9:B430,リスト!$C$6),"")</f>
        <v/>
      </c>
    </row>
    <row r="431" spans="2:9" x14ac:dyDescent="0.2">
      <c r="B431" s="196"/>
      <c r="C431" s="197">
        <v>45445.404398148145</v>
      </c>
      <c r="D431" s="197">
        <v>45445.404722222222</v>
      </c>
      <c r="E431" s="198" t="s">
        <v>244</v>
      </c>
      <c r="F431" s="199"/>
      <c r="G431" s="140" t="e">
        <f ca="1">mif(C431="","",OR(B431=リスト!$C$5,B431=リスト!$C$6),SUM(INDEX(G:G,MATCH(I431-1,I:I,0)+1,1):INDEX(G:G,MATCH(I431,I:I,0)-1,1)),D431-C431)</f>
        <v>#NAME?</v>
      </c>
      <c r="H431" s="140" t="e">
        <f ca="1">mif(C431="","",B431=リスト!$C$5,SUMIF(INDEX(B:B,MATCH(I431-1,I:I,0)+1,1):INDEX(B:B,MATCH(I431,I:I,0)-1,1),リスト!$C$7,INDEX(G:G,MATCH(I431-1,I:I,0)+1,1):INDEX(G:G,MATCH(I431,I:I,0)-1,1)),"")</f>
        <v>#NAME?</v>
      </c>
      <c r="I431" s="200" t="str">
        <f>IF(OR(B431=リスト!$C$5,B431=リスト!$C$6),COUNTIF($B$9:B431,リスト!$C$5)+COUNTIF($B$9:B431,リスト!$C$6),"")</f>
        <v/>
      </c>
    </row>
    <row r="432" spans="2:9" x14ac:dyDescent="0.2">
      <c r="B432" s="196" t="s">
        <v>247</v>
      </c>
      <c r="C432" s="197">
        <v>45444.916666666664</v>
      </c>
      <c r="D432" s="197">
        <v>45445.416666666664</v>
      </c>
      <c r="E432" s="198">
        <v>15</v>
      </c>
      <c r="F432" s="199"/>
      <c r="G432" s="140" t="e">
        <f ca="1">mif(C432="","",OR(B432=リスト!$C$5,B432=リスト!$C$6),SUM(INDEX(G:G,MATCH(I432-1,I:I,0)+1,1):INDEX(G:G,MATCH(I432,I:I,0)-1,1)),D432-C432)</f>
        <v>#NAME?</v>
      </c>
      <c r="H432" s="140" t="e">
        <f ca="1">mif(C432="","",B432=リスト!$C$5,SUMIF(INDEX(B:B,MATCH(I432-1,I:I,0)+1,1):INDEX(B:B,MATCH(I432,I:I,0)-1,1),リスト!$C$7,INDEX(G:G,MATCH(I432-1,I:I,0)+1,1):INDEX(G:G,MATCH(I432,I:I,0)-1,1)),"")</f>
        <v>#NAME?</v>
      </c>
      <c r="I432" s="200">
        <f>IF(OR(B432=リスト!$C$5,B432=リスト!$C$6),COUNTIF($B$9:B432,リスト!$C$5)+COUNTIF($B$9:B432,リスト!$C$6),"")</f>
        <v>28</v>
      </c>
    </row>
    <row r="433" spans="2:9" x14ac:dyDescent="0.2">
      <c r="B433" s="196"/>
      <c r="C433" s="197">
        <v>45445.438958333332</v>
      </c>
      <c r="D433" s="197">
        <v>45445.439236111109</v>
      </c>
      <c r="E433" s="198" t="s">
        <v>244</v>
      </c>
      <c r="F433" s="199"/>
      <c r="G433" s="140" t="e">
        <f ca="1">mif(C433="","",OR(B433=リスト!$C$5,B433=リスト!$C$6),SUM(INDEX(G:G,MATCH(I433-1,I:I,0)+1,1):INDEX(G:G,MATCH(I433,I:I,0)-1,1)),D433-C433)</f>
        <v>#NAME?</v>
      </c>
      <c r="H433" s="140" t="e">
        <f ca="1">mif(C433="","",B433=リスト!$C$5,SUMIF(INDEX(B:B,MATCH(I433-1,I:I,0)+1,1):INDEX(B:B,MATCH(I433,I:I,0)-1,1),リスト!$C$7,INDEX(G:G,MATCH(I433-1,I:I,0)+1,1):INDEX(G:G,MATCH(I433,I:I,0)-1,1)),"")</f>
        <v>#NAME?</v>
      </c>
      <c r="I433" s="200" t="str">
        <f>IF(OR(B433=リスト!$C$5,B433=リスト!$C$6),COUNTIF($B$9:B433,リスト!$C$5)+COUNTIF($B$9:B433,リスト!$C$6),"")</f>
        <v/>
      </c>
    </row>
    <row r="434" spans="2:9" x14ac:dyDescent="0.2">
      <c r="B434" s="196"/>
      <c r="C434" s="197">
        <v>45445.484027777777</v>
      </c>
      <c r="D434" s="197">
        <v>45445.484375</v>
      </c>
      <c r="E434" s="198" t="s">
        <v>244</v>
      </c>
      <c r="F434" s="199"/>
      <c r="G434" s="140" t="e">
        <f ca="1">mif(C434="","",OR(B434=リスト!$C$5,B434=リスト!$C$6),SUM(INDEX(G:G,MATCH(I434-1,I:I,0)+1,1):INDEX(G:G,MATCH(I434,I:I,0)-1,1)),D434-C434)</f>
        <v>#NAME?</v>
      </c>
      <c r="H434" s="140" t="e">
        <f ca="1">mif(C434="","",B434=リスト!$C$5,SUMIF(INDEX(B:B,MATCH(I434-1,I:I,0)+1,1):INDEX(B:B,MATCH(I434,I:I,0)-1,1),リスト!$C$7,INDEX(G:G,MATCH(I434-1,I:I,0)+1,1):INDEX(G:G,MATCH(I434,I:I,0)-1,1)),"")</f>
        <v>#NAME?</v>
      </c>
      <c r="I434" s="200" t="str">
        <f>IF(OR(B434=リスト!$C$5,B434=リスト!$C$6),COUNTIF($B$9:B434,リスト!$C$5)+COUNTIF($B$9:B434,リスト!$C$6),"")</f>
        <v/>
      </c>
    </row>
    <row r="435" spans="2:9" x14ac:dyDescent="0.2">
      <c r="B435" s="196"/>
      <c r="C435" s="197">
        <v>45445.505069444444</v>
      </c>
      <c r="D435" s="197">
        <v>45445.505439814813</v>
      </c>
      <c r="E435" s="198" t="s">
        <v>244</v>
      </c>
      <c r="F435" s="199"/>
      <c r="G435" s="140" t="e">
        <f ca="1">mif(C435="","",OR(B435=リスト!$C$5,B435=リスト!$C$6),SUM(INDEX(G:G,MATCH(I435-1,I:I,0)+1,1):INDEX(G:G,MATCH(I435,I:I,0)-1,1)),D435-C435)</f>
        <v>#NAME?</v>
      </c>
      <c r="H435" s="140" t="e">
        <f ca="1">mif(C435="","",B435=リスト!$C$5,SUMIF(INDEX(B:B,MATCH(I435-1,I:I,0)+1,1):INDEX(B:B,MATCH(I435,I:I,0)-1,1),リスト!$C$7,INDEX(G:G,MATCH(I435-1,I:I,0)+1,1):INDEX(G:G,MATCH(I435,I:I,0)-1,1)),"")</f>
        <v>#NAME?</v>
      </c>
      <c r="I435" s="200" t="str">
        <f>IF(OR(B435=リスト!$C$5,B435=リスト!$C$6),COUNTIF($B$9:B435,リスト!$C$5)+COUNTIF($B$9:B435,リスト!$C$6),"")</f>
        <v/>
      </c>
    </row>
    <row r="436" spans="2:9" x14ac:dyDescent="0.2">
      <c r="B436" s="196"/>
      <c r="C436" s="197">
        <v>45445.519456018519</v>
      </c>
      <c r="D436" s="197">
        <v>45445.51971064815</v>
      </c>
      <c r="E436" s="198" t="s">
        <v>244</v>
      </c>
      <c r="F436" s="199"/>
      <c r="G436" s="140" t="e">
        <f ca="1">mif(C436="","",OR(B436=リスト!$C$5,B436=リスト!$C$6),SUM(INDEX(G:G,MATCH(I436-1,I:I,0)+1,1):INDEX(G:G,MATCH(I436,I:I,0)-1,1)),D436-C436)</f>
        <v>#NAME?</v>
      </c>
      <c r="H436" s="140" t="e">
        <f ca="1">mif(C436="","",B436=リスト!$C$5,SUMIF(INDEX(B:B,MATCH(I436-1,I:I,0)+1,1):INDEX(B:B,MATCH(I436,I:I,0)-1,1),リスト!$C$7,INDEX(G:G,MATCH(I436-1,I:I,0)+1,1):INDEX(G:G,MATCH(I436,I:I,0)-1,1)),"")</f>
        <v>#NAME?</v>
      </c>
      <c r="I436" s="200" t="str">
        <f>IF(OR(B436=リスト!$C$5,B436=リスト!$C$6),COUNTIF($B$9:B436,リスト!$C$5)+COUNTIF($B$9:B436,リスト!$C$6),"")</f>
        <v/>
      </c>
    </row>
    <row r="437" spans="2:9" x14ac:dyDescent="0.2">
      <c r="B437" s="196"/>
      <c r="C437" s="197">
        <v>45445.562071759261</v>
      </c>
      <c r="D437" s="197">
        <v>45445.562349537038</v>
      </c>
      <c r="E437" s="198" t="s">
        <v>244</v>
      </c>
      <c r="F437" s="199"/>
      <c r="G437" s="140" t="e">
        <f ca="1">mif(C437="","",OR(B437=リスト!$C$5,B437=リスト!$C$6),SUM(INDEX(G:G,MATCH(I437-1,I:I,0)+1,1):INDEX(G:G,MATCH(I437,I:I,0)-1,1)),D437-C437)</f>
        <v>#NAME?</v>
      </c>
      <c r="H437" s="140" t="e">
        <f ca="1">mif(C437="","",B437=リスト!$C$5,SUMIF(INDEX(B:B,MATCH(I437-1,I:I,0)+1,1):INDEX(B:B,MATCH(I437,I:I,0)-1,1),リスト!$C$7,INDEX(G:G,MATCH(I437-1,I:I,0)+1,1):INDEX(G:G,MATCH(I437,I:I,0)-1,1)),"")</f>
        <v>#NAME?</v>
      </c>
      <c r="I437" s="200" t="str">
        <f>IF(OR(B437=リスト!$C$5,B437=リスト!$C$6),COUNTIF($B$9:B437,リスト!$C$5)+COUNTIF($B$9:B437,リスト!$C$6),"")</f>
        <v/>
      </c>
    </row>
    <row r="438" spans="2:9" x14ac:dyDescent="0.2">
      <c r="B438" s="196"/>
      <c r="C438" s="197">
        <v>45445.628877314812</v>
      </c>
      <c r="D438" s="197">
        <v>45445.629155092596</v>
      </c>
      <c r="E438" s="198" t="s">
        <v>244</v>
      </c>
      <c r="F438" s="199"/>
      <c r="G438" s="140" t="e">
        <f ca="1">mif(C438="","",OR(B438=リスト!$C$5,B438=リスト!$C$6),SUM(INDEX(G:G,MATCH(I438-1,I:I,0)+1,1):INDEX(G:G,MATCH(I438,I:I,0)-1,1)),D438-C438)</f>
        <v>#NAME?</v>
      </c>
      <c r="H438" s="140" t="e">
        <f ca="1">mif(C438="","",B438=リスト!$C$5,SUMIF(INDEX(B:B,MATCH(I438-1,I:I,0)+1,1):INDEX(B:B,MATCH(I438,I:I,0)-1,1),リスト!$C$7,INDEX(G:G,MATCH(I438-1,I:I,0)+1,1):INDEX(G:G,MATCH(I438,I:I,0)-1,1)),"")</f>
        <v>#NAME?</v>
      </c>
      <c r="I438" s="200" t="str">
        <f>IF(OR(B438=リスト!$C$5,B438=リスト!$C$6),COUNTIF($B$9:B438,リスト!$C$5)+COUNTIF($B$9:B438,リスト!$C$6),"")</f>
        <v/>
      </c>
    </row>
    <row r="439" spans="2:9" x14ac:dyDescent="0.2">
      <c r="B439" s="196"/>
      <c r="C439" s="197">
        <v>45445.649004629631</v>
      </c>
      <c r="D439" s="197">
        <v>45445.649351851855</v>
      </c>
      <c r="E439" s="198" t="s">
        <v>244</v>
      </c>
      <c r="F439" s="199"/>
      <c r="G439" s="140" t="e">
        <f ca="1">mif(C439="","",OR(B439=リスト!$C$5,B439=リスト!$C$6),SUM(INDEX(G:G,MATCH(I439-1,I:I,0)+1,1):INDEX(G:G,MATCH(I439,I:I,0)-1,1)),D439-C439)</f>
        <v>#NAME?</v>
      </c>
      <c r="H439" s="140" t="e">
        <f ca="1">mif(C439="","",B439=リスト!$C$5,SUMIF(INDEX(B:B,MATCH(I439-1,I:I,0)+1,1):INDEX(B:B,MATCH(I439,I:I,0)-1,1),リスト!$C$7,INDEX(G:G,MATCH(I439-1,I:I,0)+1,1):INDEX(G:G,MATCH(I439,I:I,0)-1,1)),"")</f>
        <v>#NAME?</v>
      </c>
      <c r="I439" s="200" t="str">
        <f>IF(OR(B439=リスト!$C$5,B439=リスト!$C$6),COUNTIF($B$9:B439,リスト!$C$5)+COUNTIF($B$9:B439,リスト!$C$6),"")</f>
        <v/>
      </c>
    </row>
    <row r="440" spans="2:9" x14ac:dyDescent="0.2">
      <c r="B440" s="196"/>
      <c r="C440" s="197">
        <v>45445.724039351851</v>
      </c>
      <c r="D440" s="197">
        <v>45445.724340277775</v>
      </c>
      <c r="E440" s="198" t="s">
        <v>244</v>
      </c>
      <c r="F440" s="199"/>
      <c r="G440" s="140" t="e">
        <f ca="1">mif(C440="","",OR(B440=リスト!$C$5,B440=リスト!$C$6),SUM(INDEX(G:G,MATCH(I440-1,I:I,0)+1,1):INDEX(G:G,MATCH(I440,I:I,0)-1,1)),D440-C440)</f>
        <v>#NAME?</v>
      </c>
      <c r="H440" s="140" t="e">
        <f ca="1">mif(C440="","",B440=リスト!$C$5,SUMIF(INDEX(B:B,MATCH(I440-1,I:I,0)+1,1):INDEX(B:B,MATCH(I440,I:I,0)-1,1),リスト!$C$7,INDEX(G:G,MATCH(I440-1,I:I,0)+1,1):INDEX(G:G,MATCH(I440,I:I,0)-1,1)),"")</f>
        <v>#NAME?</v>
      </c>
      <c r="I440" s="200" t="str">
        <f>IF(OR(B440=リスト!$C$5,B440=リスト!$C$6),COUNTIF($B$9:B440,リスト!$C$5)+COUNTIF($B$9:B440,リスト!$C$6),"")</f>
        <v/>
      </c>
    </row>
    <row r="441" spans="2:9" x14ac:dyDescent="0.2">
      <c r="B441" s="196"/>
      <c r="C441" s="197">
        <v>45445.732418981483</v>
      </c>
      <c r="D441" s="197">
        <v>45445.733275462961</v>
      </c>
      <c r="E441" s="198" t="s">
        <v>244</v>
      </c>
      <c r="F441" s="199"/>
      <c r="G441" s="140" t="e">
        <f ca="1">mif(C441="","",OR(B441=リスト!$C$5,B441=リスト!$C$6),SUM(INDEX(G:G,MATCH(I441-1,I:I,0)+1,1):INDEX(G:G,MATCH(I441,I:I,0)-1,1)),D441-C441)</f>
        <v>#NAME?</v>
      </c>
      <c r="H441" s="140" t="e">
        <f ca="1">mif(C441="","",B441=リスト!$C$5,SUMIF(INDEX(B:B,MATCH(I441-1,I:I,0)+1,1):INDEX(B:B,MATCH(I441,I:I,0)-1,1),リスト!$C$7,INDEX(G:G,MATCH(I441-1,I:I,0)+1,1):INDEX(G:G,MATCH(I441,I:I,0)-1,1)),"")</f>
        <v>#NAME?</v>
      </c>
      <c r="I441" s="200" t="str">
        <f>IF(OR(B441=リスト!$C$5,B441=リスト!$C$6),COUNTIF($B$9:B441,リスト!$C$5)+COUNTIF($B$9:B441,リスト!$C$6),"")</f>
        <v/>
      </c>
    </row>
    <row r="442" spans="2:9" x14ac:dyDescent="0.2">
      <c r="B442" s="196"/>
      <c r="C442" s="197">
        <v>45445.787326388891</v>
      </c>
      <c r="D442" s="197">
        <v>45445.787604166668</v>
      </c>
      <c r="E442" s="198" t="s">
        <v>244</v>
      </c>
      <c r="F442" s="199"/>
      <c r="G442" s="140" t="e">
        <f ca="1">mif(C442="","",OR(B442=リスト!$C$5,B442=リスト!$C$6),SUM(INDEX(G:G,MATCH(I442-1,I:I,0)+1,1):INDEX(G:G,MATCH(I442,I:I,0)-1,1)),D442-C442)</f>
        <v>#NAME?</v>
      </c>
      <c r="H442" s="140" t="e">
        <f ca="1">mif(C442="","",B442=リスト!$C$5,SUMIF(INDEX(B:B,MATCH(I442-1,I:I,0)+1,1):INDEX(B:B,MATCH(I442,I:I,0)-1,1),リスト!$C$7,INDEX(G:G,MATCH(I442-1,I:I,0)+1,1):INDEX(G:G,MATCH(I442,I:I,0)-1,1)),"")</f>
        <v>#NAME?</v>
      </c>
      <c r="I442" s="200" t="str">
        <f>IF(OR(B442=リスト!$C$5,B442=リスト!$C$6),COUNTIF($B$9:B442,リスト!$C$5)+COUNTIF($B$9:B442,リスト!$C$6),"")</f>
        <v/>
      </c>
    </row>
    <row r="443" spans="2:9" x14ac:dyDescent="0.2">
      <c r="B443" s="196"/>
      <c r="C443" s="197">
        <v>45445.811365740738</v>
      </c>
      <c r="D443" s="197">
        <v>45445.811643518522</v>
      </c>
      <c r="E443" s="198" t="s">
        <v>244</v>
      </c>
      <c r="F443" s="199"/>
      <c r="G443" s="140" t="e">
        <f ca="1">mif(C443="","",OR(B443=リスト!$C$5,B443=リスト!$C$6),SUM(INDEX(G:G,MATCH(I443-1,I:I,0)+1,1):INDEX(G:G,MATCH(I443,I:I,0)-1,1)),D443-C443)</f>
        <v>#NAME?</v>
      </c>
      <c r="H443" s="140" t="e">
        <f ca="1">mif(C443="","",B443=リスト!$C$5,SUMIF(INDEX(B:B,MATCH(I443-1,I:I,0)+1,1):INDEX(B:B,MATCH(I443,I:I,0)-1,1),リスト!$C$7,INDEX(G:G,MATCH(I443-1,I:I,0)+1,1):INDEX(G:G,MATCH(I443,I:I,0)-1,1)),"")</f>
        <v>#NAME?</v>
      </c>
      <c r="I443" s="200" t="str">
        <f>IF(OR(B443=リスト!$C$5,B443=リスト!$C$6),COUNTIF($B$9:B443,リスト!$C$5)+COUNTIF($B$9:B443,リスト!$C$6),"")</f>
        <v/>
      </c>
    </row>
    <row r="444" spans="2:9" x14ac:dyDescent="0.2">
      <c r="B444" s="196" t="s">
        <v>247</v>
      </c>
      <c r="C444" s="197">
        <v>45445.416666666664</v>
      </c>
      <c r="D444" s="197">
        <v>45445.916666666664</v>
      </c>
      <c r="E444" s="198">
        <v>11</v>
      </c>
      <c r="F444" s="199"/>
      <c r="G444" s="140" t="e">
        <f ca="1">mif(C444="","",OR(B444=リスト!$C$5,B444=リスト!$C$6),SUM(INDEX(G:G,MATCH(I444-1,I:I,0)+1,1):INDEX(G:G,MATCH(I444,I:I,0)-1,1)),D444-C444)</f>
        <v>#NAME?</v>
      </c>
      <c r="H444" s="140" t="e">
        <f ca="1">mif(C444="","",B444=リスト!$C$5,SUMIF(INDEX(B:B,MATCH(I444-1,I:I,0)+1,1):INDEX(B:B,MATCH(I444,I:I,0)-1,1),リスト!$C$7,INDEX(G:G,MATCH(I444-1,I:I,0)+1,1):INDEX(G:G,MATCH(I444,I:I,0)-1,1)),"")</f>
        <v>#NAME?</v>
      </c>
      <c r="I444" s="200">
        <f>IF(OR(B444=リスト!$C$5,B444=リスト!$C$6),COUNTIF($B$9:B444,リスト!$C$5)+COUNTIF($B$9:B444,リスト!$C$6),"")</f>
        <v>29</v>
      </c>
    </row>
    <row r="445" spans="2:9" x14ac:dyDescent="0.2">
      <c r="B445" s="196"/>
      <c r="C445" s="197">
        <v>45448.416666666664</v>
      </c>
      <c r="D445" s="197">
        <v>45448.417071759257</v>
      </c>
      <c r="E445" s="198" t="s">
        <v>244</v>
      </c>
      <c r="F445" s="199"/>
      <c r="G445" s="140" t="e">
        <f ca="1">mif(C445="","",OR(B445=リスト!$C$5,B445=リスト!$C$6),SUM(INDEX(G:G,MATCH(I445-1,I:I,0)+1,1):INDEX(G:G,MATCH(I445,I:I,0)-1,1)),D445-C445)</f>
        <v>#NAME?</v>
      </c>
      <c r="H445" s="140" t="e">
        <f ca="1">mif(C445="","",B445=リスト!$C$5,SUMIF(INDEX(B:B,MATCH(I445-1,I:I,0)+1,1):INDEX(B:B,MATCH(I445,I:I,0)-1,1),リスト!$C$7,INDEX(G:G,MATCH(I445-1,I:I,0)+1,1):INDEX(G:G,MATCH(I445,I:I,0)-1,1)),"")</f>
        <v>#NAME?</v>
      </c>
      <c r="I445" s="200" t="str">
        <f>IF(OR(B445=リスト!$C$5,B445=リスト!$C$6),COUNTIF($B$9:B445,リスト!$C$5)+COUNTIF($B$9:B445,リスト!$C$6),"")</f>
        <v/>
      </c>
    </row>
    <row r="446" spans="2:9" x14ac:dyDescent="0.2">
      <c r="B446" s="196"/>
      <c r="C446" s="197">
        <v>45448.42015046296</v>
      </c>
      <c r="D446" s="197">
        <v>45448.420451388891</v>
      </c>
      <c r="E446" s="198" t="s">
        <v>244</v>
      </c>
      <c r="F446" s="199"/>
      <c r="G446" s="140" t="e">
        <f ca="1">mif(C446="","",OR(B446=リスト!$C$5,B446=リスト!$C$6),SUM(INDEX(G:G,MATCH(I446-1,I:I,0)+1,1):INDEX(G:G,MATCH(I446,I:I,0)-1,1)),D446-C446)</f>
        <v>#NAME?</v>
      </c>
      <c r="H446" s="140" t="e">
        <f ca="1">mif(C446="","",B446=リスト!$C$5,SUMIF(INDEX(B:B,MATCH(I446-1,I:I,0)+1,1):INDEX(B:B,MATCH(I446,I:I,0)-1,1),リスト!$C$7,INDEX(G:G,MATCH(I446-1,I:I,0)+1,1):INDEX(G:G,MATCH(I446,I:I,0)-1,1)),"")</f>
        <v>#NAME?</v>
      </c>
      <c r="I446" s="200" t="str">
        <f>IF(OR(B446=リスト!$C$5,B446=リスト!$C$6),COUNTIF($B$9:B446,リスト!$C$5)+COUNTIF($B$9:B446,リスト!$C$6),"")</f>
        <v/>
      </c>
    </row>
    <row r="447" spans="2:9" x14ac:dyDescent="0.2">
      <c r="B447" s="196"/>
      <c r="C447" s="197">
        <v>45448.570752314816</v>
      </c>
      <c r="D447" s="197">
        <v>45448.571261574078</v>
      </c>
      <c r="E447" s="198" t="s">
        <v>244</v>
      </c>
      <c r="F447" s="199"/>
      <c r="G447" s="140" t="e">
        <f ca="1">mif(C447="","",OR(B447=リスト!$C$5,B447=リスト!$C$6),SUM(INDEX(G:G,MATCH(I447-1,I:I,0)+1,1):INDEX(G:G,MATCH(I447,I:I,0)-1,1)),D447-C447)</f>
        <v>#NAME?</v>
      </c>
      <c r="H447" s="140" t="e">
        <f ca="1">mif(C447="","",B447=リスト!$C$5,SUMIF(INDEX(B:B,MATCH(I447-1,I:I,0)+1,1):INDEX(B:B,MATCH(I447,I:I,0)-1,1),リスト!$C$7,INDEX(G:G,MATCH(I447-1,I:I,0)+1,1):INDEX(G:G,MATCH(I447,I:I,0)-1,1)),"")</f>
        <v>#NAME?</v>
      </c>
      <c r="I447" s="200" t="str">
        <f>IF(OR(B447=リスト!$C$5,B447=リスト!$C$6),COUNTIF($B$9:B447,リスト!$C$5)+COUNTIF($B$9:B447,リスト!$C$6),"")</f>
        <v/>
      </c>
    </row>
    <row r="448" spans="2:9" x14ac:dyDescent="0.2">
      <c r="B448" s="196"/>
      <c r="C448" s="197">
        <v>45448.580289351848</v>
      </c>
      <c r="D448" s="197">
        <v>45448.580567129633</v>
      </c>
      <c r="E448" s="198" t="s">
        <v>244</v>
      </c>
      <c r="F448" s="199"/>
      <c r="G448" s="140" t="e">
        <f ca="1">mif(C448="","",OR(B448=リスト!$C$5,B448=リスト!$C$6),SUM(INDEX(G:G,MATCH(I448-1,I:I,0)+1,1):INDEX(G:G,MATCH(I448,I:I,0)-1,1)),D448-C448)</f>
        <v>#NAME?</v>
      </c>
      <c r="H448" s="140" t="e">
        <f ca="1">mif(C448="","",B448=リスト!$C$5,SUMIF(INDEX(B:B,MATCH(I448-1,I:I,0)+1,1):INDEX(B:B,MATCH(I448,I:I,0)-1,1),リスト!$C$7,INDEX(G:G,MATCH(I448-1,I:I,0)+1,1):INDEX(G:G,MATCH(I448,I:I,0)-1,1)),"")</f>
        <v>#NAME?</v>
      </c>
      <c r="I448" s="200" t="str">
        <f>IF(OR(B448=リスト!$C$5,B448=リスト!$C$6),COUNTIF($B$9:B448,リスト!$C$5)+COUNTIF($B$9:B448,リスト!$C$6),"")</f>
        <v/>
      </c>
    </row>
    <row r="449" spans="2:9" x14ac:dyDescent="0.2">
      <c r="B449" s="196"/>
      <c r="C449" s="197">
        <v>45448.604398148149</v>
      </c>
      <c r="D449" s="197">
        <v>45448.604675925926</v>
      </c>
      <c r="E449" s="198" t="s">
        <v>244</v>
      </c>
      <c r="F449" s="199"/>
      <c r="G449" s="140" t="e">
        <f ca="1">mif(C449="","",OR(B449=リスト!$C$5,B449=リスト!$C$6),SUM(INDEX(G:G,MATCH(I449-1,I:I,0)+1,1):INDEX(G:G,MATCH(I449,I:I,0)-1,1)),D449-C449)</f>
        <v>#NAME?</v>
      </c>
      <c r="H449" s="140" t="e">
        <f ca="1">mif(C449="","",B449=リスト!$C$5,SUMIF(INDEX(B:B,MATCH(I449-1,I:I,0)+1,1):INDEX(B:B,MATCH(I449,I:I,0)-1,1),リスト!$C$7,INDEX(G:G,MATCH(I449-1,I:I,0)+1,1):INDEX(G:G,MATCH(I449,I:I,0)-1,1)),"")</f>
        <v>#NAME?</v>
      </c>
      <c r="I449" s="200" t="str">
        <f>IF(OR(B449=リスト!$C$5,B449=リスト!$C$6),COUNTIF($B$9:B449,リスト!$C$5)+COUNTIF($B$9:B449,リスト!$C$6),"")</f>
        <v/>
      </c>
    </row>
    <row r="450" spans="2:9" x14ac:dyDescent="0.2">
      <c r="B450" s="196"/>
      <c r="C450" s="197">
        <v>45448.606412037036</v>
      </c>
      <c r="D450" s="197">
        <v>45448.60696759259</v>
      </c>
      <c r="E450" s="198" t="s">
        <v>244</v>
      </c>
      <c r="F450" s="199"/>
      <c r="G450" s="140" t="e">
        <f ca="1">mif(C450="","",OR(B450=リスト!$C$5,B450=リスト!$C$6),SUM(INDEX(G:G,MATCH(I450-1,I:I,0)+1,1):INDEX(G:G,MATCH(I450,I:I,0)-1,1)),D450-C450)</f>
        <v>#NAME?</v>
      </c>
      <c r="H450" s="140" t="e">
        <f ca="1">mif(C450="","",B450=リスト!$C$5,SUMIF(INDEX(B:B,MATCH(I450-1,I:I,0)+1,1):INDEX(B:B,MATCH(I450,I:I,0)-1,1),リスト!$C$7,INDEX(G:G,MATCH(I450-1,I:I,0)+1,1):INDEX(G:G,MATCH(I450,I:I,0)-1,1)),"")</f>
        <v>#NAME?</v>
      </c>
      <c r="I450" s="200" t="str">
        <f>IF(OR(B450=リスト!$C$5,B450=リスト!$C$6),COUNTIF($B$9:B450,リスト!$C$5)+COUNTIF($B$9:B450,リスト!$C$6),"")</f>
        <v/>
      </c>
    </row>
    <row r="451" spans="2:9" x14ac:dyDescent="0.2">
      <c r="B451" s="196"/>
      <c r="C451" s="197">
        <v>45448.633530092593</v>
      </c>
      <c r="D451" s="197">
        <v>45448.634039351855</v>
      </c>
      <c r="E451" s="198" t="s">
        <v>244</v>
      </c>
      <c r="F451" s="199"/>
      <c r="G451" s="140" t="e">
        <f ca="1">mif(C451="","",OR(B451=リスト!$C$5,B451=リスト!$C$6),SUM(INDEX(G:G,MATCH(I451-1,I:I,0)+1,1):INDEX(G:G,MATCH(I451,I:I,0)-1,1)),D451-C451)</f>
        <v>#NAME?</v>
      </c>
      <c r="H451" s="140" t="e">
        <f ca="1">mif(C451="","",B451=リスト!$C$5,SUMIF(INDEX(B:B,MATCH(I451-1,I:I,0)+1,1):INDEX(B:B,MATCH(I451,I:I,0)-1,1),リスト!$C$7,INDEX(G:G,MATCH(I451-1,I:I,0)+1,1):INDEX(G:G,MATCH(I451,I:I,0)-1,1)),"")</f>
        <v>#NAME?</v>
      </c>
      <c r="I451" s="200" t="str">
        <f>IF(OR(B451=リスト!$C$5,B451=リスト!$C$6),COUNTIF($B$9:B451,リスト!$C$5)+COUNTIF($B$9:B451,リスト!$C$6),"")</f>
        <v/>
      </c>
    </row>
    <row r="452" spans="2:9" x14ac:dyDescent="0.2">
      <c r="B452" s="196"/>
      <c r="C452" s="197">
        <v>45448.658472222225</v>
      </c>
      <c r="D452" s="197">
        <v>45448.658726851849</v>
      </c>
      <c r="E452" s="198" t="s">
        <v>244</v>
      </c>
      <c r="F452" s="199"/>
      <c r="G452" s="140" t="e">
        <f ca="1">mif(C452="","",OR(B452=リスト!$C$5,B452=リスト!$C$6),SUM(INDEX(G:G,MATCH(I452-1,I:I,0)+1,1):INDEX(G:G,MATCH(I452,I:I,0)-1,1)),D452-C452)</f>
        <v>#NAME?</v>
      </c>
      <c r="H452" s="140" t="e">
        <f ca="1">mif(C452="","",B452=リスト!$C$5,SUMIF(INDEX(B:B,MATCH(I452-1,I:I,0)+1,1):INDEX(B:B,MATCH(I452,I:I,0)-1,1),リスト!$C$7,INDEX(G:G,MATCH(I452-1,I:I,0)+1,1):INDEX(G:G,MATCH(I452,I:I,0)-1,1)),"")</f>
        <v>#NAME?</v>
      </c>
      <c r="I452" s="200" t="str">
        <f>IF(OR(B452=リスト!$C$5,B452=リスト!$C$6),COUNTIF($B$9:B452,リスト!$C$5)+COUNTIF($B$9:B452,リスト!$C$6),"")</f>
        <v/>
      </c>
    </row>
    <row r="453" spans="2:9" x14ac:dyDescent="0.2">
      <c r="B453" s="196"/>
      <c r="C453" s="197">
        <v>45448.710648148146</v>
      </c>
      <c r="D453" s="197">
        <v>45448.710972222223</v>
      </c>
      <c r="E453" s="198" t="s">
        <v>244</v>
      </c>
      <c r="F453" s="199"/>
      <c r="G453" s="140" t="e">
        <f ca="1">mif(C453="","",OR(B453=リスト!$C$5,B453=リスト!$C$6),SUM(INDEX(G:G,MATCH(I453-1,I:I,0)+1,1):INDEX(G:G,MATCH(I453,I:I,0)-1,1)),D453-C453)</f>
        <v>#NAME?</v>
      </c>
      <c r="H453" s="140" t="e">
        <f ca="1">mif(C453="","",B453=リスト!$C$5,SUMIF(INDEX(B:B,MATCH(I453-1,I:I,0)+1,1):INDEX(B:B,MATCH(I453,I:I,0)-1,1),リスト!$C$7,INDEX(G:G,MATCH(I453-1,I:I,0)+1,1):INDEX(G:G,MATCH(I453,I:I,0)-1,1)),"")</f>
        <v>#NAME?</v>
      </c>
      <c r="I453" s="200" t="str">
        <f>IF(OR(B453=リスト!$C$5,B453=リスト!$C$6),COUNTIF($B$9:B453,リスト!$C$5)+COUNTIF($B$9:B453,リスト!$C$6),"")</f>
        <v/>
      </c>
    </row>
    <row r="454" spans="2:9" x14ac:dyDescent="0.2">
      <c r="B454" s="196"/>
      <c r="C454" s="197">
        <v>45448.75613425926</v>
      </c>
      <c r="D454" s="197">
        <v>45448.756481481483</v>
      </c>
      <c r="E454" s="198" t="s">
        <v>244</v>
      </c>
      <c r="F454" s="199"/>
      <c r="G454" s="140" t="e">
        <f ca="1">mif(C454="","",OR(B454=リスト!$C$5,B454=リスト!$C$6),SUM(INDEX(G:G,MATCH(I454-1,I:I,0)+1,1):INDEX(G:G,MATCH(I454,I:I,0)-1,1)),D454-C454)</f>
        <v>#NAME?</v>
      </c>
      <c r="H454" s="140" t="e">
        <f ca="1">mif(C454="","",B454=リスト!$C$5,SUMIF(INDEX(B:B,MATCH(I454-1,I:I,0)+1,1):INDEX(B:B,MATCH(I454,I:I,0)-1,1),リスト!$C$7,INDEX(G:G,MATCH(I454-1,I:I,0)+1,1):INDEX(G:G,MATCH(I454,I:I,0)-1,1)),"")</f>
        <v>#NAME?</v>
      </c>
      <c r="I454" s="200" t="str">
        <f>IF(OR(B454=リスト!$C$5,B454=リスト!$C$6),COUNTIF($B$9:B454,リスト!$C$5)+COUNTIF($B$9:B454,リスト!$C$6),"")</f>
        <v/>
      </c>
    </row>
    <row r="455" spans="2:9" x14ac:dyDescent="0.2">
      <c r="B455" s="196"/>
      <c r="C455" s="197">
        <v>45448.763611111113</v>
      </c>
      <c r="D455" s="197">
        <v>45448.763842592591</v>
      </c>
      <c r="E455" s="198" t="s">
        <v>244</v>
      </c>
      <c r="F455" s="199"/>
      <c r="G455" s="140" t="e">
        <f ca="1">mif(C455="","",OR(B455=リスト!$C$5,B455=リスト!$C$6),SUM(INDEX(G:G,MATCH(I455-1,I:I,0)+1,1):INDEX(G:G,MATCH(I455,I:I,0)-1,1)),D455-C455)</f>
        <v>#NAME?</v>
      </c>
      <c r="H455" s="140" t="e">
        <f ca="1">mif(C455="","",B455=リスト!$C$5,SUMIF(INDEX(B:B,MATCH(I455-1,I:I,0)+1,1):INDEX(B:B,MATCH(I455,I:I,0)-1,1),リスト!$C$7,INDEX(G:G,MATCH(I455-1,I:I,0)+1,1):INDEX(G:G,MATCH(I455,I:I,0)-1,1)),"")</f>
        <v>#NAME?</v>
      </c>
      <c r="I455" s="200" t="str">
        <f>IF(OR(B455=リスト!$C$5,B455=リスト!$C$6),COUNTIF($B$9:B455,リスト!$C$5)+COUNTIF($B$9:B455,リスト!$C$6),"")</f>
        <v/>
      </c>
    </row>
    <row r="456" spans="2:9" x14ac:dyDescent="0.2">
      <c r="B456" s="196"/>
      <c r="C456" s="197">
        <v>45448.785798611112</v>
      </c>
      <c r="D456" s="197">
        <v>45448.786076388889</v>
      </c>
      <c r="E456" s="198" t="s">
        <v>244</v>
      </c>
      <c r="F456" s="199"/>
      <c r="G456" s="140" t="e">
        <f ca="1">mif(C456="","",OR(B456=リスト!$C$5,B456=リスト!$C$6),SUM(INDEX(G:G,MATCH(I456-1,I:I,0)+1,1):INDEX(G:G,MATCH(I456,I:I,0)-1,1)),D456-C456)</f>
        <v>#NAME?</v>
      </c>
      <c r="H456" s="140" t="e">
        <f ca="1">mif(C456="","",B456=リスト!$C$5,SUMIF(INDEX(B:B,MATCH(I456-1,I:I,0)+1,1):INDEX(B:B,MATCH(I456,I:I,0)-1,1),リスト!$C$7,INDEX(G:G,MATCH(I456-1,I:I,0)+1,1):INDEX(G:G,MATCH(I456,I:I,0)-1,1)),"")</f>
        <v>#NAME?</v>
      </c>
      <c r="I456" s="200" t="str">
        <f>IF(OR(B456=リスト!$C$5,B456=リスト!$C$6),COUNTIF($B$9:B456,リスト!$C$5)+COUNTIF($B$9:B456,リスト!$C$6),"")</f>
        <v/>
      </c>
    </row>
    <row r="457" spans="2:9" x14ac:dyDescent="0.2">
      <c r="B457" s="196"/>
      <c r="C457" s="197">
        <v>45448.80541666667</v>
      </c>
      <c r="D457" s="197">
        <v>45448.805717592593</v>
      </c>
      <c r="E457" s="198" t="s">
        <v>244</v>
      </c>
      <c r="F457" s="199"/>
      <c r="G457" s="140" t="e">
        <f ca="1">mif(C457="","",OR(B457=リスト!$C$5,B457=リスト!$C$6),SUM(INDEX(G:G,MATCH(I457-1,I:I,0)+1,1):INDEX(G:G,MATCH(I457,I:I,0)-1,1)),D457-C457)</f>
        <v>#NAME?</v>
      </c>
      <c r="H457" s="140" t="e">
        <f ca="1">mif(C457="","",B457=リスト!$C$5,SUMIF(INDEX(B:B,MATCH(I457-1,I:I,0)+1,1):INDEX(B:B,MATCH(I457,I:I,0)-1,1),リスト!$C$7,INDEX(G:G,MATCH(I457-1,I:I,0)+1,1):INDEX(G:G,MATCH(I457,I:I,0)-1,1)),"")</f>
        <v>#NAME?</v>
      </c>
      <c r="I457" s="200" t="str">
        <f>IF(OR(B457=リスト!$C$5,B457=リスト!$C$6),COUNTIF($B$9:B457,リスト!$C$5)+COUNTIF($B$9:B457,リスト!$C$6),"")</f>
        <v/>
      </c>
    </row>
    <row r="458" spans="2:9" x14ac:dyDescent="0.2">
      <c r="B458" s="196"/>
      <c r="C458" s="197">
        <v>45448.831354166665</v>
      </c>
      <c r="D458" s="197">
        <v>45448.831608796296</v>
      </c>
      <c r="E458" s="198" t="s">
        <v>244</v>
      </c>
      <c r="F458" s="199"/>
      <c r="G458" s="140" t="e">
        <f ca="1">mif(C458="","",OR(B458=リスト!$C$5,B458=リスト!$C$6),SUM(INDEX(G:G,MATCH(I458-1,I:I,0)+1,1):INDEX(G:G,MATCH(I458,I:I,0)-1,1)),D458-C458)</f>
        <v>#NAME?</v>
      </c>
      <c r="H458" s="140" t="e">
        <f ca="1">mif(C458="","",B458=リスト!$C$5,SUMIF(INDEX(B:B,MATCH(I458-1,I:I,0)+1,1):INDEX(B:B,MATCH(I458,I:I,0)-1,1),リスト!$C$7,INDEX(G:G,MATCH(I458-1,I:I,0)+1,1):INDEX(G:G,MATCH(I458,I:I,0)-1,1)),"")</f>
        <v>#NAME?</v>
      </c>
      <c r="I458" s="200" t="str">
        <f>IF(OR(B458=リスト!$C$5,B458=リスト!$C$6),COUNTIF($B$9:B458,リスト!$C$5)+COUNTIF($B$9:B458,リスト!$C$6),"")</f>
        <v/>
      </c>
    </row>
    <row r="459" spans="2:9" x14ac:dyDescent="0.2">
      <c r="B459" s="196"/>
      <c r="C459" s="197">
        <v>45448.840937499997</v>
      </c>
      <c r="D459" s="197">
        <v>45448.841296296298</v>
      </c>
      <c r="E459" s="198" t="s">
        <v>244</v>
      </c>
      <c r="F459" s="199"/>
      <c r="G459" s="140" t="e">
        <f ca="1">mif(C459="","",OR(B459=リスト!$C$5,B459=リスト!$C$6),SUM(INDEX(G:G,MATCH(I459-1,I:I,0)+1,1):INDEX(G:G,MATCH(I459,I:I,0)-1,1)),D459-C459)</f>
        <v>#NAME?</v>
      </c>
      <c r="H459" s="140" t="e">
        <f ca="1">mif(C459="","",B459=リスト!$C$5,SUMIF(INDEX(B:B,MATCH(I459-1,I:I,0)+1,1):INDEX(B:B,MATCH(I459,I:I,0)-1,1),リスト!$C$7,INDEX(G:G,MATCH(I459-1,I:I,0)+1,1):INDEX(G:G,MATCH(I459,I:I,0)-1,1)),"")</f>
        <v>#NAME?</v>
      </c>
      <c r="I459" s="200" t="str">
        <f>IF(OR(B459=リスト!$C$5,B459=リスト!$C$6),COUNTIF($B$9:B459,リスト!$C$5)+COUNTIF($B$9:B459,リスト!$C$6),"")</f>
        <v/>
      </c>
    </row>
    <row r="460" spans="2:9" x14ac:dyDescent="0.2">
      <c r="B460" s="196"/>
      <c r="C460" s="197">
        <v>45448.906736111108</v>
      </c>
      <c r="D460" s="197">
        <v>45448.906990740739</v>
      </c>
      <c r="E460" s="198" t="s">
        <v>244</v>
      </c>
      <c r="F460" s="199"/>
      <c r="G460" s="140" t="e">
        <f ca="1">mif(C460="","",OR(B460=リスト!$C$5,B460=リスト!$C$6),SUM(INDEX(G:G,MATCH(I460-1,I:I,0)+1,1):INDEX(G:G,MATCH(I460,I:I,0)-1,1)),D460-C460)</f>
        <v>#NAME?</v>
      </c>
      <c r="H460" s="140" t="e">
        <f ca="1">mif(C460="","",B460=リスト!$C$5,SUMIF(INDEX(B:B,MATCH(I460-1,I:I,0)+1,1):INDEX(B:B,MATCH(I460,I:I,0)-1,1),リスト!$C$7,INDEX(G:G,MATCH(I460-1,I:I,0)+1,1):INDEX(G:G,MATCH(I460,I:I,0)-1,1)),"")</f>
        <v>#NAME?</v>
      </c>
      <c r="I460" s="200" t="str">
        <f>IF(OR(B460=リスト!$C$5,B460=リスト!$C$6),COUNTIF($B$9:B460,リスト!$C$5)+COUNTIF($B$9:B460,リスト!$C$6),"")</f>
        <v/>
      </c>
    </row>
    <row r="461" spans="2:9" x14ac:dyDescent="0.2">
      <c r="B461" s="196"/>
      <c r="C461" s="197">
        <v>45448.907824074071</v>
      </c>
      <c r="D461" s="197">
        <v>45448.908125000002</v>
      </c>
      <c r="E461" s="198" t="s">
        <v>244</v>
      </c>
      <c r="F461" s="199"/>
      <c r="G461" s="140" t="e">
        <f ca="1">mif(C461="","",OR(B461=リスト!$C$5,B461=リスト!$C$6),SUM(INDEX(G:G,MATCH(I461-1,I:I,0)+1,1):INDEX(G:G,MATCH(I461,I:I,0)-1,1)),D461-C461)</f>
        <v>#NAME?</v>
      </c>
      <c r="H461" s="140" t="e">
        <f ca="1">mif(C461="","",B461=リスト!$C$5,SUMIF(INDEX(B:B,MATCH(I461-1,I:I,0)+1,1):INDEX(B:B,MATCH(I461,I:I,0)-1,1),リスト!$C$7,INDEX(G:G,MATCH(I461-1,I:I,0)+1,1):INDEX(G:G,MATCH(I461,I:I,0)-1,1)),"")</f>
        <v>#NAME?</v>
      </c>
      <c r="I461" s="200" t="str">
        <f>IF(OR(B461=リスト!$C$5,B461=リスト!$C$6),COUNTIF($B$9:B461,リスト!$C$5)+COUNTIF($B$9:B461,リスト!$C$6),"")</f>
        <v/>
      </c>
    </row>
    <row r="462" spans="2:9" x14ac:dyDescent="0.2">
      <c r="B462" s="196" t="s">
        <v>247</v>
      </c>
      <c r="C462" s="197">
        <v>45448.416666666664</v>
      </c>
      <c r="D462" s="197">
        <v>45448.916666666664</v>
      </c>
      <c r="E462" s="198">
        <v>17</v>
      </c>
      <c r="F462" s="199"/>
      <c r="G462" s="140" t="e">
        <f ca="1">mif(C462="","",OR(B462=リスト!$C$5,B462=リスト!$C$6),SUM(INDEX(G:G,MATCH(I462-1,I:I,0)+1,1):INDEX(G:G,MATCH(I462,I:I,0)-1,1)),D462-C462)</f>
        <v>#NAME?</v>
      </c>
      <c r="H462" s="140" t="e">
        <f ca="1">mif(C462="","",B462=リスト!$C$5,SUMIF(INDEX(B:B,MATCH(I462-1,I:I,0)+1,1):INDEX(B:B,MATCH(I462,I:I,0)-1,1),リスト!$C$7,INDEX(G:G,MATCH(I462-1,I:I,0)+1,1):INDEX(G:G,MATCH(I462,I:I,0)-1,1)),"")</f>
        <v>#NAME?</v>
      </c>
      <c r="I462" s="200">
        <f>IF(OR(B462=リスト!$C$5,B462=リスト!$C$6),COUNTIF($B$9:B462,リスト!$C$5)+COUNTIF($B$9:B462,リスト!$C$6),"")</f>
        <v>30</v>
      </c>
    </row>
    <row r="463" spans="2:9" x14ac:dyDescent="0.2">
      <c r="B463" s="196"/>
      <c r="C463" s="197">
        <v>45449.433344907404</v>
      </c>
      <c r="D463" s="197">
        <v>45449.433622685188</v>
      </c>
      <c r="E463" s="198" t="s">
        <v>244</v>
      </c>
      <c r="F463" s="199"/>
      <c r="G463" s="140" t="e">
        <f ca="1">mif(C463="","",OR(B463=リスト!$C$5,B463=リスト!$C$6),SUM(INDEX(G:G,MATCH(I463-1,I:I,0)+1,1):INDEX(G:G,MATCH(I463,I:I,0)-1,1)),D463-C463)</f>
        <v>#NAME?</v>
      </c>
      <c r="H463" s="140" t="e">
        <f ca="1">mif(C463="","",B463=リスト!$C$5,SUMIF(INDEX(B:B,MATCH(I463-1,I:I,0)+1,1):INDEX(B:B,MATCH(I463,I:I,0)-1,1),リスト!$C$7,INDEX(G:G,MATCH(I463-1,I:I,0)+1,1):INDEX(G:G,MATCH(I463,I:I,0)-1,1)),"")</f>
        <v>#NAME?</v>
      </c>
      <c r="I463" s="200" t="str">
        <f>IF(OR(B463=リスト!$C$5,B463=リスト!$C$6),COUNTIF($B$9:B463,リスト!$C$5)+COUNTIF($B$9:B463,リスト!$C$6),"")</f>
        <v/>
      </c>
    </row>
    <row r="464" spans="2:9" x14ac:dyDescent="0.2">
      <c r="B464" s="196"/>
      <c r="C464" s="197">
        <v>45449.556041666663</v>
      </c>
      <c r="D464" s="197">
        <v>45449.556620370371</v>
      </c>
      <c r="E464" s="198" t="s">
        <v>244</v>
      </c>
      <c r="F464" s="199"/>
      <c r="G464" s="140" t="e">
        <f ca="1">mif(C464="","",OR(B464=リスト!$C$5,B464=リスト!$C$6),SUM(INDEX(G:G,MATCH(I464-1,I:I,0)+1,1):INDEX(G:G,MATCH(I464,I:I,0)-1,1)),D464-C464)</f>
        <v>#NAME?</v>
      </c>
      <c r="H464" s="140" t="e">
        <f ca="1">mif(C464="","",B464=リスト!$C$5,SUMIF(INDEX(B:B,MATCH(I464-1,I:I,0)+1,1):INDEX(B:B,MATCH(I464,I:I,0)-1,1),リスト!$C$7,INDEX(G:G,MATCH(I464-1,I:I,0)+1,1):INDEX(G:G,MATCH(I464,I:I,0)-1,1)),"")</f>
        <v>#NAME?</v>
      </c>
      <c r="I464" s="200" t="str">
        <f>IF(OR(B464=リスト!$C$5,B464=リスト!$C$6),COUNTIF($B$9:B464,リスト!$C$5)+COUNTIF($B$9:B464,リスト!$C$6),"")</f>
        <v/>
      </c>
    </row>
    <row r="465" spans="2:9" x14ac:dyDescent="0.2">
      <c r="B465" s="196"/>
      <c r="C465" s="197">
        <v>45449.563819444447</v>
      </c>
      <c r="D465" s="197">
        <v>45449.564097222225</v>
      </c>
      <c r="E465" s="198" t="s">
        <v>244</v>
      </c>
      <c r="F465" s="199"/>
      <c r="G465" s="140" t="e">
        <f ca="1">mif(C465="","",OR(B465=リスト!$C$5,B465=リスト!$C$6),SUM(INDEX(G:G,MATCH(I465-1,I:I,0)+1,1):INDEX(G:G,MATCH(I465,I:I,0)-1,1)),D465-C465)</f>
        <v>#NAME?</v>
      </c>
      <c r="H465" s="140" t="e">
        <f ca="1">mif(C465="","",B465=リスト!$C$5,SUMIF(INDEX(B:B,MATCH(I465-1,I:I,0)+1,1):INDEX(B:B,MATCH(I465,I:I,0)-1,1),リスト!$C$7,INDEX(G:G,MATCH(I465-1,I:I,0)+1,1):INDEX(G:G,MATCH(I465,I:I,0)-1,1)),"")</f>
        <v>#NAME?</v>
      </c>
      <c r="I465" s="200" t="str">
        <f>IF(OR(B465=リスト!$C$5,B465=リスト!$C$6),COUNTIF($B$9:B465,リスト!$C$5)+COUNTIF($B$9:B465,リスト!$C$6),"")</f>
        <v/>
      </c>
    </row>
    <row r="466" spans="2:9" x14ac:dyDescent="0.2">
      <c r="B466" s="196"/>
      <c r="C466" s="197">
        <v>45449.568518518521</v>
      </c>
      <c r="D466" s="197">
        <v>45449.569050925929</v>
      </c>
      <c r="E466" s="198" t="s">
        <v>244</v>
      </c>
      <c r="F466" s="199"/>
      <c r="G466" s="140" t="e">
        <f ca="1">mif(C466="","",OR(B466=リスト!$C$5,B466=リスト!$C$6),SUM(INDEX(G:G,MATCH(I466-1,I:I,0)+1,1):INDEX(G:G,MATCH(I466,I:I,0)-1,1)),D466-C466)</f>
        <v>#NAME?</v>
      </c>
      <c r="H466" s="140" t="e">
        <f ca="1">mif(C466="","",B466=リスト!$C$5,SUMIF(INDEX(B:B,MATCH(I466-1,I:I,0)+1,1):INDEX(B:B,MATCH(I466,I:I,0)-1,1),リスト!$C$7,INDEX(G:G,MATCH(I466-1,I:I,0)+1,1):INDEX(G:G,MATCH(I466,I:I,0)-1,1)),"")</f>
        <v>#NAME?</v>
      </c>
      <c r="I466" s="200" t="str">
        <f>IF(OR(B466=リスト!$C$5,B466=リスト!$C$6),COUNTIF($B$9:B466,リスト!$C$5)+COUNTIF($B$9:B466,リスト!$C$6),"")</f>
        <v/>
      </c>
    </row>
    <row r="467" spans="2:9" x14ac:dyDescent="0.2">
      <c r="B467" s="196"/>
      <c r="C467" s="197">
        <v>45449.572962962964</v>
      </c>
      <c r="D467" s="197">
        <v>45449.573263888888</v>
      </c>
      <c r="E467" s="198" t="s">
        <v>244</v>
      </c>
      <c r="F467" s="199"/>
      <c r="G467" s="140" t="e">
        <f ca="1">mif(C467="","",OR(B467=リスト!$C$5,B467=リスト!$C$6),SUM(INDEX(G:G,MATCH(I467-1,I:I,0)+1,1):INDEX(G:G,MATCH(I467,I:I,0)-1,1)),D467-C467)</f>
        <v>#NAME?</v>
      </c>
      <c r="H467" s="140" t="e">
        <f ca="1">mif(C467="","",B467=リスト!$C$5,SUMIF(INDEX(B:B,MATCH(I467-1,I:I,0)+1,1):INDEX(B:B,MATCH(I467,I:I,0)-1,1),リスト!$C$7,INDEX(G:G,MATCH(I467-1,I:I,0)+1,1):INDEX(G:G,MATCH(I467,I:I,0)-1,1)),"")</f>
        <v>#NAME?</v>
      </c>
      <c r="I467" s="200" t="str">
        <f>IF(OR(B467=リスト!$C$5,B467=リスト!$C$6),COUNTIF($B$9:B467,リスト!$C$5)+COUNTIF($B$9:B467,リスト!$C$6),"")</f>
        <v/>
      </c>
    </row>
    <row r="468" spans="2:9" x14ac:dyDescent="0.2">
      <c r="B468" s="196"/>
      <c r="C468" s="197">
        <v>45449.5781712963</v>
      </c>
      <c r="D468" s="197">
        <v>45449.57849537037</v>
      </c>
      <c r="E468" s="198" t="s">
        <v>244</v>
      </c>
      <c r="F468" s="199"/>
      <c r="G468" s="140" t="e">
        <f ca="1">mif(C468="","",OR(B468=リスト!$C$5,B468=リスト!$C$6),SUM(INDEX(G:G,MATCH(I468-1,I:I,0)+1,1):INDEX(G:G,MATCH(I468,I:I,0)-1,1)),D468-C468)</f>
        <v>#NAME?</v>
      </c>
      <c r="H468" s="140" t="e">
        <f ca="1">mif(C468="","",B468=リスト!$C$5,SUMIF(INDEX(B:B,MATCH(I468-1,I:I,0)+1,1):INDEX(B:B,MATCH(I468,I:I,0)-1,1),リスト!$C$7,INDEX(G:G,MATCH(I468-1,I:I,0)+1,1):INDEX(G:G,MATCH(I468,I:I,0)-1,1)),"")</f>
        <v>#NAME?</v>
      </c>
      <c r="I468" s="200" t="str">
        <f>IF(OR(B468=リスト!$C$5,B468=リスト!$C$6),COUNTIF($B$9:B468,リスト!$C$5)+COUNTIF($B$9:B468,リスト!$C$6),"")</f>
        <v/>
      </c>
    </row>
    <row r="469" spans="2:9" x14ac:dyDescent="0.2">
      <c r="B469" s="196"/>
      <c r="C469" s="197">
        <v>45449.610694444447</v>
      </c>
      <c r="D469" s="197">
        <v>45449.610995370371</v>
      </c>
      <c r="E469" s="198" t="s">
        <v>244</v>
      </c>
      <c r="F469" s="199"/>
      <c r="G469" s="140" t="e">
        <f ca="1">mif(C469="","",OR(B469=リスト!$C$5,B469=リスト!$C$6),SUM(INDEX(G:G,MATCH(I469-1,I:I,0)+1,1):INDEX(G:G,MATCH(I469,I:I,0)-1,1)),D469-C469)</f>
        <v>#NAME?</v>
      </c>
      <c r="H469" s="140" t="e">
        <f ca="1">mif(C469="","",B469=リスト!$C$5,SUMIF(INDEX(B:B,MATCH(I469-1,I:I,0)+1,1):INDEX(B:B,MATCH(I469,I:I,0)-1,1),リスト!$C$7,INDEX(G:G,MATCH(I469-1,I:I,0)+1,1):INDEX(G:G,MATCH(I469,I:I,0)-1,1)),"")</f>
        <v>#NAME?</v>
      </c>
      <c r="I469" s="200" t="str">
        <f>IF(OR(B469=リスト!$C$5,B469=リスト!$C$6),COUNTIF($B$9:B469,リスト!$C$5)+COUNTIF($B$9:B469,リスト!$C$6),"")</f>
        <v/>
      </c>
    </row>
    <row r="470" spans="2:9" x14ac:dyDescent="0.2">
      <c r="B470" s="196"/>
      <c r="C470" s="197">
        <v>45449.614189814813</v>
      </c>
      <c r="D470" s="197">
        <v>45449.61451388889</v>
      </c>
      <c r="E470" s="198" t="s">
        <v>244</v>
      </c>
      <c r="F470" s="199"/>
      <c r="G470" s="140" t="e">
        <f ca="1">mif(C470="","",OR(B470=リスト!$C$5,B470=リスト!$C$6),SUM(INDEX(G:G,MATCH(I470-1,I:I,0)+1,1):INDEX(G:G,MATCH(I470,I:I,0)-1,1)),D470-C470)</f>
        <v>#NAME?</v>
      </c>
      <c r="H470" s="140" t="e">
        <f ca="1">mif(C470="","",B470=リスト!$C$5,SUMIF(INDEX(B:B,MATCH(I470-1,I:I,0)+1,1):INDEX(B:B,MATCH(I470,I:I,0)-1,1),リスト!$C$7,INDEX(G:G,MATCH(I470-1,I:I,0)+1,1):INDEX(G:G,MATCH(I470,I:I,0)-1,1)),"")</f>
        <v>#NAME?</v>
      </c>
      <c r="I470" s="200" t="str">
        <f>IF(OR(B470=リスト!$C$5,B470=リスト!$C$6),COUNTIF($B$9:B470,リスト!$C$5)+COUNTIF($B$9:B470,リスト!$C$6),"")</f>
        <v/>
      </c>
    </row>
    <row r="471" spans="2:9" x14ac:dyDescent="0.2">
      <c r="B471" s="196"/>
      <c r="C471" s="197">
        <v>45449.643414351849</v>
      </c>
      <c r="D471" s="197">
        <v>45449.644062500003</v>
      </c>
      <c r="E471" s="198" t="s">
        <v>244</v>
      </c>
      <c r="F471" s="199"/>
      <c r="G471" s="140" t="e">
        <f ca="1">mif(C471="","",OR(B471=リスト!$C$5,B471=リスト!$C$6),SUM(INDEX(G:G,MATCH(I471-1,I:I,0)+1,1):INDEX(G:G,MATCH(I471,I:I,0)-1,1)),D471-C471)</f>
        <v>#NAME?</v>
      </c>
      <c r="H471" s="140" t="e">
        <f ca="1">mif(C471="","",B471=リスト!$C$5,SUMIF(INDEX(B:B,MATCH(I471-1,I:I,0)+1,1):INDEX(B:B,MATCH(I471,I:I,0)-1,1),リスト!$C$7,INDEX(G:G,MATCH(I471-1,I:I,0)+1,1):INDEX(G:G,MATCH(I471,I:I,0)-1,1)),"")</f>
        <v>#NAME?</v>
      </c>
      <c r="I471" s="200" t="str">
        <f>IF(OR(B471=リスト!$C$5,B471=リスト!$C$6),COUNTIF($B$9:B471,リスト!$C$5)+COUNTIF($B$9:B471,リスト!$C$6),"")</f>
        <v/>
      </c>
    </row>
    <row r="472" spans="2:9" x14ac:dyDescent="0.2">
      <c r="B472" s="196"/>
      <c r="C472" s="197">
        <v>45449.648414351854</v>
      </c>
      <c r="D472" s="197">
        <v>45449.673483796294</v>
      </c>
      <c r="E472" s="198" t="s">
        <v>244</v>
      </c>
      <c r="F472" s="199" t="s">
        <v>82</v>
      </c>
      <c r="G472" s="140" t="e">
        <f ca="1">mif(C472="","",OR(B472=リスト!$C$5,B472=リスト!$C$6),SUM(INDEX(G:G,MATCH(I472-1,I:I,0)+1,1):INDEX(G:G,MATCH(I472,I:I,0)-1,1)),D472-C472)</f>
        <v>#NAME?</v>
      </c>
      <c r="H472" s="140" t="e">
        <f ca="1">mif(C472="","",B472=リスト!$C$5,SUMIF(INDEX(B:B,MATCH(I472-1,I:I,0)+1,1):INDEX(B:B,MATCH(I472,I:I,0)-1,1),リスト!$C$7,INDEX(G:G,MATCH(I472-1,I:I,0)+1,1):INDEX(G:G,MATCH(I472,I:I,0)-1,1)),"")</f>
        <v>#NAME?</v>
      </c>
      <c r="I472" s="200" t="str">
        <f>IF(OR(B472=リスト!$C$5,B472=リスト!$C$6),COUNTIF($B$9:B472,リスト!$C$5)+COUNTIF($B$9:B472,リスト!$C$6),"")</f>
        <v/>
      </c>
    </row>
    <row r="473" spans="2:9" x14ac:dyDescent="0.2">
      <c r="B473" s="196"/>
      <c r="C473" s="197">
        <v>45449.681909722225</v>
      </c>
      <c r="D473" s="197">
        <v>45449.682395833333</v>
      </c>
      <c r="E473" s="198" t="s">
        <v>244</v>
      </c>
      <c r="F473" s="199"/>
      <c r="G473" s="140" t="e">
        <f ca="1">mif(C473="","",OR(B473=リスト!$C$5,B473=リスト!$C$6),SUM(INDEX(G:G,MATCH(I473-1,I:I,0)+1,1):INDEX(G:G,MATCH(I473,I:I,0)-1,1)),D473-C473)</f>
        <v>#NAME?</v>
      </c>
      <c r="H473" s="140" t="e">
        <f ca="1">mif(C473="","",B473=リスト!$C$5,SUMIF(INDEX(B:B,MATCH(I473-1,I:I,0)+1,1):INDEX(B:B,MATCH(I473,I:I,0)-1,1),リスト!$C$7,INDEX(G:G,MATCH(I473-1,I:I,0)+1,1):INDEX(G:G,MATCH(I473,I:I,0)-1,1)),"")</f>
        <v>#NAME?</v>
      </c>
      <c r="I473" s="200" t="str">
        <f>IF(OR(B473=リスト!$C$5,B473=リスト!$C$6),COUNTIF($B$9:B473,リスト!$C$5)+COUNTIF($B$9:B473,リスト!$C$6),"")</f>
        <v/>
      </c>
    </row>
    <row r="474" spans="2:9" x14ac:dyDescent="0.2">
      <c r="B474" s="196"/>
      <c r="C474" s="197">
        <v>45449.709791666668</v>
      </c>
      <c r="D474" s="197">
        <v>45449.710092592592</v>
      </c>
      <c r="E474" s="198" t="s">
        <v>244</v>
      </c>
      <c r="F474" s="199"/>
      <c r="G474" s="140" t="e">
        <f ca="1">mif(C474="","",OR(B474=リスト!$C$5,B474=リスト!$C$6),SUM(INDEX(G:G,MATCH(I474-1,I:I,0)+1,1):INDEX(G:G,MATCH(I474,I:I,0)-1,1)),D474-C474)</f>
        <v>#NAME?</v>
      </c>
      <c r="H474" s="140" t="e">
        <f ca="1">mif(C474="","",B474=リスト!$C$5,SUMIF(INDEX(B:B,MATCH(I474-1,I:I,0)+1,1):INDEX(B:B,MATCH(I474,I:I,0)-1,1),リスト!$C$7,INDEX(G:G,MATCH(I474-1,I:I,0)+1,1):INDEX(G:G,MATCH(I474,I:I,0)-1,1)),"")</f>
        <v>#NAME?</v>
      </c>
      <c r="I474" s="200" t="str">
        <f>IF(OR(B474=リスト!$C$5,B474=リスト!$C$6),COUNTIF($B$9:B474,リスト!$C$5)+COUNTIF($B$9:B474,リスト!$C$6),"")</f>
        <v/>
      </c>
    </row>
    <row r="475" spans="2:9" x14ac:dyDescent="0.2">
      <c r="B475" s="196"/>
      <c r="C475" s="197">
        <v>45449.721412037034</v>
      </c>
      <c r="D475" s="197">
        <v>45449.721666666665</v>
      </c>
      <c r="E475" s="198" t="s">
        <v>244</v>
      </c>
      <c r="F475" s="199"/>
      <c r="G475" s="140" t="e">
        <f ca="1">mif(C475="","",OR(B475=リスト!$C$5,B475=リスト!$C$6),SUM(INDEX(G:G,MATCH(I475-1,I:I,0)+1,1):INDEX(G:G,MATCH(I475,I:I,0)-1,1)),D475-C475)</f>
        <v>#NAME?</v>
      </c>
      <c r="H475" s="140" t="e">
        <f ca="1">mif(C475="","",B475=リスト!$C$5,SUMIF(INDEX(B:B,MATCH(I475-1,I:I,0)+1,1):INDEX(B:B,MATCH(I475,I:I,0)-1,1),リスト!$C$7,INDEX(G:G,MATCH(I475-1,I:I,0)+1,1):INDEX(G:G,MATCH(I475,I:I,0)-1,1)),"")</f>
        <v>#NAME?</v>
      </c>
      <c r="I475" s="200" t="str">
        <f>IF(OR(B475=リスト!$C$5,B475=リスト!$C$6),COUNTIF($B$9:B475,リスト!$C$5)+COUNTIF($B$9:B475,リスト!$C$6),"")</f>
        <v/>
      </c>
    </row>
    <row r="476" spans="2:9" x14ac:dyDescent="0.2">
      <c r="B476" s="196"/>
      <c r="C476" s="197">
        <v>45449.770115740743</v>
      </c>
      <c r="D476" s="197">
        <v>45449.770740740743</v>
      </c>
      <c r="E476" s="198" t="s">
        <v>244</v>
      </c>
      <c r="F476" s="199"/>
      <c r="G476" s="140" t="e">
        <f ca="1">mif(C476="","",OR(B476=リスト!$C$5,B476=リスト!$C$6),SUM(INDEX(G:G,MATCH(I476-1,I:I,0)+1,1):INDEX(G:G,MATCH(I476,I:I,0)-1,1)),D476-C476)</f>
        <v>#NAME?</v>
      </c>
      <c r="H476" s="140" t="e">
        <f ca="1">mif(C476="","",B476=リスト!$C$5,SUMIF(INDEX(B:B,MATCH(I476-1,I:I,0)+1,1):INDEX(B:B,MATCH(I476,I:I,0)-1,1),リスト!$C$7,INDEX(G:G,MATCH(I476-1,I:I,0)+1,1):INDEX(G:G,MATCH(I476,I:I,0)-1,1)),"")</f>
        <v>#NAME?</v>
      </c>
      <c r="I476" s="200" t="str">
        <f>IF(OR(B476=リスト!$C$5,B476=リスト!$C$6),COUNTIF($B$9:B476,リスト!$C$5)+COUNTIF($B$9:B476,リスト!$C$6),"")</f>
        <v/>
      </c>
    </row>
    <row r="477" spans="2:9" x14ac:dyDescent="0.2">
      <c r="B477" s="196"/>
      <c r="C477" s="197">
        <v>45449.820486111108</v>
      </c>
      <c r="D477" s="197">
        <v>45449.821064814816</v>
      </c>
      <c r="E477" s="198" t="s">
        <v>244</v>
      </c>
      <c r="F477" s="199"/>
      <c r="G477" s="140" t="e">
        <f ca="1">mif(C477="","",OR(B477=リスト!$C$5,B477=リスト!$C$6),SUM(INDEX(G:G,MATCH(I477-1,I:I,0)+1,1):INDEX(G:G,MATCH(I477,I:I,0)-1,1)),D477-C477)</f>
        <v>#NAME?</v>
      </c>
      <c r="H477" s="140" t="e">
        <f ca="1">mif(C477="","",B477=リスト!$C$5,SUMIF(INDEX(B:B,MATCH(I477-1,I:I,0)+1,1):INDEX(B:B,MATCH(I477,I:I,0)-1,1),リスト!$C$7,INDEX(G:G,MATCH(I477-1,I:I,0)+1,1):INDEX(G:G,MATCH(I477,I:I,0)-1,1)),"")</f>
        <v>#NAME?</v>
      </c>
      <c r="I477" s="200" t="str">
        <f>IF(OR(B477=リスト!$C$5,B477=リスト!$C$6),COUNTIF($B$9:B477,リスト!$C$5)+COUNTIF($B$9:B477,リスト!$C$6),"")</f>
        <v/>
      </c>
    </row>
    <row r="478" spans="2:9" x14ac:dyDescent="0.2">
      <c r="B478" s="196"/>
      <c r="C478" s="197">
        <v>45449.821064814816</v>
      </c>
      <c r="D478" s="197">
        <v>45449.830578703702</v>
      </c>
      <c r="E478" s="198" t="s">
        <v>244</v>
      </c>
      <c r="F478" s="199"/>
      <c r="G478" s="140" t="e">
        <f ca="1">mif(C478="","",OR(B478=リスト!$C$5,B478=リスト!$C$6),SUM(INDEX(G:G,MATCH(I478-1,I:I,0)+1,1):INDEX(G:G,MATCH(I478,I:I,0)-1,1)),D478-C478)</f>
        <v>#NAME?</v>
      </c>
      <c r="H478" s="140" t="e">
        <f ca="1">mif(C478="","",B478=リスト!$C$5,SUMIF(INDEX(B:B,MATCH(I478-1,I:I,0)+1,1):INDEX(B:B,MATCH(I478,I:I,0)-1,1),リスト!$C$7,INDEX(G:G,MATCH(I478-1,I:I,0)+1,1):INDEX(G:G,MATCH(I478,I:I,0)-1,1)),"")</f>
        <v>#NAME?</v>
      </c>
      <c r="I478" s="200" t="str">
        <f>IF(OR(B478=リスト!$C$5,B478=リスト!$C$6),COUNTIF($B$9:B478,リスト!$C$5)+COUNTIF($B$9:B478,リスト!$C$6),"")</f>
        <v/>
      </c>
    </row>
    <row r="479" spans="2:9" x14ac:dyDescent="0.2">
      <c r="B479" s="196"/>
      <c r="C479" s="197">
        <v>45449.88212962963</v>
      </c>
      <c r="D479" s="197">
        <v>45449.882708333331</v>
      </c>
      <c r="E479" s="198" t="s">
        <v>244</v>
      </c>
      <c r="F479" s="199"/>
      <c r="G479" s="140" t="e">
        <f ca="1">mif(C479="","",OR(B479=リスト!$C$5,B479=リスト!$C$6),SUM(INDEX(G:G,MATCH(I479-1,I:I,0)+1,1):INDEX(G:G,MATCH(I479,I:I,0)-1,1)),D479-C479)</f>
        <v>#NAME?</v>
      </c>
      <c r="H479" s="140" t="e">
        <f ca="1">mif(C479="","",B479=リスト!$C$5,SUMIF(INDEX(B:B,MATCH(I479-1,I:I,0)+1,1):INDEX(B:B,MATCH(I479,I:I,0)-1,1),リスト!$C$7,INDEX(G:G,MATCH(I479-1,I:I,0)+1,1):INDEX(G:G,MATCH(I479,I:I,0)-1,1)),"")</f>
        <v>#NAME?</v>
      </c>
      <c r="I479" s="200" t="str">
        <f>IF(OR(B479=リスト!$C$5,B479=リスト!$C$6),COUNTIF($B$9:B479,リスト!$C$5)+COUNTIF($B$9:B479,リスト!$C$6),"")</f>
        <v/>
      </c>
    </row>
    <row r="480" spans="2:9" x14ac:dyDescent="0.2">
      <c r="B480" s="196"/>
      <c r="C480" s="197">
        <v>45449.888715277775</v>
      </c>
      <c r="D480" s="197">
        <v>45449.88894675926</v>
      </c>
      <c r="E480" s="198" t="s">
        <v>244</v>
      </c>
      <c r="F480" s="199"/>
      <c r="G480" s="140" t="e">
        <f ca="1">mif(C480="","",OR(B480=リスト!$C$5,B480=リスト!$C$6),SUM(INDEX(G:G,MATCH(I480-1,I:I,0)+1,1):INDEX(G:G,MATCH(I480,I:I,0)-1,1)),D480-C480)</f>
        <v>#NAME?</v>
      </c>
      <c r="H480" s="140" t="e">
        <f ca="1">mif(C480="","",B480=リスト!$C$5,SUMIF(INDEX(B:B,MATCH(I480-1,I:I,0)+1,1):INDEX(B:B,MATCH(I480,I:I,0)-1,1),リスト!$C$7,INDEX(G:G,MATCH(I480-1,I:I,0)+1,1):INDEX(G:G,MATCH(I480,I:I,0)-1,1)),"")</f>
        <v>#NAME?</v>
      </c>
      <c r="I480" s="200" t="str">
        <f>IF(OR(B480=リスト!$C$5,B480=リスト!$C$6),COUNTIF($B$9:B480,リスト!$C$5)+COUNTIF($B$9:B480,リスト!$C$6),"")</f>
        <v/>
      </c>
    </row>
    <row r="481" spans="2:9" x14ac:dyDescent="0.2">
      <c r="B481" s="196" t="s">
        <v>247</v>
      </c>
      <c r="C481" s="197">
        <v>45449.416666666664</v>
      </c>
      <c r="D481" s="197">
        <v>45449.916666666664</v>
      </c>
      <c r="E481" s="198">
        <v>18</v>
      </c>
      <c r="F481" s="199" t="s">
        <v>82</v>
      </c>
      <c r="G481" s="140" t="e">
        <f ca="1">mif(C481="","",OR(B481=リスト!$C$5,B481=リスト!$C$6),SUM(INDEX(G:G,MATCH(I481-1,I:I,0)+1,1):INDEX(G:G,MATCH(I481,I:I,0)-1,1)),D481-C481)</f>
        <v>#NAME?</v>
      </c>
      <c r="H481" s="140" t="e">
        <f ca="1">mif(C481="","",B481=リスト!$C$5,SUMIF(INDEX(B:B,MATCH(I481-1,I:I,0)+1,1):INDEX(B:B,MATCH(I481,I:I,0)-1,1),リスト!$C$7,INDEX(G:G,MATCH(I481-1,I:I,0)+1,1):INDEX(G:G,MATCH(I481,I:I,0)-1,1)),"")</f>
        <v>#NAME?</v>
      </c>
      <c r="I481" s="200">
        <f>IF(OR(B481=リスト!$C$5,B481=リスト!$C$6),COUNTIF($B$9:B481,リスト!$C$5)+COUNTIF($B$9:B481,リスト!$C$6),"")</f>
        <v>31</v>
      </c>
    </row>
    <row r="482" spans="2:9" x14ac:dyDescent="0.2">
      <c r="B482" s="196"/>
      <c r="C482" s="197">
        <v>45449.97215277778</v>
      </c>
      <c r="D482" s="197">
        <v>45449.972893518519</v>
      </c>
      <c r="E482" s="198" t="s">
        <v>244</v>
      </c>
      <c r="F482" s="199"/>
      <c r="G482" s="140" t="e">
        <f ca="1">mif(C482="","",OR(B482=リスト!$C$5,B482=リスト!$C$6),SUM(INDEX(G:G,MATCH(I482-1,I:I,0)+1,1):INDEX(G:G,MATCH(I482,I:I,0)-1,1)),D482-C482)</f>
        <v>#NAME?</v>
      </c>
      <c r="H482" s="140" t="e">
        <f ca="1">mif(C482="","",B482=リスト!$C$5,SUMIF(INDEX(B:B,MATCH(I482-1,I:I,0)+1,1):INDEX(B:B,MATCH(I482,I:I,0)-1,1),リスト!$C$7,INDEX(G:G,MATCH(I482-1,I:I,0)+1,1):INDEX(G:G,MATCH(I482,I:I,0)-1,1)),"")</f>
        <v>#NAME?</v>
      </c>
      <c r="I482" s="200" t="str">
        <f>IF(OR(B482=リスト!$C$5,B482=リスト!$C$6),COUNTIF($B$9:B482,リスト!$C$5)+COUNTIF($B$9:B482,リスト!$C$6),"")</f>
        <v/>
      </c>
    </row>
    <row r="483" spans="2:9" x14ac:dyDescent="0.2">
      <c r="B483" s="196"/>
      <c r="C483" s="197">
        <v>45450.010150462964</v>
      </c>
      <c r="D483" s="197">
        <v>45450.010428240741</v>
      </c>
      <c r="E483" s="198" t="s">
        <v>244</v>
      </c>
      <c r="F483" s="199"/>
      <c r="G483" s="140" t="e">
        <f ca="1">mif(C483="","",OR(B483=リスト!$C$5,B483=リスト!$C$6),SUM(INDEX(G:G,MATCH(I483-1,I:I,0)+1,1):INDEX(G:G,MATCH(I483,I:I,0)-1,1)),D483-C483)</f>
        <v>#NAME?</v>
      </c>
      <c r="H483" s="140" t="e">
        <f ca="1">mif(C483="","",B483=リスト!$C$5,SUMIF(INDEX(B:B,MATCH(I483-1,I:I,0)+1,1):INDEX(B:B,MATCH(I483,I:I,0)-1,1),リスト!$C$7,INDEX(G:G,MATCH(I483-1,I:I,0)+1,1):INDEX(G:G,MATCH(I483,I:I,0)-1,1)),"")</f>
        <v>#NAME?</v>
      </c>
      <c r="I483" s="200" t="str">
        <f>IF(OR(B483=リスト!$C$5,B483=リスト!$C$6),COUNTIF($B$9:B483,リスト!$C$5)+COUNTIF($B$9:B483,リスト!$C$6),"")</f>
        <v/>
      </c>
    </row>
    <row r="484" spans="2:9" x14ac:dyDescent="0.2">
      <c r="B484" s="196"/>
      <c r="C484" s="197">
        <v>45450.010763888888</v>
      </c>
      <c r="D484" s="197">
        <v>45450.011250000003</v>
      </c>
      <c r="E484" s="198" t="s">
        <v>244</v>
      </c>
      <c r="F484" s="199"/>
      <c r="G484" s="140" t="e">
        <f ca="1">mif(C484="","",OR(B484=リスト!$C$5,B484=リスト!$C$6),SUM(INDEX(G:G,MATCH(I484-1,I:I,0)+1,1):INDEX(G:G,MATCH(I484,I:I,0)-1,1)),D484-C484)</f>
        <v>#NAME?</v>
      </c>
      <c r="H484" s="140" t="e">
        <f ca="1">mif(C484="","",B484=リスト!$C$5,SUMIF(INDEX(B:B,MATCH(I484-1,I:I,0)+1,1):INDEX(B:B,MATCH(I484,I:I,0)-1,1),リスト!$C$7,INDEX(G:G,MATCH(I484-1,I:I,0)+1,1):INDEX(G:G,MATCH(I484,I:I,0)-1,1)),"")</f>
        <v>#NAME?</v>
      </c>
      <c r="I484" s="200" t="str">
        <f>IF(OR(B484=リスト!$C$5,B484=リスト!$C$6),COUNTIF($B$9:B484,リスト!$C$5)+COUNTIF($B$9:B484,リスト!$C$6),"")</f>
        <v/>
      </c>
    </row>
    <row r="485" spans="2:9" x14ac:dyDescent="0.2">
      <c r="B485" s="196"/>
      <c r="C485" s="197">
        <v>45450.035787037035</v>
      </c>
      <c r="D485" s="197">
        <v>45450.036192129628</v>
      </c>
      <c r="E485" s="198" t="s">
        <v>244</v>
      </c>
      <c r="F485" s="199"/>
      <c r="G485" s="140" t="e">
        <f ca="1">mif(C485="","",OR(B485=リスト!$C$5,B485=リスト!$C$6),SUM(INDEX(G:G,MATCH(I485-1,I:I,0)+1,1):INDEX(G:G,MATCH(I485,I:I,0)-1,1)),D485-C485)</f>
        <v>#NAME?</v>
      </c>
      <c r="H485" s="140" t="e">
        <f ca="1">mif(C485="","",B485=リスト!$C$5,SUMIF(INDEX(B:B,MATCH(I485-1,I:I,0)+1,1):INDEX(B:B,MATCH(I485,I:I,0)-1,1),リスト!$C$7,INDEX(G:G,MATCH(I485-1,I:I,0)+1,1):INDEX(G:G,MATCH(I485,I:I,0)-1,1)),"")</f>
        <v>#NAME?</v>
      </c>
      <c r="I485" s="200" t="str">
        <f>IF(OR(B485=リスト!$C$5,B485=リスト!$C$6),COUNTIF($B$9:B485,リスト!$C$5)+COUNTIF($B$9:B485,リスト!$C$6),"")</f>
        <v/>
      </c>
    </row>
    <row r="486" spans="2:9" x14ac:dyDescent="0.2">
      <c r="B486" s="196"/>
      <c r="C486" s="197">
        <v>45450.109456018516</v>
      </c>
      <c r="D486" s="197">
        <v>45450.1096875</v>
      </c>
      <c r="E486" s="198" t="s">
        <v>244</v>
      </c>
      <c r="F486" s="199"/>
      <c r="G486" s="140" t="e">
        <f ca="1">mif(C486="","",OR(B486=リスト!$C$5,B486=リスト!$C$6),SUM(INDEX(G:G,MATCH(I486-1,I:I,0)+1,1):INDEX(G:G,MATCH(I486,I:I,0)-1,1)),D486-C486)</f>
        <v>#NAME?</v>
      </c>
      <c r="H486" s="140" t="e">
        <f ca="1">mif(C486="","",B486=リスト!$C$5,SUMIF(INDEX(B:B,MATCH(I486-1,I:I,0)+1,1):INDEX(B:B,MATCH(I486,I:I,0)-1,1),リスト!$C$7,INDEX(G:G,MATCH(I486-1,I:I,0)+1,1):INDEX(G:G,MATCH(I486,I:I,0)-1,1)),"")</f>
        <v>#NAME?</v>
      </c>
      <c r="I486" s="200" t="str">
        <f>IF(OR(B486=リスト!$C$5,B486=リスト!$C$6),COUNTIF($B$9:B486,リスト!$C$5)+COUNTIF($B$9:B486,リスト!$C$6),"")</f>
        <v/>
      </c>
    </row>
    <row r="487" spans="2:9" x14ac:dyDescent="0.2">
      <c r="B487" s="196"/>
      <c r="C487" s="197">
        <v>45450.218564814815</v>
      </c>
      <c r="D487" s="197">
        <v>45450.218888888892</v>
      </c>
      <c r="E487" s="198" t="s">
        <v>244</v>
      </c>
      <c r="F487" s="199"/>
      <c r="G487" s="140" t="e">
        <f ca="1">mif(C487="","",OR(B487=リスト!$C$5,B487=リスト!$C$6),SUM(INDEX(G:G,MATCH(I487-1,I:I,0)+1,1):INDEX(G:G,MATCH(I487,I:I,0)-1,1)),D487-C487)</f>
        <v>#NAME?</v>
      </c>
      <c r="H487" s="140" t="e">
        <f ca="1">mif(C487="","",B487=リスト!$C$5,SUMIF(INDEX(B:B,MATCH(I487-1,I:I,0)+1,1):INDEX(B:B,MATCH(I487,I:I,0)-1,1),リスト!$C$7,INDEX(G:G,MATCH(I487-1,I:I,0)+1,1):INDEX(G:G,MATCH(I487,I:I,0)-1,1)),"")</f>
        <v>#NAME?</v>
      </c>
      <c r="I487" s="200" t="str">
        <f>IF(OR(B487=リスト!$C$5,B487=リスト!$C$6),COUNTIF($B$9:B487,リスト!$C$5)+COUNTIF($B$9:B487,リスト!$C$6),"")</f>
        <v/>
      </c>
    </row>
    <row r="488" spans="2:9" x14ac:dyDescent="0.2">
      <c r="B488" s="196"/>
      <c r="C488" s="197">
        <v>45450.304594907408</v>
      </c>
      <c r="D488" s="197">
        <v>45450.305486111109</v>
      </c>
      <c r="E488" s="198" t="s">
        <v>244</v>
      </c>
      <c r="F488" s="199"/>
      <c r="G488" s="140" t="e">
        <f ca="1">mif(C488="","",OR(B488=リスト!$C$5,B488=リスト!$C$6),SUM(INDEX(G:G,MATCH(I488-1,I:I,0)+1,1):INDEX(G:G,MATCH(I488,I:I,0)-1,1)),D488-C488)</f>
        <v>#NAME?</v>
      </c>
      <c r="H488" s="140" t="e">
        <f ca="1">mif(C488="","",B488=リスト!$C$5,SUMIF(INDEX(B:B,MATCH(I488-1,I:I,0)+1,1):INDEX(B:B,MATCH(I488,I:I,0)-1,1),リスト!$C$7,INDEX(G:G,MATCH(I488-1,I:I,0)+1,1):INDEX(G:G,MATCH(I488,I:I,0)-1,1)),"")</f>
        <v>#NAME?</v>
      </c>
      <c r="I488" s="200" t="str">
        <f>IF(OR(B488=リスト!$C$5,B488=リスト!$C$6),COUNTIF($B$9:B488,リスト!$C$5)+COUNTIF($B$9:B488,リスト!$C$6),"")</f>
        <v/>
      </c>
    </row>
    <row r="489" spans="2:9" x14ac:dyDescent="0.2">
      <c r="B489" s="196"/>
      <c r="C489" s="197">
        <v>45450.355358796296</v>
      </c>
      <c r="D489" s="197">
        <v>45450.356006944443</v>
      </c>
      <c r="E489" s="198" t="s">
        <v>244</v>
      </c>
      <c r="F489" s="199"/>
      <c r="G489" s="140" t="e">
        <f ca="1">mif(C489="","",OR(B489=リスト!$C$5,B489=リスト!$C$6),SUM(INDEX(G:G,MATCH(I489-1,I:I,0)+1,1):INDEX(G:G,MATCH(I489,I:I,0)-1,1)),D489-C489)</f>
        <v>#NAME?</v>
      </c>
      <c r="H489" s="140" t="e">
        <f ca="1">mif(C489="","",B489=リスト!$C$5,SUMIF(INDEX(B:B,MATCH(I489-1,I:I,0)+1,1):INDEX(B:B,MATCH(I489,I:I,0)-1,1),リスト!$C$7,INDEX(G:G,MATCH(I489-1,I:I,0)+1,1):INDEX(G:G,MATCH(I489,I:I,0)-1,1)),"")</f>
        <v>#NAME?</v>
      </c>
      <c r="I489" s="200" t="str">
        <f>IF(OR(B489=リスト!$C$5,B489=リスト!$C$6),COUNTIF($B$9:B489,リスト!$C$5)+COUNTIF($B$9:B489,リスト!$C$6),"")</f>
        <v/>
      </c>
    </row>
    <row r="490" spans="2:9" x14ac:dyDescent="0.2">
      <c r="B490" s="196"/>
      <c r="C490" s="197">
        <v>45450.411053240743</v>
      </c>
      <c r="D490" s="197">
        <v>45450.411354166667</v>
      </c>
      <c r="E490" s="198" t="s">
        <v>244</v>
      </c>
      <c r="F490" s="199"/>
      <c r="G490" s="140" t="e">
        <f ca="1">mif(C490="","",OR(B490=リスト!$C$5,B490=リスト!$C$6),SUM(INDEX(G:G,MATCH(I490-1,I:I,0)+1,1):INDEX(G:G,MATCH(I490,I:I,0)-1,1)),D490-C490)</f>
        <v>#NAME?</v>
      </c>
      <c r="H490" s="140" t="e">
        <f ca="1">mif(C490="","",B490=リスト!$C$5,SUMIF(INDEX(B:B,MATCH(I490-1,I:I,0)+1,1):INDEX(B:B,MATCH(I490,I:I,0)-1,1),リスト!$C$7,INDEX(G:G,MATCH(I490-1,I:I,0)+1,1):INDEX(G:G,MATCH(I490,I:I,0)-1,1)),"")</f>
        <v>#NAME?</v>
      </c>
      <c r="I490" s="200" t="str">
        <f>IF(OR(B490=リスト!$C$5,B490=リスト!$C$6),COUNTIF($B$9:B490,リスト!$C$5)+COUNTIF($B$9:B490,リスト!$C$6),"")</f>
        <v/>
      </c>
    </row>
    <row r="491" spans="2:9" x14ac:dyDescent="0.2">
      <c r="B491" s="196" t="s">
        <v>247</v>
      </c>
      <c r="C491" s="197">
        <v>45449.916666666664</v>
      </c>
      <c r="D491" s="197">
        <v>45450.416666666664</v>
      </c>
      <c r="E491" s="198">
        <v>9</v>
      </c>
      <c r="F491" s="199"/>
      <c r="G491" s="140" t="e">
        <f ca="1">mif(C491="","",OR(B491=リスト!$C$5,B491=リスト!$C$6),SUM(INDEX(G:G,MATCH(I491-1,I:I,0)+1,1):INDEX(G:G,MATCH(I491,I:I,0)-1,1)),D491-C491)</f>
        <v>#NAME?</v>
      </c>
      <c r="H491" s="140" t="e">
        <f ca="1">mif(C491="","",B491=リスト!$C$5,SUMIF(INDEX(B:B,MATCH(I491-1,I:I,0)+1,1):INDEX(B:B,MATCH(I491,I:I,0)-1,1),リスト!$C$7,INDEX(G:G,MATCH(I491-1,I:I,0)+1,1):INDEX(G:G,MATCH(I491,I:I,0)-1,1)),"")</f>
        <v>#NAME?</v>
      </c>
      <c r="I491" s="200">
        <f>IF(OR(B491=リスト!$C$5,B491=リスト!$C$6),COUNTIF($B$9:B491,リスト!$C$5)+COUNTIF($B$9:B491,リスト!$C$6),"")</f>
        <v>32</v>
      </c>
    </row>
    <row r="492" spans="2:9" x14ac:dyDescent="0.2">
      <c r="B492" s="196"/>
      <c r="C492" s="197">
        <v>45450.506863425922</v>
      </c>
      <c r="D492" s="197">
        <v>45450.507187499999</v>
      </c>
      <c r="E492" s="198" t="s">
        <v>244</v>
      </c>
      <c r="F492" s="199"/>
      <c r="G492" s="140" t="e">
        <f ca="1">mif(C492="","",OR(B492=リスト!$C$5,B492=リスト!$C$6),SUM(INDEX(G:G,MATCH(I492-1,I:I,0)+1,1):INDEX(G:G,MATCH(I492,I:I,0)-1,1)),D492-C492)</f>
        <v>#NAME?</v>
      </c>
      <c r="H492" s="140" t="e">
        <f ca="1">mif(C492="","",B492=リスト!$C$5,SUMIF(INDEX(B:B,MATCH(I492-1,I:I,0)+1,1):INDEX(B:B,MATCH(I492,I:I,0)-1,1),リスト!$C$7,INDEX(G:G,MATCH(I492-1,I:I,0)+1,1):INDEX(G:G,MATCH(I492,I:I,0)-1,1)),"")</f>
        <v>#NAME?</v>
      </c>
      <c r="I492" s="200" t="str">
        <f>IF(OR(B492=リスト!$C$5,B492=リスト!$C$6),COUNTIF($B$9:B492,リスト!$C$5)+COUNTIF($B$9:B492,リスト!$C$6),"")</f>
        <v/>
      </c>
    </row>
    <row r="493" spans="2:9" x14ac:dyDescent="0.2">
      <c r="B493" s="196"/>
      <c r="C493" s="197">
        <v>45450.522916666669</v>
      </c>
      <c r="D493" s="197">
        <v>45450.523148148146</v>
      </c>
      <c r="E493" s="198" t="s">
        <v>244</v>
      </c>
      <c r="F493" s="199"/>
      <c r="G493" s="140" t="e">
        <f ca="1">mif(C493="","",OR(B493=リスト!$C$5,B493=リスト!$C$6),SUM(INDEX(G:G,MATCH(I493-1,I:I,0)+1,1):INDEX(G:G,MATCH(I493,I:I,0)-1,1)),D493-C493)</f>
        <v>#NAME?</v>
      </c>
      <c r="H493" s="140" t="e">
        <f ca="1">mif(C493="","",B493=リスト!$C$5,SUMIF(INDEX(B:B,MATCH(I493-1,I:I,0)+1,1):INDEX(B:B,MATCH(I493,I:I,0)-1,1),リスト!$C$7,INDEX(G:G,MATCH(I493-1,I:I,0)+1,1):INDEX(G:G,MATCH(I493,I:I,0)-1,1)),"")</f>
        <v>#NAME?</v>
      </c>
      <c r="I493" s="200" t="str">
        <f>IF(OR(B493=リスト!$C$5,B493=リスト!$C$6),COUNTIF($B$9:B493,リスト!$C$5)+COUNTIF($B$9:B493,リスト!$C$6),"")</f>
        <v/>
      </c>
    </row>
    <row r="494" spans="2:9" x14ac:dyDescent="0.2">
      <c r="B494" s="196"/>
      <c r="C494" s="197">
        <v>45450.556956018518</v>
      </c>
      <c r="D494" s="197">
        <v>45450.558194444442</v>
      </c>
      <c r="E494" s="198" t="s">
        <v>244</v>
      </c>
      <c r="F494" s="199"/>
      <c r="G494" s="140" t="e">
        <f ca="1">mif(C494="","",OR(B494=リスト!$C$5,B494=リスト!$C$6),SUM(INDEX(G:G,MATCH(I494-1,I:I,0)+1,1):INDEX(G:G,MATCH(I494,I:I,0)-1,1)),D494-C494)</f>
        <v>#NAME?</v>
      </c>
      <c r="H494" s="140" t="e">
        <f ca="1">mif(C494="","",B494=リスト!$C$5,SUMIF(INDEX(B:B,MATCH(I494-1,I:I,0)+1,1):INDEX(B:B,MATCH(I494,I:I,0)-1,1),リスト!$C$7,INDEX(G:G,MATCH(I494-1,I:I,0)+1,1):INDEX(G:G,MATCH(I494,I:I,0)-1,1)),"")</f>
        <v>#NAME?</v>
      </c>
      <c r="I494" s="200" t="str">
        <f>IF(OR(B494=リスト!$C$5,B494=リスト!$C$6),COUNTIF($B$9:B494,リスト!$C$5)+COUNTIF($B$9:B494,リスト!$C$6),"")</f>
        <v/>
      </c>
    </row>
    <row r="495" spans="2:9" x14ac:dyDescent="0.2">
      <c r="B495" s="196"/>
      <c r="C495" s="197">
        <v>45450.572916666664</v>
      </c>
      <c r="D495" s="197">
        <v>45450.573194444441</v>
      </c>
      <c r="E495" s="198" t="s">
        <v>244</v>
      </c>
      <c r="F495" s="199"/>
      <c r="G495" s="140" t="e">
        <f ca="1">mif(C495="","",OR(B495=リスト!$C$5,B495=リスト!$C$6),SUM(INDEX(G:G,MATCH(I495-1,I:I,0)+1,1):INDEX(G:G,MATCH(I495,I:I,0)-1,1)),D495-C495)</f>
        <v>#NAME?</v>
      </c>
      <c r="H495" s="140" t="e">
        <f ca="1">mif(C495="","",B495=リスト!$C$5,SUMIF(INDEX(B:B,MATCH(I495-1,I:I,0)+1,1):INDEX(B:B,MATCH(I495,I:I,0)-1,1),リスト!$C$7,INDEX(G:G,MATCH(I495-1,I:I,0)+1,1):INDEX(G:G,MATCH(I495,I:I,0)-1,1)),"")</f>
        <v>#NAME?</v>
      </c>
      <c r="I495" s="200" t="str">
        <f>IF(OR(B495=リスト!$C$5,B495=リスト!$C$6),COUNTIF($B$9:B495,リスト!$C$5)+COUNTIF($B$9:B495,リスト!$C$6),"")</f>
        <v/>
      </c>
    </row>
    <row r="496" spans="2:9" x14ac:dyDescent="0.2">
      <c r="B496" s="196"/>
      <c r="C496" s="197">
        <v>45450.602673611109</v>
      </c>
      <c r="D496" s="197">
        <v>45450.603206018517</v>
      </c>
      <c r="E496" s="198" t="s">
        <v>244</v>
      </c>
      <c r="F496" s="199"/>
      <c r="G496" s="140" t="e">
        <f ca="1">mif(C496="","",OR(B496=リスト!$C$5,B496=リスト!$C$6),SUM(INDEX(G:G,MATCH(I496-1,I:I,0)+1,1):INDEX(G:G,MATCH(I496,I:I,0)-1,1)),D496-C496)</f>
        <v>#NAME?</v>
      </c>
      <c r="H496" s="140" t="e">
        <f ca="1">mif(C496="","",B496=リスト!$C$5,SUMIF(INDEX(B:B,MATCH(I496-1,I:I,0)+1,1):INDEX(B:B,MATCH(I496,I:I,0)-1,1),リスト!$C$7,INDEX(G:G,MATCH(I496-1,I:I,0)+1,1):INDEX(G:G,MATCH(I496,I:I,0)-1,1)),"")</f>
        <v>#NAME?</v>
      </c>
      <c r="I496" s="200" t="str">
        <f>IF(OR(B496=リスト!$C$5,B496=リスト!$C$6),COUNTIF($B$9:B496,リスト!$C$5)+COUNTIF($B$9:B496,リスト!$C$6),"")</f>
        <v/>
      </c>
    </row>
    <row r="497" spans="2:9" x14ac:dyDescent="0.2">
      <c r="B497" s="196"/>
      <c r="C497" s="197">
        <v>45450.63486111111</v>
      </c>
      <c r="D497" s="197">
        <v>45450.635162037041</v>
      </c>
      <c r="E497" s="198" t="s">
        <v>244</v>
      </c>
      <c r="F497" s="199"/>
      <c r="G497" s="140" t="e">
        <f ca="1">mif(C497="","",OR(B497=リスト!$C$5,B497=リスト!$C$6),SUM(INDEX(G:G,MATCH(I497-1,I:I,0)+1,1):INDEX(G:G,MATCH(I497,I:I,0)-1,1)),D497-C497)</f>
        <v>#NAME?</v>
      </c>
      <c r="H497" s="140" t="e">
        <f ca="1">mif(C497="","",B497=リスト!$C$5,SUMIF(INDEX(B:B,MATCH(I497-1,I:I,0)+1,1):INDEX(B:B,MATCH(I497,I:I,0)-1,1),リスト!$C$7,INDEX(G:G,MATCH(I497-1,I:I,0)+1,1):INDEX(G:G,MATCH(I497,I:I,0)-1,1)),"")</f>
        <v>#NAME?</v>
      </c>
      <c r="I497" s="200" t="str">
        <f>IF(OR(B497=リスト!$C$5,B497=リスト!$C$6),COUNTIF($B$9:B497,リスト!$C$5)+COUNTIF($B$9:B497,リスト!$C$6),"")</f>
        <v/>
      </c>
    </row>
    <row r="498" spans="2:9" x14ac:dyDescent="0.2">
      <c r="B498" s="196"/>
      <c r="C498" s="197">
        <v>45450.713229166664</v>
      </c>
      <c r="D498" s="197">
        <v>45450.713506944441</v>
      </c>
      <c r="E498" s="198" t="s">
        <v>244</v>
      </c>
      <c r="F498" s="199"/>
      <c r="G498" s="140" t="e">
        <f ca="1">mif(C498="","",OR(B498=リスト!$C$5,B498=リスト!$C$6),SUM(INDEX(G:G,MATCH(I498-1,I:I,0)+1,1):INDEX(G:G,MATCH(I498,I:I,0)-1,1)),D498-C498)</f>
        <v>#NAME?</v>
      </c>
      <c r="H498" s="140" t="e">
        <f ca="1">mif(C498="","",B498=リスト!$C$5,SUMIF(INDEX(B:B,MATCH(I498-1,I:I,0)+1,1):INDEX(B:B,MATCH(I498,I:I,0)-1,1),リスト!$C$7,INDEX(G:G,MATCH(I498-1,I:I,0)+1,1):INDEX(G:G,MATCH(I498,I:I,0)-1,1)),"")</f>
        <v>#NAME?</v>
      </c>
      <c r="I498" s="200" t="str">
        <f>IF(OR(B498=リスト!$C$5,B498=リスト!$C$6),COUNTIF($B$9:B498,リスト!$C$5)+COUNTIF($B$9:B498,リスト!$C$6),"")</f>
        <v/>
      </c>
    </row>
    <row r="499" spans="2:9" x14ac:dyDescent="0.2">
      <c r="B499" s="196"/>
      <c r="C499" s="197">
        <v>45450.717164351852</v>
      </c>
      <c r="D499" s="197">
        <v>45450.717442129629</v>
      </c>
      <c r="E499" s="198" t="s">
        <v>244</v>
      </c>
      <c r="F499" s="199"/>
      <c r="G499" s="140" t="e">
        <f ca="1">mif(C499="","",OR(B499=リスト!$C$5,B499=リスト!$C$6),SUM(INDEX(G:G,MATCH(I499-1,I:I,0)+1,1):INDEX(G:G,MATCH(I499,I:I,0)-1,1)),D499-C499)</f>
        <v>#NAME?</v>
      </c>
      <c r="H499" s="140" t="e">
        <f ca="1">mif(C499="","",B499=リスト!$C$5,SUMIF(INDEX(B:B,MATCH(I499-1,I:I,0)+1,1):INDEX(B:B,MATCH(I499,I:I,0)-1,1),リスト!$C$7,INDEX(G:G,MATCH(I499-1,I:I,0)+1,1):INDEX(G:G,MATCH(I499,I:I,0)-1,1)),"")</f>
        <v>#NAME?</v>
      </c>
      <c r="I499" s="200" t="str">
        <f>IF(OR(B499=リスト!$C$5,B499=リスト!$C$6),COUNTIF($B$9:B499,リスト!$C$5)+COUNTIF($B$9:B499,リスト!$C$6),"")</f>
        <v/>
      </c>
    </row>
    <row r="500" spans="2:9" x14ac:dyDescent="0.2">
      <c r="B500" s="196"/>
      <c r="C500" s="197">
        <v>45450.753738425927</v>
      </c>
      <c r="D500" s="197">
        <v>45450.754270833335</v>
      </c>
      <c r="E500" s="198" t="s">
        <v>244</v>
      </c>
      <c r="F500" s="199"/>
      <c r="G500" s="140" t="e">
        <f ca="1">mif(C500="","",OR(B500=リスト!$C$5,B500=リスト!$C$6),SUM(INDEX(G:G,MATCH(I500-1,I:I,0)+1,1):INDEX(G:G,MATCH(I500,I:I,0)-1,1)),D500-C500)</f>
        <v>#NAME?</v>
      </c>
      <c r="H500" s="140" t="e">
        <f ca="1">mif(C500="","",B500=リスト!$C$5,SUMIF(INDEX(B:B,MATCH(I500-1,I:I,0)+1,1):INDEX(B:B,MATCH(I500,I:I,0)-1,1),リスト!$C$7,INDEX(G:G,MATCH(I500-1,I:I,0)+1,1):INDEX(G:G,MATCH(I500,I:I,0)-1,1)),"")</f>
        <v>#NAME?</v>
      </c>
      <c r="I500" s="200" t="str">
        <f>IF(OR(B500=リスト!$C$5,B500=リスト!$C$6),COUNTIF($B$9:B500,リスト!$C$5)+COUNTIF($B$9:B500,リスト!$C$6),"")</f>
        <v/>
      </c>
    </row>
    <row r="501" spans="2:9" x14ac:dyDescent="0.2">
      <c r="B501" s="196"/>
      <c r="C501" s="197">
        <v>45450.828402777777</v>
      </c>
      <c r="D501" s="197">
        <v>45450.828680555554</v>
      </c>
      <c r="E501" s="198" t="s">
        <v>244</v>
      </c>
      <c r="F501" s="199"/>
      <c r="G501" s="140" t="e">
        <f ca="1">mif(C501="","",OR(B501=リスト!$C$5,B501=リスト!$C$6),SUM(INDEX(G:G,MATCH(I501-1,I:I,0)+1,1):INDEX(G:G,MATCH(I501,I:I,0)-1,1)),D501-C501)</f>
        <v>#NAME?</v>
      </c>
      <c r="H501" s="140" t="e">
        <f ca="1">mif(C501="","",B501=リスト!$C$5,SUMIF(INDEX(B:B,MATCH(I501-1,I:I,0)+1,1):INDEX(B:B,MATCH(I501,I:I,0)-1,1),リスト!$C$7,INDEX(G:G,MATCH(I501-1,I:I,0)+1,1):INDEX(G:G,MATCH(I501,I:I,0)-1,1)),"")</f>
        <v>#NAME?</v>
      </c>
      <c r="I501" s="200" t="str">
        <f>IF(OR(B501=リスト!$C$5,B501=リスト!$C$6),COUNTIF($B$9:B501,リスト!$C$5)+COUNTIF($B$9:B501,リスト!$C$6),"")</f>
        <v/>
      </c>
    </row>
    <row r="502" spans="2:9" x14ac:dyDescent="0.2">
      <c r="B502" s="196" t="s">
        <v>247</v>
      </c>
      <c r="C502" s="197">
        <v>45450.416666666664</v>
      </c>
      <c r="D502" s="197">
        <v>45450.916666666664</v>
      </c>
      <c r="E502" s="198">
        <v>10</v>
      </c>
      <c r="F502" s="199"/>
      <c r="G502" s="140" t="e">
        <f ca="1">mif(C502="","",OR(B502=リスト!$C$5,B502=リスト!$C$6),SUM(INDEX(G:G,MATCH(I502-1,I:I,0)+1,1):INDEX(G:G,MATCH(I502,I:I,0)-1,1)),D502-C502)</f>
        <v>#NAME?</v>
      </c>
      <c r="H502" s="140" t="e">
        <f ca="1">mif(C502="","",B502=リスト!$C$5,SUMIF(INDEX(B:B,MATCH(I502-1,I:I,0)+1,1):INDEX(B:B,MATCH(I502,I:I,0)-1,1),リスト!$C$7,INDEX(G:G,MATCH(I502-1,I:I,0)+1,1):INDEX(G:G,MATCH(I502,I:I,0)-1,1)),"")</f>
        <v>#NAME?</v>
      </c>
      <c r="I502" s="200">
        <f>IF(OR(B502=リスト!$C$5,B502=リスト!$C$6),COUNTIF($B$9:B502,リスト!$C$5)+COUNTIF($B$9:B502,リスト!$C$6),"")</f>
        <v>33</v>
      </c>
    </row>
    <row r="503" spans="2:9" x14ac:dyDescent="0.2">
      <c r="B503" s="196"/>
      <c r="C503" s="197">
        <v>45450.925381944442</v>
      </c>
      <c r="D503" s="197">
        <v>45450.925706018519</v>
      </c>
      <c r="E503" s="198" t="s">
        <v>244</v>
      </c>
      <c r="F503" s="199"/>
      <c r="G503" s="140" t="e">
        <f ca="1">mif(C503="","",OR(B503=リスト!$C$5,B503=リスト!$C$6),SUM(INDEX(G:G,MATCH(I503-1,I:I,0)+1,1):INDEX(G:G,MATCH(I503,I:I,0)-1,1)),D503-C503)</f>
        <v>#NAME?</v>
      </c>
      <c r="H503" s="140" t="e">
        <f ca="1">mif(C503="","",B503=リスト!$C$5,SUMIF(INDEX(B:B,MATCH(I503-1,I:I,0)+1,1):INDEX(B:B,MATCH(I503,I:I,0)-1,1),リスト!$C$7,INDEX(G:G,MATCH(I503-1,I:I,0)+1,1):INDEX(G:G,MATCH(I503,I:I,0)-1,1)),"")</f>
        <v>#NAME?</v>
      </c>
      <c r="I503" s="200" t="str">
        <f>IF(OR(B503=リスト!$C$5,B503=リスト!$C$6),COUNTIF($B$9:B503,リスト!$C$5)+COUNTIF($B$9:B503,リスト!$C$6),"")</f>
        <v/>
      </c>
    </row>
    <row r="504" spans="2:9" x14ac:dyDescent="0.2">
      <c r="B504" s="196"/>
      <c r="C504" s="197">
        <v>45450.940949074073</v>
      </c>
      <c r="D504" s="197">
        <v>45450.941412037035</v>
      </c>
      <c r="E504" s="198" t="s">
        <v>244</v>
      </c>
      <c r="F504" s="199"/>
      <c r="G504" s="140" t="e">
        <f ca="1">mif(C504="","",OR(B504=リスト!$C$5,B504=リスト!$C$6),SUM(INDEX(G:G,MATCH(I504-1,I:I,0)+1,1):INDEX(G:G,MATCH(I504,I:I,0)-1,1)),D504-C504)</f>
        <v>#NAME?</v>
      </c>
      <c r="H504" s="140" t="e">
        <f ca="1">mif(C504="","",B504=リスト!$C$5,SUMIF(INDEX(B:B,MATCH(I504-1,I:I,0)+1,1):INDEX(B:B,MATCH(I504,I:I,0)-1,1),リスト!$C$7,INDEX(G:G,MATCH(I504-1,I:I,0)+1,1):INDEX(G:G,MATCH(I504,I:I,0)-1,1)),"")</f>
        <v>#NAME?</v>
      </c>
      <c r="I504" s="200" t="str">
        <f>IF(OR(B504=リスト!$C$5,B504=リスト!$C$6),COUNTIF($B$9:B504,リスト!$C$5)+COUNTIF($B$9:B504,リスト!$C$6),"")</f>
        <v/>
      </c>
    </row>
    <row r="505" spans="2:9" x14ac:dyDescent="0.2">
      <c r="B505" s="196"/>
      <c r="C505" s="197">
        <v>45450.945717592593</v>
      </c>
      <c r="D505" s="197">
        <v>45450.946018518516</v>
      </c>
      <c r="E505" s="198" t="s">
        <v>244</v>
      </c>
      <c r="F505" s="199"/>
      <c r="G505" s="140" t="e">
        <f ca="1">mif(C505="","",OR(B505=リスト!$C$5,B505=リスト!$C$6),SUM(INDEX(G:G,MATCH(I505-1,I:I,0)+1,1):INDEX(G:G,MATCH(I505,I:I,0)-1,1)),D505-C505)</f>
        <v>#NAME?</v>
      </c>
      <c r="H505" s="140" t="e">
        <f ca="1">mif(C505="","",B505=リスト!$C$5,SUMIF(INDEX(B:B,MATCH(I505-1,I:I,0)+1,1):INDEX(B:B,MATCH(I505,I:I,0)-1,1),リスト!$C$7,INDEX(G:G,MATCH(I505-1,I:I,0)+1,1):INDEX(G:G,MATCH(I505,I:I,0)-1,1)),"")</f>
        <v>#NAME?</v>
      </c>
      <c r="I505" s="200" t="str">
        <f>IF(OR(B505=リスト!$C$5,B505=リスト!$C$6),COUNTIF($B$9:B505,リスト!$C$5)+COUNTIF($B$9:B505,リスト!$C$6),"")</f>
        <v/>
      </c>
    </row>
    <row r="506" spans="2:9" x14ac:dyDescent="0.2">
      <c r="B506" s="196"/>
      <c r="C506" s="197">
        <v>45450.988819444443</v>
      </c>
      <c r="D506" s="197">
        <v>45450.98951388889</v>
      </c>
      <c r="E506" s="198" t="s">
        <v>244</v>
      </c>
      <c r="F506" s="199"/>
      <c r="G506" s="140" t="e">
        <f ca="1">mif(C506="","",OR(B506=リスト!$C$5,B506=リスト!$C$6),SUM(INDEX(G:G,MATCH(I506-1,I:I,0)+1,1):INDEX(G:G,MATCH(I506,I:I,0)-1,1)),D506-C506)</f>
        <v>#NAME?</v>
      </c>
      <c r="H506" s="140" t="e">
        <f ca="1">mif(C506="","",B506=リスト!$C$5,SUMIF(INDEX(B:B,MATCH(I506-1,I:I,0)+1,1):INDEX(B:B,MATCH(I506,I:I,0)-1,1),リスト!$C$7,INDEX(G:G,MATCH(I506-1,I:I,0)+1,1):INDEX(G:G,MATCH(I506,I:I,0)-1,1)),"")</f>
        <v>#NAME?</v>
      </c>
      <c r="I506" s="200" t="str">
        <f>IF(OR(B506=リスト!$C$5,B506=リスト!$C$6),COUNTIF($B$9:B506,リスト!$C$5)+COUNTIF($B$9:B506,リスト!$C$6),"")</f>
        <v/>
      </c>
    </row>
    <row r="507" spans="2:9" x14ac:dyDescent="0.2">
      <c r="B507" s="196"/>
      <c r="C507" s="197">
        <v>45451.028067129628</v>
      </c>
      <c r="D507" s="197">
        <v>45451.028321759259</v>
      </c>
      <c r="E507" s="198" t="s">
        <v>244</v>
      </c>
      <c r="F507" s="199"/>
      <c r="G507" s="140" t="e">
        <f ca="1">mif(C507="","",OR(B507=リスト!$C$5,B507=リスト!$C$6),SUM(INDEX(G:G,MATCH(I507-1,I:I,0)+1,1):INDEX(G:G,MATCH(I507,I:I,0)-1,1)),D507-C507)</f>
        <v>#NAME?</v>
      </c>
      <c r="H507" s="140" t="e">
        <f ca="1">mif(C507="","",B507=リスト!$C$5,SUMIF(INDEX(B:B,MATCH(I507-1,I:I,0)+1,1):INDEX(B:B,MATCH(I507,I:I,0)-1,1),リスト!$C$7,INDEX(G:G,MATCH(I507-1,I:I,0)+1,1):INDEX(G:G,MATCH(I507,I:I,0)-1,1)),"")</f>
        <v>#NAME?</v>
      </c>
      <c r="I507" s="200" t="str">
        <f>IF(OR(B507=リスト!$C$5,B507=リスト!$C$6),COUNTIF($B$9:B507,リスト!$C$5)+COUNTIF($B$9:B507,リスト!$C$6),"")</f>
        <v/>
      </c>
    </row>
    <row r="508" spans="2:9" x14ac:dyDescent="0.2">
      <c r="B508" s="196"/>
      <c r="C508" s="197">
        <v>45451.047546296293</v>
      </c>
      <c r="D508" s="197">
        <v>45451.047824074078</v>
      </c>
      <c r="E508" s="198" t="s">
        <v>244</v>
      </c>
      <c r="F508" s="199"/>
      <c r="G508" s="140" t="e">
        <f ca="1">mif(C508="","",OR(B508=リスト!$C$5,B508=リスト!$C$6),SUM(INDEX(G:G,MATCH(I508-1,I:I,0)+1,1):INDEX(G:G,MATCH(I508,I:I,0)-1,1)),D508-C508)</f>
        <v>#NAME?</v>
      </c>
      <c r="H508" s="140" t="e">
        <f ca="1">mif(C508="","",B508=リスト!$C$5,SUMIF(INDEX(B:B,MATCH(I508-1,I:I,0)+1,1):INDEX(B:B,MATCH(I508,I:I,0)-1,1),リスト!$C$7,INDEX(G:G,MATCH(I508-1,I:I,0)+1,1):INDEX(G:G,MATCH(I508,I:I,0)-1,1)),"")</f>
        <v>#NAME?</v>
      </c>
      <c r="I508" s="200" t="str">
        <f>IF(OR(B508=リスト!$C$5,B508=リスト!$C$6),COUNTIF($B$9:B508,リスト!$C$5)+COUNTIF($B$9:B508,リスト!$C$6),"")</f>
        <v/>
      </c>
    </row>
    <row r="509" spans="2:9" x14ac:dyDescent="0.2">
      <c r="B509" s="196"/>
      <c r="C509" s="197">
        <v>45451.069108796299</v>
      </c>
      <c r="D509" s="197">
        <v>45451.069432870368</v>
      </c>
      <c r="E509" s="198" t="s">
        <v>244</v>
      </c>
      <c r="F509" s="199"/>
      <c r="G509" s="140" t="e">
        <f ca="1">mif(C509="","",OR(B509=リスト!$C$5,B509=リスト!$C$6),SUM(INDEX(G:G,MATCH(I509-1,I:I,0)+1,1):INDEX(G:G,MATCH(I509,I:I,0)-1,1)),D509-C509)</f>
        <v>#NAME?</v>
      </c>
      <c r="H509" s="140" t="e">
        <f ca="1">mif(C509="","",B509=リスト!$C$5,SUMIF(INDEX(B:B,MATCH(I509-1,I:I,0)+1,1):INDEX(B:B,MATCH(I509,I:I,0)-1,1),リスト!$C$7,INDEX(G:G,MATCH(I509-1,I:I,0)+1,1):INDEX(G:G,MATCH(I509,I:I,0)-1,1)),"")</f>
        <v>#NAME?</v>
      </c>
      <c r="I509" s="200" t="str">
        <f>IF(OR(B509=リスト!$C$5,B509=リスト!$C$6),COUNTIF($B$9:B509,リスト!$C$5)+COUNTIF($B$9:B509,リスト!$C$6),"")</f>
        <v/>
      </c>
    </row>
    <row r="510" spans="2:9" x14ac:dyDescent="0.2">
      <c r="B510" s="196"/>
      <c r="C510" s="197">
        <v>45451.103865740741</v>
      </c>
      <c r="D510" s="197">
        <v>45451.10423611111</v>
      </c>
      <c r="E510" s="198" t="s">
        <v>244</v>
      </c>
      <c r="F510" s="199"/>
      <c r="G510" s="140" t="e">
        <f ca="1">mif(C510="","",OR(B510=リスト!$C$5,B510=リスト!$C$6),SUM(INDEX(G:G,MATCH(I510-1,I:I,0)+1,1):INDEX(G:G,MATCH(I510,I:I,0)-1,1)),D510-C510)</f>
        <v>#NAME?</v>
      </c>
      <c r="H510" s="140" t="e">
        <f ca="1">mif(C510="","",B510=リスト!$C$5,SUMIF(INDEX(B:B,MATCH(I510-1,I:I,0)+1,1):INDEX(B:B,MATCH(I510,I:I,0)-1,1),リスト!$C$7,INDEX(G:G,MATCH(I510-1,I:I,0)+1,1):INDEX(G:G,MATCH(I510,I:I,0)-1,1)),"")</f>
        <v>#NAME?</v>
      </c>
      <c r="I510" s="200" t="str">
        <f>IF(OR(B510=リスト!$C$5,B510=リスト!$C$6),COUNTIF($B$9:B510,リスト!$C$5)+COUNTIF($B$9:B510,リスト!$C$6),"")</f>
        <v/>
      </c>
    </row>
    <row r="511" spans="2:9" x14ac:dyDescent="0.2">
      <c r="B511" s="196"/>
      <c r="C511" s="197">
        <v>45451.143796296295</v>
      </c>
      <c r="D511" s="197">
        <v>45451.144907407404</v>
      </c>
      <c r="E511" s="198" t="s">
        <v>244</v>
      </c>
      <c r="F511" s="199"/>
      <c r="G511" s="140" t="e">
        <f ca="1">mif(C511="","",OR(B511=リスト!$C$5,B511=リスト!$C$6),SUM(INDEX(G:G,MATCH(I511-1,I:I,0)+1,1):INDEX(G:G,MATCH(I511,I:I,0)-1,1)),D511-C511)</f>
        <v>#NAME?</v>
      </c>
      <c r="H511" s="140" t="e">
        <f ca="1">mif(C511="","",B511=リスト!$C$5,SUMIF(INDEX(B:B,MATCH(I511-1,I:I,0)+1,1):INDEX(B:B,MATCH(I511,I:I,0)-1,1),リスト!$C$7,INDEX(G:G,MATCH(I511-1,I:I,0)+1,1):INDEX(G:G,MATCH(I511,I:I,0)-1,1)),"")</f>
        <v>#NAME?</v>
      </c>
      <c r="I511" s="200" t="str">
        <f>IF(OR(B511=リスト!$C$5,B511=リスト!$C$6),COUNTIF($B$9:B511,リスト!$C$5)+COUNTIF($B$9:B511,リスト!$C$6),"")</f>
        <v/>
      </c>
    </row>
    <row r="512" spans="2:9" x14ac:dyDescent="0.2">
      <c r="B512" s="196"/>
      <c r="C512" s="197">
        <v>45451.197893518518</v>
      </c>
      <c r="D512" s="197">
        <v>45451.198217592595</v>
      </c>
      <c r="E512" s="198" t="s">
        <v>244</v>
      </c>
      <c r="F512" s="199"/>
      <c r="G512" s="140" t="e">
        <f ca="1">mif(C512="","",OR(B512=リスト!$C$5,B512=リスト!$C$6),SUM(INDEX(G:G,MATCH(I512-1,I:I,0)+1,1):INDEX(G:G,MATCH(I512,I:I,0)-1,1)),D512-C512)</f>
        <v>#NAME?</v>
      </c>
      <c r="H512" s="140" t="e">
        <f ca="1">mif(C512="","",B512=リスト!$C$5,SUMIF(INDEX(B:B,MATCH(I512-1,I:I,0)+1,1):INDEX(B:B,MATCH(I512,I:I,0)-1,1),リスト!$C$7,INDEX(G:G,MATCH(I512-1,I:I,0)+1,1):INDEX(G:G,MATCH(I512,I:I,0)-1,1)),"")</f>
        <v>#NAME?</v>
      </c>
      <c r="I512" s="200" t="str">
        <f>IF(OR(B512=リスト!$C$5,B512=リスト!$C$6),COUNTIF($B$9:B512,リスト!$C$5)+COUNTIF($B$9:B512,リスト!$C$6),"")</f>
        <v/>
      </c>
    </row>
    <row r="513" spans="2:9" x14ac:dyDescent="0.2">
      <c r="B513" s="196"/>
      <c r="C513" s="197">
        <v>45451.19835648148</v>
      </c>
      <c r="D513" s="197">
        <v>45451.198796296296</v>
      </c>
      <c r="E513" s="198" t="s">
        <v>244</v>
      </c>
      <c r="F513" s="199"/>
      <c r="G513" s="140" t="e">
        <f ca="1">mif(C513="","",OR(B513=リスト!$C$5,B513=リスト!$C$6),SUM(INDEX(G:G,MATCH(I513-1,I:I,0)+1,1):INDEX(G:G,MATCH(I513,I:I,0)-1,1)),D513-C513)</f>
        <v>#NAME?</v>
      </c>
      <c r="H513" s="140" t="e">
        <f ca="1">mif(C513="","",B513=リスト!$C$5,SUMIF(INDEX(B:B,MATCH(I513-1,I:I,0)+1,1):INDEX(B:B,MATCH(I513,I:I,0)-1,1),リスト!$C$7,INDEX(G:G,MATCH(I513-1,I:I,0)+1,1):INDEX(G:G,MATCH(I513,I:I,0)-1,1)),"")</f>
        <v>#NAME?</v>
      </c>
      <c r="I513" s="200" t="str">
        <f>IF(OR(B513=リスト!$C$5,B513=リスト!$C$6),COUNTIF($B$9:B513,リスト!$C$5)+COUNTIF($B$9:B513,リスト!$C$6),"")</f>
        <v/>
      </c>
    </row>
    <row r="514" spans="2:9" x14ac:dyDescent="0.2">
      <c r="B514" s="196"/>
      <c r="C514" s="197">
        <v>45451.209664351853</v>
      </c>
      <c r="D514" s="197">
        <v>45451.210011574076</v>
      </c>
      <c r="E514" s="198" t="s">
        <v>244</v>
      </c>
      <c r="F514" s="199"/>
      <c r="G514" s="140" t="e">
        <f ca="1">mif(C514="","",OR(B514=リスト!$C$5,B514=リスト!$C$6),SUM(INDEX(G:G,MATCH(I514-1,I:I,0)+1,1):INDEX(G:G,MATCH(I514,I:I,0)-1,1)),D514-C514)</f>
        <v>#NAME?</v>
      </c>
      <c r="H514" s="140" t="e">
        <f ca="1">mif(C514="","",B514=リスト!$C$5,SUMIF(INDEX(B:B,MATCH(I514-1,I:I,0)+1,1):INDEX(B:B,MATCH(I514,I:I,0)-1,1),リスト!$C$7,INDEX(G:G,MATCH(I514-1,I:I,0)+1,1):INDEX(G:G,MATCH(I514,I:I,0)-1,1)),"")</f>
        <v>#NAME?</v>
      </c>
      <c r="I514" s="200" t="str">
        <f>IF(OR(B514=リスト!$C$5,B514=リスト!$C$6),COUNTIF($B$9:B514,リスト!$C$5)+COUNTIF($B$9:B514,リスト!$C$6),"")</f>
        <v/>
      </c>
    </row>
    <row r="515" spans="2:9" x14ac:dyDescent="0.2">
      <c r="B515" s="196"/>
      <c r="C515" s="197">
        <v>45451.217581018522</v>
      </c>
      <c r="D515" s="197">
        <v>45451.217858796299</v>
      </c>
      <c r="E515" s="198" t="s">
        <v>244</v>
      </c>
      <c r="F515" s="199"/>
      <c r="G515" s="140" t="e">
        <f ca="1">mif(C515="","",OR(B515=リスト!$C$5,B515=リスト!$C$6),SUM(INDEX(G:G,MATCH(I515-1,I:I,0)+1,1):INDEX(G:G,MATCH(I515,I:I,0)-1,1)),D515-C515)</f>
        <v>#NAME?</v>
      </c>
      <c r="H515" s="140" t="e">
        <f ca="1">mif(C515="","",B515=リスト!$C$5,SUMIF(INDEX(B:B,MATCH(I515-1,I:I,0)+1,1):INDEX(B:B,MATCH(I515,I:I,0)-1,1),リスト!$C$7,INDEX(G:G,MATCH(I515-1,I:I,0)+1,1):INDEX(G:G,MATCH(I515,I:I,0)-1,1)),"")</f>
        <v>#NAME?</v>
      </c>
      <c r="I515" s="200" t="str">
        <f>IF(OR(B515=リスト!$C$5,B515=リスト!$C$6),COUNTIF($B$9:B515,リスト!$C$5)+COUNTIF($B$9:B515,リスト!$C$6),"")</f>
        <v/>
      </c>
    </row>
    <row r="516" spans="2:9" x14ac:dyDescent="0.2">
      <c r="B516" s="196"/>
      <c r="C516" s="197">
        <v>45451.247013888889</v>
      </c>
      <c r="D516" s="197">
        <v>45451.247337962966</v>
      </c>
      <c r="E516" s="198" t="s">
        <v>244</v>
      </c>
      <c r="F516" s="199"/>
      <c r="G516" s="140" t="e">
        <f ca="1">mif(C516="","",OR(B516=リスト!$C$5,B516=リスト!$C$6),SUM(INDEX(G:G,MATCH(I516-1,I:I,0)+1,1):INDEX(G:G,MATCH(I516,I:I,0)-1,1)),D516-C516)</f>
        <v>#NAME?</v>
      </c>
      <c r="H516" s="140" t="e">
        <f ca="1">mif(C516="","",B516=リスト!$C$5,SUMIF(INDEX(B:B,MATCH(I516-1,I:I,0)+1,1):INDEX(B:B,MATCH(I516,I:I,0)-1,1),リスト!$C$7,INDEX(G:G,MATCH(I516-1,I:I,0)+1,1):INDEX(G:G,MATCH(I516,I:I,0)-1,1)),"")</f>
        <v>#NAME?</v>
      </c>
      <c r="I516" s="200" t="str">
        <f>IF(OR(B516=リスト!$C$5,B516=リスト!$C$6),COUNTIF($B$9:B516,リスト!$C$5)+COUNTIF($B$9:B516,リスト!$C$6),"")</f>
        <v/>
      </c>
    </row>
    <row r="517" spans="2:9" x14ac:dyDescent="0.2">
      <c r="B517" s="196"/>
      <c r="C517" s="197">
        <v>45451.3512962963</v>
      </c>
      <c r="D517" s="197">
        <v>45451.351550925923</v>
      </c>
      <c r="E517" s="198" t="s">
        <v>244</v>
      </c>
      <c r="F517" s="199"/>
      <c r="G517" s="140" t="e">
        <f ca="1">mif(C517="","",OR(B517=リスト!$C$5,B517=リスト!$C$6),SUM(INDEX(G:G,MATCH(I517-1,I:I,0)+1,1):INDEX(G:G,MATCH(I517,I:I,0)-1,1)),D517-C517)</f>
        <v>#NAME?</v>
      </c>
      <c r="H517" s="140" t="e">
        <f ca="1">mif(C517="","",B517=リスト!$C$5,SUMIF(INDEX(B:B,MATCH(I517-1,I:I,0)+1,1):INDEX(B:B,MATCH(I517,I:I,0)-1,1),リスト!$C$7,INDEX(G:G,MATCH(I517-1,I:I,0)+1,1):INDEX(G:G,MATCH(I517,I:I,0)-1,1)),"")</f>
        <v>#NAME?</v>
      </c>
      <c r="I517" s="200" t="str">
        <f>IF(OR(B517=リスト!$C$5,B517=リスト!$C$6),COUNTIF($B$9:B517,リスト!$C$5)+COUNTIF($B$9:B517,リスト!$C$6),"")</f>
        <v/>
      </c>
    </row>
    <row r="518" spans="2:9" x14ac:dyDescent="0.2">
      <c r="B518" s="196"/>
      <c r="C518" s="197">
        <v>45451.362951388888</v>
      </c>
      <c r="D518" s="197">
        <v>45451.363252314812</v>
      </c>
      <c r="E518" s="198" t="s">
        <v>244</v>
      </c>
      <c r="F518" s="199"/>
      <c r="G518" s="140" t="e">
        <f ca="1">mif(C518="","",OR(B518=リスト!$C$5,B518=リスト!$C$6),SUM(INDEX(G:G,MATCH(I518-1,I:I,0)+1,1):INDEX(G:G,MATCH(I518,I:I,0)-1,1)),D518-C518)</f>
        <v>#NAME?</v>
      </c>
      <c r="H518" s="140" t="e">
        <f ca="1">mif(C518="","",B518=リスト!$C$5,SUMIF(INDEX(B:B,MATCH(I518-1,I:I,0)+1,1):INDEX(B:B,MATCH(I518,I:I,0)-1,1),リスト!$C$7,INDEX(G:G,MATCH(I518-1,I:I,0)+1,1):INDEX(G:G,MATCH(I518,I:I,0)-1,1)),"")</f>
        <v>#NAME?</v>
      </c>
      <c r="I518" s="200" t="str">
        <f>IF(OR(B518=リスト!$C$5,B518=リスト!$C$6),COUNTIF($B$9:B518,リスト!$C$5)+COUNTIF($B$9:B518,リスト!$C$6),"")</f>
        <v/>
      </c>
    </row>
    <row r="519" spans="2:9" x14ac:dyDescent="0.2">
      <c r="B519" s="196"/>
      <c r="C519" s="197">
        <v>45451.363368055558</v>
      </c>
      <c r="D519" s="197">
        <v>45451.363854166666</v>
      </c>
      <c r="E519" s="198" t="s">
        <v>244</v>
      </c>
      <c r="F519" s="199"/>
      <c r="G519" s="140" t="e">
        <f ca="1">mif(C519="","",OR(B519=リスト!$C$5,B519=リスト!$C$6),SUM(INDEX(G:G,MATCH(I519-1,I:I,0)+1,1):INDEX(G:G,MATCH(I519,I:I,0)-1,1)),D519-C519)</f>
        <v>#NAME?</v>
      </c>
      <c r="H519" s="140" t="e">
        <f ca="1">mif(C519="","",B519=リスト!$C$5,SUMIF(INDEX(B:B,MATCH(I519-1,I:I,0)+1,1):INDEX(B:B,MATCH(I519,I:I,0)-1,1),リスト!$C$7,INDEX(G:G,MATCH(I519-1,I:I,0)+1,1):INDEX(G:G,MATCH(I519,I:I,0)-1,1)),"")</f>
        <v>#NAME?</v>
      </c>
      <c r="I519" s="200" t="str">
        <f>IF(OR(B519=リスト!$C$5,B519=リスト!$C$6),COUNTIF($B$9:B519,リスト!$C$5)+COUNTIF($B$9:B519,リスト!$C$6),"")</f>
        <v/>
      </c>
    </row>
    <row r="520" spans="2:9" x14ac:dyDescent="0.2">
      <c r="B520" s="196" t="s">
        <v>247</v>
      </c>
      <c r="C520" s="197">
        <v>45450.916666666664</v>
      </c>
      <c r="D520" s="197">
        <v>45451.416666666664</v>
      </c>
      <c r="E520" s="198">
        <v>17</v>
      </c>
      <c r="F520" s="199"/>
      <c r="G520" s="140" t="e">
        <f ca="1">mif(C520="","",OR(B520=リスト!$C$5,B520=リスト!$C$6),SUM(INDEX(G:G,MATCH(I520-1,I:I,0)+1,1):INDEX(G:G,MATCH(I520,I:I,0)-1,1)),D520-C520)</f>
        <v>#NAME?</v>
      </c>
      <c r="H520" s="140" t="e">
        <f ca="1">mif(C520="","",B520=リスト!$C$5,SUMIF(INDEX(B:B,MATCH(I520-1,I:I,0)+1,1):INDEX(B:B,MATCH(I520,I:I,0)-1,1),リスト!$C$7,INDEX(G:G,MATCH(I520-1,I:I,0)+1,1):INDEX(G:G,MATCH(I520,I:I,0)-1,1)),"")</f>
        <v>#NAME?</v>
      </c>
      <c r="I520" s="200">
        <f>IF(OR(B520=リスト!$C$5,B520=リスト!$C$6),COUNTIF($B$9:B520,リスト!$C$5)+COUNTIF($B$9:B520,リスト!$C$6),"")</f>
        <v>34</v>
      </c>
    </row>
    <row r="521" spans="2:9" x14ac:dyDescent="0.2">
      <c r="B521" s="196"/>
      <c r="C521" s="197">
        <v>45451.421400462961</v>
      </c>
      <c r="D521" s="197">
        <v>45451.422361111108</v>
      </c>
      <c r="E521" s="198" t="s">
        <v>244</v>
      </c>
      <c r="F521" s="199"/>
      <c r="G521" s="140" t="e">
        <f ca="1">mif(C521="","",OR(B521=リスト!$C$5,B521=リスト!$C$6),SUM(INDEX(G:G,MATCH(I521-1,I:I,0)+1,1):INDEX(G:G,MATCH(I521,I:I,0)-1,1)),D521-C521)</f>
        <v>#NAME?</v>
      </c>
      <c r="H521" s="140" t="e">
        <f ca="1">mif(C521="","",B521=リスト!$C$5,SUMIF(INDEX(B:B,MATCH(I521-1,I:I,0)+1,1):INDEX(B:B,MATCH(I521,I:I,0)-1,1),リスト!$C$7,INDEX(G:G,MATCH(I521-1,I:I,0)+1,1):INDEX(G:G,MATCH(I521,I:I,0)-1,1)),"")</f>
        <v>#NAME?</v>
      </c>
      <c r="I521" s="200" t="str">
        <f>IF(OR(B521=リスト!$C$5,B521=リスト!$C$6),COUNTIF($B$9:B521,リスト!$C$5)+COUNTIF($B$9:B521,リスト!$C$6),"")</f>
        <v/>
      </c>
    </row>
    <row r="522" spans="2:9" x14ac:dyDescent="0.2">
      <c r="B522" s="196"/>
      <c r="C522" s="197">
        <v>45451.423067129632</v>
      </c>
      <c r="D522" s="197">
        <v>45451.423391203702</v>
      </c>
      <c r="E522" s="198" t="s">
        <v>244</v>
      </c>
      <c r="F522" s="199"/>
      <c r="G522" s="140" t="e">
        <f ca="1">mif(C522="","",OR(B522=リスト!$C$5,B522=リスト!$C$6),SUM(INDEX(G:G,MATCH(I522-1,I:I,0)+1,1):INDEX(G:G,MATCH(I522,I:I,0)-1,1)),D522-C522)</f>
        <v>#NAME?</v>
      </c>
      <c r="H522" s="140" t="e">
        <f ca="1">mif(C522="","",B522=リスト!$C$5,SUMIF(INDEX(B:B,MATCH(I522-1,I:I,0)+1,1):INDEX(B:B,MATCH(I522,I:I,0)-1,1),リスト!$C$7,INDEX(G:G,MATCH(I522-1,I:I,0)+1,1):INDEX(G:G,MATCH(I522,I:I,0)-1,1)),"")</f>
        <v>#NAME?</v>
      </c>
      <c r="I522" s="200" t="str">
        <f>IF(OR(B522=リスト!$C$5,B522=リスト!$C$6),COUNTIF($B$9:B522,リスト!$C$5)+COUNTIF($B$9:B522,リスト!$C$6),"")</f>
        <v/>
      </c>
    </row>
    <row r="523" spans="2:9" x14ac:dyDescent="0.2">
      <c r="B523" s="196"/>
      <c r="C523" s="197">
        <v>45451.438472222224</v>
      </c>
      <c r="D523" s="197">
        <v>45451.438726851855</v>
      </c>
      <c r="E523" s="198" t="s">
        <v>244</v>
      </c>
      <c r="F523" s="199"/>
      <c r="G523" s="140" t="e">
        <f ca="1">mif(C523="","",OR(B523=リスト!$C$5,B523=リスト!$C$6),SUM(INDEX(G:G,MATCH(I523-1,I:I,0)+1,1):INDEX(G:G,MATCH(I523,I:I,0)-1,1)),D523-C523)</f>
        <v>#NAME?</v>
      </c>
      <c r="H523" s="140" t="e">
        <f ca="1">mif(C523="","",B523=リスト!$C$5,SUMIF(INDEX(B:B,MATCH(I523-1,I:I,0)+1,1):INDEX(B:B,MATCH(I523,I:I,0)-1,1),リスト!$C$7,INDEX(G:G,MATCH(I523-1,I:I,0)+1,1):INDEX(G:G,MATCH(I523,I:I,0)-1,1)),"")</f>
        <v>#NAME?</v>
      </c>
      <c r="I523" s="200" t="str">
        <f>IF(OR(B523=リスト!$C$5,B523=リスト!$C$6),COUNTIF($B$9:B523,リスト!$C$5)+COUNTIF($B$9:B523,リスト!$C$6),"")</f>
        <v/>
      </c>
    </row>
    <row r="524" spans="2:9" x14ac:dyDescent="0.2">
      <c r="B524" s="196"/>
      <c r="C524" s="197">
        <v>45451.471608796295</v>
      </c>
      <c r="D524" s="197">
        <v>45451.471979166665</v>
      </c>
      <c r="E524" s="198" t="s">
        <v>244</v>
      </c>
      <c r="F524" s="199"/>
      <c r="G524" s="140" t="e">
        <f ca="1">mif(C524="","",OR(B524=リスト!$C$5,B524=リスト!$C$6),SUM(INDEX(G:G,MATCH(I524-1,I:I,0)+1,1):INDEX(G:G,MATCH(I524,I:I,0)-1,1)),D524-C524)</f>
        <v>#NAME?</v>
      </c>
      <c r="H524" s="140" t="e">
        <f ca="1">mif(C524="","",B524=リスト!$C$5,SUMIF(INDEX(B:B,MATCH(I524-1,I:I,0)+1,1):INDEX(B:B,MATCH(I524,I:I,0)-1,1),リスト!$C$7,INDEX(G:G,MATCH(I524-1,I:I,0)+1,1):INDEX(G:G,MATCH(I524,I:I,0)-1,1)),"")</f>
        <v>#NAME?</v>
      </c>
      <c r="I524" s="200" t="str">
        <f>IF(OR(B524=リスト!$C$5,B524=リスト!$C$6),COUNTIF($B$9:B524,リスト!$C$5)+COUNTIF($B$9:B524,リスト!$C$6),"")</f>
        <v/>
      </c>
    </row>
    <row r="525" spans="2:9" x14ac:dyDescent="0.2">
      <c r="B525" s="196"/>
      <c r="C525" s="197">
        <v>45451.487627314818</v>
      </c>
      <c r="D525" s="197">
        <v>45451.487951388888</v>
      </c>
      <c r="E525" s="198" t="s">
        <v>244</v>
      </c>
      <c r="F525" s="199"/>
      <c r="G525" s="140" t="e">
        <f ca="1">mif(C525="","",OR(B525=リスト!$C$5,B525=リスト!$C$6),SUM(INDEX(G:G,MATCH(I525-1,I:I,0)+1,1):INDEX(G:G,MATCH(I525,I:I,0)-1,1)),D525-C525)</f>
        <v>#NAME?</v>
      </c>
      <c r="H525" s="140" t="e">
        <f ca="1">mif(C525="","",B525=リスト!$C$5,SUMIF(INDEX(B:B,MATCH(I525-1,I:I,0)+1,1):INDEX(B:B,MATCH(I525,I:I,0)-1,1),リスト!$C$7,INDEX(G:G,MATCH(I525-1,I:I,0)+1,1):INDEX(G:G,MATCH(I525,I:I,0)-1,1)),"")</f>
        <v>#NAME?</v>
      </c>
      <c r="I525" s="200" t="str">
        <f>IF(OR(B525=リスト!$C$5,B525=リスト!$C$6),COUNTIF($B$9:B525,リスト!$C$5)+COUNTIF($B$9:B525,リスト!$C$6),"")</f>
        <v/>
      </c>
    </row>
    <row r="526" spans="2:9" x14ac:dyDescent="0.2">
      <c r="B526" s="196"/>
      <c r="C526" s="197">
        <v>45451.506898148145</v>
      </c>
      <c r="D526" s="197">
        <v>45451.507152777776</v>
      </c>
      <c r="E526" s="198" t="s">
        <v>244</v>
      </c>
      <c r="F526" s="199"/>
      <c r="G526" s="140" t="e">
        <f ca="1">mif(C526="","",OR(B526=リスト!$C$5,B526=リスト!$C$6),SUM(INDEX(G:G,MATCH(I526-1,I:I,0)+1,1):INDEX(G:G,MATCH(I526,I:I,0)-1,1)),D526-C526)</f>
        <v>#NAME?</v>
      </c>
      <c r="H526" s="140" t="e">
        <f ca="1">mif(C526="","",B526=リスト!$C$5,SUMIF(INDEX(B:B,MATCH(I526-1,I:I,0)+1,1):INDEX(B:B,MATCH(I526,I:I,0)-1,1),リスト!$C$7,INDEX(G:G,MATCH(I526-1,I:I,0)+1,1):INDEX(G:G,MATCH(I526,I:I,0)-1,1)),"")</f>
        <v>#NAME?</v>
      </c>
      <c r="I526" s="200" t="str">
        <f>IF(OR(B526=リスト!$C$5,B526=リスト!$C$6),COUNTIF($B$9:B526,リスト!$C$5)+COUNTIF($B$9:B526,リスト!$C$6),"")</f>
        <v/>
      </c>
    </row>
    <row r="527" spans="2:9" x14ac:dyDescent="0.2">
      <c r="B527" s="196"/>
      <c r="C527" s="197">
        <v>45451.537766203706</v>
      </c>
      <c r="D527" s="197">
        <v>45451.53802083333</v>
      </c>
      <c r="E527" s="198" t="s">
        <v>244</v>
      </c>
      <c r="F527" s="199"/>
      <c r="G527" s="140" t="e">
        <f ca="1">mif(C527="","",OR(B527=リスト!$C$5,B527=リスト!$C$6),SUM(INDEX(G:G,MATCH(I527-1,I:I,0)+1,1):INDEX(G:G,MATCH(I527,I:I,0)-1,1)),D527-C527)</f>
        <v>#NAME?</v>
      </c>
      <c r="H527" s="140" t="e">
        <f ca="1">mif(C527="","",B527=リスト!$C$5,SUMIF(INDEX(B:B,MATCH(I527-1,I:I,0)+1,1):INDEX(B:B,MATCH(I527,I:I,0)-1,1),リスト!$C$7,INDEX(G:G,MATCH(I527-1,I:I,0)+1,1):INDEX(G:G,MATCH(I527,I:I,0)-1,1)),"")</f>
        <v>#NAME?</v>
      </c>
      <c r="I527" s="200" t="str">
        <f>IF(OR(B527=リスト!$C$5,B527=リスト!$C$6),COUNTIF($B$9:B527,リスト!$C$5)+COUNTIF($B$9:B527,リスト!$C$6),"")</f>
        <v/>
      </c>
    </row>
    <row r="528" spans="2:9" x14ac:dyDescent="0.2">
      <c r="B528" s="196"/>
      <c r="C528" s="197">
        <v>45451.561759259261</v>
      </c>
      <c r="D528" s="197">
        <v>45451.562037037038</v>
      </c>
      <c r="E528" s="198" t="s">
        <v>244</v>
      </c>
      <c r="F528" s="199"/>
      <c r="G528" s="140" t="e">
        <f ca="1">mif(C528="","",OR(B528=リスト!$C$5,B528=リスト!$C$6),SUM(INDEX(G:G,MATCH(I528-1,I:I,0)+1,1):INDEX(G:G,MATCH(I528,I:I,0)-1,1)),D528-C528)</f>
        <v>#NAME?</v>
      </c>
      <c r="H528" s="140" t="e">
        <f ca="1">mif(C528="","",B528=リスト!$C$5,SUMIF(INDEX(B:B,MATCH(I528-1,I:I,0)+1,1):INDEX(B:B,MATCH(I528,I:I,0)-1,1),リスト!$C$7,INDEX(G:G,MATCH(I528-1,I:I,0)+1,1):INDEX(G:G,MATCH(I528,I:I,0)-1,1)),"")</f>
        <v>#NAME?</v>
      </c>
      <c r="I528" s="200" t="str">
        <f>IF(OR(B528=リスト!$C$5,B528=リスト!$C$6),COUNTIF($B$9:B528,リスト!$C$5)+COUNTIF($B$9:B528,リスト!$C$6),"")</f>
        <v/>
      </c>
    </row>
    <row r="529" spans="2:9" x14ac:dyDescent="0.2">
      <c r="B529" s="196"/>
      <c r="C529" s="197">
        <v>45451.592268518521</v>
      </c>
      <c r="D529" s="197">
        <v>45451.592523148145</v>
      </c>
      <c r="E529" s="198" t="s">
        <v>244</v>
      </c>
      <c r="F529" s="199"/>
      <c r="G529" s="140" t="e">
        <f ca="1">mif(C529="","",OR(B529=リスト!$C$5,B529=リスト!$C$6),SUM(INDEX(G:G,MATCH(I529-1,I:I,0)+1,1):INDEX(G:G,MATCH(I529,I:I,0)-1,1)),D529-C529)</f>
        <v>#NAME?</v>
      </c>
      <c r="H529" s="140" t="e">
        <f ca="1">mif(C529="","",B529=リスト!$C$5,SUMIF(INDEX(B:B,MATCH(I529-1,I:I,0)+1,1):INDEX(B:B,MATCH(I529,I:I,0)-1,1),リスト!$C$7,INDEX(G:G,MATCH(I529-1,I:I,0)+1,1):INDEX(G:G,MATCH(I529,I:I,0)-1,1)),"")</f>
        <v>#NAME?</v>
      </c>
      <c r="I529" s="200" t="str">
        <f>IF(OR(B529=リスト!$C$5,B529=リスト!$C$6),COUNTIF($B$9:B529,リスト!$C$5)+COUNTIF($B$9:B529,リスト!$C$6),"")</f>
        <v/>
      </c>
    </row>
    <row r="530" spans="2:9" x14ac:dyDescent="0.2">
      <c r="B530" s="196"/>
      <c r="C530" s="197">
        <v>45451.67591435185</v>
      </c>
      <c r="D530" s="197">
        <v>45451.676539351851</v>
      </c>
      <c r="E530" s="198" t="s">
        <v>244</v>
      </c>
      <c r="F530" s="199"/>
      <c r="G530" s="140" t="e">
        <f ca="1">mif(C530="","",OR(B530=リスト!$C$5,B530=リスト!$C$6),SUM(INDEX(G:G,MATCH(I530-1,I:I,0)+1,1):INDEX(G:G,MATCH(I530,I:I,0)-1,1)),D530-C530)</f>
        <v>#NAME?</v>
      </c>
      <c r="H530" s="140" t="e">
        <f ca="1">mif(C530="","",B530=リスト!$C$5,SUMIF(INDEX(B:B,MATCH(I530-1,I:I,0)+1,1):INDEX(B:B,MATCH(I530,I:I,0)-1,1),リスト!$C$7,INDEX(G:G,MATCH(I530-1,I:I,0)+1,1):INDEX(G:G,MATCH(I530,I:I,0)-1,1)),"")</f>
        <v>#NAME?</v>
      </c>
      <c r="I530" s="200" t="str">
        <f>IF(OR(B530=リスト!$C$5,B530=リスト!$C$6),COUNTIF($B$9:B530,リスト!$C$5)+COUNTIF($B$9:B530,リスト!$C$6),"")</f>
        <v/>
      </c>
    </row>
    <row r="531" spans="2:9" x14ac:dyDescent="0.2">
      <c r="B531" s="196"/>
      <c r="C531" s="197">
        <v>45451.769247685188</v>
      </c>
      <c r="D531" s="197">
        <v>45451.769502314812</v>
      </c>
      <c r="E531" s="198" t="s">
        <v>244</v>
      </c>
      <c r="F531" s="199"/>
      <c r="G531" s="140" t="e">
        <f ca="1">mif(C531="","",OR(B531=リスト!$C$5,B531=リスト!$C$6),SUM(INDEX(G:G,MATCH(I531-1,I:I,0)+1,1):INDEX(G:G,MATCH(I531,I:I,0)-1,1)),D531-C531)</f>
        <v>#NAME?</v>
      </c>
      <c r="H531" s="140" t="e">
        <f ca="1">mif(C531="","",B531=リスト!$C$5,SUMIF(INDEX(B:B,MATCH(I531-1,I:I,0)+1,1):INDEX(B:B,MATCH(I531,I:I,0)-1,1),リスト!$C$7,INDEX(G:G,MATCH(I531-1,I:I,0)+1,1):INDEX(G:G,MATCH(I531,I:I,0)-1,1)),"")</f>
        <v>#NAME?</v>
      </c>
      <c r="I531" s="200" t="str">
        <f>IF(OR(B531=リスト!$C$5,B531=リスト!$C$6),COUNTIF($B$9:B531,リスト!$C$5)+COUNTIF($B$9:B531,リスト!$C$6),"")</f>
        <v/>
      </c>
    </row>
    <row r="532" spans="2:9" x14ac:dyDescent="0.2">
      <c r="B532" s="196" t="s">
        <v>247</v>
      </c>
      <c r="C532" s="197">
        <v>45451.416666666664</v>
      </c>
      <c r="D532" s="197">
        <v>45451.916666666664</v>
      </c>
      <c r="E532" s="198">
        <v>11</v>
      </c>
      <c r="F532" s="199"/>
      <c r="G532" s="140" t="e">
        <f ca="1">mif(C532="","",OR(B532=リスト!$C$5,B532=リスト!$C$6),SUM(INDEX(G:G,MATCH(I532-1,I:I,0)+1,1):INDEX(G:G,MATCH(I532,I:I,0)-1,1)),D532-C532)</f>
        <v>#NAME?</v>
      </c>
      <c r="H532" s="140" t="e">
        <f ca="1">mif(C532="","",B532=リスト!$C$5,SUMIF(INDEX(B:B,MATCH(I532-1,I:I,0)+1,1):INDEX(B:B,MATCH(I532,I:I,0)-1,1),リスト!$C$7,INDEX(G:G,MATCH(I532-1,I:I,0)+1,1):INDEX(G:G,MATCH(I532,I:I,0)-1,1)),"")</f>
        <v>#NAME?</v>
      </c>
      <c r="I532" s="200">
        <f>IF(OR(B532=リスト!$C$5,B532=リスト!$C$6),COUNTIF($B$9:B532,リスト!$C$5)+COUNTIF($B$9:B532,リスト!$C$6),"")</f>
        <v>35</v>
      </c>
    </row>
    <row r="533" spans="2:9" x14ac:dyDescent="0.2">
      <c r="B533" s="196"/>
      <c r="C533" s="197">
        <v>45451.932627314818</v>
      </c>
      <c r="D533" s="197">
        <v>45451.932858796295</v>
      </c>
      <c r="E533" s="198" t="s">
        <v>244</v>
      </c>
      <c r="F533" s="199"/>
      <c r="G533" s="140" t="e">
        <f ca="1">mif(C533="","",OR(B533=リスト!$C$5,B533=リスト!$C$6),SUM(INDEX(G:G,MATCH(I533-1,I:I,0)+1,1):INDEX(G:G,MATCH(I533,I:I,0)-1,1)),D533-C533)</f>
        <v>#NAME?</v>
      </c>
      <c r="H533" s="140" t="e">
        <f ca="1">mif(C533="","",B533=リスト!$C$5,SUMIF(INDEX(B:B,MATCH(I533-1,I:I,0)+1,1):INDEX(B:B,MATCH(I533,I:I,0)-1,1),リスト!$C$7,INDEX(G:G,MATCH(I533-1,I:I,0)+1,1):INDEX(G:G,MATCH(I533,I:I,0)-1,1)),"")</f>
        <v>#NAME?</v>
      </c>
      <c r="I533" s="200" t="str">
        <f>IF(OR(B533=リスト!$C$5,B533=リスト!$C$6),COUNTIF($B$9:B533,リスト!$C$5)+COUNTIF($B$9:B533,リスト!$C$6),"")</f>
        <v/>
      </c>
    </row>
    <row r="534" spans="2:9" x14ac:dyDescent="0.2">
      <c r="B534" s="196"/>
      <c r="C534" s="197">
        <v>45451.958472222221</v>
      </c>
      <c r="D534" s="197">
        <v>45451.959050925929</v>
      </c>
      <c r="E534" s="198" t="s">
        <v>244</v>
      </c>
      <c r="F534" s="199"/>
      <c r="G534" s="140" t="e">
        <f ca="1">mif(C534="","",OR(B534=リスト!$C$5,B534=リスト!$C$6),SUM(INDEX(G:G,MATCH(I534-1,I:I,0)+1,1):INDEX(G:G,MATCH(I534,I:I,0)-1,1)),D534-C534)</f>
        <v>#NAME?</v>
      </c>
      <c r="H534" s="140" t="e">
        <f ca="1">mif(C534="","",B534=リスト!$C$5,SUMIF(INDEX(B:B,MATCH(I534-1,I:I,0)+1,1):INDEX(B:B,MATCH(I534,I:I,0)-1,1),リスト!$C$7,INDEX(G:G,MATCH(I534-1,I:I,0)+1,1):INDEX(G:G,MATCH(I534,I:I,0)-1,1)),"")</f>
        <v>#NAME?</v>
      </c>
      <c r="I534" s="200" t="str">
        <f>IF(OR(B534=リスト!$C$5,B534=リスト!$C$6),COUNTIF($B$9:B534,リスト!$C$5)+COUNTIF($B$9:B534,リスト!$C$6),"")</f>
        <v/>
      </c>
    </row>
    <row r="535" spans="2:9" x14ac:dyDescent="0.2">
      <c r="B535" s="196"/>
      <c r="C535" s="197">
        <v>45451.963287037041</v>
      </c>
      <c r="D535" s="197">
        <v>45451.963819444441</v>
      </c>
      <c r="E535" s="198" t="s">
        <v>244</v>
      </c>
      <c r="F535" s="199"/>
      <c r="G535" s="140" t="e">
        <f ca="1">mif(C535="","",OR(B535=リスト!$C$5,B535=リスト!$C$6),SUM(INDEX(G:G,MATCH(I535-1,I:I,0)+1,1):INDEX(G:G,MATCH(I535,I:I,0)-1,1)),D535-C535)</f>
        <v>#NAME?</v>
      </c>
      <c r="H535" s="140" t="e">
        <f ca="1">mif(C535="","",B535=リスト!$C$5,SUMIF(INDEX(B:B,MATCH(I535-1,I:I,0)+1,1):INDEX(B:B,MATCH(I535,I:I,0)-1,1),リスト!$C$7,INDEX(G:G,MATCH(I535-1,I:I,0)+1,1):INDEX(G:G,MATCH(I535,I:I,0)-1,1)),"")</f>
        <v>#NAME?</v>
      </c>
      <c r="I535" s="200" t="str">
        <f>IF(OR(B535=リスト!$C$5,B535=リスト!$C$6),COUNTIF($B$9:B535,リスト!$C$5)+COUNTIF($B$9:B535,リスト!$C$6),"")</f>
        <v/>
      </c>
    </row>
    <row r="536" spans="2:9" x14ac:dyDescent="0.2">
      <c r="B536" s="196"/>
      <c r="C536" s="197">
        <v>45451.970277777778</v>
      </c>
      <c r="D536" s="197">
        <v>45451.971087962964</v>
      </c>
      <c r="E536" s="198" t="s">
        <v>244</v>
      </c>
      <c r="F536" s="199"/>
      <c r="G536" s="140" t="e">
        <f ca="1">mif(C536="","",OR(B536=リスト!$C$5,B536=リスト!$C$6),SUM(INDEX(G:G,MATCH(I536-1,I:I,0)+1,1):INDEX(G:G,MATCH(I536,I:I,0)-1,1)),D536-C536)</f>
        <v>#NAME?</v>
      </c>
      <c r="H536" s="140" t="e">
        <f ca="1">mif(C536="","",B536=リスト!$C$5,SUMIF(INDEX(B:B,MATCH(I536-1,I:I,0)+1,1):INDEX(B:B,MATCH(I536,I:I,0)-1,1),リスト!$C$7,INDEX(G:G,MATCH(I536-1,I:I,0)+1,1):INDEX(G:G,MATCH(I536,I:I,0)-1,1)),"")</f>
        <v>#NAME?</v>
      </c>
      <c r="I536" s="200" t="str">
        <f>IF(OR(B536=リスト!$C$5,B536=リスト!$C$6),COUNTIF($B$9:B536,リスト!$C$5)+COUNTIF($B$9:B536,リスト!$C$6),"")</f>
        <v/>
      </c>
    </row>
    <row r="537" spans="2:9" x14ac:dyDescent="0.2">
      <c r="B537" s="196"/>
      <c r="C537" s="197">
        <v>45451.974131944444</v>
      </c>
      <c r="D537" s="197">
        <v>45451.97452546296</v>
      </c>
      <c r="E537" s="198" t="s">
        <v>244</v>
      </c>
      <c r="F537" s="199"/>
      <c r="G537" s="140" t="e">
        <f ca="1">mif(C537="","",OR(B537=リスト!$C$5,B537=リスト!$C$6),SUM(INDEX(G:G,MATCH(I537-1,I:I,0)+1,1):INDEX(G:G,MATCH(I537,I:I,0)-1,1)),D537-C537)</f>
        <v>#NAME?</v>
      </c>
      <c r="H537" s="140" t="e">
        <f ca="1">mif(C537="","",B537=リスト!$C$5,SUMIF(INDEX(B:B,MATCH(I537-1,I:I,0)+1,1):INDEX(B:B,MATCH(I537,I:I,0)-1,1),リスト!$C$7,INDEX(G:G,MATCH(I537-1,I:I,0)+1,1):INDEX(G:G,MATCH(I537,I:I,0)-1,1)),"")</f>
        <v>#NAME?</v>
      </c>
      <c r="I537" s="200" t="str">
        <f>IF(OR(B537=リスト!$C$5,B537=リスト!$C$6),COUNTIF($B$9:B537,リスト!$C$5)+COUNTIF($B$9:B537,リスト!$C$6),"")</f>
        <v/>
      </c>
    </row>
    <row r="538" spans="2:9" x14ac:dyDescent="0.2">
      <c r="B538" s="196"/>
      <c r="C538" s="197">
        <v>45452.026817129627</v>
      </c>
      <c r="D538" s="197">
        <v>45452.027141203704</v>
      </c>
      <c r="E538" s="198" t="s">
        <v>244</v>
      </c>
      <c r="F538" s="199"/>
      <c r="G538" s="140" t="e">
        <f ca="1">mif(C538="","",OR(B538=リスト!$C$5,B538=リスト!$C$6),SUM(INDEX(G:G,MATCH(I538-1,I:I,0)+1,1):INDEX(G:G,MATCH(I538,I:I,0)-1,1)),D538-C538)</f>
        <v>#NAME?</v>
      </c>
      <c r="H538" s="140" t="e">
        <f ca="1">mif(C538="","",B538=リスト!$C$5,SUMIF(INDEX(B:B,MATCH(I538-1,I:I,0)+1,1):INDEX(B:B,MATCH(I538,I:I,0)-1,1),リスト!$C$7,INDEX(G:G,MATCH(I538-1,I:I,0)+1,1):INDEX(G:G,MATCH(I538,I:I,0)-1,1)),"")</f>
        <v>#NAME?</v>
      </c>
      <c r="I538" s="200" t="str">
        <f>IF(OR(B538=リスト!$C$5,B538=リスト!$C$6),COUNTIF($B$9:B538,リスト!$C$5)+COUNTIF($B$9:B538,リスト!$C$6),"")</f>
        <v/>
      </c>
    </row>
    <row r="539" spans="2:9" x14ac:dyDescent="0.2">
      <c r="B539" s="196"/>
      <c r="C539" s="197">
        <v>45452.043969907405</v>
      </c>
      <c r="D539" s="197">
        <v>45452.044270833336</v>
      </c>
      <c r="E539" s="198" t="s">
        <v>244</v>
      </c>
      <c r="F539" s="199"/>
      <c r="G539" s="140" t="e">
        <f ca="1">mif(C539="","",OR(B539=リスト!$C$5,B539=リスト!$C$6),SUM(INDEX(G:G,MATCH(I539-1,I:I,0)+1,1):INDEX(G:G,MATCH(I539,I:I,0)-1,1)),D539-C539)</f>
        <v>#NAME?</v>
      </c>
      <c r="H539" s="140" t="e">
        <f ca="1">mif(C539="","",B539=リスト!$C$5,SUMIF(INDEX(B:B,MATCH(I539-1,I:I,0)+1,1):INDEX(B:B,MATCH(I539,I:I,0)-1,1),リスト!$C$7,INDEX(G:G,MATCH(I539-1,I:I,0)+1,1):INDEX(G:G,MATCH(I539,I:I,0)-1,1)),"")</f>
        <v>#NAME?</v>
      </c>
      <c r="I539" s="200" t="str">
        <f>IF(OR(B539=リスト!$C$5,B539=リスト!$C$6),COUNTIF($B$9:B539,リスト!$C$5)+COUNTIF($B$9:B539,リスト!$C$6),"")</f>
        <v/>
      </c>
    </row>
    <row r="540" spans="2:9" x14ac:dyDescent="0.2">
      <c r="B540" s="196"/>
      <c r="C540" s="197">
        <v>45452.064583333333</v>
      </c>
      <c r="D540" s="197">
        <v>45452.065115740741</v>
      </c>
      <c r="E540" s="198" t="s">
        <v>244</v>
      </c>
      <c r="F540" s="199"/>
      <c r="G540" s="140" t="e">
        <f ca="1">mif(C540="","",OR(B540=リスト!$C$5,B540=リスト!$C$6),SUM(INDEX(G:G,MATCH(I540-1,I:I,0)+1,1):INDEX(G:G,MATCH(I540,I:I,0)-1,1)),D540-C540)</f>
        <v>#NAME?</v>
      </c>
      <c r="H540" s="140" t="e">
        <f ca="1">mif(C540="","",B540=リスト!$C$5,SUMIF(INDEX(B:B,MATCH(I540-1,I:I,0)+1,1):INDEX(B:B,MATCH(I540,I:I,0)-1,1),リスト!$C$7,INDEX(G:G,MATCH(I540-1,I:I,0)+1,1):INDEX(G:G,MATCH(I540,I:I,0)-1,1)),"")</f>
        <v>#NAME?</v>
      </c>
      <c r="I540" s="200" t="str">
        <f>IF(OR(B540=リスト!$C$5,B540=リスト!$C$6),COUNTIF($B$9:B540,リスト!$C$5)+COUNTIF($B$9:B540,リスト!$C$6),"")</f>
        <v/>
      </c>
    </row>
    <row r="541" spans="2:9" x14ac:dyDescent="0.2">
      <c r="B541" s="196"/>
      <c r="C541" s="197">
        <v>45452.10974537037</v>
      </c>
      <c r="D541" s="197">
        <v>45452.110729166663</v>
      </c>
      <c r="E541" s="198" t="s">
        <v>244</v>
      </c>
      <c r="F541" s="199"/>
      <c r="G541" s="140" t="e">
        <f ca="1">mif(C541="","",OR(B541=リスト!$C$5,B541=リスト!$C$6),SUM(INDEX(G:G,MATCH(I541-1,I:I,0)+1,1):INDEX(G:G,MATCH(I541,I:I,0)-1,1)),D541-C541)</f>
        <v>#NAME?</v>
      </c>
      <c r="H541" s="140" t="e">
        <f ca="1">mif(C541="","",B541=リスト!$C$5,SUMIF(INDEX(B:B,MATCH(I541-1,I:I,0)+1,1):INDEX(B:B,MATCH(I541,I:I,0)-1,1),リスト!$C$7,INDEX(G:G,MATCH(I541-1,I:I,0)+1,1):INDEX(G:G,MATCH(I541,I:I,0)-1,1)),"")</f>
        <v>#NAME?</v>
      </c>
      <c r="I541" s="200" t="str">
        <f>IF(OR(B541=リスト!$C$5,B541=リスト!$C$6),COUNTIF($B$9:B541,リスト!$C$5)+COUNTIF($B$9:B541,リスト!$C$6),"")</f>
        <v/>
      </c>
    </row>
    <row r="542" spans="2:9" x14ac:dyDescent="0.2">
      <c r="B542" s="196"/>
      <c r="C542" s="197">
        <v>45452.129803240743</v>
      </c>
      <c r="D542" s="197">
        <v>45452.130057870374</v>
      </c>
      <c r="E542" s="198" t="s">
        <v>244</v>
      </c>
      <c r="F542" s="199"/>
      <c r="G542" s="140" t="e">
        <f ca="1">mif(C542="","",OR(B542=リスト!$C$5,B542=リスト!$C$6),SUM(INDEX(G:G,MATCH(I542-1,I:I,0)+1,1):INDEX(G:G,MATCH(I542,I:I,0)-1,1)),D542-C542)</f>
        <v>#NAME?</v>
      </c>
      <c r="H542" s="140" t="e">
        <f ca="1">mif(C542="","",B542=リスト!$C$5,SUMIF(INDEX(B:B,MATCH(I542-1,I:I,0)+1,1):INDEX(B:B,MATCH(I542,I:I,0)-1,1),リスト!$C$7,INDEX(G:G,MATCH(I542-1,I:I,0)+1,1):INDEX(G:G,MATCH(I542,I:I,0)-1,1)),"")</f>
        <v>#NAME?</v>
      </c>
      <c r="I542" s="200" t="str">
        <f>IF(OR(B542=リスト!$C$5,B542=リスト!$C$6),COUNTIF($B$9:B542,リスト!$C$5)+COUNTIF($B$9:B542,リスト!$C$6),"")</f>
        <v/>
      </c>
    </row>
    <row r="543" spans="2:9" x14ac:dyDescent="0.2">
      <c r="B543" s="196"/>
      <c r="C543" s="197">
        <v>45452.164675925924</v>
      </c>
      <c r="D543" s="197">
        <v>45452.164976851855</v>
      </c>
      <c r="E543" s="198" t="s">
        <v>244</v>
      </c>
      <c r="F543" s="199"/>
      <c r="G543" s="140" t="e">
        <f ca="1">mif(C543="","",OR(B543=リスト!$C$5,B543=リスト!$C$6),SUM(INDEX(G:G,MATCH(I543-1,I:I,0)+1,1):INDEX(G:G,MATCH(I543,I:I,0)-1,1)),D543-C543)</f>
        <v>#NAME?</v>
      </c>
      <c r="H543" s="140" t="e">
        <f ca="1">mif(C543="","",B543=リスト!$C$5,SUMIF(INDEX(B:B,MATCH(I543-1,I:I,0)+1,1):INDEX(B:B,MATCH(I543,I:I,0)-1,1),リスト!$C$7,INDEX(G:G,MATCH(I543-1,I:I,0)+1,1):INDEX(G:G,MATCH(I543,I:I,0)-1,1)),"")</f>
        <v>#NAME?</v>
      </c>
      <c r="I543" s="200" t="str">
        <f>IF(OR(B543=リスト!$C$5,B543=リスト!$C$6),COUNTIF($B$9:B543,リスト!$C$5)+COUNTIF($B$9:B543,リスト!$C$6),"")</f>
        <v/>
      </c>
    </row>
    <row r="544" spans="2:9" x14ac:dyDescent="0.2">
      <c r="B544" s="196"/>
      <c r="C544" s="197">
        <v>45452.280104166668</v>
      </c>
      <c r="D544" s="197">
        <v>45452.280381944445</v>
      </c>
      <c r="E544" s="198" t="s">
        <v>244</v>
      </c>
      <c r="F544" s="199"/>
      <c r="G544" s="140" t="e">
        <f ca="1">mif(C544="","",OR(B544=リスト!$C$5,B544=リスト!$C$6),SUM(INDEX(G:G,MATCH(I544-1,I:I,0)+1,1):INDEX(G:G,MATCH(I544,I:I,0)-1,1)),D544-C544)</f>
        <v>#NAME?</v>
      </c>
      <c r="H544" s="140" t="e">
        <f ca="1">mif(C544="","",B544=リスト!$C$5,SUMIF(INDEX(B:B,MATCH(I544-1,I:I,0)+1,1):INDEX(B:B,MATCH(I544,I:I,0)-1,1),リスト!$C$7,INDEX(G:G,MATCH(I544-1,I:I,0)+1,1):INDEX(G:G,MATCH(I544,I:I,0)-1,1)),"")</f>
        <v>#NAME?</v>
      </c>
      <c r="I544" s="200" t="str">
        <f>IF(OR(B544=リスト!$C$5,B544=リスト!$C$6),COUNTIF($B$9:B544,リスト!$C$5)+COUNTIF($B$9:B544,リスト!$C$6),"")</f>
        <v/>
      </c>
    </row>
    <row r="545" spans="2:9" x14ac:dyDescent="0.2">
      <c r="B545" s="196"/>
      <c r="C545" s="197">
        <v>45452.282048611109</v>
      </c>
      <c r="D545" s="197">
        <v>45452.282349537039</v>
      </c>
      <c r="E545" s="198" t="s">
        <v>244</v>
      </c>
      <c r="F545" s="199"/>
      <c r="G545" s="140" t="e">
        <f ca="1">mif(C545="","",OR(B545=リスト!$C$5,B545=リスト!$C$6),SUM(INDEX(G:G,MATCH(I545-1,I:I,0)+1,1):INDEX(G:G,MATCH(I545,I:I,0)-1,1)),D545-C545)</f>
        <v>#NAME?</v>
      </c>
      <c r="H545" s="140" t="e">
        <f ca="1">mif(C545="","",B545=リスト!$C$5,SUMIF(INDEX(B:B,MATCH(I545-1,I:I,0)+1,1):INDEX(B:B,MATCH(I545,I:I,0)-1,1),リスト!$C$7,INDEX(G:G,MATCH(I545-1,I:I,0)+1,1):INDEX(G:G,MATCH(I545,I:I,0)-1,1)),"")</f>
        <v>#NAME?</v>
      </c>
      <c r="I545" s="200" t="str">
        <f>IF(OR(B545=リスト!$C$5,B545=リスト!$C$6),COUNTIF($B$9:B545,リスト!$C$5)+COUNTIF($B$9:B545,リスト!$C$6),"")</f>
        <v/>
      </c>
    </row>
    <row r="546" spans="2:9" x14ac:dyDescent="0.2">
      <c r="B546" s="196"/>
      <c r="C546" s="197">
        <v>45452.35837962963</v>
      </c>
      <c r="D546" s="197">
        <v>45452.358703703707</v>
      </c>
      <c r="E546" s="198" t="s">
        <v>244</v>
      </c>
      <c r="F546" s="199"/>
      <c r="G546" s="140" t="e">
        <f ca="1">mif(C546="","",OR(B546=リスト!$C$5,B546=リスト!$C$6),SUM(INDEX(G:G,MATCH(I546-1,I:I,0)+1,1):INDEX(G:G,MATCH(I546,I:I,0)-1,1)),D546-C546)</f>
        <v>#NAME?</v>
      </c>
      <c r="H546" s="140" t="e">
        <f ca="1">mif(C546="","",B546=リスト!$C$5,SUMIF(INDEX(B:B,MATCH(I546-1,I:I,0)+1,1):INDEX(B:B,MATCH(I546,I:I,0)-1,1),リスト!$C$7,INDEX(G:G,MATCH(I546-1,I:I,0)+1,1):INDEX(G:G,MATCH(I546,I:I,0)-1,1)),"")</f>
        <v>#NAME?</v>
      </c>
      <c r="I546" s="200" t="str">
        <f>IF(OR(B546=リスト!$C$5,B546=リスト!$C$6),COUNTIF($B$9:B546,リスト!$C$5)+COUNTIF($B$9:B546,リスト!$C$6),"")</f>
        <v/>
      </c>
    </row>
    <row r="547" spans="2:9" x14ac:dyDescent="0.2">
      <c r="B547" s="196"/>
      <c r="C547" s="197">
        <v>45452.363055555557</v>
      </c>
      <c r="D547" s="197">
        <v>45452.363333333335</v>
      </c>
      <c r="E547" s="198" t="s">
        <v>244</v>
      </c>
      <c r="F547" s="199"/>
      <c r="G547" s="140" t="e">
        <f ca="1">mif(C547="","",OR(B547=リスト!$C$5,B547=リスト!$C$6),SUM(INDEX(G:G,MATCH(I547-1,I:I,0)+1,1):INDEX(G:G,MATCH(I547,I:I,0)-1,1)),D547-C547)</f>
        <v>#NAME?</v>
      </c>
      <c r="H547" s="140" t="e">
        <f ca="1">mif(C547="","",B547=リスト!$C$5,SUMIF(INDEX(B:B,MATCH(I547-1,I:I,0)+1,1):INDEX(B:B,MATCH(I547,I:I,0)-1,1),リスト!$C$7,INDEX(G:G,MATCH(I547-1,I:I,0)+1,1):INDEX(G:G,MATCH(I547,I:I,0)-1,1)),"")</f>
        <v>#NAME?</v>
      </c>
      <c r="I547" s="200" t="str">
        <f>IF(OR(B547=リスト!$C$5,B547=リスト!$C$6),COUNTIF($B$9:B547,リスト!$C$5)+COUNTIF($B$9:B547,リスト!$C$6),"")</f>
        <v/>
      </c>
    </row>
    <row r="548" spans="2:9" x14ac:dyDescent="0.2">
      <c r="B548" s="196"/>
      <c r="C548" s="197">
        <v>45452.412962962961</v>
      </c>
      <c r="D548" s="197">
        <v>45452.41337962963</v>
      </c>
      <c r="E548" s="198" t="s">
        <v>244</v>
      </c>
      <c r="F548" s="199"/>
      <c r="G548" s="140" t="e">
        <f ca="1">mif(C548="","",OR(B548=リスト!$C$5,B548=リスト!$C$6),SUM(INDEX(G:G,MATCH(I548-1,I:I,0)+1,1):INDEX(G:G,MATCH(I548,I:I,0)-1,1)),D548-C548)</f>
        <v>#NAME?</v>
      </c>
      <c r="H548" s="140" t="e">
        <f ca="1">mif(C548="","",B548=リスト!$C$5,SUMIF(INDEX(B:B,MATCH(I548-1,I:I,0)+1,1):INDEX(B:B,MATCH(I548,I:I,0)-1,1),リスト!$C$7,INDEX(G:G,MATCH(I548-1,I:I,0)+1,1):INDEX(G:G,MATCH(I548,I:I,0)-1,1)),"")</f>
        <v>#NAME?</v>
      </c>
      <c r="I548" s="200" t="str">
        <f>IF(OR(B548=リスト!$C$5,B548=リスト!$C$6),COUNTIF($B$9:B548,リスト!$C$5)+COUNTIF($B$9:B548,リスト!$C$6),"")</f>
        <v/>
      </c>
    </row>
    <row r="549" spans="2:9" x14ac:dyDescent="0.2">
      <c r="B549" s="196" t="s">
        <v>247</v>
      </c>
      <c r="C549" s="197">
        <v>45451.916666666664</v>
      </c>
      <c r="D549" s="197">
        <v>45452.416666666664</v>
      </c>
      <c r="E549" s="198">
        <v>16</v>
      </c>
      <c r="F549" s="199"/>
      <c r="G549" s="140" t="e">
        <f ca="1">mif(C549="","",OR(B549=リスト!$C$5,B549=リスト!$C$6),SUM(INDEX(G:G,MATCH(I549-1,I:I,0)+1,1):INDEX(G:G,MATCH(I549,I:I,0)-1,1)),D549-C549)</f>
        <v>#NAME?</v>
      </c>
      <c r="H549" s="140" t="e">
        <f ca="1">mif(C549="","",B549=リスト!$C$5,SUMIF(INDEX(B:B,MATCH(I549-1,I:I,0)+1,1):INDEX(B:B,MATCH(I549,I:I,0)-1,1),リスト!$C$7,INDEX(G:G,MATCH(I549-1,I:I,0)+1,1):INDEX(G:G,MATCH(I549,I:I,0)-1,1)),"")</f>
        <v>#NAME?</v>
      </c>
      <c r="I549" s="200">
        <f>IF(OR(B549=リスト!$C$5,B549=リスト!$C$6),COUNTIF($B$9:B549,リスト!$C$5)+COUNTIF($B$9:B549,リスト!$C$6),"")</f>
        <v>36</v>
      </c>
    </row>
    <row r="550" spans="2:9" x14ac:dyDescent="0.2">
      <c r="B550" s="196"/>
      <c r="C550" s="197">
        <v>45452.52747685185</v>
      </c>
      <c r="D550" s="197">
        <v>45452.527754629627</v>
      </c>
      <c r="E550" s="198" t="s">
        <v>244</v>
      </c>
      <c r="F550" s="199"/>
      <c r="G550" s="140" t="e">
        <f ca="1">mif(C550="","",OR(B550=リスト!$C$5,B550=リスト!$C$6),SUM(INDEX(G:G,MATCH(I550-1,I:I,0)+1,1):INDEX(G:G,MATCH(I550,I:I,0)-1,1)),D550-C550)</f>
        <v>#NAME?</v>
      </c>
      <c r="H550" s="140" t="e">
        <f ca="1">mif(C550="","",B550=リスト!$C$5,SUMIF(INDEX(B:B,MATCH(I550-1,I:I,0)+1,1):INDEX(B:B,MATCH(I550,I:I,0)-1,1),リスト!$C$7,INDEX(G:G,MATCH(I550-1,I:I,0)+1,1):INDEX(G:G,MATCH(I550,I:I,0)-1,1)),"")</f>
        <v>#NAME?</v>
      </c>
      <c r="I550" s="200" t="str">
        <f>IF(OR(B550=リスト!$C$5,B550=リスト!$C$6),COUNTIF($B$9:B550,リスト!$C$5)+COUNTIF($B$9:B550,リスト!$C$6),"")</f>
        <v/>
      </c>
    </row>
    <row r="551" spans="2:9" x14ac:dyDescent="0.2">
      <c r="B551" s="196"/>
      <c r="C551" s="197">
        <v>45452.590381944443</v>
      </c>
      <c r="D551" s="197">
        <v>45452.590844907405</v>
      </c>
      <c r="E551" s="198" t="s">
        <v>244</v>
      </c>
      <c r="F551" s="199"/>
      <c r="G551" s="140" t="e">
        <f ca="1">mif(C551="","",OR(B551=リスト!$C$5,B551=リスト!$C$6),SUM(INDEX(G:G,MATCH(I551-1,I:I,0)+1,1):INDEX(G:G,MATCH(I551,I:I,0)-1,1)),D551-C551)</f>
        <v>#NAME?</v>
      </c>
      <c r="H551" s="140" t="e">
        <f ca="1">mif(C551="","",B551=リスト!$C$5,SUMIF(INDEX(B:B,MATCH(I551-1,I:I,0)+1,1):INDEX(B:B,MATCH(I551,I:I,0)-1,1),リスト!$C$7,INDEX(G:G,MATCH(I551-1,I:I,0)+1,1):INDEX(G:G,MATCH(I551,I:I,0)-1,1)),"")</f>
        <v>#NAME?</v>
      </c>
      <c r="I551" s="200" t="str">
        <f>IF(OR(B551=リスト!$C$5,B551=リスト!$C$6),COUNTIF($B$9:B551,リスト!$C$5)+COUNTIF($B$9:B551,リスト!$C$6),"")</f>
        <v/>
      </c>
    </row>
    <row r="552" spans="2:9" x14ac:dyDescent="0.2">
      <c r="B552" s="196"/>
      <c r="C552" s="197">
        <v>45452.637719907405</v>
      </c>
      <c r="D552" s="197">
        <v>45452.638773148145</v>
      </c>
      <c r="E552" s="198" t="s">
        <v>244</v>
      </c>
      <c r="F552" s="199"/>
      <c r="G552" s="140" t="e">
        <f ca="1">mif(C552="","",OR(B552=リスト!$C$5,B552=リスト!$C$6),SUM(INDEX(G:G,MATCH(I552-1,I:I,0)+1,1):INDEX(G:G,MATCH(I552,I:I,0)-1,1)),D552-C552)</f>
        <v>#NAME?</v>
      </c>
      <c r="H552" s="140" t="e">
        <f ca="1">mif(C552="","",B552=リスト!$C$5,SUMIF(INDEX(B:B,MATCH(I552-1,I:I,0)+1,1):INDEX(B:B,MATCH(I552,I:I,0)-1,1),リスト!$C$7,INDEX(G:G,MATCH(I552-1,I:I,0)+1,1):INDEX(G:G,MATCH(I552,I:I,0)-1,1)),"")</f>
        <v>#NAME?</v>
      </c>
      <c r="I552" s="200" t="str">
        <f>IF(OR(B552=リスト!$C$5,B552=リスト!$C$6),COUNTIF($B$9:B552,リスト!$C$5)+COUNTIF($B$9:B552,リスト!$C$6),"")</f>
        <v/>
      </c>
    </row>
    <row r="553" spans="2:9" x14ac:dyDescent="0.2">
      <c r="B553" s="196"/>
      <c r="C553" s="197">
        <v>45452.654618055552</v>
      </c>
      <c r="D553" s="197">
        <v>45452.654918981483</v>
      </c>
      <c r="E553" s="198" t="s">
        <v>244</v>
      </c>
      <c r="F553" s="199"/>
      <c r="G553" s="140" t="e">
        <f ca="1">mif(C553="","",OR(B553=リスト!$C$5,B553=リスト!$C$6),SUM(INDEX(G:G,MATCH(I553-1,I:I,0)+1,1):INDEX(G:G,MATCH(I553,I:I,0)-1,1)),D553-C553)</f>
        <v>#NAME?</v>
      </c>
      <c r="H553" s="140" t="e">
        <f ca="1">mif(C553="","",B553=リスト!$C$5,SUMIF(INDEX(B:B,MATCH(I553-1,I:I,0)+1,1):INDEX(B:B,MATCH(I553,I:I,0)-1,1),リスト!$C$7,INDEX(G:G,MATCH(I553-1,I:I,0)+1,1):INDEX(G:G,MATCH(I553,I:I,0)-1,1)),"")</f>
        <v>#NAME?</v>
      </c>
      <c r="I553" s="200" t="str">
        <f>IF(OR(B553=リスト!$C$5,B553=リスト!$C$6),COUNTIF($B$9:B553,リスト!$C$5)+COUNTIF($B$9:B553,リスト!$C$6),"")</f>
        <v/>
      </c>
    </row>
    <row r="554" spans="2:9" x14ac:dyDescent="0.2">
      <c r="B554" s="196"/>
      <c r="C554" s="197">
        <v>45452.680625000001</v>
      </c>
      <c r="D554" s="197">
        <v>45452.680902777778</v>
      </c>
      <c r="E554" s="198" t="s">
        <v>244</v>
      </c>
      <c r="F554" s="199"/>
      <c r="G554" s="140" t="e">
        <f ca="1">mif(C554="","",OR(B554=リスト!$C$5,B554=リスト!$C$6),SUM(INDEX(G:G,MATCH(I554-1,I:I,0)+1,1):INDEX(G:G,MATCH(I554,I:I,0)-1,1)),D554-C554)</f>
        <v>#NAME?</v>
      </c>
      <c r="H554" s="140" t="e">
        <f ca="1">mif(C554="","",B554=リスト!$C$5,SUMIF(INDEX(B:B,MATCH(I554-1,I:I,0)+1,1):INDEX(B:B,MATCH(I554,I:I,0)-1,1),リスト!$C$7,INDEX(G:G,MATCH(I554-1,I:I,0)+1,1):INDEX(G:G,MATCH(I554,I:I,0)-1,1)),"")</f>
        <v>#NAME?</v>
      </c>
      <c r="I554" s="200" t="str">
        <f>IF(OR(B554=リスト!$C$5,B554=リスト!$C$6),COUNTIF($B$9:B554,リスト!$C$5)+COUNTIF($B$9:B554,リスト!$C$6),"")</f>
        <v/>
      </c>
    </row>
    <row r="555" spans="2:9" x14ac:dyDescent="0.2">
      <c r="B555" s="196"/>
      <c r="C555" s="197">
        <v>45452.691840277781</v>
      </c>
      <c r="D555" s="197">
        <v>45452.692094907405</v>
      </c>
      <c r="E555" s="198" t="s">
        <v>244</v>
      </c>
      <c r="F555" s="199"/>
      <c r="G555" s="140" t="e">
        <f ca="1">mif(C555="","",OR(B555=リスト!$C$5,B555=リスト!$C$6),SUM(INDEX(G:G,MATCH(I555-1,I:I,0)+1,1):INDEX(G:G,MATCH(I555,I:I,0)-1,1)),D555-C555)</f>
        <v>#NAME?</v>
      </c>
      <c r="H555" s="140" t="e">
        <f ca="1">mif(C555="","",B555=リスト!$C$5,SUMIF(INDEX(B:B,MATCH(I555-1,I:I,0)+1,1):INDEX(B:B,MATCH(I555,I:I,0)-1,1),リスト!$C$7,INDEX(G:G,MATCH(I555-1,I:I,0)+1,1):INDEX(G:G,MATCH(I555,I:I,0)-1,1)),"")</f>
        <v>#NAME?</v>
      </c>
      <c r="I555" s="200" t="str">
        <f>IF(OR(B555=リスト!$C$5,B555=リスト!$C$6),COUNTIF($B$9:B555,リスト!$C$5)+COUNTIF($B$9:B555,リスト!$C$6),"")</f>
        <v/>
      </c>
    </row>
    <row r="556" spans="2:9" x14ac:dyDescent="0.2">
      <c r="B556" s="196"/>
      <c r="C556" s="197">
        <v>45452.726388888892</v>
      </c>
      <c r="D556" s="197">
        <v>45452.726643518516</v>
      </c>
      <c r="E556" s="198" t="s">
        <v>244</v>
      </c>
      <c r="F556" s="199"/>
      <c r="G556" s="140" t="e">
        <f ca="1">mif(C556="","",OR(B556=リスト!$C$5,B556=リスト!$C$6),SUM(INDEX(G:G,MATCH(I556-1,I:I,0)+1,1):INDEX(G:G,MATCH(I556,I:I,0)-1,1)),D556-C556)</f>
        <v>#NAME?</v>
      </c>
      <c r="H556" s="140" t="e">
        <f ca="1">mif(C556="","",B556=リスト!$C$5,SUMIF(INDEX(B:B,MATCH(I556-1,I:I,0)+1,1):INDEX(B:B,MATCH(I556,I:I,0)-1,1),リスト!$C$7,INDEX(G:G,MATCH(I556-1,I:I,0)+1,1):INDEX(G:G,MATCH(I556,I:I,0)-1,1)),"")</f>
        <v>#NAME?</v>
      </c>
      <c r="I556" s="200" t="str">
        <f>IF(OR(B556=リスト!$C$5,B556=リスト!$C$6),COUNTIF($B$9:B556,リスト!$C$5)+COUNTIF($B$9:B556,リスト!$C$6),"")</f>
        <v/>
      </c>
    </row>
    <row r="557" spans="2:9" x14ac:dyDescent="0.2">
      <c r="B557" s="196"/>
      <c r="C557" s="197">
        <v>45452.792997685188</v>
      </c>
      <c r="D557" s="197">
        <v>45452.793321759258</v>
      </c>
      <c r="E557" s="198" t="s">
        <v>244</v>
      </c>
      <c r="F557" s="199"/>
      <c r="G557" s="140" t="e">
        <f ca="1">mif(C557="","",OR(B557=リスト!$C$5,B557=リスト!$C$6),SUM(INDEX(G:G,MATCH(I557-1,I:I,0)+1,1):INDEX(G:G,MATCH(I557,I:I,0)-1,1)),D557-C557)</f>
        <v>#NAME?</v>
      </c>
      <c r="H557" s="140" t="e">
        <f ca="1">mif(C557="","",B557=リスト!$C$5,SUMIF(INDEX(B:B,MATCH(I557-1,I:I,0)+1,1):INDEX(B:B,MATCH(I557,I:I,0)-1,1),リスト!$C$7,INDEX(G:G,MATCH(I557-1,I:I,0)+1,1):INDEX(G:G,MATCH(I557,I:I,0)-1,1)),"")</f>
        <v>#NAME?</v>
      </c>
      <c r="I557" s="200" t="str">
        <f>IF(OR(B557=リスト!$C$5,B557=リスト!$C$6),COUNTIF($B$9:B557,リスト!$C$5)+COUNTIF($B$9:B557,リスト!$C$6),"")</f>
        <v/>
      </c>
    </row>
    <row r="558" spans="2:9" x14ac:dyDescent="0.2">
      <c r="B558" s="196" t="s">
        <v>247</v>
      </c>
      <c r="C558" s="197">
        <v>45452.416666666664</v>
      </c>
      <c r="D558" s="197">
        <v>45452.916666666664</v>
      </c>
      <c r="E558" s="198">
        <v>8</v>
      </c>
      <c r="F558" s="199"/>
      <c r="G558" s="140" t="e">
        <f ca="1">mif(C558="","",OR(B558=リスト!$C$5,B558=リスト!$C$6),SUM(INDEX(G:G,MATCH(I558-1,I:I,0)+1,1):INDEX(G:G,MATCH(I558,I:I,0)-1,1)),D558-C558)</f>
        <v>#NAME?</v>
      </c>
      <c r="H558" s="140" t="e">
        <f ca="1">mif(C558="","",B558=リスト!$C$5,SUMIF(INDEX(B:B,MATCH(I558-1,I:I,0)+1,1):INDEX(B:B,MATCH(I558,I:I,0)-1,1),リスト!$C$7,INDEX(G:G,MATCH(I558-1,I:I,0)+1,1):INDEX(G:G,MATCH(I558,I:I,0)-1,1)),"")</f>
        <v>#NAME?</v>
      </c>
      <c r="I558" s="200">
        <f>IF(OR(B558=リスト!$C$5,B558=リスト!$C$6),COUNTIF($B$9:B558,リスト!$C$5)+COUNTIF($B$9:B558,リスト!$C$6),"")</f>
        <v>37</v>
      </c>
    </row>
    <row r="559" spans="2:9" x14ac:dyDescent="0.2">
      <c r="B559" s="196"/>
      <c r="C559" s="197">
        <v>45452.975717592592</v>
      </c>
      <c r="D559" s="197">
        <v>45452.975995370369</v>
      </c>
      <c r="E559" s="198" t="s">
        <v>244</v>
      </c>
      <c r="F559" s="199"/>
      <c r="G559" s="140" t="e">
        <f ca="1">mif(C559="","",OR(B559=リスト!$C$5,B559=リスト!$C$6),SUM(INDEX(G:G,MATCH(I559-1,I:I,0)+1,1):INDEX(G:G,MATCH(I559,I:I,0)-1,1)),D559-C559)</f>
        <v>#NAME?</v>
      </c>
      <c r="H559" s="140" t="e">
        <f ca="1">mif(C559="","",B559=リスト!$C$5,SUMIF(INDEX(B:B,MATCH(I559-1,I:I,0)+1,1):INDEX(B:B,MATCH(I559,I:I,0)-1,1),リスト!$C$7,INDEX(G:G,MATCH(I559-1,I:I,0)+1,1):INDEX(G:G,MATCH(I559,I:I,0)-1,1)),"")</f>
        <v>#NAME?</v>
      </c>
      <c r="I559" s="200" t="str">
        <f>IF(OR(B559=リスト!$C$5,B559=リスト!$C$6),COUNTIF($B$9:B559,リスト!$C$5)+COUNTIF($B$9:B559,リスト!$C$6),"")</f>
        <v/>
      </c>
    </row>
    <row r="560" spans="2:9" x14ac:dyDescent="0.2">
      <c r="B560" s="196"/>
      <c r="C560" s="197">
        <v>45453.107812499999</v>
      </c>
      <c r="D560" s="197">
        <v>45453.108090277776</v>
      </c>
      <c r="E560" s="198" t="s">
        <v>244</v>
      </c>
      <c r="F560" s="199"/>
      <c r="G560" s="140" t="e">
        <f ca="1">mif(C560="","",OR(B560=リスト!$C$5,B560=リスト!$C$6),SUM(INDEX(G:G,MATCH(I560-1,I:I,0)+1,1):INDEX(G:G,MATCH(I560,I:I,0)-1,1)),D560-C560)</f>
        <v>#NAME?</v>
      </c>
      <c r="H560" s="140" t="e">
        <f ca="1">mif(C560="","",B560=リスト!$C$5,SUMIF(INDEX(B:B,MATCH(I560-1,I:I,0)+1,1):INDEX(B:B,MATCH(I560,I:I,0)-1,1),リスト!$C$7,INDEX(G:G,MATCH(I560-1,I:I,0)+1,1):INDEX(G:G,MATCH(I560,I:I,0)-1,1)),"")</f>
        <v>#NAME?</v>
      </c>
      <c r="I560" s="200" t="str">
        <f>IF(OR(B560=リスト!$C$5,B560=リスト!$C$6),COUNTIF($B$9:B560,リスト!$C$5)+COUNTIF($B$9:B560,リスト!$C$6),"")</f>
        <v/>
      </c>
    </row>
    <row r="561" spans="2:9" x14ac:dyDescent="0.2">
      <c r="B561" s="196"/>
      <c r="C561" s="197">
        <v>45453.114502314813</v>
      </c>
      <c r="D561" s="197">
        <v>45453.114965277775</v>
      </c>
      <c r="E561" s="198" t="s">
        <v>244</v>
      </c>
      <c r="F561" s="199"/>
      <c r="G561" s="140" t="e">
        <f ca="1">mif(C561="","",OR(B561=リスト!$C$5,B561=リスト!$C$6),SUM(INDEX(G:G,MATCH(I561-1,I:I,0)+1,1):INDEX(G:G,MATCH(I561,I:I,0)-1,1)),D561-C561)</f>
        <v>#NAME?</v>
      </c>
      <c r="H561" s="140" t="e">
        <f ca="1">mif(C561="","",B561=リスト!$C$5,SUMIF(INDEX(B:B,MATCH(I561-1,I:I,0)+1,1):INDEX(B:B,MATCH(I561,I:I,0)-1,1),リスト!$C$7,INDEX(G:G,MATCH(I561-1,I:I,0)+1,1):INDEX(G:G,MATCH(I561,I:I,0)-1,1)),"")</f>
        <v>#NAME?</v>
      </c>
      <c r="I561" s="200" t="str">
        <f>IF(OR(B561=リスト!$C$5,B561=リスト!$C$6),COUNTIF($B$9:B561,リスト!$C$5)+COUNTIF($B$9:B561,リスト!$C$6),"")</f>
        <v/>
      </c>
    </row>
    <row r="562" spans="2:9" x14ac:dyDescent="0.2">
      <c r="B562" s="196"/>
      <c r="C562" s="197">
        <v>45453.172662037039</v>
      </c>
      <c r="D562" s="197">
        <v>45453.17291666667</v>
      </c>
      <c r="E562" s="198" t="s">
        <v>244</v>
      </c>
      <c r="F562" s="199"/>
      <c r="G562" s="140" t="e">
        <f ca="1">mif(C562="","",OR(B562=リスト!$C$5,B562=リスト!$C$6),SUM(INDEX(G:G,MATCH(I562-1,I:I,0)+1,1):INDEX(G:G,MATCH(I562,I:I,0)-1,1)),D562-C562)</f>
        <v>#NAME?</v>
      </c>
      <c r="H562" s="140" t="e">
        <f ca="1">mif(C562="","",B562=リスト!$C$5,SUMIF(INDEX(B:B,MATCH(I562-1,I:I,0)+1,1):INDEX(B:B,MATCH(I562,I:I,0)-1,1),リスト!$C$7,INDEX(G:G,MATCH(I562-1,I:I,0)+1,1):INDEX(G:G,MATCH(I562,I:I,0)-1,1)),"")</f>
        <v>#NAME?</v>
      </c>
      <c r="I562" s="200" t="str">
        <f>IF(OR(B562=リスト!$C$5,B562=リスト!$C$6),COUNTIF($B$9:B562,リスト!$C$5)+COUNTIF($B$9:B562,リスト!$C$6),"")</f>
        <v/>
      </c>
    </row>
    <row r="563" spans="2:9" x14ac:dyDescent="0.2">
      <c r="B563" s="196"/>
      <c r="C563" s="197">
        <v>45453.188449074078</v>
      </c>
      <c r="D563" s="197">
        <v>45453.189444444448</v>
      </c>
      <c r="E563" s="198" t="s">
        <v>244</v>
      </c>
      <c r="F563" s="199"/>
      <c r="G563" s="140" t="e">
        <f ca="1">mif(C563="","",OR(B563=リスト!$C$5,B563=リスト!$C$6),SUM(INDEX(G:G,MATCH(I563-1,I:I,0)+1,1):INDEX(G:G,MATCH(I563,I:I,0)-1,1)),D563-C563)</f>
        <v>#NAME?</v>
      </c>
      <c r="H563" s="140" t="e">
        <f ca="1">mif(C563="","",B563=リスト!$C$5,SUMIF(INDEX(B:B,MATCH(I563-1,I:I,0)+1,1):INDEX(B:B,MATCH(I563,I:I,0)-1,1),リスト!$C$7,INDEX(G:G,MATCH(I563-1,I:I,0)+1,1):INDEX(G:G,MATCH(I563,I:I,0)-1,1)),"")</f>
        <v>#NAME?</v>
      </c>
      <c r="I563" s="200" t="str">
        <f>IF(OR(B563=リスト!$C$5,B563=リスト!$C$6),COUNTIF($B$9:B563,リスト!$C$5)+COUNTIF($B$9:B563,リスト!$C$6),"")</f>
        <v/>
      </c>
    </row>
    <row r="564" spans="2:9" x14ac:dyDescent="0.2">
      <c r="B564" s="196"/>
      <c r="C564" s="197">
        <v>45453.220717592594</v>
      </c>
      <c r="D564" s="197">
        <v>45453.220995370371</v>
      </c>
      <c r="E564" s="198" t="s">
        <v>244</v>
      </c>
      <c r="F564" s="199"/>
      <c r="G564" s="140" t="e">
        <f ca="1">mif(C564="","",OR(B564=リスト!$C$5,B564=リスト!$C$6),SUM(INDEX(G:G,MATCH(I564-1,I:I,0)+1,1):INDEX(G:G,MATCH(I564,I:I,0)-1,1)),D564-C564)</f>
        <v>#NAME?</v>
      </c>
      <c r="H564" s="140" t="e">
        <f ca="1">mif(C564="","",B564=リスト!$C$5,SUMIF(INDEX(B:B,MATCH(I564-1,I:I,0)+1,1):INDEX(B:B,MATCH(I564,I:I,0)-1,1),リスト!$C$7,INDEX(G:G,MATCH(I564-1,I:I,0)+1,1):INDEX(G:G,MATCH(I564,I:I,0)-1,1)),"")</f>
        <v>#NAME?</v>
      </c>
      <c r="I564" s="200" t="str">
        <f>IF(OR(B564=リスト!$C$5,B564=リスト!$C$6),COUNTIF($B$9:B564,リスト!$C$5)+COUNTIF($B$9:B564,リスト!$C$6),"")</f>
        <v/>
      </c>
    </row>
    <row r="565" spans="2:9" x14ac:dyDescent="0.2">
      <c r="B565" s="196"/>
      <c r="C565" s="197">
        <v>45453.222662037035</v>
      </c>
      <c r="D565" s="197">
        <v>45453.222939814812</v>
      </c>
      <c r="E565" s="198" t="s">
        <v>244</v>
      </c>
      <c r="F565" s="199"/>
      <c r="G565" s="140" t="e">
        <f ca="1">mif(C565="","",OR(B565=リスト!$C$5,B565=リスト!$C$6),SUM(INDEX(G:G,MATCH(I565-1,I:I,0)+1,1):INDEX(G:G,MATCH(I565,I:I,0)-1,1)),D565-C565)</f>
        <v>#NAME?</v>
      </c>
      <c r="H565" s="140" t="e">
        <f ca="1">mif(C565="","",B565=リスト!$C$5,SUMIF(INDEX(B:B,MATCH(I565-1,I:I,0)+1,1):INDEX(B:B,MATCH(I565,I:I,0)-1,1),リスト!$C$7,INDEX(G:G,MATCH(I565-1,I:I,0)+1,1):INDEX(G:G,MATCH(I565,I:I,0)-1,1)),"")</f>
        <v>#NAME?</v>
      </c>
      <c r="I565" s="200" t="str">
        <f>IF(OR(B565=リスト!$C$5,B565=リスト!$C$6),COUNTIF($B$9:B565,リスト!$C$5)+COUNTIF($B$9:B565,リスト!$C$6),"")</f>
        <v/>
      </c>
    </row>
    <row r="566" spans="2:9" x14ac:dyDescent="0.2">
      <c r="B566" s="196"/>
      <c r="C566" s="197">
        <v>45453.230810185189</v>
      </c>
      <c r="D566" s="197">
        <v>45453.231064814812</v>
      </c>
      <c r="E566" s="198" t="s">
        <v>244</v>
      </c>
      <c r="F566" s="199"/>
      <c r="G566" s="140" t="e">
        <f ca="1">mif(C566="","",OR(B566=リスト!$C$5,B566=リスト!$C$6),SUM(INDEX(G:G,MATCH(I566-1,I:I,0)+1,1):INDEX(G:G,MATCH(I566,I:I,0)-1,1)),D566-C566)</f>
        <v>#NAME?</v>
      </c>
      <c r="H566" s="140" t="e">
        <f ca="1">mif(C566="","",B566=リスト!$C$5,SUMIF(INDEX(B:B,MATCH(I566-1,I:I,0)+1,1):INDEX(B:B,MATCH(I566,I:I,0)-1,1),リスト!$C$7,INDEX(G:G,MATCH(I566-1,I:I,0)+1,1):INDEX(G:G,MATCH(I566,I:I,0)-1,1)),"")</f>
        <v>#NAME?</v>
      </c>
      <c r="I566" s="200" t="str">
        <f>IF(OR(B566=リスト!$C$5,B566=リスト!$C$6),COUNTIF($B$9:B566,リスト!$C$5)+COUNTIF($B$9:B566,リスト!$C$6),"")</f>
        <v/>
      </c>
    </row>
    <row r="567" spans="2:9" x14ac:dyDescent="0.2">
      <c r="B567" s="196"/>
      <c r="C567" s="197">
        <v>45453.288611111115</v>
      </c>
      <c r="D567" s="197">
        <v>45453.289236111108</v>
      </c>
      <c r="E567" s="198" t="s">
        <v>244</v>
      </c>
      <c r="F567" s="199"/>
      <c r="G567" s="140" t="e">
        <f ca="1">mif(C567="","",OR(B567=リスト!$C$5,B567=リスト!$C$6),SUM(INDEX(G:G,MATCH(I567-1,I:I,0)+1,1):INDEX(G:G,MATCH(I567,I:I,0)-1,1)),D567-C567)</f>
        <v>#NAME?</v>
      </c>
      <c r="H567" s="140" t="e">
        <f ca="1">mif(C567="","",B567=リスト!$C$5,SUMIF(INDEX(B:B,MATCH(I567-1,I:I,0)+1,1):INDEX(B:B,MATCH(I567,I:I,0)-1,1),リスト!$C$7,INDEX(G:G,MATCH(I567-1,I:I,0)+1,1):INDEX(G:G,MATCH(I567,I:I,0)-1,1)),"")</f>
        <v>#NAME?</v>
      </c>
      <c r="I567" s="200" t="str">
        <f>IF(OR(B567=リスト!$C$5,B567=リスト!$C$6),COUNTIF($B$9:B567,リスト!$C$5)+COUNTIF($B$9:B567,リスト!$C$6),"")</f>
        <v/>
      </c>
    </row>
    <row r="568" spans="2:9" x14ac:dyDescent="0.2">
      <c r="B568" s="196"/>
      <c r="C568" s="197">
        <v>45453.377800925926</v>
      </c>
      <c r="D568" s="197">
        <v>45453.378287037034</v>
      </c>
      <c r="E568" s="198" t="s">
        <v>244</v>
      </c>
      <c r="F568" s="199"/>
      <c r="G568" s="140" t="e">
        <f ca="1">mif(C568="","",OR(B568=リスト!$C$5,B568=リスト!$C$6),SUM(INDEX(G:G,MATCH(I568-1,I:I,0)+1,1):INDEX(G:G,MATCH(I568,I:I,0)-1,1)),D568-C568)</f>
        <v>#NAME?</v>
      </c>
      <c r="H568" s="140" t="e">
        <f ca="1">mif(C568="","",B568=リスト!$C$5,SUMIF(INDEX(B:B,MATCH(I568-1,I:I,0)+1,1):INDEX(B:B,MATCH(I568,I:I,0)-1,1),リスト!$C$7,INDEX(G:G,MATCH(I568-1,I:I,0)+1,1):INDEX(G:G,MATCH(I568,I:I,0)-1,1)),"")</f>
        <v>#NAME?</v>
      </c>
      <c r="I568" s="200" t="str">
        <f>IF(OR(B568=リスト!$C$5,B568=リスト!$C$6),COUNTIF($B$9:B568,リスト!$C$5)+COUNTIF($B$9:B568,リスト!$C$6),"")</f>
        <v/>
      </c>
    </row>
    <row r="569" spans="2:9" x14ac:dyDescent="0.2">
      <c r="B569" s="196"/>
      <c r="C569" s="197">
        <v>45453.408993055556</v>
      </c>
      <c r="D569" s="197">
        <v>45453.409270833334</v>
      </c>
      <c r="E569" s="198" t="s">
        <v>244</v>
      </c>
      <c r="F569" s="199"/>
      <c r="G569" s="140" t="e">
        <f ca="1">mif(C569="","",OR(B569=リスト!$C$5,B569=リスト!$C$6),SUM(INDEX(G:G,MATCH(I569-1,I:I,0)+1,1):INDEX(G:G,MATCH(I569,I:I,0)-1,1)),D569-C569)</f>
        <v>#NAME?</v>
      </c>
      <c r="H569" s="140" t="e">
        <f ca="1">mif(C569="","",B569=リスト!$C$5,SUMIF(INDEX(B:B,MATCH(I569-1,I:I,0)+1,1):INDEX(B:B,MATCH(I569,I:I,0)-1,1),リスト!$C$7,INDEX(G:G,MATCH(I569-1,I:I,0)+1,1):INDEX(G:G,MATCH(I569,I:I,0)-1,1)),"")</f>
        <v>#NAME?</v>
      </c>
      <c r="I569" s="200" t="str">
        <f>IF(OR(B569=リスト!$C$5,B569=リスト!$C$6),COUNTIF($B$9:B569,リスト!$C$5)+COUNTIF($B$9:B569,リスト!$C$6),"")</f>
        <v/>
      </c>
    </row>
    <row r="570" spans="2:9" x14ac:dyDescent="0.2">
      <c r="B570" s="196" t="s">
        <v>247</v>
      </c>
      <c r="C570" s="197">
        <v>45452.916666666664</v>
      </c>
      <c r="D570" s="197">
        <v>45453.416666666664</v>
      </c>
      <c r="E570" s="198">
        <v>11</v>
      </c>
      <c r="F570" s="199"/>
      <c r="G570" s="140" t="e">
        <f ca="1">mif(C570="","",OR(B570=リスト!$C$5,B570=リスト!$C$6),SUM(INDEX(G:G,MATCH(I570-1,I:I,0)+1,1):INDEX(G:G,MATCH(I570,I:I,0)-1,1)),D570-C570)</f>
        <v>#NAME?</v>
      </c>
      <c r="H570" s="140" t="e">
        <f ca="1">mif(C570="","",B570=リスト!$C$5,SUMIF(INDEX(B:B,MATCH(I570-1,I:I,0)+1,1):INDEX(B:B,MATCH(I570,I:I,0)-1,1),リスト!$C$7,INDEX(G:G,MATCH(I570-1,I:I,0)+1,1):INDEX(G:G,MATCH(I570,I:I,0)-1,1)),"")</f>
        <v>#NAME?</v>
      </c>
      <c r="I570" s="200">
        <f>IF(OR(B570=リスト!$C$5,B570=リスト!$C$6),COUNTIF($B$9:B570,リスト!$C$5)+COUNTIF($B$9:B570,リスト!$C$6),"")</f>
        <v>38</v>
      </c>
    </row>
    <row r="571" spans="2:9" x14ac:dyDescent="0.2">
      <c r="B571" s="196"/>
      <c r="C571" s="197">
        <v>45455.931342592594</v>
      </c>
      <c r="D571" s="197">
        <v>45455.931597222225</v>
      </c>
      <c r="E571" s="198" t="s">
        <v>244</v>
      </c>
      <c r="F571" s="199"/>
      <c r="G571" s="140" t="e">
        <f ca="1">mif(C571="","",OR(B571=リスト!$C$5,B571=リスト!$C$6),SUM(INDEX(G:G,MATCH(I571-1,I:I,0)+1,1):INDEX(G:G,MATCH(I571,I:I,0)-1,1)),D571-C571)</f>
        <v>#NAME?</v>
      </c>
      <c r="H571" s="140" t="e">
        <f ca="1">mif(C571="","",B571=リスト!$C$5,SUMIF(INDEX(B:B,MATCH(I571-1,I:I,0)+1,1):INDEX(B:B,MATCH(I571,I:I,0)-1,1),リスト!$C$7,INDEX(G:G,MATCH(I571-1,I:I,0)+1,1):INDEX(G:G,MATCH(I571,I:I,0)-1,1)),"")</f>
        <v>#NAME?</v>
      </c>
      <c r="I571" s="200" t="str">
        <f>IF(OR(B571=リスト!$C$5,B571=リスト!$C$6),COUNTIF($B$9:B571,リスト!$C$5)+COUNTIF($B$9:B571,リスト!$C$6),"")</f>
        <v/>
      </c>
    </row>
    <row r="572" spans="2:9" x14ac:dyDescent="0.2">
      <c r="B572" s="196"/>
      <c r="C572" s="197">
        <v>45455.945034722223</v>
      </c>
      <c r="D572" s="197">
        <v>45455.945335648146</v>
      </c>
      <c r="E572" s="198" t="s">
        <v>244</v>
      </c>
      <c r="F572" s="199"/>
      <c r="G572" s="140" t="e">
        <f ca="1">mif(C572="","",OR(B572=リスト!$C$5,B572=リスト!$C$6),SUM(INDEX(G:G,MATCH(I572-1,I:I,0)+1,1):INDEX(G:G,MATCH(I572,I:I,0)-1,1)),D572-C572)</f>
        <v>#NAME?</v>
      </c>
      <c r="H572" s="140" t="e">
        <f ca="1">mif(C572="","",B572=リスト!$C$5,SUMIF(INDEX(B:B,MATCH(I572-1,I:I,0)+1,1):INDEX(B:B,MATCH(I572,I:I,0)-1,1),リスト!$C$7,INDEX(G:G,MATCH(I572-1,I:I,0)+1,1):INDEX(G:G,MATCH(I572,I:I,0)-1,1)),"")</f>
        <v>#NAME?</v>
      </c>
      <c r="I572" s="200" t="str">
        <f>IF(OR(B572=リスト!$C$5,B572=リスト!$C$6),COUNTIF($B$9:B572,リスト!$C$5)+COUNTIF($B$9:B572,リスト!$C$6),"")</f>
        <v/>
      </c>
    </row>
    <row r="573" spans="2:9" x14ac:dyDescent="0.2">
      <c r="B573" s="196"/>
      <c r="C573" s="197">
        <v>45455.980486111112</v>
      </c>
      <c r="D573" s="197">
        <v>45455.980810185189</v>
      </c>
      <c r="E573" s="198" t="s">
        <v>244</v>
      </c>
      <c r="F573" s="199"/>
      <c r="G573" s="140" t="e">
        <f ca="1">mif(C573="","",OR(B573=リスト!$C$5,B573=リスト!$C$6),SUM(INDEX(G:G,MATCH(I573-1,I:I,0)+1,1):INDEX(G:G,MATCH(I573,I:I,0)-1,1)),D573-C573)</f>
        <v>#NAME?</v>
      </c>
      <c r="H573" s="140" t="e">
        <f ca="1">mif(C573="","",B573=リスト!$C$5,SUMIF(INDEX(B:B,MATCH(I573-1,I:I,0)+1,1):INDEX(B:B,MATCH(I573,I:I,0)-1,1),リスト!$C$7,INDEX(G:G,MATCH(I573-1,I:I,0)+1,1):INDEX(G:G,MATCH(I573,I:I,0)-1,1)),"")</f>
        <v>#NAME?</v>
      </c>
      <c r="I573" s="200" t="str">
        <f>IF(OR(B573=リスト!$C$5,B573=リスト!$C$6),COUNTIF($B$9:B573,リスト!$C$5)+COUNTIF($B$9:B573,リスト!$C$6),"")</f>
        <v/>
      </c>
    </row>
    <row r="574" spans="2:9" x14ac:dyDescent="0.2">
      <c r="B574" s="196"/>
      <c r="C574" s="197">
        <v>45455.987893518519</v>
      </c>
      <c r="D574" s="197">
        <v>45455.988171296296</v>
      </c>
      <c r="E574" s="198" t="s">
        <v>244</v>
      </c>
      <c r="F574" s="199"/>
      <c r="G574" s="140" t="e">
        <f ca="1">mif(C574="","",OR(B574=リスト!$C$5,B574=リスト!$C$6),SUM(INDEX(G:G,MATCH(I574-1,I:I,0)+1,1):INDEX(G:G,MATCH(I574,I:I,0)-1,1)),D574-C574)</f>
        <v>#NAME?</v>
      </c>
      <c r="H574" s="140" t="e">
        <f ca="1">mif(C574="","",B574=リスト!$C$5,SUMIF(INDEX(B:B,MATCH(I574-1,I:I,0)+1,1):INDEX(B:B,MATCH(I574,I:I,0)-1,1),リスト!$C$7,INDEX(G:G,MATCH(I574-1,I:I,0)+1,1):INDEX(G:G,MATCH(I574,I:I,0)-1,1)),"")</f>
        <v>#NAME?</v>
      </c>
      <c r="I574" s="200" t="str">
        <f>IF(OR(B574=リスト!$C$5,B574=リスト!$C$6),COUNTIF($B$9:B574,リスト!$C$5)+COUNTIF($B$9:B574,リスト!$C$6),"")</f>
        <v/>
      </c>
    </row>
    <row r="575" spans="2:9" x14ac:dyDescent="0.2">
      <c r="B575" s="196"/>
      <c r="C575" s="197">
        <v>45455.989120370374</v>
      </c>
      <c r="D575" s="197">
        <v>45455.98951388889</v>
      </c>
      <c r="E575" s="198" t="s">
        <v>244</v>
      </c>
      <c r="F575" s="199"/>
      <c r="G575" s="140" t="e">
        <f ca="1">mif(C575="","",OR(B575=リスト!$C$5,B575=リスト!$C$6),SUM(INDEX(G:G,MATCH(I575-1,I:I,0)+1,1):INDEX(G:G,MATCH(I575,I:I,0)-1,1)),D575-C575)</f>
        <v>#NAME?</v>
      </c>
      <c r="H575" s="140" t="e">
        <f ca="1">mif(C575="","",B575=リスト!$C$5,SUMIF(INDEX(B:B,MATCH(I575-1,I:I,0)+1,1):INDEX(B:B,MATCH(I575,I:I,0)-1,1),リスト!$C$7,INDEX(G:G,MATCH(I575-1,I:I,0)+1,1):INDEX(G:G,MATCH(I575,I:I,0)-1,1)),"")</f>
        <v>#NAME?</v>
      </c>
      <c r="I575" s="200" t="str">
        <f>IF(OR(B575=リスト!$C$5,B575=リスト!$C$6),COUNTIF($B$9:B575,リスト!$C$5)+COUNTIF($B$9:B575,リスト!$C$6),"")</f>
        <v/>
      </c>
    </row>
    <row r="576" spans="2:9" x14ac:dyDescent="0.2">
      <c r="B576" s="196"/>
      <c r="C576" s="197">
        <v>45456.067453703705</v>
      </c>
      <c r="D576" s="197">
        <v>45456.067754629628</v>
      </c>
      <c r="E576" s="198" t="s">
        <v>244</v>
      </c>
      <c r="F576" s="199"/>
      <c r="G576" s="140" t="e">
        <f ca="1">mif(C576="","",OR(B576=リスト!$C$5,B576=リスト!$C$6),SUM(INDEX(G:G,MATCH(I576-1,I:I,0)+1,1):INDEX(G:G,MATCH(I576,I:I,0)-1,1)),D576-C576)</f>
        <v>#NAME?</v>
      </c>
      <c r="H576" s="140" t="e">
        <f ca="1">mif(C576="","",B576=リスト!$C$5,SUMIF(INDEX(B:B,MATCH(I576-1,I:I,0)+1,1):INDEX(B:B,MATCH(I576,I:I,0)-1,1),リスト!$C$7,INDEX(G:G,MATCH(I576-1,I:I,0)+1,1):INDEX(G:G,MATCH(I576,I:I,0)-1,1)),"")</f>
        <v>#NAME?</v>
      </c>
      <c r="I576" s="200" t="str">
        <f>IF(OR(B576=リスト!$C$5,B576=リスト!$C$6),COUNTIF($B$9:B576,リスト!$C$5)+COUNTIF($B$9:B576,リスト!$C$6),"")</f>
        <v/>
      </c>
    </row>
    <row r="577" spans="2:9" x14ac:dyDescent="0.2">
      <c r="B577" s="196"/>
      <c r="C577" s="197">
        <v>45456.075972222221</v>
      </c>
      <c r="D577" s="197">
        <v>45456.076527777775</v>
      </c>
      <c r="E577" s="198" t="s">
        <v>244</v>
      </c>
      <c r="F577" s="199"/>
      <c r="G577" s="140" t="e">
        <f ca="1">mif(C577="","",OR(B577=リスト!$C$5,B577=リスト!$C$6),SUM(INDEX(G:G,MATCH(I577-1,I:I,0)+1,1):INDEX(G:G,MATCH(I577,I:I,0)-1,1)),D577-C577)</f>
        <v>#NAME?</v>
      </c>
      <c r="H577" s="140" t="e">
        <f ca="1">mif(C577="","",B577=リスト!$C$5,SUMIF(INDEX(B:B,MATCH(I577-1,I:I,0)+1,1):INDEX(B:B,MATCH(I577,I:I,0)-1,1),リスト!$C$7,INDEX(G:G,MATCH(I577-1,I:I,0)+1,1):INDEX(G:G,MATCH(I577,I:I,0)-1,1)),"")</f>
        <v>#NAME?</v>
      </c>
      <c r="I577" s="200" t="str">
        <f>IF(OR(B577=リスト!$C$5,B577=リスト!$C$6),COUNTIF($B$9:B577,リスト!$C$5)+COUNTIF($B$9:B577,リスト!$C$6),"")</f>
        <v/>
      </c>
    </row>
    <row r="578" spans="2:9" x14ac:dyDescent="0.2">
      <c r="B578" s="196"/>
      <c r="C578" s="197">
        <v>45456.178495370368</v>
      </c>
      <c r="D578" s="197">
        <v>45456.178865740738</v>
      </c>
      <c r="E578" s="198" t="s">
        <v>244</v>
      </c>
      <c r="F578" s="199"/>
      <c r="G578" s="140" t="e">
        <f ca="1">mif(C578="","",OR(B578=リスト!$C$5,B578=リスト!$C$6),SUM(INDEX(G:G,MATCH(I578-1,I:I,0)+1,1):INDEX(G:G,MATCH(I578,I:I,0)-1,1)),D578-C578)</f>
        <v>#NAME?</v>
      </c>
      <c r="H578" s="140" t="e">
        <f ca="1">mif(C578="","",B578=リスト!$C$5,SUMIF(INDEX(B:B,MATCH(I578-1,I:I,0)+1,1):INDEX(B:B,MATCH(I578,I:I,0)-1,1),リスト!$C$7,INDEX(G:G,MATCH(I578-1,I:I,0)+1,1):INDEX(G:G,MATCH(I578,I:I,0)-1,1)),"")</f>
        <v>#NAME?</v>
      </c>
      <c r="I578" s="200" t="str">
        <f>IF(OR(B578=リスト!$C$5,B578=リスト!$C$6),COUNTIF($B$9:B578,リスト!$C$5)+COUNTIF($B$9:B578,リスト!$C$6),"")</f>
        <v/>
      </c>
    </row>
    <row r="579" spans="2:9" x14ac:dyDescent="0.2">
      <c r="B579" s="196"/>
      <c r="C579" s="197">
        <v>45456.179745370369</v>
      </c>
      <c r="D579" s="197">
        <v>45456.18</v>
      </c>
      <c r="E579" s="198" t="s">
        <v>244</v>
      </c>
      <c r="F579" s="199"/>
      <c r="G579" s="140" t="e">
        <f ca="1">mif(C579="","",OR(B579=リスト!$C$5,B579=リスト!$C$6),SUM(INDEX(G:G,MATCH(I579-1,I:I,0)+1,1):INDEX(G:G,MATCH(I579,I:I,0)-1,1)),D579-C579)</f>
        <v>#NAME?</v>
      </c>
      <c r="H579" s="140" t="e">
        <f ca="1">mif(C579="","",B579=リスト!$C$5,SUMIF(INDEX(B:B,MATCH(I579-1,I:I,0)+1,1):INDEX(B:B,MATCH(I579,I:I,0)-1,1),リスト!$C$7,INDEX(G:G,MATCH(I579-1,I:I,0)+1,1):INDEX(G:G,MATCH(I579,I:I,0)-1,1)),"")</f>
        <v>#NAME?</v>
      </c>
      <c r="I579" s="200" t="str">
        <f>IF(OR(B579=リスト!$C$5,B579=リスト!$C$6),COUNTIF($B$9:B579,リスト!$C$5)+COUNTIF($B$9:B579,リスト!$C$6),"")</f>
        <v/>
      </c>
    </row>
    <row r="580" spans="2:9" x14ac:dyDescent="0.2">
      <c r="B580" s="196"/>
      <c r="C580" s="197">
        <v>45456.197442129633</v>
      </c>
      <c r="D580" s="197">
        <v>45456.197881944441</v>
      </c>
      <c r="E580" s="198" t="s">
        <v>244</v>
      </c>
      <c r="F580" s="199"/>
      <c r="G580" s="140" t="e">
        <f ca="1">mif(C580="","",OR(B580=リスト!$C$5,B580=リスト!$C$6),SUM(INDEX(G:G,MATCH(I580-1,I:I,0)+1,1):INDEX(G:G,MATCH(I580,I:I,0)-1,1)),D580-C580)</f>
        <v>#NAME?</v>
      </c>
      <c r="H580" s="140" t="e">
        <f ca="1">mif(C580="","",B580=リスト!$C$5,SUMIF(INDEX(B:B,MATCH(I580-1,I:I,0)+1,1):INDEX(B:B,MATCH(I580,I:I,0)-1,1),リスト!$C$7,INDEX(G:G,MATCH(I580-1,I:I,0)+1,1):INDEX(G:G,MATCH(I580,I:I,0)-1,1)),"")</f>
        <v>#NAME?</v>
      </c>
      <c r="I580" s="200" t="str">
        <f>IF(OR(B580=リスト!$C$5,B580=リスト!$C$6),COUNTIF($B$9:B580,リスト!$C$5)+COUNTIF($B$9:B580,リスト!$C$6),"")</f>
        <v/>
      </c>
    </row>
    <row r="581" spans="2:9" x14ac:dyDescent="0.2">
      <c r="B581" s="196"/>
      <c r="C581" s="197">
        <v>45456.213275462964</v>
      </c>
      <c r="D581" s="197">
        <v>45456.213622685187</v>
      </c>
      <c r="E581" s="198" t="s">
        <v>244</v>
      </c>
      <c r="F581" s="199"/>
      <c r="G581" s="140" t="e">
        <f ca="1">mif(C581="","",OR(B581=リスト!$C$5,B581=リスト!$C$6),SUM(INDEX(G:G,MATCH(I581-1,I:I,0)+1,1):INDEX(G:G,MATCH(I581,I:I,0)-1,1)),D581-C581)</f>
        <v>#NAME?</v>
      </c>
      <c r="H581" s="140" t="e">
        <f ca="1">mif(C581="","",B581=リスト!$C$5,SUMIF(INDEX(B:B,MATCH(I581-1,I:I,0)+1,1):INDEX(B:B,MATCH(I581,I:I,0)-1,1),リスト!$C$7,INDEX(G:G,MATCH(I581-1,I:I,0)+1,1):INDEX(G:G,MATCH(I581,I:I,0)-1,1)),"")</f>
        <v>#NAME?</v>
      </c>
      <c r="I581" s="200" t="str">
        <f>IF(OR(B581=リスト!$C$5,B581=リスト!$C$6),COUNTIF($B$9:B581,リスト!$C$5)+COUNTIF($B$9:B581,リスト!$C$6),"")</f>
        <v/>
      </c>
    </row>
    <row r="582" spans="2:9" x14ac:dyDescent="0.2">
      <c r="B582" s="196"/>
      <c r="C582" s="197">
        <v>45456.326435185183</v>
      </c>
      <c r="D582" s="197">
        <v>45456.326782407406</v>
      </c>
      <c r="E582" s="198" t="s">
        <v>244</v>
      </c>
      <c r="F582" s="199"/>
      <c r="G582" s="140" t="e">
        <f ca="1">mif(C582="","",OR(B582=リスト!$C$5,B582=リスト!$C$6),SUM(INDEX(G:G,MATCH(I582-1,I:I,0)+1,1):INDEX(G:G,MATCH(I582,I:I,0)-1,1)),D582-C582)</f>
        <v>#NAME?</v>
      </c>
      <c r="H582" s="140" t="e">
        <f ca="1">mif(C582="","",B582=リスト!$C$5,SUMIF(INDEX(B:B,MATCH(I582-1,I:I,0)+1,1):INDEX(B:B,MATCH(I582,I:I,0)-1,1),リスト!$C$7,INDEX(G:G,MATCH(I582-1,I:I,0)+1,1):INDEX(G:G,MATCH(I582,I:I,0)-1,1)),"")</f>
        <v>#NAME?</v>
      </c>
      <c r="I582" s="200" t="str">
        <f>IF(OR(B582=リスト!$C$5,B582=リスト!$C$6),COUNTIF($B$9:B582,リスト!$C$5)+COUNTIF($B$9:B582,リスト!$C$6),"")</f>
        <v/>
      </c>
    </row>
    <row r="583" spans="2:9" x14ac:dyDescent="0.2">
      <c r="B583" s="196"/>
      <c r="C583" s="197">
        <v>45456.3672337963</v>
      </c>
      <c r="D583" s="197">
        <v>45456.368206018517</v>
      </c>
      <c r="E583" s="198" t="s">
        <v>244</v>
      </c>
      <c r="F583" s="199"/>
      <c r="G583" s="140" t="e">
        <f ca="1">mif(C583="","",OR(B583=リスト!$C$5,B583=リスト!$C$6),SUM(INDEX(G:G,MATCH(I583-1,I:I,0)+1,1):INDEX(G:G,MATCH(I583,I:I,0)-1,1)),D583-C583)</f>
        <v>#NAME?</v>
      </c>
      <c r="H583" s="140" t="e">
        <f ca="1">mif(C583="","",B583=リスト!$C$5,SUMIF(INDEX(B:B,MATCH(I583-1,I:I,0)+1,1):INDEX(B:B,MATCH(I583,I:I,0)-1,1),リスト!$C$7,INDEX(G:G,MATCH(I583-1,I:I,0)+1,1):INDEX(G:G,MATCH(I583,I:I,0)-1,1)),"")</f>
        <v>#NAME?</v>
      </c>
      <c r="I583" s="200" t="str">
        <f>IF(OR(B583=リスト!$C$5,B583=リスト!$C$6),COUNTIF($B$9:B583,リスト!$C$5)+COUNTIF($B$9:B583,リスト!$C$6),"")</f>
        <v/>
      </c>
    </row>
    <row r="584" spans="2:9" x14ac:dyDescent="0.2">
      <c r="B584" s="196"/>
      <c r="C584" s="197">
        <v>45456.414618055554</v>
      </c>
      <c r="D584" s="197">
        <v>45456.414918981478</v>
      </c>
      <c r="E584" s="198" t="s">
        <v>244</v>
      </c>
      <c r="F584" s="199"/>
      <c r="G584" s="140" t="e">
        <f ca="1">mif(C584="","",OR(B584=リスト!$C$5,B584=リスト!$C$6),SUM(INDEX(G:G,MATCH(I584-1,I:I,0)+1,1):INDEX(G:G,MATCH(I584,I:I,0)-1,1)),D584-C584)</f>
        <v>#NAME?</v>
      </c>
      <c r="H584" s="140" t="e">
        <f ca="1">mif(C584="","",B584=リスト!$C$5,SUMIF(INDEX(B:B,MATCH(I584-1,I:I,0)+1,1):INDEX(B:B,MATCH(I584,I:I,0)-1,1),リスト!$C$7,INDEX(G:G,MATCH(I584-1,I:I,0)+1,1):INDEX(G:G,MATCH(I584,I:I,0)-1,1)),"")</f>
        <v>#NAME?</v>
      </c>
      <c r="I584" s="200" t="str">
        <f>IF(OR(B584=リスト!$C$5,B584=リスト!$C$6),COUNTIF($B$9:B584,リスト!$C$5)+COUNTIF($B$9:B584,リスト!$C$6),"")</f>
        <v/>
      </c>
    </row>
    <row r="585" spans="2:9" x14ac:dyDescent="0.2">
      <c r="B585" s="196" t="s">
        <v>247</v>
      </c>
      <c r="C585" s="197">
        <v>45455.916666666664</v>
      </c>
      <c r="D585" s="197">
        <v>45456.416666666664</v>
      </c>
      <c r="E585" s="198">
        <v>14</v>
      </c>
      <c r="F585" s="199"/>
      <c r="G585" s="140" t="e">
        <f ca="1">mif(C585="","",OR(B585=リスト!$C$5,B585=リスト!$C$6),SUM(INDEX(G:G,MATCH(I585-1,I:I,0)+1,1):INDEX(G:G,MATCH(I585,I:I,0)-1,1)),D585-C585)</f>
        <v>#NAME?</v>
      </c>
      <c r="H585" s="140" t="e">
        <f ca="1">mif(C585="","",B585=リスト!$C$5,SUMIF(INDEX(B:B,MATCH(I585-1,I:I,0)+1,1):INDEX(B:B,MATCH(I585,I:I,0)-1,1),リスト!$C$7,INDEX(G:G,MATCH(I585-1,I:I,0)+1,1):INDEX(G:G,MATCH(I585,I:I,0)-1,1)),"")</f>
        <v>#NAME?</v>
      </c>
      <c r="I585" s="200">
        <f>IF(OR(B585=リスト!$C$5,B585=リスト!$C$6),COUNTIF($B$9:B585,リスト!$C$5)+COUNTIF($B$9:B585,リスト!$C$6),"")</f>
        <v>39</v>
      </c>
    </row>
    <row r="586" spans="2:9" x14ac:dyDescent="0.2">
      <c r="B586" s="196"/>
      <c r="C586" s="197">
        <v>45456.471539351849</v>
      </c>
      <c r="D586" s="197">
        <v>45456.471770833334</v>
      </c>
      <c r="E586" s="198" t="s">
        <v>244</v>
      </c>
      <c r="F586" s="199"/>
      <c r="G586" s="140" t="e">
        <f ca="1">mif(C586="","",OR(B586=リスト!$C$5,B586=リスト!$C$6),SUM(INDEX(G:G,MATCH(I586-1,I:I,0)+1,1):INDEX(G:G,MATCH(I586,I:I,0)-1,1)),D586-C586)</f>
        <v>#NAME?</v>
      </c>
      <c r="H586" s="140" t="e">
        <f ca="1">mif(C586="","",B586=リスト!$C$5,SUMIF(INDEX(B:B,MATCH(I586-1,I:I,0)+1,1):INDEX(B:B,MATCH(I586,I:I,0)-1,1),リスト!$C$7,INDEX(G:G,MATCH(I586-1,I:I,0)+1,1):INDEX(G:G,MATCH(I586,I:I,0)-1,1)),"")</f>
        <v>#NAME?</v>
      </c>
      <c r="I586" s="200" t="str">
        <f>IF(OR(B586=リスト!$C$5,B586=リスト!$C$6),COUNTIF($B$9:B586,リスト!$C$5)+COUNTIF($B$9:B586,リスト!$C$6),"")</f>
        <v/>
      </c>
    </row>
    <row r="587" spans="2:9" x14ac:dyDescent="0.2">
      <c r="B587" s="196"/>
      <c r="C587" s="197">
        <v>45456.477361111109</v>
      </c>
      <c r="D587" s="197">
        <v>45456.477685185186</v>
      </c>
      <c r="E587" s="198" t="s">
        <v>244</v>
      </c>
      <c r="F587" s="199"/>
      <c r="G587" s="140" t="e">
        <f ca="1">mif(C587="","",OR(B587=リスト!$C$5,B587=リスト!$C$6),SUM(INDEX(G:G,MATCH(I587-1,I:I,0)+1,1):INDEX(G:G,MATCH(I587,I:I,0)-1,1)),D587-C587)</f>
        <v>#NAME?</v>
      </c>
      <c r="H587" s="140" t="e">
        <f ca="1">mif(C587="","",B587=リスト!$C$5,SUMIF(INDEX(B:B,MATCH(I587-1,I:I,0)+1,1):INDEX(B:B,MATCH(I587,I:I,0)-1,1),リスト!$C$7,INDEX(G:G,MATCH(I587-1,I:I,0)+1,1):INDEX(G:G,MATCH(I587,I:I,0)-1,1)),"")</f>
        <v>#NAME?</v>
      </c>
      <c r="I587" s="200" t="str">
        <f>IF(OR(B587=リスト!$C$5,B587=リスト!$C$6),COUNTIF($B$9:B587,リスト!$C$5)+COUNTIF($B$9:B587,リスト!$C$6),"")</f>
        <v/>
      </c>
    </row>
    <row r="588" spans="2:9" x14ac:dyDescent="0.2">
      <c r="B588" s="196"/>
      <c r="C588" s="197">
        <v>45456.49291666667</v>
      </c>
      <c r="D588" s="197">
        <v>45456.493194444447</v>
      </c>
      <c r="E588" s="198" t="s">
        <v>244</v>
      </c>
      <c r="F588" s="199"/>
      <c r="G588" s="140" t="e">
        <f ca="1">mif(C588="","",OR(B588=リスト!$C$5,B588=リスト!$C$6),SUM(INDEX(G:G,MATCH(I588-1,I:I,0)+1,1):INDEX(G:G,MATCH(I588,I:I,0)-1,1)),D588-C588)</f>
        <v>#NAME?</v>
      </c>
      <c r="H588" s="140" t="e">
        <f ca="1">mif(C588="","",B588=リスト!$C$5,SUMIF(INDEX(B:B,MATCH(I588-1,I:I,0)+1,1):INDEX(B:B,MATCH(I588,I:I,0)-1,1),リスト!$C$7,INDEX(G:G,MATCH(I588-1,I:I,0)+1,1):INDEX(G:G,MATCH(I588,I:I,0)-1,1)),"")</f>
        <v>#NAME?</v>
      </c>
      <c r="I588" s="200" t="str">
        <f>IF(OR(B588=リスト!$C$5,B588=リスト!$C$6),COUNTIF($B$9:B588,リスト!$C$5)+COUNTIF($B$9:B588,リスト!$C$6),"")</f>
        <v/>
      </c>
    </row>
    <row r="589" spans="2:9" x14ac:dyDescent="0.2">
      <c r="B589" s="196"/>
      <c r="C589" s="197">
        <v>45456.651273148149</v>
      </c>
      <c r="D589" s="197">
        <v>45456.651504629626</v>
      </c>
      <c r="E589" s="198" t="s">
        <v>244</v>
      </c>
      <c r="F589" s="199"/>
      <c r="G589" s="140" t="e">
        <f ca="1">mif(C589="","",OR(B589=リスト!$C$5,B589=リスト!$C$6),SUM(INDEX(G:G,MATCH(I589-1,I:I,0)+1,1):INDEX(G:G,MATCH(I589,I:I,0)-1,1)),D589-C589)</f>
        <v>#NAME?</v>
      </c>
      <c r="H589" s="140" t="e">
        <f ca="1">mif(C589="","",B589=リスト!$C$5,SUMIF(INDEX(B:B,MATCH(I589-1,I:I,0)+1,1):INDEX(B:B,MATCH(I589,I:I,0)-1,1),リスト!$C$7,INDEX(G:G,MATCH(I589-1,I:I,0)+1,1):INDEX(G:G,MATCH(I589,I:I,0)-1,1)),"")</f>
        <v>#NAME?</v>
      </c>
      <c r="I589" s="200" t="str">
        <f>IF(OR(B589=リスト!$C$5,B589=リスト!$C$6),COUNTIF($B$9:B589,リスト!$C$5)+COUNTIF($B$9:B589,リスト!$C$6),"")</f>
        <v/>
      </c>
    </row>
    <row r="590" spans="2:9" x14ac:dyDescent="0.2">
      <c r="B590" s="196"/>
      <c r="C590" s="197">
        <v>45456.693287037036</v>
      </c>
      <c r="D590" s="197">
        <v>45456.693564814814</v>
      </c>
      <c r="E590" s="198" t="s">
        <v>244</v>
      </c>
      <c r="F590" s="199"/>
      <c r="G590" s="140" t="e">
        <f ca="1">mif(C590="","",OR(B590=リスト!$C$5,B590=リスト!$C$6),SUM(INDEX(G:G,MATCH(I590-1,I:I,0)+1,1):INDEX(G:G,MATCH(I590,I:I,0)-1,1)),D590-C590)</f>
        <v>#NAME?</v>
      </c>
      <c r="H590" s="140" t="e">
        <f ca="1">mif(C590="","",B590=リスト!$C$5,SUMIF(INDEX(B:B,MATCH(I590-1,I:I,0)+1,1):INDEX(B:B,MATCH(I590,I:I,0)-1,1),リスト!$C$7,INDEX(G:G,MATCH(I590-1,I:I,0)+1,1):INDEX(G:G,MATCH(I590,I:I,0)-1,1)),"")</f>
        <v>#NAME?</v>
      </c>
      <c r="I590" s="200" t="str">
        <f>IF(OR(B590=リスト!$C$5,B590=リスト!$C$6),COUNTIF($B$9:B590,リスト!$C$5)+COUNTIF($B$9:B590,リスト!$C$6),"")</f>
        <v/>
      </c>
    </row>
    <row r="591" spans="2:9" x14ac:dyDescent="0.2">
      <c r="B591" s="196"/>
      <c r="C591" s="197">
        <v>45456.742129629631</v>
      </c>
      <c r="D591" s="197">
        <v>45456.743518518517</v>
      </c>
      <c r="E591" s="198" t="s">
        <v>244</v>
      </c>
      <c r="F591" s="199"/>
      <c r="G591" s="140" t="e">
        <f ca="1">mif(C591="","",OR(B591=リスト!$C$5,B591=リスト!$C$6),SUM(INDEX(G:G,MATCH(I591-1,I:I,0)+1,1):INDEX(G:G,MATCH(I591,I:I,0)-1,1)),D591-C591)</f>
        <v>#NAME?</v>
      </c>
      <c r="H591" s="140" t="e">
        <f ca="1">mif(C591="","",B591=リスト!$C$5,SUMIF(INDEX(B:B,MATCH(I591-1,I:I,0)+1,1):INDEX(B:B,MATCH(I591,I:I,0)-1,1),リスト!$C$7,INDEX(G:G,MATCH(I591-1,I:I,0)+1,1):INDEX(G:G,MATCH(I591,I:I,0)-1,1)),"")</f>
        <v>#NAME?</v>
      </c>
      <c r="I591" s="200" t="str">
        <f>IF(OR(B591=リスト!$C$5,B591=リスト!$C$6),COUNTIF($B$9:B591,リスト!$C$5)+COUNTIF($B$9:B591,リスト!$C$6),"")</f>
        <v/>
      </c>
    </row>
    <row r="592" spans="2:9" x14ac:dyDescent="0.2">
      <c r="B592" s="196"/>
      <c r="C592" s="197">
        <v>45456.743611111109</v>
      </c>
      <c r="D592" s="197">
        <v>45456.74391203704</v>
      </c>
      <c r="E592" s="198" t="s">
        <v>244</v>
      </c>
      <c r="F592" s="199"/>
      <c r="G592" s="140" t="e">
        <f ca="1">mif(C592="","",OR(B592=リスト!$C$5,B592=リスト!$C$6),SUM(INDEX(G:G,MATCH(I592-1,I:I,0)+1,1):INDEX(G:G,MATCH(I592,I:I,0)-1,1)),D592-C592)</f>
        <v>#NAME?</v>
      </c>
      <c r="H592" s="140" t="e">
        <f ca="1">mif(C592="","",B592=リスト!$C$5,SUMIF(INDEX(B:B,MATCH(I592-1,I:I,0)+1,1):INDEX(B:B,MATCH(I592,I:I,0)-1,1),リスト!$C$7,INDEX(G:G,MATCH(I592-1,I:I,0)+1,1):INDEX(G:G,MATCH(I592,I:I,0)-1,1)),"")</f>
        <v>#NAME?</v>
      </c>
      <c r="I592" s="200" t="str">
        <f>IF(OR(B592=リスト!$C$5,B592=リスト!$C$6),COUNTIF($B$9:B592,リスト!$C$5)+COUNTIF($B$9:B592,リスト!$C$6),"")</f>
        <v/>
      </c>
    </row>
    <row r="593" spans="2:9" x14ac:dyDescent="0.2">
      <c r="B593" s="196"/>
      <c r="C593" s="197">
        <v>45456.816469907404</v>
      </c>
      <c r="D593" s="197">
        <v>45456.820127314815</v>
      </c>
      <c r="E593" s="198" t="s">
        <v>244</v>
      </c>
      <c r="F593" s="199"/>
      <c r="G593" s="140" t="e">
        <f ca="1">mif(C593="","",OR(B593=リスト!$C$5,B593=リスト!$C$6),SUM(INDEX(G:G,MATCH(I593-1,I:I,0)+1,1):INDEX(G:G,MATCH(I593,I:I,0)-1,1)),D593-C593)</f>
        <v>#NAME?</v>
      </c>
      <c r="H593" s="140" t="e">
        <f ca="1">mif(C593="","",B593=リスト!$C$5,SUMIF(INDEX(B:B,MATCH(I593-1,I:I,0)+1,1):INDEX(B:B,MATCH(I593,I:I,0)-1,1),リスト!$C$7,INDEX(G:G,MATCH(I593-1,I:I,0)+1,1):INDEX(G:G,MATCH(I593,I:I,0)-1,1)),"")</f>
        <v>#NAME?</v>
      </c>
      <c r="I593" s="200" t="str">
        <f>IF(OR(B593=リスト!$C$5,B593=リスト!$C$6),COUNTIF($B$9:B593,リスト!$C$5)+COUNTIF($B$9:B593,リスト!$C$6),"")</f>
        <v/>
      </c>
    </row>
    <row r="594" spans="2:9" x14ac:dyDescent="0.2">
      <c r="B594" s="196"/>
      <c r="C594" s="197">
        <v>45456.821886574071</v>
      </c>
      <c r="D594" s="197">
        <v>45456.822164351855</v>
      </c>
      <c r="E594" s="198" t="s">
        <v>244</v>
      </c>
      <c r="F594" s="199"/>
      <c r="G594" s="140" t="e">
        <f ca="1">mif(C594="","",OR(B594=リスト!$C$5,B594=リスト!$C$6),SUM(INDEX(G:G,MATCH(I594-1,I:I,0)+1,1):INDEX(G:G,MATCH(I594,I:I,0)-1,1)),D594-C594)</f>
        <v>#NAME?</v>
      </c>
      <c r="H594" s="140" t="e">
        <f ca="1">mif(C594="","",B594=リスト!$C$5,SUMIF(INDEX(B:B,MATCH(I594-1,I:I,0)+1,1):INDEX(B:B,MATCH(I594,I:I,0)-1,1),リスト!$C$7,INDEX(G:G,MATCH(I594-1,I:I,0)+1,1):INDEX(G:G,MATCH(I594,I:I,0)-1,1)),"")</f>
        <v>#NAME?</v>
      </c>
      <c r="I594" s="200" t="str">
        <f>IF(OR(B594=リスト!$C$5,B594=リスト!$C$6),COUNTIF($B$9:B594,リスト!$C$5)+COUNTIF($B$9:B594,リスト!$C$6),"")</f>
        <v/>
      </c>
    </row>
    <row r="595" spans="2:9" x14ac:dyDescent="0.2">
      <c r="B595" s="196"/>
      <c r="C595" s="197">
        <v>45456.836967592593</v>
      </c>
      <c r="D595" s="197">
        <v>45456.837175925924</v>
      </c>
      <c r="E595" s="198" t="s">
        <v>244</v>
      </c>
      <c r="F595" s="199"/>
      <c r="G595" s="140" t="e">
        <f ca="1">mif(C595="","",OR(B595=リスト!$C$5,B595=リスト!$C$6),SUM(INDEX(G:G,MATCH(I595-1,I:I,0)+1,1):INDEX(G:G,MATCH(I595,I:I,0)-1,1)),D595-C595)</f>
        <v>#NAME?</v>
      </c>
      <c r="H595" s="140" t="e">
        <f ca="1">mif(C595="","",B595=リスト!$C$5,SUMIF(INDEX(B:B,MATCH(I595-1,I:I,0)+1,1):INDEX(B:B,MATCH(I595,I:I,0)-1,1),リスト!$C$7,INDEX(G:G,MATCH(I595-1,I:I,0)+1,1):INDEX(G:G,MATCH(I595,I:I,0)-1,1)),"")</f>
        <v>#NAME?</v>
      </c>
      <c r="I595" s="200" t="str">
        <f>IF(OR(B595=リスト!$C$5,B595=リスト!$C$6),COUNTIF($B$9:B595,リスト!$C$5)+COUNTIF($B$9:B595,リスト!$C$6),"")</f>
        <v/>
      </c>
    </row>
    <row r="596" spans="2:9" x14ac:dyDescent="0.2">
      <c r="B596" s="196"/>
      <c r="C596" s="197">
        <v>45456.842638888891</v>
      </c>
      <c r="D596" s="197">
        <v>45456.842962962961</v>
      </c>
      <c r="E596" s="198" t="s">
        <v>244</v>
      </c>
      <c r="F596" s="199"/>
      <c r="G596" s="140" t="e">
        <f ca="1">mif(C596="","",OR(B596=リスト!$C$5,B596=リスト!$C$6),SUM(INDEX(G:G,MATCH(I596-1,I:I,0)+1,1):INDEX(G:G,MATCH(I596,I:I,0)-1,1)),D596-C596)</f>
        <v>#NAME?</v>
      </c>
      <c r="H596" s="140" t="e">
        <f ca="1">mif(C596="","",B596=リスト!$C$5,SUMIF(INDEX(B:B,MATCH(I596-1,I:I,0)+1,1):INDEX(B:B,MATCH(I596,I:I,0)-1,1),リスト!$C$7,INDEX(G:G,MATCH(I596-1,I:I,0)+1,1):INDEX(G:G,MATCH(I596,I:I,0)-1,1)),"")</f>
        <v>#NAME?</v>
      </c>
      <c r="I596" s="200" t="str">
        <f>IF(OR(B596=リスト!$C$5,B596=リスト!$C$6),COUNTIF($B$9:B596,リスト!$C$5)+COUNTIF($B$9:B596,リスト!$C$6),"")</f>
        <v/>
      </c>
    </row>
    <row r="597" spans="2:9" x14ac:dyDescent="0.2">
      <c r="B597" s="196"/>
      <c r="C597" s="197">
        <v>45456.870937500003</v>
      </c>
      <c r="D597" s="197">
        <v>45456.871215277781</v>
      </c>
      <c r="E597" s="198" t="s">
        <v>244</v>
      </c>
      <c r="F597" s="199"/>
      <c r="G597" s="140" t="e">
        <f ca="1">mif(C597="","",OR(B597=リスト!$C$5,B597=リスト!$C$6),SUM(INDEX(G:G,MATCH(I597-1,I:I,0)+1,1):INDEX(G:G,MATCH(I597,I:I,0)-1,1)),D597-C597)</f>
        <v>#NAME?</v>
      </c>
      <c r="H597" s="140" t="e">
        <f ca="1">mif(C597="","",B597=リスト!$C$5,SUMIF(INDEX(B:B,MATCH(I597-1,I:I,0)+1,1):INDEX(B:B,MATCH(I597,I:I,0)-1,1),リスト!$C$7,INDEX(G:G,MATCH(I597-1,I:I,0)+1,1):INDEX(G:G,MATCH(I597,I:I,0)-1,1)),"")</f>
        <v>#NAME?</v>
      </c>
      <c r="I597" s="200" t="str">
        <f>IF(OR(B597=リスト!$C$5,B597=リスト!$C$6),COUNTIF($B$9:B597,リスト!$C$5)+COUNTIF($B$9:B597,リスト!$C$6),"")</f>
        <v/>
      </c>
    </row>
    <row r="598" spans="2:9" x14ac:dyDescent="0.2">
      <c r="B598" s="196" t="s">
        <v>247</v>
      </c>
      <c r="C598" s="197">
        <v>45456.416666666664</v>
      </c>
      <c r="D598" s="197">
        <v>45456.916666666664</v>
      </c>
      <c r="E598" s="198">
        <v>12</v>
      </c>
      <c r="F598" s="199"/>
      <c r="G598" s="140" t="e">
        <f ca="1">mif(C598="","",OR(B598=リスト!$C$5,B598=リスト!$C$6),SUM(INDEX(G:G,MATCH(I598-1,I:I,0)+1,1):INDEX(G:G,MATCH(I598,I:I,0)-1,1)),D598-C598)</f>
        <v>#NAME?</v>
      </c>
      <c r="H598" s="140" t="e">
        <f ca="1">mif(C598="","",B598=リスト!$C$5,SUMIF(INDEX(B:B,MATCH(I598-1,I:I,0)+1,1):INDEX(B:B,MATCH(I598,I:I,0)-1,1),リスト!$C$7,INDEX(G:G,MATCH(I598-1,I:I,0)+1,1):INDEX(G:G,MATCH(I598,I:I,0)-1,1)),"")</f>
        <v>#NAME?</v>
      </c>
      <c r="I598" s="200">
        <f>IF(OR(B598=リスト!$C$5,B598=リスト!$C$6),COUNTIF($B$9:B598,リスト!$C$5)+COUNTIF($B$9:B598,リスト!$C$6),"")</f>
        <v>40</v>
      </c>
    </row>
    <row r="599" spans="2:9" x14ac:dyDescent="0.2">
      <c r="B599" s="196"/>
      <c r="C599" s="197">
        <v>45456.96980324074</v>
      </c>
      <c r="D599" s="197">
        <v>45456.970081018517</v>
      </c>
      <c r="E599" s="198" t="s">
        <v>244</v>
      </c>
      <c r="F599" s="199"/>
      <c r="G599" s="140" t="e">
        <f ca="1">mif(C599="","",OR(B599=リスト!$C$5,B599=リスト!$C$6),SUM(INDEX(G:G,MATCH(I599-1,I:I,0)+1,1):INDEX(G:G,MATCH(I599,I:I,0)-1,1)),D599-C599)</f>
        <v>#NAME?</v>
      </c>
      <c r="H599" s="140" t="e">
        <f ca="1">mif(C599="","",B599=リスト!$C$5,SUMIF(INDEX(B:B,MATCH(I599-1,I:I,0)+1,1):INDEX(B:B,MATCH(I599,I:I,0)-1,1),リスト!$C$7,INDEX(G:G,MATCH(I599-1,I:I,0)+1,1):INDEX(G:G,MATCH(I599,I:I,0)-1,1)),"")</f>
        <v>#NAME?</v>
      </c>
      <c r="I599" s="200" t="str">
        <f>IF(OR(B599=リスト!$C$5,B599=リスト!$C$6),COUNTIF($B$9:B599,リスト!$C$5)+COUNTIF($B$9:B599,リスト!$C$6),"")</f>
        <v/>
      </c>
    </row>
    <row r="600" spans="2:9" x14ac:dyDescent="0.2">
      <c r="B600" s="196"/>
      <c r="C600" s="197">
        <v>45456.976053240738</v>
      </c>
      <c r="D600" s="197">
        <v>45456.976354166669</v>
      </c>
      <c r="E600" s="198" t="s">
        <v>244</v>
      </c>
      <c r="F600" s="199"/>
      <c r="G600" s="140" t="e">
        <f ca="1">mif(C600="","",OR(B600=リスト!$C$5,B600=リスト!$C$6),SUM(INDEX(G:G,MATCH(I600-1,I:I,0)+1,1):INDEX(G:G,MATCH(I600,I:I,0)-1,1)),D600-C600)</f>
        <v>#NAME?</v>
      </c>
      <c r="H600" s="140" t="e">
        <f ca="1">mif(C600="","",B600=リスト!$C$5,SUMIF(INDEX(B:B,MATCH(I600-1,I:I,0)+1,1):INDEX(B:B,MATCH(I600,I:I,0)-1,1),リスト!$C$7,INDEX(G:G,MATCH(I600-1,I:I,0)+1,1):INDEX(G:G,MATCH(I600,I:I,0)-1,1)),"")</f>
        <v>#NAME?</v>
      </c>
      <c r="I600" s="200" t="str">
        <f>IF(OR(B600=リスト!$C$5,B600=リスト!$C$6),COUNTIF($B$9:B600,リスト!$C$5)+COUNTIF($B$9:B600,リスト!$C$6),"")</f>
        <v/>
      </c>
    </row>
    <row r="601" spans="2:9" x14ac:dyDescent="0.2">
      <c r="B601" s="196"/>
      <c r="C601" s="197">
        <v>45456.98847222222</v>
      </c>
      <c r="D601" s="197">
        <v>45456.989074074074</v>
      </c>
      <c r="E601" s="198" t="s">
        <v>244</v>
      </c>
      <c r="F601" s="199"/>
      <c r="G601" s="140" t="e">
        <f ca="1">mif(C601="","",OR(B601=リスト!$C$5,B601=リスト!$C$6),SUM(INDEX(G:G,MATCH(I601-1,I:I,0)+1,1):INDEX(G:G,MATCH(I601,I:I,0)-1,1)),D601-C601)</f>
        <v>#NAME?</v>
      </c>
      <c r="H601" s="140" t="e">
        <f ca="1">mif(C601="","",B601=リスト!$C$5,SUMIF(INDEX(B:B,MATCH(I601-1,I:I,0)+1,1):INDEX(B:B,MATCH(I601,I:I,0)-1,1),リスト!$C$7,INDEX(G:G,MATCH(I601-1,I:I,0)+1,1):INDEX(G:G,MATCH(I601,I:I,0)-1,1)),"")</f>
        <v>#NAME?</v>
      </c>
      <c r="I601" s="200" t="str">
        <f>IF(OR(B601=リスト!$C$5,B601=リスト!$C$6),COUNTIF($B$9:B601,リスト!$C$5)+COUNTIF($B$9:B601,リスト!$C$6),"")</f>
        <v/>
      </c>
    </row>
    <row r="602" spans="2:9" x14ac:dyDescent="0.2">
      <c r="B602" s="196"/>
      <c r="C602" s="197">
        <v>45456.989884259259</v>
      </c>
      <c r="D602" s="197">
        <v>45456.990115740744</v>
      </c>
      <c r="E602" s="198" t="s">
        <v>244</v>
      </c>
      <c r="F602" s="199"/>
      <c r="G602" s="140" t="e">
        <f ca="1">mif(C602="","",OR(B602=リスト!$C$5,B602=リスト!$C$6),SUM(INDEX(G:G,MATCH(I602-1,I:I,0)+1,1):INDEX(G:G,MATCH(I602,I:I,0)-1,1)),D602-C602)</f>
        <v>#NAME?</v>
      </c>
      <c r="H602" s="140" t="e">
        <f ca="1">mif(C602="","",B602=リスト!$C$5,SUMIF(INDEX(B:B,MATCH(I602-1,I:I,0)+1,1):INDEX(B:B,MATCH(I602,I:I,0)-1,1),リスト!$C$7,INDEX(G:G,MATCH(I602-1,I:I,0)+1,1):INDEX(G:G,MATCH(I602,I:I,0)-1,1)),"")</f>
        <v>#NAME?</v>
      </c>
      <c r="I602" s="200" t="str">
        <f>IF(OR(B602=リスト!$C$5,B602=リスト!$C$6),COUNTIF($B$9:B602,リスト!$C$5)+COUNTIF($B$9:B602,リスト!$C$6),"")</f>
        <v/>
      </c>
    </row>
    <row r="603" spans="2:9" x14ac:dyDescent="0.2">
      <c r="B603" s="196"/>
      <c r="C603" s="197">
        <v>45457.126516203702</v>
      </c>
      <c r="D603" s="197">
        <v>45457.126770833333</v>
      </c>
      <c r="E603" s="198" t="s">
        <v>244</v>
      </c>
      <c r="F603" s="199"/>
      <c r="G603" s="140" t="e">
        <f ca="1">mif(C603="","",OR(B603=リスト!$C$5,B603=リスト!$C$6),SUM(INDEX(G:G,MATCH(I603-1,I:I,0)+1,1):INDEX(G:G,MATCH(I603,I:I,0)-1,1)),D603-C603)</f>
        <v>#NAME?</v>
      </c>
      <c r="H603" s="140" t="e">
        <f ca="1">mif(C603="","",B603=リスト!$C$5,SUMIF(INDEX(B:B,MATCH(I603-1,I:I,0)+1,1):INDEX(B:B,MATCH(I603,I:I,0)-1,1),リスト!$C$7,INDEX(G:G,MATCH(I603-1,I:I,0)+1,1):INDEX(G:G,MATCH(I603,I:I,0)-1,1)),"")</f>
        <v>#NAME?</v>
      </c>
      <c r="I603" s="200" t="str">
        <f>IF(OR(B603=リスト!$C$5,B603=リスト!$C$6),COUNTIF($B$9:B603,リスト!$C$5)+COUNTIF($B$9:B603,リスト!$C$6),"")</f>
        <v/>
      </c>
    </row>
    <row r="604" spans="2:9" x14ac:dyDescent="0.2">
      <c r="B604" s="196"/>
      <c r="C604" s="197">
        <v>45457.156319444446</v>
      </c>
      <c r="D604" s="197">
        <v>45457.156643518516</v>
      </c>
      <c r="E604" s="198" t="s">
        <v>244</v>
      </c>
      <c r="F604" s="199"/>
      <c r="G604" s="140" t="e">
        <f ca="1">mif(C604="","",OR(B604=リスト!$C$5,B604=リスト!$C$6),SUM(INDEX(G:G,MATCH(I604-1,I:I,0)+1,1):INDEX(G:G,MATCH(I604,I:I,0)-1,1)),D604-C604)</f>
        <v>#NAME?</v>
      </c>
      <c r="H604" s="140" t="e">
        <f ca="1">mif(C604="","",B604=リスト!$C$5,SUMIF(INDEX(B:B,MATCH(I604-1,I:I,0)+1,1):INDEX(B:B,MATCH(I604,I:I,0)-1,1),リスト!$C$7,INDEX(G:G,MATCH(I604-1,I:I,0)+1,1):INDEX(G:G,MATCH(I604,I:I,0)-1,1)),"")</f>
        <v>#NAME?</v>
      </c>
      <c r="I604" s="200" t="str">
        <f>IF(OR(B604=リスト!$C$5,B604=リスト!$C$6),COUNTIF($B$9:B604,リスト!$C$5)+COUNTIF($B$9:B604,リスト!$C$6),"")</f>
        <v/>
      </c>
    </row>
    <row r="605" spans="2:9" x14ac:dyDescent="0.2">
      <c r="B605" s="196"/>
      <c r="C605" s="197">
        <v>45457.171354166669</v>
      </c>
      <c r="D605" s="197">
        <v>45457.1716087963</v>
      </c>
      <c r="E605" s="198" t="s">
        <v>244</v>
      </c>
      <c r="F605" s="199"/>
      <c r="G605" s="140" t="e">
        <f ca="1">mif(C605="","",OR(B605=リスト!$C$5,B605=リスト!$C$6),SUM(INDEX(G:G,MATCH(I605-1,I:I,0)+1,1):INDEX(G:G,MATCH(I605,I:I,0)-1,1)),D605-C605)</f>
        <v>#NAME?</v>
      </c>
      <c r="H605" s="140" t="e">
        <f ca="1">mif(C605="","",B605=リスト!$C$5,SUMIF(INDEX(B:B,MATCH(I605-1,I:I,0)+1,1):INDEX(B:B,MATCH(I605,I:I,0)-1,1),リスト!$C$7,INDEX(G:G,MATCH(I605-1,I:I,0)+1,1):INDEX(G:G,MATCH(I605,I:I,0)-1,1)),"")</f>
        <v>#NAME?</v>
      </c>
      <c r="I605" s="200" t="str">
        <f>IF(OR(B605=リスト!$C$5,B605=リスト!$C$6),COUNTIF($B$9:B605,リスト!$C$5)+COUNTIF($B$9:B605,リスト!$C$6),"")</f>
        <v/>
      </c>
    </row>
    <row r="606" spans="2:9" x14ac:dyDescent="0.2">
      <c r="B606" s="196"/>
      <c r="C606" s="197">
        <v>45457.212789351855</v>
      </c>
      <c r="D606" s="197">
        <v>45457.213229166664</v>
      </c>
      <c r="E606" s="198" t="s">
        <v>244</v>
      </c>
      <c r="F606" s="199"/>
      <c r="G606" s="140" t="e">
        <f ca="1">mif(C606="","",OR(B606=リスト!$C$5,B606=リスト!$C$6),SUM(INDEX(G:G,MATCH(I606-1,I:I,0)+1,1):INDEX(G:G,MATCH(I606,I:I,0)-1,1)),D606-C606)</f>
        <v>#NAME?</v>
      </c>
      <c r="H606" s="140" t="e">
        <f ca="1">mif(C606="","",B606=リスト!$C$5,SUMIF(INDEX(B:B,MATCH(I606-1,I:I,0)+1,1):INDEX(B:B,MATCH(I606,I:I,0)-1,1),リスト!$C$7,INDEX(G:G,MATCH(I606-1,I:I,0)+1,1):INDEX(G:G,MATCH(I606,I:I,0)-1,1)),"")</f>
        <v>#NAME?</v>
      </c>
      <c r="I606" s="200" t="str">
        <f>IF(OR(B606=リスト!$C$5,B606=リスト!$C$6),COUNTIF($B$9:B606,リスト!$C$5)+COUNTIF($B$9:B606,リスト!$C$6),"")</f>
        <v/>
      </c>
    </row>
    <row r="607" spans="2:9" x14ac:dyDescent="0.2">
      <c r="B607" s="196"/>
      <c r="C607" s="197">
        <v>45457.247291666667</v>
      </c>
      <c r="D607" s="197">
        <v>45457.24759259259</v>
      </c>
      <c r="E607" s="198" t="s">
        <v>244</v>
      </c>
      <c r="F607" s="199"/>
      <c r="G607" s="140" t="e">
        <f ca="1">mif(C607="","",OR(B607=リスト!$C$5,B607=リスト!$C$6),SUM(INDEX(G:G,MATCH(I607-1,I:I,0)+1,1):INDEX(G:G,MATCH(I607,I:I,0)-1,1)),D607-C607)</f>
        <v>#NAME?</v>
      </c>
      <c r="H607" s="140" t="e">
        <f ca="1">mif(C607="","",B607=リスト!$C$5,SUMIF(INDEX(B:B,MATCH(I607-1,I:I,0)+1,1):INDEX(B:B,MATCH(I607,I:I,0)-1,1),リスト!$C$7,INDEX(G:G,MATCH(I607-1,I:I,0)+1,1):INDEX(G:G,MATCH(I607,I:I,0)-1,1)),"")</f>
        <v>#NAME?</v>
      </c>
      <c r="I607" s="200" t="str">
        <f>IF(OR(B607=リスト!$C$5,B607=リスト!$C$6),COUNTIF($B$9:B607,リスト!$C$5)+COUNTIF($B$9:B607,リスト!$C$6),"")</f>
        <v/>
      </c>
    </row>
    <row r="608" spans="2:9" x14ac:dyDescent="0.2">
      <c r="B608" s="196"/>
      <c r="C608" s="197">
        <v>45457.257731481484</v>
      </c>
      <c r="D608" s="197">
        <v>45457.258009259262</v>
      </c>
      <c r="E608" s="198" t="s">
        <v>244</v>
      </c>
      <c r="F608" s="199"/>
      <c r="G608" s="140" t="e">
        <f ca="1">mif(C608="","",OR(B608=リスト!$C$5,B608=リスト!$C$6),SUM(INDEX(G:G,MATCH(I608-1,I:I,0)+1,1):INDEX(G:G,MATCH(I608,I:I,0)-1,1)),D608-C608)</f>
        <v>#NAME?</v>
      </c>
      <c r="H608" s="140" t="e">
        <f ca="1">mif(C608="","",B608=リスト!$C$5,SUMIF(INDEX(B:B,MATCH(I608-1,I:I,0)+1,1):INDEX(B:B,MATCH(I608,I:I,0)-1,1),リスト!$C$7,INDEX(G:G,MATCH(I608-1,I:I,0)+1,1):INDEX(G:G,MATCH(I608,I:I,0)-1,1)),"")</f>
        <v>#NAME?</v>
      </c>
      <c r="I608" s="200" t="str">
        <f>IF(OR(B608=リスト!$C$5,B608=リスト!$C$6),COUNTIF($B$9:B608,リスト!$C$5)+COUNTIF($B$9:B608,リスト!$C$6),"")</f>
        <v/>
      </c>
    </row>
    <row r="609" spans="1:9" x14ac:dyDescent="0.2">
      <c r="A609" s="38" t="s">
        <v>225</v>
      </c>
      <c r="B609" s="196" t="s">
        <v>245</v>
      </c>
      <c r="C609" s="197">
        <v>45457.411805555559</v>
      </c>
      <c r="D609" s="197">
        <v>45457.416666666664</v>
      </c>
      <c r="E609" s="198"/>
      <c r="F609" s="199" t="s">
        <v>270</v>
      </c>
      <c r="G609" s="140" t="e">
        <f ca="1">mif(C609="","",OR(B609=リスト!$C$5,B609=リスト!$C$6),SUM(INDEX(G:G,MATCH(I609-1,I:I,0)+1,1):INDEX(G:G,MATCH(I609,I:I,0)-1,1)),D609-C609)</f>
        <v>#NAME?</v>
      </c>
      <c r="H609" s="140" t="e">
        <f ca="1">mif(C609="","",B609=リスト!$C$5,SUMIF(INDEX(B:B,MATCH(I609-1,I:I,0)+1,1):INDEX(B:B,MATCH(I609,I:I,0)-1,1),リスト!$C$7,INDEX(G:G,MATCH(I609-1,I:I,0)+1,1):INDEX(G:G,MATCH(I609,I:I,0)-1,1)),"")</f>
        <v>#NAME?</v>
      </c>
      <c r="I609" s="200" t="str">
        <f>IF(OR(B609=リスト!$C$5,B609=リスト!$C$6),COUNTIF($B$9:B609,リスト!$C$5)+COUNTIF($B$9:B609,リスト!$C$6),"")</f>
        <v/>
      </c>
    </row>
    <row r="610" spans="1:9" x14ac:dyDescent="0.2">
      <c r="B610" s="196" t="s">
        <v>247</v>
      </c>
      <c r="C610" s="197">
        <v>45456.916666666664</v>
      </c>
      <c r="D610" s="197">
        <v>45457.416666666664</v>
      </c>
      <c r="E610" s="198">
        <v>10</v>
      </c>
      <c r="F610" s="199" t="s">
        <v>270</v>
      </c>
      <c r="G610" s="140" t="e">
        <f ca="1">mif(C610="","",OR(B610=リスト!$C$5,B610=リスト!$C$6),SUM(INDEX(G:G,MATCH(I610-1,I:I,0)+1,1):INDEX(G:G,MATCH(I610,I:I,0)-1,1)),D610-C610)</f>
        <v>#NAME?</v>
      </c>
      <c r="H610" s="140" t="e">
        <f ca="1">mif(C610="","",B610=リスト!$C$5,SUMIF(INDEX(B:B,MATCH(I610-1,I:I,0)+1,1):INDEX(B:B,MATCH(I610,I:I,0)-1,1),リスト!$C$7,INDEX(G:G,MATCH(I610-1,I:I,0)+1,1):INDEX(G:G,MATCH(I610,I:I,0)-1,1)),"")</f>
        <v>#NAME?</v>
      </c>
      <c r="I610" s="200">
        <f>IF(OR(B610=リスト!$C$5,B610=リスト!$C$6),COUNTIF($B$9:B610,リスト!$C$5)+COUNTIF($B$9:B610,リスト!$C$6),"")</f>
        <v>41</v>
      </c>
    </row>
    <row r="611" spans="1:9" x14ac:dyDescent="0.2">
      <c r="A611" s="38" t="s">
        <v>225</v>
      </c>
      <c r="B611" s="196" t="s">
        <v>245</v>
      </c>
      <c r="C611" s="197">
        <v>45457.416666666664</v>
      </c>
      <c r="D611" s="197">
        <v>45457.456944444442</v>
      </c>
      <c r="E611" s="198"/>
      <c r="F611" s="199" t="s">
        <v>270</v>
      </c>
      <c r="G611" s="140" t="e">
        <f ca="1">mif(C611="","",OR(B611=リスト!$C$5,B611=リスト!$C$6),SUM(INDEX(G:G,MATCH(I611-1,I:I,0)+1,1):INDEX(G:G,MATCH(I611,I:I,0)-1,1)),D611-C611)</f>
        <v>#NAME?</v>
      </c>
      <c r="H611" s="140" t="e">
        <f ca="1">mif(C611="","",B611=リスト!$C$5,SUMIF(INDEX(B:B,MATCH(I611-1,I:I,0)+1,1):INDEX(B:B,MATCH(I611,I:I,0)-1,1),リスト!$C$7,INDEX(G:G,MATCH(I611-1,I:I,0)+1,1):INDEX(G:G,MATCH(I611,I:I,0)-1,1)),"")</f>
        <v>#NAME?</v>
      </c>
      <c r="I611" s="200" t="str">
        <f>IF(OR(B611=リスト!$C$5,B611=リスト!$C$6),COUNTIF($B$9:B611,リスト!$C$5)+COUNTIF($B$9:B611,リスト!$C$6),"")</f>
        <v/>
      </c>
    </row>
    <row r="612" spans="1:9" x14ac:dyDescent="0.2">
      <c r="B612" s="196"/>
      <c r="C612" s="197">
        <v>45457.529780092591</v>
      </c>
      <c r="D612" s="197">
        <v>45457.530057870368</v>
      </c>
      <c r="E612" s="198" t="s">
        <v>244</v>
      </c>
      <c r="F612" s="199"/>
      <c r="G612" s="140" t="e">
        <f ca="1">mif(C612="","",OR(B612=リスト!$C$5,B612=リスト!$C$6),SUM(INDEX(G:G,MATCH(I612-1,I:I,0)+1,1):INDEX(G:G,MATCH(I612,I:I,0)-1,1)),D612-C612)</f>
        <v>#NAME?</v>
      </c>
      <c r="H612" s="140" t="e">
        <f ca="1">mif(C612="","",B612=リスト!$C$5,SUMIF(INDEX(B:B,MATCH(I612-1,I:I,0)+1,1):INDEX(B:B,MATCH(I612,I:I,0)-1,1),リスト!$C$7,INDEX(G:G,MATCH(I612-1,I:I,0)+1,1):INDEX(G:G,MATCH(I612,I:I,0)-1,1)),"")</f>
        <v>#NAME?</v>
      </c>
      <c r="I612" s="200" t="str">
        <f>IF(OR(B612=リスト!$C$5,B612=リスト!$C$6),COUNTIF($B$9:B612,リスト!$C$5)+COUNTIF($B$9:B612,リスト!$C$6),"")</f>
        <v/>
      </c>
    </row>
    <row r="613" spans="1:9" x14ac:dyDescent="0.2">
      <c r="B613" s="196"/>
      <c r="C613" s="197">
        <v>45457.555439814816</v>
      </c>
      <c r="D613" s="197">
        <v>45457.555717592593</v>
      </c>
      <c r="E613" s="198" t="s">
        <v>244</v>
      </c>
      <c r="F613" s="199"/>
      <c r="G613" s="140" t="e">
        <f ca="1">mif(C613="","",OR(B613=リスト!$C$5,B613=リスト!$C$6),SUM(INDEX(G:G,MATCH(I613-1,I:I,0)+1,1):INDEX(G:G,MATCH(I613,I:I,0)-1,1)),D613-C613)</f>
        <v>#NAME?</v>
      </c>
      <c r="H613" s="140" t="e">
        <f ca="1">mif(C613="","",B613=リスト!$C$5,SUMIF(INDEX(B:B,MATCH(I613-1,I:I,0)+1,1):INDEX(B:B,MATCH(I613,I:I,0)-1,1),リスト!$C$7,INDEX(G:G,MATCH(I613-1,I:I,0)+1,1):INDEX(G:G,MATCH(I613,I:I,0)-1,1)),"")</f>
        <v>#NAME?</v>
      </c>
      <c r="I613" s="200" t="str">
        <f>IF(OR(B613=リスト!$C$5,B613=リスト!$C$6),COUNTIF($B$9:B613,リスト!$C$5)+COUNTIF($B$9:B613,リスト!$C$6),"")</f>
        <v/>
      </c>
    </row>
    <row r="614" spans="1:9" x14ac:dyDescent="0.2">
      <c r="B614" s="196"/>
      <c r="C614" s="197">
        <v>45457.619386574072</v>
      </c>
      <c r="D614" s="197">
        <v>45457.61991898148</v>
      </c>
      <c r="E614" s="198" t="s">
        <v>244</v>
      </c>
      <c r="F614" s="199"/>
      <c r="G614" s="140" t="e">
        <f ca="1">mif(C614="","",OR(B614=リスト!$C$5,B614=リスト!$C$6),SUM(INDEX(G:G,MATCH(I614-1,I:I,0)+1,1):INDEX(G:G,MATCH(I614,I:I,0)-1,1)),D614-C614)</f>
        <v>#NAME?</v>
      </c>
      <c r="H614" s="140" t="e">
        <f ca="1">mif(C614="","",B614=リスト!$C$5,SUMIF(INDEX(B:B,MATCH(I614-1,I:I,0)+1,1):INDEX(B:B,MATCH(I614,I:I,0)-1,1),リスト!$C$7,INDEX(G:G,MATCH(I614-1,I:I,0)+1,1):INDEX(G:G,MATCH(I614,I:I,0)-1,1)),"")</f>
        <v>#NAME?</v>
      </c>
      <c r="I614" s="200" t="str">
        <f>IF(OR(B614=リスト!$C$5,B614=リスト!$C$6),COUNTIF($B$9:B614,リスト!$C$5)+COUNTIF($B$9:B614,リスト!$C$6),"")</f>
        <v/>
      </c>
    </row>
    <row r="615" spans="1:9" x14ac:dyDescent="0.2">
      <c r="B615" s="196"/>
      <c r="C615" s="197">
        <v>45457.713576388887</v>
      </c>
      <c r="D615" s="197">
        <v>45457.714583333334</v>
      </c>
      <c r="E615" s="198" t="s">
        <v>244</v>
      </c>
      <c r="F615" s="199"/>
      <c r="G615" s="140" t="e">
        <f ca="1">mif(C615="","",OR(B615=リスト!$C$5,B615=リスト!$C$6),SUM(INDEX(G:G,MATCH(I615-1,I:I,0)+1,1):INDEX(G:G,MATCH(I615,I:I,0)-1,1)),D615-C615)</f>
        <v>#NAME?</v>
      </c>
      <c r="H615" s="140" t="e">
        <f ca="1">mif(C615="","",B615=リスト!$C$5,SUMIF(INDEX(B:B,MATCH(I615-1,I:I,0)+1,1):INDEX(B:B,MATCH(I615,I:I,0)-1,1),リスト!$C$7,INDEX(G:G,MATCH(I615-1,I:I,0)+1,1):INDEX(G:G,MATCH(I615,I:I,0)-1,1)),"")</f>
        <v>#NAME?</v>
      </c>
      <c r="I615" s="200" t="str">
        <f>IF(OR(B615=リスト!$C$5,B615=リスト!$C$6),COUNTIF($B$9:B615,リスト!$C$5)+COUNTIF($B$9:B615,リスト!$C$6),"")</f>
        <v/>
      </c>
    </row>
    <row r="616" spans="1:9" x14ac:dyDescent="0.2">
      <c r="B616" s="196"/>
      <c r="C616" s="197">
        <v>45457.731909722221</v>
      </c>
      <c r="D616" s="197">
        <v>45457.732557870368</v>
      </c>
      <c r="E616" s="198" t="s">
        <v>244</v>
      </c>
      <c r="F616" s="199"/>
      <c r="G616" s="140" t="e">
        <f ca="1">mif(C616="","",OR(B616=リスト!$C$5,B616=リスト!$C$6),SUM(INDEX(G:G,MATCH(I616-1,I:I,0)+1,1):INDEX(G:G,MATCH(I616,I:I,0)-1,1)),D616-C616)</f>
        <v>#NAME?</v>
      </c>
      <c r="H616" s="140" t="e">
        <f ca="1">mif(C616="","",B616=リスト!$C$5,SUMIF(INDEX(B:B,MATCH(I616-1,I:I,0)+1,1):INDEX(B:B,MATCH(I616,I:I,0)-1,1),リスト!$C$7,INDEX(G:G,MATCH(I616-1,I:I,0)+1,1):INDEX(G:G,MATCH(I616,I:I,0)-1,1)),"")</f>
        <v>#NAME?</v>
      </c>
      <c r="I616" s="200" t="str">
        <f>IF(OR(B616=リスト!$C$5,B616=リスト!$C$6),COUNTIF($B$9:B616,リスト!$C$5)+COUNTIF($B$9:B616,リスト!$C$6),"")</f>
        <v/>
      </c>
    </row>
    <row r="617" spans="1:9" x14ac:dyDescent="0.2">
      <c r="B617" s="196" t="s">
        <v>247</v>
      </c>
      <c r="C617" s="197">
        <v>45457.416666666664</v>
      </c>
      <c r="D617" s="197">
        <v>45457.916666666664</v>
      </c>
      <c r="E617" s="198">
        <v>5</v>
      </c>
      <c r="F617" s="199" t="s">
        <v>270</v>
      </c>
      <c r="G617" s="140" t="e">
        <f ca="1">mif(C617="","",OR(B617=リスト!$C$5,B617=リスト!$C$6),SUM(INDEX(G:G,MATCH(I617-1,I:I,0)+1,1):INDEX(G:G,MATCH(I617,I:I,0)-1,1)),D617-C617)</f>
        <v>#NAME?</v>
      </c>
      <c r="H617" s="140" t="e">
        <f ca="1">mif(C617="","",B617=リスト!$C$5,SUMIF(INDEX(B:B,MATCH(I617-1,I:I,0)+1,1):INDEX(B:B,MATCH(I617,I:I,0)-1,1),リスト!$C$7,INDEX(G:G,MATCH(I617-1,I:I,0)+1,1):INDEX(G:G,MATCH(I617,I:I,0)-1,1)),"")</f>
        <v>#NAME?</v>
      </c>
      <c r="I617" s="200">
        <f>IF(OR(B617=リスト!$C$5,B617=リスト!$C$6),COUNTIF($B$9:B617,リスト!$C$5)+COUNTIF($B$9:B617,リスト!$C$6),"")</f>
        <v>42</v>
      </c>
    </row>
    <row r="618" spans="1:9" x14ac:dyDescent="0.2">
      <c r="B618" s="196"/>
      <c r="C618" s="197">
        <v>45458.046099537038</v>
      </c>
      <c r="D618" s="197">
        <v>45458.046377314815</v>
      </c>
      <c r="E618" s="198" t="s">
        <v>244</v>
      </c>
      <c r="F618" s="199"/>
      <c r="G618" s="140" t="e">
        <f ca="1">mif(C618="","",OR(B618=リスト!$C$5,B618=リスト!$C$6),SUM(INDEX(G:G,MATCH(I618-1,I:I,0)+1,1):INDEX(G:G,MATCH(I618,I:I,0)-1,1)),D618-C618)</f>
        <v>#NAME?</v>
      </c>
      <c r="H618" s="140" t="e">
        <f ca="1">mif(C618="","",B618=リスト!$C$5,SUMIF(INDEX(B:B,MATCH(I618-1,I:I,0)+1,1):INDEX(B:B,MATCH(I618,I:I,0)-1,1),リスト!$C$7,INDEX(G:G,MATCH(I618-1,I:I,0)+1,1):INDEX(G:G,MATCH(I618,I:I,0)-1,1)),"")</f>
        <v>#NAME?</v>
      </c>
      <c r="I618" s="200" t="str">
        <f>IF(OR(B618=リスト!$C$5,B618=リスト!$C$6),COUNTIF($B$9:B618,リスト!$C$5)+COUNTIF($B$9:B618,リスト!$C$6),"")</f>
        <v/>
      </c>
    </row>
    <row r="619" spans="1:9" x14ac:dyDescent="0.2">
      <c r="B619" s="196"/>
      <c r="C619" s="197">
        <v>45458.049571759257</v>
      </c>
      <c r="D619" s="197">
        <v>45458.049849537034</v>
      </c>
      <c r="E619" s="198" t="s">
        <v>244</v>
      </c>
      <c r="F619" s="199"/>
      <c r="G619" s="140" t="e">
        <f ca="1">mif(C619="","",OR(B619=リスト!$C$5,B619=リスト!$C$6),SUM(INDEX(G:G,MATCH(I619-1,I:I,0)+1,1):INDEX(G:G,MATCH(I619,I:I,0)-1,1)),D619-C619)</f>
        <v>#NAME?</v>
      </c>
      <c r="H619" s="140" t="e">
        <f ca="1">mif(C619="","",B619=リスト!$C$5,SUMIF(INDEX(B:B,MATCH(I619-1,I:I,0)+1,1):INDEX(B:B,MATCH(I619,I:I,0)-1,1),リスト!$C$7,INDEX(G:G,MATCH(I619-1,I:I,0)+1,1):INDEX(G:G,MATCH(I619,I:I,0)-1,1)),"")</f>
        <v>#NAME?</v>
      </c>
      <c r="I619" s="200" t="str">
        <f>IF(OR(B619=リスト!$C$5,B619=リスト!$C$6),COUNTIF($B$9:B619,リスト!$C$5)+COUNTIF($B$9:B619,リスト!$C$6),"")</f>
        <v/>
      </c>
    </row>
    <row r="620" spans="1:9" x14ac:dyDescent="0.2">
      <c r="B620" s="196"/>
      <c r="C620" s="197">
        <v>45458.068888888891</v>
      </c>
      <c r="D620" s="197">
        <v>45458.069189814814</v>
      </c>
      <c r="E620" s="198" t="s">
        <v>244</v>
      </c>
      <c r="F620" s="199"/>
      <c r="G620" s="140" t="e">
        <f ca="1">mif(C620="","",OR(B620=リスト!$C$5,B620=リスト!$C$6),SUM(INDEX(G:G,MATCH(I620-1,I:I,0)+1,1):INDEX(G:G,MATCH(I620,I:I,0)-1,1)),D620-C620)</f>
        <v>#NAME?</v>
      </c>
      <c r="H620" s="140" t="e">
        <f ca="1">mif(C620="","",B620=リスト!$C$5,SUMIF(INDEX(B:B,MATCH(I620-1,I:I,0)+1,1):INDEX(B:B,MATCH(I620,I:I,0)-1,1),リスト!$C$7,INDEX(G:G,MATCH(I620-1,I:I,0)+1,1):INDEX(G:G,MATCH(I620,I:I,0)-1,1)),"")</f>
        <v>#NAME?</v>
      </c>
      <c r="I620" s="200" t="str">
        <f>IF(OR(B620=リスト!$C$5,B620=リスト!$C$6),COUNTIF($B$9:B620,リスト!$C$5)+COUNTIF($B$9:B620,リスト!$C$6),"")</f>
        <v/>
      </c>
    </row>
    <row r="621" spans="1:9" x14ac:dyDescent="0.2">
      <c r="B621" s="196"/>
      <c r="C621" s="197">
        <v>45458.108935185184</v>
      </c>
      <c r="D621" s="197">
        <v>45458.109212962961</v>
      </c>
      <c r="E621" s="198" t="s">
        <v>244</v>
      </c>
      <c r="F621" s="199"/>
      <c r="G621" s="140" t="e">
        <f ca="1">mif(C621="","",OR(B621=リスト!$C$5,B621=リスト!$C$6),SUM(INDEX(G:G,MATCH(I621-1,I:I,0)+1,1):INDEX(G:G,MATCH(I621,I:I,0)-1,1)),D621-C621)</f>
        <v>#NAME?</v>
      </c>
      <c r="H621" s="140" t="e">
        <f ca="1">mif(C621="","",B621=リスト!$C$5,SUMIF(INDEX(B:B,MATCH(I621-1,I:I,0)+1,1):INDEX(B:B,MATCH(I621,I:I,0)-1,1),リスト!$C$7,INDEX(G:G,MATCH(I621-1,I:I,0)+1,1):INDEX(G:G,MATCH(I621,I:I,0)-1,1)),"")</f>
        <v>#NAME?</v>
      </c>
      <c r="I621" s="200" t="str">
        <f>IF(OR(B621=リスト!$C$5,B621=リスト!$C$6),COUNTIF($B$9:B621,リスト!$C$5)+COUNTIF($B$9:B621,リスト!$C$6),"")</f>
        <v/>
      </c>
    </row>
    <row r="622" spans="1:9" x14ac:dyDescent="0.2">
      <c r="B622" s="196"/>
      <c r="C622" s="197">
        <v>45458.125532407408</v>
      </c>
      <c r="D622" s="197">
        <v>45458.125810185185</v>
      </c>
      <c r="E622" s="198" t="s">
        <v>244</v>
      </c>
      <c r="F622" s="199"/>
      <c r="G622" s="140" t="e">
        <f ca="1">mif(C622="","",OR(B622=リスト!$C$5,B622=リスト!$C$6),SUM(INDEX(G:G,MATCH(I622-1,I:I,0)+1,1):INDEX(G:G,MATCH(I622,I:I,0)-1,1)),D622-C622)</f>
        <v>#NAME?</v>
      </c>
      <c r="H622" s="140" t="e">
        <f ca="1">mif(C622="","",B622=リスト!$C$5,SUMIF(INDEX(B:B,MATCH(I622-1,I:I,0)+1,1):INDEX(B:B,MATCH(I622,I:I,0)-1,1),リスト!$C$7,INDEX(G:G,MATCH(I622-1,I:I,0)+1,1):INDEX(G:G,MATCH(I622,I:I,0)-1,1)),"")</f>
        <v>#NAME?</v>
      </c>
      <c r="I622" s="200" t="str">
        <f>IF(OR(B622=リスト!$C$5,B622=リスト!$C$6),COUNTIF($B$9:B622,リスト!$C$5)+COUNTIF($B$9:B622,リスト!$C$6),"")</f>
        <v/>
      </c>
    </row>
    <row r="623" spans="1:9" x14ac:dyDescent="0.2">
      <c r="B623" s="196"/>
      <c r="C623" s="197">
        <v>45458.151377314818</v>
      </c>
      <c r="D623" s="197">
        <v>45458.151678240742</v>
      </c>
      <c r="E623" s="198" t="s">
        <v>244</v>
      </c>
      <c r="F623" s="199"/>
      <c r="G623" s="140" t="e">
        <f ca="1">mif(C623="","",OR(B623=リスト!$C$5,B623=リスト!$C$6),SUM(INDEX(G:G,MATCH(I623-1,I:I,0)+1,1):INDEX(G:G,MATCH(I623,I:I,0)-1,1)),D623-C623)</f>
        <v>#NAME?</v>
      </c>
      <c r="H623" s="140" t="e">
        <f ca="1">mif(C623="","",B623=リスト!$C$5,SUMIF(INDEX(B:B,MATCH(I623-1,I:I,0)+1,1):INDEX(B:B,MATCH(I623,I:I,0)-1,1),リスト!$C$7,INDEX(G:G,MATCH(I623-1,I:I,0)+1,1):INDEX(G:G,MATCH(I623,I:I,0)-1,1)),"")</f>
        <v>#NAME?</v>
      </c>
      <c r="I623" s="200" t="str">
        <f>IF(OR(B623=リスト!$C$5,B623=リスト!$C$6),COUNTIF($B$9:B623,リスト!$C$5)+COUNTIF($B$9:B623,リスト!$C$6),"")</f>
        <v/>
      </c>
    </row>
    <row r="624" spans="1:9" x14ac:dyDescent="0.2">
      <c r="B624" s="196"/>
      <c r="C624" s="197">
        <v>45458.179988425924</v>
      </c>
      <c r="D624" s="197">
        <v>45458.180266203701</v>
      </c>
      <c r="E624" s="198" t="s">
        <v>244</v>
      </c>
      <c r="F624" s="199"/>
      <c r="G624" s="140" t="e">
        <f ca="1">mif(C624="","",OR(B624=リスト!$C$5,B624=リスト!$C$6),SUM(INDEX(G:G,MATCH(I624-1,I:I,0)+1,1):INDEX(G:G,MATCH(I624,I:I,0)-1,1)),D624-C624)</f>
        <v>#NAME?</v>
      </c>
      <c r="H624" s="140" t="e">
        <f ca="1">mif(C624="","",B624=リスト!$C$5,SUMIF(INDEX(B:B,MATCH(I624-1,I:I,0)+1,1):INDEX(B:B,MATCH(I624,I:I,0)-1,1),リスト!$C$7,INDEX(G:G,MATCH(I624-1,I:I,0)+1,1):INDEX(G:G,MATCH(I624,I:I,0)-1,1)),"")</f>
        <v>#NAME?</v>
      </c>
      <c r="I624" s="200" t="str">
        <f>IF(OR(B624=リスト!$C$5,B624=リスト!$C$6),COUNTIF($B$9:B624,リスト!$C$5)+COUNTIF($B$9:B624,リスト!$C$6),"")</f>
        <v/>
      </c>
    </row>
    <row r="625" spans="2:9" x14ac:dyDescent="0.2">
      <c r="B625" s="196"/>
      <c r="C625" s="197">
        <v>45458.19730324074</v>
      </c>
      <c r="D625" s="197">
        <v>45458.197581018518</v>
      </c>
      <c r="E625" s="198" t="s">
        <v>244</v>
      </c>
      <c r="F625" s="199"/>
      <c r="G625" s="140" t="e">
        <f ca="1">mif(C625="","",OR(B625=リスト!$C$5,B625=リスト!$C$6),SUM(INDEX(G:G,MATCH(I625-1,I:I,0)+1,1):INDEX(G:G,MATCH(I625,I:I,0)-1,1)),D625-C625)</f>
        <v>#NAME?</v>
      </c>
      <c r="H625" s="140" t="e">
        <f ca="1">mif(C625="","",B625=リスト!$C$5,SUMIF(INDEX(B:B,MATCH(I625-1,I:I,0)+1,1):INDEX(B:B,MATCH(I625,I:I,0)-1,1),リスト!$C$7,INDEX(G:G,MATCH(I625-1,I:I,0)+1,1):INDEX(G:G,MATCH(I625,I:I,0)-1,1)),"")</f>
        <v>#NAME?</v>
      </c>
      <c r="I625" s="200" t="str">
        <f>IF(OR(B625=リスト!$C$5,B625=リスト!$C$6),COUNTIF($B$9:B625,リスト!$C$5)+COUNTIF($B$9:B625,リスト!$C$6),"")</f>
        <v/>
      </c>
    </row>
    <row r="626" spans="2:9" x14ac:dyDescent="0.2">
      <c r="B626" s="196"/>
      <c r="C626" s="197">
        <v>45458.231585648151</v>
      </c>
      <c r="D626" s="197">
        <v>45458.231886574074</v>
      </c>
      <c r="E626" s="198" t="s">
        <v>244</v>
      </c>
      <c r="F626" s="199"/>
      <c r="G626" s="140" t="e">
        <f ca="1">mif(C626="","",OR(B626=リスト!$C$5,B626=リスト!$C$6),SUM(INDEX(G:G,MATCH(I626-1,I:I,0)+1,1):INDEX(G:G,MATCH(I626,I:I,0)-1,1)),D626-C626)</f>
        <v>#NAME?</v>
      </c>
      <c r="H626" s="140" t="e">
        <f ca="1">mif(C626="","",B626=リスト!$C$5,SUMIF(INDEX(B:B,MATCH(I626-1,I:I,0)+1,1):INDEX(B:B,MATCH(I626,I:I,0)-1,1),リスト!$C$7,INDEX(G:G,MATCH(I626-1,I:I,0)+1,1):INDEX(G:G,MATCH(I626,I:I,0)-1,1)),"")</f>
        <v>#NAME?</v>
      </c>
      <c r="I626" s="200" t="str">
        <f>IF(OR(B626=リスト!$C$5,B626=リスト!$C$6),COUNTIF($B$9:B626,リスト!$C$5)+COUNTIF($B$9:B626,リスト!$C$6),"")</f>
        <v/>
      </c>
    </row>
    <row r="627" spans="2:9" x14ac:dyDescent="0.2">
      <c r="B627" s="196"/>
      <c r="C627" s="197">
        <v>45458.239479166667</v>
      </c>
      <c r="D627" s="197">
        <v>45458.239803240744</v>
      </c>
      <c r="E627" s="198" t="s">
        <v>244</v>
      </c>
      <c r="F627" s="199"/>
      <c r="G627" s="140" t="e">
        <f ca="1">mif(C627="","",OR(B627=リスト!$C$5,B627=リスト!$C$6),SUM(INDEX(G:G,MATCH(I627-1,I:I,0)+1,1):INDEX(G:G,MATCH(I627,I:I,0)-1,1)),D627-C627)</f>
        <v>#NAME?</v>
      </c>
      <c r="H627" s="140" t="e">
        <f ca="1">mif(C627="","",B627=リスト!$C$5,SUMIF(INDEX(B:B,MATCH(I627-1,I:I,0)+1,1):INDEX(B:B,MATCH(I627,I:I,0)-1,1),リスト!$C$7,INDEX(G:G,MATCH(I627-1,I:I,0)+1,1):INDEX(G:G,MATCH(I627,I:I,0)-1,1)),"")</f>
        <v>#NAME?</v>
      </c>
      <c r="I627" s="200" t="str">
        <f>IF(OR(B627=リスト!$C$5,B627=リスト!$C$6),COUNTIF($B$9:B627,リスト!$C$5)+COUNTIF($B$9:B627,リスト!$C$6),"")</f>
        <v/>
      </c>
    </row>
    <row r="628" spans="2:9" x14ac:dyDescent="0.2">
      <c r="B628" s="196"/>
      <c r="C628" s="197">
        <v>45458.280150462961</v>
      </c>
      <c r="D628" s="197">
        <v>45458.280405092592</v>
      </c>
      <c r="E628" s="198" t="s">
        <v>244</v>
      </c>
      <c r="F628" s="199"/>
      <c r="G628" s="140" t="e">
        <f ca="1">mif(C628="","",OR(B628=リスト!$C$5,B628=リスト!$C$6),SUM(INDEX(G:G,MATCH(I628-1,I:I,0)+1,1):INDEX(G:G,MATCH(I628,I:I,0)-1,1)),D628-C628)</f>
        <v>#NAME?</v>
      </c>
      <c r="H628" s="140" t="e">
        <f ca="1">mif(C628="","",B628=リスト!$C$5,SUMIF(INDEX(B:B,MATCH(I628-1,I:I,0)+1,1):INDEX(B:B,MATCH(I628,I:I,0)-1,1),リスト!$C$7,INDEX(G:G,MATCH(I628-1,I:I,0)+1,1):INDEX(G:G,MATCH(I628,I:I,0)-1,1)),"")</f>
        <v>#NAME?</v>
      </c>
      <c r="I628" s="200" t="str">
        <f>IF(OR(B628=リスト!$C$5,B628=リスト!$C$6),COUNTIF($B$9:B628,リスト!$C$5)+COUNTIF($B$9:B628,リスト!$C$6),"")</f>
        <v/>
      </c>
    </row>
    <row r="629" spans="2:9" x14ac:dyDescent="0.2">
      <c r="B629" s="196"/>
      <c r="C629" s="197">
        <v>45458.365925925929</v>
      </c>
      <c r="D629" s="197">
        <v>45458.366249999999</v>
      </c>
      <c r="E629" s="198" t="s">
        <v>244</v>
      </c>
      <c r="F629" s="199"/>
      <c r="G629" s="140" t="e">
        <f ca="1">mif(C629="","",OR(B629=リスト!$C$5,B629=リスト!$C$6),SUM(INDEX(G:G,MATCH(I629-1,I:I,0)+1,1):INDEX(G:G,MATCH(I629,I:I,0)-1,1)),D629-C629)</f>
        <v>#NAME?</v>
      </c>
      <c r="H629" s="140" t="e">
        <f ca="1">mif(C629="","",B629=リスト!$C$5,SUMIF(INDEX(B:B,MATCH(I629-1,I:I,0)+1,1):INDEX(B:B,MATCH(I629,I:I,0)-1,1),リスト!$C$7,INDEX(G:G,MATCH(I629-1,I:I,0)+1,1):INDEX(G:G,MATCH(I629,I:I,0)-1,1)),"")</f>
        <v>#NAME?</v>
      </c>
      <c r="I629" s="200" t="str">
        <f>IF(OR(B629=リスト!$C$5,B629=リスト!$C$6),COUNTIF($B$9:B629,リスト!$C$5)+COUNTIF($B$9:B629,リスト!$C$6),"")</f>
        <v/>
      </c>
    </row>
    <row r="630" spans="2:9" x14ac:dyDescent="0.2">
      <c r="B630" s="196" t="s">
        <v>247</v>
      </c>
      <c r="C630" s="197">
        <v>45457.916666666664</v>
      </c>
      <c r="D630" s="197">
        <v>45458.416666666664</v>
      </c>
      <c r="E630" s="198">
        <v>12</v>
      </c>
      <c r="F630" s="199"/>
      <c r="G630" s="140" t="e">
        <f ca="1">mif(C630="","",OR(B630=リスト!$C$5,B630=リスト!$C$6),SUM(INDEX(G:G,MATCH(I630-1,I:I,0)+1,1):INDEX(G:G,MATCH(I630,I:I,0)-1,1)),D630-C630)</f>
        <v>#NAME?</v>
      </c>
      <c r="H630" s="140" t="e">
        <f ca="1">mif(C630="","",B630=リスト!$C$5,SUMIF(INDEX(B:B,MATCH(I630-1,I:I,0)+1,1):INDEX(B:B,MATCH(I630,I:I,0)-1,1),リスト!$C$7,INDEX(G:G,MATCH(I630-1,I:I,0)+1,1):INDEX(G:G,MATCH(I630,I:I,0)-1,1)),"")</f>
        <v>#NAME?</v>
      </c>
      <c r="I630" s="200">
        <f>IF(OR(B630=リスト!$C$5,B630=リスト!$C$6),COUNTIF($B$9:B630,リスト!$C$5)+COUNTIF($B$9:B630,リスト!$C$6),"")</f>
        <v>43</v>
      </c>
    </row>
    <row r="631" spans="2:9" x14ac:dyDescent="0.2">
      <c r="B631" s="196"/>
      <c r="C631" s="197">
        <v>45458.498831018522</v>
      </c>
      <c r="D631" s="197">
        <v>45458.499131944445</v>
      </c>
      <c r="E631" s="198" t="s">
        <v>244</v>
      </c>
      <c r="F631" s="199"/>
      <c r="G631" s="140" t="e">
        <f ca="1">mif(C631="","",OR(B631=リスト!$C$5,B631=リスト!$C$6),SUM(INDEX(G:G,MATCH(I631-1,I:I,0)+1,1):INDEX(G:G,MATCH(I631,I:I,0)-1,1)),D631-C631)</f>
        <v>#NAME?</v>
      </c>
      <c r="H631" s="140" t="e">
        <f ca="1">mif(C631="","",B631=リスト!$C$5,SUMIF(INDEX(B:B,MATCH(I631-1,I:I,0)+1,1):INDEX(B:B,MATCH(I631,I:I,0)-1,1),リスト!$C$7,INDEX(G:G,MATCH(I631-1,I:I,0)+1,1):INDEX(G:G,MATCH(I631,I:I,0)-1,1)),"")</f>
        <v>#NAME?</v>
      </c>
      <c r="I631" s="200" t="str">
        <f>IF(OR(B631=リスト!$C$5,B631=リスト!$C$6),COUNTIF($B$9:B631,リスト!$C$5)+COUNTIF($B$9:B631,リスト!$C$6),"")</f>
        <v/>
      </c>
    </row>
    <row r="632" spans="2:9" x14ac:dyDescent="0.2">
      <c r="B632" s="196"/>
      <c r="C632" s="197">
        <v>45458.540752314817</v>
      </c>
      <c r="D632" s="197">
        <v>45458.54105324074</v>
      </c>
      <c r="E632" s="198" t="s">
        <v>244</v>
      </c>
      <c r="F632" s="199"/>
      <c r="G632" s="140" t="e">
        <f ca="1">mif(C632="","",OR(B632=リスト!$C$5,B632=リスト!$C$6),SUM(INDEX(G:G,MATCH(I632-1,I:I,0)+1,1):INDEX(G:G,MATCH(I632,I:I,0)-1,1)),D632-C632)</f>
        <v>#NAME?</v>
      </c>
      <c r="H632" s="140" t="e">
        <f ca="1">mif(C632="","",B632=リスト!$C$5,SUMIF(INDEX(B:B,MATCH(I632-1,I:I,0)+1,1):INDEX(B:B,MATCH(I632,I:I,0)-1,1),リスト!$C$7,INDEX(G:G,MATCH(I632-1,I:I,0)+1,1):INDEX(G:G,MATCH(I632,I:I,0)-1,1)),"")</f>
        <v>#NAME?</v>
      </c>
      <c r="I632" s="200" t="str">
        <f>IF(OR(B632=リスト!$C$5,B632=リスト!$C$6),COUNTIF($B$9:B632,リスト!$C$5)+COUNTIF($B$9:B632,リスト!$C$6),"")</f>
        <v/>
      </c>
    </row>
    <row r="633" spans="2:9" x14ac:dyDescent="0.2">
      <c r="B633" s="196"/>
      <c r="C633" s="197">
        <v>45458.589502314811</v>
      </c>
      <c r="D633" s="197">
        <v>45458.589756944442</v>
      </c>
      <c r="E633" s="198" t="s">
        <v>244</v>
      </c>
      <c r="F633" s="199"/>
      <c r="G633" s="140" t="e">
        <f ca="1">mif(C633="","",OR(B633=リスト!$C$5,B633=リスト!$C$6),SUM(INDEX(G:G,MATCH(I633-1,I:I,0)+1,1):INDEX(G:G,MATCH(I633,I:I,0)-1,1)),D633-C633)</f>
        <v>#NAME?</v>
      </c>
      <c r="H633" s="140" t="e">
        <f ca="1">mif(C633="","",B633=リスト!$C$5,SUMIF(INDEX(B:B,MATCH(I633-1,I:I,0)+1,1):INDEX(B:B,MATCH(I633,I:I,0)-1,1),リスト!$C$7,INDEX(G:G,MATCH(I633-1,I:I,0)+1,1):INDEX(G:G,MATCH(I633,I:I,0)-1,1)),"")</f>
        <v>#NAME?</v>
      </c>
      <c r="I633" s="200" t="str">
        <f>IF(OR(B633=リスト!$C$5,B633=リスト!$C$6),COUNTIF($B$9:B633,リスト!$C$5)+COUNTIF($B$9:B633,リスト!$C$6),"")</f>
        <v/>
      </c>
    </row>
    <row r="634" spans="2:9" x14ac:dyDescent="0.2">
      <c r="B634" s="196"/>
      <c r="C634" s="197">
        <v>45458.601284722223</v>
      </c>
      <c r="D634" s="197">
        <v>45458.6015625</v>
      </c>
      <c r="E634" s="198" t="s">
        <v>244</v>
      </c>
      <c r="F634" s="199"/>
      <c r="G634" s="140" t="e">
        <f ca="1">mif(C634="","",OR(B634=リスト!$C$5,B634=リスト!$C$6),SUM(INDEX(G:G,MATCH(I634-1,I:I,0)+1,1):INDEX(G:G,MATCH(I634,I:I,0)-1,1)),D634-C634)</f>
        <v>#NAME?</v>
      </c>
      <c r="H634" s="140" t="e">
        <f ca="1">mif(C634="","",B634=リスト!$C$5,SUMIF(INDEX(B:B,MATCH(I634-1,I:I,0)+1,1):INDEX(B:B,MATCH(I634,I:I,0)-1,1),リスト!$C$7,INDEX(G:G,MATCH(I634-1,I:I,0)+1,1):INDEX(G:G,MATCH(I634,I:I,0)-1,1)),"")</f>
        <v>#NAME?</v>
      </c>
      <c r="I634" s="200" t="str">
        <f>IF(OR(B634=リスト!$C$5,B634=リスト!$C$6),COUNTIF($B$9:B634,リスト!$C$5)+COUNTIF($B$9:B634,リスト!$C$6),"")</f>
        <v/>
      </c>
    </row>
    <row r="635" spans="2:9" x14ac:dyDescent="0.2">
      <c r="B635" s="196"/>
      <c r="C635" s="197">
        <v>45458.74596064815</v>
      </c>
      <c r="D635" s="197">
        <v>45458.746238425927</v>
      </c>
      <c r="E635" s="198" t="s">
        <v>244</v>
      </c>
      <c r="F635" s="199"/>
      <c r="G635" s="140" t="e">
        <f ca="1">mif(C635="","",OR(B635=リスト!$C$5,B635=リスト!$C$6),SUM(INDEX(G:G,MATCH(I635-1,I:I,0)+1,1):INDEX(G:G,MATCH(I635,I:I,0)-1,1)),D635-C635)</f>
        <v>#NAME?</v>
      </c>
      <c r="H635" s="140" t="e">
        <f ca="1">mif(C635="","",B635=リスト!$C$5,SUMIF(INDEX(B:B,MATCH(I635-1,I:I,0)+1,1):INDEX(B:B,MATCH(I635,I:I,0)-1,1),リスト!$C$7,INDEX(G:G,MATCH(I635-1,I:I,0)+1,1):INDEX(G:G,MATCH(I635,I:I,0)-1,1)),"")</f>
        <v>#NAME?</v>
      </c>
      <c r="I635" s="200" t="str">
        <f>IF(OR(B635=リスト!$C$5,B635=リスト!$C$6),COUNTIF($B$9:B635,リスト!$C$5)+COUNTIF($B$9:B635,リスト!$C$6),"")</f>
        <v/>
      </c>
    </row>
    <row r="636" spans="2:9" x14ac:dyDescent="0.2">
      <c r="B636" s="196"/>
      <c r="C636" s="197">
        <v>45458.74931712963</v>
      </c>
      <c r="D636" s="197">
        <v>45458.749594907407</v>
      </c>
      <c r="E636" s="198" t="s">
        <v>244</v>
      </c>
      <c r="F636" s="199"/>
      <c r="G636" s="140" t="e">
        <f ca="1">mif(C636="","",OR(B636=リスト!$C$5,B636=リスト!$C$6),SUM(INDEX(G:G,MATCH(I636-1,I:I,0)+1,1):INDEX(G:G,MATCH(I636,I:I,0)-1,1)),D636-C636)</f>
        <v>#NAME?</v>
      </c>
      <c r="H636" s="140" t="e">
        <f ca="1">mif(C636="","",B636=リスト!$C$5,SUMIF(INDEX(B:B,MATCH(I636-1,I:I,0)+1,1):INDEX(B:B,MATCH(I636,I:I,0)-1,1),リスト!$C$7,INDEX(G:G,MATCH(I636-1,I:I,0)+1,1):INDEX(G:G,MATCH(I636,I:I,0)-1,1)),"")</f>
        <v>#NAME?</v>
      </c>
      <c r="I636" s="200" t="str">
        <f>IF(OR(B636=リスト!$C$5,B636=リスト!$C$6),COUNTIF($B$9:B636,リスト!$C$5)+COUNTIF($B$9:B636,リスト!$C$6),"")</f>
        <v/>
      </c>
    </row>
    <row r="637" spans="2:9" x14ac:dyDescent="0.2">
      <c r="B637" s="196"/>
      <c r="C637" s="197">
        <v>45458.789525462962</v>
      </c>
      <c r="D637" s="197">
        <v>45458.789756944447</v>
      </c>
      <c r="E637" s="198" t="s">
        <v>244</v>
      </c>
      <c r="F637" s="199"/>
      <c r="G637" s="140" t="e">
        <f ca="1">mif(C637="","",OR(B637=リスト!$C$5,B637=リスト!$C$6),SUM(INDEX(G:G,MATCH(I637-1,I:I,0)+1,1):INDEX(G:G,MATCH(I637,I:I,0)-1,1)),D637-C637)</f>
        <v>#NAME?</v>
      </c>
      <c r="H637" s="140" t="e">
        <f ca="1">mif(C637="","",B637=リスト!$C$5,SUMIF(INDEX(B:B,MATCH(I637-1,I:I,0)+1,1):INDEX(B:B,MATCH(I637,I:I,0)-1,1),リスト!$C$7,INDEX(G:G,MATCH(I637-1,I:I,0)+1,1):INDEX(G:G,MATCH(I637,I:I,0)-1,1)),"")</f>
        <v>#NAME?</v>
      </c>
      <c r="I637" s="200" t="str">
        <f>IF(OR(B637=リスト!$C$5,B637=リスト!$C$6),COUNTIF($B$9:B637,リスト!$C$5)+COUNTIF($B$9:B637,リスト!$C$6),"")</f>
        <v/>
      </c>
    </row>
    <row r="638" spans="2:9" x14ac:dyDescent="0.2">
      <c r="B638" s="196"/>
      <c r="C638" s="197">
        <v>45458.859039351853</v>
      </c>
      <c r="D638" s="197">
        <v>45458.859965277778</v>
      </c>
      <c r="E638" s="198" t="s">
        <v>244</v>
      </c>
      <c r="F638" s="199"/>
      <c r="G638" s="140" t="e">
        <f ca="1">mif(C638="","",OR(B638=リスト!$C$5,B638=リスト!$C$6),SUM(INDEX(G:G,MATCH(I638-1,I:I,0)+1,1):INDEX(G:G,MATCH(I638,I:I,0)-1,1)),D638-C638)</f>
        <v>#NAME?</v>
      </c>
      <c r="H638" s="140" t="e">
        <f ca="1">mif(C638="","",B638=リスト!$C$5,SUMIF(INDEX(B:B,MATCH(I638-1,I:I,0)+1,1):INDEX(B:B,MATCH(I638,I:I,0)-1,1),リスト!$C$7,INDEX(G:G,MATCH(I638-1,I:I,0)+1,1):INDEX(G:G,MATCH(I638,I:I,0)-1,1)),"")</f>
        <v>#NAME?</v>
      </c>
      <c r="I638" s="200" t="str">
        <f>IF(OR(B638=リスト!$C$5,B638=リスト!$C$6),COUNTIF($B$9:B638,リスト!$C$5)+COUNTIF($B$9:B638,リスト!$C$6),"")</f>
        <v/>
      </c>
    </row>
    <row r="639" spans="2:9" x14ac:dyDescent="0.2">
      <c r="B639" s="196" t="s">
        <v>247</v>
      </c>
      <c r="C639" s="197">
        <v>45458.416666666664</v>
      </c>
      <c r="D639" s="197">
        <v>45458.916666666664</v>
      </c>
      <c r="E639" s="198">
        <v>8</v>
      </c>
      <c r="F639" s="199"/>
      <c r="G639" s="140" t="e">
        <f ca="1">mif(C639="","",OR(B639=リスト!$C$5,B639=リスト!$C$6),SUM(INDEX(G:G,MATCH(I639-1,I:I,0)+1,1):INDEX(G:G,MATCH(I639,I:I,0)-1,1)),D639-C639)</f>
        <v>#NAME?</v>
      </c>
      <c r="H639" s="140" t="e">
        <f ca="1">mif(C639="","",B639=リスト!$C$5,SUMIF(INDEX(B:B,MATCH(I639-1,I:I,0)+1,1):INDEX(B:B,MATCH(I639,I:I,0)-1,1),リスト!$C$7,INDEX(G:G,MATCH(I639-1,I:I,0)+1,1):INDEX(G:G,MATCH(I639,I:I,0)-1,1)),"")</f>
        <v>#NAME?</v>
      </c>
      <c r="I639" s="200">
        <f>IF(OR(B639=リスト!$C$5,B639=リスト!$C$6),COUNTIF($B$9:B639,リスト!$C$5)+COUNTIF($B$9:B639,リスト!$C$6),"")</f>
        <v>44</v>
      </c>
    </row>
    <row r="640" spans="2:9" x14ac:dyDescent="0.2">
      <c r="B640" s="196"/>
      <c r="C640" s="197">
        <v>45458.943182870367</v>
      </c>
      <c r="D640" s="197">
        <v>45458.943437499998</v>
      </c>
      <c r="E640" s="198" t="s">
        <v>244</v>
      </c>
      <c r="F640" s="199"/>
      <c r="G640" s="140" t="e">
        <f ca="1">mif(C640="","",OR(B640=リスト!$C$5,B640=リスト!$C$6),SUM(INDEX(G:G,MATCH(I640-1,I:I,0)+1,1):INDEX(G:G,MATCH(I640,I:I,0)-1,1)),D640-C640)</f>
        <v>#NAME?</v>
      </c>
      <c r="H640" s="140" t="e">
        <f ca="1">mif(C640="","",B640=リスト!$C$5,SUMIF(INDEX(B:B,MATCH(I640-1,I:I,0)+1,1):INDEX(B:B,MATCH(I640,I:I,0)-1,1),リスト!$C$7,INDEX(G:G,MATCH(I640-1,I:I,0)+1,1):INDEX(G:G,MATCH(I640,I:I,0)-1,1)),"")</f>
        <v>#NAME?</v>
      </c>
      <c r="I640" s="200" t="str">
        <f>IF(OR(B640=リスト!$C$5,B640=リスト!$C$6),COUNTIF($B$9:B640,リスト!$C$5)+COUNTIF($B$9:B640,リスト!$C$6),"")</f>
        <v/>
      </c>
    </row>
    <row r="641" spans="1:9" x14ac:dyDescent="0.2">
      <c r="B641" s="196"/>
      <c r="C641" s="197">
        <v>45458.963414351849</v>
      </c>
      <c r="D641" s="197">
        <v>45458.96371527778</v>
      </c>
      <c r="E641" s="198" t="s">
        <v>244</v>
      </c>
      <c r="F641" s="199"/>
      <c r="G641" s="140" t="e">
        <f ca="1">mif(C641="","",OR(B641=リスト!$C$5,B641=リスト!$C$6),SUM(INDEX(G:G,MATCH(I641-1,I:I,0)+1,1):INDEX(G:G,MATCH(I641,I:I,0)-1,1)),D641-C641)</f>
        <v>#NAME?</v>
      </c>
      <c r="H641" s="140" t="e">
        <f ca="1">mif(C641="","",B641=リスト!$C$5,SUMIF(INDEX(B:B,MATCH(I641-1,I:I,0)+1,1):INDEX(B:B,MATCH(I641,I:I,0)-1,1),リスト!$C$7,INDEX(G:G,MATCH(I641-1,I:I,0)+1,1):INDEX(G:G,MATCH(I641,I:I,0)-1,1)),"")</f>
        <v>#NAME?</v>
      </c>
      <c r="I641" s="200" t="str">
        <f>IF(OR(B641=リスト!$C$5,B641=リスト!$C$6),COUNTIF($B$9:B641,リスト!$C$5)+COUNTIF($B$9:B641,リスト!$C$6),"")</f>
        <v/>
      </c>
    </row>
    <row r="642" spans="1:9" x14ac:dyDescent="0.2">
      <c r="B642" s="196"/>
      <c r="C642" s="197">
        <v>45459.020949074074</v>
      </c>
      <c r="D642" s="197">
        <v>45459.021203703705</v>
      </c>
      <c r="E642" s="198" t="s">
        <v>244</v>
      </c>
      <c r="F642" s="199"/>
      <c r="G642" s="140" t="e">
        <f ca="1">mif(C642="","",OR(B642=リスト!$C$5,B642=リスト!$C$6),SUM(INDEX(G:G,MATCH(I642-1,I:I,0)+1,1):INDEX(G:G,MATCH(I642,I:I,0)-1,1)),D642-C642)</f>
        <v>#NAME?</v>
      </c>
      <c r="H642" s="140" t="e">
        <f ca="1">mif(C642="","",B642=リスト!$C$5,SUMIF(INDEX(B:B,MATCH(I642-1,I:I,0)+1,1):INDEX(B:B,MATCH(I642,I:I,0)-1,1),リスト!$C$7,INDEX(G:G,MATCH(I642-1,I:I,0)+1,1):INDEX(G:G,MATCH(I642,I:I,0)-1,1)),"")</f>
        <v>#NAME?</v>
      </c>
      <c r="I642" s="200" t="str">
        <f>IF(OR(B642=リスト!$C$5,B642=リスト!$C$6),COUNTIF($B$9:B642,リスト!$C$5)+COUNTIF($B$9:B642,リスト!$C$6),"")</f>
        <v/>
      </c>
    </row>
    <row r="643" spans="1:9" x14ac:dyDescent="0.2">
      <c r="B643" s="196"/>
      <c r="C643" s="197">
        <v>45459.059942129628</v>
      </c>
      <c r="D643" s="197">
        <v>45459.060219907406</v>
      </c>
      <c r="E643" s="198" t="s">
        <v>244</v>
      </c>
      <c r="F643" s="199"/>
      <c r="G643" s="140" t="e">
        <f ca="1">mif(C643="","",OR(B643=リスト!$C$5,B643=リスト!$C$6),SUM(INDEX(G:G,MATCH(I643-1,I:I,0)+1,1):INDEX(G:G,MATCH(I643,I:I,0)-1,1)),D643-C643)</f>
        <v>#NAME?</v>
      </c>
      <c r="H643" s="140" t="e">
        <f ca="1">mif(C643="","",B643=リスト!$C$5,SUMIF(INDEX(B:B,MATCH(I643-1,I:I,0)+1,1):INDEX(B:B,MATCH(I643,I:I,0)-1,1),リスト!$C$7,INDEX(G:G,MATCH(I643-1,I:I,0)+1,1):INDEX(G:G,MATCH(I643,I:I,0)-1,1)),"")</f>
        <v>#NAME?</v>
      </c>
      <c r="I643" s="200" t="str">
        <f>IF(OR(B643=リスト!$C$5,B643=リスト!$C$6),COUNTIF($B$9:B643,リスト!$C$5)+COUNTIF($B$9:B643,リスト!$C$6),"")</f>
        <v/>
      </c>
    </row>
    <row r="644" spans="1:9" x14ac:dyDescent="0.2">
      <c r="B644" s="196"/>
      <c r="C644" s="197">
        <v>45459.116793981484</v>
      </c>
      <c r="D644" s="197">
        <v>45459.117071759261</v>
      </c>
      <c r="E644" s="198" t="s">
        <v>244</v>
      </c>
      <c r="F644" s="199"/>
      <c r="G644" s="140" t="e">
        <f ca="1">mif(C644="","",OR(B644=リスト!$C$5,B644=リスト!$C$6),SUM(INDEX(G:G,MATCH(I644-1,I:I,0)+1,1):INDEX(G:G,MATCH(I644,I:I,0)-1,1)),D644-C644)</f>
        <v>#NAME?</v>
      </c>
      <c r="H644" s="140" t="e">
        <f ca="1">mif(C644="","",B644=リスト!$C$5,SUMIF(INDEX(B:B,MATCH(I644-1,I:I,0)+1,1):INDEX(B:B,MATCH(I644,I:I,0)-1,1),リスト!$C$7,INDEX(G:G,MATCH(I644-1,I:I,0)+1,1):INDEX(G:G,MATCH(I644,I:I,0)-1,1)),"")</f>
        <v>#NAME?</v>
      </c>
      <c r="I644" s="200" t="str">
        <f>IF(OR(B644=リスト!$C$5,B644=リスト!$C$6),COUNTIF($B$9:B644,リスト!$C$5)+COUNTIF($B$9:B644,リスト!$C$6),"")</f>
        <v/>
      </c>
    </row>
    <row r="645" spans="1:9" x14ac:dyDescent="0.2">
      <c r="B645" s="196"/>
      <c r="C645" s="197">
        <v>45459.136990740742</v>
      </c>
      <c r="D645" s="197">
        <v>45459.13921296296</v>
      </c>
      <c r="E645" s="198" t="s">
        <v>244</v>
      </c>
      <c r="F645" s="199"/>
      <c r="G645" s="140" t="e">
        <f ca="1">mif(C645="","",OR(B645=リスト!$C$5,B645=リスト!$C$6),SUM(INDEX(G:G,MATCH(I645-1,I:I,0)+1,1):INDEX(G:G,MATCH(I645,I:I,0)-1,1)),D645-C645)</f>
        <v>#NAME?</v>
      </c>
      <c r="H645" s="140" t="e">
        <f ca="1">mif(C645="","",B645=リスト!$C$5,SUMIF(INDEX(B:B,MATCH(I645-1,I:I,0)+1,1):INDEX(B:B,MATCH(I645,I:I,0)-1,1),リスト!$C$7,INDEX(G:G,MATCH(I645-1,I:I,0)+1,1):INDEX(G:G,MATCH(I645,I:I,0)-1,1)),"")</f>
        <v>#NAME?</v>
      </c>
      <c r="I645" s="200" t="str">
        <f>IF(OR(B645=リスト!$C$5,B645=リスト!$C$6),COUNTIF($B$9:B645,リスト!$C$5)+COUNTIF($B$9:B645,リスト!$C$6),"")</f>
        <v/>
      </c>
    </row>
    <row r="646" spans="1:9" x14ac:dyDescent="0.2">
      <c r="B646" s="196"/>
      <c r="C646" s="197">
        <v>45459.143703703703</v>
      </c>
      <c r="D646" s="197">
        <v>45459.14398148148</v>
      </c>
      <c r="E646" s="198" t="s">
        <v>244</v>
      </c>
      <c r="F646" s="199"/>
      <c r="G646" s="140" t="e">
        <f ca="1">mif(C646="","",OR(B646=リスト!$C$5,B646=リスト!$C$6),SUM(INDEX(G:G,MATCH(I646-1,I:I,0)+1,1):INDEX(G:G,MATCH(I646,I:I,0)-1,1)),D646-C646)</f>
        <v>#NAME?</v>
      </c>
      <c r="H646" s="140" t="e">
        <f ca="1">mif(C646="","",B646=リスト!$C$5,SUMIF(INDEX(B:B,MATCH(I646-1,I:I,0)+1,1):INDEX(B:B,MATCH(I646,I:I,0)-1,1),リスト!$C$7,INDEX(G:G,MATCH(I646-1,I:I,0)+1,1):INDEX(G:G,MATCH(I646,I:I,0)-1,1)),"")</f>
        <v>#NAME?</v>
      </c>
      <c r="I646" s="200" t="str">
        <f>IF(OR(B646=リスト!$C$5,B646=リスト!$C$6),COUNTIF($B$9:B646,リスト!$C$5)+COUNTIF($B$9:B646,リスト!$C$6),"")</f>
        <v/>
      </c>
    </row>
    <row r="647" spans="1:9" x14ac:dyDescent="0.2">
      <c r="B647" s="196"/>
      <c r="C647" s="197">
        <v>45459.220462962963</v>
      </c>
      <c r="D647" s="197">
        <v>45459.220856481479</v>
      </c>
      <c r="E647" s="198" t="s">
        <v>244</v>
      </c>
      <c r="F647" s="199"/>
      <c r="G647" s="140" t="e">
        <f ca="1">mif(C647="","",OR(B647=リスト!$C$5,B647=リスト!$C$6),SUM(INDEX(G:G,MATCH(I647-1,I:I,0)+1,1):INDEX(G:G,MATCH(I647,I:I,0)-1,1)),D647-C647)</f>
        <v>#NAME?</v>
      </c>
      <c r="H647" s="140" t="e">
        <f ca="1">mif(C647="","",B647=リスト!$C$5,SUMIF(INDEX(B:B,MATCH(I647-1,I:I,0)+1,1):INDEX(B:B,MATCH(I647,I:I,0)-1,1),リスト!$C$7,INDEX(G:G,MATCH(I647-1,I:I,0)+1,1):INDEX(G:G,MATCH(I647,I:I,0)-1,1)),"")</f>
        <v>#NAME?</v>
      </c>
      <c r="I647" s="200" t="str">
        <f>IF(OR(B647=リスト!$C$5,B647=リスト!$C$6),COUNTIF($B$9:B647,リスト!$C$5)+COUNTIF($B$9:B647,リスト!$C$6),"")</f>
        <v/>
      </c>
    </row>
    <row r="648" spans="1:9" x14ac:dyDescent="0.2">
      <c r="B648" s="196"/>
      <c r="C648" s="197">
        <v>45459.266747685186</v>
      </c>
      <c r="D648" s="197">
        <v>45459.267071759263</v>
      </c>
      <c r="E648" s="198" t="s">
        <v>244</v>
      </c>
      <c r="F648" s="199"/>
      <c r="G648" s="140" t="e">
        <f ca="1">mif(C648="","",OR(B648=リスト!$C$5,B648=リスト!$C$6),SUM(INDEX(G:G,MATCH(I648-1,I:I,0)+1,1):INDEX(G:G,MATCH(I648,I:I,0)-1,1)),D648-C648)</f>
        <v>#NAME?</v>
      </c>
      <c r="H648" s="140" t="e">
        <f ca="1">mif(C648="","",B648=リスト!$C$5,SUMIF(INDEX(B:B,MATCH(I648-1,I:I,0)+1,1):INDEX(B:B,MATCH(I648,I:I,0)-1,1),リスト!$C$7,INDEX(G:G,MATCH(I648-1,I:I,0)+1,1):INDEX(G:G,MATCH(I648,I:I,0)-1,1)),"")</f>
        <v>#NAME?</v>
      </c>
      <c r="I648" s="200" t="str">
        <f>IF(OR(B648=リスト!$C$5,B648=リスト!$C$6),COUNTIF($B$9:B648,リスト!$C$5)+COUNTIF($B$9:B648,リスト!$C$6),"")</f>
        <v/>
      </c>
    </row>
    <row r="649" spans="1:9" x14ac:dyDescent="0.2">
      <c r="B649" s="196"/>
      <c r="C649" s="197">
        <v>45459.279699074075</v>
      </c>
      <c r="D649" s="197">
        <v>45459.280370370368</v>
      </c>
      <c r="E649" s="198" t="s">
        <v>244</v>
      </c>
      <c r="F649" s="199"/>
      <c r="G649" s="140" t="e">
        <f ca="1">mif(C649="","",OR(B649=リスト!$C$5,B649=リスト!$C$6),SUM(INDEX(G:G,MATCH(I649-1,I:I,0)+1,1):INDEX(G:G,MATCH(I649,I:I,0)-1,1)),D649-C649)</f>
        <v>#NAME?</v>
      </c>
      <c r="H649" s="140" t="e">
        <f ca="1">mif(C649="","",B649=リスト!$C$5,SUMIF(INDEX(B:B,MATCH(I649-1,I:I,0)+1,1):INDEX(B:B,MATCH(I649,I:I,0)-1,1),リスト!$C$7,INDEX(G:G,MATCH(I649-1,I:I,0)+1,1):INDEX(G:G,MATCH(I649,I:I,0)-1,1)),"")</f>
        <v>#NAME?</v>
      </c>
      <c r="I649" s="200" t="str">
        <f>IF(OR(B649=リスト!$C$5,B649=リスト!$C$6),COUNTIF($B$9:B649,リスト!$C$5)+COUNTIF($B$9:B649,リスト!$C$6),"")</f>
        <v/>
      </c>
    </row>
    <row r="650" spans="1:9" x14ac:dyDescent="0.2">
      <c r="B650" s="196"/>
      <c r="C650" s="197">
        <v>45459.317280092589</v>
      </c>
      <c r="D650" s="197">
        <v>45459.317511574074</v>
      </c>
      <c r="E650" s="198" t="s">
        <v>244</v>
      </c>
      <c r="F650" s="199"/>
      <c r="G650" s="140" t="e">
        <f ca="1">mif(C650="","",OR(B650=リスト!$C$5,B650=リスト!$C$6),SUM(INDEX(G:G,MATCH(I650-1,I:I,0)+1,1):INDEX(G:G,MATCH(I650,I:I,0)-1,1)),D650-C650)</f>
        <v>#NAME?</v>
      </c>
      <c r="H650" s="140" t="e">
        <f ca="1">mif(C650="","",B650=リスト!$C$5,SUMIF(INDEX(B:B,MATCH(I650-1,I:I,0)+1,1):INDEX(B:B,MATCH(I650,I:I,0)-1,1),リスト!$C$7,INDEX(G:G,MATCH(I650-1,I:I,0)+1,1):INDEX(G:G,MATCH(I650,I:I,0)-1,1)),"")</f>
        <v>#NAME?</v>
      </c>
      <c r="I650" s="200" t="str">
        <f>IF(OR(B650=リスト!$C$5,B650=リスト!$C$6),COUNTIF($B$9:B650,リスト!$C$5)+COUNTIF($B$9:B650,リスト!$C$6),"")</f>
        <v/>
      </c>
    </row>
    <row r="651" spans="1:9" x14ac:dyDescent="0.2">
      <c r="B651" s="196"/>
      <c r="C651" s="197">
        <v>45459.353391203702</v>
      </c>
      <c r="D651" s="197">
        <v>45459.353668981479</v>
      </c>
      <c r="E651" s="198" t="s">
        <v>244</v>
      </c>
      <c r="F651" s="199"/>
      <c r="G651" s="140" t="e">
        <f ca="1">mif(C651="","",OR(B651=リスト!$C$5,B651=リスト!$C$6),SUM(INDEX(G:G,MATCH(I651-1,I:I,0)+1,1):INDEX(G:G,MATCH(I651,I:I,0)-1,1)),D651-C651)</f>
        <v>#NAME?</v>
      </c>
      <c r="H651" s="140" t="e">
        <f ca="1">mif(C651="","",B651=リスト!$C$5,SUMIF(INDEX(B:B,MATCH(I651-1,I:I,0)+1,1):INDEX(B:B,MATCH(I651,I:I,0)-1,1),リスト!$C$7,INDEX(G:G,MATCH(I651-1,I:I,0)+1,1):INDEX(G:G,MATCH(I651,I:I,0)-1,1)),"")</f>
        <v>#NAME?</v>
      </c>
      <c r="I651" s="200" t="str">
        <f>IF(OR(B651=リスト!$C$5,B651=リスト!$C$6),COUNTIF($B$9:B651,リスト!$C$5)+COUNTIF($B$9:B651,リスト!$C$6),"")</f>
        <v/>
      </c>
    </row>
    <row r="652" spans="1:9" x14ac:dyDescent="0.2">
      <c r="B652" s="196"/>
      <c r="C652" s="197">
        <v>45459.399618055555</v>
      </c>
      <c r="D652" s="197">
        <v>45459.399872685186</v>
      </c>
      <c r="E652" s="198" t="s">
        <v>244</v>
      </c>
      <c r="F652" s="199"/>
      <c r="G652" s="140" t="e">
        <f ca="1">mif(C652="","",OR(B652=リスト!$C$5,B652=リスト!$C$6),SUM(INDEX(G:G,MATCH(I652-1,I:I,0)+1,1):INDEX(G:G,MATCH(I652,I:I,0)-1,1)),D652-C652)</f>
        <v>#NAME?</v>
      </c>
      <c r="H652" s="140" t="e">
        <f ca="1">mif(C652="","",B652=リスト!$C$5,SUMIF(INDEX(B:B,MATCH(I652-1,I:I,0)+1,1):INDEX(B:B,MATCH(I652,I:I,0)-1,1),リスト!$C$7,INDEX(G:G,MATCH(I652-1,I:I,0)+1,1):INDEX(G:G,MATCH(I652,I:I,0)-1,1)),"")</f>
        <v>#NAME?</v>
      </c>
      <c r="I652" s="200" t="str">
        <f>IF(OR(B652=リスト!$C$5,B652=リスト!$C$6),COUNTIF($B$9:B652,リスト!$C$5)+COUNTIF($B$9:B652,リスト!$C$6),"")</f>
        <v/>
      </c>
    </row>
    <row r="653" spans="1:9" x14ac:dyDescent="0.2">
      <c r="B653" s="196"/>
      <c r="C653" s="197">
        <v>45459.410150462965</v>
      </c>
      <c r="D653" s="197">
        <v>45459.410405092596</v>
      </c>
      <c r="E653" s="198" t="s">
        <v>244</v>
      </c>
      <c r="F653" s="199"/>
      <c r="G653" s="140" t="e">
        <f ca="1">mif(C653="","",OR(B653=リスト!$C$5,B653=リスト!$C$6),SUM(INDEX(G:G,MATCH(I653-1,I:I,0)+1,1):INDEX(G:G,MATCH(I653,I:I,0)-1,1)),D653-C653)</f>
        <v>#NAME?</v>
      </c>
      <c r="H653" s="140" t="e">
        <f ca="1">mif(C653="","",B653=リスト!$C$5,SUMIF(INDEX(B:B,MATCH(I653-1,I:I,0)+1,1):INDEX(B:B,MATCH(I653,I:I,0)-1,1),リスト!$C$7,INDEX(G:G,MATCH(I653-1,I:I,0)+1,1):INDEX(G:G,MATCH(I653,I:I,0)-1,1)),"")</f>
        <v>#NAME?</v>
      </c>
      <c r="I653" s="200" t="str">
        <f>IF(OR(B653=リスト!$C$5,B653=リスト!$C$6),COUNTIF($B$9:B653,リスト!$C$5)+COUNTIF($B$9:B653,リスト!$C$6),"")</f>
        <v/>
      </c>
    </row>
    <row r="654" spans="1:9" x14ac:dyDescent="0.2">
      <c r="B654" s="196"/>
      <c r="C654" s="197">
        <v>45459.415891203702</v>
      </c>
      <c r="D654" s="197">
        <v>45459.416192129633</v>
      </c>
      <c r="E654" s="198" t="s">
        <v>244</v>
      </c>
      <c r="F654" s="199"/>
      <c r="G654" s="140" t="e">
        <f ca="1">mif(C654="","",OR(B654=リスト!$C$5,B654=リスト!$C$6),SUM(INDEX(G:G,MATCH(I654-1,I:I,0)+1,1):INDEX(G:G,MATCH(I654,I:I,0)-1,1)),D654-C654)</f>
        <v>#NAME?</v>
      </c>
      <c r="H654" s="140" t="e">
        <f ca="1">mif(C654="","",B654=リスト!$C$5,SUMIF(INDEX(B:B,MATCH(I654-1,I:I,0)+1,1):INDEX(B:B,MATCH(I654,I:I,0)-1,1),リスト!$C$7,INDEX(G:G,MATCH(I654-1,I:I,0)+1,1):INDEX(G:G,MATCH(I654,I:I,0)-1,1)),"")</f>
        <v>#NAME?</v>
      </c>
      <c r="I654" s="200" t="str">
        <f>IF(OR(B654=リスト!$C$5,B654=リスト!$C$6),COUNTIF($B$9:B654,リスト!$C$5)+COUNTIF($B$9:B654,リスト!$C$6),"")</f>
        <v/>
      </c>
    </row>
    <row r="655" spans="1:9" x14ac:dyDescent="0.2">
      <c r="B655" s="196" t="s">
        <v>247</v>
      </c>
      <c r="C655" s="197">
        <v>45458.916666666664</v>
      </c>
      <c r="D655" s="197">
        <v>45459.416666666664</v>
      </c>
      <c r="E655" s="198">
        <v>15</v>
      </c>
      <c r="F655" s="199"/>
      <c r="G655" s="140" t="e">
        <f ca="1">mif(C655="","",OR(B655=リスト!$C$5,B655=リスト!$C$6),SUM(INDEX(G:G,MATCH(I655-1,I:I,0)+1,1):INDEX(G:G,MATCH(I655,I:I,0)-1,1)),D655-C655)</f>
        <v>#NAME?</v>
      </c>
      <c r="H655" s="140" t="e">
        <f ca="1">mif(C655="","",B655=リスト!$C$5,SUMIF(INDEX(B:B,MATCH(I655-1,I:I,0)+1,1):INDEX(B:B,MATCH(I655,I:I,0)-1,1),リスト!$C$7,INDEX(G:G,MATCH(I655-1,I:I,0)+1,1):INDEX(G:G,MATCH(I655,I:I,0)-1,1)),"")</f>
        <v>#NAME?</v>
      </c>
      <c r="I655" s="200">
        <f>IF(OR(B655=リスト!$C$5,B655=リスト!$C$6),COUNTIF($B$9:B655,リスト!$C$5)+COUNTIF($B$9:B655,リスト!$C$6),"")</f>
        <v>45</v>
      </c>
    </row>
    <row r="656" spans="1:9" x14ac:dyDescent="0.2">
      <c r="A656" s="38" t="s">
        <v>225</v>
      </c>
      <c r="B656" s="196" t="s">
        <v>245</v>
      </c>
      <c r="C656" s="197">
        <v>45459.487175925926</v>
      </c>
      <c r="D656" s="197">
        <v>45459.59097222222</v>
      </c>
      <c r="E656" s="198"/>
      <c r="F656" s="199" t="s">
        <v>82</v>
      </c>
      <c r="G656" s="140" t="e">
        <f ca="1">mif(C656="","",OR(B656=リスト!$C$5,B656=リスト!$C$6),SUM(INDEX(G:G,MATCH(I656-1,I:I,0)+1,1):INDEX(G:G,MATCH(I656,I:I,0)-1,1)),D656-C656)</f>
        <v>#NAME?</v>
      </c>
      <c r="H656" s="140" t="e">
        <f ca="1">mif(C656="","",B656=リスト!$C$5,SUMIF(INDEX(B:B,MATCH(I656-1,I:I,0)+1,1):INDEX(B:B,MATCH(I656,I:I,0)-1,1),リスト!$C$7,INDEX(G:G,MATCH(I656-1,I:I,0)+1,1):INDEX(G:G,MATCH(I656,I:I,0)-1,1)),"")</f>
        <v>#NAME?</v>
      </c>
      <c r="I656" s="200" t="str">
        <f>IF(OR(B656=リスト!$C$5,B656=リスト!$C$6),COUNTIF($B$9:B656,リスト!$C$5)+COUNTIF($B$9:B656,リスト!$C$6),"")</f>
        <v/>
      </c>
    </row>
    <row r="657" spans="2:9" x14ac:dyDescent="0.2">
      <c r="B657" s="196"/>
      <c r="C657" s="197">
        <v>45459.620659722219</v>
      </c>
      <c r="D657" s="197">
        <v>45459.620891203704</v>
      </c>
      <c r="E657" s="198" t="s">
        <v>244</v>
      </c>
      <c r="F657" s="199"/>
      <c r="G657" s="140" t="e">
        <f ca="1">mif(C657="","",OR(B657=リスト!$C$5,B657=リスト!$C$6),SUM(INDEX(G:G,MATCH(I657-1,I:I,0)+1,1):INDEX(G:G,MATCH(I657,I:I,0)-1,1)),D657-C657)</f>
        <v>#NAME?</v>
      </c>
      <c r="H657" s="140" t="e">
        <f ca="1">mif(C657="","",B657=リスト!$C$5,SUMIF(INDEX(B:B,MATCH(I657-1,I:I,0)+1,1):INDEX(B:B,MATCH(I657,I:I,0)-1,1),リスト!$C$7,INDEX(G:G,MATCH(I657-1,I:I,0)+1,1):INDEX(G:G,MATCH(I657,I:I,0)-1,1)),"")</f>
        <v>#NAME?</v>
      </c>
      <c r="I657" s="200" t="str">
        <f>IF(OR(B657=リスト!$C$5,B657=リスト!$C$6),COUNTIF($B$9:B657,リスト!$C$5)+COUNTIF($B$9:B657,リスト!$C$6),"")</f>
        <v/>
      </c>
    </row>
    <row r="658" spans="2:9" x14ac:dyDescent="0.2">
      <c r="B658" s="196"/>
      <c r="C658" s="197">
        <v>45459.665289351855</v>
      </c>
      <c r="D658" s="197">
        <v>45459.665636574071</v>
      </c>
      <c r="E658" s="198" t="s">
        <v>244</v>
      </c>
      <c r="F658" s="199"/>
      <c r="G658" s="140" t="e">
        <f ca="1">mif(C658="","",OR(B658=リスト!$C$5,B658=リスト!$C$6),SUM(INDEX(G:G,MATCH(I658-1,I:I,0)+1,1):INDEX(G:G,MATCH(I658,I:I,0)-1,1)),D658-C658)</f>
        <v>#NAME?</v>
      </c>
      <c r="H658" s="140" t="e">
        <f ca="1">mif(C658="","",B658=リスト!$C$5,SUMIF(INDEX(B:B,MATCH(I658-1,I:I,0)+1,1):INDEX(B:B,MATCH(I658,I:I,0)-1,1),リスト!$C$7,INDEX(G:G,MATCH(I658-1,I:I,0)+1,1):INDEX(G:G,MATCH(I658,I:I,0)-1,1)),"")</f>
        <v>#NAME?</v>
      </c>
      <c r="I658" s="200" t="str">
        <f>IF(OR(B658=リスト!$C$5,B658=リスト!$C$6),COUNTIF($B$9:B658,リスト!$C$5)+COUNTIF($B$9:B658,リスト!$C$6),"")</f>
        <v/>
      </c>
    </row>
    <row r="659" spans="2:9" x14ac:dyDescent="0.2">
      <c r="B659" s="196"/>
      <c r="C659" s="197">
        <v>45459.671793981484</v>
      </c>
      <c r="D659" s="197">
        <v>45459.672094907408</v>
      </c>
      <c r="E659" s="198" t="s">
        <v>244</v>
      </c>
      <c r="F659" s="199"/>
      <c r="G659" s="140" t="e">
        <f ca="1">mif(C659="","",OR(B659=リスト!$C$5,B659=リスト!$C$6),SUM(INDEX(G:G,MATCH(I659-1,I:I,0)+1,1):INDEX(G:G,MATCH(I659,I:I,0)-1,1)),D659-C659)</f>
        <v>#NAME?</v>
      </c>
      <c r="H659" s="140" t="e">
        <f ca="1">mif(C659="","",B659=リスト!$C$5,SUMIF(INDEX(B:B,MATCH(I659-1,I:I,0)+1,1):INDEX(B:B,MATCH(I659,I:I,0)-1,1),リスト!$C$7,INDEX(G:G,MATCH(I659-1,I:I,0)+1,1):INDEX(G:G,MATCH(I659,I:I,0)-1,1)),"")</f>
        <v>#NAME?</v>
      </c>
      <c r="I659" s="200" t="str">
        <f>IF(OR(B659=リスト!$C$5,B659=リスト!$C$6),COUNTIF($B$9:B659,リスト!$C$5)+COUNTIF($B$9:B659,リスト!$C$6),"")</f>
        <v/>
      </c>
    </row>
    <row r="660" spans="2:9" x14ac:dyDescent="0.2">
      <c r="B660" s="196"/>
      <c r="C660" s="197">
        <v>45459.679930555554</v>
      </c>
      <c r="D660" s="197">
        <v>45459.680625000001</v>
      </c>
      <c r="E660" s="198" t="s">
        <v>244</v>
      </c>
      <c r="F660" s="199"/>
      <c r="G660" s="140" t="e">
        <f ca="1">mif(C660="","",OR(B660=リスト!$C$5,B660=リスト!$C$6),SUM(INDEX(G:G,MATCH(I660-1,I:I,0)+1,1):INDEX(G:G,MATCH(I660,I:I,0)-1,1)),D660-C660)</f>
        <v>#NAME?</v>
      </c>
      <c r="H660" s="140" t="e">
        <f ca="1">mif(C660="","",B660=リスト!$C$5,SUMIF(INDEX(B:B,MATCH(I660-1,I:I,0)+1,1):INDEX(B:B,MATCH(I660,I:I,0)-1,1),リスト!$C$7,INDEX(G:G,MATCH(I660-1,I:I,0)+1,1):INDEX(G:G,MATCH(I660,I:I,0)-1,1)),"")</f>
        <v>#NAME?</v>
      </c>
      <c r="I660" s="200" t="str">
        <f>IF(OR(B660=リスト!$C$5,B660=リスト!$C$6),COUNTIF($B$9:B660,リスト!$C$5)+COUNTIF($B$9:B660,リスト!$C$6),"")</f>
        <v/>
      </c>
    </row>
    <row r="661" spans="2:9" x14ac:dyDescent="0.2">
      <c r="B661" s="196"/>
      <c r="C661" s="197">
        <v>45459.710960648146</v>
      </c>
      <c r="D661" s="197">
        <v>45459.711238425924</v>
      </c>
      <c r="E661" s="198" t="s">
        <v>244</v>
      </c>
      <c r="F661" s="199"/>
      <c r="G661" s="140" t="e">
        <f ca="1">mif(C661="","",OR(B661=リスト!$C$5,B661=リスト!$C$6),SUM(INDEX(G:G,MATCH(I661-1,I:I,0)+1,1):INDEX(G:G,MATCH(I661,I:I,0)-1,1)),D661-C661)</f>
        <v>#NAME?</v>
      </c>
      <c r="H661" s="140" t="e">
        <f ca="1">mif(C661="","",B661=リスト!$C$5,SUMIF(INDEX(B:B,MATCH(I661-1,I:I,0)+1,1):INDEX(B:B,MATCH(I661,I:I,0)-1,1),リスト!$C$7,INDEX(G:G,MATCH(I661-1,I:I,0)+1,1):INDEX(G:G,MATCH(I661,I:I,0)-1,1)),"")</f>
        <v>#NAME?</v>
      </c>
      <c r="I661" s="200" t="str">
        <f>IF(OR(B661=リスト!$C$5,B661=リスト!$C$6),COUNTIF($B$9:B661,リスト!$C$5)+COUNTIF($B$9:B661,リスト!$C$6),"")</f>
        <v/>
      </c>
    </row>
    <row r="662" spans="2:9" x14ac:dyDescent="0.2">
      <c r="B662" s="196"/>
      <c r="C662" s="197">
        <v>45459.725358796299</v>
      </c>
      <c r="D662" s="197">
        <v>45459.725937499999</v>
      </c>
      <c r="E662" s="198" t="s">
        <v>244</v>
      </c>
      <c r="F662" s="199"/>
      <c r="G662" s="140" t="e">
        <f ca="1">mif(C662="","",OR(B662=リスト!$C$5,B662=リスト!$C$6),SUM(INDEX(G:G,MATCH(I662-1,I:I,0)+1,1):INDEX(G:G,MATCH(I662,I:I,0)-1,1)),D662-C662)</f>
        <v>#NAME?</v>
      </c>
      <c r="H662" s="140" t="e">
        <f ca="1">mif(C662="","",B662=リスト!$C$5,SUMIF(INDEX(B:B,MATCH(I662-1,I:I,0)+1,1):INDEX(B:B,MATCH(I662,I:I,0)-1,1),リスト!$C$7,INDEX(G:G,MATCH(I662-1,I:I,0)+1,1):INDEX(G:G,MATCH(I662,I:I,0)-1,1)),"")</f>
        <v>#NAME?</v>
      </c>
      <c r="I662" s="200" t="str">
        <f>IF(OR(B662=リスト!$C$5,B662=リスト!$C$6),COUNTIF($B$9:B662,リスト!$C$5)+COUNTIF($B$9:B662,リスト!$C$6),"")</f>
        <v/>
      </c>
    </row>
    <row r="663" spans="2:9" x14ac:dyDescent="0.2">
      <c r="B663" s="196"/>
      <c r="C663" s="197">
        <v>45459.726423611108</v>
      </c>
      <c r="D663" s="197">
        <v>45459.727002314816</v>
      </c>
      <c r="E663" s="198" t="s">
        <v>244</v>
      </c>
      <c r="F663" s="199"/>
      <c r="G663" s="140" t="e">
        <f ca="1">mif(C663="","",OR(B663=リスト!$C$5,B663=リスト!$C$6),SUM(INDEX(G:G,MATCH(I663-1,I:I,0)+1,1):INDEX(G:G,MATCH(I663,I:I,0)-1,1)),D663-C663)</f>
        <v>#NAME?</v>
      </c>
      <c r="H663" s="140" t="e">
        <f ca="1">mif(C663="","",B663=リスト!$C$5,SUMIF(INDEX(B:B,MATCH(I663-1,I:I,0)+1,1):INDEX(B:B,MATCH(I663,I:I,0)-1,1),リスト!$C$7,INDEX(G:G,MATCH(I663-1,I:I,0)+1,1):INDEX(G:G,MATCH(I663,I:I,0)-1,1)),"")</f>
        <v>#NAME?</v>
      </c>
      <c r="I663" s="200" t="str">
        <f>IF(OR(B663=リスト!$C$5,B663=リスト!$C$6),COUNTIF($B$9:B663,リスト!$C$5)+COUNTIF($B$9:B663,リスト!$C$6),"")</f>
        <v/>
      </c>
    </row>
    <row r="664" spans="2:9" x14ac:dyDescent="0.2">
      <c r="B664" s="196" t="s">
        <v>247</v>
      </c>
      <c r="C664" s="197">
        <v>45459.416666666664</v>
      </c>
      <c r="D664" s="197">
        <v>45459.916666666664</v>
      </c>
      <c r="E664" s="198">
        <v>7</v>
      </c>
      <c r="F664" s="199" t="s">
        <v>82</v>
      </c>
      <c r="G664" s="140" t="e">
        <f ca="1">mif(C664="","",OR(B664=リスト!$C$5,B664=リスト!$C$6),SUM(INDEX(G:G,MATCH(I664-1,I:I,0)+1,1):INDEX(G:G,MATCH(I664,I:I,0)-1,1)),D664-C664)</f>
        <v>#NAME?</v>
      </c>
      <c r="H664" s="140" t="e">
        <f ca="1">mif(C664="","",B664=リスト!$C$5,SUMIF(INDEX(B:B,MATCH(I664-1,I:I,0)+1,1):INDEX(B:B,MATCH(I664,I:I,0)-1,1),リスト!$C$7,INDEX(G:G,MATCH(I664-1,I:I,0)+1,1):INDEX(G:G,MATCH(I664,I:I,0)-1,1)),"")</f>
        <v>#NAME?</v>
      </c>
      <c r="I664" s="200">
        <f>IF(OR(B664=リスト!$C$5,B664=リスト!$C$6),COUNTIF($B$9:B664,リスト!$C$5)+COUNTIF($B$9:B664,リスト!$C$6),"")</f>
        <v>46</v>
      </c>
    </row>
    <row r="665" spans="2:9" x14ac:dyDescent="0.2">
      <c r="B665" s="196"/>
      <c r="C665" s="197">
        <v>45460.01017361111</v>
      </c>
      <c r="D665" s="197">
        <v>45460.01059027778</v>
      </c>
      <c r="E665" s="198" t="s">
        <v>244</v>
      </c>
      <c r="F665" s="199"/>
      <c r="G665" s="140" t="e">
        <f ca="1">mif(C665="","",OR(B665=リスト!$C$5,B665=リスト!$C$6),SUM(INDEX(G:G,MATCH(I665-1,I:I,0)+1,1):INDEX(G:G,MATCH(I665,I:I,0)-1,1)),D665-C665)</f>
        <v>#NAME?</v>
      </c>
      <c r="H665" s="140" t="e">
        <f ca="1">mif(C665="","",B665=リスト!$C$5,SUMIF(INDEX(B:B,MATCH(I665-1,I:I,0)+1,1):INDEX(B:B,MATCH(I665,I:I,0)-1,1),リスト!$C$7,INDEX(G:G,MATCH(I665-1,I:I,0)+1,1):INDEX(G:G,MATCH(I665,I:I,0)-1,1)),"")</f>
        <v>#NAME?</v>
      </c>
      <c r="I665" s="200" t="str">
        <f>IF(OR(B665=リスト!$C$5,B665=リスト!$C$6),COUNTIF($B$9:B665,リスト!$C$5)+COUNTIF($B$9:B665,リスト!$C$6),"")</f>
        <v/>
      </c>
    </row>
    <row r="666" spans="2:9" x14ac:dyDescent="0.2">
      <c r="B666" s="196"/>
      <c r="C666" s="197">
        <v>45460.014479166668</v>
      </c>
      <c r="D666" s="197">
        <v>45460.014756944445</v>
      </c>
      <c r="E666" s="198" t="s">
        <v>244</v>
      </c>
      <c r="F666" s="199"/>
      <c r="G666" s="140" t="e">
        <f ca="1">mif(C666="","",OR(B666=リスト!$C$5,B666=リスト!$C$6),SUM(INDEX(G:G,MATCH(I666-1,I:I,0)+1,1):INDEX(G:G,MATCH(I666,I:I,0)-1,1)),D666-C666)</f>
        <v>#NAME?</v>
      </c>
      <c r="H666" s="140" t="e">
        <f ca="1">mif(C666="","",B666=リスト!$C$5,SUMIF(INDEX(B:B,MATCH(I666-1,I:I,0)+1,1):INDEX(B:B,MATCH(I666,I:I,0)-1,1),リスト!$C$7,INDEX(G:G,MATCH(I666-1,I:I,0)+1,1):INDEX(G:G,MATCH(I666,I:I,0)-1,1)),"")</f>
        <v>#NAME?</v>
      </c>
      <c r="I666" s="200" t="str">
        <f>IF(OR(B666=リスト!$C$5,B666=リスト!$C$6),COUNTIF($B$9:B666,リスト!$C$5)+COUNTIF($B$9:B666,リスト!$C$6),"")</f>
        <v/>
      </c>
    </row>
    <row r="667" spans="2:9" x14ac:dyDescent="0.2">
      <c r="B667" s="196"/>
      <c r="C667" s="197">
        <v>45460.015520833331</v>
      </c>
      <c r="D667" s="197">
        <v>45460.015798611108</v>
      </c>
      <c r="E667" s="198" t="s">
        <v>244</v>
      </c>
      <c r="F667" s="199"/>
      <c r="G667" s="140" t="e">
        <f ca="1">mif(C667="","",OR(B667=リスト!$C$5,B667=リスト!$C$6),SUM(INDEX(G:G,MATCH(I667-1,I:I,0)+1,1):INDEX(G:G,MATCH(I667,I:I,0)-1,1)),D667-C667)</f>
        <v>#NAME?</v>
      </c>
      <c r="H667" s="140" t="e">
        <f ca="1">mif(C667="","",B667=リスト!$C$5,SUMIF(INDEX(B:B,MATCH(I667-1,I:I,0)+1,1):INDEX(B:B,MATCH(I667,I:I,0)-1,1),リスト!$C$7,INDEX(G:G,MATCH(I667-1,I:I,0)+1,1):INDEX(G:G,MATCH(I667,I:I,0)-1,1)),"")</f>
        <v>#NAME?</v>
      </c>
      <c r="I667" s="200" t="str">
        <f>IF(OR(B667=リスト!$C$5,B667=リスト!$C$6),COUNTIF($B$9:B667,リスト!$C$5)+COUNTIF($B$9:B667,リスト!$C$6),"")</f>
        <v/>
      </c>
    </row>
    <row r="668" spans="2:9" x14ac:dyDescent="0.2">
      <c r="B668" s="196"/>
      <c r="C668" s="197">
        <v>45460.063877314817</v>
      </c>
      <c r="D668" s="197">
        <v>45460.064155092594</v>
      </c>
      <c r="E668" s="198" t="s">
        <v>244</v>
      </c>
      <c r="F668" s="199"/>
      <c r="G668" s="140" t="e">
        <f ca="1">mif(C668="","",OR(B668=リスト!$C$5,B668=リスト!$C$6),SUM(INDEX(G:G,MATCH(I668-1,I:I,0)+1,1):INDEX(G:G,MATCH(I668,I:I,0)-1,1)),D668-C668)</f>
        <v>#NAME?</v>
      </c>
      <c r="H668" s="140" t="e">
        <f ca="1">mif(C668="","",B668=リスト!$C$5,SUMIF(INDEX(B:B,MATCH(I668-1,I:I,0)+1,1):INDEX(B:B,MATCH(I668,I:I,0)-1,1),リスト!$C$7,INDEX(G:G,MATCH(I668-1,I:I,0)+1,1):INDEX(G:G,MATCH(I668,I:I,0)-1,1)),"")</f>
        <v>#NAME?</v>
      </c>
      <c r="I668" s="200" t="str">
        <f>IF(OR(B668=リスト!$C$5,B668=リスト!$C$6),COUNTIF($B$9:B668,リスト!$C$5)+COUNTIF($B$9:B668,リスト!$C$6),"")</f>
        <v/>
      </c>
    </row>
    <row r="669" spans="2:9" x14ac:dyDescent="0.2">
      <c r="B669" s="196"/>
      <c r="C669" s="197">
        <v>45460.076423611114</v>
      </c>
      <c r="D669" s="197">
        <v>45460.076724537037</v>
      </c>
      <c r="E669" s="198" t="s">
        <v>244</v>
      </c>
      <c r="F669" s="199"/>
      <c r="G669" s="140" t="e">
        <f ca="1">mif(C669="","",OR(B669=リスト!$C$5,B669=リスト!$C$6),SUM(INDEX(G:G,MATCH(I669-1,I:I,0)+1,1):INDEX(G:G,MATCH(I669,I:I,0)-1,1)),D669-C669)</f>
        <v>#NAME?</v>
      </c>
      <c r="H669" s="140" t="e">
        <f ca="1">mif(C669="","",B669=リスト!$C$5,SUMIF(INDEX(B:B,MATCH(I669-1,I:I,0)+1,1):INDEX(B:B,MATCH(I669,I:I,0)-1,1),リスト!$C$7,INDEX(G:G,MATCH(I669-1,I:I,0)+1,1):INDEX(G:G,MATCH(I669,I:I,0)-1,1)),"")</f>
        <v>#NAME?</v>
      </c>
      <c r="I669" s="200" t="str">
        <f>IF(OR(B669=リスト!$C$5,B669=リスト!$C$6),COUNTIF($B$9:B669,リスト!$C$5)+COUNTIF($B$9:B669,リスト!$C$6),"")</f>
        <v/>
      </c>
    </row>
    <row r="670" spans="2:9" x14ac:dyDescent="0.2">
      <c r="B670" s="196"/>
      <c r="C670" s="197">
        <v>45460.151342592595</v>
      </c>
      <c r="D670" s="197">
        <v>45460.151828703703</v>
      </c>
      <c r="E670" s="198" t="s">
        <v>244</v>
      </c>
      <c r="F670" s="199"/>
      <c r="G670" s="140" t="e">
        <f ca="1">mif(C670="","",OR(B670=リスト!$C$5,B670=リスト!$C$6),SUM(INDEX(G:G,MATCH(I670-1,I:I,0)+1,1):INDEX(G:G,MATCH(I670,I:I,0)-1,1)),D670-C670)</f>
        <v>#NAME?</v>
      </c>
      <c r="H670" s="140" t="e">
        <f ca="1">mif(C670="","",B670=リスト!$C$5,SUMIF(INDEX(B:B,MATCH(I670-1,I:I,0)+1,1):INDEX(B:B,MATCH(I670,I:I,0)-1,1),リスト!$C$7,INDEX(G:G,MATCH(I670-1,I:I,0)+1,1):INDEX(G:G,MATCH(I670,I:I,0)-1,1)),"")</f>
        <v>#NAME?</v>
      </c>
      <c r="I670" s="200" t="str">
        <f>IF(OR(B670=リスト!$C$5,B670=リスト!$C$6),COUNTIF($B$9:B670,リスト!$C$5)+COUNTIF($B$9:B670,リスト!$C$6),"")</f>
        <v/>
      </c>
    </row>
    <row r="671" spans="2:9" x14ac:dyDescent="0.2">
      <c r="B671" s="196"/>
      <c r="C671" s="197">
        <v>45460.175474537034</v>
      </c>
      <c r="D671" s="197">
        <v>45460.175752314812</v>
      </c>
      <c r="E671" s="198" t="s">
        <v>244</v>
      </c>
      <c r="F671" s="199"/>
      <c r="G671" s="140" t="e">
        <f ca="1">mif(C671="","",OR(B671=リスト!$C$5,B671=リスト!$C$6),SUM(INDEX(G:G,MATCH(I671-1,I:I,0)+1,1):INDEX(G:G,MATCH(I671,I:I,0)-1,1)),D671-C671)</f>
        <v>#NAME?</v>
      </c>
      <c r="H671" s="140" t="e">
        <f ca="1">mif(C671="","",B671=リスト!$C$5,SUMIF(INDEX(B:B,MATCH(I671-1,I:I,0)+1,1):INDEX(B:B,MATCH(I671,I:I,0)-1,1),リスト!$C$7,INDEX(G:G,MATCH(I671-1,I:I,0)+1,1):INDEX(G:G,MATCH(I671,I:I,0)-1,1)),"")</f>
        <v>#NAME?</v>
      </c>
      <c r="I671" s="200" t="str">
        <f>IF(OR(B671=リスト!$C$5,B671=リスト!$C$6),COUNTIF($B$9:B671,リスト!$C$5)+COUNTIF($B$9:B671,リスト!$C$6),"")</f>
        <v/>
      </c>
    </row>
    <row r="672" spans="2:9" x14ac:dyDescent="0.2">
      <c r="B672" s="196"/>
      <c r="C672" s="197">
        <v>45460.189305555556</v>
      </c>
      <c r="D672" s="197">
        <v>45460.189629629633</v>
      </c>
      <c r="E672" s="198" t="s">
        <v>244</v>
      </c>
      <c r="F672" s="199"/>
      <c r="G672" s="140" t="e">
        <f ca="1">mif(C672="","",OR(B672=リスト!$C$5,B672=リスト!$C$6),SUM(INDEX(G:G,MATCH(I672-1,I:I,0)+1,1):INDEX(G:G,MATCH(I672,I:I,0)-1,1)),D672-C672)</f>
        <v>#NAME?</v>
      </c>
      <c r="H672" s="140" t="e">
        <f ca="1">mif(C672="","",B672=リスト!$C$5,SUMIF(INDEX(B:B,MATCH(I672-1,I:I,0)+1,1):INDEX(B:B,MATCH(I672,I:I,0)-1,1),リスト!$C$7,INDEX(G:G,MATCH(I672-1,I:I,0)+1,1):INDEX(G:G,MATCH(I672,I:I,0)-1,1)),"")</f>
        <v>#NAME?</v>
      </c>
      <c r="I672" s="200" t="str">
        <f>IF(OR(B672=リスト!$C$5,B672=リスト!$C$6),COUNTIF($B$9:B672,リスト!$C$5)+COUNTIF($B$9:B672,リスト!$C$6),"")</f>
        <v/>
      </c>
    </row>
    <row r="673" spans="2:9" x14ac:dyDescent="0.2">
      <c r="B673" s="196" t="s">
        <v>247</v>
      </c>
      <c r="C673" s="197">
        <v>45459.916666666664</v>
      </c>
      <c r="D673" s="197">
        <v>45460.416666666664</v>
      </c>
      <c r="E673" s="198">
        <v>8</v>
      </c>
      <c r="F673" s="199"/>
      <c r="G673" s="140" t="e">
        <f ca="1">mif(C673="","",OR(B673=リスト!$C$5,B673=リスト!$C$6),SUM(INDEX(G:G,MATCH(I673-1,I:I,0)+1,1):INDEX(G:G,MATCH(I673,I:I,0)-1,1)),D673-C673)</f>
        <v>#NAME?</v>
      </c>
      <c r="H673" s="140" t="e">
        <f ca="1">mif(C673="","",B673=リスト!$C$5,SUMIF(INDEX(B:B,MATCH(I673-1,I:I,0)+1,1):INDEX(B:B,MATCH(I673,I:I,0)-1,1),リスト!$C$7,INDEX(G:G,MATCH(I673-1,I:I,0)+1,1):INDEX(G:G,MATCH(I673,I:I,0)-1,1)),"")</f>
        <v>#NAME?</v>
      </c>
      <c r="I673" s="200">
        <f>IF(OR(B673=リスト!$C$5,B673=リスト!$C$6),COUNTIF($B$9:B673,リスト!$C$5)+COUNTIF($B$9:B673,リスト!$C$6),"")</f>
        <v>47</v>
      </c>
    </row>
    <row r="674" spans="2:9" x14ac:dyDescent="0.2">
      <c r="B674" s="196"/>
      <c r="C674" s="197">
        <v>45461.929583333331</v>
      </c>
      <c r="D674" s="197">
        <v>45461.93172453704</v>
      </c>
      <c r="E674" s="198" t="s">
        <v>244</v>
      </c>
      <c r="F674" s="199"/>
      <c r="G674" s="140" t="e">
        <f ca="1">mif(C674="","",OR(B674=リスト!$C$5,B674=リスト!$C$6),SUM(INDEX(G:G,MATCH(I674-1,I:I,0)+1,1):INDEX(G:G,MATCH(I674,I:I,0)-1,1)),D674-C674)</f>
        <v>#NAME?</v>
      </c>
      <c r="H674" s="140" t="e">
        <f ca="1">mif(C674="","",B674=リスト!$C$5,SUMIF(INDEX(B:B,MATCH(I674-1,I:I,0)+1,1):INDEX(B:B,MATCH(I674,I:I,0)-1,1),リスト!$C$7,INDEX(G:G,MATCH(I674-1,I:I,0)+1,1):INDEX(G:G,MATCH(I674,I:I,0)-1,1)),"")</f>
        <v>#NAME?</v>
      </c>
      <c r="I674" s="200" t="str">
        <f>IF(OR(B674=リスト!$C$5,B674=リスト!$C$6),COUNTIF($B$9:B674,リスト!$C$5)+COUNTIF($B$9:B674,リスト!$C$6),"")</f>
        <v/>
      </c>
    </row>
    <row r="675" spans="2:9" x14ac:dyDescent="0.2">
      <c r="B675" s="196"/>
      <c r="C675" s="197">
        <v>45461.961354166669</v>
      </c>
      <c r="D675" s="197">
        <v>45461.961655092593</v>
      </c>
      <c r="E675" s="198" t="s">
        <v>244</v>
      </c>
      <c r="F675" s="199"/>
      <c r="G675" s="140" t="e">
        <f ca="1">mif(C675="","",OR(B675=リスト!$C$5,B675=リスト!$C$6),SUM(INDEX(G:G,MATCH(I675-1,I:I,0)+1,1):INDEX(G:G,MATCH(I675,I:I,0)-1,1)),D675-C675)</f>
        <v>#NAME?</v>
      </c>
      <c r="H675" s="140" t="e">
        <f ca="1">mif(C675="","",B675=リスト!$C$5,SUMIF(INDEX(B:B,MATCH(I675-1,I:I,0)+1,1):INDEX(B:B,MATCH(I675,I:I,0)-1,1),リスト!$C$7,INDEX(G:G,MATCH(I675-1,I:I,0)+1,1):INDEX(G:G,MATCH(I675,I:I,0)-1,1)),"")</f>
        <v>#NAME?</v>
      </c>
      <c r="I675" s="200" t="str">
        <f>IF(OR(B675=リスト!$C$5,B675=リスト!$C$6),COUNTIF($B$9:B675,リスト!$C$5)+COUNTIF($B$9:B675,リスト!$C$6),"")</f>
        <v/>
      </c>
    </row>
    <row r="676" spans="2:9" x14ac:dyDescent="0.2">
      <c r="B676" s="196"/>
      <c r="C676" s="197">
        <v>45461.979097222225</v>
      </c>
      <c r="D676" s="197">
        <v>45461.979398148149</v>
      </c>
      <c r="E676" s="198" t="s">
        <v>244</v>
      </c>
      <c r="F676" s="199"/>
      <c r="G676" s="140" t="e">
        <f ca="1">mif(C676="","",OR(B676=リスト!$C$5,B676=リスト!$C$6),SUM(INDEX(G:G,MATCH(I676-1,I:I,0)+1,1):INDEX(G:G,MATCH(I676,I:I,0)-1,1)),D676-C676)</f>
        <v>#NAME?</v>
      </c>
      <c r="H676" s="140" t="e">
        <f ca="1">mif(C676="","",B676=リスト!$C$5,SUMIF(INDEX(B:B,MATCH(I676-1,I:I,0)+1,1):INDEX(B:B,MATCH(I676,I:I,0)-1,1),リスト!$C$7,INDEX(G:G,MATCH(I676-1,I:I,0)+1,1):INDEX(G:G,MATCH(I676,I:I,0)-1,1)),"")</f>
        <v>#NAME?</v>
      </c>
      <c r="I676" s="200" t="str">
        <f>IF(OR(B676=リスト!$C$5,B676=リスト!$C$6),COUNTIF($B$9:B676,リスト!$C$5)+COUNTIF($B$9:B676,リスト!$C$6),"")</f>
        <v/>
      </c>
    </row>
    <row r="677" spans="2:9" x14ac:dyDescent="0.2">
      <c r="B677" s="196"/>
      <c r="C677" s="197">
        <v>45462.018622685187</v>
      </c>
      <c r="D677" s="197">
        <v>45462.018923611111</v>
      </c>
      <c r="E677" s="198" t="s">
        <v>244</v>
      </c>
      <c r="F677" s="199"/>
      <c r="G677" s="140" t="e">
        <f ca="1">mif(C677="","",OR(B677=リスト!$C$5,B677=リスト!$C$6),SUM(INDEX(G:G,MATCH(I677-1,I:I,0)+1,1):INDEX(G:G,MATCH(I677,I:I,0)-1,1)),D677-C677)</f>
        <v>#NAME?</v>
      </c>
      <c r="H677" s="140" t="e">
        <f ca="1">mif(C677="","",B677=リスト!$C$5,SUMIF(INDEX(B:B,MATCH(I677-1,I:I,0)+1,1):INDEX(B:B,MATCH(I677,I:I,0)-1,1),リスト!$C$7,INDEX(G:G,MATCH(I677-1,I:I,0)+1,1):INDEX(G:G,MATCH(I677,I:I,0)-1,1)),"")</f>
        <v>#NAME?</v>
      </c>
      <c r="I677" s="200" t="str">
        <f>IF(OR(B677=リスト!$C$5,B677=リスト!$C$6),COUNTIF($B$9:B677,リスト!$C$5)+COUNTIF($B$9:B677,リスト!$C$6),"")</f>
        <v/>
      </c>
    </row>
    <row r="678" spans="2:9" x14ac:dyDescent="0.2">
      <c r="B678" s="196"/>
      <c r="C678" s="197">
        <v>45462.061701388891</v>
      </c>
      <c r="D678" s="197">
        <v>45462.061979166669</v>
      </c>
      <c r="E678" s="198" t="s">
        <v>244</v>
      </c>
      <c r="F678" s="199"/>
      <c r="G678" s="140" t="e">
        <f ca="1">mif(C678="","",OR(B678=リスト!$C$5,B678=リスト!$C$6),SUM(INDEX(G:G,MATCH(I678-1,I:I,0)+1,1):INDEX(G:G,MATCH(I678,I:I,0)-1,1)),D678-C678)</f>
        <v>#NAME?</v>
      </c>
      <c r="H678" s="140" t="e">
        <f ca="1">mif(C678="","",B678=リスト!$C$5,SUMIF(INDEX(B:B,MATCH(I678-1,I:I,0)+1,1):INDEX(B:B,MATCH(I678,I:I,0)-1,1),リスト!$C$7,INDEX(G:G,MATCH(I678-1,I:I,0)+1,1):INDEX(G:G,MATCH(I678,I:I,0)-1,1)),"")</f>
        <v>#NAME?</v>
      </c>
      <c r="I678" s="200" t="str">
        <f>IF(OR(B678=リスト!$C$5,B678=リスト!$C$6),COUNTIF($B$9:B678,リスト!$C$5)+COUNTIF($B$9:B678,リスト!$C$6),"")</f>
        <v/>
      </c>
    </row>
    <row r="679" spans="2:9" x14ac:dyDescent="0.2">
      <c r="B679" s="196"/>
      <c r="C679" s="197">
        <v>45462.149409722224</v>
      </c>
      <c r="D679" s="197">
        <v>45462.149687500001</v>
      </c>
      <c r="E679" s="198" t="s">
        <v>244</v>
      </c>
      <c r="F679" s="199"/>
      <c r="G679" s="140" t="e">
        <f ca="1">mif(C679="","",OR(B679=リスト!$C$5,B679=リスト!$C$6),SUM(INDEX(G:G,MATCH(I679-1,I:I,0)+1,1):INDEX(G:G,MATCH(I679,I:I,0)-1,1)),D679-C679)</f>
        <v>#NAME?</v>
      </c>
      <c r="H679" s="140" t="e">
        <f ca="1">mif(C679="","",B679=リスト!$C$5,SUMIF(INDEX(B:B,MATCH(I679-1,I:I,0)+1,1):INDEX(B:B,MATCH(I679,I:I,0)-1,1),リスト!$C$7,INDEX(G:G,MATCH(I679-1,I:I,0)+1,1):INDEX(G:G,MATCH(I679,I:I,0)-1,1)),"")</f>
        <v>#NAME?</v>
      </c>
      <c r="I679" s="200" t="str">
        <f>IF(OR(B679=リスト!$C$5,B679=リスト!$C$6),COUNTIF($B$9:B679,リスト!$C$5)+COUNTIF($B$9:B679,リスト!$C$6),"")</f>
        <v/>
      </c>
    </row>
    <row r="680" spans="2:9" x14ac:dyDescent="0.2">
      <c r="B680" s="196"/>
      <c r="C680" s="197">
        <v>45462.171886574077</v>
      </c>
      <c r="D680" s="197">
        <v>45462.172349537039</v>
      </c>
      <c r="E680" s="198" t="s">
        <v>244</v>
      </c>
      <c r="F680" s="199"/>
      <c r="G680" s="140" t="e">
        <f ca="1">mif(C680="","",OR(B680=リスト!$C$5,B680=リスト!$C$6),SUM(INDEX(G:G,MATCH(I680-1,I:I,0)+1,1):INDEX(G:G,MATCH(I680,I:I,0)-1,1)),D680-C680)</f>
        <v>#NAME?</v>
      </c>
      <c r="H680" s="140" t="e">
        <f ca="1">mif(C680="","",B680=リスト!$C$5,SUMIF(INDEX(B:B,MATCH(I680-1,I:I,0)+1,1):INDEX(B:B,MATCH(I680,I:I,0)-1,1),リスト!$C$7,INDEX(G:G,MATCH(I680-1,I:I,0)+1,1):INDEX(G:G,MATCH(I680,I:I,0)-1,1)),"")</f>
        <v>#NAME?</v>
      </c>
      <c r="I680" s="200" t="str">
        <f>IF(OR(B680=リスト!$C$5,B680=リスト!$C$6),COUNTIF($B$9:B680,リスト!$C$5)+COUNTIF($B$9:B680,リスト!$C$6),"")</f>
        <v/>
      </c>
    </row>
    <row r="681" spans="2:9" x14ac:dyDescent="0.2">
      <c r="B681" s="196"/>
      <c r="C681" s="197">
        <v>45462.23641203704</v>
      </c>
      <c r="D681" s="197">
        <v>45462.236666666664</v>
      </c>
      <c r="E681" s="198" t="s">
        <v>244</v>
      </c>
      <c r="F681" s="199"/>
      <c r="G681" s="140" t="e">
        <f ca="1">mif(C681="","",OR(B681=リスト!$C$5,B681=リスト!$C$6),SUM(INDEX(G:G,MATCH(I681-1,I:I,0)+1,1):INDEX(G:G,MATCH(I681,I:I,0)-1,1)),D681-C681)</f>
        <v>#NAME?</v>
      </c>
      <c r="H681" s="140" t="e">
        <f ca="1">mif(C681="","",B681=リスト!$C$5,SUMIF(INDEX(B:B,MATCH(I681-1,I:I,0)+1,1):INDEX(B:B,MATCH(I681,I:I,0)-1,1),リスト!$C$7,INDEX(G:G,MATCH(I681-1,I:I,0)+1,1):INDEX(G:G,MATCH(I681,I:I,0)-1,1)),"")</f>
        <v>#NAME?</v>
      </c>
      <c r="I681" s="200" t="str">
        <f>IF(OR(B681=リスト!$C$5,B681=リスト!$C$6),COUNTIF($B$9:B681,リスト!$C$5)+COUNTIF($B$9:B681,リスト!$C$6),"")</f>
        <v/>
      </c>
    </row>
    <row r="682" spans="2:9" x14ac:dyDescent="0.2">
      <c r="B682" s="196"/>
      <c r="C682" s="197">
        <v>45462.239629629628</v>
      </c>
      <c r="D682" s="197">
        <v>45462.239976851852</v>
      </c>
      <c r="E682" s="198" t="s">
        <v>244</v>
      </c>
      <c r="F682" s="199"/>
      <c r="G682" s="140" t="e">
        <f ca="1">mif(C682="","",OR(B682=リスト!$C$5,B682=リスト!$C$6),SUM(INDEX(G:G,MATCH(I682-1,I:I,0)+1,1):INDEX(G:G,MATCH(I682,I:I,0)-1,1)),D682-C682)</f>
        <v>#NAME?</v>
      </c>
      <c r="H682" s="140" t="e">
        <f ca="1">mif(C682="","",B682=リスト!$C$5,SUMIF(INDEX(B:B,MATCH(I682-1,I:I,0)+1,1):INDEX(B:B,MATCH(I682,I:I,0)-1,1),リスト!$C$7,INDEX(G:G,MATCH(I682-1,I:I,0)+1,1):INDEX(G:G,MATCH(I682,I:I,0)-1,1)),"")</f>
        <v>#NAME?</v>
      </c>
      <c r="I682" s="200" t="str">
        <f>IF(OR(B682=リスト!$C$5,B682=リスト!$C$6),COUNTIF($B$9:B682,リスト!$C$5)+COUNTIF($B$9:B682,リスト!$C$6),"")</f>
        <v/>
      </c>
    </row>
    <row r="683" spans="2:9" x14ac:dyDescent="0.2">
      <c r="B683" s="196"/>
      <c r="C683" s="197">
        <v>45462.309016203704</v>
      </c>
      <c r="D683" s="197">
        <v>45462.309479166666</v>
      </c>
      <c r="E683" s="198" t="s">
        <v>244</v>
      </c>
      <c r="F683" s="199"/>
      <c r="G683" s="140" t="e">
        <f ca="1">mif(C683="","",OR(B683=リスト!$C$5,B683=リスト!$C$6),SUM(INDEX(G:G,MATCH(I683-1,I:I,0)+1,1):INDEX(G:G,MATCH(I683,I:I,0)-1,1)),D683-C683)</f>
        <v>#NAME?</v>
      </c>
      <c r="H683" s="140" t="e">
        <f ca="1">mif(C683="","",B683=リスト!$C$5,SUMIF(INDEX(B:B,MATCH(I683-1,I:I,0)+1,1):INDEX(B:B,MATCH(I683,I:I,0)-1,1),リスト!$C$7,INDEX(G:G,MATCH(I683-1,I:I,0)+1,1):INDEX(G:G,MATCH(I683,I:I,0)-1,1)),"")</f>
        <v>#NAME?</v>
      </c>
      <c r="I683" s="200" t="str">
        <f>IF(OR(B683=リスト!$C$5,B683=リスト!$C$6),COUNTIF($B$9:B683,リスト!$C$5)+COUNTIF($B$9:B683,リスト!$C$6),"")</f>
        <v/>
      </c>
    </row>
    <row r="684" spans="2:9" x14ac:dyDescent="0.2">
      <c r="B684" s="196"/>
      <c r="C684" s="197">
        <v>45462.360636574071</v>
      </c>
      <c r="D684" s="197">
        <v>45462.360960648148</v>
      </c>
      <c r="E684" s="198" t="s">
        <v>244</v>
      </c>
      <c r="F684" s="199"/>
      <c r="G684" s="140" t="e">
        <f ca="1">mif(C684="","",OR(B684=リスト!$C$5,B684=リスト!$C$6),SUM(INDEX(G:G,MATCH(I684-1,I:I,0)+1,1):INDEX(G:G,MATCH(I684,I:I,0)-1,1)),D684-C684)</f>
        <v>#NAME?</v>
      </c>
      <c r="H684" s="140" t="e">
        <f ca="1">mif(C684="","",B684=リスト!$C$5,SUMIF(INDEX(B:B,MATCH(I684-1,I:I,0)+1,1):INDEX(B:B,MATCH(I684,I:I,0)-1,1),リスト!$C$7,INDEX(G:G,MATCH(I684-1,I:I,0)+1,1):INDEX(G:G,MATCH(I684,I:I,0)-1,1)),"")</f>
        <v>#NAME?</v>
      </c>
      <c r="I684" s="200" t="str">
        <f>IF(OR(B684=リスト!$C$5,B684=リスト!$C$6),COUNTIF($B$9:B684,リスト!$C$5)+COUNTIF($B$9:B684,リスト!$C$6),"")</f>
        <v/>
      </c>
    </row>
    <row r="685" spans="2:9" x14ac:dyDescent="0.2">
      <c r="B685" s="196"/>
      <c r="C685" s="197">
        <v>45462.396620370368</v>
      </c>
      <c r="D685" s="197">
        <v>45462.396921296298</v>
      </c>
      <c r="E685" s="198" t="s">
        <v>244</v>
      </c>
      <c r="F685" s="199"/>
      <c r="G685" s="140" t="e">
        <f ca="1">mif(C685="","",OR(B685=リスト!$C$5,B685=リスト!$C$6),SUM(INDEX(G:G,MATCH(I685-1,I:I,0)+1,1):INDEX(G:G,MATCH(I685,I:I,0)-1,1)),D685-C685)</f>
        <v>#NAME?</v>
      </c>
      <c r="H685" s="140" t="e">
        <f ca="1">mif(C685="","",B685=リスト!$C$5,SUMIF(INDEX(B:B,MATCH(I685-1,I:I,0)+1,1):INDEX(B:B,MATCH(I685,I:I,0)-1,1),リスト!$C$7,INDEX(G:G,MATCH(I685-1,I:I,0)+1,1):INDEX(G:G,MATCH(I685,I:I,0)-1,1)),"")</f>
        <v>#NAME?</v>
      </c>
      <c r="I685" s="200" t="str">
        <f>IF(OR(B685=リスト!$C$5,B685=リスト!$C$6),COUNTIF($B$9:B685,リスト!$C$5)+COUNTIF($B$9:B685,リスト!$C$6),"")</f>
        <v/>
      </c>
    </row>
    <row r="686" spans="2:9" x14ac:dyDescent="0.2">
      <c r="B686" s="196" t="s">
        <v>247</v>
      </c>
      <c r="C686" s="197">
        <v>45461.916666666664</v>
      </c>
      <c r="D686" s="197">
        <v>45462.416666666664</v>
      </c>
      <c r="E686" s="198">
        <v>12</v>
      </c>
      <c r="F686" s="199"/>
      <c r="G686" s="140" t="e">
        <f ca="1">mif(C686="","",OR(B686=リスト!$C$5,B686=リスト!$C$6),SUM(INDEX(G:G,MATCH(I686-1,I:I,0)+1,1):INDEX(G:G,MATCH(I686,I:I,0)-1,1)),D686-C686)</f>
        <v>#NAME?</v>
      </c>
      <c r="H686" s="140" t="e">
        <f ca="1">mif(C686="","",B686=リスト!$C$5,SUMIF(INDEX(B:B,MATCH(I686-1,I:I,0)+1,1):INDEX(B:B,MATCH(I686,I:I,0)-1,1),リスト!$C$7,INDEX(G:G,MATCH(I686-1,I:I,0)+1,1):INDEX(G:G,MATCH(I686,I:I,0)-1,1)),"")</f>
        <v>#NAME?</v>
      </c>
      <c r="I686" s="200">
        <f>IF(OR(B686=リスト!$C$5,B686=リスト!$C$6),COUNTIF($B$9:B686,リスト!$C$5)+COUNTIF($B$9:B686,リスト!$C$6),"")</f>
        <v>48</v>
      </c>
    </row>
    <row r="687" spans="2:9" x14ac:dyDescent="0.2">
      <c r="B687" s="196"/>
      <c r="C687" s="197">
        <v>45462.467673611114</v>
      </c>
      <c r="D687" s="197">
        <v>45462.469282407408</v>
      </c>
      <c r="E687" s="198" t="s">
        <v>244</v>
      </c>
      <c r="F687" s="199"/>
      <c r="G687" s="140" t="e">
        <f ca="1">mif(C687="","",OR(B687=リスト!$C$5,B687=リスト!$C$6),SUM(INDEX(G:G,MATCH(I687-1,I:I,0)+1,1):INDEX(G:G,MATCH(I687,I:I,0)-1,1)),D687-C687)</f>
        <v>#NAME?</v>
      </c>
      <c r="H687" s="140" t="e">
        <f ca="1">mif(C687="","",B687=リスト!$C$5,SUMIF(INDEX(B:B,MATCH(I687-1,I:I,0)+1,1):INDEX(B:B,MATCH(I687,I:I,0)-1,1),リスト!$C$7,INDEX(G:G,MATCH(I687-1,I:I,0)+1,1):INDEX(G:G,MATCH(I687,I:I,0)-1,1)),"")</f>
        <v>#NAME?</v>
      </c>
      <c r="I687" s="200" t="str">
        <f>IF(OR(B687=リスト!$C$5,B687=リスト!$C$6),COUNTIF($B$9:B687,リスト!$C$5)+COUNTIF($B$9:B687,リスト!$C$6),"")</f>
        <v/>
      </c>
    </row>
    <row r="688" spans="2:9" x14ac:dyDescent="0.2">
      <c r="B688" s="196"/>
      <c r="C688" s="197">
        <v>45462.518136574072</v>
      </c>
      <c r="D688" s="197">
        <v>45462.518460648149</v>
      </c>
      <c r="E688" s="198" t="s">
        <v>244</v>
      </c>
      <c r="F688" s="199"/>
      <c r="G688" s="140" t="e">
        <f ca="1">mif(C688="","",OR(B688=リスト!$C$5,B688=リスト!$C$6),SUM(INDEX(G:G,MATCH(I688-1,I:I,0)+1,1):INDEX(G:G,MATCH(I688,I:I,0)-1,1)),D688-C688)</f>
        <v>#NAME?</v>
      </c>
      <c r="H688" s="140" t="e">
        <f ca="1">mif(C688="","",B688=リスト!$C$5,SUMIF(INDEX(B:B,MATCH(I688-1,I:I,0)+1,1):INDEX(B:B,MATCH(I688,I:I,0)-1,1),リスト!$C$7,INDEX(G:G,MATCH(I688-1,I:I,0)+1,1):INDEX(G:G,MATCH(I688,I:I,0)-1,1)),"")</f>
        <v>#NAME?</v>
      </c>
      <c r="I688" s="200" t="str">
        <f>IF(OR(B688=リスト!$C$5,B688=リスト!$C$6),COUNTIF($B$9:B688,リスト!$C$5)+COUNTIF($B$9:B688,リスト!$C$6),"")</f>
        <v/>
      </c>
    </row>
    <row r="689" spans="2:9" x14ac:dyDescent="0.2">
      <c r="B689" s="196"/>
      <c r="C689" s="197">
        <v>45462.52239583333</v>
      </c>
      <c r="D689" s="197">
        <v>45462.522650462961</v>
      </c>
      <c r="E689" s="198" t="s">
        <v>244</v>
      </c>
      <c r="F689" s="199"/>
      <c r="G689" s="140" t="e">
        <f ca="1">mif(C689="","",OR(B689=リスト!$C$5,B689=リスト!$C$6),SUM(INDEX(G:G,MATCH(I689-1,I:I,0)+1,1):INDEX(G:G,MATCH(I689,I:I,0)-1,1)),D689-C689)</f>
        <v>#NAME?</v>
      </c>
      <c r="H689" s="140" t="e">
        <f ca="1">mif(C689="","",B689=リスト!$C$5,SUMIF(INDEX(B:B,MATCH(I689-1,I:I,0)+1,1):INDEX(B:B,MATCH(I689,I:I,0)-1,1),リスト!$C$7,INDEX(G:G,MATCH(I689-1,I:I,0)+1,1):INDEX(G:G,MATCH(I689,I:I,0)-1,1)),"")</f>
        <v>#NAME?</v>
      </c>
      <c r="I689" s="200" t="str">
        <f>IF(OR(B689=リスト!$C$5,B689=リスト!$C$6),COUNTIF($B$9:B689,リスト!$C$5)+COUNTIF($B$9:B689,リスト!$C$6),"")</f>
        <v/>
      </c>
    </row>
    <row r="690" spans="2:9" x14ac:dyDescent="0.2">
      <c r="B690" s="196"/>
      <c r="C690" s="197">
        <v>45462.524756944447</v>
      </c>
      <c r="D690" s="197">
        <v>45462.525034722225</v>
      </c>
      <c r="E690" s="198" t="s">
        <v>244</v>
      </c>
      <c r="F690" s="199"/>
      <c r="G690" s="140" t="e">
        <f ca="1">mif(C690="","",OR(B690=リスト!$C$5,B690=リスト!$C$6),SUM(INDEX(G:G,MATCH(I690-1,I:I,0)+1,1):INDEX(G:G,MATCH(I690,I:I,0)-1,1)),D690-C690)</f>
        <v>#NAME?</v>
      </c>
      <c r="H690" s="140" t="e">
        <f ca="1">mif(C690="","",B690=リスト!$C$5,SUMIF(INDEX(B:B,MATCH(I690-1,I:I,0)+1,1):INDEX(B:B,MATCH(I690,I:I,0)-1,1),リスト!$C$7,INDEX(G:G,MATCH(I690-1,I:I,0)+1,1):INDEX(G:G,MATCH(I690,I:I,0)-1,1)),"")</f>
        <v>#NAME?</v>
      </c>
      <c r="I690" s="200" t="str">
        <f>IF(OR(B690=リスト!$C$5,B690=リスト!$C$6),COUNTIF($B$9:B690,リスト!$C$5)+COUNTIF($B$9:B690,リスト!$C$6),"")</f>
        <v/>
      </c>
    </row>
    <row r="691" spans="2:9" x14ac:dyDescent="0.2">
      <c r="B691" s="196"/>
      <c r="C691" s="197">
        <v>45462.558391203704</v>
      </c>
      <c r="D691" s="197">
        <v>45462.559525462966</v>
      </c>
      <c r="E691" s="198" t="s">
        <v>244</v>
      </c>
      <c r="F691" s="199"/>
      <c r="G691" s="140" t="e">
        <f ca="1">mif(C691="","",OR(B691=リスト!$C$5,B691=リスト!$C$6),SUM(INDEX(G:G,MATCH(I691-1,I:I,0)+1,1):INDEX(G:G,MATCH(I691,I:I,0)-1,1)),D691-C691)</f>
        <v>#NAME?</v>
      </c>
      <c r="H691" s="140" t="e">
        <f ca="1">mif(C691="","",B691=リスト!$C$5,SUMIF(INDEX(B:B,MATCH(I691-1,I:I,0)+1,1):INDEX(B:B,MATCH(I691,I:I,0)-1,1),リスト!$C$7,INDEX(G:G,MATCH(I691-1,I:I,0)+1,1):INDEX(G:G,MATCH(I691,I:I,0)-1,1)),"")</f>
        <v>#NAME?</v>
      </c>
      <c r="I691" s="200" t="str">
        <f>IF(OR(B691=リスト!$C$5,B691=リスト!$C$6),COUNTIF($B$9:B691,リスト!$C$5)+COUNTIF($B$9:B691,リスト!$C$6),"")</f>
        <v/>
      </c>
    </row>
    <row r="692" spans="2:9" x14ac:dyDescent="0.2">
      <c r="B692" s="196"/>
      <c r="C692" s="197">
        <v>45462.615381944444</v>
      </c>
      <c r="D692" s="197">
        <v>45462.616655092592</v>
      </c>
      <c r="E692" s="198" t="s">
        <v>244</v>
      </c>
      <c r="F692" s="199"/>
      <c r="G692" s="140" t="e">
        <f ca="1">mif(C692="","",OR(B692=リスト!$C$5,B692=リスト!$C$6),SUM(INDEX(G:G,MATCH(I692-1,I:I,0)+1,1):INDEX(G:G,MATCH(I692,I:I,0)-1,1)),D692-C692)</f>
        <v>#NAME?</v>
      </c>
      <c r="H692" s="140" t="e">
        <f ca="1">mif(C692="","",B692=リスト!$C$5,SUMIF(INDEX(B:B,MATCH(I692-1,I:I,0)+1,1):INDEX(B:B,MATCH(I692,I:I,0)-1,1),リスト!$C$7,INDEX(G:G,MATCH(I692-1,I:I,0)+1,1):INDEX(G:G,MATCH(I692,I:I,0)-1,1)),"")</f>
        <v>#NAME?</v>
      </c>
      <c r="I692" s="200" t="str">
        <f>IF(OR(B692=リスト!$C$5,B692=リスト!$C$6),COUNTIF($B$9:B692,リスト!$C$5)+COUNTIF($B$9:B692,リスト!$C$6),"")</f>
        <v/>
      </c>
    </row>
    <row r="693" spans="2:9" x14ac:dyDescent="0.2">
      <c r="B693" s="196"/>
      <c r="C693" s="197">
        <v>45462.616678240738</v>
      </c>
      <c r="D693" s="197">
        <v>45462.617002314815</v>
      </c>
      <c r="E693" s="198" t="s">
        <v>244</v>
      </c>
      <c r="F693" s="199"/>
      <c r="G693" s="140" t="e">
        <f ca="1">mif(C693="","",OR(B693=リスト!$C$5,B693=リスト!$C$6),SUM(INDEX(G:G,MATCH(I693-1,I:I,0)+1,1):INDEX(G:G,MATCH(I693,I:I,0)-1,1)),D693-C693)</f>
        <v>#NAME?</v>
      </c>
      <c r="H693" s="140" t="e">
        <f ca="1">mif(C693="","",B693=リスト!$C$5,SUMIF(INDEX(B:B,MATCH(I693-1,I:I,0)+1,1):INDEX(B:B,MATCH(I693,I:I,0)-1,1),リスト!$C$7,INDEX(G:G,MATCH(I693-1,I:I,0)+1,1):INDEX(G:G,MATCH(I693,I:I,0)-1,1)),"")</f>
        <v>#NAME?</v>
      </c>
      <c r="I693" s="200" t="str">
        <f>IF(OR(B693=リスト!$C$5,B693=リスト!$C$6),COUNTIF($B$9:B693,リスト!$C$5)+COUNTIF($B$9:B693,リスト!$C$6),"")</f>
        <v/>
      </c>
    </row>
    <row r="694" spans="2:9" x14ac:dyDescent="0.2">
      <c r="B694" s="196"/>
      <c r="C694" s="197">
        <v>45462.628668981481</v>
      </c>
      <c r="D694" s="197">
        <v>45462.629155092596</v>
      </c>
      <c r="E694" s="198" t="s">
        <v>244</v>
      </c>
      <c r="F694" s="199"/>
      <c r="G694" s="140" t="e">
        <f ca="1">mif(C694="","",OR(B694=リスト!$C$5,B694=リスト!$C$6),SUM(INDEX(G:G,MATCH(I694-1,I:I,0)+1,1):INDEX(G:G,MATCH(I694,I:I,0)-1,1)),D694-C694)</f>
        <v>#NAME?</v>
      </c>
      <c r="H694" s="140" t="e">
        <f ca="1">mif(C694="","",B694=リスト!$C$5,SUMIF(INDEX(B:B,MATCH(I694-1,I:I,0)+1,1):INDEX(B:B,MATCH(I694,I:I,0)-1,1),リスト!$C$7,INDEX(G:G,MATCH(I694-1,I:I,0)+1,1):INDEX(G:G,MATCH(I694,I:I,0)-1,1)),"")</f>
        <v>#NAME?</v>
      </c>
      <c r="I694" s="200" t="str">
        <f>IF(OR(B694=リスト!$C$5,B694=リスト!$C$6),COUNTIF($B$9:B694,リスト!$C$5)+COUNTIF($B$9:B694,リスト!$C$6),"")</f>
        <v/>
      </c>
    </row>
    <row r="695" spans="2:9" x14ac:dyDescent="0.2">
      <c r="B695" s="196"/>
      <c r="C695" s="197">
        <v>45462.62976851852</v>
      </c>
      <c r="D695" s="197">
        <v>45462.630254629628</v>
      </c>
      <c r="E695" s="198" t="s">
        <v>244</v>
      </c>
      <c r="F695" s="199"/>
      <c r="G695" s="140" t="e">
        <f ca="1">mif(C695="","",OR(B695=リスト!$C$5,B695=リスト!$C$6),SUM(INDEX(G:G,MATCH(I695-1,I:I,0)+1,1):INDEX(G:G,MATCH(I695,I:I,0)-1,1)),D695-C695)</f>
        <v>#NAME?</v>
      </c>
      <c r="H695" s="140" t="e">
        <f ca="1">mif(C695="","",B695=リスト!$C$5,SUMIF(INDEX(B:B,MATCH(I695-1,I:I,0)+1,1):INDEX(B:B,MATCH(I695,I:I,0)-1,1),リスト!$C$7,INDEX(G:G,MATCH(I695-1,I:I,0)+1,1):INDEX(G:G,MATCH(I695,I:I,0)-1,1)),"")</f>
        <v>#NAME?</v>
      </c>
      <c r="I695" s="200" t="str">
        <f>IF(OR(B695=リスト!$C$5,B695=リスト!$C$6),COUNTIF($B$9:B695,リスト!$C$5)+COUNTIF($B$9:B695,リスト!$C$6),"")</f>
        <v/>
      </c>
    </row>
    <row r="696" spans="2:9" x14ac:dyDescent="0.2">
      <c r="B696" s="196"/>
      <c r="C696" s="197">
        <v>45462.740300925929</v>
      </c>
      <c r="D696" s="197">
        <v>45462.740879629629</v>
      </c>
      <c r="E696" s="198" t="s">
        <v>244</v>
      </c>
      <c r="F696" s="199"/>
      <c r="G696" s="140" t="e">
        <f ca="1">mif(C696="","",OR(B696=リスト!$C$5,B696=リスト!$C$6),SUM(INDEX(G:G,MATCH(I696-1,I:I,0)+1,1):INDEX(G:G,MATCH(I696,I:I,0)-1,1)),D696-C696)</f>
        <v>#NAME?</v>
      </c>
      <c r="H696" s="140" t="e">
        <f ca="1">mif(C696="","",B696=リスト!$C$5,SUMIF(INDEX(B:B,MATCH(I696-1,I:I,0)+1,1):INDEX(B:B,MATCH(I696,I:I,0)-1,1),リスト!$C$7,INDEX(G:G,MATCH(I696-1,I:I,0)+1,1):INDEX(G:G,MATCH(I696,I:I,0)-1,1)),"")</f>
        <v>#NAME?</v>
      </c>
      <c r="I696" s="200" t="str">
        <f>IF(OR(B696=リスト!$C$5,B696=リスト!$C$6),COUNTIF($B$9:B696,リスト!$C$5)+COUNTIF($B$9:B696,リスト!$C$6),"")</f>
        <v/>
      </c>
    </row>
    <row r="697" spans="2:9" x14ac:dyDescent="0.2">
      <c r="B697" s="196"/>
      <c r="C697" s="197">
        <v>45462.740972222222</v>
      </c>
      <c r="D697" s="197">
        <v>45462.741273148145</v>
      </c>
      <c r="E697" s="198" t="s">
        <v>244</v>
      </c>
      <c r="F697" s="199"/>
      <c r="G697" s="140" t="e">
        <f ca="1">mif(C697="","",OR(B697=リスト!$C$5,B697=リスト!$C$6),SUM(INDEX(G:G,MATCH(I697-1,I:I,0)+1,1):INDEX(G:G,MATCH(I697,I:I,0)-1,1)),D697-C697)</f>
        <v>#NAME?</v>
      </c>
      <c r="H697" s="140" t="e">
        <f ca="1">mif(C697="","",B697=リスト!$C$5,SUMIF(INDEX(B:B,MATCH(I697-1,I:I,0)+1,1):INDEX(B:B,MATCH(I697,I:I,0)-1,1),リスト!$C$7,INDEX(G:G,MATCH(I697-1,I:I,0)+1,1):INDEX(G:G,MATCH(I697,I:I,0)-1,1)),"")</f>
        <v>#NAME?</v>
      </c>
      <c r="I697" s="200" t="str">
        <f>IF(OR(B697=リスト!$C$5,B697=リスト!$C$6),COUNTIF($B$9:B697,リスト!$C$5)+COUNTIF($B$9:B697,リスト!$C$6),"")</f>
        <v/>
      </c>
    </row>
    <row r="698" spans="2:9" x14ac:dyDescent="0.2">
      <c r="B698" s="196"/>
      <c r="C698" s="197">
        <v>45462.803148148145</v>
      </c>
      <c r="D698" s="197">
        <v>45462.803449074076</v>
      </c>
      <c r="E698" s="198" t="s">
        <v>244</v>
      </c>
      <c r="F698" s="199"/>
      <c r="G698" s="140" t="e">
        <f ca="1">mif(C698="","",OR(B698=リスト!$C$5,B698=リスト!$C$6),SUM(INDEX(G:G,MATCH(I698-1,I:I,0)+1,1):INDEX(G:G,MATCH(I698,I:I,0)-1,1)),D698-C698)</f>
        <v>#NAME?</v>
      </c>
      <c r="H698" s="140" t="e">
        <f ca="1">mif(C698="","",B698=リスト!$C$5,SUMIF(INDEX(B:B,MATCH(I698-1,I:I,0)+1,1):INDEX(B:B,MATCH(I698,I:I,0)-1,1),リスト!$C$7,INDEX(G:G,MATCH(I698-1,I:I,0)+1,1):INDEX(G:G,MATCH(I698,I:I,0)-1,1)),"")</f>
        <v>#NAME?</v>
      </c>
      <c r="I698" s="200" t="str">
        <f>IF(OR(B698=リスト!$C$5,B698=リスト!$C$6),COUNTIF($B$9:B698,リスト!$C$5)+COUNTIF($B$9:B698,リスト!$C$6),"")</f>
        <v/>
      </c>
    </row>
    <row r="699" spans="2:9" x14ac:dyDescent="0.2">
      <c r="B699" s="196"/>
      <c r="C699" s="197">
        <v>45462.816377314812</v>
      </c>
      <c r="D699" s="197">
        <v>45462.816655092596</v>
      </c>
      <c r="E699" s="198" t="s">
        <v>244</v>
      </c>
      <c r="F699" s="199"/>
      <c r="G699" s="140" t="e">
        <f ca="1">mif(C699="","",OR(B699=リスト!$C$5,B699=リスト!$C$6),SUM(INDEX(G:G,MATCH(I699-1,I:I,0)+1,1):INDEX(G:G,MATCH(I699,I:I,0)-1,1)),D699-C699)</f>
        <v>#NAME?</v>
      </c>
      <c r="H699" s="140" t="e">
        <f ca="1">mif(C699="","",B699=リスト!$C$5,SUMIF(INDEX(B:B,MATCH(I699-1,I:I,0)+1,1):INDEX(B:B,MATCH(I699,I:I,0)-1,1),リスト!$C$7,INDEX(G:G,MATCH(I699-1,I:I,0)+1,1):INDEX(G:G,MATCH(I699,I:I,0)-1,1)),"")</f>
        <v>#NAME?</v>
      </c>
      <c r="I699" s="200" t="str">
        <f>IF(OR(B699=リスト!$C$5,B699=リスト!$C$6),COUNTIF($B$9:B699,リスト!$C$5)+COUNTIF($B$9:B699,リスト!$C$6),"")</f>
        <v/>
      </c>
    </row>
    <row r="700" spans="2:9" x14ac:dyDescent="0.2">
      <c r="B700" s="196"/>
      <c r="C700" s="197">
        <v>45462.862025462964</v>
      </c>
      <c r="D700" s="197">
        <v>45462.862349537034</v>
      </c>
      <c r="E700" s="198" t="s">
        <v>244</v>
      </c>
      <c r="F700" s="199"/>
      <c r="G700" s="140" t="e">
        <f ca="1">mif(C700="","",OR(B700=リスト!$C$5,B700=リスト!$C$6),SUM(INDEX(G:G,MATCH(I700-1,I:I,0)+1,1):INDEX(G:G,MATCH(I700,I:I,0)-1,1)),D700-C700)</f>
        <v>#NAME?</v>
      </c>
      <c r="H700" s="140" t="e">
        <f ca="1">mif(C700="","",B700=リスト!$C$5,SUMIF(INDEX(B:B,MATCH(I700-1,I:I,0)+1,1):INDEX(B:B,MATCH(I700,I:I,0)-1,1),リスト!$C$7,INDEX(G:G,MATCH(I700-1,I:I,0)+1,1):INDEX(G:G,MATCH(I700,I:I,0)-1,1)),"")</f>
        <v>#NAME?</v>
      </c>
      <c r="I700" s="200" t="str">
        <f>IF(OR(B700=リスト!$C$5,B700=リスト!$C$6),COUNTIF($B$9:B700,リスト!$C$5)+COUNTIF($B$9:B700,リスト!$C$6),"")</f>
        <v/>
      </c>
    </row>
    <row r="701" spans="2:9" x14ac:dyDescent="0.2">
      <c r="B701" s="196"/>
      <c r="C701" s="197">
        <v>45462.909942129627</v>
      </c>
      <c r="D701" s="197">
        <v>45462.910196759258</v>
      </c>
      <c r="E701" s="198" t="s">
        <v>244</v>
      </c>
      <c r="F701" s="199"/>
      <c r="G701" s="140" t="e">
        <f ca="1">mif(C701="","",OR(B701=リスト!$C$5,B701=リスト!$C$6),SUM(INDEX(G:G,MATCH(I701-1,I:I,0)+1,1):INDEX(G:G,MATCH(I701,I:I,0)-1,1)),D701-C701)</f>
        <v>#NAME?</v>
      </c>
      <c r="H701" s="140" t="e">
        <f ca="1">mif(C701="","",B701=リスト!$C$5,SUMIF(INDEX(B:B,MATCH(I701-1,I:I,0)+1,1):INDEX(B:B,MATCH(I701,I:I,0)-1,1),リスト!$C$7,INDEX(G:G,MATCH(I701-1,I:I,0)+1,1):INDEX(G:G,MATCH(I701,I:I,0)-1,1)),"")</f>
        <v>#NAME?</v>
      </c>
      <c r="I701" s="200" t="str">
        <f>IF(OR(B701=リスト!$C$5,B701=リスト!$C$6),COUNTIF($B$9:B701,リスト!$C$5)+COUNTIF($B$9:B701,リスト!$C$6),"")</f>
        <v/>
      </c>
    </row>
    <row r="702" spans="2:9" x14ac:dyDescent="0.2">
      <c r="B702" s="196" t="s">
        <v>247</v>
      </c>
      <c r="C702" s="197">
        <v>45462.416666666664</v>
      </c>
      <c r="D702" s="197">
        <v>45462.916666666664</v>
      </c>
      <c r="E702" s="198">
        <v>15</v>
      </c>
      <c r="F702" s="199"/>
      <c r="G702" s="140" t="e">
        <f ca="1">mif(C702="","",OR(B702=リスト!$C$5,B702=リスト!$C$6),SUM(INDEX(G:G,MATCH(I702-1,I:I,0)+1,1):INDEX(G:G,MATCH(I702,I:I,0)-1,1)),D702-C702)</f>
        <v>#NAME?</v>
      </c>
      <c r="H702" s="140" t="e">
        <f ca="1">mif(C702="","",B702=リスト!$C$5,SUMIF(INDEX(B:B,MATCH(I702-1,I:I,0)+1,1):INDEX(B:B,MATCH(I702,I:I,0)-1,1),リスト!$C$7,INDEX(G:G,MATCH(I702-1,I:I,0)+1,1):INDEX(G:G,MATCH(I702,I:I,0)-1,1)),"")</f>
        <v>#NAME?</v>
      </c>
      <c r="I702" s="200">
        <f>IF(OR(B702=リスト!$C$5,B702=リスト!$C$6),COUNTIF($B$9:B702,リスト!$C$5)+COUNTIF($B$9:B702,リスト!$C$6),"")</f>
        <v>49</v>
      </c>
    </row>
    <row r="703" spans="2:9" x14ac:dyDescent="0.2">
      <c r="B703" s="196"/>
      <c r="C703" s="197">
        <v>45463.055694444447</v>
      </c>
      <c r="D703" s="197">
        <v>45463.055972222224</v>
      </c>
      <c r="E703" s="198" t="s">
        <v>244</v>
      </c>
      <c r="F703" s="199"/>
      <c r="G703" s="140" t="e">
        <f ca="1">mif(C703="","",OR(B703=リスト!$C$5,B703=リスト!$C$6),SUM(INDEX(G:G,MATCH(I703-1,I:I,0)+1,1):INDEX(G:G,MATCH(I703,I:I,0)-1,1)),D703-C703)</f>
        <v>#NAME?</v>
      </c>
      <c r="H703" s="140" t="e">
        <f ca="1">mif(C703="","",B703=リスト!$C$5,SUMIF(INDEX(B:B,MATCH(I703-1,I:I,0)+1,1):INDEX(B:B,MATCH(I703,I:I,0)-1,1),リスト!$C$7,INDEX(G:G,MATCH(I703-1,I:I,0)+1,1):INDEX(G:G,MATCH(I703,I:I,0)-1,1)),"")</f>
        <v>#NAME?</v>
      </c>
      <c r="I703" s="200" t="str">
        <f>IF(OR(B703=リスト!$C$5,B703=リスト!$C$6),COUNTIF($B$9:B703,リスト!$C$5)+COUNTIF($B$9:B703,リスト!$C$6),"")</f>
        <v/>
      </c>
    </row>
    <row r="704" spans="2:9" x14ac:dyDescent="0.2">
      <c r="B704" s="196"/>
      <c r="C704" s="197">
        <v>45463.056087962963</v>
      </c>
      <c r="D704" s="197">
        <v>45463.056435185186</v>
      </c>
      <c r="E704" s="198" t="s">
        <v>244</v>
      </c>
      <c r="F704" s="199"/>
      <c r="G704" s="140" t="e">
        <f ca="1">mif(C704="","",OR(B704=リスト!$C$5,B704=リスト!$C$6),SUM(INDEX(G:G,MATCH(I704-1,I:I,0)+1,1):INDEX(G:G,MATCH(I704,I:I,0)-1,1)),D704-C704)</f>
        <v>#NAME?</v>
      </c>
      <c r="H704" s="140" t="e">
        <f ca="1">mif(C704="","",B704=リスト!$C$5,SUMIF(INDEX(B:B,MATCH(I704-1,I:I,0)+1,1):INDEX(B:B,MATCH(I704,I:I,0)-1,1),リスト!$C$7,INDEX(G:G,MATCH(I704-1,I:I,0)+1,1):INDEX(G:G,MATCH(I704,I:I,0)-1,1)),"")</f>
        <v>#NAME?</v>
      </c>
      <c r="I704" s="200" t="str">
        <f>IF(OR(B704=リスト!$C$5,B704=リスト!$C$6),COUNTIF($B$9:B704,リスト!$C$5)+COUNTIF($B$9:B704,リスト!$C$6),"")</f>
        <v/>
      </c>
    </row>
    <row r="705" spans="2:9" x14ac:dyDescent="0.2">
      <c r="B705" s="196"/>
      <c r="C705" s="197">
        <v>45463.077210648145</v>
      </c>
      <c r="D705" s="197">
        <v>45463.077789351853</v>
      </c>
      <c r="E705" s="198" t="s">
        <v>244</v>
      </c>
      <c r="F705" s="199"/>
      <c r="G705" s="140" t="e">
        <f ca="1">mif(C705="","",OR(B705=リスト!$C$5,B705=リスト!$C$6),SUM(INDEX(G:G,MATCH(I705-1,I:I,0)+1,1):INDEX(G:G,MATCH(I705,I:I,0)-1,1)),D705-C705)</f>
        <v>#NAME?</v>
      </c>
      <c r="H705" s="140" t="e">
        <f ca="1">mif(C705="","",B705=リスト!$C$5,SUMIF(INDEX(B:B,MATCH(I705-1,I:I,0)+1,1):INDEX(B:B,MATCH(I705,I:I,0)-1,1),リスト!$C$7,INDEX(G:G,MATCH(I705-1,I:I,0)+1,1):INDEX(G:G,MATCH(I705,I:I,0)-1,1)),"")</f>
        <v>#NAME?</v>
      </c>
      <c r="I705" s="200" t="str">
        <f>IF(OR(B705=リスト!$C$5,B705=リスト!$C$6),COUNTIF($B$9:B705,リスト!$C$5)+COUNTIF($B$9:B705,リスト!$C$6),"")</f>
        <v/>
      </c>
    </row>
    <row r="706" spans="2:9" x14ac:dyDescent="0.2">
      <c r="B706" s="196"/>
      <c r="C706" s="197">
        <v>45463.078969907408</v>
      </c>
      <c r="D706" s="197">
        <v>45463.079270833332</v>
      </c>
      <c r="E706" s="198" t="s">
        <v>244</v>
      </c>
      <c r="F706" s="199"/>
      <c r="G706" s="140" t="e">
        <f ca="1">mif(C706="","",OR(B706=リスト!$C$5,B706=リスト!$C$6),SUM(INDEX(G:G,MATCH(I706-1,I:I,0)+1,1):INDEX(G:G,MATCH(I706,I:I,0)-1,1)),D706-C706)</f>
        <v>#NAME?</v>
      </c>
      <c r="H706" s="140" t="e">
        <f ca="1">mif(C706="","",B706=リスト!$C$5,SUMIF(INDEX(B:B,MATCH(I706-1,I:I,0)+1,1):INDEX(B:B,MATCH(I706,I:I,0)-1,1),リスト!$C$7,INDEX(G:G,MATCH(I706-1,I:I,0)+1,1):INDEX(G:G,MATCH(I706,I:I,0)-1,1)),"")</f>
        <v>#NAME?</v>
      </c>
      <c r="I706" s="200" t="str">
        <f>IF(OR(B706=リスト!$C$5,B706=リスト!$C$6),COUNTIF($B$9:B706,リスト!$C$5)+COUNTIF($B$9:B706,リスト!$C$6),"")</f>
        <v/>
      </c>
    </row>
    <row r="707" spans="2:9" x14ac:dyDescent="0.2">
      <c r="B707" s="196"/>
      <c r="C707" s="197">
        <v>45463.176076388889</v>
      </c>
      <c r="D707" s="197">
        <v>45463.17633101852</v>
      </c>
      <c r="E707" s="198" t="s">
        <v>244</v>
      </c>
      <c r="F707" s="199"/>
      <c r="G707" s="140" t="e">
        <f ca="1">mif(C707="","",OR(B707=リスト!$C$5,B707=リスト!$C$6),SUM(INDEX(G:G,MATCH(I707-1,I:I,0)+1,1):INDEX(G:G,MATCH(I707,I:I,0)-1,1)),D707-C707)</f>
        <v>#NAME?</v>
      </c>
      <c r="H707" s="140" t="e">
        <f ca="1">mif(C707="","",B707=リスト!$C$5,SUMIF(INDEX(B:B,MATCH(I707-1,I:I,0)+1,1):INDEX(B:B,MATCH(I707,I:I,0)-1,1),リスト!$C$7,INDEX(G:G,MATCH(I707-1,I:I,0)+1,1):INDEX(G:G,MATCH(I707,I:I,0)-1,1)),"")</f>
        <v>#NAME?</v>
      </c>
      <c r="I707" s="200" t="str">
        <f>IF(OR(B707=リスト!$C$5,B707=リスト!$C$6),COUNTIF($B$9:B707,リスト!$C$5)+COUNTIF($B$9:B707,リスト!$C$6),"")</f>
        <v/>
      </c>
    </row>
    <row r="708" spans="2:9" x14ac:dyDescent="0.2">
      <c r="B708" s="196"/>
      <c r="C708" s="197">
        <v>45463.202453703707</v>
      </c>
      <c r="D708" s="197">
        <v>45463.202731481484</v>
      </c>
      <c r="E708" s="198" t="s">
        <v>244</v>
      </c>
      <c r="F708" s="199"/>
      <c r="G708" s="140" t="e">
        <f ca="1">mif(C708="","",OR(B708=リスト!$C$5,B708=リスト!$C$6),SUM(INDEX(G:G,MATCH(I708-1,I:I,0)+1,1):INDEX(G:G,MATCH(I708,I:I,0)-1,1)),D708-C708)</f>
        <v>#NAME?</v>
      </c>
      <c r="H708" s="140" t="e">
        <f ca="1">mif(C708="","",B708=リスト!$C$5,SUMIF(INDEX(B:B,MATCH(I708-1,I:I,0)+1,1):INDEX(B:B,MATCH(I708,I:I,0)-1,1),リスト!$C$7,INDEX(G:G,MATCH(I708-1,I:I,0)+1,1):INDEX(G:G,MATCH(I708,I:I,0)-1,1)),"")</f>
        <v>#NAME?</v>
      </c>
      <c r="I708" s="200" t="str">
        <f>IF(OR(B708=リスト!$C$5,B708=リスト!$C$6),COUNTIF($B$9:B708,リスト!$C$5)+COUNTIF($B$9:B708,リスト!$C$6),"")</f>
        <v/>
      </c>
    </row>
    <row r="709" spans="2:9" x14ac:dyDescent="0.2">
      <c r="B709" s="196"/>
      <c r="C709" s="197">
        <v>45463.277141203704</v>
      </c>
      <c r="D709" s="197">
        <v>45463.277488425927</v>
      </c>
      <c r="E709" s="198" t="s">
        <v>244</v>
      </c>
      <c r="F709" s="199"/>
      <c r="G709" s="140" t="e">
        <f ca="1">mif(C709="","",OR(B709=リスト!$C$5,B709=リスト!$C$6),SUM(INDEX(G:G,MATCH(I709-1,I:I,0)+1,1):INDEX(G:G,MATCH(I709,I:I,0)-1,1)),D709-C709)</f>
        <v>#NAME?</v>
      </c>
      <c r="H709" s="140" t="e">
        <f ca="1">mif(C709="","",B709=リスト!$C$5,SUMIF(INDEX(B:B,MATCH(I709-1,I:I,0)+1,1):INDEX(B:B,MATCH(I709,I:I,0)-1,1),リスト!$C$7,INDEX(G:G,MATCH(I709-1,I:I,0)+1,1):INDEX(G:G,MATCH(I709,I:I,0)-1,1)),"")</f>
        <v>#NAME?</v>
      </c>
      <c r="I709" s="200" t="str">
        <f>IF(OR(B709=リスト!$C$5,B709=リスト!$C$6),COUNTIF($B$9:B709,リスト!$C$5)+COUNTIF($B$9:B709,リスト!$C$6),"")</f>
        <v/>
      </c>
    </row>
    <row r="710" spans="2:9" x14ac:dyDescent="0.2">
      <c r="B710" s="196"/>
      <c r="C710" s="197">
        <v>45463.286377314813</v>
      </c>
      <c r="D710" s="197">
        <v>45463.288368055553</v>
      </c>
      <c r="E710" s="198" t="s">
        <v>244</v>
      </c>
      <c r="F710" s="199"/>
      <c r="G710" s="140" t="e">
        <f ca="1">mif(C710="","",OR(B710=リスト!$C$5,B710=リスト!$C$6),SUM(INDEX(G:G,MATCH(I710-1,I:I,0)+1,1):INDEX(G:G,MATCH(I710,I:I,0)-1,1)),D710-C710)</f>
        <v>#NAME?</v>
      </c>
      <c r="H710" s="140" t="e">
        <f ca="1">mif(C710="","",B710=リスト!$C$5,SUMIF(INDEX(B:B,MATCH(I710-1,I:I,0)+1,1):INDEX(B:B,MATCH(I710,I:I,0)-1,1),リスト!$C$7,INDEX(G:G,MATCH(I710-1,I:I,0)+1,1):INDEX(G:G,MATCH(I710,I:I,0)-1,1)),"")</f>
        <v>#NAME?</v>
      </c>
      <c r="I710" s="200" t="str">
        <f>IF(OR(B710=リスト!$C$5,B710=リスト!$C$6),COUNTIF($B$9:B710,リスト!$C$5)+COUNTIF($B$9:B710,リスト!$C$6),"")</f>
        <v/>
      </c>
    </row>
    <row r="711" spans="2:9" x14ac:dyDescent="0.2">
      <c r="B711" s="196"/>
      <c r="C711" s="197">
        <v>45463.288530092592</v>
      </c>
      <c r="D711" s="197">
        <v>45463.288877314815</v>
      </c>
      <c r="E711" s="198" t="s">
        <v>244</v>
      </c>
      <c r="F711" s="199"/>
      <c r="G711" s="140" t="e">
        <f ca="1">mif(C711="","",OR(B711=リスト!$C$5,B711=リスト!$C$6),SUM(INDEX(G:G,MATCH(I711-1,I:I,0)+1,1):INDEX(G:G,MATCH(I711,I:I,0)-1,1)),D711-C711)</f>
        <v>#NAME?</v>
      </c>
      <c r="H711" s="140" t="e">
        <f ca="1">mif(C711="","",B711=リスト!$C$5,SUMIF(INDEX(B:B,MATCH(I711-1,I:I,0)+1,1):INDEX(B:B,MATCH(I711,I:I,0)-1,1),リスト!$C$7,INDEX(G:G,MATCH(I711-1,I:I,0)+1,1):INDEX(G:G,MATCH(I711,I:I,0)-1,1)),"")</f>
        <v>#NAME?</v>
      </c>
      <c r="I711" s="200" t="str">
        <f>IF(OR(B711=リスト!$C$5,B711=リスト!$C$6),COUNTIF($B$9:B711,リスト!$C$5)+COUNTIF($B$9:B711,リスト!$C$6),"")</f>
        <v/>
      </c>
    </row>
    <row r="712" spans="2:9" x14ac:dyDescent="0.2">
      <c r="B712" s="196"/>
      <c r="C712" s="197">
        <v>45463.2891087963</v>
      </c>
      <c r="D712" s="197">
        <v>45463.289571759262</v>
      </c>
      <c r="E712" s="198" t="s">
        <v>244</v>
      </c>
      <c r="F712" s="199"/>
      <c r="G712" s="140" t="e">
        <f ca="1">mif(C712="","",OR(B712=リスト!$C$5,B712=リスト!$C$6),SUM(INDEX(G:G,MATCH(I712-1,I:I,0)+1,1):INDEX(G:G,MATCH(I712,I:I,0)-1,1)),D712-C712)</f>
        <v>#NAME?</v>
      </c>
      <c r="H712" s="140" t="e">
        <f ca="1">mif(C712="","",B712=リスト!$C$5,SUMIF(INDEX(B:B,MATCH(I712-1,I:I,0)+1,1):INDEX(B:B,MATCH(I712,I:I,0)-1,1),リスト!$C$7,INDEX(G:G,MATCH(I712-1,I:I,0)+1,1):INDEX(G:G,MATCH(I712,I:I,0)-1,1)),"")</f>
        <v>#NAME?</v>
      </c>
      <c r="I712" s="200" t="str">
        <f>IF(OR(B712=リスト!$C$5,B712=リスト!$C$6),COUNTIF($B$9:B712,リスト!$C$5)+COUNTIF($B$9:B712,リスト!$C$6),"")</f>
        <v/>
      </c>
    </row>
    <row r="713" spans="2:9" x14ac:dyDescent="0.2">
      <c r="B713" s="196"/>
      <c r="C713" s="197">
        <v>45463.295995370368</v>
      </c>
      <c r="D713" s="197">
        <v>45463.296296296299</v>
      </c>
      <c r="E713" s="198" t="s">
        <v>244</v>
      </c>
      <c r="F713" s="199"/>
      <c r="G713" s="140" t="e">
        <f ca="1">mif(C713="","",OR(B713=リスト!$C$5,B713=リスト!$C$6),SUM(INDEX(G:G,MATCH(I713-1,I:I,0)+1,1):INDEX(G:G,MATCH(I713,I:I,0)-1,1)),D713-C713)</f>
        <v>#NAME?</v>
      </c>
      <c r="H713" s="140" t="e">
        <f ca="1">mif(C713="","",B713=リスト!$C$5,SUMIF(INDEX(B:B,MATCH(I713-1,I:I,0)+1,1):INDEX(B:B,MATCH(I713,I:I,0)-1,1),リスト!$C$7,INDEX(G:G,MATCH(I713-1,I:I,0)+1,1):INDEX(G:G,MATCH(I713,I:I,0)-1,1)),"")</f>
        <v>#NAME?</v>
      </c>
      <c r="I713" s="200" t="str">
        <f>IF(OR(B713=リスト!$C$5,B713=リスト!$C$6),COUNTIF($B$9:B713,リスト!$C$5)+COUNTIF($B$9:B713,リスト!$C$6),"")</f>
        <v/>
      </c>
    </row>
    <row r="714" spans="2:9" x14ac:dyDescent="0.2">
      <c r="B714" s="196"/>
      <c r="C714" s="197">
        <v>45463.307685185187</v>
      </c>
      <c r="D714" s="197">
        <v>45463.307939814818</v>
      </c>
      <c r="E714" s="198" t="s">
        <v>244</v>
      </c>
      <c r="F714" s="199"/>
      <c r="G714" s="140" t="e">
        <f ca="1">mif(C714="","",OR(B714=リスト!$C$5,B714=リスト!$C$6),SUM(INDEX(G:G,MATCH(I714-1,I:I,0)+1,1):INDEX(G:G,MATCH(I714,I:I,0)-1,1)),D714-C714)</f>
        <v>#NAME?</v>
      </c>
      <c r="H714" s="140" t="e">
        <f ca="1">mif(C714="","",B714=リスト!$C$5,SUMIF(INDEX(B:B,MATCH(I714-1,I:I,0)+1,1):INDEX(B:B,MATCH(I714,I:I,0)-1,1),リスト!$C$7,INDEX(G:G,MATCH(I714-1,I:I,0)+1,1):INDEX(G:G,MATCH(I714,I:I,0)-1,1)),"")</f>
        <v>#NAME?</v>
      </c>
      <c r="I714" s="200" t="str">
        <f>IF(OR(B714=リスト!$C$5,B714=リスト!$C$6),COUNTIF($B$9:B714,リスト!$C$5)+COUNTIF($B$9:B714,リスト!$C$6),"")</f>
        <v/>
      </c>
    </row>
    <row r="715" spans="2:9" x14ac:dyDescent="0.2">
      <c r="B715" s="196"/>
      <c r="C715" s="197">
        <v>45463.328923611109</v>
      </c>
      <c r="D715" s="197">
        <v>45463.329456018517</v>
      </c>
      <c r="E715" s="198" t="s">
        <v>244</v>
      </c>
      <c r="F715" s="199"/>
      <c r="G715" s="140" t="e">
        <f ca="1">mif(C715="","",OR(B715=リスト!$C$5,B715=リスト!$C$6),SUM(INDEX(G:G,MATCH(I715-1,I:I,0)+1,1):INDEX(G:G,MATCH(I715,I:I,0)-1,1)),D715-C715)</f>
        <v>#NAME?</v>
      </c>
      <c r="H715" s="140" t="e">
        <f ca="1">mif(C715="","",B715=リスト!$C$5,SUMIF(INDEX(B:B,MATCH(I715-1,I:I,0)+1,1):INDEX(B:B,MATCH(I715,I:I,0)-1,1),リスト!$C$7,INDEX(G:G,MATCH(I715-1,I:I,0)+1,1):INDEX(G:G,MATCH(I715,I:I,0)-1,1)),"")</f>
        <v>#NAME?</v>
      </c>
      <c r="I715" s="200" t="str">
        <f>IF(OR(B715=リスト!$C$5,B715=リスト!$C$6),COUNTIF($B$9:B715,リスト!$C$5)+COUNTIF($B$9:B715,リスト!$C$6),"")</f>
        <v/>
      </c>
    </row>
    <row r="716" spans="2:9" x14ac:dyDescent="0.2">
      <c r="B716" s="196"/>
      <c r="C716" s="197">
        <v>45463.361134259256</v>
      </c>
      <c r="D716" s="197">
        <v>45463.36141203704</v>
      </c>
      <c r="E716" s="198" t="s">
        <v>244</v>
      </c>
      <c r="F716" s="199"/>
      <c r="G716" s="140" t="e">
        <f ca="1">mif(C716="","",OR(B716=リスト!$C$5,B716=リスト!$C$6),SUM(INDEX(G:G,MATCH(I716-1,I:I,0)+1,1):INDEX(G:G,MATCH(I716,I:I,0)-1,1)),D716-C716)</f>
        <v>#NAME?</v>
      </c>
      <c r="H716" s="140" t="e">
        <f ca="1">mif(C716="","",B716=リスト!$C$5,SUMIF(INDEX(B:B,MATCH(I716-1,I:I,0)+1,1):INDEX(B:B,MATCH(I716,I:I,0)-1,1),リスト!$C$7,INDEX(G:G,MATCH(I716-1,I:I,0)+1,1):INDEX(G:G,MATCH(I716,I:I,0)-1,1)),"")</f>
        <v>#NAME?</v>
      </c>
      <c r="I716" s="200" t="str">
        <f>IF(OR(B716=リスト!$C$5,B716=リスト!$C$6),COUNTIF($B$9:B716,リスト!$C$5)+COUNTIF($B$9:B716,リスト!$C$6),"")</f>
        <v/>
      </c>
    </row>
    <row r="717" spans="2:9" x14ac:dyDescent="0.2">
      <c r="B717" s="196"/>
      <c r="C717" s="197">
        <v>45463.392777777779</v>
      </c>
      <c r="D717" s="197">
        <v>45463.394074074073</v>
      </c>
      <c r="E717" s="198" t="s">
        <v>244</v>
      </c>
      <c r="F717" s="199"/>
      <c r="G717" s="140" t="e">
        <f ca="1">mif(C717="","",OR(B717=リスト!$C$5,B717=リスト!$C$6),SUM(INDEX(G:G,MATCH(I717-1,I:I,0)+1,1):INDEX(G:G,MATCH(I717,I:I,0)-1,1)),D717-C717)</f>
        <v>#NAME?</v>
      </c>
      <c r="H717" s="140" t="e">
        <f ca="1">mif(C717="","",B717=リスト!$C$5,SUMIF(INDEX(B:B,MATCH(I717-1,I:I,0)+1,1):INDEX(B:B,MATCH(I717,I:I,0)-1,1),リスト!$C$7,INDEX(G:G,MATCH(I717-1,I:I,0)+1,1):INDEX(G:G,MATCH(I717,I:I,0)-1,1)),"")</f>
        <v>#NAME?</v>
      </c>
      <c r="I717" s="200" t="str">
        <f>IF(OR(B717=リスト!$C$5,B717=リスト!$C$6),COUNTIF($B$9:B717,リスト!$C$5)+COUNTIF($B$9:B717,リスト!$C$6),"")</f>
        <v/>
      </c>
    </row>
    <row r="718" spans="2:9" x14ac:dyDescent="0.2">
      <c r="B718" s="196" t="s">
        <v>247</v>
      </c>
      <c r="C718" s="197">
        <v>45462.916666666664</v>
      </c>
      <c r="D718" s="197">
        <v>45463.416666666664</v>
      </c>
      <c r="E718" s="198">
        <v>15</v>
      </c>
      <c r="F718" s="199"/>
      <c r="G718" s="140" t="e">
        <f ca="1">mif(C718="","",OR(B718=リスト!$C$5,B718=リスト!$C$6),SUM(INDEX(G:G,MATCH(I718-1,I:I,0)+1,1):INDEX(G:G,MATCH(I718,I:I,0)-1,1)),D718-C718)</f>
        <v>#NAME?</v>
      </c>
      <c r="H718" s="140" t="e">
        <f ca="1">mif(C718="","",B718=リスト!$C$5,SUMIF(INDEX(B:B,MATCH(I718-1,I:I,0)+1,1):INDEX(B:B,MATCH(I718,I:I,0)-1,1),リスト!$C$7,INDEX(G:G,MATCH(I718-1,I:I,0)+1,1):INDEX(G:G,MATCH(I718,I:I,0)-1,1)),"")</f>
        <v>#NAME?</v>
      </c>
      <c r="I718" s="200">
        <f>IF(OR(B718=リスト!$C$5,B718=リスト!$C$6),COUNTIF($B$9:B718,リスト!$C$5)+COUNTIF($B$9:B718,リスト!$C$6),"")</f>
        <v>50</v>
      </c>
    </row>
    <row r="719" spans="2:9" x14ac:dyDescent="0.2">
      <c r="B719" s="196"/>
      <c r="C719" s="197">
        <v>45463.424479166664</v>
      </c>
      <c r="D719" s="197">
        <v>45463.424756944441</v>
      </c>
      <c r="E719" s="198" t="s">
        <v>244</v>
      </c>
      <c r="F719" s="199"/>
      <c r="G719" s="140" t="e">
        <f ca="1">mif(C719="","",OR(B719=リスト!$C$5,B719=リスト!$C$6),SUM(INDEX(G:G,MATCH(I719-1,I:I,0)+1,1):INDEX(G:G,MATCH(I719,I:I,0)-1,1)),D719-C719)</f>
        <v>#NAME?</v>
      </c>
      <c r="H719" s="140" t="e">
        <f ca="1">mif(C719="","",B719=リスト!$C$5,SUMIF(INDEX(B:B,MATCH(I719-1,I:I,0)+1,1):INDEX(B:B,MATCH(I719,I:I,0)-1,1),リスト!$C$7,INDEX(G:G,MATCH(I719-1,I:I,0)+1,1):INDEX(G:G,MATCH(I719,I:I,0)-1,1)),"")</f>
        <v>#NAME?</v>
      </c>
      <c r="I719" s="200" t="str">
        <f>IF(OR(B719=リスト!$C$5,B719=リスト!$C$6),COUNTIF($B$9:B719,リスト!$C$5)+COUNTIF($B$9:B719,リスト!$C$6),"")</f>
        <v/>
      </c>
    </row>
    <row r="720" spans="2:9" x14ac:dyDescent="0.2">
      <c r="B720" s="196"/>
      <c r="C720" s="197">
        <v>45463.458379629628</v>
      </c>
      <c r="D720" s="197">
        <v>45463.458680555559</v>
      </c>
      <c r="E720" s="198" t="s">
        <v>244</v>
      </c>
      <c r="F720" s="199"/>
      <c r="G720" s="140" t="e">
        <f ca="1">mif(C720="","",OR(B720=リスト!$C$5,B720=リスト!$C$6),SUM(INDEX(G:G,MATCH(I720-1,I:I,0)+1,1):INDEX(G:G,MATCH(I720,I:I,0)-1,1)),D720-C720)</f>
        <v>#NAME?</v>
      </c>
      <c r="H720" s="140" t="e">
        <f ca="1">mif(C720="","",B720=リスト!$C$5,SUMIF(INDEX(B:B,MATCH(I720-1,I:I,0)+1,1):INDEX(B:B,MATCH(I720,I:I,0)-1,1),リスト!$C$7,INDEX(G:G,MATCH(I720-1,I:I,0)+1,1):INDEX(G:G,MATCH(I720,I:I,0)-1,1)),"")</f>
        <v>#NAME?</v>
      </c>
      <c r="I720" s="200" t="str">
        <f>IF(OR(B720=リスト!$C$5,B720=リスト!$C$6),COUNTIF($B$9:B720,リスト!$C$5)+COUNTIF($B$9:B720,リスト!$C$6),"")</f>
        <v/>
      </c>
    </row>
    <row r="721" spans="2:9" x14ac:dyDescent="0.2">
      <c r="B721" s="196"/>
      <c r="C721" s="197">
        <v>45463.55395833333</v>
      </c>
      <c r="D721" s="197">
        <v>45463.554305555554</v>
      </c>
      <c r="E721" s="198" t="s">
        <v>244</v>
      </c>
      <c r="F721" s="199"/>
      <c r="G721" s="140" t="e">
        <f ca="1">mif(C721="","",OR(B721=リスト!$C$5,B721=リスト!$C$6),SUM(INDEX(G:G,MATCH(I721-1,I:I,0)+1,1):INDEX(G:G,MATCH(I721,I:I,0)-1,1)),D721-C721)</f>
        <v>#NAME?</v>
      </c>
      <c r="H721" s="140" t="e">
        <f ca="1">mif(C721="","",B721=リスト!$C$5,SUMIF(INDEX(B:B,MATCH(I721-1,I:I,0)+1,1):INDEX(B:B,MATCH(I721,I:I,0)-1,1),リスト!$C$7,INDEX(G:G,MATCH(I721-1,I:I,0)+1,1):INDEX(G:G,MATCH(I721,I:I,0)-1,1)),"")</f>
        <v>#NAME?</v>
      </c>
      <c r="I721" s="200" t="str">
        <f>IF(OR(B721=リスト!$C$5,B721=リスト!$C$6),COUNTIF($B$9:B721,リスト!$C$5)+COUNTIF($B$9:B721,リスト!$C$6),"")</f>
        <v/>
      </c>
    </row>
    <row r="722" spans="2:9" x14ac:dyDescent="0.2">
      <c r="B722" s="196"/>
      <c r="C722" s="197">
        <v>45463.665347222224</v>
      </c>
      <c r="D722" s="197">
        <v>45463.665648148148</v>
      </c>
      <c r="E722" s="198" t="s">
        <v>244</v>
      </c>
      <c r="F722" s="199"/>
      <c r="G722" s="140" t="e">
        <f ca="1">mif(C722="","",OR(B722=リスト!$C$5,B722=リスト!$C$6),SUM(INDEX(G:G,MATCH(I722-1,I:I,0)+1,1):INDEX(G:G,MATCH(I722,I:I,0)-1,1)),D722-C722)</f>
        <v>#NAME?</v>
      </c>
      <c r="H722" s="140" t="e">
        <f ca="1">mif(C722="","",B722=リスト!$C$5,SUMIF(INDEX(B:B,MATCH(I722-1,I:I,0)+1,1):INDEX(B:B,MATCH(I722,I:I,0)-1,1),リスト!$C$7,INDEX(G:G,MATCH(I722-1,I:I,0)+1,1):INDEX(G:G,MATCH(I722,I:I,0)-1,1)),"")</f>
        <v>#NAME?</v>
      </c>
      <c r="I722" s="200" t="str">
        <f>IF(OR(B722=リスト!$C$5,B722=リスト!$C$6),COUNTIF($B$9:B722,リスト!$C$5)+COUNTIF($B$9:B722,リスト!$C$6),"")</f>
        <v/>
      </c>
    </row>
    <row r="723" spans="2:9" x14ac:dyDescent="0.2">
      <c r="B723" s="196"/>
      <c r="C723" s="197">
        <v>45463.825960648152</v>
      </c>
      <c r="D723" s="197">
        <v>45463.826238425929</v>
      </c>
      <c r="E723" s="198" t="s">
        <v>244</v>
      </c>
      <c r="F723" s="199"/>
      <c r="G723" s="140" t="e">
        <f ca="1">mif(C723="","",OR(B723=リスト!$C$5,B723=リスト!$C$6),SUM(INDEX(G:G,MATCH(I723-1,I:I,0)+1,1):INDEX(G:G,MATCH(I723,I:I,0)-1,1)),D723-C723)</f>
        <v>#NAME?</v>
      </c>
      <c r="H723" s="140" t="e">
        <f ca="1">mif(C723="","",B723=リスト!$C$5,SUMIF(INDEX(B:B,MATCH(I723-1,I:I,0)+1,1):INDEX(B:B,MATCH(I723,I:I,0)-1,1),リスト!$C$7,INDEX(G:G,MATCH(I723-1,I:I,0)+1,1):INDEX(G:G,MATCH(I723,I:I,0)-1,1)),"")</f>
        <v>#NAME?</v>
      </c>
      <c r="I723" s="200" t="str">
        <f>IF(OR(B723=リスト!$C$5,B723=リスト!$C$6),COUNTIF($B$9:B723,リスト!$C$5)+COUNTIF($B$9:B723,リスト!$C$6),"")</f>
        <v/>
      </c>
    </row>
    <row r="724" spans="2:9" x14ac:dyDescent="0.2">
      <c r="B724" s="196"/>
      <c r="C724" s="197">
        <v>45463.846516203703</v>
      </c>
      <c r="D724" s="197">
        <v>45463.84679398148</v>
      </c>
      <c r="E724" s="198" t="s">
        <v>244</v>
      </c>
      <c r="F724" s="199"/>
      <c r="G724" s="140" t="e">
        <f ca="1">mif(C724="","",OR(B724=リスト!$C$5,B724=リスト!$C$6),SUM(INDEX(G:G,MATCH(I724-1,I:I,0)+1,1):INDEX(G:G,MATCH(I724,I:I,0)-1,1)),D724-C724)</f>
        <v>#NAME?</v>
      </c>
      <c r="H724" s="140" t="e">
        <f ca="1">mif(C724="","",B724=リスト!$C$5,SUMIF(INDEX(B:B,MATCH(I724-1,I:I,0)+1,1):INDEX(B:B,MATCH(I724,I:I,0)-1,1),リスト!$C$7,INDEX(G:G,MATCH(I724-1,I:I,0)+1,1):INDEX(G:G,MATCH(I724,I:I,0)-1,1)),"")</f>
        <v>#NAME?</v>
      </c>
      <c r="I724" s="200" t="str">
        <f>IF(OR(B724=リスト!$C$5,B724=リスト!$C$6),COUNTIF($B$9:B724,リスト!$C$5)+COUNTIF($B$9:B724,リスト!$C$6),"")</f>
        <v/>
      </c>
    </row>
    <row r="725" spans="2:9" x14ac:dyDescent="0.2">
      <c r="B725" s="196"/>
      <c r="C725" s="197">
        <v>45463.883993055555</v>
      </c>
      <c r="D725" s="197">
        <v>45463.88422453704</v>
      </c>
      <c r="E725" s="198" t="s">
        <v>244</v>
      </c>
      <c r="F725" s="199"/>
      <c r="G725" s="140" t="e">
        <f ca="1">mif(C725="","",OR(B725=リスト!$C$5,B725=リスト!$C$6),SUM(INDEX(G:G,MATCH(I725-1,I:I,0)+1,1):INDEX(G:G,MATCH(I725,I:I,0)-1,1)),D725-C725)</f>
        <v>#NAME?</v>
      </c>
      <c r="H725" s="140" t="e">
        <f ca="1">mif(C725="","",B725=リスト!$C$5,SUMIF(INDEX(B:B,MATCH(I725-1,I:I,0)+1,1):INDEX(B:B,MATCH(I725,I:I,0)-1,1),リスト!$C$7,INDEX(G:G,MATCH(I725-1,I:I,0)+1,1):INDEX(G:G,MATCH(I725,I:I,0)-1,1)),"")</f>
        <v>#NAME?</v>
      </c>
      <c r="I725" s="200" t="str">
        <f>IF(OR(B725=リスト!$C$5,B725=リスト!$C$6),COUNTIF($B$9:B725,リスト!$C$5)+COUNTIF($B$9:B725,リスト!$C$6),"")</f>
        <v/>
      </c>
    </row>
    <row r="726" spans="2:9" x14ac:dyDescent="0.2">
      <c r="B726" s="196"/>
      <c r="C726" s="197">
        <v>45463.8903587963</v>
      </c>
      <c r="D726" s="197">
        <v>45463.890868055554</v>
      </c>
      <c r="E726" s="198" t="s">
        <v>244</v>
      </c>
      <c r="F726" s="199"/>
      <c r="G726" s="140" t="e">
        <f ca="1">mif(C726="","",OR(B726=リスト!$C$5,B726=リスト!$C$6),SUM(INDEX(G:G,MATCH(I726-1,I:I,0)+1,1):INDEX(G:G,MATCH(I726,I:I,0)-1,1)),D726-C726)</f>
        <v>#NAME?</v>
      </c>
      <c r="H726" s="140" t="e">
        <f ca="1">mif(C726="","",B726=リスト!$C$5,SUMIF(INDEX(B:B,MATCH(I726-1,I:I,0)+1,1):INDEX(B:B,MATCH(I726,I:I,0)-1,1),リスト!$C$7,INDEX(G:G,MATCH(I726-1,I:I,0)+1,1):INDEX(G:G,MATCH(I726,I:I,0)-1,1)),"")</f>
        <v>#NAME?</v>
      </c>
      <c r="I726" s="200" t="str">
        <f>IF(OR(B726=リスト!$C$5,B726=リスト!$C$6),COUNTIF($B$9:B726,リスト!$C$5)+COUNTIF($B$9:B726,リスト!$C$6),"")</f>
        <v/>
      </c>
    </row>
    <row r="727" spans="2:9" x14ac:dyDescent="0.2">
      <c r="B727" s="196" t="s">
        <v>247</v>
      </c>
      <c r="C727" s="197">
        <v>45463.416666666664</v>
      </c>
      <c r="D727" s="197">
        <v>45463.916666666664</v>
      </c>
      <c r="E727" s="198">
        <v>8</v>
      </c>
      <c r="F727" s="199"/>
      <c r="G727" s="140" t="e">
        <f ca="1">mif(C727="","",OR(B727=リスト!$C$5,B727=リスト!$C$6),SUM(INDEX(G:G,MATCH(I727-1,I:I,0)+1,1):INDEX(G:G,MATCH(I727,I:I,0)-1,1)),D727-C727)</f>
        <v>#NAME?</v>
      </c>
      <c r="H727" s="140" t="e">
        <f ca="1">mif(C727="","",B727=リスト!$C$5,SUMIF(INDEX(B:B,MATCH(I727-1,I:I,0)+1,1):INDEX(B:B,MATCH(I727,I:I,0)-1,1),リスト!$C$7,INDEX(G:G,MATCH(I727-1,I:I,0)+1,1):INDEX(G:G,MATCH(I727,I:I,0)-1,1)),"")</f>
        <v>#NAME?</v>
      </c>
      <c r="I727" s="200">
        <f>IF(OR(B727=リスト!$C$5,B727=リスト!$C$6),COUNTIF($B$9:B727,リスト!$C$5)+COUNTIF($B$9:B727,リスト!$C$6),"")</f>
        <v>51</v>
      </c>
    </row>
    <row r="728" spans="2:9" x14ac:dyDescent="0.2">
      <c r="B728" s="196"/>
      <c r="C728" s="197">
        <v>45463.94903935185</v>
      </c>
      <c r="D728" s="197">
        <v>45463.949293981481</v>
      </c>
      <c r="E728" s="198" t="s">
        <v>244</v>
      </c>
      <c r="F728" s="199"/>
      <c r="G728" s="140" t="e">
        <f ca="1">mif(C728="","",OR(B728=リスト!$C$5,B728=リスト!$C$6),SUM(INDEX(G:G,MATCH(I728-1,I:I,0)+1,1):INDEX(G:G,MATCH(I728,I:I,0)-1,1)),D728-C728)</f>
        <v>#NAME?</v>
      </c>
      <c r="H728" s="140" t="e">
        <f ca="1">mif(C728="","",B728=リスト!$C$5,SUMIF(INDEX(B:B,MATCH(I728-1,I:I,0)+1,1):INDEX(B:B,MATCH(I728,I:I,0)-1,1),リスト!$C$7,INDEX(G:G,MATCH(I728-1,I:I,0)+1,1):INDEX(G:G,MATCH(I728,I:I,0)-1,1)),"")</f>
        <v>#NAME?</v>
      </c>
      <c r="I728" s="200" t="str">
        <f>IF(OR(B728=リスト!$C$5,B728=リスト!$C$6),COUNTIF($B$9:B728,リスト!$C$5)+COUNTIF($B$9:B728,リスト!$C$6),"")</f>
        <v/>
      </c>
    </row>
    <row r="729" spans="2:9" x14ac:dyDescent="0.2">
      <c r="B729" s="196"/>
      <c r="C729" s="197">
        <v>45464.062337962961</v>
      </c>
      <c r="D729" s="197">
        <v>45464.062615740739</v>
      </c>
      <c r="E729" s="198" t="s">
        <v>244</v>
      </c>
      <c r="F729" s="199"/>
      <c r="G729" s="140" t="e">
        <f ca="1">mif(C729="","",OR(B729=リスト!$C$5,B729=リスト!$C$6),SUM(INDEX(G:G,MATCH(I729-1,I:I,0)+1,1):INDEX(G:G,MATCH(I729,I:I,0)-1,1)),D729-C729)</f>
        <v>#NAME?</v>
      </c>
      <c r="H729" s="140" t="e">
        <f ca="1">mif(C729="","",B729=リスト!$C$5,SUMIF(INDEX(B:B,MATCH(I729-1,I:I,0)+1,1):INDEX(B:B,MATCH(I729,I:I,0)-1,1),リスト!$C$7,INDEX(G:G,MATCH(I729-1,I:I,0)+1,1):INDEX(G:G,MATCH(I729,I:I,0)-1,1)),"")</f>
        <v>#NAME?</v>
      </c>
      <c r="I729" s="200" t="str">
        <f>IF(OR(B729=リスト!$C$5,B729=リスト!$C$6),COUNTIF($B$9:B729,リスト!$C$5)+COUNTIF($B$9:B729,リスト!$C$6),"")</f>
        <v/>
      </c>
    </row>
    <row r="730" spans="2:9" x14ac:dyDescent="0.2">
      <c r="B730" s="196"/>
      <c r="C730" s="197">
        <v>45464.096608796295</v>
      </c>
      <c r="D730" s="197">
        <v>45464.097511574073</v>
      </c>
      <c r="E730" s="198" t="s">
        <v>244</v>
      </c>
      <c r="F730" s="199"/>
      <c r="G730" s="140" t="e">
        <f ca="1">mif(C730="","",OR(B730=リスト!$C$5,B730=リスト!$C$6),SUM(INDEX(G:G,MATCH(I730-1,I:I,0)+1,1):INDEX(G:G,MATCH(I730,I:I,0)-1,1)),D730-C730)</f>
        <v>#NAME?</v>
      </c>
      <c r="H730" s="140" t="e">
        <f ca="1">mif(C730="","",B730=リスト!$C$5,SUMIF(INDEX(B:B,MATCH(I730-1,I:I,0)+1,1):INDEX(B:B,MATCH(I730,I:I,0)-1,1),リスト!$C$7,INDEX(G:G,MATCH(I730-1,I:I,0)+1,1):INDEX(G:G,MATCH(I730,I:I,0)-1,1)),"")</f>
        <v>#NAME?</v>
      </c>
      <c r="I730" s="200" t="str">
        <f>IF(OR(B730=リスト!$C$5,B730=リスト!$C$6),COUNTIF($B$9:B730,リスト!$C$5)+COUNTIF($B$9:B730,リスト!$C$6),"")</f>
        <v/>
      </c>
    </row>
    <row r="731" spans="2:9" x14ac:dyDescent="0.2">
      <c r="B731" s="196"/>
      <c r="C731" s="197">
        <v>45464.110046296293</v>
      </c>
      <c r="D731" s="197">
        <v>45464.110324074078</v>
      </c>
      <c r="E731" s="198" t="s">
        <v>244</v>
      </c>
      <c r="F731" s="199"/>
      <c r="G731" s="140" t="e">
        <f ca="1">mif(C731="","",OR(B731=リスト!$C$5,B731=リスト!$C$6),SUM(INDEX(G:G,MATCH(I731-1,I:I,0)+1,1):INDEX(G:G,MATCH(I731,I:I,0)-1,1)),D731-C731)</f>
        <v>#NAME?</v>
      </c>
      <c r="H731" s="140" t="e">
        <f ca="1">mif(C731="","",B731=リスト!$C$5,SUMIF(INDEX(B:B,MATCH(I731-1,I:I,0)+1,1):INDEX(B:B,MATCH(I731,I:I,0)-1,1),リスト!$C$7,INDEX(G:G,MATCH(I731-1,I:I,0)+1,1):INDEX(G:G,MATCH(I731,I:I,0)-1,1)),"")</f>
        <v>#NAME?</v>
      </c>
      <c r="I731" s="200" t="str">
        <f>IF(OR(B731=リスト!$C$5,B731=リスト!$C$6),COUNTIF($B$9:B731,リスト!$C$5)+COUNTIF($B$9:B731,リスト!$C$6),"")</f>
        <v/>
      </c>
    </row>
    <row r="732" spans="2:9" x14ac:dyDescent="0.2">
      <c r="B732" s="196"/>
      <c r="C732" s="197">
        <v>45464.142164351855</v>
      </c>
      <c r="D732" s="197">
        <v>45464.14267361111</v>
      </c>
      <c r="E732" s="198" t="s">
        <v>244</v>
      </c>
      <c r="F732" s="199"/>
      <c r="G732" s="140" t="e">
        <f ca="1">mif(C732="","",OR(B732=リスト!$C$5,B732=リスト!$C$6),SUM(INDEX(G:G,MATCH(I732-1,I:I,0)+1,1):INDEX(G:G,MATCH(I732,I:I,0)-1,1)),D732-C732)</f>
        <v>#NAME?</v>
      </c>
      <c r="H732" s="140" t="e">
        <f ca="1">mif(C732="","",B732=リスト!$C$5,SUMIF(INDEX(B:B,MATCH(I732-1,I:I,0)+1,1):INDEX(B:B,MATCH(I732,I:I,0)-1,1),リスト!$C$7,INDEX(G:G,MATCH(I732-1,I:I,0)+1,1):INDEX(G:G,MATCH(I732,I:I,0)-1,1)),"")</f>
        <v>#NAME?</v>
      </c>
      <c r="I732" s="200" t="str">
        <f>IF(OR(B732=リスト!$C$5,B732=リスト!$C$6),COUNTIF($B$9:B732,リスト!$C$5)+COUNTIF($B$9:B732,リスト!$C$6),"")</f>
        <v/>
      </c>
    </row>
    <row r="733" spans="2:9" x14ac:dyDescent="0.2">
      <c r="B733" s="196"/>
      <c r="C733" s="197">
        <v>45464.194178240738</v>
      </c>
      <c r="D733" s="197">
        <v>45464.194432870368</v>
      </c>
      <c r="E733" s="198" t="s">
        <v>244</v>
      </c>
      <c r="F733" s="199"/>
      <c r="G733" s="140" t="e">
        <f ca="1">mif(C733="","",OR(B733=リスト!$C$5,B733=リスト!$C$6),SUM(INDEX(G:G,MATCH(I733-1,I:I,0)+1,1):INDEX(G:G,MATCH(I733,I:I,0)-1,1)),D733-C733)</f>
        <v>#NAME?</v>
      </c>
      <c r="H733" s="140" t="e">
        <f ca="1">mif(C733="","",B733=リスト!$C$5,SUMIF(INDEX(B:B,MATCH(I733-1,I:I,0)+1,1):INDEX(B:B,MATCH(I733,I:I,0)-1,1),リスト!$C$7,INDEX(G:G,MATCH(I733-1,I:I,0)+1,1):INDEX(G:G,MATCH(I733,I:I,0)-1,1)),"")</f>
        <v>#NAME?</v>
      </c>
      <c r="I733" s="200" t="str">
        <f>IF(OR(B733=リスト!$C$5,B733=リスト!$C$6),COUNTIF($B$9:B733,リスト!$C$5)+COUNTIF($B$9:B733,リスト!$C$6),"")</f>
        <v/>
      </c>
    </row>
    <row r="734" spans="2:9" x14ac:dyDescent="0.2">
      <c r="B734" s="196"/>
      <c r="C734" s="197">
        <v>45464.203460648147</v>
      </c>
      <c r="D734" s="197">
        <v>45464.203738425924</v>
      </c>
      <c r="E734" s="198" t="s">
        <v>244</v>
      </c>
      <c r="F734" s="199"/>
      <c r="G734" s="140" t="e">
        <f ca="1">mif(C734="","",OR(B734=リスト!$C$5,B734=リスト!$C$6),SUM(INDEX(G:G,MATCH(I734-1,I:I,0)+1,1):INDEX(G:G,MATCH(I734,I:I,0)-1,1)),D734-C734)</f>
        <v>#NAME?</v>
      </c>
      <c r="H734" s="140" t="e">
        <f ca="1">mif(C734="","",B734=リスト!$C$5,SUMIF(INDEX(B:B,MATCH(I734-1,I:I,0)+1,1):INDEX(B:B,MATCH(I734,I:I,0)-1,1),リスト!$C$7,INDEX(G:G,MATCH(I734-1,I:I,0)+1,1):INDEX(G:G,MATCH(I734,I:I,0)-1,1)),"")</f>
        <v>#NAME?</v>
      </c>
      <c r="I734" s="200" t="str">
        <f>IF(OR(B734=リスト!$C$5,B734=リスト!$C$6),COUNTIF($B$9:B734,リスト!$C$5)+COUNTIF($B$9:B734,リスト!$C$6),"")</f>
        <v/>
      </c>
    </row>
    <row r="735" spans="2:9" x14ac:dyDescent="0.2">
      <c r="B735" s="196"/>
      <c r="C735" s="197">
        <v>45464.252881944441</v>
      </c>
      <c r="D735" s="197">
        <v>45464.253483796296</v>
      </c>
      <c r="E735" s="198" t="s">
        <v>244</v>
      </c>
      <c r="F735" s="199"/>
      <c r="G735" s="140" t="e">
        <f ca="1">mif(C735="","",OR(B735=リスト!$C$5,B735=リスト!$C$6),SUM(INDEX(G:G,MATCH(I735-1,I:I,0)+1,1):INDEX(G:G,MATCH(I735,I:I,0)-1,1)),D735-C735)</f>
        <v>#NAME?</v>
      </c>
      <c r="H735" s="140" t="e">
        <f ca="1">mif(C735="","",B735=リスト!$C$5,SUMIF(INDEX(B:B,MATCH(I735-1,I:I,0)+1,1):INDEX(B:B,MATCH(I735,I:I,0)-1,1),リスト!$C$7,INDEX(G:G,MATCH(I735-1,I:I,0)+1,1):INDEX(G:G,MATCH(I735,I:I,0)-1,1)),"")</f>
        <v>#NAME?</v>
      </c>
      <c r="I735" s="200" t="str">
        <f>IF(OR(B735=リスト!$C$5,B735=リスト!$C$6),COUNTIF($B$9:B735,リスト!$C$5)+COUNTIF($B$9:B735,リスト!$C$6),"")</f>
        <v/>
      </c>
    </row>
    <row r="736" spans="2:9" x14ac:dyDescent="0.2">
      <c r="B736" s="196"/>
      <c r="C736" s="197">
        <v>45464.257847222223</v>
      </c>
      <c r="D736" s="197">
        <v>45464.258125</v>
      </c>
      <c r="E736" s="198" t="s">
        <v>244</v>
      </c>
      <c r="F736" s="199"/>
      <c r="G736" s="140" t="e">
        <f ca="1">mif(C736="","",OR(B736=リスト!$C$5,B736=リスト!$C$6),SUM(INDEX(G:G,MATCH(I736-1,I:I,0)+1,1):INDEX(G:G,MATCH(I736,I:I,0)-1,1)),D736-C736)</f>
        <v>#NAME?</v>
      </c>
      <c r="H736" s="140" t="e">
        <f ca="1">mif(C736="","",B736=リスト!$C$5,SUMIF(INDEX(B:B,MATCH(I736-1,I:I,0)+1,1):INDEX(B:B,MATCH(I736,I:I,0)-1,1),リスト!$C$7,INDEX(G:G,MATCH(I736-1,I:I,0)+1,1):INDEX(G:G,MATCH(I736,I:I,0)-1,1)),"")</f>
        <v>#NAME?</v>
      </c>
      <c r="I736" s="200" t="str">
        <f>IF(OR(B736=リスト!$C$5,B736=リスト!$C$6),COUNTIF($B$9:B736,リスト!$C$5)+COUNTIF($B$9:B736,リスト!$C$6),"")</f>
        <v/>
      </c>
    </row>
    <row r="737" spans="2:9" x14ac:dyDescent="0.2">
      <c r="B737" s="196"/>
      <c r="C737" s="197">
        <v>45464.270509259259</v>
      </c>
      <c r="D737" s="197">
        <v>45464.270902777775</v>
      </c>
      <c r="E737" s="198" t="s">
        <v>244</v>
      </c>
      <c r="F737" s="199"/>
      <c r="G737" s="140" t="e">
        <f ca="1">mif(C737="","",OR(B737=リスト!$C$5,B737=リスト!$C$6),SUM(INDEX(G:G,MATCH(I737-1,I:I,0)+1,1):INDEX(G:G,MATCH(I737,I:I,0)-1,1)),D737-C737)</f>
        <v>#NAME?</v>
      </c>
      <c r="H737" s="140" t="e">
        <f ca="1">mif(C737="","",B737=リスト!$C$5,SUMIF(INDEX(B:B,MATCH(I737-1,I:I,0)+1,1):INDEX(B:B,MATCH(I737,I:I,0)-1,1),リスト!$C$7,INDEX(G:G,MATCH(I737-1,I:I,0)+1,1):INDEX(G:G,MATCH(I737,I:I,0)-1,1)),"")</f>
        <v>#NAME?</v>
      </c>
      <c r="I737" s="200" t="str">
        <f>IF(OR(B737=リスト!$C$5,B737=リスト!$C$6),COUNTIF($B$9:B737,リスト!$C$5)+COUNTIF($B$9:B737,リスト!$C$6),"")</f>
        <v/>
      </c>
    </row>
    <row r="738" spans="2:9" x14ac:dyDescent="0.2">
      <c r="B738" s="196"/>
      <c r="C738" s="197">
        <v>45464.288599537038</v>
      </c>
      <c r="D738" s="197">
        <v>45464.288923611108</v>
      </c>
      <c r="E738" s="198" t="s">
        <v>244</v>
      </c>
      <c r="F738" s="199"/>
      <c r="G738" s="140" t="e">
        <f ca="1">mif(C738="","",OR(B738=リスト!$C$5,B738=リスト!$C$6),SUM(INDEX(G:G,MATCH(I738-1,I:I,0)+1,1):INDEX(G:G,MATCH(I738,I:I,0)-1,1)),D738-C738)</f>
        <v>#NAME?</v>
      </c>
      <c r="H738" s="140" t="e">
        <f ca="1">mif(C738="","",B738=リスト!$C$5,SUMIF(INDEX(B:B,MATCH(I738-1,I:I,0)+1,1):INDEX(B:B,MATCH(I738,I:I,0)-1,1),リスト!$C$7,INDEX(G:G,MATCH(I738-1,I:I,0)+1,1):INDEX(G:G,MATCH(I738,I:I,0)-1,1)),"")</f>
        <v>#NAME?</v>
      </c>
      <c r="I738" s="200" t="str">
        <f>IF(OR(B738=リスト!$C$5,B738=リスト!$C$6),COUNTIF($B$9:B738,リスト!$C$5)+COUNTIF($B$9:B738,リスト!$C$6),"")</f>
        <v/>
      </c>
    </row>
    <row r="739" spans="2:9" x14ac:dyDescent="0.2">
      <c r="B739" s="196"/>
      <c r="C739" s="197">
        <v>45464.295289351852</v>
      </c>
      <c r="D739" s="197">
        <v>45464.295543981483</v>
      </c>
      <c r="E739" s="198" t="s">
        <v>244</v>
      </c>
      <c r="F739" s="199"/>
      <c r="G739" s="140" t="e">
        <f ca="1">mif(C739="","",OR(B739=リスト!$C$5,B739=リスト!$C$6),SUM(INDEX(G:G,MATCH(I739-1,I:I,0)+1,1):INDEX(G:G,MATCH(I739,I:I,0)-1,1)),D739-C739)</f>
        <v>#NAME?</v>
      </c>
      <c r="H739" s="140" t="e">
        <f ca="1">mif(C739="","",B739=リスト!$C$5,SUMIF(INDEX(B:B,MATCH(I739-1,I:I,0)+1,1):INDEX(B:B,MATCH(I739,I:I,0)-1,1),リスト!$C$7,INDEX(G:G,MATCH(I739-1,I:I,0)+1,1):INDEX(G:G,MATCH(I739,I:I,0)-1,1)),"")</f>
        <v>#NAME?</v>
      </c>
      <c r="I739" s="200" t="str">
        <f>IF(OR(B739=リスト!$C$5,B739=リスト!$C$6),COUNTIF($B$9:B739,リスト!$C$5)+COUNTIF($B$9:B739,リスト!$C$6),"")</f>
        <v/>
      </c>
    </row>
    <row r="740" spans="2:9" x14ac:dyDescent="0.2">
      <c r="B740" s="196"/>
      <c r="C740" s="197">
        <v>45464.337442129632</v>
      </c>
      <c r="D740" s="197">
        <v>45464.337696759256</v>
      </c>
      <c r="E740" s="198" t="s">
        <v>244</v>
      </c>
      <c r="F740" s="199"/>
      <c r="G740" s="140" t="e">
        <f ca="1">mif(C740="","",OR(B740=リスト!$C$5,B740=リスト!$C$6),SUM(INDEX(G:G,MATCH(I740-1,I:I,0)+1,1):INDEX(G:G,MATCH(I740,I:I,0)-1,1)),D740-C740)</f>
        <v>#NAME?</v>
      </c>
      <c r="H740" s="140" t="e">
        <f ca="1">mif(C740="","",B740=リスト!$C$5,SUMIF(INDEX(B:B,MATCH(I740-1,I:I,0)+1,1):INDEX(B:B,MATCH(I740,I:I,0)-1,1),リスト!$C$7,INDEX(G:G,MATCH(I740-1,I:I,0)+1,1):INDEX(G:G,MATCH(I740,I:I,0)-1,1)),"")</f>
        <v>#NAME?</v>
      </c>
      <c r="I740" s="200" t="str">
        <f>IF(OR(B740=リスト!$C$5,B740=リスト!$C$6),COUNTIF($B$9:B740,リスト!$C$5)+COUNTIF($B$9:B740,リスト!$C$6),"")</f>
        <v/>
      </c>
    </row>
    <row r="741" spans="2:9" x14ac:dyDescent="0.2">
      <c r="B741" s="196"/>
      <c r="C741" s="197">
        <v>45464.349131944444</v>
      </c>
      <c r="D741" s="197">
        <v>45464.349386574075</v>
      </c>
      <c r="E741" s="198" t="s">
        <v>244</v>
      </c>
      <c r="F741" s="199"/>
      <c r="G741" s="140" t="e">
        <f ca="1">mif(C741="","",OR(B741=リスト!$C$5,B741=リスト!$C$6),SUM(INDEX(G:G,MATCH(I741-1,I:I,0)+1,1):INDEX(G:G,MATCH(I741,I:I,0)-1,1)),D741-C741)</f>
        <v>#NAME?</v>
      </c>
      <c r="H741" s="140" t="e">
        <f ca="1">mif(C741="","",B741=リスト!$C$5,SUMIF(INDEX(B:B,MATCH(I741-1,I:I,0)+1,1):INDEX(B:B,MATCH(I741,I:I,0)-1,1),リスト!$C$7,INDEX(G:G,MATCH(I741-1,I:I,0)+1,1):INDEX(G:G,MATCH(I741,I:I,0)-1,1)),"")</f>
        <v>#NAME?</v>
      </c>
      <c r="I741" s="200" t="str">
        <f>IF(OR(B741=リスト!$C$5,B741=リスト!$C$6),COUNTIF($B$9:B741,リスト!$C$5)+COUNTIF($B$9:B741,リスト!$C$6),"")</f>
        <v/>
      </c>
    </row>
    <row r="742" spans="2:9" x14ac:dyDescent="0.2">
      <c r="B742" s="196"/>
      <c r="C742" s="197">
        <v>45464.357627314814</v>
      </c>
      <c r="D742" s="197">
        <v>45464.358067129629</v>
      </c>
      <c r="E742" s="198" t="s">
        <v>244</v>
      </c>
      <c r="F742" s="199"/>
      <c r="G742" s="140" t="e">
        <f ca="1">mif(C742="","",OR(B742=リスト!$C$5,B742=リスト!$C$6),SUM(INDEX(G:G,MATCH(I742-1,I:I,0)+1,1):INDEX(G:G,MATCH(I742,I:I,0)-1,1)),D742-C742)</f>
        <v>#NAME?</v>
      </c>
      <c r="H742" s="140" t="e">
        <f ca="1">mif(C742="","",B742=リスト!$C$5,SUMIF(INDEX(B:B,MATCH(I742-1,I:I,0)+1,1):INDEX(B:B,MATCH(I742,I:I,0)-1,1),リスト!$C$7,INDEX(G:G,MATCH(I742-1,I:I,0)+1,1):INDEX(G:G,MATCH(I742,I:I,0)-1,1)),"")</f>
        <v>#NAME?</v>
      </c>
      <c r="I742" s="200" t="str">
        <f>IF(OR(B742=リスト!$C$5,B742=リスト!$C$6),COUNTIF($B$9:B742,リスト!$C$5)+COUNTIF($B$9:B742,リスト!$C$6),"")</f>
        <v/>
      </c>
    </row>
    <row r="743" spans="2:9" x14ac:dyDescent="0.2">
      <c r="B743" s="196"/>
      <c r="C743" s="197">
        <v>45464.359837962962</v>
      </c>
      <c r="D743" s="197">
        <v>45464.360138888886</v>
      </c>
      <c r="E743" s="198" t="s">
        <v>244</v>
      </c>
      <c r="F743" s="199"/>
      <c r="G743" s="140" t="e">
        <f ca="1">mif(C743="","",OR(B743=リスト!$C$5,B743=リスト!$C$6),SUM(INDEX(G:G,MATCH(I743-1,I:I,0)+1,1):INDEX(G:G,MATCH(I743,I:I,0)-1,1)),D743-C743)</f>
        <v>#NAME?</v>
      </c>
      <c r="H743" s="140" t="e">
        <f ca="1">mif(C743="","",B743=リスト!$C$5,SUMIF(INDEX(B:B,MATCH(I743-1,I:I,0)+1,1):INDEX(B:B,MATCH(I743,I:I,0)-1,1),リスト!$C$7,INDEX(G:G,MATCH(I743-1,I:I,0)+1,1):INDEX(G:G,MATCH(I743,I:I,0)-1,1)),"")</f>
        <v>#NAME?</v>
      </c>
      <c r="I743" s="200" t="str">
        <f>IF(OR(B743=リスト!$C$5,B743=リスト!$C$6),COUNTIF($B$9:B743,リスト!$C$5)+COUNTIF($B$9:B743,リスト!$C$6),"")</f>
        <v/>
      </c>
    </row>
    <row r="744" spans="2:9" x14ac:dyDescent="0.2">
      <c r="B744" s="196" t="s">
        <v>247</v>
      </c>
      <c r="C744" s="197">
        <v>45463.916666666664</v>
      </c>
      <c r="D744" s="197">
        <v>45464.416666666664</v>
      </c>
      <c r="E744" s="198">
        <v>16</v>
      </c>
      <c r="F744" s="199"/>
      <c r="G744" s="140" t="e">
        <f ca="1">mif(C744="","",OR(B744=リスト!$C$5,B744=リスト!$C$6),SUM(INDEX(G:G,MATCH(I744-1,I:I,0)+1,1):INDEX(G:G,MATCH(I744,I:I,0)-1,1)),D744-C744)</f>
        <v>#NAME?</v>
      </c>
      <c r="H744" s="140" t="e">
        <f ca="1">mif(C744="","",B744=リスト!$C$5,SUMIF(INDEX(B:B,MATCH(I744-1,I:I,0)+1,1):INDEX(B:B,MATCH(I744,I:I,0)-1,1),リスト!$C$7,INDEX(G:G,MATCH(I744-1,I:I,0)+1,1):INDEX(G:G,MATCH(I744,I:I,0)-1,1)),"")</f>
        <v>#NAME?</v>
      </c>
      <c r="I744" s="200">
        <f>IF(OR(B744=リスト!$C$5,B744=リスト!$C$6),COUNTIF($B$9:B744,リスト!$C$5)+COUNTIF($B$9:B744,リスト!$C$6),"")</f>
        <v>52</v>
      </c>
    </row>
    <row r="745" spans="2:9" x14ac:dyDescent="0.2">
      <c r="B745" s="196"/>
      <c r="C745" s="197">
        <v>45464.463425925926</v>
      </c>
      <c r="D745" s="197">
        <v>45464.46365740741</v>
      </c>
      <c r="E745" s="198" t="s">
        <v>244</v>
      </c>
      <c r="F745" s="199"/>
      <c r="G745" s="140" t="e">
        <f ca="1">mif(C745="","",OR(B745=リスト!$C$5,B745=リスト!$C$6),SUM(INDEX(G:G,MATCH(I745-1,I:I,0)+1,1):INDEX(G:G,MATCH(I745,I:I,0)-1,1)),D745-C745)</f>
        <v>#NAME?</v>
      </c>
      <c r="H745" s="140" t="e">
        <f ca="1">mif(C745="","",B745=リスト!$C$5,SUMIF(INDEX(B:B,MATCH(I745-1,I:I,0)+1,1):INDEX(B:B,MATCH(I745,I:I,0)-1,1),リスト!$C$7,INDEX(G:G,MATCH(I745-1,I:I,0)+1,1):INDEX(G:G,MATCH(I745,I:I,0)-1,1)),"")</f>
        <v>#NAME?</v>
      </c>
      <c r="I745" s="200" t="str">
        <f>IF(OR(B745=リスト!$C$5,B745=リスト!$C$6),COUNTIF($B$9:B745,リスト!$C$5)+COUNTIF($B$9:B745,リスト!$C$6),"")</f>
        <v/>
      </c>
    </row>
    <row r="746" spans="2:9" x14ac:dyDescent="0.2">
      <c r="B746" s="196"/>
      <c r="C746" s="197">
        <v>45464.472870370373</v>
      </c>
      <c r="D746" s="197">
        <v>45464.47314814815</v>
      </c>
      <c r="E746" s="198" t="s">
        <v>244</v>
      </c>
      <c r="F746" s="199"/>
      <c r="G746" s="140" t="e">
        <f ca="1">mif(C746="","",OR(B746=リスト!$C$5,B746=リスト!$C$6),SUM(INDEX(G:G,MATCH(I746-1,I:I,0)+1,1):INDEX(G:G,MATCH(I746,I:I,0)-1,1)),D746-C746)</f>
        <v>#NAME?</v>
      </c>
      <c r="H746" s="140" t="e">
        <f ca="1">mif(C746="","",B746=リスト!$C$5,SUMIF(INDEX(B:B,MATCH(I746-1,I:I,0)+1,1):INDEX(B:B,MATCH(I746,I:I,0)-1,1),リスト!$C$7,INDEX(G:G,MATCH(I746-1,I:I,0)+1,1):INDEX(G:G,MATCH(I746,I:I,0)-1,1)),"")</f>
        <v>#NAME?</v>
      </c>
      <c r="I746" s="200" t="str">
        <f>IF(OR(B746=リスト!$C$5,B746=リスト!$C$6),COUNTIF($B$9:B746,リスト!$C$5)+COUNTIF($B$9:B746,リスト!$C$6),"")</f>
        <v/>
      </c>
    </row>
    <row r="747" spans="2:9" x14ac:dyDescent="0.2">
      <c r="B747" s="196"/>
      <c r="C747" s="197">
        <v>45464.475740740738</v>
      </c>
      <c r="D747" s="197">
        <v>45464.476018518515</v>
      </c>
      <c r="E747" s="198" t="s">
        <v>244</v>
      </c>
      <c r="F747" s="199"/>
      <c r="G747" s="140" t="e">
        <f ca="1">mif(C747="","",OR(B747=リスト!$C$5,B747=リスト!$C$6),SUM(INDEX(G:G,MATCH(I747-1,I:I,0)+1,1):INDEX(G:G,MATCH(I747,I:I,0)-1,1)),D747-C747)</f>
        <v>#NAME?</v>
      </c>
      <c r="H747" s="140" t="e">
        <f ca="1">mif(C747="","",B747=リスト!$C$5,SUMIF(INDEX(B:B,MATCH(I747-1,I:I,0)+1,1):INDEX(B:B,MATCH(I747,I:I,0)-1,1),リスト!$C$7,INDEX(G:G,MATCH(I747-1,I:I,0)+1,1):INDEX(G:G,MATCH(I747,I:I,0)-1,1)),"")</f>
        <v>#NAME?</v>
      </c>
      <c r="I747" s="200" t="str">
        <f>IF(OR(B747=リスト!$C$5,B747=リスト!$C$6),COUNTIF($B$9:B747,リスト!$C$5)+COUNTIF($B$9:B747,リスト!$C$6),"")</f>
        <v/>
      </c>
    </row>
    <row r="748" spans="2:9" x14ac:dyDescent="0.2">
      <c r="B748" s="196"/>
      <c r="C748" s="197">
        <v>45464.488113425927</v>
      </c>
      <c r="D748" s="197">
        <v>45464.488391203704</v>
      </c>
      <c r="E748" s="198" t="s">
        <v>244</v>
      </c>
      <c r="F748" s="199"/>
      <c r="G748" s="140" t="e">
        <f ca="1">mif(C748="","",OR(B748=リスト!$C$5,B748=リスト!$C$6),SUM(INDEX(G:G,MATCH(I748-1,I:I,0)+1,1):INDEX(G:G,MATCH(I748,I:I,0)-1,1)),D748-C748)</f>
        <v>#NAME?</v>
      </c>
      <c r="H748" s="140" t="e">
        <f ca="1">mif(C748="","",B748=リスト!$C$5,SUMIF(INDEX(B:B,MATCH(I748-1,I:I,0)+1,1):INDEX(B:B,MATCH(I748,I:I,0)-1,1),リスト!$C$7,INDEX(G:G,MATCH(I748-1,I:I,0)+1,1):INDEX(G:G,MATCH(I748,I:I,0)-1,1)),"")</f>
        <v>#NAME?</v>
      </c>
      <c r="I748" s="200" t="str">
        <f>IF(OR(B748=リスト!$C$5,B748=リスト!$C$6),COUNTIF($B$9:B748,リスト!$C$5)+COUNTIF($B$9:B748,リスト!$C$6),"")</f>
        <v/>
      </c>
    </row>
    <row r="749" spans="2:9" x14ac:dyDescent="0.2">
      <c r="B749" s="196"/>
      <c r="C749" s="197">
        <v>45464.489016203705</v>
      </c>
      <c r="D749" s="197">
        <v>45464.489270833335</v>
      </c>
      <c r="E749" s="198" t="s">
        <v>244</v>
      </c>
      <c r="F749" s="199"/>
      <c r="G749" s="140" t="e">
        <f ca="1">mif(C749="","",OR(B749=リスト!$C$5,B749=リスト!$C$6),SUM(INDEX(G:G,MATCH(I749-1,I:I,0)+1,1):INDEX(G:G,MATCH(I749,I:I,0)-1,1)),D749-C749)</f>
        <v>#NAME?</v>
      </c>
      <c r="H749" s="140" t="e">
        <f ca="1">mif(C749="","",B749=リスト!$C$5,SUMIF(INDEX(B:B,MATCH(I749-1,I:I,0)+1,1):INDEX(B:B,MATCH(I749,I:I,0)-1,1),リスト!$C$7,INDEX(G:G,MATCH(I749-1,I:I,0)+1,1):INDEX(G:G,MATCH(I749,I:I,0)-1,1)),"")</f>
        <v>#NAME?</v>
      </c>
      <c r="I749" s="200" t="str">
        <f>IF(OR(B749=リスト!$C$5,B749=リスト!$C$6),COUNTIF($B$9:B749,リスト!$C$5)+COUNTIF($B$9:B749,リスト!$C$6),"")</f>
        <v/>
      </c>
    </row>
    <row r="750" spans="2:9" x14ac:dyDescent="0.2">
      <c r="B750" s="196"/>
      <c r="C750" s="197">
        <v>45464.593900462962</v>
      </c>
      <c r="D750" s="197">
        <v>45464.594201388885</v>
      </c>
      <c r="E750" s="198" t="s">
        <v>244</v>
      </c>
      <c r="F750" s="199"/>
      <c r="G750" s="140" t="e">
        <f ca="1">mif(C750="","",OR(B750=リスト!$C$5,B750=リスト!$C$6),SUM(INDEX(G:G,MATCH(I750-1,I:I,0)+1,1):INDEX(G:G,MATCH(I750,I:I,0)-1,1)),D750-C750)</f>
        <v>#NAME?</v>
      </c>
      <c r="H750" s="140" t="e">
        <f ca="1">mif(C750="","",B750=リスト!$C$5,SUMIF(INDEX(B:B,MATCH(I750-1,I:I,0)+1,1):INDEX(B:B,MATCH(I750,I:I,0)-1,1),リスト!$C$7,INDEX(G:G,MATCH(I750-1,I:I,0)+1,1):INDEX(G:G,MATCH(I750,I:I,0)-1,1)),"")</f>
        <v>#NAME?</v>
      </c>
      <c r="I750" s="200" t="str">
        <f>IF(OR(B750=リスト!$C$5,B750=リスト!$C$6),COUNTIF($B$9:B750,リスト!$C$5)+COUNTIF($B$9:B750,リスト!$C$6),"")</f>
        <v/>
      </c>
    </row>
    <row r="751" spans="2:9" x14ac:dyDescent="0.2">
      <c r="B751" s="196"/>
      <c r="C751" s="197">
        <v>45464.612488425926</v>
      </c>
      <c r="D751" s="197">
        <v>45464.612743055557</v>
      </c>
      <c r="E751" s="198" t="s">
        <v>244</v>
      </c>
      <c r="F751" s="199"/>
      <c r="G751" s="140" t="e">
        <f ca="1">mif(C751="","",OR(B751=リスト!$C$5,B751=リスト!$C$6),SUM(INDEX(G:G,MATCH(I751-1,I:I,0)+1,1):INDEX(G:G,MATCH(I751,I:I,0)-1,1)),D751-C751)</f>
        <v>#NAME?</v>
      </c>
      <c r="H751" s="140" t="e">
        <f ca="1">mif(C751="","",B751=リスト!$C$5,SUMIF(INDEX(B:B,MATCH(I751-1,I:I,0)+1,1):INDEX(B:B,MATCH(I751,I:I,0)-1,1),リスト!$C$7,INDEX(G:G,MATCH(I751-1,I:I,0)+1,1):INDEX(G:G,MATCH(I751,I:I,0)-1,1)),"")</f>
        <v>#NAME?</v>
      </c>
      <c r="I751" s="200" t="str">
        <f>IF(OR(B751=リスト!$C$5,B751=リスト!$C$6),COUNTIF($B$9:B751,リスト!$C$5)+COUNTIF($B$9:B751,リスト!$C$6),"")</f>
        <v/>
      </c>
    </row>
    <row r="752" spans="2:9" x14ac:dyDescent="0.2">
      <c r="B752" s="196"/>
      <c r="C752" s="197">
        <v>45464.629606481481</v>
      </c>
      <c r="D752" s="197">
        <v>45464.629953703705</v>
      </c>
      <c r="E752" s="198" t="s">
        <v>244</v>
      </c>
      <c r="F752" s="199"/>
      <c r="G752" s="140" t="e">
        <f ca="1">mif(C752="","",OR(B752=リスト!$C$5,B752=リスト!$C$6),SUM(INDEX(G:G,MATCH(I752-1,I:I,0)+1,1):INDEX(G:G,MATCH(I752,I:I,0)-1,1)),D752-C752)</f>
        <v>#NAME?</v>
      </c>
      <c r="H752" s="140" t="e">
        <f ca="1">mif(C752="","",B752=リスト!$C$5,SUMIF(INDEX(B:B,MATCH(I752-1,I:I,0)+1,1):INDEX(B:B,MATCH(I752,I:I,0)-1,1),リスト!$C$7,INDEX(G:G,MATCH(I752-1,I:I,0)+1,1):INDEX(G:G,MATCH(I752,I:I,0)-1,1)),"")</f>
        <v>#NAME?</v>
      </c>
      <c r="I752" s="200" t="str">
        <f>IF(OR(B752=リスト!$C$5,B752=リスト!$C$6),COUNTIF($B$9:B752,リスト!$C$5)+COUNTIF($B$9:B752,リスト!$C$6),"")</f>
        <v/>
      </c>
    </row>
    <row r="753" spans="2:9" x14ac:dyDescent="0.2">
      <c r="B753" s="196"/>
      <c r="C753" s="197">
        <v>45464.634560185186</v>
      </c>
      <c r="D753" s="197">
        <v>45464.635682870372</v>
      </c>
      <c r="E753" s="198" t="s">
        <v>244</v>
      </c>
      <c r="F753" s="199"/>
      <c r="G753" s="140" t="e">
        <f ca="1">mif(C753="","",OR(B753=リスト!$C$5,B753=リスト!$C$6),SUM(INDEX(G:G,MATCH(I753-1,I:I,0)+1,1):INDEX(G:G,MATCH(I753,I:I,0)-1,1)),D753-C753)</f>
        <v>#NAME?</v>
      </c>
      <c r="H753" s="140" t="e">
        <f ca="1">mif(C753="","",B753=リスト!$C$5,SUMIF(INDEX(B:B,MATCH(I753-1,I:I,0)+1,1):INDEX(B:B,MATCH(I753,I:I,0)-1,1),リスト!$C$7,INDEX(G:G,MATCH(I753-1,I:I,0)+1,1):INDEX(G:G,MATCH(I753,I:I,0)-1,1)),"")</f>
        <v>#NAME?</v>
      </c>
      <c r="I753" s="200" t="str">
        <f>IF(OR(B753=リスト!$C$5,B753=リスト!$C$6),COUNTIF($B$9:B753,リスト!$C$5)+COUNTIF($B$9:B753,リスト!$C$6),"")</f>
        <v/>
      </c>
    </row>
    <row r="754" spans="2:9" x14ac:dyDescent="0.2">
      <c r="B754" s="196"/>
      <c r="C754" s="197">
        <v>45464.685416666667</v>
      </c>
      <c r="D754" s="197">
        <v>45464.685717592591</v>
      </c>
      <c r="E754" s="198" t="s">
        <v>244</v>
      </c>
      <c r="F754" s="199"/>
      <c r="G754" s="140" t="e">
        <f ca="1">mif(C754="","",OR(B754=リスト!$C$5,B754=リスト!$C$6),SUM(INDEX(G:G,MATCH(I754-1,I:I,0)+1,1):INDEX(G:G,MATCH(I754,I:I,0)-1,1)),D754-C754)</f>
        <v>#NAME?</v>
      </c>
      <c r="H754" s="140" t="e">
        <f ca="1">mif(C754="","",B754=リスト!$C$5,SUMIF(INDEX(B:B,MATCH(I754-1,I:I,0)+1,1):INDEX(B:B,MATCH(I754,I:I,0)-1,1),リスト!$C$7,INDEX(G:G,MATCH(I754-1,I:I,0)+1,1):INDEX(G:G,MATCH(I754,I:I,0)-1,1)),"")</f>
        <v>#NAME?</v>
      </c>
      <c r="I754" s="200" t="str">
        <f>IF(OR(B754=リスト!$C$5,B754=リスト!$C$6),COUNTIF($B$9:B754,リスト!$C$5)+COUNTIF($B$9:B754,リスト!$C$6),"")</f>
        <v/>
      </c>
    </row>
    <row r="755" spans="2:9" x14ac:dyDescent="0.2">
      <c r="B755" s="196"/>
      <c r="C755" s="197">
        <v>45464.696747685186</v>
      </c>
      <c r="D755" s="197">
        <v>45464.697048611109</v>
      </c>
      <c r="E755" s="198" t="s">
        <v>244</v>
      </c>
      <c r="F755" s="199"/>
      <c r="G755" s="140" t="e">
        <f ca="1">mif(C755="","",OR(B755=リスト!$C$5,B755=リスト!$C$6),SUM(INDEX(G:G,MATCH(I755-1,I:I,0)+1,1):INDEX(G:G,MATCH(I755,I:I,0)-1,1)),D755-C755)</f>
        <v>#NAME?</v>
      </c>
      <c r="H755" s="140" t="e">
        <f ca="1">mif(C755="","",B755=リスト!$C$5,SUMIF(INDEX(B:B,MATCH(I755-1,I:I,0)+1,1):INDEX(B:B,MATCH(I755,I:I,0)-1,1),リスト!$C$7,INDEX(G:G,MATCH(I755-1,I:I,0)+1,1):INDEX(G:G,MATCH(I755,I:I,0)-1,1)),"")</f>
        <v>#NAME?</v>
      </c>
      <c r="I755" s="200" t="str">
        <f>IF(OR(B755=リスト!$C$5,B755=リスト!$C$6),COUNTIF($B$9:B755,リスト!$C$5)+COUNTIF($B$9:B755,リスト!$C$6),"")</f>
        <v/>
      </c>
    </row>
    <row r="756" spans="2:9" x14ac:dyDescent="0.2">
      <c r="B756" s="196"/>
      <c r="C756" s="197">
        <v>45464.713043981479</v>
      </c>
      <c r="D756" s="197">
        <v>45464.713321759256</v>
      </c>
      <c r="E756" s="198" t="s">
        <v>244</v>
      </c>
      <c r="F756" s="199"/>
      <c r="G756" s="140" t="e">
        <f ca="1">mif(C756="","",OR(B756=リスト!$C$5,B756=リスト!$C$6),SUM(INDEX(G:G,MATCH(I756-1,I:I,0)+1,1):INDEX(G:G,MATCH(I756,I:I,0)-1,1)),D756-C756)</f>
        <v>#NAME?</v>
      </c>
      <c r="H756" s="140" t="e">
        <f ca="1">mif(C756="","",B756=リスト!$C$5,SUMIF(INDEX(B:B,MATCH(I756-1,I:I,0)+1,1):INDEX(B:B,MATCH(I756,I:I,0)-1,1),リスト!$C$7,INDEX(G:G,MATCH(I756-1,I:I,0)+1,1):INDEX(G:G,MATCH(I756,I:I,0)-1,1)),"")</f>
        <v>#NAME?</v>
      </c>
      <c r="I756" s="200" t="str">
        <f>IF(OR(B756=リスト!$C$5,B756=リスト!$C$6),COUNTIF($B$9:B756,リスト!$C$5)+COUNTIF($B$9:B756,リスト!$C$6),"")</f>
        <v/>
      </c>
    </row>
    <row r="757" spans="2:9" x14ac:dyDescent="0.2">
      <c r="B757" s="196"/>
      <c r="C757" s="197">
        <v>45464.716365740744</v>
      </c>
      <c r="D757" s="197">
        <v>45464.716666666667</v>
      </c>
      <c r="E757" s="198" t="s">
        <v>244</v>
      </c>
      <c r="F757" s="199"/>
      <c r="G757" s="140" t="e">
        <f ca="1">mif(C757="","",OR(B757=リスト!$C$5,B757=リスト!$C$6),SUM(INDEX(G:G,MATCH(I757-1,I:I,0)+1,1):INDEX(G:G,MATCH(I757,I:I,0)-1,1)),D757-C757)</f>
        <v>#NAME?</v>
      </c>
      <c r="H757" s="140" t="e">
        <f ca="1">mif(C757="","",B757=リスト!$C$5,SUMIF(INDEX(B:B,MATCH(I757-1,I:I,0)+1,1):INDEX(B:B,MATCH(I757,I:I,0)-1,1),リスト!$C$7,INDEX(G:G,MATCH(I757-1,I:I,0)+1,1):INDEX(G:G,MATCH(I757,I:I,0)-1,1)),"")</f>
        <v>#NAME?</v>
      </c>
      <c r="I757" s="200" t="str">
        <f>IF(OR(B757=リスト!$C$5,B757=リスト!$C$6),COUNTIF($B$9:B757,リスト!$C$5)+COUNTIF($B$9:B757,リスト!$C$6),"")</f>
        <v/>
      </c>
    </row>
    <row r="758" spans="2:9" x14ac:dyDescent="0.2">
      <c r="B758" s="196"/>
      <c r="C758" s="197">
        <v>45464.756099537037</v>
      </c>
      <c r="D758" s="197">
        <v>45464.756377314814</v>
      </c>
      <c r="E758" s="198" t="s">
        <v>244</v>
      </c>
      <c r="F758" s="199"/>
      <c r="G758" s="140" t="e">
        <f ca="1">mif(C758="","",OR(B758=リスト!$C$5,B758=リスト!$C$6),SUM(INDEX(G:G,MATCH(I758-1,I:I,0)+1,1):INDEX(G:G,MATCH(I758,I:I,0)-1,1)),D758-C758)</f>
        <v>#NAME?</v>
      </c>
      <c r="H758" s="140" t="e">
        <f ca="1">mif(C758="","",B758=リスト!$C$5,SUMIF(INDEX(B:B,MATCH(I758-1,I:I,0)+1,1):INDEX(B:B,MATCH(I758,I:I,0)-1,1),リスト!$C$7,INDEX(G:G,MATCH(I758-1,I:I,0)+1,1):INDEX(G:G,MATCH(I758,I:I,0)-1,1)),"")</f>
        <v>#NAME?</v>
      </c>
      <c r="I758" s="200" t="str">
        <f>IF(OR(B758=リスト!$C$5,B758=リスト!$C$6),COUNTIF($B$9:B758,リスト!$C$5)+COUNTIF($B$9:B758,リスト!$C$6),"")</f>
        <v/>
      </c>
    </row>
    <row r="759" spans="2:9" x14ac:dyDescent="0.2">
      <c r="B759" s="196"/>
      <c r="C759" s="197">
        <v>45464.784953703704</v>
      </c>
      <c r="D759" s="197">
        <v>45464.785231481481</v>
      </c>
      <c r="E759" s="198" t="s">
        <v>244</v>
      </c>
      <c r="F759" s="199"/>
      <c r="G759" s="140" t="e">
        <f ca="1">mif(C759="","",OR(B759=リスト!$C$5,B759=リスト!$C$6),SUM(INDEX(G:G,MATCH(I759-1,I:I,0)+1,1):INDEX(G:G,MATCH(I759,I:I,0)-1,1)),D759-C759)</f>
        <v>#NAME?</v>
      </c>
      <c r="H759" s="140" t="e">
        <f ca="1">mif(C759="","",B759=リスト!$C$5,SUMIF(INDEX(B:B,MATCH(I759-1,I:I,0)+1,1):INDEX(B:B,MATCH(I759,I:I,0)-1,1),リスト!$C$7,INDEX(G:G,MATCH(I759-1,I:I,0)+1,1):INDEX(G:G,MATCH(I759,I:I,0)-1,1)),"")</f>
        <v>#NAME?</v>
      </c>
      <c r="I759" s="200" t="str">
        <f>IF(OR(B759=リスト!$C$5,B759=リスト!$C$6),COUNTIF($B$9:B759,リスト!$C$5)+COUNTIF($B$9:B759,リスト!$C$6),"")</f>
        <v/>
      </c>
    </row>
    <row r="760" spans="2:9" x14ac:dyDescent="0.2">
      <c r="B760" s="196"/>
      <c r="C760" s="197">
        <v>45464.800381944442</v>
      </c>
      <c r="D760" s="197">
        <v>45464.800706018519</v>
      </c>
      <c r="E760" s="198" t="s">
        <v>244</v>
      </c>
      <c r="F760" s="199"/>
      <c r="G760" s="140" t="e">
        <f ca="1">mif(C760="","",OR(B760=リスト!$C$5,B760=リスト!$C$6),SUM(INDEX(G:G,MATCH(I760-1,I:I,0)+1,1):INDEX(G:G,MATCH(I760,I:I,0)-1,1)),D760-C760)</f>
        <v>#NAME?</v>
      </c>
      <c r="H760" s="140" t="e">
        <f ca="1">mif(C760="","",B760=リスト!$C$5,SUMIF(INDEX(B:B,MATCH(I760-1,I:I,0)+1,1):INDEX(B:B,MATCH(I760,I:I,0)-1,1),リスト!$C$7,INDEX(G:G,MATCH(I760-1,I:I,0)+1,1):INDEX(G:G,MATCH(I760,I:I,0)-1,1)),"")</f>
        <v>#NAME?</v>
      </c>
      <c r="I760" s="200" t="str">
        <f>IF(OR(B760=リスト!$C$5,B760=リスト!$C$6),COUNTIF($B$9:B760,リスト!$C$5)+COUNTIF($B$9:B760,リスト!$C$6),"")</f>
        <v/>
      </c>
    </row>
    <row r="761" spans="2:9" x14ac:dyDescent="0.2">
      <c r="B761" s="196"/>
      <c r="C761" s="197">
        <v>45464.811608796299</v>
      </c>
      <c r="D761" s="197">
        <v>45464.811886574076</v>
      </c>
      <c r="E761" s="198" t="s">
        <v>244</v>
      </c>
      <c r="F761" s="199"/>
      <c r="G761" s="140" t="e">
        <f ca="1">mif(C761="","",OR(B761=リスト!$C$5,B761=リスト!$C$6),SUM(INDEX(G:G,MATCH(I761-1,I:I,0)+1,1):INDEX(G:G,MATCH(I761,I:I,0)-1,1)),D761-C761)</f>
        <v>#NAME?</v>
      </c>
      <c r="H761" s="140" t="e">
        <f ca="1">mif(C761="","",B761=リスト!$C$5,SUMIF(INDEX(B:B,MATCH(I761-1,I:I,0)+1,1):INDEX(B:B,MATCH(I761,I:I,0)-1,1),リスト!$C$7,INDEX(G:G,MATCH(I761-1,I:I,0)+1,1):INDEX(G:G,MATCH(I761,I:I,0)-1,1)),"")</f>
        <v>#NAME?</v>
      </c>
      <c r="I761" s="200" t="str">
        <f>IF(OR(B761=リスト!$C$5,B761=リスト!$C$6),COUNTIF($B$9:B761,リスト!$C$5)+COUNTIF($B$9:B761,リスト!$C$6),"")</f>
        <v/>
      </c>
    </row>
    <row r="762" spans="2:9" x14ac:dyDescent="0.2">
      <c r="B762" s="196"/>
      <c r="C762" s="197">
        <v>45464.814618055556</v>
      </c>
      <c r="D762" s="197">
        <v>45464.814918981479</v>
      </c>
      <c r="E762" s="198" t="s">
        <v>244</v>
      </c>
      <c r="F762" s="199"/>
      <c r="G762" s="140" t="e">
        <f ca="1">mif(C762="","",OR(B762=リスト!$C$5,B762=リスト!$C$6),SUM(INDEX(G:G,MATCH(I762-1,I:I,0)+1,1):INDEX(G:G,MATCH(I762,I:I,0)-1,1)),D762-C762)</f>
        <v>#NAME?</v>
      </c>
      <c r="H762" s="140" t="e">
        <f ca="1">mif(C762="","",B762=リスト!$C$5,SUMIF(INDEX(B:B,MATCH(I762-1,I:I,0)+1,1):INDEX(B:B,MATCH(I762,I:I,0)-1,1),リスト!$C$7,INDEX(G:G,MATCH(I762-1,I:I,0)+1,1):INDEX(G:G,MATCH(I762,I:I,0)-1,1)),"")</f>
        <v>#NAME?</v>
      </c>
      <c r="I762" s="200" t="str">
        <f>IF(OR(B762=リスト!$C$5,B762=リスト!$C$6),COUNTIF($B$9:B762,リスト!$C$5)+COUNTIF($B$9:B762,リスト!$C$6),"")</f>
        <v/>
      </c>
    </row>
    <row r="763" spans="2:9" x14ac:dyDescent="0.2">
      <c r="B763" s="196"/>
      <c r="C763" s="197">
        <v>45464.870578703703</v>
      </c>
      <c r="D763" s="197">
        <v>45464.870925925927</v>
      </c>
      <c r="E763" s="198" t="s">
        <v>244</v>
      </c>
      <c r="F763" s="199"/>
      <c r="G763" s="140" t="e">
        <f ca="1">mif(C763="","",OR(B763=リスト!$C$5,B763=リスト!$C$6),SUM(INDEX(G:G,MATCH(I763-1,I:I,0)+1,1):INDEX(G:G,MATCH(I763,I:I,0)-1,1)),D763-C763)</f>
        <v>#NAME?</v>
      </c>
      <c r="H763" s="140" t="e">
        <f ca="1">mif(C763="","",B763=リスト!$C$5,SUMIF(INDEX(B:B,MATCH(I763-1,I:I,0)+1,1):INDEX(B:B,MATCH(I763,I:I,0)-1,1),リスト!$C$7,INDEX(G:G,MATCH(I763-1,I:I,0)+1,1):INDEX(G:G,MATCH(I763,I:I,0)-1,1)),"")</f>
        <v>#NAME?</v>
      </c>
      <c r="I763" s="200" t="str">
        <f>IF(OR(B763=リスト!$C$5,B763=リスト!$C$6),COUNTIF($B$9:B763,リスト!$C$5)+COUNTIF($B$9:B763,リスト!$C$6),"")</f>
        <v/>
      </c>
    </row>
    <row r="764" spans="2:9" x14ac:dyDescent="0.2">
      <c r="B764" s="196"/>
      <c r="C764" s="197">
        <v>45464.874560185184</v>
      </c>
      <c r="D764" s="197">
        <v>45464.874814814815</v>
      </c>
      <c r="E764" s="198" t="s">
        <v>244</v>
      </c>
      <c r="F764" s="199"/>
      <c r="G764" s="140" t="e">
        <f ca="1">mif(C764="","",OR(B764=リスト!$C$5,B764=リスト!$C$6),SUM(INDEX(G:G,MATCH(I764-1,I:I,0)+1,1):INDEX(G:G,MATCH(I764,I:I,0)-1,1)),D764-C764)</f>
        <v>#NAME?</v>
      </c>
      <c r="H764" s="140" t="e">
        <f ca="1">mif(C764="","",B764=リスト!$C$5,SUMIF(INDEX(B:B,MATCH(I764-1,I:I,0)+1,1):INDEX(B:B,MATCH(I764,I:I,0)-1,1),リスト!$C$7,INDEX(G:G,MATCH(I764-1,I:I,0)+1,1):INDEX(G:G,MATCH(I764,I:I,0)-1,1)),"")</f>
        <v>#NAME?</v>
      </c>
      <c r="I764" s="200" t="str">
        <f>IF(OR(B764=リスト!$C$5,B764=リスト!$C$6),COUNTIF($B$9:B764,リスト!$C$5)+COUNTIF($B$9:B764,リスト!$C$6),"")</f>
        <v/>
      </c>
    </row>
    <row r="765" spans="2:9" x14ac:dyDescent="0.2">
      <c r="B765" s="196" t="s">
        <v>247</v>
      </c>
      <c r="C765" s="197">
        <v>45464.416666666664</v>
      </c>
      <c r="D765" s="197">
        <v>45464.916666666664</v>
      </c>
      <c r="E765" s="198">
        <v>20</v>
      </c>
      <c r="F765" s="199"/>
      <c r="G765" s="140" t="e">
        <f ca="1">mif(C765="","",OR(B765=リスト!$C$5,B765=リスト!$C$6),SUM(INDEX(G:G,MATCH(I765-1,I:I,0)+1,1):INDEX(G:G,MATCH(I765,I:I,0)-1,1)),D765-C765)</f>
        <v>#NAME?</v>
      </c>
      <c r="H765" s="140" t="e">
        <f ca="1">mif(C765="","",B765=リスト!$C$5,SUMIF(INDEX(B:B,MATCH(I765-1,I:I,0)+1,1):INDEX(B:B,MATCH(I765,I:I,0)-1,1),リスト!$C$7,INDEX(G:G,MATCH(I765-1,I:I,0)+1,1):INDEX(G:G,MATCH(I765,I:I,0)-1,1)),"")</f>
        <v>#NAME?</v>
      </c>
      <c r="I765" s="200">
        <f>IF(OR(B765=リスト!$C$5,B765=リスト!$C$6),COUNTIF($B$9:B765,リスト!$C$5)+COUNTIF($B$9:B765,リスト!$C$6),"")</f>
        <v>53</v>
      </c>
    </row>
    <row r="766" spans="2:9" x14ac:dyDescent="0.2">
      <c r="B766" s="196"/>
      <c r="C766" s="197">
        <v>45464.951423611114</v>
      </c>
      <c r="D766" s="197">
        <v>45464.951724537037</v>
      </c>
      <c r="E766" s="198" t="s">
        <v>244</v>
      </c>
      <c r="F766" s="199"/>
      <c r="G766" s="140" t="e">
        <f ca="1">mif(C766="","",OR(B766=リスト!$C$5,B766=リスト!$C$6),SUM(INDEX(G:G,MATCH(I766-1,I:I,0)+1,1):INDEX(G:G,MATCH(I766,I:I,0)-1,1)),D766-C766)</f>
        <v>#NAME?</v>
      </c>
      <c r="H766" s="140" t="e">
        <f ca="1">mif(C766="","",B766=リスト!$C$5,SUMIF(INDEX(B:B,MATCH(I766-1,I:I,0)+1,1):INDEX(B:B,MATCH(I766,I:I,0)-1,1),リスト!$C$7,INDEX(G:G,MATCH(I766-1,I:I,0)+1,1):INDEX(G:G,MATCH(I766,I:I,0)-1,1)),"")</f>
        <v>#NAME?</v>
      </c>
      <c r="I766" s="200" t="str">
        <f>IF(OR(B766=リスト!$C$5,B766=リスト!$C$6),COUNTIF($B$9:B766,リスト!$C$5)+COUNTIF($B$9:B766,リスト!$C$6),"")</f>
        <v/>
      </c>
    </row>
    <row r="767" spans="2:9" x14ac:dyDescent="0.2">
      <c r="B767" s="196"/>
      <c r="C767" s="197">
        <v>45464.981203703705</v>
      </c>
      <c r="D767" s="197">
        <v>45464.981504629628</v>
      </c>
      <c r="E767" s="198" t="s">
        <v>244</v>
      </c>
      <c r="F767" s="199"/>
      <c r="G767" s="140" t="e">
        <f ca="1">mif(C767="","",OR(B767=リスト!$C$5,B767=リスト!$C$6),SUM(INDEX(G:G,MATCH(I767-1,I:I,0)+1,1):INDEX(G:G,MATCH(I767,I:I,0)-1,1)),D767-C767)</f>
        <v>#NAME?</v>
      </c>
      <c r="H767" s="140" t="e">
        <f ca="1">mif(C767="","",B767=リスト!$C$5,SUMIF(INDEX(B:B,MATCH(I767-1,I:I,0)+1,1):INDEX(B:B,MATCH(I767,I:I,0)-1,1),リスト!$C$7,INDEX(G:G,MATCH(I767-1,I:I,0)+1,1):INDEX(G:G,MATCH(I767,I:I,0)-1,1)),"")</f>
        <v>#NAME?</v>
      </c>
      <c r="I767" s="200" t="str">
        <f>IF(OR(B767=リスト!$C$5,B767=リスト!$C$6),COUNTIF($B$9:B767,リスト!$C$5)+COUNTIF($B$9:B767,リスト!$C$6),"")</f>
        <v/>
      </c>
    </row>
    <row r="768" spans="2:9" x14ac:dyDescent="0.2">
      <c r="B768" s="196"/>
      <c r="C768" s="197">
        <v>45465.017557870371</v>
      </c>
      <c r="D768" s="197">
        <v>45465.017881944441</v>
      </c>
      <c r="E768" s="198" t="s">
        <v>244</v>
      </c>
      <c r="F768" s="199"/>
      <c r="G768" s="140" t="e">
        <f ca="1">mif(C768="","",OR(B768=リスト!$C$5,B768=リスト!$C$6),SUM(INDEX(G:G,MATCH(I768-1,I:I,0)+1,1):INDEX(G:G,MATCH(I768,I:I,0)-1,1)),D768-C768)</f>
        <v>#NAME?</v>
      </c>
      <c r="H768" s="140" t="e">
        <f ca="1">mif(C768="","",B768=リスト!$C$5,SUMIF(INDEX(B:B,MATCH(I768-1,I:I,0)+1,1):INDEX(B:B,MATCH(I768,I:I,0)-1,1),リスト!$C$7,INDEX(G:G,MATCH(I768-1,I:I,0)+1,1):INDEX(G:G,MATCH(I768,I:I,0)-1,1)),"")</f>
        <v>#NAME?</v>
      </c>
      <c r="I768" s="200" t="str">
        <f>IF(OR(B768=リスト!$C$5,B768=リスト!$C$6),COUNTIF($B$9:B768,リスト!$C$5)+COUNTIF($B$9:B768,リスト!$C$6),"")</f>
        <v/>
      </c>
    </row>
    <row r="769" spans="2:9" x14ac:dyDescent="0.2">
      <c r="B769" s="196"/>
      <c r="C769" s="197">
        <v>45465.025439814817</v>
      </c>
      <c r="D769" s="197">
        <v>45465.025879629633</v>
      </c>
      <c r="E769" s="198" t="s">
        <v>244</v>
      </c>
      <c r="F769" s="199"/>
      <c r="G769" s="140" t="e">
        <f ca="1">mif(C769="","",OR(B769=リスト!$C$5,B769=リスト!$C$6),SUM(INDEX(G:G,MATCH(I769-1,I:I,0)+1,1):INDEX(G:G,MATCH(I769,I:I,0)-1,1)),D769-C769)</f>
        <v>#NAME?</v>
      </c>
      <c r="H769" s="140" t="e">
        <f ca="1">mif(C769="","",B769=リスト!$C$5,SUMIF(INDEX(B:B,MATCH(I769-1,I:I,0)+1,1):INDEX(B:B,MATCH(I769,I:I,0)-1,1),リスト!$C$7,INDEX(G:G,MATCH(I769-1,I:I,0)+1,1):INDEX(G:G,MATCH(I769,I:I,0)-1,1)),"")</f>
        <v>#NAME?</v>
      </c>
      <c r="I769" s="200" t="str">
        <f>IF(OR(B769=リスト!$C$5,B769=リスト!$C$6),COUNTIF($B$9:B769,リスト!$C$5)+COUNTIF($B$9:B769,リスト!$C$6),"")</f>
        <v/>
      </c>
    </row>
    <row r="770" spans="2:9" x14ac:dyDescent="0.2">
      <c r="B770" s="196"/>
      <c r="C770" s="197">
        <v>45465.056006944447</v>
      </c>
      <c r="D770" s="197">
        <v>45465.056284722225</v>
      </c>
      <c r="E770" s="198" t="s">
        <v>244</v>
      </c>
      <c r="F770" s="199"/>
      <c r="G770" s="140" t="e">
        <f ca="1">mif(C770="","",OR(B770=リスト!$C$5,B770=リスト!$C$6),SUM(INDEX(G:G,MATCH(I770-1,I:I,0)+1,1):INDEX(G:G,MATCH(I770,I:I,0)-1,1)),D770-C770)</f>
        <v>#NAME?</v>
      </c>
      <c r="H770" s="140" t="e">
        <f ca="1">mif(C770="","",B770=リスト!$C$5,SUMIF(INDEX(B:B,MATCH(I770-1,I:I,0)+1,1):INDEX(B:B,MATCH(I770,I:I,0)-1,1),リスト!$C$7,INDEX(G:G,MATCH(I770-1,I:I,0)+1,1):INDEX(G:G,MATCH(I770,I:I,0)-1,1)),"")</f>
        <v>#NAME?</v>
      </c>
      <c r="I770" s="200" t="str">
        <f>IF(OR(B770=リスト!$C$5,B770=リスト!$C$6),COUNTIF($B$9:B770,リスト!$C$5)+COUNTIF($B$9:B770,リスト!$C$6),"")</f>
        <v/>
      </c>
    </row>
    <row r="771" spans="2:9" x14ac:dyDescent="0.2">
      <c r="B771" s="196"/>
      <c r="C771" s="197">
        <v>45465.090208333335</v>
      </c>
      <c r="D771" s="197">
        <v>45465.090486111112</v>
      </c>
      <c r="E771" s="198" t="s">
        <v>244</v>
      </c>
      <c r="F771" s="199"/>
      <c r="G771" s="140" t="e">
        <f ca="1">mif(C771="","",OR(B771=リスト!$C$5,B771=リスト!$C$6),SUM(INDEX(G:G,MATCH(I771-1,I:I,0)+1,1):INDEX(G:G,MATCH(I771,I:I,0)-1,1)),D771-C771)</f>
        <v>#NAME?</v>
      </c>
      <c r="H771" s="140" t="e">
        <f ca="1">mif(C771="","",B771=リスト!$C$5,SUMIF(INDEX(B:B,MATCH(I771-1,I:I,0)+1,1):INDEX(B:B,MATCH(I771,I:I,0)-1,1),リスト!$C$7,INDEX(G:G,MATCH(I771-1,I:I,0)+1,1):INDEX(G:G,MATCH(I771,I:I,0)-1,1)),"")</f>
        <v>#NAME?</v>
      </c>
      <c r="I771" s="200" t="str">
        <f>IF(OR(B771=リスト!$C$5,B771=リスト!$C$6),COUNTIF($B$9:B771,リスト!$C$5)+COUNTIF($B$9:B771,リスト!$C$6),"")</f>
        <v/>
      </c>
    </row>
    <row r="772" spans="2:9" x14ac:dyDescent="0.2">
      <c r="B772" s="196"/>
      <c r="C772" s="197">
        <v>45465.092013888891</v>
      </c>
      <c r="D772" s="197">
        <v>45465.092291666668</v>
      </c>
      <c r="E772" s="198" t="s">
        <v>244</v>
      </c>
      <c r="F772" s="199"/>
      <c r="G772" s="140" t="e">
        <f ca="1">mif(C772="","",OR(B772=リスト!$C$5,B772=リスト!$C$6),SUM(INDEX(G:G,MATCH(I772-1,I:I,0)+1,1):INDEX(G:G,MATCH(I772,I:I,0)-1,1)),D772-C772)</f>
        <v>#NAME?</v>
      </c>
      <c r="H772" s="140" t="e">
        <f ca="1">mif(C772="","",B772=リスト!$C$5,SUMIF(INDEX(B:B,MATCH(I772-1,I:I,0)+1,1):INDEX(B:B,MATCH(I772,I:I,0)-1,1),リスト!$C$7,INDEX(G:G,MATCH(I772-1,I:I,0)+1,1):INDEX(G:G,MATCH(I772,I:I,0)-1,1)),"")</f>
        <v>#NAME?</v>
      </c>
      <c r="I772" s="200" t="str">
        <f>IF(OR(B772=リスト!$C$5,B772=リスト!$C$6),COUNTIF($B$9:B772,リスト!$C$5)+COUNTIF($B$9:B772,リスト!$C$6),"")</f>
        <v/>
      </c>
    </row>
    <row r="773" spans="2:9" x14ac:dyDescent="0.2">
      <c r="B773" s="196"/>
      <c r="C773" s="197">
        <v>45465.092407407406</v>
      </c>
      <c r="D773" s="197">
        <v>45465.093391203707</v>
      </c>
      <c r="E773" s="198" t="s">
        <v>244</v>
      </c>
      <c r="F773" s="199"/>
      <c r="G773" s="140" t="e">
        <f ca="1">mif(C773="","",OR(B773=リスト!$C$5,B773=リスト!$C$6),SUM(INDEX(G:G,MATCH(I773-1,I:I,0)+1,1):INDEX(G:G,MATCH(I773,I:I,0)-1,1)),D773-C773)</f>
        <v>#NAME?</v>
      </c>
      <c r="H773" s="140" t="e">
        <f ca="1">mif(C773="","",B773=リスト!$C$5,SUMIF(INDEX(B:B,MATCH(I773-1,I:I,0)+1,1):INDEX(B:B,MATCH(I773,I:I,0)-1,1),リスト!$C$7,INDEX(G:G,MATCH(I773-1,I:I,0)+1,1):INDEX(G:G,MATCH(I773,I:I,0)-1,1)),"")</f>
        <v>#NAME?</v>
      </c>
      <c r="I773" s="200" t="str">
        <f>IF(OR(B773=リスト!$C$5,B773=リスト!$C$6),COUNTIF($B$9:B773,リスト!$C$5)+COUNTIF($B$9:B773,リスト!$C$6),"")</f>
        <v/>
      </c>
    </row>
    <row r="774" spans="2:9" x14ac:dyDescent="0.2">
      <c r="B774" s="196"/>
      <c r="C774" s="197">
        <v>45465.104664351849</v>
      </c>
      <c r="D774" s="197">
        <v>45465.104942129627</v>
      </c>
      <c r="E774" s="198" t="s">
        <v>244</v>
      </c>
      <c r="F774" s="199"/>
      <c r="G774" s="140" t="e">
        <f ca="1">mif(C774="","",OR(B774=リスト!$C$5,B774=リスト!$C$6),SUM(INDEX(G:G,MATCH(I774-1,I:I,0)+1,1):INDEX(G:G,MATCH(I774,I:I,0)-1,1)),D774-C774)</f>
        <v>#NAME?</v>
      </c>
      <c r="H774" s="140" t="e">
        <f ca="1">mif(C774="","",B774=リスト!$C$5,SUMIF(INDEX(B:B,MATCH(I774-1,I:I,0)+1,1):INDEX(B:B,MATCH(I774,I:I,0)-1,1),リスト!$C$7,INDEX(G:G,MATCH(I774-1,I:I,0)+1,1):INDEX(G:G,MATCH(I774,I:I,0)-1,1)),"")</f>
        <v>#NAME?</v>
      </c>
      <c r="I774" s="200" t="str">
        <f>IF(OR(B774=リスト!$C$5,B774=リスト!$C$6),COUNTIF($B$9:B774,リスト!$C$5)+COUNTIF($B$9:B774,リスト!$C$6),"")</f>
        <v/>
      </c>
    </row>
    <row r="775" spans="2:9" x14ac:dyDescent="0.2">
      <c r="B775" s="196"/>
      <c r="C775" s="197">
        <v>45465.121157407404</v>
      </c>
      <c r="D775" s="197">
        <v>45465.122476851851</v>
      </c>
      <c r="E775" s="198" t="s">
        <v>244</v>
      </c>
      <c r="F775" s="199"/>
      <c r="G775" s="140" t="e">
        <f ca="1">mif(C775="","",OR(B775=リスト!$C$5,B775=リスト!$C$6),SUM(INDEX(G:G,MATCH(I775-1,I:I,0)+1,1):INDEX(G:G,MATCH(I775,I:I,0)-1,1)),D775-C775)</f>
        <v>#NAME?</v>
      </c>
      <c r="H775" s="140" t="e">
        <f ca="1">mif(C775="","",B775=リスト!$C$5,SUMIF(INDEX(B:B,MATCH(I775-1,I:I,0)+1,1):INDEX(B:B,MATCH(I775,I:I,0)-1,1),リスト!$C$7,INDEX(G:G,MATCH(I775-1,I:I,0)+1,1):INDEX(G:G,MATCH(I775,I:I,0)-1,1)),"")</f>
        <v>#NAME?</v>
      </c>
      <c r="I775" s="200" t="str">
        <f>IF(OR(B775=リスト!$C$5,B775=リスト!$C$6),COUNTIF($B$9:B775,リスト!$C$5)+COUNTIF($B$9:B775,リスト!$C$6),"")</f>
        <v/>
      </c>
    </row>
    <row r="776" spans="2:9" x14ac:dyDescent="0.2">
      <c r="B776" s="196"/>
      <c r="C776" s="197">
        <v>45465.12537037037</v>
      </c>
      <c r="D776" s="197">
        <v>45465.125625000001</v>
      </c>
      <c r="E776" s="198" t="s">
        <v>244</v>
      </c>
      <c r="F776" s="199"/>
      <c r="G776" s="140" t="e">
        <f ca="1">mif(C776="","",OR(B776=リスト!$C$5,B776=リスト!$C$6),SUM(INDEX(G:G,MATCH(I776-1,I:I,0)+1,1):INDEX(G:G,MATCH(I776,I:I,0)-1,1)),D776-C776)</f>
        <v>#NAME?</v>
      </c>
      <c r="H776" s="140" t="e">
        <f ca="1">mif(C776="","",B776=リスト!$C$5,SUMIF(INDEX(B:B,MATCH(I776-1,I:I,0)+1,1):INDEX(B:B,MATCH(I776,I:I,0)-1,1),リスト!$C$7,INDEX(G:G,MATCH(I776-1,I:I,0)+1,1):INDEX(G:G,MATCH(I776,I:I,0)-1,1)),"")</f>
        <v>#NAME?</v>
      </c>
      <c r="I776" s="200" t="str">
        <f>IF(OR(B776=リスト!$C$5,B776=リスト!$C$6),COUNTIF($B$9:B776,リスト!$C$5)+COUNTIF($B$9:B776,リスト!$C$6),"")</f>
        <v/>
      </c>
    </row>
    <row r="777" spans="2:9" x14ac:dyDescent="0.2">
      <c r="B777" s="196"/>
      <c r="C777" s="197">
        <v>45465.308506944442</v>
      </c>
      <c r="D777" s="197">
        <v>45465.309155092589</v>
      </c>
      <c r="E777" s="198" t="s">
        <v>244</v>
      </c>
      <c r="F777" s="199"/>
      <c r="G777" s="140" t="e">
        <f ca="1">mif(C777="","",OR(B777=リスト!$C$5,B777=リスト!$C$6),SUM(INDEX(G:G,MATCH(I777-1,I:I,0)+1,1):INDEX(G:G,MATCH(I777,I:I,0)-1,1)),D777-C777)</f>
        <v>#NAME?</v>
      </c>
      <c r="H777" s="140" t="e">
        <f ca="1">mif(C777="","",B777=リスト!$C$5,SUMIF(INDEX(B:B,MATCH(I777-1,I:I,0)+1,1):INDEX(B:B,MATCH(I777,I:I,0)-1,1),リスト!$C$7,INDEX(G:G,MATCH(I777-1,I:I,0)+1,1):INDEX(G:G,MATCH(I777,I:I,0)-1,1)),"")</f>
        <v>#NAME?</v>
      </c>
      <c r="I777" s="200" t="str">
        <f>IF(OR(B777=リスト!$C$5,B777=リスト!$C$6),COUNTIF($B$9:B777,リスト!$C$5)+COUNTIF($B$9:B777,リスト!$C$6),"")</f>
        <v/>
      </c>
    </row>
    <row r="778" spans="2:9" x14ac:dyDescent="0.2">
      <c r="B778" s="196"/>
      <c r="C778" s="197">
        <v>45465.316979166666</v>
      </c>
      <c r="D778" s="197">
        <v>45465.317256944443</v>
      </c>
      <c r="E778" s="198" t="s">
        <v>244</v>
      </c>
      <c r="F778" s="199"/>
      <c r="G778" s="140" t="e">
        <f ca="1">mif(C778="","",OR(B778=リスト!$C$5,B778=リスト!$C$6),SUM(INDEX(G:G,MATCH(I778-1,I:I,0)+1,1):INDEX(G:G,MATCH(I778,I:I,0)-1,1)),D778-C778)</f>
        <v>#NAME?</v>
      </c>
      <c r="H778" s="140" t="e">
        <f ca="1">mif(C778="","",B778=リスト!$C$5,SUMIF(INDEX(B:B,MATCH(I778-1,I:I,0)+1,1):INDEX(B:B,MATCH(I778,I:I,0)-1,1),リスト!$C$7,INDEX(G:G,MATCH(I778-1,I:I,0)+1,1):INDEX(G:G,MATCH(I778,I:I,0)-1,1)),"")</f>
        <v>#NAME?</v>
      </c>
      <c r="I778" s="200" t="str">
        <f>IF(OR(B778=リスト!$C$5,B778=リスト!$C$6),COUNTIF($B$9:B778,リスト!$C$5)+COUNTIF($B$9:B778,リスト!$C$6),"")</f>
        <v/>
      </c>
    </row>
    <row r="779" spans="2:9" x14ac:dyDescent="0.2">
      <c r="B779" s="196"/>
      <c r="C779" s="197">
        <v>45465.317743055559</v>
      </c>
      <c r="D779" s="197">
        <v>45465.318067129629</v>
      </c>
      <c r="E779" s="198" t="s">
        <v>244</v>
      </c>
      <c r="F779" s="199"/>
      <c r="G779" s="140" t="e">
        <f ca="1">mif(C779="","",OR(B779=リスト!$C$5,B779=リスト!$C$6),SUM(INDEX(G:G,MATCH(I779-1,I:I,0)+1,1):INDEX(G:G,MATCH(I779,I:I,0)-1,1)),D779-C779)</f>
        <v>#NAME?</v>
      </c>
      <c r="H779" s="140" t="e">
        <f ca="1">mif(C779="","",B779=リスト!$C$5,SUMIF(INDEX(B:B,MATCH(I779-1,I:I,0)+1,1):INDEX(B:B,MATCH(I779,I:I,0)-1,1),リスト!$C$7,INDEX(G:G,MATCH(I779-1,I:I,0)+1,1):INDEX(G:G,MATCH(I779,I:I,0)-1,1)),"")</f>
        <v>#NAME?</v>
      </c>
      <c r="I779" s="200" t="str">
        <f>IF(OR(B779=リスト!$C$5,B779=リスト!$C$6),COUNTIF($B$9:B779,リスト!$C$5)+COUNTIF($B$9:B779,リスト!$C$6),"")</f>
        <v/>
      </c>
    </row>
    <row r="780" spans="2:9" x14ac:dyDescent="0.2">
      <c r="B780" s="196" t="s">
        <v>247</v>
      </c>
      <c r="C780" s="197">
        <v>45464.916666666664</v>
      </c>
      <c r="D780" s="197">
        <v>45465.416666666664</v>
      </c>
      <c r="E780" s="198">
        <v>14</v>
      </c>
      <c r="F780" s="199"/>
      <c r="G780" s="140" t="e">
        <f ca="1">mif(C780="","",OR(B780=リスト!$C$5,B780=リスト!$C$6),SUM(INDEX(G:G,MATCH(I780-1,I:I,0)+1,1):INDEX(G:G,MATCH(I780,I:I,0)-1,1)),D780-C780)</f>
        <v>#NAME?</v>
      </c>
      <c r="H780" s="140" t="e">
        <f ca="1">mif(C780="","",B780=リスト!$C$5,SUMIF(INDEX(B:B,MATCH(I780-1,I:I,0)+1,1):INDEX(B:B,MATCH(I780,I:I,0)-1,1),リスト!$C$7,INDEX(G:G,MATCH(I780-1,I:I,0)+1,1):INDEX(G:G,MATCH(I780,I:I,0)-1,1)),"")</f>
        <v>#NAME?</v>
      </c>
      <c r="I780" s="200">
        <f>IF(OR(B780=リスト!$C$5,B780=リスト!$C$6),COUNTIF($B$9:B780,リスト!$C$5)+COUNTIF($B$9:B780,リスト!$C$6),"")</f>
        <v>54</v>
      </c>
    </row>
    <row r="781" spans="2:9" x14ac:dyDescent="0.2">
      <c r="B781" s="196"/>
      <c r="C781" s="197">
        <v>45465.438310185185</v>
      </c>
      <c r="D781" s="197">
        <v>45465.438611111109</v>
      </c>
      <c r="E781" s="198" t="s">
        <v>244</v>
      </c>
      <c r="F781" s="199"/>
      <c r="G781" s="140" t="e">
        <f ca="1">mif(C781="","",OR(B781=リスト!$C$5,B781=リスト!$C$6),SUM(INDEX(G:G,MATCH(I781-1,I:I,0)+1,1):INDEX(G:G,MATCH(I781,I:I,0)-1,1)),D781-C781)</f>
        <v>#NAME?</v>
      </c>
      <c r="H781" s="140" t="e">
        <f ca="1">mif(C781="","",B781=リスト!$C$5,SUMIF(INDEX(B:B,MATCH(I781-1,I:I,0)+1,1):INDEX(B:B,MATCH(I781,I:I,0)-1,1),リスト!$C$7,INDEX(G:G,MATCH(I781-1,I:I,0)+1,1):INDEX(G:G,MATCH(I781,I:I,0)-1,1)),"")</f>
        <v>#NAME?</v>
      </c>
      <c r="I781" s="200" t="str">
        <f>IF(OR(B781=リスト!$C$5,B781=リスト!$C$6),COUNTIF($B$9:B781,リスト!$C$5)+COUNTIF($B$9:B781,リスト!$C$6),"")</f>
        <v/>
      </c>
    </row>
    <row r="782" spans="2:9" x14ac:dyDescent="0.2">
      <c r="B782" s="196"/>
      <c r="C782" s="197">
        <v>45465.451180555552</v>
      </c>
      <c r="D782" s="197">
        <v>45465.451481481483</v>
      </c>
      <c r="E782" s="198" t="s">
        <v>244</v>
      </c>
      <c r="F782" s="199"/>
      <c r="G782" s="140" t="e">
        <f ca="1">mif(C782="","",OR(B782=リスト!$C$5,B782=リスト!$C$6),SUM(INDEX(G:G,MATCH(I782-1,I:I,0)+1,1):INDEX(G:G,MATCH(I782,I:I,0)-1,1)),D782-C782)</f>
        <v>#NAME?</v>
      </c>
      <c r="H782" s="140" t="e">
        <f ca="1">mif(C782="","",B782=リスト!$C$5,SUMIF(INDEX(B:B,MATCH(I782-1,I:I,0)+1,1):INDEX(B:B,MATCH(I782,I:I,0)-1,1),リスト!$C$7,INDEX(G:G,MATCH(I782-1,I:I,0)+1,1):INDEX(G:G,MATCH(I782,I:I,0)-1,1)),"")</f>
        <v>#NAME?</v>
      </c>
      <c r="I782" s="200" t="str">
        <f>IF(OR(B782=リスト!$C$5,B782=リスト!$C$6),COUNTIF($B$9:B782,リスト!$C$5)+COUNTIF($B$9:B782,リスト!$C$6),"")</f>
        <v/>
      </c>
    </row>
    <row r="783" spans="2:9" x14ac:dyDescent="0.2">
      <c r="B783" s="196"/>
      <c r="C783" s="197">
        <v>45465.523738425924</v>
      </c>
      <c r="D783" s="197">
        <v>45465.524039351854</v>
      </c>
      <c r="E783" s="198" t="s">
        <v>244</v>
      </c>
      <c r="F783" s="199"/>
      <c r="G783" s="140" t="e">
        <f ca="1">mif(C783="","",OR(B783=リスト!$C$5,B783=リスト!$C$6),SUM(INDEX(G:G,MATCH(I783-1,I:I,0)+1,1):INDEX(G:G,MATCH(I783,I:I,0)-1,1)),D783-C783)</f>
        <v>#NAME?</v>
      </c>
      <c r="H783" s="140" t="e">
        <f ca="1">mif(C783="","",B783=リスト!$C$5,SUMIF(INDEX(B:B,MATCH(I783-1,I:I,0)+1,1):INDEX(B:B,MATCH(I783,I:I,0)-1,1),リスト!$C$7,INDEX(G:G,MATCH(I783-1,I:I,0)+1,1):INDEX(G:G,MATCH(I783,I:I,0)-1,1)),"")</f>
        <v>#NAME?</v>
      </c>
      <c r="I783" s="200" t="str">
        <f>IF(OR(B783=リスト!$C$5,B783=リスト!$C$6),COUNTIF($B$9:B783,リスト!$C$5)+COUNTIF($B$9:B783,リスト!$C$6),"")</f>
        <v/>
      </c>
    </row>
    <row r="784" spans="2:9" x14ac:dyDescent="0.2">
      <c r="B784" s="196"/>
      <c r="C784" s="197">
        <v>45465.570011574076</v>
      </c>
      <c r="D784" s="197">
        <v>45465.5702662037</v>
      </c>
      <c r="E784" s="198" t="s">
        <v>244</v>
      </c>
      <c r="F784" s="199"/>
      <c r="G784" s="140" t="e">
        <f ca="1">mif(C784="","",OR(B784=リスト!$C$5,B784=リスト!$C$6),SUM(INDEX(G:G,MATCH(I784-1,I:I,0)+1,1):INDEX(G:G,MATCH(I784,I:I,0)-1,1)),D784-C784)</f>
        <v>#NAME?</v>
      </c>
      <c r="H784" s="140" t="e">
        <f ca="1">mif(C784="","",B784=リスト!$C$5,SUMIF(INDEX(B:B,MATCH(I784-1,I:I,0)+1,1):INDEX(B:B,MATCH(I784,I:I,0)-1,1),リスト!$C$7,INDEX(G:G,MATCH(I784-1,I:I,0)+1,1):INDEX(G:G,MATCH(I784,I:I,0)-1,1)),"")</f>
        <v>#NAME?</v>
      </c>
      <c r="I784" s="200" t="str">
        <f>IF(OR(B784=リスト!$C$5,B784=リスト!$C$6),COUNTIF($B$9:B784,リスト!$C$5)+COUNTIF($B$9:B784,リスト!$C$6),"")</f>
        <v/>
      </c>
    </row>
    <row r="785" spans="2:9" x14ac:dyDescent="0.2">
      <c r="B785" s="196"/>
      <c r="C785" s="197">
        <v>45465.624780092592</v>
      </c>
      <c r="D785" s="197">
        <v>45465.625081018516</v>
      </c>
      <c r="E785" s="198" t="s">
        <v>244</v>
      </c>
      <c r="F785" s="199"/>
      <c r="G785" s="140" t="e">
        <f ca="1">mif(C785="","",OR(B785=リスト!$C$5,B785=リスト!$C$6),SUM(INDEX(G:G,MATCH(I785-1,I:I,0)+1,1):INDEX(G:G,MATCH(I785,I:I,0)-1,1)),D785-C785)</f>
        <v>#NAME?</v>
      </c>
      <c r="H785" s="140" t="e">
        <f ca="1">mif(C785="","",B785=リスト!$C$5,SUMIF(INDEX(B:B,MATCH(I785-1,I:I,0)+1,1):INDEX(B:B,MATCH(I785,I:I,0)-1,1),リスト!$C$7,INDEX(G:G,MATCH(I785-1,I:I,0)+1,1):INDEX(G:G,MATCH(I785,I:I,0)-1,1)),"")</f>
        <v>#NAME?</v>
      </c>
      <c r="I785" s="200" t="str">
        <f>IF(OR(B785=リスト!$C$5,B785=リスト!$C$6),COUNTIF($B$9:B785,リスト!$C$5)+COUNTIF($B$9:B785,リスト!$C$6),"")</f>
        <v/>
      </c>
    </row>
    <row r="786" spans="2:9" x14ac:dyDescent="0.2">
      <c r="B786" s="196"/>
      <c r="C786" s="197">
        <v>45465.751111111109</v>
      </c>
      <c r="D786" s="197">
        <v>45465.751388888886</v>
      </c>
      <c r="E786" s="198" t="s">
        <v>244</v>
      </c>
      <c r="F786" s="199"/>
      <c r="G786" s="140" t="e">
        <f ca="1">mif(C786="","",OR(B786=リスト!$C$5,B786=リスト!$C$6),SUM(INDEX(G:G,MATCH(I786-1,I:I,0)+1,1):INDEX(G:G,MATCH(I786,I:I,0)-1,1)),D786-C786)</f>
        <v>#NAME?</v>
      </c>
      <c r="H786" s="140" t="e">
        <f ca="1">mif(C786="","",B786=リスト!$C$5,SUMIF(INDEX(B:B,MATCH(I786-1,I:I,0)+1,1):INDEX(B:B,MATCH(I786,I:I,0)-1,1),リスト!$C$7,INDEX(G:G,MATCH(I786-1,I:I,0)+1,1):INDEX(G:G,MATCH(I786,I:I,0)-1,1)),"")</f>
        <v>#NAME?</v>
      </c>
      <c r="I786" s="200" t="str">
        <f>IF(OR(B786=リスト!$C$5,B786=リスト!$C$6),COUNTIF($B$9:B786,リスト!$C$5)+COUNTIF($B$9:B786,リスト!$C$6),"")</f>
        <v/>
      </c>
    </row>
    <row r="787" spans="2:9" x14ac:dyDescent="0.2">
      <c r="B787" s="196"/>
      <c r="C787" s="197">
        <v>45465.751435185186</v>
      </c>
      <c r="D787" s="197">
        <v>45465.751898148148</v>
      </c>
      <c r="E787" s="198" t="s">
        <v>244</v>
      </c>
      <c r="F787" s="199"/>
      <c r="G787" s="140" t="e">
        <f ca="1">mif(C787="","",OR(B787=リスト!$C$5,B787=リスト!$C$6),SUM(INDEX(G:G,MATCH(I787-1,I:I,0)+1,1):INDEX(G:G,MATCH(I787,I:I,0)-1,1)),D787-C787)</f>
        <v>#NAME?</v>
      </c>
      <c r="H787" s="140" t="e">
        <f ca="1">mif(C787="","",B787=リスト!$C$5,SUMIF(INDEX(B:B,MATCH(I787-1,I:I,0)+1,1):INDEX(B:B,MATCH(I787,I:I,0)-1,1),リスト!$C$7,INDEX(G:G,MATCH(I787-1,I:I,0)+1,1):INDEX(G:G,MATCH(I787,I:I,0)-1,1)),"")</f>
        <v>#NAME?</v>
      </c>
      <c r="I787" s="200" t="str">
        <f>IF(OR(B787=リスト!$C$5,B787=リスト!$C$6),COUNTIF($B$9:B787,リスト!$C$5)+COUNTIF($B$9:B787,リスト!$C$6),"")</f>
        <v/>
      </c>
    </row>
    <row r="788" spans="2:9" x14ac:dyDescent="0.2">
      <c r="B788" s="196"/>
      <c r="C788" s="197">
        <v>45465.825289351851</v>
      </c>
      <c r="D788" s="197">
        <v>45465.825567129628</v>
      </c>
      <c r="E788" s="198" t="s">
        <v>244</v>
      </c>
      <c r="F788" s="199"/>
      <c r="G788" s="140" t="e">
        <f ca="1">mif(C788="","",OR(B788=リスト!$C$5,B788=リスト!$C$6),SUM(INDEX(G:G,MATCH(I788-1,I:I,0)+1,1):INDEX(G:G,MATCH(I788,I:I,0)-1,1)),D788-C788)</f>
        <v>#NAME?</v>
      </c>
      <c r="H788" s="140" t="e">
        <f ca="1">mif(C788="","",B788=リスト!$C$5,SUMIF(INDEX(B:B,MATCH(I788-1,I:I,0)+1,1):INDEX(B:B,MATCH(I788,I:I,0)-1,1),リスト!$C$7,INDEX(G:G,MATCH(I788-1,I:I,0)+1,1):INDEX(G:G,MATCH(I788,I:I,0)-1,1)),"")</f>
        <v>#NAME?</v>
      </c>
      <c r="I788" s="200" t="str">
        <f>IF(OR(B788=リスト!$C$5,B788=リスト!$C$6),COUNTIF($B$9:B788,リスト!$C$5)+COUNTIF($B$9:B788,リスト!$C$6),"")</f>
        <v/>
      </c>
    </row>
    <row r="789" spans="2:9" x14ac:dyDescent="0.2">
      <c r="B789" s="196"/>
      <c r="C789" s="197">
        <v>45465.838125000002</v>
      </c>
      <c r="D789" s="197">
        <v>45465.838402777779</v>
      </c>
      <c r="E789" s="198" t="s">
        <v>244</v>
      </c>
      <c r="F789" s="199"/>
      <c r="G789" s="140" t="e">
        <f ca="1">mif(C789="","",OR(B789=リスト!$C$5,B789=リスト!$C$6),SUM(INDEX(G:G,MATCH(I789-1,I:I,0)+1,1):INDEX(G:G,MATCH(I789,I:I,0)-1,1)),D789-C789)</f>
        <v>#NAME?</v>
      </c>
      <c r="H789" s="140" t="e">
        <f ca="1">mif(C789="","",B789=リスト!$C$5,SUMIF(INDEX(B:B,MATCH(I789-1,I:I,0)+1,1):INDEX(B:B,MATCH(I789,I:I,0)-1,1),リスト!$C$7,INDEX(G:G,MATCH(I789-1,I:I,0)+1,1):INDEX(G:G,MATCH(I789,I:I,0)-1,1)),"")</f>
        <v>#NAME?</v>
      </c>
      <c r="I789" s="200" t="str">
        <f>IF(OR(B789=リスト!$C$5,B789=リスト!$C$6),COUNTIF($B$9:B789,リスト!$C$5)+COUNTIF($B$9:B789,リスト!$C$6),"")</f>
        <v/>
      </c>
    </row>
    <row r="790" spans="2:9" x14ac:dyDescent="0.2">
      <c r="B790" s="196"/>
      <c r="C790" s="197">
        <v>45465.856203703705</v>
      </c>
      <c r="D790" s="197">
        <v>45465.856481481482</v>
      </c>
      <c r="E790" s="198" t="s">
        <v>244</v>
      </c>
      <c r="F790" s="199"/>
      <c r="G790" s="140" t="e">
        <f ca="1">mif(C790="","",OR(B790=リスト!$C$5,B790=リスト!$C$6),SUM(INDEX(G:G,MATCH(I790-1,I:I,0)+1,1):INDEX(G:G,MATCH(I790,I:I,0)-1,1)),D790-C790)</f>
        <v>#NAME?</v>
      </c>
      <c r="H790" s="140" t="e">
        <f ca="1">mif(C790="","",B790=リスト!$C$5,SUMIF(INDEX(B:B,MATCH(I790-1,I:I,0)+1,1):INDEX(B:B,MATCH(I790,I:I,0)-1,1),リスト!$C$7,INDEX(G:G,MATCH(I790-1,I:I,0)+1,1):INDEX(G:G,MATCH(I790,I:I,0)-1,1)),"")</f>
        <v>#NAME?</v>
      </c>
      <c r="I790" s="200" t="str">
        <f>IF(OR(B790=リスト!$C$5,B790=リスト!$C$6),COUNTIF($B$9:B790,リスト!$C$5)+COUNTIF($B$9:B790,リスト!$C$6),"")</f>
        <v/>
      </c>
    </row>
    <row r="791" spans="2:9" x14ac:dyDescent="0.2">
      <c r="B791" s="196"/>
      <c r="C791" s="197">
        <v>45465.892592592594</v>
      </c>
      <c r="D791" s="197">
        <v>45465.892824074072</v>
      </c>
      <c r="E791" s="198" t="s">
        <v>244</v>
      </c>
      <c r="F791" s="199"/>
      <c r="G791" s="140" t="e">
        <f ca="1">mif(C791="","",OR(B791=リスト!$C$5,B791=リスト!$C$6),SUM(INDEX(G:G,MATCH(I791-1,I:I,0)+1,1):INDEX(G:G,MATCH(I791,I:I,0)-1,1)),D791-C791)</f>
        <v>#NAME?</v>
      </c>
      <c r="H791" s="140" t="e">
        <f ca="1">mif(C791="","",B791=リスト!$C$5,SUMIF(INDEX(B:B,MATCH(I791-1,I:I,0)+1,1):INDEX(B:B,MATCH(I791,I:I,0)-1,1),リスト!$C$7,INDEX(G:G,MATCH(I791-1,I:I,0)+1,1):INDEX(G:G,MATCH(I791,I:I,0)-1,1)),"")</f>
        <v>#NAME?</v>
      </c>
      <c r="I791" s="200" t="str">
        <f>IF(OR(B791=リスト!$C$5,B791=リスト!$C$6),COUNTIF($B$9:B791,リスト!$C$5)+COUNTIF($B$9:B791,リスト!$C$6),"")</f>
        <v/>
      </c>
    </row>
    <row r="792" spans="2:9" x14ac:dyDescent="0.2">
      <c r="B792" s="196"/>
      <c r="C792" s="197">
        <v>45465.896921296298</v>
      </c>
      <c r="D792" s="197">
        <v>45465.897245370368</v>
      </c>
      <c r="E792" s="198" t="s">
        <v>244</v>
      </c>
      <c r="F792" s="199"/>
      <c r="G792" s="140" t="e">
        <f ca="1">mif(C792="","",OR(B792=リスト!$C$5,B792=リスト!$C$6),SUM(INDEX(G:G,MATCH(I792-1,I:I,0)+1,1):INDEX(G:G,MATCH(I792,I:I,0)-1,1)),D792-C792)</f>
        <v>#NAME?</v>
      </c>
      <c r="H792" s="140" t="e">
        <f ca="1">mif(C792="","",B792=リスト!$C$5,SUMIF(INDEX(B:B,MATCH(I792-1,I:I,0)+1,1):INDEX(B:B,MATCH(I792,I:I,0)-1,1),リスト!$C$7,INDEX(G:G,MATCH(I792-1,I:I,0)+1,1):INDEX(G:G,MATCH(I792,I:I,0)-1,1)),"")</f>
        <v>#NAME?</v>
      </c>
      <c r="I792" s="200" t="str">
        <f>IF(OR(B792=リスト!$C$5,B792=リスト!$C$6),COUNTIF($B$9:B792,リスト!$C$5)+COUNTIF($B$9:B792,リスト!$C$6),"")</f>
        <v/>
      </c>
    </row>
    <row r="793" spans="2:9" x14ac:dyDescent="0.2">
      <c r="B793" s="196"/>
      <c r="C793" s="197">
        <v>45465.897268518522</v>
      </c>
      <c r="D793" s="197">
        <v>45465.898009259261</v>
      </c>
      <c r="E793" s="198" t="s">
        <v>244</v>
      </c>
      <c r="F793" s="199"/>
      <c r="G793" s="140" t="e">
        <f ca="1">mif(C793="","",OR(B793=リスト!$C$5,B793=リスト!$C$6),SUM(INDEX(G:G,MATCH(I793-1,I:I,0)+1,1):INDEX(G:G,MATCH(I793,I:I,0)-1,1)),D793-C793)</f>
        <v>#NAME?</v>
      </c>
      <c r="H793" s="140" t="e">
        <f ca="1">mif(C793="","",B793=リスト!$C$5,SUMIF(INDEX(B:B,MATCH(I793-1,I:I,0)+1,1):INDEX(B:B,MATCH(I793,I:I,0)-1,1),リスト!$C$7,INDEX(G:G,MATCH(I793-1,I:I,0)+1,1):INDEX(G:G,MATCH(I793,I:I,0)-1,1)),"")</f>
        <v>#NAME?</v>
      </c>
      <c r="I793" s="200" t="str">
        <f>IF(OR(B793=リスト!$C$5,B793=リスト!$C$6),COUNTIF($B$9:B793,リスト!$C$5)+COUNTIF($B$9:B793,リスト!$C$6),"")</f>
        <v/>
      </c>
    </row>
    <row r="794" spans="2:9" x14ac:dyDescent="0.2">
      <c r="B794" s="196" t="s">
        <v>247</v>
      </c>
      <c r="C794" s="197">
        <v>45465.416666666664</v>
      </c>
      <c r="D794" s="197">
        <v>45465.916666666664</v>
      </c>
      <c r="E794" s="198">
        <v>13</v>
      </c>
      <c r="F794" s="199"/>
      <c r="G794" s="140" t="e">
        <f ca="1">mif(C794="","",OR(B794=リスト!$C$5,B794=リスト!$C$6),SUM(INDEX(G:G,MATCH(I794-1,I:I,0)+1,1):INDEX(G:G,MATCH(I794,I:I,0)-1,1)),D794-C794)</f>
        <v>#NAME?</v>
      </c>
      <c r="H794" s="140" t="e">
        <f ca="1">mif(C794="","",B794=リスト!$C$5,SUMIF(INDEX(B:B,MATCH(I794-1,I:I,0)+1,1):INDEX(B:B,MATCH(I794,I:I,0)-1,1),リスト!$C$7,INDEX(G:G,MATCH(I794-1,I:I,0)+1,1):INDEX(G:G,MATCH(I794,I:I,0)-1,1)),"")</f>
        <v>#NAME?</v>
      </c>
      <c r="I794" s="200">
        <f>IF(OR(B794=リスト!$C$5,B794=リスト!$C$6),COUNTIF($B$9:B794,リスト!$C$5)+COUNTIF($B$9:B794,リスト!$C$6),"")</f>
        <v>55</v>
      </c>
    </row>
    <row r="795" spans="2:9" x14ac:dyDescent="0.2">
      <c r="B795" s="196"/>
      <c r="C795" s="197">
        <v>45465.956736111111</v>
      </c>
      <c r="D795" s="197">
        <v>45465.957083333335</v>
      </c>
      <c r="E795" s="198" t="s">
        <v>244</v>
      </c>
      <c r="F795" s="199"/>
      <c r="G795" s="140" t="e">
        <f ca="1">mif(C795="","",OR(B795=リスト!$C$5,B795=リスト!$C$6),SUM(INDEX(G:G,MATCH(I795-1,I:I,0)+1,1):INDEX(G:G,MATCH(I795,I:I,0)-1,1)),D795-C795)</f>
        <v>#NAME?</v>
      </c>
      <c r="H795" s="140" t="e">
        <f ca="1">mif(C795="","",B795=リスト!$C$5,SUMIF(INDEX(B:B,MATCH(I795-1,I:I,0)+1,1):INDEX(B:B,MATCH(I795,I:I,0)-1,1),リスト!$C$7,INDEX(G:G,MATCH(I795-1,I:I,0)+1,1):INDEX(G:G,MATCH(I795,I:I,0)-1,1)),"")</f>
        <v>#NAME?</v>
      </c>
      <c r="I795" s="200" t="str">
        <f>IF(OR(B795=リスト!$C$5,B795=リスト!$C$6),COUNTIF($B$9:B795,リスト!$C$5)+COUNTIF($B$9:B795,リスト!$C$6),"")</f>
        <v/>
      </c>
    </row>
    <row r="796" spans="2:9" x14ac:dyDescent="0.2">
      <c r="B796" s="196"/>
      <c r="C796" s="197">
        <v>45465.957129629627</v>
      </c>
      <c r="D796" s="197">
        <v>45465.95784722222</v>
      </c>
      <c r="E796" s="198" t="s">
        <v>244</v>
      </c>
      <c r="F796" s="199"/>
      <c r="G796" s="140" t="e">
        <f ca="1">mif(C796="","",OR(B796=リスト!$C$5,B796=リスト!$C$6),SUM(INDEX(G:G,MATCH(I796-1,I:I,0)+1,1):INDEX(G:G,MATCH(I796,I:I,0)-1,1)),D796-C796)</f>
        <v>#NAME?</v>
      </c>
      <c r="H796" s="140" t="e">
        <f ca="1">mif(C796="","",B796=リスト!$C$5,SUMIF(INDEX(B:B,MATCH(I796-1,I:I,0)+1,1):INDEX(B:B,MATCH(I796,I:I,0)-1,1),リスト!$C$7,INDEX(G:G,MATCH(I796-1,I:I,0)+1,1):INDEX(G:G,MATCH(I796,I:I,0)-1,1)),"")</f>
        <v>#NAME?</v>
      </c>
      <c r="I796" s="200" t="str">
        <f>IF(OR(B796=リスト!$C$5,B796=リスト!$C$6),COUNTIF($B$9:B796,リスト!$C$5)+COUNTIF($B$9:B796,リスト!$C$6),"")</f>
        <v/>
      </c>
    </row>
    <row r="797" spans="2:9" x14ac:dyDescent="0.2">
      <c r="B797" s="196"/>
      <c r="C797" s="197">
        <v>45465.95821759259</v>
      </c>
      <c r="D797" s="197">
        <v>45465.958425925928</v>
      </c>
      <c r="E797" s="198" t="s">
        <v>244</v>
      </c>
      <c r="F797" s="199"/>
      <c r="G797" s="140" t="e">
        <f ca="1">mif(C797="","",OR(B797=リスト!$C$5,B797=リスト!$C$6),SUM(INDEX(G:G,MATCH(I797-1,I:I,0)+1,1):INDEX(G:G,MATCH(I797,I:I,0)-1,1)),D797-C797)</f>
        <v>#NAME?</v>
      </c>
      <c r="H797" s="140" t="e">
        <f ca="1">mif(C797="","",B797=リスト!$C$5,SUMIF(INDEX(B:B,MATCH(I797-1,I:I,0)+1,1):INDEX(B:B,MATCH(I797,I:I,0)-1,1),リスト!$C$7,INDEX(G:G,MATCH(I797-1,I:I,0)+1,1):INDEX(G:G,MATCH(I797,I:I,0)-1,1)),"")</f>
        <v>#NAME?</v>
      </c>
      <c r="I797" s="200" t="str">
        <f>IF(OR(B797=リスト!$C$5,B797=リスト!$C$6),COUNTIF($B$9:B797,リスト!$C$5)+COUNTIF($B$9:B797,リスト!$C$6),"")</f>
        <v/>
      </c>
    </row>
    <row r="798" spans="2:9" x14ac:dyDescent="0.2">
      <c r="B798" s="196"/>
      <c r="C798" s="197">
        <v>45465.958749999998</v>
      </c>
      <c r="D798" s="197">
        <v>45465.959050925929</v>
      </c>
      <c r="E798" s="198" t="s">
        <v>244</v>
      </c>
      <c r="F798" s="199"/>
      <c r="G798" s="140" t="e">
        <f ca="1">mif(C798="","",OR(B798=リスト!$C$5,B798=リスト!$C$6),SUM(INDEX(G:G,MATCH(I798-1,I:I,0)+1,1):INDEX(G:G,MATCH(I798,I:I,0)-1,1)),D798-C798)</f>
        <v>#NAME?</v>
      </c>
      <c r="H798" s="140" t="e">
        <f ca="1">mif(C798="","",B798=リスト!$C$5,SUMIF(INDEX(B:B,MATCH(I798-1,I:I,0)+1,1):INDEX(B:B,MATCH(I798,I:I,0)-1,1),リスト!$C$7,INDEX(G:G,MATCH(I798-1,I:I,0)+1,1):INDEX(G:G,MATCH(I798,I:I,0)-1,1)),"")</f>
        <v>#NAME?</v>
      </c>
      <c r="I798" s="200" t="str">
        <f>IF(OR(B798=リスト!$C$5,B798=リスト!$C$6),COUNTIF($B$9:B798,リスト!$C$5)+COUNTIF($B$9:B798,リスト!$C$6),"")</f>
        <v/>
      </c>
    </row>
    <row r="799" spans="2:9" x14ac:dyDescent="0.2">
      <c r="B799" s="196"/>
      <c r="C799" s="197">
        <v>45466.004444444443</v>
      </c>
      <c r="D799" s="197">
        <v>45466.00545138889</v>
      </c>
      <c r="E799" s="198" t="s">
        <v>244</v>
      </c>
      <c r="F799" s="199"/>
      <c r="G799" s="140" t="e">
        <f ca="1">mif(C799="","",OR(B799=リスト!$C$5,B799=リスト!$C$6),SUM(INDEX(G:G,MATCH(I799-1,I:I,0)+1,1):INDEX(G:G,MATCH(I799,I:I,0)-1,1)),D799-C799)</f>
        <v>#NAME?</v>
      </c>
      <c r="H799" s="140" t="e">
        <f ca="1">mif(C799="","",B799=リスト!$C$5,SUMIF(INDEX(B:B,MATCH(I799-1,I:I,0)+1,1):INDEX(B:B,MATCH(I799,I:I,0)-1,1),リスト!$C$7,INDEX(G:G,MATCH(I799-1,I:I,0)+1,1):INDEX(G:G,MATCH(I799,I:I,0)-1,1)),"")</f>
        <v>#NAME?</v>
      </c>
      <c r="I799" s="200" t="str">
        <f>IF(OR(B799=リスト!$C$5,B799=リスト!$C$6),COUNTIF($B$9:B799,リスト!$C$5)+COUNTIF($B$9:B799,リスト!$C$6),"")</f>
        <v/>
      </c>
    </row>
    <row r="800" spans="2:9" x14ac:dyDescent="0.2">
      <c r="B800" s="196"/>
      <c r="C800" s="197">
        <v>45466.060555555552</v>
      </c>
      <c r="D800" s="197">
        <v>45466.061388888891</v>
      </c>
      <c r="E800" s="198" t="s">
        <v>244</v>
      </c>
      <c r="F800" s="199"/>
      <c r="G800" s="140" t="e">
        <f ca="1">mif(C800="","",OR(B800=リスト!$C$5,B800=リスト!$C$6),SUM(INDEX(G:G,MATCH(I800-1,I:I,0)+1,1):INDEX(G:G,MATCH(I800,I:I,0)-1,1)),D800-C800)</f>
        <v>#NAME?</v>
      </c>
      <c r="H800" s="140" t="e">
        <f ca="1">mif(C800="","",B800=リスト!$C$5,SUMIF(INDEX(B:B,MATCH(I800-1,I:I,0)+1,1):INDEX(B:B,MATCH(I800,I:I,0)-1,1),リスト!$C$7,INDEX(G:G,MATCH(I800-1,I:I,0)+1,1):INDEX(G:G,MATCH(I800,I:I,0)-1,1)),"")</f>
        <v>#NAME?</v>
      </c>
      <c r="I800" s="200" t="str">
        <f>IF(OR(B800=リスト!$C$5,B800=リスト!$C$6),COUNTIF($B$9:B800,リスト!$C$5)+COUNTIF($B$9:B800,リスト!$C$6),"")</f>
        <v/>
      </c>
    </row>
    <row r="801" spans="2:9" x14ac:dyDescent="0.2">
      <c r="B801" s="196"/>
      <c r="C801" s="197">
        <v>45466.066354166665</v>
      </c>
      <c r="D801" s="197">
        <v>45466.066817129627</v>
      </c>
      <c r="E801" s="198" t="s">
        <v>244</v>
      </c>
      <c r="F801" s="199"/>
      <c r="G801" s="140" t="e">
        <f ca="1">mif(C801="","",OR(B801=リスト!$C$5,B801=リスト!$C$6),SUM(INDEX(G:G,MATCH(I801-1,I:I,0)+1,1):INDEX(G:G,MATCH(I801,I:I,0)-1,1)),D801-C801)</f>
        <v>#NAME?</v>
      </c>
      <c r="H801" s="140" t="e">
        <f ca="1">mif(C801="","",B801=リスト!$C$5,SUMIF(INDEX(B:B,MATCH(I801-1,I:I,0)+1,1):INDEX(B:B,MATCH(I801,I:I,0)-1,1),リスト!$C$7,INDEX(G:G,MATCH(I801-1,I:I,0)+1,1):INDEX(G:G,MATCH(I801,I:I,0)-1,1)),"")</f>
        <v>#NAME?</v>
      </c>
      <c r="I801" s="200" t="str">
        <f>IF(OR(B801=リスト!$C$5,B801=リスト!$C$6),COUNTIF($B$9:B801,リスト!$C$5)+COUNTIF($B$9:B801,リスト!$C$6),"")</f>
        <v/>
      </c>
    </row>
    <row r="802" spans="2:9" x14ac:dyDescent="0.2">
      <c r="B802" s="196"/>
      <c r="C802" s="197">
        <v>45466.07230324074</v>
      </c>
      <c r="D802" s="197">
        <v>45466.07271990741</v>
      </c>
      <c r="E802" s="198" t="s">
        <v>244</v>
      </c>
      <c r="F802" s="199"/>
      <c r="G802" s="140" t="e">
        <f ca="1">mif(C802="","",OR(B802=リスト!$C$5,B802=リスト!$C$6),SUM(INDEX(G:G,MATCH(I802-1,I:I,0)+1,1):INDEX(G:G,MATCH(I802,I:I,0)-1,1)),D802-C802)</f>
        <v>#NAME?</v>
      </c>
      <c r="H802" s="140" t="e">
        <f ca="1">mif(C802="","",B802=リスト!$C$5,SUMIF(INDEX(B:B,MATCH(I802-1,I:I,0)+1,1):INDEX(B:B,MATCH(I802,I:I,0)-1,1),リスト!$C$7,INDEX(G:G,MATCH(I802-1,I:I,0)+1,1):INDEX(G:G,MATCH(I802,I:I,0)-1,1)),"")</f>
        <v>#NAME?</v>
      </c>
      <c r="I802" s="200" t="str">
        <f>IF(OR(B802=リスト!$C$5,B802=リスト!$C$6),COUNTIF($B$9:B802,リスト!$C$5)+COUNTIF($B$9:B802,リスト!$C$6),"")</f>
        <v/>
      </c>
    </row>
    <row r="803" spans="2:9" x14ac:dyDescent="0.2">
      <c r="B803" s="196"/>
      <c r="C803" s="197">
        <v>45466.184247685182</v>
      </c>
      <c r="D803" s="197">
        <v>45466.184502314813</v>
      </c>
      <c r="E803" s="198" t="s">
        <v>244</v>
      </c>
      <c r="F803" s="199"/>
      <c r="G803" s="140" t="e">
        <f ca="1">mif(C803="","",OR(B803=リスト!$C$5,B803=リスト!$C$6),SUM(INDEX(G:G,MATCH(I803-1,I:I,0)+1,1):INDEX(G:G,MATCH(I803,I:I,0)-1,1)),D803-C803)</f>
        <v>#NAME?</v>
      </c>
      <c r="H803" s="140" t="e">
        <f ca="1">mif(C803="","",B803=リスト!$C$5,SUMIF(INDEX(B:B,MATCH(I803-1,I:I,0)+1,1):INDEX(B:B,MATCH(I803,I:I,0)-1,1),リスト!$C$7,INDEX(G:G,MATCH(I803-1,I:I,0)+1,1):INDEX(G:G,MATCH(I803,I:I,0)-1,1)),"")</f>
        <v>#NAME?</v>
      </c>
      <c r="I803" s="200" t="str">
        <f>IF(OR(B803=リスト!$C$5,B803=リスト!$C$6),COUNTIF($B$9:B803,リスト!$C$5)+COUNTIF($B$9:B803,リスト!$C$6),"")</f>
        <v/>
      </c>
    </row>
    <row r="804" spans="2:9" x14ac:dyDescent="0.2">
      <c r="B804" s="196"/>
      <c r="C804" s="197">
        <v>45466.255578703705</v>
      </c>
      <c r="D804" s="197">
        <v>45466.255856481483</v>
      </c>
      <c r="E804" s="198" t="s">
        <v>244</v>
      </c>
      <c r="F804" s="199"/>
      <c r="G804" s="140" t="e">
        <f ca="1">mif(C804="","",OR(B804=リスト!$C$5,B804=リスト!$C$6),SUM(INDEX(G:G,MATCH(I804-1,I:I,0)+1,1):INDEX(G:G,MATCH(I804,I:I,0)-1,1)),D804-C804)</f>
        <v>#NAME?</v>
      </c>
      <c r="H804" s="140" t="e">
        <f ca="1">mif(C804="","",B804=リスト!$C$5,SUMIF(INDEX(B:B,MATCH(I804-1,I:I,0)+1,1):INDEX(B:B,MATCH(I804,I:I,0)-1,1),リスト!$C$7,INDEX(G:G,MATCH(I804-1,I:I,0)+1,1):INDEX(G:G,MATCH(I804,I:I,0)-1,1)),"")</f>
        <v>#NAME?</v>
      </c>
      <c r="I804" s="200" t="str">
        <f>IF(OR(B804=リスト!$C$5,B804=リスト!$C$6),COUNTIF($B$9:B804,リスト!$C$5)+COUNTIF($B$9:B804,リスト!$C$6),"")</f>
        <v/>
      </c>
    </row>
    <row r="805" spans="2:9" x14ac:dyDescent="0.2">
      <c r="B805" s="196"/>
      <c r="C805" s="197">
        <v>45466.384479166663</v>
      </c>
      <c r="D805" s="197">
        <v>45466.384733796294</v>
      </c>
      <c r="E805" s="198" t="s">
        <v>244</v>
      </c>
      <c r="F805" s="199"/>
      <c r="G805" s="140" t="e">
        <f ca="1">mif(C805="","",OR(B805=リスト!$C$5,B805=リスト!$C$6),SUM(INDEX(G:G,MATCH(I805-1,I:I,0)+1,1):INDEX(G:G,MATCH(I805,I:I,0)-1,1)),D805-C805)</f>
        <v>#NAME?</v>
      </c>
      <c r="H805" s="140" t="e">
        <f ca="1">mif(C805="","",B805=リスト!$C$5,SUMIF(INDEX(B:B,MATCH(I805-1,I:I,0)+1,1):INDEX(B:B,MATCH(I805,I:I,0)-1,1),リスト!$C$7,INDEX(G:G,MATCH(I805-1,I:I,0)+1,1):INDEX(G:G,MATCH(I805,I:I,0)-1,1)),"")</f>
        <v>#NAME?</v>
      </c>
      <c r="I805" s="200" t="str">
        <f>IF(OR(B805=リスト!$C$5,B805=リスト!$C$6),COUNTIF($B$9:B805,リスト!$C$5)+COUNTIF($B$9:B805,リスト!$C$6),"")</f>
        <v/>
      </c>
    </row>
    <row r="806" spans="2:9" x14ac:dyDescent="0.2">
      <c r="B806" s="196"/>
      <c r="C806" s="197">
        <v>45466.412893518522</v>
      </c>
      <c r="D806" s="197">
        <v>45466.413356481484</v>
      </c>
      <c r="E806" s="198" t="s">
        <v>244</v>
      </c>
      <c r="F806" s="199"/>
      <c r="G806" s="140" t="e">
        <f ca="1">mif(C806="","",OR(B806=リスト!$C$5,B806=リスト!$C$6),SUM(INDEX(G:G,MATCH(I806-1,I:I,0)+1,1):INDEX(G:G,MATCH(I806,I:I,0)-1,1)),D806-C806)</f>
        <v>#NAME?</v>
      </c>
      <c r="H806" s="140" t="e">
        <f ca="1">mif(C806="","",B806=リスト!$C$5,SUMIF(INDEX(B:B,MATCH(I806-1,I:I,0)+1,1):INDEX(B:B,MATCH(I806,I:I,0)-1,1),リスト!$C$7,INDEX(G:G,MATCH(I806-1,I:I,0)+1,1):INDEX(G:G,MATCH(I806,I:I,0)-1,1)),"")</f>
        <v>#NAME?</v>
      </c>
      <c r="I806" s="200" t="str">
        <f>IF(OR(B806=リスト!$C$5,B806=リスト!$C$6),COUNTIF($B$9:B806,リスト!$C$5)+COUNTIF($B$9:B806,リスト!$C$6),"")</f>
        <v/>
      </c>
    </row>
    <row r="807" spans="2:9" x14ac:dyDescent="0.2">
      <c r="B807" s="196" t="s">
        <v>247</v>
      </c>
      <c r="C807" s="197">
        <v>45465.916666666664</v>
      </c>
      <c r="D807" s="197">
        <v>45466.416666666664</v>
      </c>
      <c r="E807" s="198">
        <v>12</v>
      </c>
      <c r="F807" s="199"/>
      <c r="G807" s="140" t="e">
        <f ca="1">mif(C807="","",OR(B807=リスト!$C$5,B807=リスト!$C$6),SUM(INDEX(G:G,MATCH(I807-1,I:I,0)+1,1):INDEX(G:G,MATCH(I807,I:I,0)-1,1)),D807-C807)</f>
        <v>#NAME?</v>
      </c>
      <c r="H807" s="140" t="e">
        <f ca="1">mif(C807="","",B807=リスト!$C$5,SUMIF(INDEX(B:B,MATCH(I807-1,I:I,0)+1,1):INDEX(B:B,MATCH(I807,I:I,0)-1,1),リスト!$C$7,INDEX(G:G,MATCH(I807-1,I:I,0)+1,1):INDEX(G:G,MATCH(I807,I:I,0)-1,1)),"")</f>
        <v>#NAME?</v>
      </c>
      <c r="I807" s="200">
        <f>IF(OR(B807=リスト!$C$5,B807=リスト!$C$6),COUNTIF($B$9:B807,リスト!$C$5)+COUNTIF($B$9:B807,リスト!$C$6),"")</f>
        <v>56</v>
      </c>
    </row>
    <row r="808" spans="2:9" x14ac:dyDescent="0.2">
      <c r="B808" s="196"/>
      <c r="C808" s="197">
        <v>45466.454953703702</v>
      </c>
      <c r="D808" s="197">
        <v>45466.455185185187</v>
      </c>
      <c r="E808" s="198" t="s">
        <v>244</v>
      </c>
      <c r="F808" s="199"/>
      <c r="G808" s="140" t="e">
        <f ca="1">mif(C808="","",OR(B808=リスト!$C$5,B808=リスト!$C$6),SUM(INDEX(G:G,MATCH(I808-1,I:I,0)+1,1):INDEX(G:G,MATCH(I808,I:I,0)-1,1)),D808-C808)</f>
        <v>#NAME?</v>
      </c>
      <c r="H808" s="140" t="e">
        <f ca="1">mif(C808="","",B808=リスト!$C$5,SUMIF(INDEX(B:B,MATCH(I808-1,I:I,0)+1,1):INDEX(B:B,MATCH(I808,I:I,0)-1,1),リスト!$C$7,INDEX(G:G,MATCH(I808-1,I:I,0)+1,1):INDEX(G:G,MATCH(I808,I:I,0)-1,1)),"")</f>
        <v>#NAME?</v>
      </c>
      <c r="I808" s="200" t="str">
        <f>IF(OR(B808=リスト!$C$5,B808=リスト!$C$6),COUNTIF($B$9:B808,リスト!$C$5)+COUNTIF($B$9:B808,リスト!$C$6),"")</f>
        <v/>
      </c>
    </row>
    <row r="809" spans="2:9" x14ac:dyDescent="0.2">
      <c r="B809" s="196"/>
      <c r="C809" s="197">
        <v>45466.483877314815</v>
      </c>
      <c r="D809" s="197">
        <v>45466.484456018516</v>
      </c>
      <c r="E809" s="198" t="s">
        <v>244</v>
      </c>
      <c r="F809" s="199"/>
      <c r="G809" s="140" t="e">
        <f ca="1">mif(C809="","",OR(B809=リスト!$C$5,B809=リスト!$C$6),SUM(INDEX(G:G,MATCH(I809-1,I:I,0)+1,1):INDEX(G:G,MATCH(I809,I:I,0)-1,1)),D809-C809)</f>
        <v>#NAME?</v>
      </c>
      <c r="H809" s="140" t="e">
        <f ca="1">mif(C809="","",B809=リスト!$C$5,SUMIF(INDEX(B:B,MATCH(I809-1,I:I,0)+1,1):INDEX(B:B,MATCH(I809,I:I,0)-1,1),リスト!$C$7,INDEX(G:G,MATCH(I809-1,I:I,0)+1,1):INDEX(G:G,MATCH(I809,I:I,0)-1,1)),"")</f>
        <v>#NAME?</v>
      </c>
      <c r="I809" s="200" t="str">
        <f>IF(OR(B809=リスト!$C$5,B809=リスト!$C$6),COUNTIF($B$9:B809,リスト!$C$5)+COUNTIF($B$9:B809,リスト!$C$6),"")</f>
        <v/>
      </c>
    </row>
    <row r="810" spans="2:9" x14ac:dyDescent="0.2">
      <c r="B810" s="196"/>
      <c r="C810" s="197">
        <v>45466.484525462962</v>
      </c>
      <c r="D810" s="197">
        <v>45466.484803240739</v>
      </c>
      <c r="E810" s="198" t="s">
        <v>244</v>
      </c>
      <c r="F810" s="199"/>
      <c r="G810" s="140" t="e">
        <f ca="1">mif(C810="","",OR(B810=リスト!$C$5,B810=リスト!$C$6),SUM(INDEX(G:G,MATCH(I810-1,I:I,0)+1,1):INDEX(G:G,MATCH(I810,I:I,0)-1,1)),D810-C810)</f>
        <v>#NAME?</v>
      </c>
      <c r="H810" s="140" t="e">
        <f ca="1">mif(C810="","",B810=リスト!$C$5,SUMIF(INDEX(B:B,MATCH(I810-1,I:I,0)+1,1):INDEX(B:B,MATCH(I810,I:I,0)-1,1),リスト!$C$7,INDEX(G:G,MATCH(I810-1,I:I,0)+1,1):INDEX(G:G,MATCH(I810,I:I,0)-1,1)),"")</f>
        <v>#NAME?</v>
      </c>
      <c r="I810" s="200" t="str">
        <f>IF(OR(B810=リスト!$C$5,B810=リスト!$C$6),COUNTIF($B$9:B810,リスト!$C$5)+COUNTIF($B$9:B810,リスト!$C$6),"")</f>
        <v/>
      </c>
    </row>
    <row r="811" spans="2:9" x14ac:dyDescent="0.2">
      <c r="B811" s="196"/>
      <c r="C811" s="197">
        <v>45466.497546296298</v>
      </c>
      <c r="D811" s="197">
        <v>45466.497916666667</v>
      </c>
      <c r="E811" s="198" t="s">
        <v>244</v>
      </c>
      <c r="F811" s="199"/>
      <c r="G811" s="140" t="e">
        <f ca="1">mif(C811="","",OR(B811=リスト!$C$5,B811=リスト!$C$6),SUM(INDEX(G:G,MATCH(I811-1,I:I,0)+1,1):INDEX(G:G,MATCH(I811,I:I,0)-1,1)),D811-C811)</f>
        <v>#NAME?</v>
      </c>
      <c r="H811" s="140" t="e">
        <f ca="1">mif(C811="","",B811=リスト!$C$5,SUMIF(INDEX(B:B,MATCH(I811-1,I:I,0)+1,1):INDEX(B:B,MATCH(I811,I:I,0)-1,1),リスト!$C$7,INDEX(G:G,MATCH(I811-1,I:I,0)+1,1):INDEX(G:G,MATCH(I811,I:I,0)-1,1)),"")</f>
        <v>#NAME?</v>
      </c>
      <c r="I811" s="200" t="str">
        <f>IF(OR(B811=リスト!$C$5,B811=リスト!$C$6),COUNTIF($B$9:B811,リスト!$C$5)+COUNTIF($B$9:B811,リスト!$C$6),"")</f>
        <v/>
      </c>
    </row>
    <row r="812" spans="2:9" x14ac:dyDescent="0.2">
      <c r="B812" s="196"/>
      <c r="C812" s="197">
        <v>45466.506226851852</v>
      </c>
      <c r="D812" s="197">
        <v>45466.506527777776</v>
      </c>
      <c r="E812" s="198" t="s">
        <v>244</v>
      </c>
      <c r="F812" s="199"/>
      <c r="G812" s="140" t="e">
        <f ca="1">mif(C812="","",OR(B812=リスト!$C$5,B812=リスト!$C$6),SUM(INDEX(G:G,MATCH(I812-1,I:I,0)+1,1):INDEX(G:G,MATCH(I812,I:I,0)-1,1)),D812-C812)</f>
        <v>#NAME?</v>
      </c>
      <c r="H812" s="140" t="e">
        <f ca="1">mif(C812="","",B812=リスト!$C$5,SUMIF(INDEX(B:B,MATCH(I812-1,I:I,0)+1,1):INDEX(B:B,MATCH(I812,I:I,0)-1,1),リスト!$C$7,INDEX(G:G,MATCH(I812-1,I:I,0)+1,1):INDEX(G:G,MATCH(I812,I:I,0)-1,1)),"")</f>
        <v>#NAME?</v>
      </c>
      <c r="I812" s="200" t="str">
        <f>IF(OR(B812=リスト!$C$5,B812=リスト!$C$6),COUNTIF($B$9:B812,リスト!$C$5)+COUNTIF($B$9:B812,リスト!$C$6),"")</f>
        <v/>
      </c>
    </row>
    <row r="813" spans="2:9" x14ac:dyDescent="0.2">
      <c r="B813" s="196"/>
      <c r="C813" s="197">
        <v>45466.540196759262</v>
      </c>
      <c r="D813" s="197">
        <v>45466.540868055556</v>
      </c>
      <c r="E813" s="198" t="s">
        <v>244</v>
      </c>
      <c r="F813" s="199"/>
      <c r="G813" s="140" t="e">
        <f ca="1">mif(C813="","",OR(B813=リスト!$C$5,B813=リスト!$C$6),SUM(INDEX(G:G,MATCH(I813-1,I:I,0)+1,1):INDEX(G:G,MATCH(I813,I:I,0)-1,1)),D813-C813)</f>
        <v>#NAME?</v>
      </c>
      <c r="H813" s="140" t="e">
        <f ca="1">mif(C813="","",B813=リスト!$C$5,SUMIF(INDEX(B:B,MATCH(I813-1,I:I,0)+1,1):INDEX(B:B,MATCH(I813,I:I,0)-1,1),リスト!$C$7,INDEX(G:G,MATCH(I813-1,I:I,0)+1,1):INDEX(G:G,MATCH(I813,I:I,0)-1,1)),"")</f>
        <v>#NAME?</v>
      </c>
      <c r="I813" s="200" t="str">
        <f>IF(OR(B813=リスト!$C$5,B813=リスト!$C$6),COUNTIF($B$9:B813,リスト!$C$5)+COUNTIF($B$9:B813,リスト!$C$6),"")</f>
        <v/>
      </c>
    </row>
    <row r="814" spans="2:9" x14ac:dyDescent="0.2">
      <c r="B814" s="196"/>
      <c r="C814" s="197">
        <v>45466.649305555555</v>
      </c>
      <c r="D814" s="197">
        <v>45466.649606481478</v>
      </c>
      <c r="E814" s="198" t="s">
        <v>244</v>
      </c>
      <c r="F814" s="199"/>
      <c r="G814" s="140" t="e">
        <f ca="1">mif(C814="","",OR(B814=リスト!$C$5,B814=リスト!$C$6),SUM(INDEX(G:G,MATCH(I814-1,I:I,0)+1,1):INDEX(G:G,MATCH(I814,I:I,0)-1,1)),D814-C814)</f>
        <v>#NAME?</v>
      </c>
      <c r="H814" s="140" t="e">
        <f ca="1">mif(C814="","",B814=リスト!$C$5,SUMIF(INDEX(B:B,MATCH(I814-1,I:I,0)+1,1):INDEX(B:B,MATCH(I814,I:I,0)-1,1),リスト!$C$7,INDEX(G:G,MATCH(I814-1,I:I,0)+1,1):INDEX(G:G,MATCH(I814,I:I,0)-1,1)),"")</f>
        <v>#NAME?</v>
      </c>
      <c r="I814" s="200" t="str">
        <f>IF(OR(B814=リスト!$C$5,B814=リスト!$C$6),COUNTIF($B$9:B814,リスト!$C$5)+COUNTIF($B$9:B814,リスト!$C$6),"")</f>
        <v/>
      </c>
    </row>
    <row r="815" spans="2:9" x14ac:dyDescent="0.2">
      <c r="B815" s="196"/>
      <c r="C815" s="197">
        <v>45466.661851851852</v>
      </c>
      <c r="D815" s="197">
        <v>45466.662245370368</v>
      </c>
      <c r="E815" s="198" t="s">
        <v>244</v>
      </c>
      <c r="F815" s="199"/>
      <c r="G815" s="140" t="e">
        <f ca="1">mif(C815="","",OR(B815=リスト!$C$5,B815=リスト!$C$6),SUM(INDEX(G:G,MATCH(I815-1,I:I,0)+1,1):INDEX(G:G,MATCH(I815,I:I,0)-1,1)),D815-C815)</f>
        <v>#NAME?</v>
      </c>
      <c r="H815" s="140" t="e">
        <f ca="1">mif(C815="","",B815=リスト!$C$5,SUMIF(INDEX(B:B,MATCH(I815-1,I:I,0)+1,1):INDEX(B:B,MATCH(I815,I:I,0)-1,1),リスト!$C$7,INDEX(G:G,MATCH(I815-1,I:I,0)+1,1):INDEX(G:G,MATCH(I815,I:I,0)-1,1)),"")</f>
        <v>#NAME?</v>
      </c>
      <c r="I815" s="200" t="str">
        <f>IF(OR(B815=リスト!$C$5,B815=リスト!$C$6),COUNTIF($B$9:B815,リスト!$C$5)+COUNTIF($B$9:B815,リスト!$C$6),"")</f>
        <v/>
      </c>
    </row>
    <row r="816" spans="2:9" x14ac:dyDescent="0.2">
      <c r="B816" s="196"/>
      <c r="C816" s="197">
        <v>45466.744571759256</v>
      </c>
      <c r="D816" s="197">
        <v>45466.744849537034</v>
      </c>
      <c r="E816" s="198" t="s">
        <v>244</v>
      </c>
      <c r="F816" s="199"/>
      <c r="G816" s="140" t="e">
        <f ca="1">mif(C816="","",OR(B816=リスト!$C$5,B816=リスト!$C$6),SUM(INDEX(G:G,MATCH(I816-1,I:I,0)+1,1):INDEX(G:G,MATCH(I816,I:I,0)-1,1)),D816-C816)</f>
        <v>#NAME?</v>
      </c>
      <c r="H816" s="140" t="e">
        <f ca="1">mif(C816="","",B816=リスト!$C$5,SUMIF(INDEX(B:B,MATCH(I816-1,I:I,0)+1,1):INDEX(B:B,MATCH(I816,I:I,0)-1,1),リスト!$C$7,INDEX(G:G,MATCH(I816-1,I:I,0)+1,1):INDEX(G:G,MATCH(I816,I:I,0)-1,1)),"")</f>
        <v>#NAME?</v>
      </c>
      <c r="I816" s="200" t="str">
        <f>IF(OR(B816=リスト!$C$5,B816=リスト!$C$6),COUNTIF($B$9:B816,リスト!$C$5)+COUNTIF($B$9:B816,リスト!$C$6),"")</f>
        <v/>
      </c>
    </row>
    <row r="817" spans="2:9" x14ac:dyDescent="0.2">
      <c r="B817" s="196"/>
      <c r="C817" s="197">
        <v>45466.765833333331</v>
      </c>
      <c r="D817" s="197">
        <v>45466.766365740739</v>
      </c>
      <c r="E817" s="198" t="s">
        <v>244</v>
      </c>
      <c r="F817" s="199"/>
      <c r="G817" s="140" t="e">
        <f ca="1">mif(C817="","",OR(B817=リスト!$C$5,B817=リスト!$C$6),SUM(INDEX(G:G,MATCH(I817-1,I:I,0)+1,1):INDEX(G:G,MATCH(I817,I:I,0)-1,1)),D817-C817)</f>
        <v>#NAME?</v>
      </c>
      <c r="H817" s="140" t="e">
        <f ca="1">mif(C817="","",B817=リスト!$C$5,SUMIF(INDEX(B:B,MATCH(I817-1,I:I,0)+1,1):INDEX(B:B,MATCH(I817,I:I,0)-1,1),リスト!$C$7,INDEX(G:G,MATCH(I817-1,I:I,0)+1,1):INDEX(G:G,MATCH(I817,I:I,0)-1,1)),"")</f>
        <v>#NAME?</v>
      </c>
      <c r="I817" s="200" t="str">
        <f>IF(OR(B817=リスト!$C$5,B817=リスト!$C$6),COUNTIF($B$9:B817,リスト!$C$5)+COUNTIF($B$9:B817,リスト!$C$6),"")</f>
        <v/>
      </c>
    </row>
    <row r="818" spans="2:9" x14ac:dyDescent="0.2">
      <c r="B818" s="196"/>
      <c r="C818" s="197">
        <v>45466.835497685184</v>
      </c>
      <c r="D818" s="197">
        <v>45466.837581018517</v>
      </c>
      <c r="E818" s="198" t="s">
        <v>244</v>
      </c>
      <c r="F818" s="199"/>
      <c r="G818" s="140" t="e">
        <f ca="1">mif(C818="","",OR(B818=リスト!$C$5,B818=リスト!$C$6),SUM(INDEX(G:G,MATCH(I818-1,I:I,0)+1,1):INDEX(G:G,MATCH(I818,I:I,0)-1,1)),D818-C818)</f>
        <v>#NAME?</v>
      </c>
      <c r="H818" s="140" t="e">
        <f ca="1">mif(C818="","",B818=リスト!$C$5,SUMIF(INDEX(B:B,MATCH(I818-1,I:I,0)+1,1):INDEX(B:B,MATCH(I818,I:I,0)-1,1),リスト!$C$7,INDEX(G:G,MATCH(I818-1,I:I,0)+1,1):INDEX(G:G,MATCH(I818,I:I,0)-1,1)),"")</f>
        <v>#NAME?</v>
      </c>
      <c r="I818" s="200" t="str">
        <f>IF(OR(B818=リスト!$C$5,B818=リスト!$C$6),COUNTIF($B$9:B818,リスト!$C$5)+COUNTIF($B$9:B818,リスト!$C$6),"")</f>
        <v/>
      </c>
    </row>
    <row r="819" spans="2:9" x14ac:dyDescent="0.2">
      <c r="B819" s="196"/>
      <c r="C819" s="197">
        <v>45466.842141203706</v>
      </c>
      <c r="D819" s="197">
        <v>45466.842673611114</v>
      </c>
      <c r="E819" s="198" t="s">
        <v>244</v>
      </c>
      <c r="F819" s="199"/>
      <c r="G819" s="140" t="e">
        <f ca="1">mif(C819="","",OR(B819=リスト!$C$5,B819=リスト!$C$6),SUM(INDEX(G:G,MATCH(I819-1,I:I,0)+1,1):INDEX(G:G,MATCH(I819,I:I,0)-1,1)),D819-C819)</f>
        <v>#NAME?</v>
      </c>
      <c r="H819" s="140" t="e">
        <f ca="1">mif(C819="","",B819=リスト!$C$5,SUMIF(INDEX(B:B,MATCH(I819-1,I:I,0)+1,1):INDEX(B:B,MATCH(I819,I:I,0)-1,1),リスト!$C$7,INDEX(G:G,MATCH(I819-1,I:I,0)+1,1):INDEX(G:G,MATCH(I819,I:I,0)-1,1)),"")</f>
        <v>#NAME?</v>
      </c>
      <c r="I819" s="200" t="str">
        <f>IF(OR(B819=リスト!$C$5,B819=リスト!$C$6),COUNTIF($B$9:B819,リスト!$C$5)+COUNTIF($B$9:B819,リスト!$C$6),"")</f>
        <v/>
      </c>
    </row>
    <row r="820" spans="2:9" x14ac:dyDescent="0.2">
      <c r="B820" s="196" t="s">
        <v>245</v>
      </c>
      <c r="C820" s="197">
        <v>45466.870833333334</v>
      </c>
      <c r="D820" s="197">
        <v>45466.875694444447</v>
      </c>
      <c r="E820" s="198"/>
      <c r="F820" s="199" t="s">
        <v>246</v>
      </c>
      <c r="G820" s="140" t="e">
        <f ca="1">mif(C820="","",OR(B820=リスト!$C$5,B820=リスト!$C$6),SUM(INDEX(G:G,MATCH(I820-1,I:I,0)+1,1):INDEX(G:G,MATCH(I820,I:I,0)-1,1)),D820-C820)</f>
        <v>#NAME?</v>
      </c>
      <c r="H820" s="140" t="e">
        <f ca="1">mif(C820="","",B820=リスト!$C$5,SUMIF(INDEX(B:B,MATCH(I820-1,I:I,0)+1,1):INDEX(B:B,MATCH(I820,I:I,0)-1,1),リスト!$C$7,INDEX(G:G,MATCH(I820-1,I:I,0)+1,1):INDEX(G:G,MATCH(I820,I:I,0)-1,1)),"")</f>
        <v>#NAME?</v>
      </c>
      <c r="I820" s="200" t="str">
        <f>IF(OR(B820=リスト!$C$5,B820=リスト!$C$6),COUNTIF($B$9:B820,リスト!$C$5)+COUNTIF($B$9:B820,リスト!$C$6),"")</f>
        <v/>
      </c>
    </row>
    <row r="821" spans="2:9" x14ac:dyDescent="0.2">
      <c r="B821" s="196"/>
      <c r="C821" s="197">
        <v>45466.896168981482</v>
      </c>
      <c r="D821" s="197">
        <v>45466.89644675926</v>
      </c>
      <c r="E821" s="198" t="s">
        <v>244</v>
      </c>
      <c r="F821" s="199"/>
      <c r="G821" s="140" t="e">
        <f ca="1">mif(C821="","",OR(B821=リスト!$C$5,B821=リスト!$C$6),SUM(INDEX(G:G,MATCH(I821-1,I:I,0)+1,1):INDEX(G:G,MATCH(I821,I:I,0)-1,1)),D821-C821)</f>
        <v>#NAME?</v>
      </c>
      <c r="H821" s="140" t="e">
        <f ca="1">mif(C821="","",B821=リスト!$C$5,SUMIF(INDEX(B:B,MATCH(I821-1,I:I,0)+1,1):INDEX(B:B,MATCH(I821,I:I,0)-1,1),リスト!$C$7,INDEX(G:G,MATCH(I821-1,I:I,0)+1,1):INDEX(G:G,MATCH(I821,I:I,0)-1,1)),"")</f>
        <v>#NAME?</v>
      </c>
      <c r="I821" s="200" t="str">
        <f>IF(OR(B821=リスト!$C$5,B821=リスト!$C$6),COUNTIF($B$9:B821,リスト!$C$5)+COUNTIF($B$9:B821,リスト!$C$6),"")</f>
        <v/>
      </c>
    </row>
    <row r="822" spans="2:9" x14ac:dyDescent="0.2">
      <c r="B822" s="196" t="s">
        <v>247</v>
      </c>
      <c r="C822" s="197">
        <v>45466.416666666664</v>
      </c>
      <c r="D822" s="197">
        <v>45466.916666666664</v>
      </c>
      <c r="E822" s="198">
        <v>13</v>
      </c>
      <c r="F822" s="199" t="s">
        <v>246</v>
      </c>
      <c r="G822" s="140" t="e">
        <f ca="1">mif(C822="","",OR(B822=リスト!$C$5,B822=リスト!$C$6),SUM(INDEX(G:G,MATCH(I822-1,I:I,0)+1,1):INDEX(G:G,MATCH(I822,I:I,0)-1,1)),D822-C822)</f>
        <v>#NAME?</v>
      </c>
      <c r="H822" s="140" t="e">
        <f ca="1">mif(C822="","",B822=リスト!$C$5,SUMIF(INDEX(B:B,MATCH(I822-1,I:I,0)+1,1):INDEX(B:B,MATCH(I822,I:I,0)-1,1),リスト!$C$7,INDEX(G:G,MATCH(I822-1,I:I,0)+1,1):INDEX(G:G,MATCH(I822,I:I,0)-1,1)),"")</f>
        <v>#NAME?</v>
      </c>
      <c r="I822" s="200">
        <f>IF(OR(B822=リスト!$C$5,B822=リスト!$C$6),COUNTIF($B$9:B822,リスト!$C$5)+COUNTIF($B$9:B822,リスト!$C$6),"")</f>
        <v>57</v>
      </c>
    </row>
    <row r="823" spans="2:9" x14ac:dyDescent="0.2">
      <c r="B823" s="196"/>
      <c r="C823" s="197">
        <v>45466.940381944441</v>
      </c>
      <c r="D823" s="197">
        <v>45466.941076388888</v>
      </c>
      <c r="E823" s="198" t="s">
        <v>244</v>
      </c>
      <c r="F823" s="199"/>
      <c r="G823" s="140" t="e">
        <f ca="1">mif(C823="","",OR(B823=リスト!$C$5,B823=リスト!$C$6),SUM(INDEX(G:G,MATCH(I823-1,I:I,0)+1,1):INDEX(G:G,MATCH(I823,I:I,0)-1,1)),D823-C823)</f>
        <v>#NAME?</v>
      </c>
      <c r="H823" s="140" t="e">
        <f ca="1">mif(C823="","",B823=リスト!$C$5,SUMIF(INDEX(B:B,MATCH(I823-1,I:I,0)+1,1):INDEX(B:B,MATCH(I823,I:I,0)-1,1),リスト!$C$7,INDEX(G:G,MATCH(I823-1,I:I,0)+1,1):INDEX(G:G,MATCH(I823,I:I,0)-1,1)),"")</f>
        <v>#NAME?</v>
      </c>
      <c r="I823" s="200" t="str">
        <f>IF(OR(B823=リスト!$C$5,B823=リスト!$C$6),COUNTIF($B$9:B823,リスト!$C$5)+COUNTIF($B$9:B823,リスト!$C$6),"")</f>
        <v/>
      </c>
    </row>
    <row r="824" spans="2:9" x14ac:dyDescent="0.2">
      <c r="B824" s="196"/>
      <c r="C824" s="197">
        <v>45466.947395833333</v>
      </c>
      <c r="D824" s="197">
        <v>45466.94771990741</v>
      </c>
      <c r="E824" s="198" t="s">
        <v>244</v>
      </c>
      <c r="F824" s="199"/>
      <c r="G824" s="140" t="e">
        <f ca="1">mif(C824="","",OR(B824=リスト!$C$5,B824=リスト!$C$6),SUM(INDEX(G:G,MATCH(I824-1,I:I,0)+1,1):INDEX(G:G,MATCH(I824,I:I,0)-1,1)),D824-C824)</f>
        <v>#NAME?</v>
      </c>
      <c r="H824" s="140" t="e">
        <f ca="1">mif(C824="","",B824=リスト!$C$5,SUMIF(INDEX(B:B,MATCH(I824-1,I:I,0)+1,1):INDEX(B:B,MATCH(I824,I:I,0)-1,1),リスト!$C$7,INDEX(G:G,MATCH(I824-1,I:I,0)+1,1):INDEX(G:G,MATCH(I824,I:I,0)-1,1)),"")</f>
        <v>#NAME?</v>
      </c>
      <c r="I824" s="200" t="str">
        <f>IF(OR(B824=リスト!$C$5,B824=リスト!$C$6),COUNTIF($B$9:B824,リスト!$C$5)+COUNTIF($B$9:B824,リスト!$C$6),"")</f>
        <v/>
      </c>
    </row>
    <row r="825" spans="2:9" x14ac:dyDescent="0.2">
      <c r="B825" s="196"/>
      <c r="C825" s="197">
        <v>45466.982951388891</v>
      </c>
      <c r="D825" s="197">
        <v>45466.983437499999</v>
      </c>
      <c r="E825" s="198" t="s">
        <v>244</v>
      </c>
      <c r="F825" s="199"/>
      <c r="G825" s="140" t="e">
        <f ca="1">mif(C825="","",OR(B825=リスト!$C$5,B825=リスト!$C$6),SUM(INDEX(G:G,MATCH(I825-1,I:I,0)+1,1):INDEX(G:G,MATCH(I825,I:I,0)-1,1)),D825-C825)</f>
        <v>#NAME?</v>
      </c>
      <c r="H825" s="140" t="e">
        <f ca="1">mif(C825="","",B825=リスト!$C$5,SUMIF(INDEX(B:B,MATCH(I825-1,I:I,0)+1,1):INDEX(B:B,MATCH(I825,I:I,0)-1,1),リスト!$C$7,INDEX(G:G,MATCH(I825-1,I:I,0)+1,1):INDEX(G:G,MATCH(I825,I:I,0)-1,1)),"")</f>
        <v>#NAME?</v>
      </c>
      <c r="I825" s="200" t="str">
        <f>IF(OR(B825=リスト!$C$5,B825=リスト!$C$6),COUNTIF($B$9:B825,リスト!$C$5)+COUNTIF($B$9:B825,リスト!$C$6),"")</f>
        <v/>
      </c>
    </row>
    <row r="826" spans="2:9" x14ac:dyDescent="0.2">
      <c r="B826" s="196"/>
      <c r="C826" s="197">
        <v>45466.992349537039</v>
      </c>
      <c r="D826" s="197">
        <v>45466.992650462962</v>
      </c>
      <c r="E826" s="198" t="s">
        <v>244</v>
      </c>
      <c r="F826" s="199"/>
      <c r="G826" s="140" t="e">
        <f ca="1">mif(C826="","",OR(B826=リスト!$C$5,B826=リスト!$C$6),SUM(INDEX(G:G,MATCH(I826-1,I:I,0)+1,1):INDEX(G:G,MATCH(I826,I:I,0)-1,1)),D826-C826)</f>
        <v>#NAME?</v>
      </c>
      <c r="H826" s="140" t="e">
        <f ca="1">mif(C826="","",B826=リスト!$C$5,SUMIF(INDEX(B:B,MATCH(I826-1,I:I,0)+1,1):INDEX(B:B,MATCH(I826,I:I,0)-1,1),リスト!$C$7,INDEX(G:G,MATCH(I826-1,I:I,0)+1,1):INDEX(G:G,MATCH(I826,I:I,0)-1,1)),"")</f>
        <v>#NAME?</v>
      </c>
      <c r="I826" s="200" t="str">
        <f>IF(OR(B826=リスト!$C$5,B826=リスト!$C$6),COUNTIF($B$9:B826,リスト!$C$5)+COUNTIF($B$9:B826,リスト!$C$6),"")</f>
        <v/>
      </c>
    </row>
    <row r="827" spans="2:9" x14ac:dyDescent="0.2">
      <c r="B827" s="196"/>
      <c r="C827" s="197">
        <v>45467.06627314815</v>
      </c>
      <c r="D827" s="197">
        <v>45467.066550925927</v>
      </c>
      <c r="E827" s="198" t="s">
        <v>244</v>
      </c>
      <c r="F827" s="199"/>
      <c r="G827" s="140" t="e">
        <f ca="1">mif(C827="","",OR(B827=リスト!$C$5,B827=リスト!$C$6),SUM(INDEX(G:G,MATCH(I827-1,I:I,0)+1,1):INDEX(G:G,MATCH(I827,I:I,0)-1,1)),D827-C827)</f>
        <v>#NAME?</v>
      </c>
      <c r="H827" s="140" t="e">
        <f ca="1">mif(C827="","",B827=リスト!$C$5,SUMIF(INDEX(B:B,MATCH(I827-1,I:I,0)+1,1):INDEX(B:B,MATCH(I827,I:I,0)-1,1),リスト!$C$7,INDEX(G:G,MATCH(I827-1,I:I,0)+1,1):INDEX(G:G,MATCH(I827,I:I,0)-1,1)),"")</f>
        <v>#NAME?</v>
      </c>
      <c r="I827" s="200" t="str">
        <f>IF(OR(B827=リスト!$C$5,B827=リスト!$C$6),COUNTIF($B$9:B827,リスト!$C$5)+COUNTIF($B$9:B827,リスト!$C$6),"")</f>
        <v/>
      </c>
    </row>
    <row r="828" spans="2:9" x14ac:dyDescent="0.2">
      <c r="B828" s="196"/>
      <c r="C828" s="197">
        <v>45467.106736111113</v>
      </c>
      <c r="D828" s="197">
        <v>45467.10701388889</v>
      </c>
      <c r="E828" s="198" t="s">
        <v>244</v>
      </c>
      <c r="F828" s="199"/>
      <c r="G828" s="140" t="e">
        <f ca="1">mif(C828="","",OR(B828=リスト!$C$5,B828=リスト!$C$6),SUM(INDEX(G:G,MATCH(I828-1,I:I,0)+1,1):INDEX(G:G,MATCH(I828,I:I,0)-1,1)),D828-C828)</f>
        <v>#NAME?</v>
      </c>
      <c r="H828" s="140" t="e">
        <f ca="1">mif(C828="","",B828=リスト!$C$5,SUMIF(INDEX(B:B,MATCH(I828-1,I:I,0)+1,1):INDEX(B:B,MATCH(I828,I:I,0)-1,1),リスト!$C$7,INDEX(G:G,MATCH(I828-1,I:I,0)+1,1):INDEX(G:G,MATCH(I828,I:I,0)-1,1)),"")</f>
        <v>#NAME?</v>
      </c>
      <c r="I828" s="200" t="str">
        <f>IF(OR(B828=リスト!$C$5,B828=リスト!$C$6),COUNTIF($B$9:B828,リスト!$C$5)+COUNTIF($B$9:B828,リスト!$C$6),"")</f>
        <v/>
      </c>
    </row>
    <row r="829" spans="2:9" x14ac:dyDescent="0.2">
      <c r="B829" s="196"/>
      <c r="C829" s="197">
        <v>45467.112407407411</v>
      </c>
      <c r="D829" s="197">
        <v>45467.112754629627</v>
      </c>
      <c r="E829" s="198" t="s">
        <v>244</v>
      </c>
      <c r="F829" s="199"/>
      <c r="G829" s="140" t="e">
        <f ca="1">mif(C829="","",OR(B829=リスト!$C$5,B829=リスト!$C$6),SUM(INDEX(G:G,MATCH(I829-1,I:I,0)+1,1):INDEX(G:G,MATCH(I829,I:I,0)-1,1)),D829-C829)</f>
        <v>#NAME?</v>
      </c>
      <c r="H829" s="140" t="e">
        <f ca="1">mif(C829="","",B829=リスト!$C$5,SUMIF(INDEX(B:B,MATCH(I829-1,I:I,0)+1,1):INDEX(B:B,MATCH(I829,I:I,0)-1,1),リスト!$C$7,INDEX(G:G,MATCH(I829-1,I:I,0)+1,1):INDEX(G:G,MATCH(I829,I:I,0)-1,1)),"")</f>
        <v>#NAME?</v>
      </c>
      <c r="I829" s="200" t="str">
        <f>IF(OR(B829=リスト!$C$5,B829=リスト!$C$6),COUNTIF($B$9:B829,リスト!$C$5)+COUNTIF($B$9:B829,リスト!$C$6),"")</f>
        <v/>
      </c>
    </row>
    <row r="830" spans="2:9" x14ac:dyDescent="0.2">
      <c r="B830" s="196"/>
      <c r="C830" s="197">
        <v>45467.129884259259</v>
      </c>
      <c r="D830" s="197">
        <v>45467.130243055559</v>
      </c>
      <c r="E830" s="198" t="s">
        <v>244</v>
      </c>
      <c r="F830" s="199"/>
      <c r="G830" s="140" t="e">
        <f ca="1">mif(C830="","",OR(B830=リスト!$C$5,B830=リスト!$C$6),SUM(INDEX(G:G,MATCH(I830-1,I:I,0)+1,1):INDEX(G:G,MATCH(I830,I:I,0)-1,1)),D830-C830)</f>
        <v>#NAME?</v>
      </c>
      <c r="H830" s="140" t="e">
        <f ca="1">mif(C830="","",B830=リスト!$C$5,SUMIF(INDEX(B:B,MATCH(I830-1,I:I,0)+1,1):INDEX(B:B,MATCH(I830,I:I,0)-1,1),リスト!$C$7,INDEX(G:G,MATCH(I830-1,I:I,0)+1,1):INDEX(G:G,MATCH(I830,I:I,0)-1,1)),"")</f>
        <v>#NAME?</v>
      </c>
      <c r="I830" s="200" t="str">
        <f>IF(OR(B830=リスト!$C$5,B830=リスト!$C$6),COUNTIF($B$9:B830,リスト!$C$5)+COUNTIF($B$9:B830,リスト!$C$6),"")</f>
        <v/>
      </c>
    </row>
    <row r="831" spans="2:9" x14ac:dyDescent="0.2">
      <c r="B831" s="196"/>
      <c r="C831" s="197">
        <v>45467.162893518522</v>
      </c>
      <c r="D831" s="197">
        <v>45467.163217592592</v>
      </c>
      <c r="E831" s="198" t="s">
        <v>244</v>
      </c>
      <c r="F831" s="199"/>
      <c r="G831" s="140" t="e">
        <f ca="1">mif(C831="","",OR(B831=リスト!$C$5,B831=リスト!$C$6),SUM(INDEX(G:G,MATCH(I831-1,I:I,0)+1,1):INDEX(G:G,MATCH(I831,I:I,0)-1,1)),D831-C831)</f>
        <v>#NAME?</v>
      </c>
      <c r="H831" s="140" t="e">
        <f ca="1">mif(C831="","",B831=リスト!$C$5,SUMIF(INDEX(B:B,MATCH(I831-1,I:I,0)+1,1):INDEX(B:B,MATCH(I831,I:I,0)-1,1),リスト!$C$7,INDEX(G:G,MATCH(I831-1,I:I,0)+1,1):INDEX(G:G,MATCH(I831,I:I,0)-1,1)),"")</f>
        <v>#NAME?</v>
      </c>
      <c r="I831" s="200" t="str">
        <f>IF(OR(B831=リスト!$C$5,B831=リスト!$C$6),COUNTIF($B$9:B831,リスト!$C$5)+COUNTIF($B$9:B831,リスト!$C$6),"")</f>
        <v/>
      </c>
    </row>
    <row r="832" spans="2:9" x14ac:dyDescent="0.2">
      <c r="B832" s="196"/>
      <c r="C832" s="197">
        <v>45467.208680555559</v>
      </c>
      <c r="D832" s="197">
        <v>45467.208958333336</v>
      </c>
      <c r="E832" s="198" t="s">
        <v>244</v>
      </c>
      <c r="F832" s="199"/>
      <c r="G832" s="140" t="e">
        <f ca="1">mif(C832="","",OR(B832=リスト!$C$5,B832=リスト!$C$6),SUM(INDEX(G:G,MATCH(I832-1,I:I,0)+1,1):INDEX(G:G,MATCH(I832,I:I,0)-1,1)),D832-C832)</f>
        <v>#NAME?</v>
      </c>
      <c r="H832" s="140" t="e">
        <f ca="1">mif(C832="","",B832=リスト!$C$5,SUMIF(INDEX(B:B,MATCH(I832-1,I:I,0)+1,1):INDEX(B:B,MATCH(I832,I:I,0)-1,1),リスト!$C$7,INDEX(G:G,MATCH(I832-1,I:I,0)+1,1):INDEX(G:G,MATCH(I832,I:I,0)-1,1)),"")</f>
        <v>#NAME?</v>
      </c>
      <c r="I832" s="200" t="str">
        <f>IF(OR(B832=リスト!$C$5,B832=リスト!$C$6),COUNTIF($B$9:B832,リスト!$C$5)+COUNTIF($B$9:B832,リスト!$C$6),"")</f>
        <v/>
      </c>
    </row>
    <row r="833" spans="1:9" x14ac:dyDescent="0.2">
      <c r="B833" s="196"/>
      <c r="C833" s="197">
        <v>45467.232430555552</v>
      </c>
      <c r="D833" s="197">
        <v>45467.232743055552</v>
      </c>
      <c r="E833" s="198" t="s">
        <v>244</v>
      </c>
      <c r="F833" s="199"/>
      <c r="G833" s="140" t="e">
        <f ca="1">mif(C833="","",OR(B833=リスト!$C$5,B833=リスト!$C$6),SUM(INDEX(G:G,MATCH(I833-1,I:I,0)+1,1):INDEX(G:G,MATCH(I833,I:I,0)-1,1)),D833-C833)</f>
        <v>#NAME?</v>
      </c>
      <c r="H833" s="140" t="e">
        <f ca="1">mif(C833="","",B833=リスト!$C$5,SUMIF(INDEX(B:B,MATCH(I833-1,I:I,0)+1,1):INDEX(B:B,MATCH(I833,I:I,0)-1,1),リスト!$C$7,INDEX(G:G,MATCH(I833-1,I:I,0)+1,1):INDEX(G:G,MATCH(I833,I:I,0)-1,1)),"")</f>
        <v>#NAME?</v>
      </c>
      <c r="I833" s="200" t="str">
        <f>IF(OR(B833=リスト!$C$5,B833=リスト!$C$6),COUNTIF($B$9:B833,リスト!$C$5)+COUNTIF($B$9:B833,リスト!$C$6),"")</f>
        <v/>
      </c>
    </row>
    <row r="834" spans="1:9" x14ac:dyDescent="0.2">
      <c r="B834" s="196"/>
      <c r="C834" s="197">
        <v>45467.253645833334</v>
      </c>
      <c r="D834" s="197">
        <v>45467.253900462965</v>
      </c>
      <c r="E834" s="198" t="s">
        <v>244</v>
      </c>
      <c r="F834" s="199"/>
      <c r="G834" s="140" t="e">
        <f ca="1">mif(C834="","",OR(B834=リスト!$C$5,B834=リスト!$C$6),SUM(INDEX(G:G,MATCH(I834-1,I:I,0)+1,1):INDEX(G:G,MATCH(I834,I:I,0)-1,1)),D834-C834)</f>
        <v>#NAME?</v>
      </c>
      <c r="H834" s="140" t="e">
        <f ca="1">mif(C834="","",B834=リスト!$C$5,SUMIF(INDEX(B:B,MATCH(I834-1,I:I,0)+1,1):INDEX(B:B,MATCH(I834,I:I,0)-1,1),リスト!$C$7,INDEX(G:G,MATCH(I834-1,I:I,0)+1,1):INDEX(G:G,MATCH(I834,I:I,0)-1,1)),"")</f>
        <v>#NAME?</v>
      </c>
      <c r="I834" s="200" t="str">
        <f>IF(OR(B834=リスト!$C$5,B834=リスト!$C$6),COUNTIF($B$9:B834,リスト!$C$5)+COUNTIF($B$9:B834,リスト!$C$6),"")</f>
        <v/>
      </c>
    </row>
    <row r="835" spans="1:9" x14ac:dyDescent="0.2">
      <c r="B835" s="196"/>
      <c r="C835" s="197">
        <v>45467.309791666667</v>
      </c>
      <c r="D835" s="197">
        <v>45467.31009259259</v>
      </c>
      <c r="E835" s="198" t="s">
        <v>244</v>
      </c>
      <c r="F835" s="199"/>
      <c r="G835" s="140" t="e">
        <f ca="1">mif(C835="","",OR(B835=リスト!$C$5,B835=リスト!$C$6),SUM(INDEX(G:G,MATCH(I835-1,I:I,0)+1,1):INDEX(G:G,MATCH(I835,I:I,0)-1,1)),D835-C835)</f>
        <v>#NAME?</v>
      </c>
      <c r="H835" s="140" t="e">
        <f ca="1">mif(C835="","",B835=リスト!$C$5,SUMIF(INDEX(B:B,MATCH(I835-1,I:I,0)+1,1):INDEX(B:B,MATCH(I835,I:I,0)-1,1),リスト!$C$7,INDEX(G:G,MATCH(I835-1,I:I,0)+1,1):INDEX(G:G,MATCH(I835,I:I,0)-1,1)),"")</f>
        <v>#NAME?</v>
      </c>
      <c r="I835" s="200" t="str">
        <f>IF(OR(B835=リスト!$C$5,B835=リスト!$C$6),COUNTIF($B$9:B835,リスト!$C$5)+COUNTIF($B$9:B835,リスト!$C$6),"")</f>
        <v/>
      </c>
    </row>
    <row r="836" spans="1:9" x14ac:dyDescent="0.2">
      <c r="B836" s="196"/>
      <c r="C836" s="197">
        <v>45467.348553240743</v>
      </c>
      <c r="D836" s="197">
        <v>45467.349710648145</v>
      </c>
      <c r="E836" s="198" t="s">
        <v>244</v>
      </c>
      <c r="F836" s="199"/>
      <c r="G836" s="140" t="e">
        <f ca="1">mif(C836="","",OR(B836=リスト!$C$5,B836=リスト!$C$6),SUM(INDEX(G:G,MATCH(I836-1,I:I,0)+1,1):INDEX(G:G,MATCH(I836,I:I,0)-1,1)),D836-C836)</f>
        <v>#NAME?</v>
      </c>
      <c r="H836" s="140" t="e">
        <f ca="1">mif(C836="","",B836=リスト!$C$5,SUMIF(INDEX(B:B,MATCH(I836-1,I:I,0)+1,1):INDEX(B:B,MATCH(I836,I:I,0)-1,1),リスト!$C$7,INDEX(G:G,MATCH(I836-1,I:I,0)+1,1):INDEX(G:G,MATCH(I836,I:I,0)-1,1)),"")</f>
        <v>#NAME?</v>
      </c>
      <c r="I836" s="200" t="str">
        <f>IF(OR(B836=リスト!$C$5,B836=リスト!$C$6),COUNTIF($B$9:B836,リスト!$C$5)+COUNTIF($B$9:B836,リスト!$C$6),"")</f>
        <v/>
      </c>
    </row>
    <row r="837" spans="1:9" x14ac:dyDescent="0.2">
      <c r="B837" s="196"/>
      <c r="C837" s="197">
        <v>45467.349710648145</v>
      </c>
      <c r="D837" s="197">
        <v>45467.350370370368</v>
      </c>
      <c r="E837" s="198" t="s">
        <v>244</v>
      </c>
      <c r="F837" s="199"/>
      <c r="G837" s="140" t="e">
        <f ca="1">mif(C837="","",OR(B837=リスト!$C$5,B837=リスト!$C$6),SUM(INDEX(G:G,MATCH(I837-1,I:I,0)+1,1):INDEX(G:G,MATCH(I837,I:I,0)-1,1)),D837-C837)</f>
        <v>#NAME?</v>
      </c>
      <c r="H837" s="140" t="e">
        <f ca="1">mif(C837="","",B837=リスト!$C$5,SUMIF(INDEX(B:B,MATCH(I837-1,I:I,0)+1,1):INDEX(B:B,MATCH(I837,I:I,0)-1,1),リスト!$C$7,INDEX(G:G,MATCH(I837-1,I:I,0)+1,1):INDEX(G:G,MATCH(I837,I:I,0)-1,1)),"")</f>
        <v>#NAME?</v>
      </c>
      <c r="I837" s="200" t="str">
        <f>IF(OR(B837=リスト!$C$5,B837=リスト!$C$6),COUNTIF($B$9:B837,リスト!$C$5)+COUNTIF($B$9:B837,リスト!$C$6),"")</f>
        <v/>
      </c>
    </row>
    <row r="838" spans="1:9" x14ac:dyDescent="0.2">
      <c r="B838" s="196"/>
      <c r="C838" s="197">
        <v>45467.386863425927</v>
      </c>
      <c r="D838" s="197">
        <v>45467.387141203704</v>
      </c>
      <c r="E838" s="198" t="s">
        <v>244</v>
      </c>
      <c r="F838" s="199"/>
      <c r="G838" s="140" t="e">
        <f ca="1">mif(C838="","",OR(B838=リスト!$C$5,B838=リスト!$C$6),SUM(INDEX(G:G,MATCH(I838-1,I:I,0)+1,1):INDEX(G:G,MATCH(I838,I:I,0)-1,1)),D838-C838)</f>
        <v>#NAME?</v>
      </c>
      <c r="H838" s="140" t="e">
        <f ca="1">mif(C838="","",B838=リスト!$C$5,SUMIF(INDEX(B:B,MATCH(I838-1,I:I,0)+1,1):INDEX(B:B,MATCH(I838,I:I,0)-1,1),リスト!$C$7,INDEX(G:G,MATCH(I838-1,I:I,0)+1,1):INDEX(G:G,MATCH(I838,I:I,0)-1,1)),"")</f>
        <v>#NAME?</v>
      </c>
      <c r="I838" s="200" t="str">
        <f>IF(OR(B838=リスト!$C$5,B838=リスト!$C$6),COUNTIF($B$9:B838,リスト!$C$5)+COUNTIF($B$9:B838,リスト!$C$6),"")</f>
        <v/>
      </c>
    </row>
    <row r="839" spans="1:9" x14ac:dyDescent="0.2">
      <c r="B839" s="196" t="s">
        <v>247</v>
      </c>
      <c r="C839" s="197">
        <v>45466.916666666664</v>
      </c>
      <c r="D839" s="197">
        <v>45467.416666666664</v>
      </c>
      <c r="E839" s="198">
        <v>16</v>
      </c>
      <c r="F839" s="199"/>
      <c r="G839" s="140" t="e">
        <f ca="1">mif(C839="","",OR(B839=リスト!$C$5,B839=リスト!$C$6),SUM(INDEX(G:G,MATCH(I839-1,I:I,0)+1,1):INDEX(G:G,MATCH(I839,I:I,0)-1,1)),D839-C839)</f>
        <v>#NAME?</v>
      </c>
      <c r="H839" s="140" t="e">
        <f ca="1">mif(C839="","",B839=リスト!$C$5,SUMIF(INDEX(B:B,MATCH(I839-1,I:I,0)+1,1):INDEX(B:B,MATCH(I839,I:I,0)-1,1),リスト!$C$7,INDEX(G:G,MATCH(I839-1,I:I,0)+1,1):INDEX(G:G,MATCH(I839,I:I,0)-1,1)),"")</f>
        <v>#NAME?</v>
      </c>
      <c r="I839" s="200">
        <f>IF(OR(B839=リスト!$C$5,B839=リスト!$C$6),COUNTIF($B$9:B839,リスト!$C$5)+COUNTIF($B$9:B839,リスト!$C$6),"")</f>
        <v>58</v>
      </c>
    </row>
    <row r="840" spans="1:9" x14ac:dyDescent="0.2">
      <c r="B840" s="196"/>
      <c r="C840" s="197">
        <v>45468.92396990741</v>
      </c>
      <c r="D840" s="197">
        <v>45468.924201388887</v>
      </c>
      <c r="E840" s="198" t="s">
        <v>244</v>
      </c>
      <c r="F840" s="199"/>
      <c r="G840" s="140" t="e">
        <f ca="1">mif(C840="","",OR(B840=リスト!$C$5,B840=リスト!$C$6),SUM(INDEX(G:G,MATCH(I840-1,I:I,0)+1,1):INDEX(G:G,MATCH(I840,I:I,0)-1,1)),D840-C840)</f>
        <v>#NAME?</v>
      </c>
      <c r="H840" s="140" t="e">
        <f ca="1">mif(C840="","",B840=リスト!$C$5,SUMIF(INDEX(B:B,MATCH(I840-1,I:I,0)+1,1):INDEX(B:B,MATCH(I840,I:I,0)-1,1),リスト!$C$7,INDEX(G:G,MATCH(I840-1,I:I,0)+1,1):INDEX(G:G,MATCH(I840,I:I,0)-1,1)),"")</f>
        <v>#NAME?</v>
      </c>
      <c r="I840" s="200" t="str">
        <f>IF(OR(B840=リスト!$C$5,B840=リスト!$C$6),COUNTIF($B$9:B840,リスト!$C$5)+COUNTIF($B$9:B840,リスト!$C$6),"")</f>
        <v/>
      </c>
    </row>
    <row r="841" spans="1:9" x14ac:dyDescent="0.2">
      <c r="B841" s="196"/>
      <c r="C841" s="197">
        <v>45468.978344907409</v>
      </c>
      <c r="D841" s="197">
        <v>45468.978645833333</v>
      </c>
      <c r="E841" s="198" t="s">
        <v>244</v>
      </c>
      <c r="F841" s="199"/>
      <c r="G841" s="140" t="e">
        <f ca="1">mif(C841="","",OR(B841=リスト!$C$5,B841=リスト!$C$6),SUM(INDEX(G:G,MATCH(I841-1,I:I,0)+1,1):INDEX(G:G,MATCH(I841,I:I,0)-1,1)),D841-C841)</f>
        <v>#NAME?</v>
      </c>
      <c r="H841" s="140" t="e">
        <f ca="1">mif(C841="","",B841=リスト!$C$5,SUMIF(INDEX(B:B,MATCH(I841-1,I:I,0)+1,1):INDEX(B:B,MATCH(I841,I:I,0)-1,1),リスト!$C$7,INDEX(G:G,MATCH(I841-1,I:I,0)+1,1):INDEX(G:G,MATCH(I841,I:I,0)-1,1)),"")</f>
        <v>#NAME?</v>
      </c>
      <c r="I841" s="200" t="str">
        <f>IF(OR(B841=リスト!$C$5,B841=リスト!$C$6),COUNTIF($B$9:B841,リスト!$C$5)+COUNTIF($B$9:B841,リスト!$C$6),"")</f>
        <v/>
      </c>
    </row>
    <row r="842" spans="1:9" x14ac:dyDescent="0.2">
      <c r="B842" s="196"/>
      <c r="C842" s="197">
        <v>45469.041435185187</v>
      </c>
      <c r="D842" s="197">
        <v>45469.041643518518</v>
      </c>
      <c r="E842" s="198" t="s">
        <v>244</v>
      </c>
      <c r="F842" s="199"/>
      <c r="G842" s="140" t="e">
        <f ca="1">mif(C842="","",OR(B842=リスト!$C$5,B842=リスト!$C$6),SUM(INDEX(G:G,MATCH(I842-1,I:I,0)+1,1):INDEX(G:G,MATCH(I842,I:I,0)-1,1)),D842-C842)</f>
        <v>#NAME?</v>
      </c>
      <c r="H842" s="140" t="e">
        <f ca="1">mif(C842="","",B842=リスト!$C$5,SUMIF(INDEX(B:B,MATCH(I842-1,I:I,0)+1,1):INDEX(B:B,MATCH(I842,I:I,0)-1,1),リスト!$C$7,INDEX(G:G,MATCH(I842-1,I:I,0)+1,1):INDEX(G:G,MATCH(I842,I:I,0)-1,1)),"")</f>
        <v>#NAME?</v>
      </c>
      <c r="I842" s="200" t="str">
        <f>IF(OR(B842=リスト!$C$5,B842=リスト!$C$6),COUNTIF($B$9:B842,リスト!$C$5)+COUNTIF($B$9:B842,リスト!$C$6),"")</f>
        <v/>
      </c>
    </row>
    <row r="843" spans="1:9" x14ac:dyDescent="0.2">
      <c r="B843" s="196"/>
      <c r="C843" s="197">
        <v>45469.041666666664</v>
      </c>
      <c r="D843" s="197">
        <v>45469.042013888888</v>
      </c>
      <c r="E843" s="198" t="s">
        <v>244</v>
      </c>
      <c r="F843" s="199"/>
      <c r="G843" s="140" t="e">
        <f ca="1">mif(C843="","",OR(B843=リスト!$C$5,B843=リスト!$C$6),SUM(INDEX(G:G,MATCH(I843-1,I:I,0)+1,1):INDEX(G:G,MATCH(I843,I:I,0)-1,1)),D843-C843)</f>
        <v>#NAME?</v>
      </c>
      <c r="H843" s="140" t="e">
        <f ca="1">mif(C843="","",B843=リスト!$C$5,SUMIF(INDEX(B:B,MATCH(I843-1,I:I,0)+1,1):INDEX(B:B,MATCH(I843,I:I,0)-1,1),リスト!$C$7,INDEX(G:G,MATCH(I843-1,I:I,0)+1,1):INDEX(G:G,MATCH(I843,I:I,0)-1,1)),"")</f>
        <v>#NAME?</v>
      </c>
      <c r="I843" s="200" t="str">
        <f>IF(OR(B843=リスト!$C$5,B843=リスト!$C$6),COUNTIF($B$9:B843,リスト!$C$5)+COUNTIF($B$9:B843,リスト!$C$6),"")</f>
        <v/>
      </c>
    </row>
    <row r="844" spans="1:9" x14ac:dyDescent="0.2">
      <c r="B844" s="196"/>
      <c r="C844" s="197">
        <v>45469.065127314818</v>
      </c>
      <c r="D844" s="197">
        <v>45469.065405092595</v>
      </c>
      <c r="E844" s="198" t="s">
        <v>244</v>
      </c>
      <c r="F844" s="199"/>
      <c r="G844" s="140" t="e">
        <f ca="1">mif(C844="","",OR(B844=リスト!$C$5,B844=リスト!$C$6),SUM(INDEX(G:G,MATCH(I844-1,I:I,0)+1,1):INDEX(G:G,MATCH(I844,I:I,0)-1,1)),D844-C844)</f>
        <v>#NAME?</v>
      </c>
      <c r="H844" s="140" t="e">
        <f ca="1">mif(C844="","",B844=リスト!$C$5,SUMIF(INDEX(B:B,MATCH(I844-1,I:I,0)+1,1):INDEX(B:B,MATCH(I844,I:I,0)-1,1),リスト!$C$7,INDEX(G:G,MATCH(I844-1,I:I,0)+1,1):INDEX(G:G,MATCH(I844,I:I,0)-1,1)),"")</f>
        <v>#NAME?</v>
      </c>
      <c r="I844" s="200" t="str">
        <f>IF(OR(B844=リスト!$C$5,B844=リスト!$C$6),COUNTIF($B$9:B844,リスト!$C$5)+COUNTIF($B$9:B844,リスト!$C$6),"")</f>
        <v/>
      </c>
    </row>
    <row r="845" spans="1:9" x14ac:dyDescent="0.2">
      <c r="B845" s="196"/>
      <c r="C845" s="197">
        <v>45469.106990740744</v>
      </c>
      <c r="D845" s="197">
        <v>45469.107268518521</v>
      </c>
      <c r="E845" s="198" t="s">
        <v>244</v>
      </c>
      <c r="F845" s="199"/>
      <c r="G845" s="140" t="e">
        <f ca="1">mif(C845="","",OR(B845=リスト!$C$5,B845=リスト!$C$6),SUM(INDEX(G:G,MATCH(I845-1,I:I,0)+1,1):INDEX(G:G,MATCH(I845,I:I,0)-1,1)),D845-C845)</f>
        <v>#NAME?</v>
      </c>
      <c r="H845" s="140" t="e">
        <f ca="1">mif(C845="","",B845=リスト!$C$5,SUMIF(INDEX(B:B,MATCH(I845-1,I:I,0)+1,1):INDEX(B:B,MATCH(I845,I:I,0)-1,1),リスト!$C$7,INDEX(G:G,MATCH(I845-1,I:I,0)+1,1):INDEX(G:G,MATCH(I845,I:I,0)-1,1)),"")</f>
        <v>#NAME?</v>
      </c>
      <c r="I845" s="200" t="str">
        <f>IF(OR(B845=リスト!$C$5,B845=リスト!$C$6),COUNTIF($B$9:B845,リスト!$C$5)+COUNTIF($B$9:B845,リスト!$C$6),"")</f>
        <v/>
      </c>
    </row>
    <row r="846" spans="1:9" x14ac:dyDescent="0.2">
      <c r="A846" s="38" t="s">
        <v>225</v>
      </c>
      <c r="B846" s="196" t="s">
        <v>245</v>
      </c>
      <c r="C846" s="197">
        <v>45469.201689814814</v>
      </c>
      <c r="D846" s="197">
        <v>45469.263888888891</v>
      </c>
      <c r="E846" s="198"/>
      <c r="F846" s="199" t="s">
        <v>251</v>
      </c>
      <c r="G846" s="140" t="e">
        <f ca="1">mif(C846="","",OR(B846=リスト!$C$5,B846=リスト!$C$6),SUM(INDEX(G:G,MATCH(I846-1,I:I,0)+1,1):INDEX(G:G,MATCH(I846,I:I,0)-1,1)),D846-C846)</f>
        <v>#NAME?</v>
      </c>
      <c r="H846" s="140" t="e">
        <f ca="1">mif(C846="","",B846=リスト!$C$5,SUMIF(INDEX(B:B,MATCH(I846-1,I:I,0)+1,1):INDEX(B:B,MATCH(I846,I:I,0)-1,1),リスト!$C$7,INDEX(G:G,MATCH(I846-1,I:I,0)+1,1):INDEX(G:G,MATCH(I846,I:I,0)-1,1)),"")</f>
        <v>#NAME?</v>
      </c>
      <c r="I846" s="200" t="str">
        <f>IF(OR(B846=リスト!$C$5,B846=リスト!$C$6),COUNTIF($B$9:B846,リスト!$C$5)+COUNTIF($B$9:B846,リスト!$C$6),"")</f>
        <v/>
      </c>
    </row>
    <row r="847" spans="1:9" x14ac:dyDescent="0.2">
      <c r="B847" s="196"/>
      <c r="C847" s="197">
        <v>45469.269016203703</v>
      </c>
      <c r="D847" s="197">
        <v>45469.269571759258</v>
      </c>
      <c r="E847" s="198" t="s">
        <v>244</v>
      </c>
      <c r="F847" s="199"/>
      <c r="G847" s="140" t="e">
        <f ca="1">mif(C847="","",OR(B847=リスト!$C$5,B847=リスト!$C$6),SUM(INDEX(G:G,MATCH(I847-1,I:I,0)+1,1):INDEX(G:G,MATCH(I847,I:I,0)-1,1)),D847-C847)</f>
        <v>#NAME?</v>
      </c>
      <c r="H847" s="140" t="e">
        <f ca="1">mif(C847="","",B847=リスト!$C$5,SUMIF(INDEX(B:B,MATCH(I847-1,I:I,0)+1,1):INDEX(B:B,MATCH(I847,I:I,0)-1,1),リスト!$C$7,INDEX(G:G,MATCH(I847-1,I:I,0)+1,1):INDEX(G:G,MATCH(I847,I:I,0)-1,1)),"")</f>
        <v>#NAME?</v>
      </c>
      <c r="I847" s="200" t="str">
        <f>IF(OR(B847=リスト!$C$5,B847=リスト!$C$6),COUNTIF($B$9:B847,リスト!$C$5)+COUNTIF($B$9:B847,リスト!$C$6),"")</f>
        <v/>
      </c>
    </row>
    <row r="848" spans="1:9" x14ac:dyDescent="0.2">
      <c r="B848" s="196"/>
      <c r="C848" s="197">
        <v>45469.320937500001</v>
      </c>
      <c r="D848" s="197">
        <v>45469.321631944447</v>
      </c>
      <c r="E848" s="198" t="s">
        <v>244</v>
      </c>
      <c r="F848" s="199"/>
      <c r="G848" s="140" t="e">
        <f ca="1">mif(C848="","",OR(B848=リスト!$C$5,B848=リスト!$C$6),SUM(INDEX(G:G,MATCH(I848-1,I:I,0)+1,1):INDEX(G:G,MATCH(I848,I:I,0)-1,1)),D848-C848)</f>
        <v>#NAME?</v>
      </c>
      <c r="H848" s="140" t="e">
        <f ca="1">mif(C848="","",B848=リスト!$C$5,SUMIF(INDEX(B:B,MATCH(I848-1,I:I,0)+1,1):INDEX(B:B,MATCH(I848,I:I,0)-1,1),リスト!$C$7,INDEX(G:G,MATCH(I848-1,I:I,0)+1,1):INDEX(G:G,MATCH(I848,I:I,0)-1,1)),"")</f>
        <v>#NAME?</v>
      </c>
      <c r="I848" s="200" t="str">
        <f>IF(OR(B848=リスト!$C$5,B848=リスト!$C$6),COUNTIF($B$9:B848,リスト!$C$5)+COUNTIF($B$9:B848,リスト!$C$6),"")</f>
        <v/>
      </c>
    </row>
    <row r="849" spans="2:9" x14ac:dyDescent="0.2">
      <c r="B849" s="196"/>
      <c r="C849" s="197">
        <v>45469.387395833335</v>
      </c>
      <c r="D849" s="197">
        <v>45469.387673611112</v>
      </c>
      <c r="E849" s="198" t="s">
        <v>244</v>
      </c>
      <c r="F849" s="199"/>
      <c r="G849" s="140" t="e">
        <f ca="1">mif(C849="","",OR(B849=リスト!$C$5,B849=リスト!$C$6),SUM(INDEX(G:G,MATCH(I849-1,I:I,0)+1,1):INDEX(G:G,MATCH(I849,I:I,0)-1,1)),D849-C849)</f>
        <v>#NAME?</v>
      </c>
      <c r="H849" s="140" t="e">
        <f ca="1">mif(C849="","",B849=リスト!$C$5,SUMIF(INDEX(B:B,MATCH(I849-1,I:I,0)+1,1):INDEX(B:B,MATCH(I849,I:I,0)-1,1),リスト!$C$7,INDEX(G:G,MATCH(I849-1,I:I,0)+1,1):INDEX(G:G,MATCH(I849,I:I,0)-1,1)),"")</f>
        <v>#NAME?</v>
      </c>
      <c r="I849" s="200" t="str">
        <f>IF(OR(B849=リスト!$C$5,B849=リスト!$C$6),COUNTIF($B$9:B849,リスト!$C$5)+COUNTIF($B$9:B849,リスト!$C$6),"")</f>
        <v/>
      </c>
    </row>
    <row r="850" spans="2:9" x14ac:dyDescent="0.2">
      <c r="B850" s="196"/>
      <c r="C850" s="197">
        <v>45469.388113425928</v>
      </c>
      <c r="D850" s="197">
        <v>45469.388391203705</v>
      </c>
      <c r="E850" s="198" t="s">
        <v>244</v>
      </c>
      <c r="F850" s="199"/>
      <c r="G850" s="140" t="e">
        <f ca="1">mif(C850="","",OR(B850=リスト!$C$5,B850=リスト!$C$6),SUM(INDEX(G:G,MATCH(I850-1,I:I,0)+1,1):INDEX(G:G,MATCH(I850,I:I,0)-1,1)),D850-C850)</f>
        <v>#NAME?</v>
      </c>
      <c r="H850" s="140" t="e">
        <f ca="1">mif(C850="","",B850=リスト!$C$5,SUMIF(INDEX(B:B,MATCH(I850-1,I:I,0)+1,1):INDEX(B:B,MATCH(I850,I:I,0)-1,1),リスト!$C$7,INDEX(G:G,MATCH(I850-1,I:I,0)+1,1):INDEX(G:G,MATCH(I850,I:I,0)-1,1)),"")</f>
        <v>#NAME?</v>
      </c>
      <c r="I850" s="200" t="str">
        <f>IF(OR(B850=リスト!$C$5,B850=リスト!$C$6),COUNTIF($B$9:B850,リスト!$C$5)+COUNTIF($B$9:B850,リスト!$C$6),"")</f>
        <v/>
      </c>
    </row>
    <row r="851" spans="2:9" x14ac:dyDescent="0.2">
      <c r="B851" s="196"/>
      <c r="C851" s="197">
        <v>45469.391840277778</v>
      </c>
      <c r="D851" s="197">
        <v>45469.392141203702</v>
      </c>
      <c r="E851" s="198" t="s">
        <v>244</v>
      </c>
      <c r="F851" s="199"/>
      <c r="G851" s="140" t="e">
        <f ca="1">mif(C851="","",OR(B851=リスト!$C$5,B851=リスト!$C$6),SUM(INDEX(G:G,MATCH(I851-1,I:I,0)+1,1):INDEX(G:G,MATCH(I851,I:I,0)-1,1)),D851-C851)</f>
        <v>#NAME?</v>
      </c>
      <c r="H851" s="140" t="e">
        <f ca="1">mif(C851="","",B851=リスト!$C$5,SUMIF(INDEX(B:B,MATCH(I851-1,I:I,0)+1,1):INDEX(B:B,MATCH(I851,I:I,0)-1,1),リスト!$C$7,INDEX(G:G,MATCH(I851-1,I:I,0)+1,1):INDEX(G:G,MATCH(I851,I:I,0)-1,1)),"")</f>
        <v>#NAME?</v>
      </c>
      <c r="I851" s="200" t="str">
        <f>IF(OR(B851=リスト!$C$5,B851=リスト!$C$6),COUNTIF($B$9:B851,リスト!$C$5)+COUNTIF($B$9:B851,リスト!$C$6),"")</f>
        <v/>
      </c>
    </row>
    <row r="852" spans="2:9" x14ac:dyDescent="0.2">
      <c r="B852" s="196"/>
      <c r="C852" s="197">
        <v>45469.392789351848</v>
      </c>
      <c r="D852" s="197">
        <v>45469.393472222226</v>
      </c>
      <c r="E852" s="198" t="s">
        <v>244</v>
      </c>
      <c r="F852" s="199"/>
      <c r="G852" s="140" t="e">
        <f ca="1">mif(C852="","",OR(B852=リスト!$C$5,B852=リスト!$C$6),SUM(INDEX(G:G,MATCH(I852-1,I:I,0)+1,1):INDEX(G:G,MATCH(I852,I:I,0)-1,1)),D852-C852)</f>
        <v>#NAME?</v>
      </c>
      <c r="H852" s="140" t="e">
        <f ca="1">mif(C852="","",B852=リスト!$C$5,SUMIF(INDEX(B:B,MATCH(I852-1,I:I,0)+1,1):INDEX(B:B,MATCH(I852,I:I,0)-1,1),リスト!$C$7,INDEX(G:G,MATCH(I852-1,I:I,0)+1,1):INDEX(G:G,MATCH(I852,I:I,0)-1,1)),"")</f>
        <v>#NAME?</v>
      </c>
      <c r="I852" s="200" t="str">
        <f>IF(OR(B852=リスト!$C$5,B852=リスト!$C$6),COUNTIF($B$9:B852,リスト!$C$5)+COUNTIF($B$9:B852,リスト!$C$6),"")</f>
        <v/>
      </c>
    </row>
    <row r="853" spans="2:9" x14ac:dyDescent="0.2">
      <c r="B853" s="196" t="s">
        <v>247</v>
      </c>
      <c r="C853" s="197">
        <v>45468.916666666664</v>
      </c>
      <c r="D853" s="197">
        <v>45469.416666666664</v>
      </c>
      <c r="E853" s="198">
        <v>12</v>
      </c>
      <c r="F853" s="199" t="s">
        <v>251</v>
      </c>
      <c r="G853" s="140" t="e">
        <f ca="1">mif(C853="","",OR(B853=リスト!$C$5,B853=リスト!$C$6),SUM(INDEX(G:G,MATCH(I853-1,I:I,0)+1,1):INDEX(G:G,MATCH(I853,I:I,0)-1,1)),D853-C853)</f>
        <v>#NAME?</v>
      </c>
      <c r="H853" s="140" t="e">
        <f ca="1">mif(C853="","",B853=リスト!$C$5,SUMIF(INDEX(B:B,MATCH(I853-1,I:I,0)+1,1):INDEX(B:B,MATCH(I853,I:I,0)-1,1),リスト!$C$7,INDEX(G:G,MATCH(I853-1,I:I,0)+1,1):INDEX(G:G,MATCH(I853,I:I,0)-1,1)),"")</f>
        <v>#NAME?</v>
      </c>
      <c r="I853" s="200">
        <f>IF(OR(B853=リスト!$C$5,B853=リスト!$C$6),COUNTIF($B$9:B853,リスト!$C$5)+COUNTIF($B$9:B853,リスト!$C$6),"")</f>
        <v>59</v>
      </c>
    </row>
    <row r="854" spans="2:9" x14ac:dyDescent="0.2">
      <c r="B854" s="196"/>
      <c r="C854" s="197">
        <v>45469.444074074076</v>
      </c>
      <c r="D854" s="197">
        <v>45469.444328703707</v>
      </c>
      <c r="E854" s="198" t="s">
        <v>244</v>
      </c>
      <c r="F854" s="199"/>
      <c r="G854" s="140" t="e">
        <f ca="1">mif(C854="","",OR(B854=リスト!$C$5,B854=リスト!$C$6),SUM(INDEX(G:G,MATCH(I854-1,I:I,0)+1,1):INDEX(G:G,MATCH(I854,I:I,0)-1,1)),D854-C854)</f>
        <v>#NAME?</v>
      </c>
      <c r="H854" s="140" t="e">
        <f ca="1">mif(C854="","",B854=リスト!$C$5,SUMIF(INDEX(B:B,MATCH(I854-1,I:I,0)+1,1):INDEX(B:B,MATCH(I854,I:I,0)-1,1),リスト!$C$7,INDEX(G:G,MATCH(I854-1,I:I,0)+1,1):INDEX(G:G,MATCH(I854,I:I,0)-1,1)),"")</f>
        <v>#NAME?</v>
      </c>
      <c r="I854" s="200" t="str">
        <f>IF(OR(B854=リスト!$C$5,B854=リスト!$C$6),COUNTIF($B$9:B854,リスト!$C$5)+COUNTIF($B$9:B854,リスト!$C$6),"")</f>
        <v/>
      </c>
    </row>
    <row r="855" spans="2:9" x14ac:dyDescent="0.2">
      <c r="B855" s="196"/>
      <c r="C855" s="197">
        <v>45469.469050925924</v>
      </c>
      <c r="D855" s="197">
        <v>45469.470358796294</v>
      </c>
      <c r="E855" s="198" t="s">
        <v>244</v>
      </c>
      <c r="F855" s="199"/>
      <c r="G855" s="140" t="e">
        <f ca="1">mif(C855="","",OR(B855=リスト!$C$5,B855=リスト!$C$6),SUM(INDEX(G:G,MATCH(I855-1,I:I,0)+1,1):INDEX(G:G,MATCH(I855,I:I,0)-1,1)),D855-C855)</f>
        <v>#NAME?</v>
      </c>
      <c r="H855" s="140" t="e">
        <f ca="1">mif(C855="","",B855=リスト!$C$5,SUMIF(INDEX(B:B,MATCH(I855-1,I:I,0)+1,1):INDEX(B:B,MATCH(I855,I:I,0)-1,1),リスト!$C$7,INDEX(G:G,MATCH(I855-1,I:I,0)+1,1):INDEX(G:G,MATCH(I855,I:I,0)-1,1)),"")</f>
        <v>#NAME?</v>
      </c>
      <c r="I855" s="200" t="str">
        <f>IF(OR(B855=リスト!$C$5,B855=リスト!$C$6),COUNTIF($B$9:B855,リスト!$C$5)+COUNTIF($B$9:B855,リスト!$C$6),"")</f>
        <v/>
      </c>
    </row>
    <row r="856" spans="2:9" x14ac:dyDescent="0.2">
      <c r="B856" s="196"/>
      <c r="C856" s="197">
        <v>45469.560810185183</v>
      </c>
      <c r="D856" s="197">
        <v>45469.56108796296</v>
      </c>
      <c r="E856" s="198" t="s">
        <v>244</v>
      </c>
      <c r="F856" s="199"/>
      <c r="G856" s="140" t="e">
        <f ca="1">mif(C856="","",OR(B856=リスト!$C$5,B856=リスト!$C$6),SUM(INDEX(G:G,MATCH(I856-1,I:I,0)+1,1):INDEX(G:G,MATCH(I856,I:I,0)-1,1)),D856-C856)</f>
        <v>#NAME?</v>
      </c>
      <c r="H856" s="140" t="e">
        <f ca="1">mif(C856="","",B856=リスト!$C$5,SUMIF(INDEX(B:B,MATCH(I856-1,I:I,0)+1,1):INDEX(B:B,MATCH(I856,I:I,0)-1,1),リスト!$C$7,INDEX(G:G,MATCH(I856-1,I:I,0)+1,1):INDEX(G:G,MATCH(I856,I:I,0)-1,1)),"")</f>
        <v>#NAME?</v>
      </c>
      <c r="I856" s="200" t="str">
        <f>IF(OR(B856=リスト!$C$5,B856=リスト!$C$6),COUNTIF($B$9:B856,リスト!$C$5)+COUNTIF($B$9:B856,リスト!$C$6),"")</f>
        <v/>
      </c>
    </row>
    <row r="857" spans="2:9" x14ac:dyDescent="0.2">
      <c r="B857" s="196"/>
      <c r="C857" s="197">
        <v>45469.568958333337</v>
      </c>
      <c r="D857" s="197">
        <v>45469.569189814814</v>
      </c>
      <c r="E857" s="198" t="s">
        <v>244</v>
      </c>
      <c r="F857" s="199"/>
      <c r="G857" s="140" t="e">
        <f ca="1">mif(C857="","",OR(B857=リスト!$C$5,B857=リスト!$C$6),SUM(INDEX(G:G,MATCH(I857-1,I:I,0)+1,1):INDEX(G:G,MATCH(I857,I:I,0)-1,1)),D857-C857)</f>
        <v>#NAME?</v>
      </c>
      <c r="H857" s="140" t="e">
        <f ca="1">mif(C857="","",B857=リスト!$C$5,SUMIF(INDEX(B:B,MATCH(I857-1,I:I,0)+1,1):INDEX(B:B,MATCH(I857,I:I,0)-1,1),リスト!$C$7,INDEX(G:G,MATCH(I857-1,I:I,0)+1,1):INDEX(G:G,MATCH(I857,I:I,0)-1,1)),"")</f>
        <v>#NAME?</v>
      </c>
      <c r="I857" s="200" t="str">
        <f>IF(OR(B857=リスト!$C$5,B857=リスト!$C$6),COUNTIF($B$9:B857,リスト!$C$5)+COUNTIF($B$9:B857,リスト!$C$6),"")</f>
        <v/>
      </c>
    </row>
    <row r="858" spans="2:9" x14ac:dyDescent="0.2">
      <c r="B858" s="196"/>
      <c r="C858" s="197">
        <v>45469.679965277777</v>
      </c>
      <c r="D858" s="197">
        <v>45469.68109953704</v>
      </c>
      <c r="E858" s="198" t="s">
        <v>244</v>
      </c>
      <c r="F858" s="199"/>
      <c r="G858" s="140" t="e">
        <f ca="1">mif(C858="","",OR(B858=リスト!$C$5,B858=リスト!$C$6),SUM(INDEX(G:G,MATCH(I858-1,I:I,0)+1,1):INDEX(G:G,MATCH(I858,I:I,0)-1,1)),D858-C858)</f>
        <v>#NAME?</v>
      </c>
      <c r="H858" s="140" t="e">
        <f ca="1">mif(C858="","",B858=リスト!$C$5,SUMIF(INDEX(B:B,MATCH(I858-1,I:I,0)+1,1):INDEX(B:B,MATCH(I858,I:I,0)-1,1),リスト!$C$7,INDEX(G:G,MATCH(I858-1,I:I,0)+1,1):INDEX(G:G,MATCH(I858,I:I,0)-1,1)),"")</f>
        <v>#NAME?</v>
      </c>
      <c r="I858" s="200" t="str">
        <f>IF(OR(B858=リスト!$C$5,B858=リスト!$C$6),COUNTIF($B$9:B858,リスト!$C$5)+COUNTIF($B$9:B858,リスト!$C$6),"")</f>
        <v/>
      </c>
    </row>
    <row r="859" spans="2:9" x14ac:dyDescent="0.2">
      <c r="B859" s="196"/>
      <c r="C859" s="197">
        <v>45469.725289351853</v>
      </c>
      <c r="D859" s="197">
        <v>45469.725868055553</v>
      </c>
      <c r="E859" s="198" t="s">
        <v>244</v>
      </c>
      <c r="F859" s="199"/>
      <c r="G859" s="140" t="e">
        <f ca="1">mif(C859="","",OR(B859=リスト!$C$5,B859=リスト!$C$6),SUM(INDEX(G:G,MATCH(I859-1,I:I,0)+1,1):INDEX(G:G,MATCH(I859,I:I,0)-1,1)),D859-C859)</f>
        <v>#NAME?</v>
      </c>
      <c r="H859" s="140" t="e">
        <f ca="1">mif(C859="","",B859=リスト!$C$5,SUMIF(INDEX(B:B,MATCH(I859-1,I:I,0)+1,1):INDEX(B:B,MATCH(I859,I:I,0)-1,1),リスト!$C$7,INDEX(G:G,MATCH(I859-1,I:I,0)+1,1):INDEX(G:G,MATCH(I859,I:I,0)-1,1)),"")</f>
        <v>#NAME?</v>
      </c>
      <c r="I859" s="200" t="str">
        <f>IF(OR(B859=リスト!$C$5,B859=リスト!$C$6),COUNTIF($B$9:B859,リスト!$C$5)+COUNTIF($B$9:B859,リスト!$C$6),"")</f>
        <v/>
      </c>
    </row>
    <row r="860" spans="2:9" x14ac:dyDescent="0.2">
      <c r="B860" s="196"/>
      <c r="C860" s="197">
        <v>45469.731145833335</v>
      </c>
      <c r="D860" s="197">
        <v>45469.731446759259</v>
      </c>
      <c r="E860" s="198" t="s">
        <v>244</v>
      </c>
      <c r="F860" s="199"/>
      <c r="G860" s="140" t="e">
        <f ca="1">mif(C860="","",OR(B860=リスト!$C$5,B860=リスト!$C$6),SUM(INDEX(G:G,MATCH(I860-1,I:I,0)+1,1):INDEX(G:G,MATCH(I860,I:I,0)-1,1)),D860-C860)</f>
        <v>#NAME?</v>
      </c>
      <c r="H860" s="140" t="e">
        <f ca="1">mif(C860="","",B860=リスト!$C$5,SUMIF(INDEX(B:B,MATCH(I860-1,I:I,0)+1,1):INDEX(B:B,MATCH(I860,I:I,0)-1,1),リスト!$C$7,INDEX(G:G,MATCH(I860-1,I:I,0)+1,1):INDEX(G:G,MATCH(I860,I:I,0)-1,1)),"")</f>
        <v>#NAME?</v>
      </c>
      <c r="I860" s="200" t="str">
        <f>IF(OR(B860=リスト!$C$5,B860=リスト!$C$6),COUNTIF($B$9:B860,リスト!$C$5)+COUNTIF($B$9:B860,リスト!$C$6),"")</f>
        <v/>
      </c>
    </row>
    <row r="861" spans="2:9" x14ac:dyDescent="0.2">
      <c r="B861" s="196"/>
      <c r="C861" s="197">
        <v>45469.770925925928</v>
      </c>
      <c r="D861" s="197">
        <v>45469.771226851852</v>
      </c>
      <c r="E861" s="198" t="s">
        <v>244</v>
      </c>
      <c r="F861" s="199"/>
      <c r="G861" s="140" t="e">
        <f ca="1">mif(C861="","",OR(B861=リスト!$C$5,B861=リスト!$C$6),SUM(INDEX(G:G,MATCH(I861-1,I:I,0)+1,1):INDEX(G:G,MATCH(I861,I:I,0)-1,1)),D861-C861)</f>
        <v>#NAME?</v>
      </c>
      <c r="H861" s="140" t="e">
        <f ca="1">mif(C861="","",B861=リスト!$C$5,SUMIF(INDEX(B:B,MATCH(I861-1,I:I,0)+1,1):INDEX(B:B,MATCH(I861,I:I,0)-1,1),リスト!$C$7,INDEX(G:G,MATCH(I861-1,I:I,0)+1,1):INDEX(G:G,MATCH(I861,I:I,0)-1,1)),"")</f>
        <v>#NAME?</v>
      </c>
      <c r="I861" s="200" t="str">
        <f>IF(OR(B861=リスト!$C$5,B861=リスト!$C$6),COUNTIF($B$9:B861,リスト!$C$5)+COUNTIF($B$9:B861,リスト!$C$6),"")</f>
        <v/>
      </c>
    </row>
    <row r="862" spans="2:9" x14ac:dyDescent="0.2">
      <c r="B862" s="196"/>
      <c r="C862" s="197">
        <v>45469.777002314811</v>
      </c>
      <c r="D862" s="197">
        <v>45469.777303240742</v>
      </c>
      <c r="E862" s="198" t="s">
        <v>244</v>
      </c>
      <c r="F862" s="199"/>
      <c r="G862" s="140" t="e">
        <f ca="1">mif(C862="","",OR(B862=リスト!$C$5,B862=リスト!$C$6),SUM(INDEX(G:G,MATCH(I862-1,I:I,0)+1,1):INDEX(G:G,MATCH(I862,I:I,0)-1,1)),D862-C862)</f>
        <v>#NAME?</v>
      </c>
      <c r="H862" s="140" t="e">
        <f ca="1">mif(C862="","",B862=リスト!$C$5,SUMIF(INDEX(B:B,MATCH(I862-1,I:I,0)+1,1):INDEX(B:B,MATCH(I862,I:I,0)-1,1),リスト!$C$7,INDEX(G:G,MATCH(I862-1,I:I,0)+1,1):INDEX(G:G,MATCH(I862,I:I,0)-1,1)),"")</f>
        <v>#NAME?</v>
      </c>
      <c r="I862" s="200" t="str">
        <f>IF(OR(B862=リスト!$C$5,B862=リスト!$C$6),COUNTIF($B$9:B862,リスト!$C$5)+COUNTIF($B$9:B862,リスト!$C$6),"")</f>
        <v/>
      </c>
    </row>
    <row r="863" spans="2:9" x14ac:dyDescent="0.2">
      <c r="B863" s="196"/>
      <c r="C863" s="197">
        <v>45469.80840277778</v>
      </c>
      <c r="D863" s="197">
        <v>45469.808657407404</v>
      </c>
      <c r="E863" s="198" t="s">
        <v>244</v>
      </c>
      <c r="F863" s="199"/>
      <c r="G863" s="140" t="e">
        <f ca="1">mif(C863="","",OR(B863=リスト!$C$5,B863=リスト!$C$6),SUM(INDEX(G:G,MATCH(I863-1,I:I,0)+1,1):INDEX(G:G,MATCH(I863,I:I,0)-1,1)),D863-C863)</f>
        <v>#NAME?</v>
      </c>
      <c r="H863" s="140" t="e">
        <f ca="1">mif(C863="","",B863=リスト!$C$5,SUMIF(INDEX(B:B,MATCH(I863-1,I:I,0)+1,1):INDEX(B:B,MATCH(I863,I:I,0)-1,1),リスト!$C$7,INDEX(G:G,MATCH(I863-1,I:I,0)+1,1):INDEX(G:G,MATCH(I863,I:I,0)-1,1)),"")</f>
        <v>#NAME?</v>
      </c>
      <c r="I863" s="200" t="str">
        <f>IF(OR(B863=リスト!$C$5,B863=リスト!$C$6),COUNTIF($B$9:B863,リスト!$C$5)+COUNTIF($B$9:B863,リスト!$C$6),"")</f>
        <v/>
      </c>
    </row>
    <row r="864" spans="2:9" x14ac:dyDescent="0.2">
      <c r="B864" s="196"/>
      <c r="C864" s="197">
        <v>45469.889432870368</v>
      </c>
      <c r="D864" s="197">
        <v>45469.889710648145</v>
      </c>
      <c r="E864" s="198" t="s">
        <v>244</v>
      </c>
      <c r="F864" s="199"/>
      <c r="G864" s="140" t="e">
        <f ca="1">mif(C864="","",OR(B864=リスト!$C$5,B864=リスト!$C$6),SUM(INDEX(G:G,MATCH(I864-1,I:I,0)+1,1):INDEX(G:G,MATCH(I864,I:I,0)-1,1)),D864-C864)</f>
        <v>#NAME?</v>
      </c>
      <c r="H864" s="140" t="e">
        <f ca="1">mif(C864="","",B864=リスト!$C$5,SUMIF(INDEX(B:B,MATCH(I864-1,I:I,0)+1,1):INDEX(B:B,MATCH(I864,I:I,0)-1,1),リスト!$C$7,INDEX(G:G,MATCH(I864-1,I:I,0)+1,1):INDEX(G:G,MATCH(I864,I:I,0)-1,1)),"")</f>
        <v>#NAME?</v>
      </c>
      <c r="I864" s="200" t="str">
        <f>IF(OR(B864=リスト!$C$5,B864=リスト!$C$6),COUNTIF($B$9:B864,リスト!$C$5)+COUNTIF($B$9:B864,リスト!$C$6),"")</f>
        <v/>
      </c>
    </row>
    <row r="865" spans="2:9" x14ac:dyDescent="0.2">
      <c r="B865" s="196" t="s">
        <v>247</v>
      </c>
      <c r="C865" s="197">
        <v>45469.416666666664</v>
      </c>
      <c r="D865" s="197">
        <v>45469.916666666664</v>
      </c>
      <c r="E865" s="198">
        <v>11</v>
      </c>
      <c r="F865" s="199"/>
      <c r="G865" s="140" t="e">
        <f ca="1">mif(C865="","",OR(B865=リスト!$C$5,B865=リスト!$C$6),SUM(INDEX(G:G,MATCH(I865-1,I:I,0)+1,1):INDEX(G:G,MATCH(I865,I:I,0)-1,1)),D865-C865)</f>
        <v>#NAME?</v>
      </c>
      <c r="H865" s="140" t="e">
        <f ca="1">mif(C865="","",B865=リスト!$C$5,SUMIF(INDEX(B:B,MATCH(I865-1,I:I,0)+1,1):INDEX(B:B,MATCH(I865,I:I,0)-1,1),リスト!$C$7,INDEX(G:G,MATCH(I865-1,I:I,0)+1,1):INDEX(G:G,MATCH(I865,I:I,0)-1,1)),"")</f>
        <v>#NAME?</v>
      </c>
      <c r="I865" s="200">
        <f>IF(OR(B865=リスト!$C$5,B865=リスト!$C$6),COUNTIF($B$9:B865,リスト!$C$5)+COUNTIF($B$9:B865,リスト!$C$6),"")</f>
        <v>60</v>
      </c>
    </row>
    <row r="866" spans="2:9" x14ac:dyDescent="0.2">
      <c r="B866" s="196"/>
      <c r="C866" s="197">
        <v>45469.988483796296</v>
      </c>
      <c r="D866" s="197">
        <v>45469.98883101852</v>
      </c>
      <c r="E866" s="198" t="s">
        <v>244</v>
      </c>
      <c r="F866" s="199"/>
      <c r="G866" s="140" t="e">
        <f ca="1">mif(C866="","",OR(B866=リスト!$C$5,B866=リスト!$C$6),SUM(INDEX(G:G,MATCH(I866-1,I:I,0)+1,1):INDEX(G:G,MATCH(I866,I:I,0)-1,1)),D866-C866)</f>
        <v>#NAME?</v>
      </c>
      <c r="H866" s="140" t="e">
        <f ca="1">mif(C866="","",B866=リスト!$C$5,SUMIF(INDEX(B:B,MATCH(I866-1,I:I,0)+1,1):INDEX(B:B,MATCH(I866,I:I,0)-1,1),リスト!$C$7,INDEX(G:G,MATCH(I866-1,I:I,0)+1,1):INDEX(G:G,MATCH(I866,I:I,0)-1,1)),"")</f>
        <v>#NAME?</v>
      </c>
      <c r="I866" s="200" t="str">
        <f>IF(OR(B866=リスト!$C$5,B866=リスト!$C$6),COUNTIF($B$9:B866,リスト!$C$5)+COUNTIF($B$9:B866,リスト!$C$6),"")</f>
        <v/>
      </c>
    </row>
    <row r="867" spans="2:9" x14ac:dyDescent="0.2">
      <c r="B867" s="196"/>
      <c r="C867" s="197">
        <v>45470.105833333335</v>
      </c>
      <c r="D867" s="197">
        <v>45470.106157407405</v>
      </c>
      <c r="E867" s="198" t="s">
        <v>244</v>
      </c>
      <c r="F867" s="199"/>
      <c r="G867" s="140" t="e">
        <f ca="1">mif(C867="","",OR(B867=リスト!$C$5,B867=リスト!$C$6),SUM(INDEX(G:G,MATCH(I867-1,I:I,0)+1,1):INDEX(G:G,MATCH(I867,I:I,0)-1,1)),D867-C867)</f>
        <v>#NAME?</v>
      </c>
      <c r="H867" s="140" t="e">
        <f ca="1">mif(C867="","",B867=リスト!$C$5,SUMIF(INDEX(B:B,MATCH(I867-1,I:I,0)+1,1):INDEX(B:B,MATCH(I867,I:I,0)-1,1),リスト!$C$7,INDEX(G:G,MATCH(I867-1,I:I,0)+1,1):INDEX(G:G,MATCH(I867,I:I,0)-1,1)),"")</f>
        <v>#NAME?</v>
      </c>
      <c r="I867" s="200" t="str">
        <f>IF(OR(B867=リスト!$C$5,B867=リスト!$C$6),COUNTIF($B$9:B867,リスト!$C$5)+COUNTIF($B$9:B867,リスト!$C$6),"")</f>
        <v/>
      </c>
    </row>
    <row r="868" spans="2:9" x14ac:dyDescent="0.2">
      <c r="B868" s="196"/>
      <c r="C868" s="197">
        <v>45470.109953703701</v>
      </c>
      <c r="D868" s="197">
        <v>45470.110717592594</v>
      </c>
      <c r="E868" s="198" t="s">
        <v>244</v>
      </c>
      <c r="F868" s="199"/>
      <c r="G868" s="140" t="e">
        <f ca="1">mif(C868="","",OR(B868=リスト!$C$5,B868=リスト!$C$6),SUM(INDEX(G:G,MATCH(I868-1,I:I,0)+1,1):INDEX(G:G,MATCH(I868,I:I,0)-1,1)),D868-C868)</f>
        <v>#NAME?</v>
      </c>
      <c r="H868" s="140" t="e">
        <f ca="1">mif(C868="","",B868=リスト!$C$5,SUMIF(INDEX(B:B,MATCH(I868-1,I:I,0)+1,1):INDEX(B:B,MATCH(I868,I:I,0)-1,1),リスト!$C$7,INDEX(G:G,MATCH(I868-1,I:I,0)+1,1):INDEX(G:G,MATCH(I868,I:I,0)-1,1)),"")</f>
        <v>#NAME?</v>
      </c>
      <c r="I868" s="200" t="str">
        <f>IF(OR(B868=リスト!$C$5,B868=リスト!$C$6),COUNTIF($B$9:B868,リスト!$C$5)+COUNTIF($B$9:B868,リスト!$C$6),"")</f>
        <v/>
      </c>
    </row>
    <row r="869" spans="2:9" x14ac:dyDescent="0.2">
      <c r="B869" s="196"/>
      <c r="C869" s="197">
        <v>45470.130312499998</v>
      </c>
      <c r="D869" s="197">
        <v>45470.130613425928</v>
      </c>
      <c r="E869" s="198" t="s">
        <v>244</v>
      </c>
      <c r="F869" s="199"/>
      <c r="G869" s="140" t="e">
        <f ca="1">mif(C869="","",OR(B869=リスト!$C$5,B869=リスト!$C$6),SUM(INDEX(G:G,MATCH(I869-1,I:I,0)+1,1):INDEX(G:G,MATCH(I869,I:I,0)-1,1)),D869-C869)</f>
        <v>#NAME?</v>
      </c>
      <c r="H869" s="140" t="e">
        <f ca="1">mif(C869="","",B869=リスト!$C$5,SUMIF(INDEX(B:B,MATCH(I869-1,I:I,0)+1,1):INDEX(B:B,MATCH(I869,I:I,0)-1,1),リスト!$C$7,INDEX(G:G,MATCH(I869-1,I:I,0)+1,1):INDEX(G:G,MATCH(I869,I:I,0)-1,1)),"")</f>
        <v>#NAME?</v>
      </c>
      <c r="I869" s="200" t="str">
        <f>IF(OR(B869=リスト!$C$5,B869=リスト!$C$6),COUNTIF($B$9:B869,リスト!$C$5)+COUNTIF($B$9:B869,リスト!$C$6),"")</f>
        <v/>
      </c>
    </row>
    <row r="870" spans="2:9" x14ac:dyDescent="0.2">
      <c r="B870" s="196"/>
      <c r="C870" s="197">
        <v>45470.143854166665</v>
      </c>
      <c r="D870" s="197">
        <v>45470.144085648149</v>
      </c>
      <c r="E870" s="198" t="s">
        <v>244</v>
      </c>
      <c r="F870" s="199"/>
      <c r="G870" s="140" t="e">
        <f ca="1">mif(C870="","",OR(B870=リスト!$C$5,B870=リスト!$C$6),SUM(INDEX(G:G,MATCH(I870-1,I:I,0)+1,1):INDEX(G:G,MATCH(I870,I:I,0)-1,1)),D870-C870)</f>
        <v>#NAME?</v>
      </c>
      <c r="H870" s="140" t="e">
        <f ca="1">mif(C870="","",B870=リスト!$C$5,SUMIF(INDEX(B:B,MATCH(I870-1,I:I,0)+1,1):INDEX(B:B,MATCH(I870,I:I,0)-1,1),リスト!$C$7,INDEX(G:G,MATCH(I870-1,I:I,0)+1,1):INDEX(G:G,MATCH(I870,I:I,0)-1,1)),"")</f>
        <v>#NAME?</v>
      </c>
      <c r="I870" s="200" t="str">
        <f>IF(OR(B870=リスト!$C$5,B870=リスト!$C$6),COUNTIF($B$9:B870,リスト!$C$5)+COUNTIF($B$9:B870,リスト!$C$6),"")</f>
        <v/>
      </c>
    </row>
    <row r="871" spans="2:9" x14ac:dyDescent="0.2">
      <c r="B871" s="196"/>
      <c r="C871" s="197">
        <v>45470.166458333333</v>
      </c>
      <c r="D871" s="197">
        <v>45470.166712962964</v>
      </c>
      <c r="E871" s="198" t="s">
        <v>244</v>
      </c>
      <c r="F871" s="199"/>
      <c r="G871" s="140" t="e">
        <f ca="1">mif(C871="","",OR(B871=リスト!$C$5,B871=リスト!$C$6),SUM(INDEX(G:G,MATCH(I871-1,I:I,0)+1,1):INDEX(G:G,MATCH(I871,I:I,0)-1,1)),D871-C871)</f>
        <v>#NAME?</v>
      </c>
      <c r="H871" s="140" t="e">
        <f ca="1">mif(C871="","",B871=リスト!$C$5,SUMIF(INDEX(B:B,MATCH(I871-1,I:I,0)+1,1):INDEX(B:B,MATCH(I871,I:I,0)-1,1),リスト!$C$7,INDEX(G:G,MATCH(I871-1,I:I,0)+1,1):INDEX(G:G,MATCH(I871,I:I,0)-1,1)),"")</f>
        <v>#NAME?</v>
      </c>
      <c r="I871" s="200" t="str">
        <f>IF(OR(B871=リスト!$C$5,B871=リスト!$C$6),COUNTIF($B$9:B871,リスト!$C$5)+COUNTIF($B$9:B871,リスト!$C$6),"")</f>
        <v/>
      </c>
    </row>
    <row r="872" spans="2:9" x14ac:dyDescent="0.2">
      <c r="B872" s="196"/>
      <c r="C872" s="197">
        <v>45470.215810185182</v>
      </c>
      <c r="D872" s="197">
        <v>45470.216064814813</v>
      </c>
      <c r="E872" s="198" t="s">
        <v>244</v>
      </c>
      <c r="F872" s="199"/>
      <c r="G872" s="140" t="e">
        <f ca="1">mif(C872="","",OR(B872=リスト!$C$5,B872=リスト!$C$6),SUM(INDEX(G:G,MATCH(I872-1,I:I,0)+1,1):INDEX(G:G,MATCH(I872,I:I,0)-1,1)),D872-C872)</f>
        <v>#NAME?</v>
      </c>
      <c r="H872" s="140" t="e">
        <f ca="1">mif(C872="","",B872=リスト!$C$5,SUMIF(INDEX(B:B,MATCH(I872-1,I:I,0)+1,1):INDEX(B:B,MATCH(I872,I:I,0)-1,1),リスト!$C$7,INDEX(G:G,MATCH(I872-1,I:I,0)+1,1):INDEX(G:G,MATCH(I872,I:I,0)-1,1)),"")</f>
        <v>#NAME?</v>
      </c>
      <c r="I872" s="200" t="str">
        <f>IF(OR(B872=リスト!$C$5,B872=リスト!$C$6),COUNTIF($B$9:B872,リスト!$C$5)+COUNTIF($B$9:B872,リスト!$C$6),"")</f>
        <v/>
      </c>
    </row>
    <row r="873" spans="2:9" x14ac:dyDescent="0.2">
      <c r="B873" s="196"/>
      <c r="C873" s="197">
        <v>45470.232395833336</v>
      </c>
      <c r="D873" s="197">
        <v>45470.23269675926</v>
      </c>
      <c r="E873" s="198" t="s">
        <v>244</v>
      </c>
      <c r="F873" s="199"/>
      <c r="G873" s="140" t="e">
        <f ca="1">mif(C873="","",OR(B873=リスト!$C$5,B873=リスト!$C$6),SUM(INDEX(G:G,MATCH(I873-1,I:I,0)+1,1):INDEX(G:G,MATCH(I873,I:I,0)-1,1)),D873-C873)</f>
        <v>#NAME?</v>
      </c>
      <c r="H873" s="140" t="e">
        <f ca="1">mif(C873="","",B873=リスト!$C$5,SUMIF(INDEX(B:B,MATCH(I873-1,I:I,0)+1,1):INDEX(B:B,MATCH(I873,I:I,0)-1,1),リスト!$C$7,INDEX(G:G,MATCH(I873-1,I:I,0)+1,1):INDEX(G:G,MATCH(I873,I:I,0)-1,1)),"")</f>
        <v>#NAME?</v>
      </c>
      <c r="I873" s="200" t="str">
        <f>IF(OR(B873=リスト!$C$5,B873=リスト!$C$6),COUNTIF($B$9:B873,リスト!$C$5)+COUNTIF($B$9:B873,リスト!$C$6),"")</f>
        <v/>
      </c>
    </row>
    <row r="874" spans="2:9" x14ac:dyDescent="0.2">
      <c r="B874" s="196"/>
      <c r="C874" s="197">
        <v>45470.239710648151</v>
      </c>
      <c r="D874" s="197">
        <v>45470.239965277775</v>
      </c>
      <c r="E874" s="198" t="s">
        <v>244</v>
      </c>
      <c r="F874" s="199"/>
      <c r="G874" s="140" t="e">
        <f ca="1">mif(C874="","",OR(B874=リスト!$C$5,B874=リスト!$C$6),SUM(INDEX(G:G,MATCH(I874-1,I:I,0)+1,1):INDEX(G:G,MATCH(I874,I:I,0)-1,1)),D874-C874)</f>
        <v>#NAME?</v>
      </c>
      <c r="H874" s="140" t="e">
        <f ca="1">mif(C874="","",B874=リスト!$C$5,SUMIF(INDEX(B:B,MATCH(I874-1,I:I,0)+1,1):INDEX(B:B,MATCH(I874,I:I,0)-1,1),リスト!$C$7,INDEX(G:G,MATCH(I874-1,I:I,0)+1,1):INDEX(G:G,MATCH(I874,I:I,0)-1,1)),"")</f>
        <v>#NAME?</v>
      </c>
      <c r="I874" s="200" t="str">
        <f>IF(OR(B874=リスト!$C$5,B874=リスト!$C$6),COUNTIF($B$9:B874,リスト!$C$5)+COUNTIF($B$9:B874,リスト!$C$6),"")</f>
        <v/>
      </c>
    </row>
    <row r="875" spans="2:9" x14ac:dyDescent="0.2">
      <c r="B875" s="196"/>
      <c r="C875" s="197">
        <v>45470.243668981479</v>
      </c>
      <c r="D875" s="197">
        <v>45470.243946759256</v>
      </c>
      <c r="E875" s="198" t="s">
        <v>244</v>
      </c>
      <c r="F875" s="199"/>
      <c r="G875" s="140" t="e">
        <f ca="1">mif(C875="","",OR(B875=リスト!$C$5,B875=リスト!$C$6),SUM(INDEX(G:G,MATCH(I875-1,I:I,0)+1,1):INDEX(G:G,MATCH(I875,I:I,0)-1,1)),D875-C875)</f>
        <v>#NAME?</v>
      </c>
      <c r="H875" s="140" t="e">
        <f ca="1">mif(C875="","",B875=リスト!$C$5,SUMIF(INDEX(B:B,MATCH(I875-1,I:I,0)+1,1):INDEX(B:B,MATCH(I875,I:I,0)-1,1),リスト!$C$7,INDEX(G:G,MATCH(I875-1,I:I,0)+1,1):INDEX(G:G,MATCH(I875,I:I,0)-1,1)),"")</f>
        <v>#NAME?</v>
      </c>
      <c r="I875" s="200" t="str">
        <f>IF(OR(B875=リスト!$C$5,B875=リスト!$C$6),COUNTIF($B$9:B875,リスト!$C$5)+COUNTIF($B$9:B875,リスト!$C$6),"")</f>
        <v/>
      </c>
    </row>
    <row r="876" spans="2:9" x14ac:dyDescent="0.2">
      <c r="B876" s="196"/>
      <c r="C876" s="197">
        <v>45470.316967592589</v>
      </c>
      <c r="D876" s="197">
        <v>45470.317523148151</v>
      </c>
      <c r="E876" s="198" t="s">
        <v>244</v>
      </c>
      <c r="F876" s="199"/>
      <c r="G876" s="140" t="e">
        <f ca="1">mif(C876="","",OR(B876=リスト!$C$5,B876=リスト!$C$6),SUM(INDEX(G:G,MATCH(I876-1,I:I,0)+1,1):INDEX(G:G,MATCH(I876,I:I,0)-1,1)),D876-C876)</f>
        <v>#NAME?</v>
      </c>
      <c r="H876" s="140" t="e">
        <f ca="1">mif(C876="","",B876=リスト!$C$5,SUMIF(INDEX(B:B,MATCH(I876-1,I:I,0)+1,1):INDEX(B:B,MATCH(I876,I:I,0)-1,1),リスト!$C$7,INDEX(G:G,MATCH(I876-1,I:I,0)+1,1):INDEX(G:G,MATCH(I876,I:I,0)-1,1)),"")</f>
        <v>#NAME?</v>
      </c>
      <c r="I876" s="200" t="str">
        <f>IF(OR(B876=リスト!$C$5,B876=リスト!$C$6),COUNTIF($B$9:B876,リスト!$C$5)+COUNTIF($B$9:B876,リスト!$C$6),"")</f>
        <v/>
      </c>
    </row>
    <row r="877" spans="2:9" x14ac:dyDescent="0.2">
      <c r="B877" s="196"/>
      <c r="C877" s="197">
        <v>45470.339826388888</v>
      </c>
      <c r="D877" s="197">
        <v>45470.340150462966</v>
      </c>
      <c r="E877" s="198" t="s">
        <v>244</v>
      </c>
      <c r="F877" s="199"/>
      <c r="G877" s="140" t="e">
        <f ca="1">mif(C877="","",OR(B877=リスト!$C$5,B877=リスト!$C$6),SUM(INDEX(G:G,MATCH(I877-1,I:I,0)+1,1):INDEX(G:G,MATCH(I877,I:I,0)-1,1)),D877-C877)</f>
        <v>#NAME?</v>
      </c>
      <c r="H877" s="140" t="e">
        <f ca="1">mif(C877="","",B877=リスト!$C$5,SUMIF(INDEX(B:B,MATCH(I877-1,I:I,0)+1,1):INDEX(B:B,MATCH(I877,I:I,0)-1,1),リスト!$C$7,INDEX(G:G,MATCH(I877-1,I:I,0)+1,1):INDEX(G:G,MATCH(I877,I:I,0)-1,1)),"")</f>
        <v>#NAME?</v>
      </c>
      <c r="I877" s="200" t="str">
        <f>IF(OR(B877=リスト!$C$5,B877=リスト!$C$6),COUNTIF($B$9:B877,リスト!$C$5)+COUNTIF($B$9:B877,リスト!$C$6),"")</f>
        <v/>
      </c>
    </row>
    <row r="878" spans="2:9" x14ac:dyDescent="0.2">
      <c r="B878" s="196"/>
      <c r="C878" s="197">
        <v>45470.353368055556</v>
      </c>
      <c r="D878" s="197">
        <v>45470.353807870371</v>
      </c>
      <c r="E878" s="198" t="s">
        <v>244</v>
      </c>
      <c r="F878" s="199"/>
      <c r="G878" s="140" t="e">
        <f ca="1">mif(C878="","",OR(B878=リスト!$C$5,B878=リスト!$C$6),SUM(INDEX(G:G,MATCH(I878-1,I:I,0)+1,1):INDEX(G:G,MATCH(I878,I:I,0)-1,1)),D878-C878)</f>
        <v>#NAME?</v>
      </c>
      <c r="H878" s="140" t="e">
        <f ca="1">mif(C878="","",B878=リスト!$C$5,SUMIF(INDEX(B:B,MATCH(I878-1,I:I,0)+1,1):INDEX(B:B,MATCH(I878,I:I,0)-1,1),リスト!$C$7,INDEX(G:G,MATCH(I878-1,I:I,0)+1,1):INDEX(G:G,MATCH(I878,I:I,0)-1,1)),"")</f>
        <v>#NAME?</v>
      </c>
      <c r="I878" s="200" t="str">
        <f>IF(OR(B878=リスト!$C$5,B878=リスト!$C$6),COUNTIF($B$9:B878,リスト!$C$5)+COUNTIF($B$9:B878,リスト!$C$6),"")</f>
        <v/>
      </c>
    </row>
    <row r="879" spans="2:9" x14ac:dyDescent="0.2">
      <c r="B879" s="196"/>
      <c r="C879" s="197">
        <v>45470.387673611112</v>
      </c>
      <c r="D879" s="197">
        <v>45470.38790509259</v>
      </c>
      <c r="E879" s="198" t="s">
        <v>244</v>
      </c>
      <c r="F879" s="199"/>
      <c r="G879" s="140" t="e">
        <f ca="1">mif(C879="","",OR(B879=リスト!$C$5,B879=リスト!$C$6),SUM(INDEX(G:G,MATCH(I879-1,I:I,0)+1,1):INDEX(G:G,MATCH(I879,I:I,0)-1,1)),D879-C879)</f>
        <v>#NAME?</v>
      </c>
      <c r="H879" s="140" t="e">
        <f ca="1">mif(C879="","",B879=リスト!$C$5,SUMIF(INDEX(B:B,MATCH(I879-1,I:I,0)+1,1):INDEX(B:B,MATCH(I879,I:I,0)-1,1),リスト!$C$7,INDEX(G:G,MATCH(I879-1,I:I,0)+1,1):INDEX(G:G,MATCH(I879,I:I,0)-1,1)),"")</f>
        <v>#NAME?</v>
      </c>
      <c r="I879" s="200" t="str">
        <f>IF(OR(B879=リスト!$C$5,B879=リスト!$C$6),COUNTIF($B$9:B879,リスト!$C$5)+COUNTIF($B$9:B879,リスト!$C$6),"")</f>
        <v/>
      </c>
    </row>
    <row r="880" spans="2:9" x14ac:dyDescent="0.2">
      <c r="B880" s="196"/>
      <c r="C880" s="197">
        <v>45470.389131944445</v>
      </c>
      <c r="D880" s="197">
        <v>45470.389386574076</v>
      </c>
      <c r="E880" s="198" t="s">
        <v>244</v>
      </c>
      <c r="F880" s="199"/>
      <c r="G880" s="140" t="e">
        <f ca="1">mif(C880="","",OR(B880=リスト!$C$5,B880=リスト!$C$6),SUM(INDEX(G:G,MATCH(I880-1,I:I,0)+1,1):INDEX(G:G,MATCH(I880,I:I,0)-1,1)),D880-C880)</f>
        <v>#NAME?</v>
      </c>
      <c r="H880" s="140" t="e">
        <f ca="1">mif(C880="","",B880=リスト!$C$5,SUMIF(INDEX(B:B,MATCH(I880-1,I:I,0)+1,1):INDEX(B:B,MATCH(I880,I:I,0)-1,1),リスト!$C$7,INDEX(G:G,MATCH(I880-1,I:I,0)+1,1):INDEX(G:G,MATCH(I880,I:I,0)-1,1)),"")</f>
        <v>#NAME?</v>
      </c>
      <c r="I880" s="200" t="str">
        <f>IF(OR(B880=リスト!$C$5,B880=リスト!$C$6),COUNTIF($B$9:B880,リスト!$C$5)+COUNTIF($B$9:B880,リスト!$C$6),"")</f>
        <v/>
      </c>
    </row>
    <row r="881" spans="1:9" x14ac:dyDescent="0.2">
      <c r="B881" s="196" t="s">
        <v>247</v>
      </c>
      <c r="C881" s="197">
        <v>45469.916666666664</v>
      </c>
      <c r="D881" s="197">
        <v>45470.416666666664</v>
      </c>
      <c r="E881" s="198">
        <v>15</v>
      </c>
      <c r="F881" s="199"/>
      <c r="G881" s="140" t="e">
        <f ca="1">mif(C881="","",OR(B881=リスト!$C$5,B881=リスト!$C$6),SUM(INDEX(G:G,MATCH(I881-1,I:I,0)+1,1):INDEX(G:G,MATCH(I881,I:I,0)-1,1)),D881-C881)</f>
        <v>#NAME?</v>
      </c>
      <c r="H881" s="140" t="e">
        <f ca="1">mif(C881="","",B881=リスト!$C$5,SUMIF(INDEX(B:B,MATCH(I881-1,I:I,0)+1,1):INDEX(B:B,MATCH(I881,I:I,0)-1,1),リスト!$C$7,INDEX(G:G,MATCH(I881-1,I:I,0)+1,1):INDEX(G:G,MATCH(I881,I:I,0)-1,1)),"")</f>
        <v>#NAME?</v>
      </c>
      <c r="I881" s="200">
        <f>IF(OR(B881=リスト!$C$5,B881=リスト!$C$6),COUNTIF($B$9:B881,リスト!$C$5)+COUNTIF($B$9:B881,リスト!$C$6),"")</f>
        <v>61</v>
      </c>
    </row>
    <row r="882" spans="1:9" x14ac:dyDescent="0.2">
      <c r="B882" s="196" t="s">
        <v>245</v>
      </c>
      <c r="C882" s="197">
        <v>45470.426527777781</v>
      </c>
      <c r="D882" s="197">
        <v>45470.433252314811</v>
      </c>
      <c r="E882" s="198"/>
      <c r="F882" s="199" t="s">
        <v>246</v>
      </c>
      <c r="G882" s="140" t="e">
        <f ca="1">mif(C882="","",OR(B882=リスト!$C$5,B882=リスト!$C$6),SUM(INDEX(G:G,MATCH(I882-1,I:I,0)+1,1):INDEX(G:G,MATCH(I882,I:I,0)-1,1)),D882-C882)</f>
        <v>#NAME?</v>
      </c>
      <c r="H882" s="140" t="e">
        <f ca="1">mif(C882="","",B882=リスト!$C$5,SUMIF(INDEX(B:B,MATCH(I882-1,I:I,0)+1,1):INDEX(B:B,MATCH(I882,I:I,0)-1,1),リスト!$C$7,INDEX(G:G,MATCH(I882-1,I:I,0)+1,1):INDEX(G:G,MATCH(I882,I:I,0)-1,1)),"")</f>
        <v>#NAME?</v>
      </c>
      <c r="I882" s="200" t="str">
        <f>IF(OR(B882=リスト!$C$5,B882=リスト!$C$6),COUNTIF($B$9:B882,リスト!$C$5)+COUNTIF($B$9:B882,リスト!$C$6),"")</f>
        <v/>
      </c>
    </row>
    <row r="883" spans="1:9" x14ac:dyDescent="0.2">
      <c r="B883" s="196"/>
      <c r="C883" s="197">
        <v>45470.512106481481</v>
      </c>
      <c r="D883" s="197">
        <v>45470.513124999998</v>
      </c>
      <c r="E883" s="198" t="s">
        <v>244</v>
      </c>
      <c r="F883" s="199"/>
      <c r="G883" s="140" t="e">
        <f ca="1">mif(C883="","",OR(B883=リスト!$C$5,B883=リスト!$C$6),SUM(INDEX(G:G,MATCH(I883-1,I:I,0)+1,1):INDEX(G:G,MATCH(I883,I:I,0)-1,1)),D883-C883)</f>
        <v>#NAME?</v>
      </c>
      <c r="H883" s="140" t="e">
        <f ca="1">mif(C883="","",B883=リスト!$C$5,SUMIF(INDEX(B:B,MATCH(I883-1,I:I,0)+1,1):INDEX(B:B,MATCH(I883,I:I,0)-1,1),リスト!$C$7,INDEX(G:G,MATCH(I883-1,I:I,0)+1,1):INDEX(G:G,MATCH(I883,I:I,0)-1,1)),"")</f>
        <v>#NAME?</v>
      </c>
      <c r="I883" s="200" t="str">
        <f>IF(OR(B883=リスト!$C$5,B883=リスト!$C$6),COUNTIF($B$9:B883,リスト!$C$5)+COUNTIF($B$9:B883,リスト!$C$6),"")</f>
        <v/>
      </c>
    </row>
    <row r="884" spans="1:9" x14ac:dyDescent="0.2">
      <c r="B884" s="196"/>
      <c r="C884" s="197">
        <v>45470.530486111114</v>
      </c>
      <c r="D884" s="197">
        <v>45470.530949074076</v>
      </c>
      <c r="E884" s="198" t="s">
        <v>244</v>
      </c>
      <c r="F884" s="199"/>
      <c r="G884" s="140" t="e">
        <f ca="1">mif(C884="","",OR(B884=リスト!$C$5,B884=リスト!$C$6),SUM(INDEX(G:G,MATCH(I884-1,I:I,0)+1,1):INDEX(G:G,MATCH(I884,I:I,0)-1,1)),D884-C884)</f>
        <v>#NAME?</v>
      </c>
      <c r="H884" s="140" t="e">
        <f ca="1">mif(C884="","",B884=リスト!$C$5,SUMIF(INDEX(B:B,MATCH(I884-1,I:I,0)+1,1):INDEX(B:B,MATCH(I884,I:I,0)-1,1),リスト!$C$7,INDEX(G:G,MATCH(I884-1,I:I,0)+1,1):INDEX(G:G,MATCH(I884,I:I,0)-1,1)),"")</f>
        <v>#NAME?</v>
      </c>
      <c r="I884" s="200" t="str">
        <f>IF(OR(B884=リスト!$C$5,B884=リスト!$C$6),COUNTIF($B$9:B884,リスト!$C$5)+COUNTIF($B$9:B884,リスト!$C$6),"")</f>
        <v/>
      </c>
    </row>
    <row r="885" spans="1:9" x14ac:dyDescent="0.2">
      <c r="B885" s="196"/>
      <c r="C885" s="197">
        <v>45470.556400462963</v>
      </c>
      <c r="D885" s="197">
        <v>45470.55667824074</v>
      </c>
      <c r="E885" s="198" t="s">
        <v>244</v>
      </c>
      <c r="F885" s="199"/>
      <c r="G885" s="140" t="e">
        <f ca="1">mif(C885="","",OR(B885=リスト!$C$5,B885=リスト!$C$6),SUM(INDEX(G:G,MATCH(I885-1,I:I,0)+1,1):INDEX(G:G,MATCH(I885,I:I,0)-1,1)),D885-C885)</f>
        <v>#NAME?</v>
      </c>
      <c r="H885" s="140" t="e">
        <f ca="1">mif(C885="","",B885=リスト!$C$5,SUMIF(INDEX(B:B,MATCH(I885-1,I:I,0)+1,1):INDEX(B:B,MATCH(I885,I:I,0)-1,1),リスト!$C$7,INDEX(G:G,MATCH(I885-1,I:I,0)+1,1):INDEX(G:G,MATCH(I885,I:I,0)-1,1)),"")</f>
        <v>#NAME?</v>
      </c>
      <c r="I885" s="200" t="str">
        <f>IF(OR(B885=リスト!$C$5,B885=リスト!$C$6),COUNTIF($B$9:B885,リスト!$C$5)+COUNTIF($B$9:B885,リスト!$C$6),"")</f>
        <v/>
      </c>
    </row>
    <row r="886" spans="1:9" x14ac:dyDescent="0.2">
      <c r="B886" s="196"/>
      <c r="C886" s="197">
        <v>45470.563310185185</v>
      </c>
      <c r="D886" s="197">
        <v>45470.563611111109</v>
      </c>
      <c r="E886" s="198" t="s">
        <v>244</v>
      </c>
      <c r="F886" s="199"/>
      <c r="G886" s="140" t="e">
        <f ca="1">mif(C886="","",OR(B886=リスト!$C$5,B886=リスト!$C$6),SUM(INDEX(G:G,MATCH(I886-1,I:I,0)+1,1):INDEX(G:G,MATCH(I886,I:I,0)-1,1)),D886-C886)</f>
        <v>#NAME?</v>
      </c>
      <c r="H886" s="140" t="e">
        <f ca="1">mif(C886="","",B886=リスト!$C$5,SUMIF(INDEX(B:B,MATCH(I886-1,I:I,0)+1,1):INDEX(B:B,MATCH(I886,I:I,0)-1,1),リスト!$C$7,INDEX(G:G,MATCH(I886-1,I:I,0)+1,1):INDEX(G:G,MATCH(I886,I:I,0)-1,1)),"")</f>
        <v>#NAME?</v>
      </c>
      <c r="I886" s="200" t="str">
        <f>IF(OR(B886=リスト!$C$5,B886=リスト!$C$6),COUNTIF($B$9:B886,リスト!$C$5)+COUNTIF($B$9:B886,リスト!$C$6),"")</f>
        <v/>
      </c>
    </row>
    <row r="887" spans="1:9" x14ac:dyDescent="0.2">
      <c r="B887" s="196"/>
      <c r="C887" s="197">
        <v>45470.61209490741</v>
      </c>
      <c r="D887" s="197">
        <v>45470.612372685187</v>
      </c>
      <c r="E887" s="198" t="s">
        <v>244</v>
      </c>
      <c r="F887" s="199"/>
      <c r="G887" s="140" t="e">
        <f ca="1">mif(C887="","",OR(B887=リスト!$C$5,B887=リスト!$C$6),SUM(INDEX(G:G,MATCH(I887-1,I:I,0)+1,1):INDEX(G:G,MATCH(I887,I:I,0)-1,1)),D887-C887)</f>
        <v>#NAME?</v>
      </c>
      <c r="H887" s="140" t="e">
        <f ca="1">mif(C887="","",B887=リスト!$C$5,SUMIF(INDEX(B:B,MATCH(I887-1,I:I,0)+1,1):INDEX(B:B,MATCH(I887,I:I,0)-1,1),リスト!$C$7,INDEX(G:G,MATCH(I887-1,I:I,0)+1,1):INDEX(G:G,MATCH(I887,I:I,0)-1,1)),"")</f>
        <v>#NAME?</v>
      </c>
      <c r="I887" s="200" t="str">
        <f>IF(OR(B887=リスト!$C$5,B887=リスト!$C$6),COUNTIF($B$9:B887,リスト!$C$5)+COUNTIF($B$9:B887,リスト!$C$6),"")</f>
        <v/>
      </c>
    </row>
    <row r="888" spans="1:9" x14ac:dyDescent="0.2">
      <c r="B888" s="196"/>
      <c r="C888" s="197">
        <v>45470.681342592594</v>
      </c>
      <c r="D888" s="197">
        <v>45470.681620370371</v>
      </c>
      <c r="E888" s="198" t="s">
        <v>244</v>
      </c>
      <c r="F888" s="199"/>
      <c r="G888" s="140" t="e">
        <f ca="1">mif(C888="","",OR(B888=リスト!$C$5,B888=リスト!$C$6),SUM(INDEX(G:G,MATCH(I888-1,I:I,0)+1,1):INDEX(G:G,MATCH(I888,I:I,0)-1,1)),D888-C888)</f>
        <v>#NAME?</v>
      </c>
      <c r="H888" s="140" t="e">
        <f ca="1">mif(C888="","",B888=リスト!$C$5,SUMIF(INDEX(B:B,MATCH(I888-1,I:I,0)+1,1):INDEX(B:B,MATCH(I888,I:I,0)-1,1),リスト!$C$7,INDEX(G:G,MATCH(I888-1,I:I,0)+1,1):INDEX(G:G,MATCH(I888,I:I,0)-1,1)),"")</f>
        <v>#NAME?</v>
      </c>
      <c r="I888" s="200" t="str">
        <f>IF(OR(B888=リスト!$C$5,B888=リスト!$C$6),COUNTIF($B$9:B888,リスト!$C$5)+COUNTIF($B$9:B888,リスト!$C$6),"")</f>
        <v/>
      </c>
    </row>
    <row r="889" spans="1:9" x14ac:dyDescent="0.2">
      <c r="A889" s="38" t="s">
        <v>225</v>
      </c>
      <c r="B889" s="196" t="s">
        <v>245</v>
      </c>
      <c r="C889" s="197">
        <v>45470.724305555559</v>
      </c>
      <c r="D889" s="197">
        <v>45470.75</v>
      </c>
      <c r="E889" s="198"/>
      <c r="F889" s="199" t="s">
        <v>270</v>
      </c>
      <c r="G889" s="140" t="e">
        <f ca="1">mif(C889="","",OR(B889=リスト!$C$5,B889=リスト!$C$6),SUM(INDEX(G:G,MATCH(I889-1,I:I,0)+1,1):INDEX(G:G,MATCH(I889,I:I,0)-1,1)),D889-C889)</f>
        <v>#NAME?</v>
      </c>
      <c r="H889" s="140" t="e">
        <f ca="1">mif(C889="","",B889=リスト!$C$5,SUMIF(INDEX(B:B,MATCH(I889-1,I:I,0)+1,1):INDEX(B:B,MATCH(I889,I:I,0)-1,1),リスト!$C$7,INDEX(G:G,MATCH(I889-1,I:I,0)+1,1):INDEX(G:G,MATCH(I889,I:I,0)-1,1)),"")</f>
        <v>#NAME?</v>
      </c>
      <c r="I889" s="200" t="str">
        <f>IF(OR(B889=リスト!$C$5,B889=リスト!$C$6),COUNTIF($B$9:B889,リスト!$C$5)+COUNTIF($B$9:B889,リスト!$C$6),"")</f>
        <v/>
      </c>
    </row>
    <row r="890" spans="1:9" x14ac:dyDescent="0.2">
      <c r="B890" s="196"/>
      <c r="C890" s="197">
        <v>45470.756932870368</v>
      </c>
      <c r="D890" s="197">
        <v>45470.757233796299</v>
      </c>
      <c r="E890" s="198" t="s">
        <v>244</v>
      </c>
      <c r="F890" s="199"/>
      <c r="G890" s="140" t="e">
        <f ca="1">mif(C890="","",OR(B890=リスト!$C$5,B890=リスト!$C$6),SUM(INDEX(G:G,MATCH(I890-1,I:I,0)+1,1):INDEX(G:G,MATCH(I890,I:I,0)-1,1)),D890-C890)</f>
        <v>#NAME?</v>
      </c>
      <c r="H890" s="140" t="e">
        <f ca="1">mif(C890="","",B890=リスト!$C$5,SUMIF(INDEX(B:B,MATCH(I890-1,I:I,0)+1,1):INDEX(B:B,MATCH(I890,I:I,0)-1,1),リスト!$C$7,INDEX(G:G,MATCH(I890-1,I:I,0)+1,1):INDEX(G:G,MATCH(I890,I:I,0)-1,1)),"")</f>
        <v>#NAME?</v>
      </c>
      <c r="I890" s="200" t="str">
        <f>IF(OR(B890=リスト!$C$5,B890=リスト!$C$6),COUNTIF($B$9:B890,リスト!$C$5)+COUNTIF($B$9:B890,リスト!$C$6),"")</f>
        <v/>
      </c>
    </row>
    <row r="891" spans="1:9" x14ac:dyDescent="0.2">
      <c r="B891" s="196"/>
      <c r="C891" s="197">
        <v>45470.852349537039</v>
      </c>
      <c r="D891" s="197">
        <v>45470.852650462963</v>
      </c>
      <c r="E891" s="198" t="s">
        <v>244</v>
      </c>
      <c r="F891" s="199"/>
      <c r="G891" s="140" t="e">
        <f ca="1">mif(C891="","",OR(B891=リスト!$C$5,B891=リスト!$C$6),SUM(INDEX(G:G,MATCH(I891-1,I:I,0)+1,1):INDEX(G:G,MATCH(I891,I:I,0)-1,1)),D891-C891)</f>
        <v>#NAME?</v>
      </c>
      <c r="H891" s="140" t="e">
        <f ca="1">mif(C891="","",B891=リスト!$C$5,SUMIF(INDEX(B:B,MATCH(I891-1,I:I,0)+1,1):INDEX(B:B,MATCH(I891,I:I,0)-1,1),リスト!$C$7,INDEX(G:G,MATCH(I891-1,I:I,0)+1,1):INDEX(G:G,MATCH(I891,I:I,0)-1,1)),"")</f>
        <v>#NAME?</v>
      </c>
      <c r="I891" s="200" t="str">
        <f>IF(OR(B891=リスト!$C$5,B891=リスト!$C$6),COUNTIF($B$9:B891,リスト!$C$5)+COUNTIF($B$9:B891,リスト!$C$6),"")</f>
        <v/>
      </c>
    </row>
    <row r="892" spans="1:9" x14ac:dyDescent="0.2">
      <c r="B892" s="196"/>
      <c r="C892" s="197">
        <v>45470.883935185186</v>
      </c>
      <c r="D892" s="197">
        <v>45470.884236111109</v>
      </c>
      <c r="E892" s="198" t="s">
        <v>244</v>
      </c>
      <c r="F892" s="199"/>
      <c r="G892" s="140" t="e">
        <f ca="1">mif(C892="","",OR(B892=リスト!$C$5,B892=リスト!$C$6),SUM(INDEX(G:G,MATCH(I892-1,I:I,0)+1,1):INDEX(G:G,MATCH(I892,I:I,0)-1,1)),D892-C892)</f>
        <v>#NAME?</v>
      </c>
      <c r="H892" s="140" t="e">
        <f ca="1">mif(C892="","",B892=リスト!$C$5,SUMIF(INDEX(B:B,MATCH(I892-1,I:I,0)+1,1):INDEX(B:B,MATCH(I892,I:I,0)-1,1),リスト!$C$7,INDEX(G:G,MATCH(I892-1,I:I,0)+1,1):INDEX(G:G,MATCH(I892,I:I,0)-1,1)),"")</f>
        <v>#NAME?</v>
      </c>
      <c r="I892" s="200" t="str">
        <f>IF(OR(B892=リスト!$C$5,B892=リスト!$C$6),COUNTIF($B$9:B892,リスト!$C$5)+COUNTIF($B$9:B892,リスト!$C$6),"")</f>
        <v/>
      </c>
    </row>
    <row r="893" spans="1:9" x14ac:dyDescent="0.2">
      <c r="B893" s="196"/>
      <c r="C893" s="197">
        <v>45470.889166666668</v>
      </c>
      <c r="D893" s="197">
        <v>45470.889675925922</v>
      </c>
      <c r="E893" s="198" t="s">
        <v>244</v>
      </c>
      <c r="F893" s="199"/>
      <c r="G893" s="140" t="e">
        <f ca="1">mif(C893="","",OR(B893=リスト!$C$5,B893=リスト!$C$6),SUM(INDEX(G:G,MATCH(I893-1,I:I,0)+1,1):INDEX(G:G,MATCH(I893,I:I,0)-1,1)),D893-C893)</f>
        <v>#NAME?</v>
      </c>
      <c r="H893" s="140" t="e">
        <f ca="1">mif(C893="","",B893=リスト!$C$5,SUMIF(INDEX(B:B,MATCH(I893-1,I:I,0)+1,1):INDEX(B:B,MATCH(I893,I:I,0)-1,1),リスト!$C$7,INDEX(G:G,MATCH(I893-1,I:I,0)+1,1):INDEX(G:G,MATCH(I893,I:I,0)-1,1)),"")</f>
        <v>#NAME?</v>
      </c>
      <c r="I893" s="200" t="str">
        <f>IF(OR(B893=リスト!$C$5,B893=リスト!$C$6),COUNTIF($B$9:B893,リスト!$C$5)+COUNTIF($B$9:B893,リスト!$C$6),"")</f>
        <v/>
      </c>
    </row>
    <row r="894" spans="1:9" x14ac:dyDescent="0.2">
      <c r="B894" s="196"/>
      <c r="C894" s="197">
        <v>45470.915034722224</v>
      </c>
      <c r="D894" s="197">
        <v>45470.916319444441</v>
      </c>
      <c r="E894" s="198" t="s">
        <v>244</v>
      </c>
      <c r="F894" s="199"/>
      <c r="G894" s="140" t="e">
        <f ca="1">mif(C894="","",OR(B894=リスト!$C$5,B894=リスト!$C$6),SUM(INDEX(G:G,MATCH(I894-1,I:I,0)+1,1):INDEX(G:G,MATCH(I894,I:I,0)-1,1)),D894-C894)</f>
        <v>#NAME?</v>
      </c>
      <c r="H894" s="140" t="e">
        <f ca="1">mif(C894="","",B894=リスト!$C$5,SUMIF(INDEX(B:B,MATCH(I894-1,I:I,0)+1,1):INDEX(B:B,MATCH(I894,I:I,0)-1,1),リスト!$C$7,INDEX(G:G,MATCH(I894-1,I:I,0)+1,1):INDEX(G:G,MATCH(I894,I:I,0)-1,1)),"")</f>
        <v>#NAME?</v>
      </c>
      <c r="I894" s="200" t="str">
        <f>IF(OR(B894=リスト!$C$5,B894=リスト!$C$6),COUNTIF($B$9:B894,リスト!$C$5)+COUNTIF($B$9:B894,リスト!$C$6),"")</f>
        <v/>
      </c>
    </row>
    <row r="895" spans="1:9" x14ac:dyDescent="0.2">
      <c r="B895" s="196" t="s">
        <v>247</v>
      </c>
      <c r="C895" s="197">
        <v>45470.416666666664</v>
      </c>
      <c r="D895" s="197">
        <v>45470.916666666664</v>
      </c>
      <c r="E895" s="198">
        <v>11</v>
      </c>
      <c r="F895" s="199" t="s">
        <v>281</v>
      </c>
      <c r="G895" s="140" t="e">
        <f ca="1">mif(C895="","",OR(B895=リスト!$C$5,B895=リスト!$C$6),SUM(INDEX(G:G,MATCH(I895-1,I:I,0)+1,1):INDEX(G:G,MATCH(I895,I:I,0)-1,1)),D895-C895)</f>
        <v>#NAME?</v>
      </c>
      <c r="H895" s="140" t="e">
        <f ca="1">mif(C895="","",B895=リスト!$C$5,SUMIF(INDEX(B:B,MATCH(I895-1,I:I,0)+1,1):INDEX(B:B,MATCH(I895,I:I,0)-1,1),リスト!$C$7,INDEX(G:G,MATCH(I895-1,I:I,0)+1,1):INDEX(G:G,MATCH(I895,I:I,0)-1,1)),"")</f>
        <v>#NAME?</v>
      </c>
      <c r="I895" s="200">
        <f>IF(OR(B895=リスト!$C$5,B895=リスト!$C$6),COUNTIF($B$9:B895,リスト!$C$5)+COUNTIF($B$9:B895,リスト!$C$6),"")</f>
        <v>62</v>
      </c>
    </row>
    <row r="896" spans="1:9" x14ac:dyDescent="0.2">
      <c r="B896" s="196"/>
      <c r="C896" s="197">
        <v>45470.94222222222</v>
      </c>
      <c r="D896" s="197">
        <v>45470.94259259259</v>
      </c>
      <c r="E896" s="198" t="s">
        <v>244</v>
      </c>
      <c r="F896" s="199"/>
      <c r="G896" s="140" t="e">
        <f ca="1">mif(C896="","",OR(B896=リスト!$C$5,B896=リスト!$C$6),SUM(INDEX(G:G,MATCH(I896-1,I:I,0)+1,1):INDEX(G:G,MATCH(I896,I:I,0)-1,1)),D896-C896)</f>
        <v>#NAME?</v>
      </c>
      <c r="H896" s="140" t="e">
        <f ca="1">mif(C896="","",B896=リスト!$C$5,SUMIF(INDEX(B:B,MATCH(I896-1,I:I,0)+1,1):INDEX(B:B,MATCH(I896,I:I,0)-1,1),リスト!$C$7,INDEX(G:G,MATCH(I896-1,I:I,0)+1,1):INDEX(G:G,MATCH(I896,I:I,0)-1,1)),"")</f>
        <v>#NAME?</v>
      </c>
      <c r="I896" s="200" t="str">
        <f>IF(OR(B896=リスト!$C$5,B896=リスト!$C$6),COUNTIF($B$9:B896,リスト!$C$5)+COUNTIF($B$9:B896,リスト!$C$6),"")</f>
        <v/>
      </c>
    </row>
    <row r="897" spans="2:9" x14ac:dyDescent="0.2">
      <c r="B897" s="196"/>
      <c r="C897" s="197">
        <v>45470.962858796294</v>
      </c>
      <c r="D897" s="197">
        <v>45470.963368055556</v>
      </c>
      <c r="E897" s="198" t="s">
        <v>244</v>
      </c>
      <c r="F897" s="199"/>
      <c r="G897" s="140" t="e">
        <f ca="1">mif(C897="","",OR(B897=リスト!$C$5,B897=リスト!$C$6),SUM(INDEX(G:G,MATCH(I897-1,I:I,0)+1,1):INDEX(G:G,MATCH(I897,I:I,0)-1,1)),D897-C897)</f>
        <v>#NAME?</v>
      </c>
      <c r="H897" s="140" t="e">
        <f ca="1">mif(C897="","",B897=リスト!$C$5,SUMIF(INDEX(B:B,MATCH(I897-1,I:I,0)+1,1):INDEX(B:B,MATCH(I897,I:I,0)-1,1),リスト!$C$7,INDEX(G:G,MATCH(I897-1,I:I,0)+1,1):INDEX(G:G,MATCH(I897,I:I,0)-1,1)),"")</f>
        <v>#NAME?</v>
      </c>
      <c r="I897" s="200" t="str">
        <f>IF(OR(B897=リスト!$C$5,B897=リスト!$C$6),COUNTIF($B$9:B897,リスト!$C$5)+COUNTIF($B$9:B897,リスト!$C$6),"")</f>
        <v/>
      </c>
    </row>
    <row r="898" spans="2:9" x14ac:dyDescent="0.2">
      <c r="B898" s="196"/>
      <c r="C898" s="197">
        <v>45471.000520833331</v>
      </c>
      <c r="D898" s="197">
        <v>45471.001076388886</v>
      </c>
      <c r="E898" s="198" t="s">
        <v>244</v>
      </c>
      <c r="F898" s="199"/>
      <c r="G898" s="140" t="e">
        <f ca="1">mif(C898="","",OR(B898=リスト!$C$5,B898=リスト!$C$6),SUM(INDEX(G:G,MATCH(I898-1,I:I,0)+1,1):INDEX(G:G,MATCH(I898,I:I,0)-1,1)),D898-C898)</f>
        <v>#NAME?</v>
      </c>
      <c r="H898" s="140" t="e">
        <f ca="1">mif(C898="","",B898=リスト!$C$5,SUMIF(INDEX(B:B,MATCH(I898-1,I:I,0)+1,1):INDEX(B:B,MATCH(I898,I:I,0)-1,1),リスト!$C$7,INDEX(G:G,MATCH(I898-1,I:I,0)+1,1):INDEX(G:G,MATCH(I898,I:I,0)-1,1)),"")</f>
        <v>#NAME?</v>
      </c>
      <c r="I898" s="200" t="str">
        <f>IF(OR(B898=リスト!$C$5,B898=リスト!$C$6),COUNTIF($B$9:B898,リスト!$C$5)+COUNTIF($B$9:B898,リスト!$C$6),"")</f>
        <v/>
      </c>
    </row>
    <row r="899" spans="2:9" x14ac:dyDescent="0.2">
      <c r="B899" s="196"/>
      <c r="C899" s="197">
        <v>45471.165752314817</v>
      </c>
      <c r="D899" s="197">
        <v>45471.16609953704</v>
      </c>
      <c r="E899" s="198" t="s">
        <v>244</v>
      </c>
      <c r="F899" s="199"/>
      <c r="G899" s="140" t="e">
        <f ca="1">mif(C899="","",OR(B899=リスト!$C$5,B899=リスト!$C$6),SUM(INDEX(G:G,MATCH(I899-1,I:I,0)+1,1):INDEX(G:G,MATCH(I899,I:I,0)-1,1)),D899-C899)</f>
        <v>#NAME?</v>
      </c>
      <c r="H899" s="140" t="e">
        <f ca="1">mif(C899="","",B899=リスト!$C$5,SUMIF(INDEX(B:B,MATCH(I899-1,I:I,0)+1,1):INDEX(B:B,MATCH(I899,I:I,0)-1,1),リスト!$C$7,INDEX(G:G,MATCH(I899-1,I:I,0)+1,1):INDEX(G:G,MATCH(I899,I:I,0)-1,1)),"")</f>
        <v>#NAME?</v>
      </c>
      <c r="I899" s="200" t="str">
        <f>IF(OR(B899=リスト!$C$5,B899=リスト!$C$6),COUNTIF($B$9:B899,リスト!$C$5)+COUNTIF($B$9:B899,リスト!$C$6),"")</f>
        <v/>
      </c>
    </row>
    <row r="900" spans="2:9" x14ac:dyDescent="0.2">
      <c r="B900" s="196"/>
      <c r="C900" s="197">
        <v>45471.179143518515</v>
      </c>
      <c r="D900" s="197">
        <v>45471.179837962962</v>
      </c>
      <c r="E900" s="198" t="s">
        <v>244</v>
      </c>
      <c r="F900" s="199"/>
      <c r="G900" s="140" t="e">
        <f ca="1">mif(C900="","",OR(B900=リスト!$C$5,B900=リスト!$C$6),SUM(INDEX(G:G,MATCH(I900-1,I:I,0)+1,1):INDEX(G:G,MATCH(I900,I:I,0)-1,1)),D900-C900)</f>
        <v>#NAME?</v>
      </c>
      <c r="H900" s="140" t="e">
        <f ca="1">mif(C900="","",B900=リスト!$C$5,SUMIF(INDEX(B:B,MATCH(I900-1,I:I,0)+1,1):INDEX(B:B,MATCH(I900,I:I,0)-1,1),リスト!$C$7,INDEX(G:G,MATCH(I900-1,I:I,0)+1,1):INDEX(G:G,MATCH(I900,I:I,0)-1,1)),"")</f>
        <v>#NAME?</v>
      </c>
      <c r="I900" s="200" t="str">
        <f>IF(OR(B900=リスト!$C$5,B900=リスト!$C$6),COUNTIF($B$9:B900,リスト!$C$5)+COUNTIF($B$9:B900,リスト!$C$6),"")</f>
        <v/>
      </c>
    </row>
    <row r="901" spans="2:9" x14ac:dyDescent="0.2">
      <c r="B901" s="196"/>
      <c r="C901" s="197">
        <v>45471.198645833334</v>
      </c>
      <c r="D901" s="197">
        <v>45471.198923611111</v>
      </c>
      <c r="E901" s="198" t="s">
        <v>244</v>
      </c>
      <c r="F901" s="199"/>
      <c r="G901" s="140" t="e">
        <f ca="1">mif(C901="","",OR(B901=リスト!$C$5,B901=リスト!$C$6),SUM(INDEX(G:G,MATCH(I901-1,I:I,0)+1,1):INDEX(G:G,MATCH(I901,I:I,0)-1,1)),D901-C901)</f>
        <v>#NAME?</v>
      </c>
      <c r="H901" s="140" t="e">
        <f ca="1">mif(C901="","",B901=リスト!$C$5,SUMIF(INDEX(B:B,MATCH(I901-1,I:I,0)+1,1):INDEX(B:B,MATCH(I901,I:I,0)-1,1),リスト!$C$7,INDEX(G:G,MATCH(I901-1,I:I,0)+1,1):INDEX(G:G,MATCH(I901,I:I,0)-1,1)),"")</f>
        <v>#NAME?</v>
      </c>
      <c r="I901" s="200" t="str">
        <f>IF(OR(B901=リスト!$C$5,B901=リスト!$C$6),COUNTIF($B$9:B901,リスト!$C$5)+COUNTIF($B$9:B901,リスト!$C$6),"")</f>
        <v/>
      </c>
    </row>
    <row r="902" spans="2:9" x14ac:dyDescent="0.2">
      <c r="B902" s="196"/>
      <c r="C902" s="197">
        <v>45471.278217592589</v>
      </c>
      <c r="D902" s="197">
        <v>45471.27847222222</v>
      </c>
      <c r="E902" s="198" t="s">
        <v>244</v>
      </c>
      <c r="F902" s="199"/>
      <c r="G902" s="140" t="e">
        <f ca="1">mif(C902="","",OR(B902=リスト!$C$5,B902=リスト!$C$6),SUM(INDEX(G:G,MATCH(I902-1,I:I,0)+1,1):INDEX(G:G,MATCH(I902,I:I,0)-1,1)),D902-C902)</f>
        <v>#NAME?</v>
      </c>
      <c r="H902" s="140" t="e">
        <f ca="1">mif(C902="","",B902=リスト!$C$5,SUMIF(INDEX(B:B,MATCH(I902-1,I:I,0)+1,1):INDEX(B:B,MATCH(I902,I:I,0)-1,1),リスト!$C$7,INDEX(G:G,MATCH(I902-1,I:I,0)+1,1):INDEX(G:G,MATCH(I902,I:I,0)-1,1)),"")</f>
        <v>#NAME?</v>
      </c>
      <c r="I902" s="200" t="str">
        <f>IF(OR(B902=リスト!$C$5,B902=リスト!$C$6),COUNTIF($B$9:B902,リスト!$C$5)+COUNTIF($B$9:B902,リスト!$C$6),"")</f>
        <v/>
      </c>
    </row>
    <row r="903" spans="2:9" x14ac:dyDescent="0.2">
      <c r="B903" s="196"/>
      <c r="C903" s="197">
        <v>45471.291342592594</v>
      </c>
      <c r="D903" s="197">
        <v>45471.291643518518</v>
      </c>
      <c r="E903" s="198" t="s">
        <v>244</v>
      </c>
      <c r="F903" s="199"/>
      <c r="G903" s="140" t="e">
        <f ca="1">mif(C903="","",OR(B903=リスト!$C$5,B903=リスト!$C$6),SUM(INDEX(G:G,MATCH(I903-1,I:I,0)+1,1):INDEX(G:G,MATCH(I903,I:I,0)-1,1)),D903-C903)</f>
        <v>#NAME?</v>
      </c>
      <c r="H903" s="140" t="e">
        <f ca="1">mif(C903="","",B903=リスト!$C$5,SUMIF(INDEX(B:B,MATCH(I903-1,I:I,0)+1,1):INDEX(B:B,MATCH(I903,I:I,0)-1,1),リスト!$C$7,INDEX(G:G,MATCH(I903-1,I:I,0)+1,1):INDEX(G:G,MATCH(I903,I:I,0)-1,1)),"")</f>
        <v>#NAME?</v>
      </c>
      <c r="I903" s="200" t="str">
        <f>IF(OR(B903=リスト!$C$5,B903=リスト!$C$6),COUNTIF($B$9:B903,リスト!$C$5)+COUNTIF($B$9:B903,リスト!$C$6),"")</f>
        <v/>
      </c>
    </row>
    <row r="904" spans="2:9" x14ac:dyDescent="0.2">
      <c r="B904" s="196"/>
      <c r="C904" s="197">
        <v>45471.325092592589</v>
      </c>
      <c r="D904" s="197">
        <v>45471.325416666667</v>
      </c>
      <c r="E904" s="198" t="s">
        <v>244</v>
      </c>
      <c r="F904" s="199"/>
      <c r="G904" s="140" t="e">
        <f ca="1">mif(C904="","",OR(B904=リスト!$C$5,B904=リスト!$C$6),SUM(INDEX(G:G,MATCH(I904-1,I:I,0)+1,1):INDEX(G:G,MATCH(I904,I:I,0)-1,1)),D904-C904)</f>
        <v>#NAME?</v>
      </c>
      <c r="H904" s="140" t="e">
        <f ca="1">mif(C904="","",B904=リスト!$C$5,SUMIF(INDEX(B:B,MATCH(I904-1,I:I,0)+1,1):INDEX(B:B,MATCH(I904,I:I,0)-1,1),リスト!$C$7,INDEX(G:G,MATCH(I904-1,I:I,0)+1,1):INDEX(G:G,MATCH(I904,I:I,0)-1,1)),"")</f>
        <v>#NAME?</v>
      </c>
      <c r="I904" s="200" t="str">
        <f>IF(OR(B904=リスト!$C$5,B904=リスト!$C$6),COUNTIF($B$9:B904,リスト!$C$5)+COUNTIF($B$9:B904,リスト!$C$6),"")</f>
        <v/>
      </c>
    </row>
    <row r="905" spans="2:9" x14ac:dyDescent="0.2">
      <c r="B905" s="196"/>
      <c r="C905" s="197">
        <v>45471.332060185188</v>
      </c>
      <c r="D905" s="197">
        <v>45471.332337962966</v>
      </c>
      <c r="E905" s="198" t="s">
        <v>244</v>
      </c>
      <c r="F905" s="199"/>
      <c r="G905" s="140" t="e">
        <f ca="1">mif(C905="","",OR(B905=リスト!$C$5,B905=リスト!$C$6),SUM(INDEX(G:G,MATCH(I905-1,I:I,0)+1,1):INDEX(G:G,MATCH(I905,I:I,0)-1,1)),D905-C905)</f>
        <v>#NAME?</v>
      </c>
      <c r="H905" s="140" t="e">
        <f ca="1">mif(C905="","",B905=リスト!$C$5,SUMIF(INDEX(B:B,MATCH(I905-1,I:I,0)+1,1):INDEX(B:B,MATCH(I905,I:I,0)-1,1),リスト!$C$7,INDEX(G:G,MATCH(I905-1,I:I,0)+1,1):INDEX(G:G,MATCH(I905,I:I,0)-1,1)),"")</f>
        <v>#NAME?</v>
      </c>
      <c r="I905" s="200" t="str">
        <f>IF(OR(B905=リスト!$C$5,B905=リスト!$C$6),COUNTIF($B$9:B905,リスト!$C$5)+COUNTIF($B$9:B905,リスト!$C$6),"")</f>
        <v/>
      </c>
    </row>
    <row r="906" spans="2:9" x14ac:dyDescent="0.2">
      <c r="B906" s="196"/>
      <c r="C906" s="197">
        <v>45471.372256944444</v>
      </c>
      <c r="D906" s="197">
        <v>45471.372604166667</v>
      </c>
      <c r="E906" s="198" t="s">
        <v>244</v>
      </c>
      <c r="F906" s="199"/>
      <c r="G906" s="140" t="e">
        <f ca="1">mif(C906="","",OR(B906=リスト!$C$5,B906=リスト!$C$6),SUM(INDEX(G:G,MATCH(I906-1,I:I,0)+1,1):INDEX(G:G,MATCH(I906,I:I,0)-1,1)),D906-C906)</f>
        <v>#NAME?</v>
      </c>
      <c r="H906" s="140" t="e">
        <f ca="1">mif(C906="","",B906=リスト!$C$5,SUMIF(INDEX(B:B,MATCH(I906-1,I:I,0)+1,1):INDEX(B:B,MATCH(I906,I:I,0)-1,1),リスト!$C$7,INDEX(G:G,MATCH(I906-1,I:I,0)+1,1):INDEX(G:G,MATCH(I906,I:I,0)-1,1)),"")</f>
        <v>#NAME?</v>
      </c>
      <c r="I906" s="200" t="str">
        <f>IF(OR(B906=リスト!$C$5,B906=リスト!$C$6),COUNTIF($B$9:B906,リスト!$C$5)+COUNTIF($B$9:B906,リスト!$C$6),"")</f>
        <v/>
      </c>
    </row>
    <row r="907" spans="2:9" x14ac:dyDescent="0.2">
      <c r="B907" s="196"/>
      <c r="C907" s="197">
        <v>45471.385879629626</v>
      </c>
      <c r="D907" s="197">
        <v>45471.386319444442</v>
      </c>
      <c r="E907" s="198" t="s">
        <v>244</v>
      </c>
      <c r="F907" s="199"/>
      <c r="G907" s="140" t="e">
        <f ca="1">mif(C907="","",OR(B907=リスト!$C$5,B907=リスト!$C$6),SUM(INDEX(G:G,MATCH(I907-1,I:I,0)+1,1):INDEX(G:G,MATCH(I907,I:I,0)-1,1)),D907-C907)</f>
        <v>#NAME?</v>
      </c>
      <c r="H907" s="140" t="e">
        <f ca="1">mif(C907="","",B907=リスト!$C$5,SUMIF(INDEX(B:B,MATCH(I907-1,I:I,0)+1,1):INDEX(B:B,MATCH(I907,I:I,0)-1,1),リスト!$C$7,INDEX(G:G,MATCH(I907-1,I:I,0)+1,1):INDEX(G:G,MATCH(I907,I:I,0)-1,1)),"")</f>
        <v>#NAME?</v>
      </c>
      <c r="I907" s="200" t="str">
        <f>IF(OR(B907=リスト!$C$5,B907=リスト!$C$6),COUNTIF($B$9:B907,リスト!$C$5)+COUNTIF($B$9:B907,リスト!$C$6),"")</f>
        <v/>
      </c>
    </row>
    <row r="908" spans="2:9" x14ac:dyDescent="0.2">
      <c r="B908" s="196" t="s">
        <v>247</v>
      </c>
      <c r="C908" s="197">
        <v>45470.916666666664</v>
      </c>
      <c r="D908" s="197">
        <v>45471.416666666664</v>
      </c>
      <c r="E908" s="198">
        <v>12</v>
      </c>
      <c r="F908" s="199"/>
      <c r="G908" s="140" t="e">
        <f ca="1">mif(C908="","",OR(B908=リスト!$C$5,B908=リスト!$C$6),SUM(INDEX(G:G,MATCH(I908-1,I:I,0)+1,1):INDEX(G:G,MATCH(I908,I:I,0)-1,1)),D908-C908)</f>
        <v>#NAME?</v>
      </c>
      <c r="H908" s="140" t="e">
        <f ca="1">mif(C908="","",B908=リスト!$C$5,SUMIF(INDEX(B:B,MATCH(I908-1,I:I,0)+1,1):INDEX(B:B,MATCH(I908,I:I,0)-1,1),リスト!$C$7,INDEX(G:G,MATCH(I908-1,I:I,0)+1,1):INDEX(G:G,MATCH(I908,I:I,0)-1,1)),"")</f>
        <v>#NAME?</v>
      </c>
      <c r="I908" s="200">
        <f>IF(OR(B908=リスト!$C$5,B908=リスト!$C$6),COUNTIF($B$9:B908,リスト!$C$5)+COUNTIF($B$9:B908,リスト!$C$6),"")</f>
        <v>63</v>
      </c>
    </row>
    <row r="909" spans="2:9" x14ac:dyDescent="0.2">
      <c r="B909" s="196"/>
      <c r="C909" s="197">
        <v>45492.955381944441</v>
      </c>
      <c r="D909" s="197">
        <v>45492.955960648149</v>
      </c>
      <c r="E909" s="198" t="s">
        <v>244</v>
      </c>
      <c r="F909" s="199"/>
      <c r="G909" s="140" t="e">
        <f ca="1">mif(C909="","",OR(B909=リスト!$C$5,B909=リスト!$C$6),SUM(INDEX(G:G,MATCH(I909-1,I:I,0)+1,1):INDEX(G:G,MATCH(I909,I:I,0)-1,1)),D909-C909)</f>
        <v>#NAME?</v>
      </c>
      <c r="H909" s="140" t="e">
        <f ca="1">mif(C909="","",B909=リスト!$C$5,SUMIF(INDEX(B:B,MATCH(I909-1,I:I,0)+1,1):INDEX(B:B,MATCH(I909,I:I,0)-1,1),リスト!$C$7,INDEX(G:G,MATCH(I909-1,I:I,0)+1,1):INDEX(G:G,MATCH(I909,I:I,0)-1,1)),"")</f>
        <v>#NAME?</v>
      </c>
      <c r="I909" s="200" t="str">
        <f>IF(OR(B909=リスト!$C$5,B909=リスト!$C$6),COUNTIF($B$9:B909,リスト!$C$5)+COUNTIF($B$9:B909,リスト!$C$6),"")</f>
        <v/>
      </c>
    </row>
    <row r="910" spans="2:9" x14ac:dyDescent="0.2">
      <c r="B910" s="196"/>
      <c r="C910" s="197">
        <v>45492.956446759257</v>
      </c>
      <c r="D910" s="197">
        <v>45492.957002314812</v>
      </c>
      <c r="E910" s="198" t="s">
        <v>244</v>
      </c>
      <c r="F910" s="199"/>
      <c r="G910" s="140" t="e">
        <f ca="1">mif(C910="","",OR(B910=リスト!$C$5,B910=リスト!$C$6),SUM(INDEX(G:G,MATCH(I910-1,I:I,0)+1,1):INDEX(G:G,MATCH(I910,I:I,0)-1,1)),D910-C910)</f>
        <v>#NAME?</v>
      </c>
      <c r="H910" s="140" t="e">
        <f ca="1">mif(C910="","",B910=リスト!$C$5,SUMIF(INDEX(B:B,MATCH(I910-1,I:I,0)+1,1):INDEX(B:B,MATCH(I910,I:I,0)-1,1),リスト!$C$7,INDEX(G:G,MATCH(I910-1,I:I,0)+1,1):INDEX(G:G,MATCH(I910,I:I,0)-1,1)),"")</f>
        <v>#NAME?</v>
      </c>
      <c r="I910" s="200" t="str">
        <f>IF(OR(B910=リスト!$C$5,B910=リスト!$C$6),COUNTIF($B$9:B910,リスト!$C$5)+COUNTIF($B$9:B910,リスト!$C$6),"")</f>
        <v/>
      </c>
    </row>
    <row r="911" spans="2:9" x14ac:dyDescent="0.2">
      <c r="B911" s="196"/>
      <c r="C911" s="197">
        <v>45492.96502314815</v>
      </c>
      <c r="D911" s="197">
        <v>45492.965555555558</v>
      </c>
      <c r="E911" s="198" t="s">
        <v>244</v>
      </c>
      <c r="F911" s="199"/>
      <c r="G911" s="140" t="e">
        <f ca="1">mif(C911="","",OR(B911=リスト!$C$5,B911=リスト!$C$6),SUM(INDEX(G:G,MATCH(I911-1,I:I,0)+1,1):INDEX(G:G,MATCH(I911,I:I,0)-1,1)),D911-C911)</f>
        <v>#NAME?</v>
      </c>
      <c r="H911" s="140" t="e">
        <f ca="1">mif(C911="","",B911=リスト!$C$5,SUMIF(INDEX(B:B,MATCH(I911-1,I:I,0)+1,1):INDEX(B:B,MATCH(I911,I:I,0)-1,1),リスト!$C$7,INDEX(G:G,MATCH(I911-1,I:I,0)+1,1):INDEX(G:G,MATCH(I911,I:I,0)-1,1)),"")</f>
        <v>#NAME?</v>
      </c>
      <c r="I911" s="200" t="str">
        <f>IF(OR(B911=リスト!$C$5,B911=リスト!$C$6),COUNTIF($B$9:B911,リスト!$C$5)+COUNTIF($B$9:B911,リスト!$C$6),"")</f>
        <v/>
      </c>
    </row>
    <row r="912" spans="2:9" x14ac:dyDescent="0.2">
      <c r="B912" s="196"/>
      <c r="C912" s="197">
        <v>45492.995150462964</v>
      </c>
      <c r="D912" s="197">
        <v>45492.995405092595</v>
      </c>
      <c r="E912" s="198" t="s">
        <v>244</v>
      </c>
      <c r="F912" s="199"/>
      <c r="G912" s="140" t="e">
        <f ca="1">mif(C912="","",OR(B912=リスト!$C$5,B912=リスト!$C$6),SUM(INDEX(G:G,MATCH(I912-1,I:I,0)+1,1):INDEX(G:G,MATCH(I912,I:I,0)-1,1)),D912-C912)</f>
        <v>#NAME?</v>
      </c>
      <c r="H912" s="140" t="e">
        <f ca="1">mif(C912="","",B912=リスト!$C$5,SUMIF(INDEX(B:B,MATCH(I912-1,I:I,0)+1,1):INDEX(B:B,MATCH(I912,I:I,0)-1,1),リスト!$C$7,INDEX(G:G,MATCH(I912-1,I:I,0)+1,1):INDEX(G:G,MATCH(I912,I:I,0)-1,1)),"")</f>
        <v>#NAME?</v>
      </c>
      <c r="I912" s="200" t="str">
        <f>IF(OR(B912=リスト!$C$5,B912=リスト!$C$6),COUNTIF($B$9:B912,リスト!$C$5)+COUNTIF($B$9:B912,リスト!$C$6),"")</f>
        <v/>
      </c>
    </row>
    <row r="913" spans="1:9" x14ac:dyDescent="0.2">
      <c r="B913" s="196"/>
      <c r="C913" s="197">
        <v>45493.031666666669</v>
      </c>
      <c r="D913" s="197">
        <v>45493.031921296293</v>
      </c>
      <c r="E913" s="198" t="s">
        <v>244</v>
      </c>
      <c r="F913" s="199"/>
      <c r="G913" s="140" t="e">
        <f ca="1">mif(C913="","",OR(B913=リスト!$C$5,B913=リスト!$C$6),SUM(INDEX(G:G,MATCH(I913-1,I:I,0)+1,1):INDEX(G:G,MATCH(I913,I:I,0)-1,1)),D913-C913)</f>
        <v>#NAME?</v>
      </c>
      <c r="H913" s="140" t="e">
        <f ca="1">mif(C913="","",B913=リスト!$C$5,SUMIF(INDEX(B:B,MATCH(I913-1,I:I,0)+1,1):INDEX(B:B,MATCH(I913,I:I,0)-1,1),リスト!$C$7,INDEX(G:G,MATCH(I913-1,I:I,0)+1,1):INDEX(G:G,MATCH(I913,I:I,0)-1,1)),"")</f>
        <v>#NAME?</v>
      </c>
      <c r="I913" s="200" t="str">
        <f>IF(OR(B913=リスト!$C$5,B913=リスト!$C$6),COUNTIF($B$9:B913,リスト!$C$5)+COUNTIF($B$9:B913,リスト!$C$6),"")</f>
        <v/>
      </c>
    </row>
    <row r="914" spans="1:9" x14ac:dyDescent="0.2">
      <c r="A914" s="38" t="s">
        <v>225</v>
      </c>
      <c r="B914" s="196" t="s">
        <v>245</v>
      </c>
      <c r="C914" s="197">
        <v>45493.033333333333</v>
      </c>
      <c r="D914" s="197">
        <v>45493.070138888892</v>
      </c>
      <c r="E914" s="198"/>
      <c r="F914" s="199" t="s">
        <v>251</v>
      </c>
      <c r="G914" s="140" t="e">
        <f ca="1">mif(C914="","",OR(B914=リスト!$C$5,B914=リスト!$C$6),SUM(INDEX(G:G,MATCH(I914-1,I:I,0)+1,1):INDEX(G:G,MATCH(I914,I:I,0)-1,1)),D914-C914)</f>
        <v>#NAME?</v>
      </c>
      <c r="H914" s="140" t="e">
        <f ca="1">mif(C914="","",B914=リスト!$C$5,SUMIF(INDEX(B:B,MATCH(I914-1,I:I,0)+1,1):INDEX(B:B,MATCH(I914,I:I,0)-1,1),リスト!$C$7,INDEX(G:G,MATCH(I914-1,I:I,0)+1,1):INDEX(G:G,MATCH(I914,I:I,0)-1,1)),"")</f>
        <v>#NAME?</v>
      </c>
      <c r="I914" s="200" t="str">
        <f>IF(OR(B914=リスト!$C$5,B914=リスト!$C$6),COUNTIF($B$9:B914,リスト!$C$5)+COUNTIF($B$9:B914,リスト!$C$6),"")</f>
        <v/>
      </c>
    </row>
    <row r="915" spans="1:9" x14ac:dyDescent="0.2">
      <c r="B915" s="196"/>
      <c r="C915" s="197">
        <v>45493.089097222219</v>
      </c>
      <c r="D915" s="197">
        <v>45493.089560185188</v>
      </c>
      <c r="E915" s="198" t="s">
        <v>244</v>
      </c>
      <c r="F915" s="199"/>
      <c r="G915" s="140" t="e">
        <f ca="1">mif(C915="","",OR(B915=リスト!$C$5,B915=リスト!$C$6),SUM(INDEX(G:G,MATCH(I915-1,I:I,0)+1,1):INDEX(G:G,MATCH(I915,I:I,0)-1,1)),D915-C915)</f>
        <v>#NAME?</v>
      </c>
      <c r="H915" s="140" t="e">
        <f ca="1">mif(C915="","",B915=リスト!$C$5,SUMIF(INDEX(B:B,MATCH(I915-1,I:I,0)+1,1):INDEX(B:B,MATCH(I915,I:I,0)-1,1),リスト!$C$7,INDEX(G:G,MATCH(I915-1,I:I,0)+1,1):INDEX(G:G,MATCH(I915,I:I,0)-1,1)),"")</f>
        <v>#NAME?</v>
      </c>
      <c r="I915" s="200" t="str">
        <f>IF(OR(B915=リスト!$C$5,B915=リスト!$C$6),COUNTIF($B$9:B915,リスト!$C$5)+COUNTIF($B$9:B915,リスト!$C$6),"")</f>
        <v/>
      </c>
    </row>
    <row r="916" spans="1:9" x14ac:dyDescent="0.2">
      <c r="B916" s="196"/>
      <c r="C916" s="197">
        <v>45493.090486111112</v>
      </c>
      <c r="D916" s="197">
        <v>45493.090763888889</v>
      </c>
      <c r="E916" s="198" t="s">
        <v>244</v>
      </c>
      <c r="F916" s="199"/>
      <c r="G916" s="140" t="e">
        <f ca="1">mif(C916="","",OR(B916=リスト!$C$5,B916=リスト!$C$6),SUM(INDEX(G:G,MATCH(I916-1,I:I,0)+1,1):INDEX(G:G,MATCH(I916,I:I,0)-1,1)),D916-C916)</f>
        <v>#NAME?</v>
      </c>
      <c r="H916" s="140" t="e">
        <f ca="1">mif(C916="","",B916=リスト!$C$5,SUMIF(INDEX(B:B,MATCH(I916-1,I:I,0)+1,1):INDEX(B:B,MATCH(I916,I:I,0)-1,1),リスト!$C$7,INDEX(G:G,MATCH(I916-1,I:I,0)+1,1):INDEX(G:G,MATCH(I916,I:I,0)-1,1)),"")</f>
        <v>#NAME?</v>
      </c>
      <c r="I916" s="200" t="str">
        <f>IF(OR(B916=リスト!$C$5,B916=リスト!$C$6),COUNTIF($B$9:B916,リスト!$C$5)+COUNTIF($B$9:B916,リスト!$C$6),"")</f>
        <v/>
      </c>
    </row>
    <row r="917" spans="1:9" x14ac:dyDescent="0.2">
      <c r="B917" s="196"/>
      <c r="C917" s="197">
        <v>45493.145798611113</v>
      </c>
      <c r="D917" s="197">
        <v>45493.14607638889</v>
      </c>
      <c r="E917" s="198" t="s">
        <v>244</v>
      </c>
      <c r="F917" s="199"/>
      <c r="G917" s="140" t="e">
        <f ca="1">mif(C917="","",OR(B917=リスト!$C$5,B917=リスト!$C$6),SUM(INDEX(G:G,MATCH(I917-1,I:I,0)+1,1):INDEX(G:G,MATCH(I917,I:I,0)-1,1)),D917-C917)</f>
        <v>#NAME?</v>
      </c>
      <c r="H917" s="140" t="e">
        <f ca="1">mif(C917="","",B917=リスト!$C$5,SUMIF(INDEX(B:B,MATCH(I917-1,I:I,0)+1,1):INDEX(B:B,MATCH(I917,I:I,0)-1,1),リスト!$C$7,INDEX(G:G,MATCH(I917-1,I:I,0)+1,1):INDEX(G:G,MATCH(I917,I:I,0)-1,1)),"")</f>
        <v>#NAME?</v>
      </c>
      <c r="I917" s="200" t="str">
        <f>IF(OR(B917=リスト!$C$5,B917=リスト!$C$6),COUNTIF($B$9:B917,リスト!$C$5)+COUNTIF($B$9:B917,リスト!$C$6),"")</f>
        <v/>
      </c>
    </row>
    <row r="918" spans="1:9" x14ac:dyDescent="0.2">
      <c r="B918" s="196"/>
      <c r="C918" s="197">
        <v>45493.146932870368</v>
      </c>
      <c r="D918" s="197">
        <v>45493.147233796299</v>
      </c>
      <c r="E918" s="198" t="s">
        <v>244</v>
      </c>
      <c r="F918" s="199"/>
      <c r="G918" s="140" t="e">
        <f ca="1">mif(C918="","",OR(B918=リスト!$C$5,B918=リスト!$C$6),SUM(INDEX(G:G,MATCH(I918-1,I:I,0)+1,1):INDEX(G:G,MATCH(I918,I:I,0)-1,1)),D918-C918)</f>
        <v>#NAME?</v>
      </c>
      <c r="H918" s="140" t="e">
        <f ca="1">mif(C918="","",B918=リスト!$C$5,SUMIF(INDEX(B:B,MATCH(I918-1,I:I,0)+1,1):INDEX(B:B,MATCH(I918,I:I,0)-1,1),リスト!$C$7,INDEX(G:G,MATCH(I918-1,I:I,0)+1,1):INDEX(G:G,MATCH(I918,I:I,0)-1,1)),"")</f>
        <v>#NAME?</v>
      </c>
      <c r="I918" s="200" t="str">
        <f>IF(OR(B918=リスト!$C$5,B918=リスト!$C$6),COUNTIF($B$9:B918,リスト!$C$5)+COUNTIF($B$9:B918,リスト!$C$6),"")</f>
        <v/>
      </c>
    </row>
    <row r="919" spans="1:9" x14ac:dyDescent="0.2">
      <c r="B919" s="196" t="s">
        <v>247</v>
      </c>
      <c r="C919" s="197">
        <v>45492.916666666664</v>
      </c>
      <c r="D919" s="197">
        <v>45493.166666666664</v>
      </c>
      <c r="E919" s="198">
        <v>9</v>
      </c>
      <c r="F919" s="199" t="s">
        <v>251</v>
      </c>
      <c r="G919" s="140" t="e">
        <f ca="1">mif(C919="","",OR(B919=リスト!$C$5,B919=リスト!$C$6),SUM(INDEX(G:G,MATCH(I919-1,I:I,0)+1,1):INDEX(G:G,MATCH(I919,I:I,0)-1,1)),D919-C919)</f>
        <v>#NAME?</v>
      </c>
      <c r="H919" s="140" t="e">
        <f ca="1">mif(C919="","",B919=リスト!$C$5,SUMIF(INDEX(B:B,MATCH(I919-1,I:I,0)+1,1):INDEX(B:B,MATCH(I919,I:I,0)-1,1),リスト!$C$7,INDEX(G:G,MATCH(I919-1,I:I,0)+1,1):INDEX(G:G,MATCH(I919,I:I,0)-1,1)),"")</f>
        <v>#NAME?</v>
      </c>
      <c r="I919" s="200">
        <f>IF(OR(B919=リスト!$C$5,B919=リスト!$C$6),COUNTIF($B$9:B919,リスト!$C$5)+COUNTIF($B$9:B919,リスト!$C$6),"")</f>
        <v>64</v>
      </c>
    </row>
    <row r="920" spans="1:9" x14ac:dyDescent="0.2">
      <c r="B920" s="196"/>
      <c r="C920" s="197">
        <v>45493.465497685182</v>
      </c>
      <c r="D920" s="197">
        <v>45493.465798611112</v>
      </c>
      <c r="E920" s="198" t="s">
        <v>244</v>
      </c>
      <c r="F920" s="199"/>
      <c r="G920" s="140" t="e">
        <f ca="1">mif(C920="","",OR(B920=リスト!$C$5,B920=リスト!$C$6),SUM(INDEX(G:G,MATCH(I920-1,I:I,0)+1,1):INDEX(G:G,MATCH(I920,I:I,0)-1,1)),D920-C920)</f>
        <v>#NAME?</v>
      </c>
      <c r="H920" s="140" t="e">
        <f ca="1">mif(C920="","",B920=リスト!$C$5,SUMIF(INDEX(B:B,MATCH(I920-1,I:I,0)+1,1):INDEX(B:B,MATCH(I920,I:I,0)-1,1),リスト!$C$7,INDEX(G:G,MATCH(I920-1,I:I,0)+1,1):INDEX(G:G,MATCH(I920,I:I,0)-1,1)),"")</f>
        <v>#NAME?</v>
      </c>
      <c r="I920" s="200" t="str">
        <f>IF(OR(B920=リスト!$C$5,B920=リスト!$C$6),COUNTIF($B$9:B920,リスト!$C$5)+COUNTIF($B$9:B920,リスト!$C$6),"")</f>
        <v/>
      </c>
    </row>
    <row r="921" spans="1:9" x14ac:dyDescent="0.2">
      <c r="B921" s="196"/>
      <c r="C921" s="197">
        <v>45493.489537037036</v>
      </c>
      <c r="D921" s="197">
        <v>45493.489861111113</v>
      </c>
      <c r="E921" s="198" t="s">
        <v>244</v>
      </c>
      <c r="F921" s="199"/>
      <c r="G921" s="140" t="e">
        <f ca="1">mif(C921="","",OR(B921=リスト!$C$5,B921=リスト!$C$6),SUM(INDEX(G:G,MATCH(I921-1,I:I,0)+1,1):INDEX(G:G,MATCH(I921,I:I,0)-1,1)),D921-C921)</f>
        <v>#NAME?</v>
      </c>
      <c r="H921" s="140" t="e">
        <f ca="1">mif(C921="","",B921=リスト!$C$5,SUMIF(INDEX(B:B,MATCH(I921-1,I:I,0)+1,1):INDEX(B:B,MATCH(I921,I:I,0)-1,1),リスト!$C$7,INDEX(G:G,MATCH(I921-1,I:I,0)+1,1):INDEX(G:G,MATCH(I921,I:I,0)-1,1)),"")</f>
        <v>#NAME?</v>
      </c>
      <c r="I921" s="200" t="str">
        <f>IF(OR(B921=リスト!$C$5,B921=リスト!$C$6),COUNTIF($B$9:B921,リスト!$C$5)+COUNTIF($B$9:B921,リスト!$C$6),"")</f>
        <v/>
      </c>
    </row>
    <row r="922" spans="1:9" x14ac:dyDescent="0.2">
      <c r="B922" s="196"/>
      <c r="C922" s="197">
        <v>45493.540601851855</v>
      </c>
      <c r="D922" s="197">
        <v>45493.540902777779</v>
      </c>
      <c r="E922" s="198" t="s">
        <v>244</v>
      </c>
      <c r="F922" s="199"/>
      <c r="G922" s="140" t="e">
        <f ca="1">mif(C922="","",OR(B922=リスト!$C$5,B922=リスト!$C$6),SUM(INDEX(G:G,MATCH(I922-1,I:I,0)+1,1):INDEX(G:G,MATCH(I922,I:I,0)-1,1)),D922-C922)</f>
        <v>#NAME?</v>
      </c>
      <c r="H922" s="140" t="e">
        <f ca="1">mif(C922="","",B922=リスト!$C$5,SUMIF(INDEX(B:B,MATCH(I922-1,I:I,0)+1,1):INDEX(B:B,MATCH(I922,I:I,0)-1,1),リスト!$C$7,INDEX(G:G,MATCH(I922-1,I:I,0)+1,1):INDEX(G:G,MATCH(I922,I:I,0)-1,1)),"")</f>
        <v>#NAME?</v>
      </c>
      <c r="I922" s="200" t="str">
        <f>IF(OR(B922=リスト!$C$5,B922=リスト!$C$6),COUNTIF($B$9:B922,リスト!$C$5)+COUNTIF($B$9:B922,リスト!$C$6),"")</f>
        <v/>
      </c>
    </row>
    <row r="923" spans="1:9" x14ac:dyDescent="0.2">
      <c r="B923" s="196"/>
      <c r="C923" s="197">
        <v>45493.864317129628</v>
      </c>
      <c r="D923" s="197">
        <v>45493.864641203705</v>
      </c>
      <c r="E923" s="198" t="s">
        <v>244</v>
      </c>
      <c r="F923" s="199"/>
      <c r="G923" s="140" t="e">
        <f ca="1">mif(C923="","",OR(B923=リスト!$C$5,B923=リスト!$C$6),SUM(INDEX(G:G,MATCH(I923-1,I:I,0)+1,1):INDEX(G:G,MATCH(I923,I:I,0)-1,1)),D923-C923)</f>
        <v>#NAME?</v>
      </c>
      <c r="H923" s="140" t="e">
        <f ca="1">mif(C923="","",B923=リスト!$C$5,SUMIF(INDEX(B:B,MATCH(I923-1,I:I,0)+1,1):INDEX(B:B,MATCH(I923,I:I,0)-1,1),リスト!$C$7,INDEX(G:G,MATCH(I923-1,I:I,0)+1,1):INDEX(G:G,MATCH(I923,I:I,0)-1,1)),"")</f>
        <v>#NAME?</v>
      </c>
      <c r="I923" s="200" t="str">
        <f>IF(OR(B923=リスト!$C$5,B923=リスト!$C$6),COUNTIF($B$9:B923,リスト!$C$5)+COUNTIF($B$9:B923,リスト!$C$6),"")</f>
        <v/>
      </c>
    </row>
    <row r="924" spans="1:9" x14ac:dyDescent="0.2">
      <c r="B924" s="196"/>
      <c r="C924" s="197">
        <v>45493.867673611108</v>
      </c>
      <c r="D924" s="197">
        <v>45493.868888888886</v>
      </c>
      <c r="E924" s="198" t="s">
        <v>244</v>
      </c>
      <c r="F924" s="199"/>
      <c r="G924" s="140" t="e">
        <f ca="1">mif(C924="","",OR(B924=リスト!$C$5,B924=リスト!$C$6),SUM(INDEX(G:G,MATCH(I924-1,I:I,0)+1,1):INDEX(G:G,MATCH(I924,I:I,0)-1,1)),D924-C924)</f>
        <v>#NAME?</v>
      </c>
      <c r="H924" s="140" t="e">
        <f ca="1">mif(C924="","",B924=リスト!$C$5,SUMIF(INDEX(B:B,MATCH(I924-1,I:I,0)+1,1):INDEX(B:B,MATCH(I924,I:I,0)-1,1),リスト!$C$7,INDEX(G:G,MATCH(I924-1,I:I,0)+1,1):INDEX(G:G,MATCH(I924,I:I,0)-1,1)),"")</f>
        <v>#NAME?</v>
      </c>
      <c r="I924" s="200" t="str">
        <f>IF(OR(B924=リスト!$C$5,B924=リスト!$C$6),COUNTIF($B$9:B924,リスト!$C$5)+COUNTIF($B$9:B924,リスト!$C$6),"")</f>
        <v/>
      </c>
    </row>
    <row r="925" spans="1:9" x14ac:dyDescent="0.2">
      <c r="B925" s="196"/>
      <c r="C925" s="197">
        <v>45493.875289351854</v>
      </c>
      <c r="D925" s="197">
        <v>45493.875567129631</v>
      </c>
      <c r="E925" s="198" t="s">
        <v>244</v>
      </c>
      <c r="F925" s="199"/>
      <c r="G925" s="140" t="e">
        <f ca="1">mif(C925="","",OR(B925=リスト!$C$5,B925=リスト!$C$6),SUM(INDEX(G:G,MATCH(I925-1,I:I,0)+1,1):INDEX(G:G,MATCH(I925,I:I,0)-1,1)),D925-C925)</f>
        <v>#NAME?</v>
      </c>
      <c r="H925" s="140" t="e">
        <f ca="1">mif(C925="","",B925=リスト!$C$5,SUMIF(INDEX(B:B,MATCH(I925-1,I:I,0)+1,1):INDEX(B:B,MATCH(I925,I:I,0)-1,1),リスト!$C$7,INDEX(G:G,MATCH(I925-1,I:I,0)+1,1):INDEX(G:G,MATCH(I925,I:I,0)-1,1)),"")</f>
        <v>#NAME?</v>
      </c>
      <c r="I925" s="200" t="str">
        <f>IF(OR(B925=リスト!$C$5,B925=リスト!$C$6),COUNTIF($B$9:B925,リスト!$C$5)+COUNTIF($B$9:B925,リスト!$C$6),"")</f>
        <v/>
      </c>
    </row>
    <row r="926" spans="1:9" x14ac:dyDescent="0.2">
      <c r="B926" s="196"/>
      <c r="C926" s="197">
        <v>45493.886388888888</v>
      </c>
      <c r="D926" s="197">
        <v>45493.887083333335</v>
      </c>
      <c r="E926" s="198" t="s">
        <v>244</v>
      </c>
      <c r="F926" s="199"/>
      <c r="G926" s="140" t="e">
        <f ca="1">mif(C926="","",OR(B926=リスト!$C$5,B926=リスト!$C$6),SUM(INDEX(G:G,MATCH(I926-1,I:I,0)+1,1):INDEX(G:G,MATCH(I926,I:I,0)-1,1)),D926-C926)</f>
        <v>#NAME?</v>
      </c>
      <c r="H926" s="140" t="e">
        <f ca="1">mif(C926="","",B926=リスト!$C$5,SUMIF(INDEX(B:B,MATCH(I926-1,I:I,0)+1,1):INDEX(B:B,MATCH(I926,I:I,0)-1,1),リスト!$C$7,INDEX(G:G,MATCH(I926-1,I:I,0)+1,1):INDEX(G:G,MATCH(I926,I:I,0)-1,1)),"")</f>
        <v>#NAME?</v>
      </c>
      <c r="I926" s="200" t="str">
        <f>IF(OR(B926=リスト!$C$5,B926=リスト!$C$6),COUNTIF($B$9:B926,リスト!$C$5)+COUNTIF($B$9:B926,リスト!$C$6),"")</f>
        <v/>
      </c>
    </row>
    <row r="927" spans="1:9" x14ac:dyDescent="0.2">
      <c r="B927" s="196"/>
      <c r="C927" s="197">
        <v>45493.907349537039</v>
      </c>
      <c r="D927" s="197">
        <v>45493.907789351855</v>
      </c>
      <c r="E927" s="198" t="s">
        <v>244</v>
      </c>
      <c r="F927" s="199"/>
      <c r="G927" s="140" t="e">
        <f ca="1">mif(C927="","",OR(B927=リスト!$C$5,B927=リスト!$C$6),SUM(INDEX(G:G,MATCH(I927-1,I:I,0)+1,1):INDEX(G:G,MATCH(I927,I:I,0)-1,1)),D927-C927)</f>
        <v>#NAME?</v>
      </c>
      <c r="H927" s="140" t="e">
        <f ca="1">mif(C927="","",B927=リスト!$C$5,SUMIF(INDEX(B:B,MATCH(I927-1,I:I,0)+1,1):INDEX(B:B,MATCH(I927,I:I,0)-1,1),リスト!$C$7,INDEX(G:G,MATCH(I927-1,I:I,0)+1,1):INDEX(G:G,MATCH(I927,I:I,0)-1,1)),"")</f>
        <v>#NAME?</v>
      </c>
      <c r="I927" s="200" t="str">
        <f>IF(OR(B927=リスト!$C$5,B927=リスト!$C$6),COUNTIF($B$9:B927,リスト!$C$5)+COUNTIF($B$9:B927,リスト!$C$6),"")</f>
        <v/>
      </c>
    </row>
    <row r="928" spans="1:9" x14ac:dyDescent="0.2">
      <c r="B928" s="196" t="s">
        <v>247</v>
      </c>
      <c r="C928" s="197">
        <v>45493.416666666664</v>
      </c>
      <c r="D928" s="197">
        <v>45493.916666666664</v>
      </c>
      <c r="E928" s="198">
        <v>8</v>
      </c>
      <c r="F928" s="199"/>
      <c r="G928" s="140" t="e">
        <f ca="1">mif(C928="","",OR(B928=リスト!$C$5,B928=リスト!$C$6),SUM(INDEX(G:G,MATCH(I928-1,I:I,0)+1,1):INDEX(G:G,MATCH(I928,I:I,0)-1,1)),D928-C928)</f>
        <v>#NAME?</v>
      </c>
      <c r="H928" s="140" t="e">
        <f ca="1">mif(C928="","",B928=リスト!$C$5,SUMIF(INDEX(B:B,MATCH(I928-1,I:I,0)+1,1):INDEX(B:B,MATCH(I928,I:I,0)-1,1),リスト!$C$7,INDEX(G:G,MATCH(I928-1,I:I,0)+1,1):INDEX(G:G,MATCH(I928,I:I,0)-1,1)),"")</f>
        <v>#NAME?</v>
      </c>
      <c r="I928" s="200">
        <f>IF(OR(B928=リスト!$C$5,B928=リスト!$C$6),COUNTIF($B$9:B928,リスト!$C$5)+COUNTIF($B$9:B928,リスト!$C$6),"")</f>
        <v>65</v>
      </c>
    </row>
    <row r="929" spans="2:9" x14ac:dyDescent="0.2">
      <c r="B929" s="196"/>
      <c r="C929" s="197">
        <v>45493.938356481478</v>
      </c>
      <c r="D929" s="197">
        <v>45493.938587962963</v>
      </c>
      <c r="E929" s="198" t="s">
        <v>244</v>
      </c>
      <c r="F929" s="199"/>
      <c r="G929" s="140" t="e">
        <f ca="1">mif(C929="","",OR(B929=リスト!$C$5,B929=リスト!$C$6),SUM(INDEX(G:G,MATCH(I929-1,I:I,0)+1,1):INDEX(G:G,MATCH(I929,I:I,0)-1,1)),D929-C929)</f>
        <v>#NAME?</v>
      </c>
      <c r="H929" s="140" t="e">
        <f ca="1">mif(C929="","",B929=リスト!$C$5,SUMIF(INDEX(B:B,MATCH(I929-1,I:I,0)+1,1):INDEX(B:B,MATCH(I929,I:I,0)-1,1),リスト!$C$7,INDEX(G:G,MATCH(I929-1,I:I,0)+1,1):INDEX(G:G,MATCH(I929,I:I,0)-1,1)),"")</f>
        <v>#NAME?</v>
      </c>
      <c r="I929" s="200" t="str">
        <f>IF(OR(B929=リスト!$C$5,B929=リスト!$C$6),COUNTIF($B$9:B929,リスト!$C$5)+COUNTIF($B$9:B929,リスト!$C$6),"")</f>
        <v/>
      </c>
    </row>
    <row r="930" spans="2:9" x14ac:dyDescent="0.2">
      <c r="B930" s="196"/>
      <c r="C930" s="197">
        <v>45493.975868055553</v>
      </c>
      <c r="D930" s="197">
        <v>45493.976145833331</v>
      </c>
      <c r="E930" s="198" t="s">
        <v>244</v>
      </c>
      <c r="F930" s="199"/>
      <c r="G930" s="140" t="e">
        <f ca="1">mif(C930="","",OR(B930=リスト!$C$5,B930=リスト!$C$6),SUM(INDEX(G:G,MATCH(I930-1,I:I,0)+1,1):INDEX(G:G,MATCH(I930,I:I,0)-1,1)),D930-C930)</f>
        <v>#NAME?</v>
      </c>
      <c r="H930" s="140" t="e">
        <f ca="1">mif(C930="","",B930=リスト!$C$5,SUMIF(INDEX(B:B,MATCH(I930-1,I:I,0)+1,1):INDEX(B:B,MATCH(I930,I:I,0)-1,1),リスト!$C$7,INDEX(G:G,MATCH(I930-1,I:I,0)+1,1):INDEX(G:G,MATCH(I930,I:I,0)-1,1)),"")</f>
        <v>#NAME?</v>
      </c>
      <c r="I930" s="200" t="str">
        <f>IF(OR(B930=リスト!$C$5,B930=リスト!$C$6),COUNTIF($B$9:B930,リスト!$C$5)+COUNTIF($B$9:B930,リスト!$C$6),"")</f>
        <v/>
      </c>
    </row>
    <row r="931" spans="2:9" x14ac:dyDescent="0.2">
      <c r="B931" s="196"/>
      <c r="C931" s="197">
        <v>45493.9999537037</v>
      </c>
      <c r="D931" s="197">
        <v>45494.000300925924</v>
      </c>
      <c r="E931" s="198" t="s">
        <v>244</v>
      </c>
      <c r="F931" s="199"/>
      <c r="G931" s="140" t="e">
        <f ca="1">mif(C931="","",OR(B931=リスト!$C$5,B931=リスト!$C$6),SUM(INDEX(G:G,MATCH(I931-1,I:I,0)+1,1):INDEX(G:G,MATCH(I931,I:I,0)-1,1)),D931-C931)</f>
        <v>#NAME?</v>
      </c>
      <c r="H931" s="140" t="e">
        <f ca="1">mif(C931="","",B931=リスト!$C$5,SUMIF(INDEX(B:B,MATCH(I931-1,I:I,0)+1,1):INDEX(B:B,MATCH(I931,I:I,0)-1,1),リスト!$C$7,INDEX(G:G,MATCH(I931-1,I:I,0)+1,1):INDEX(G:G,MATCH(I931,I:I,0)-1,1)),"")</f>
        <v>#NAME?</v>
      </c>
      <c r="I931" s="200" t="str">
        <f>IF(OR(B931=リスト!$C$5,B931=リスト!$C$6),COUNTIF($B$9:B931,リスト!$C$5)+COUNTIF($B$9:B931,リスト!$C$6),"")</f>
        <v/>
      </c>
    </row>
    <row r="932" spans="2:9" x14ac:dyDescent="0.2">
      <c r="B932" s="196"/>
      <c r="C932" s="197">
        <v>45494.016423611109</v>
      </c>
      <c r="D932" s="197">
        <v>45494.016724537039</v>
      </c>
      <c r="E932" s="198" t="s">
        <v>244</v>
      </c>
      <c r="F932" s="199"/>
      <c r="G932" s="140" t="e">
        <f ca="1">mif(C932="","",OR(B932=リスト!$C$5,B932=リスト!$C$6),SUM(INDEX(G:G,MATCH(I932-1,I:I,0)+1,1):INDEX(G:G,MATCH(I932,I:I,0)-1,1)),D932-C932)</f>
        <v>#NAME?</v>
      </c>
      <c r="H932" s="140" t="e">
        <f ca="1">mif(C932="","",B932=リスト!$C$5,SUMIF(INDEX(B:B,MATCH(I932-1,I:I,0)+1,1):INDEX(B:B,MATCH(I932,I:I,0)-1,1),リスト!$C$7,INDEX(G:G,MATCH(I932-1,I:I,0)+1,1):INDEX(G:G,MATCH(I932,I:I,0)-1,1)),"")</f>
        <v>#NAME?</v>
      </c>
      <c r="I932" s="200" t="str">
        <f>IF(OR(B932=リスト!$C$5,B932=リスト!$C$6),COUNTIF($B$9:B932,リスト!$C$5)+COUNTIF($B$9:B932,リスト!$C$6),"")</f>
        <v/>
      </c>
    </row>
    <row r="933" spans="2:9" x14ac:dyDescent="0.2">
      <c r="B933" s="196"/>
      <c r="C933" s="197">
        <v>45494.037824074076</v>
      </c>
      <c r="D933" s="197">
        <v>45494.038124999999</v>
      </c>
      <c r="E933" s="198" t="s">
        <v>244</v>
      </c>
      <c r="F933" s="199"/>
      <c r="G933" s="140" t="e">
        <f ca="1">mif(C933="","",OR(B933=リスト!$C$5,B933=リスト!$C$6),SUM(INDEX(G:G,MATCH(I933-1,I:I,0)+1,1):INDEX(G:G,MATCH(I933,I:I,0)-1,1)),D933-C933)</f>
        <v>#NAME?</v>
      </c>
      <c r="H933" s="140" t="e">
        <f ca="1">mif(C933="","",B933=リスト!$C$5,SUMIF(INDEX(B:B,MATCH(I933-1,I:I,0)+1,1):INDEX(B:B,MATCH(I933,I:I,0)-1,1),リスト!$C$7,INDEX(G:G,MATCH(I933-1,I:I,0)+1,1):INDEX(G:G,MATCH(I933,I:I,0)-1,1)),"")</f>
        <v>#NAME?</v>
      </c>
      <c r="I933" s="200" t="str">
        <f>IF(OR(B933=リスト!$C$5,B933=リスト!$C$6),COUNTIF($B$9:B933,リスト!$C$5)+COUNTIF($B$9:B933,リスト!$C$6),"")</f>
        <v/>
      </c>
    </row>
    <row r="934" spans="2:9" x14ac:dyDescent="0.2">
      <c r="B934" s="196"/>
      <c r="C934" s="197">
        <v>45494.047199074077</v>
      </c>
      <c r="D934" s="197">
        <v>45494.048009259262</v>
      </c>
      <c r="E934" s="198" t="s">
        <v>244</v>
      </c>
      <c r="F934" s="199"/>
      <c r="G934" s="140" t="e">
        <f ca="1">mif(C934="","",OR(B934=リスト!$C$5,B934=リスト!$C$6),SUM(INDEX(G:G,MATCH(I934-1,I:I,0)+1,1):INDEX(G:G,MATCH(I934,I:I,0)-1,1)),D934-C934)</f>
        <v>#NAME?</v>
      </c>
      <c r="H934" s="140" t="e">
        <f ca="1">mif(C934="","",B934=リスト!$C$5,SUMIF(INDEX(B:B,MATCH(I934-1,I:I,0)+1,1):INDEX(B:B,MATCH(I934,I:I,0)-1,1),リスト!$C$7,INDEX(G:G,MATCH(I934-1,I:I,0)+1,1):INDEX(G:G,MATCH(I934,I:I,0)-1,1)),"")</f>
        <v>#NAME?</v>
      </c>
      <c r="I934" s="200" t="str">
        <f>IF(OR(B934=リスト!$C$5,B934=リスト!$C$6),COUNTIF($B$9:B934,リスト!$C$5)+COUNTIF($B$9:B934,リスト!$C$6),"")</f>
        <v/>
      </c>
    </row>
    <row r="935" spans="2:9" x14ac:dyDescent="0.2">
      <c r="B935" s="196"/>
      <c r="C935" s="197">
        <v>45494.049143518518</v>
      </c>
      <c r="D935" s="197">
        <v>45494.04960648148</v>
      </c>
      <c r="E935" s="198" t="s">
        <v>244</v>
      </c>
      <c r="F935" s="199"/>
      <c r="G935" s="140" t="e">
        <f ca="1">mif(C935="","",OR(B935=リスト!$C$5,B935=リスト!$C$6),SUM(INDEX(G:G,MATCH(I935-1,I:I,0)+1,1):INDEX(G:G,MATCH(I935,I:I,0)-1,1)),D935-C935)</f>
        <v>#NAME?</v>
      </c>
      <c r="H935" s="140" t="e">
        <f ca="1">mif(C935="","",B935=リスト!$C$5,SUMIF(INDEX(B:B,MATCH(I935-1,I:I,0)+1,1):INDEX(B:B,MATCH(I935,I:I,0)-1,1),リスト!$C$7,INDEX(G:G,MATCH(I935-1,I:I,0)+1,1):INDEX(G:G,MATCH(I935,I:I,0)-1,1)),"")</f>
        <v>#NAME?</v>
      </c>
      <c r="I935" s="200" t="str">
        <f>IF(OR(B935=リスト!$C$5,B935=リスト!$C$6),COUNTIF($B$9:B935,リスト!$C$5)+COUNTIF($B$9:B935,リスト!$C$6),"")</f>
        <v/>
      </c>
    </row>
    <row r="936" spans="2:9" x14ac:dyDescent="0.2">
      <c r="B936" s="196"/>
      <c r="C936" s="197">
        <v>45494.130659722221</v>
      </c>
      <c r="D936" s="197">
        <v>45494.131053240744</v>
      </c>
      <c r="E936" s="198" t="s">
        <v>244</v>
      </c>
      <c r="F936" s="199"/>
      <c r="G936" s="140" t="e">
        <f ca="1">mif(C936="","",OR(B936=リスト!$C$5,B936=リスト!$C$6),SUM(INDEX(G:G,MATCH(I936-1,I:I,0)+1,1):INDEX(G:G,MATCH(I936,I:I,0)-1,1)),D936-C936)</f>
        <v>#NAME?</v>
      </c>
      <c r="H936" s="140" t="e">
        <f ca="1">mif(C936="","",B936=リスト!$C$5,SUMIF(INDEX(B:B,MATCH(I936-1,I:I,0)+1,1):INDEX(B:B,MATCH(I936,I:I,0)-1,1),リスト!$C$7,INDEX(G:G,MATCH(I936-1,I:I,0)+1,1):INDEX(G:G,MATCH(I936,I:I,0)-1,1)),"")</f>
        <v>#NAME?</v>
      </c>
      <c r="I936" s="200" t="str">
        <f>IF(OR(B936=リスト!$C$5,B936=リスト!$C$6),COUNTIF($B$9:B936,リスト!$C$5)+COUNTIF($B$9:B936,リスト!$C$6),"")</f>
        <v/>
      </c>
    </row>
    <row r="937" spans="2:9" x14ac:dyDescent="0.2">
      <c r="B937" s="196"/>
      <c r="C937" s="197">
        <v>45494.15488425926</v>
      </c>
      <c r="D937" s="197">
        <v>45494.15525462963</v>
      </c>
      <c r="E937" s="198" t="s">
        <v>244</v>
      </c>
      <c r="F937" s="199"/>
      <c r="G937" s="140" t="e">
        <f ca="1">mif(C937="","",OR(B937=リスト!$C$5,B937=リスト!$C$6),SUM(INDEX(G:G,MATCH(I937-1,I:I,0)+1,1):INDEX(G:G,MATCH(I937,I:I,0)-1,1)),D937-C937)</f>
        <v>#NAME?</v>
      </c>
      <c r="H937" s="140" t="e">
        <f ca="1">mif(C937="","",B937=リスト!$C$5,SUMIF(INDEX(B:B,MATCH(I937-1,I:I,0)+1,1):INDEX(B:B,MATCH(I937,I:I,0)-1,1),リスト!$C$7,INDEX(G:G,MATCH(I937-1,I:I,0)+1,1):INDEX(G:G,MATCH(I937,I:I,0)-1,1)),"")</f>
        <v>#NAME?</v>
      </c>
      <c r="I937" s="200" t="str">
        <f>IF(OR(B937=リスト!$C$5,B937=リスト!$C$6),COUNTIF($B$9:B937,リスト!$C$5)+COUNTIF($B$9:B937,リスト!$C$6),"")</f>
        <v/>
      </c>
    </row>
    <row r="938" spans="2:9" x14ac:dyDescent="0.2">
      <c r="B938" s="196"/>
      <c r="C938" s="197">
        <v>45494.155648148146</v>
      </c>
      <c r="D938" s="197">
        <v>45494.156481481485</v>
      </c>
      <c r="E938" s="198" t="s">
        <v>244</v>
      </c>
      <c r="F938" s="199"/>
      <c r="G938" s="140" t="e">
        <f ca="1">mif(C938="","",OR(B938=リスト!$C$5,B938=リスト!$C$6),SUM(INDEX(G:G,MATCH(I938-1,I:I,0)+1,1):INDEX(G:G,MATCH(I938,I:I,0)-1,1)),D938-C938)</f>
        <v>#NAME?</v>
      </c>
      <c r="H938" s="140" t="e">
        <f ca="1">mif(C938="","",B938=リスト!$C$5,SUMIF(INDEX(B:B,MATCH(I938-1,I:I,0)+1,1):INDEX(B:B,MATCH(I938,I:I,0)-1,1),リスト!$C$7,INDEX(G:G,MATCH(I938-1,I:I,0)+1,1):INDEX(G:G,MATCH(I938,I:I,0)-1,1)),"")</f>
        <v>#NAME?</v>
      </c>
      <c r="I938" s="200" t="str">
        <f>IF(OR(B938=リスト!$C$5,B938=リスト!$C$6),COUNTIF($B$9:B938,リスト!$C$5)+COUNTIF($B$9:B938,リスト!$C$6),"")</f>
        <v/>
      </c>
    </row>
    <row r="939" spans="2:9" x14ac:dyDescent="0.2">
      <c r="B939" s="196"/>
      <c r="C939" s="197">
        <v>45494.182719907411</v>
      </c>
      <c r="D939" s="197">
        <v>45494.183067129627</v>
      </c>
      <c r="E939" s="198" t="s">
        <v>244</v>
      </c>
      <c r="F939" s="199"/>
      <c r="G939" s="140" t="e">
        <f ca="1">mif(C939="","",OR(B939=リスト!$C$5,B939=リスト!$C$6),SUM(INDEX(G:G,MATCH(I939-1,I:I,0)+1,1):INDEX(G:G,MATCH(I939,I:I,0)-1,1)),D939-C939)</f>
        <v>#NAME?</v>
      </c>
      <c r="H939" s="140" t="e">
        <f ca="1">mif(C939="","",B939=リスト!$C$5,SUMIF(INDEX(B:B,MATCH(I939-1,I:I,0)+1,1):INDEX(B:B,MATCH(I939,I:I,0)-1,1),リスト!$C$7,INDEX(G:G,MATCH(I939-1,I:I,0)+1,1):INDEX(G:G,MATCH(I939,I:I,0)-1,1)),"")</f>
        <v>#NAME?</v>
      </c>
      <c r="I939" s="200" t="str">
        <f>IF(OR(B939=リスト!$C$5,B939=リスト!$C$6),COUNTIF($B$9:B939,リスト!$C$5)+COUNTIF($B$9:B939,リスト!$C$6),"")</f>
        <v/>
      </c>
    </row>
    <row r="940" spans="2:9" x14ac:dyDescent="0.2">
      <c r="B940" s="196"/>
      <c r="C940" s="197">
        <v>45494.221377314818</v>
      </c>
      <c r="D940" s="197">
        <v>45494.221678240741</v>
      </c>
      <c r="E940" s="198" t="s">
        <v>244</v>
      </c>
      <c r="F940" s="199"/>
      <c r="G940" s="140" t="e">
        <f ca="1">mif(C940="","",OR(B940=リスト!$C$5,B940=リスト!$C$6),SUM(INDEX(G:G,MATCH(I940-1,I:I,0)+1,1):INDEX(G:G,MATCH(I940,I:I,0)-1,1)),D940-C940)</f>
        <v>#NAME?</v>
      </c>
      <c r="H940" s="140" t="e">
        <f ca="1">mif(C940="","",B940=リスト!$C$5,SUMIF(INDEX(B:B,MATCH(I940-1,I:I,0)+1,1):INDEX(B:B,MATCH(I940,I:I,0)-1,1),リスト!$C$7,INDEX(G:G,MATCH(I940-1,I:I,0)+1,1):INDEX(G:G,MATCH(I940,I:I,0)-1,1)),"")</f>
        <v>#NAME?</v>
      </c>
      <c r="I940" s="200" t="str">
        <f>IF(OR(B940=リスト!$C$5,B940=リスト!$C$6),COUNTIF($B$9:B940,リスト!$C$5)+COUNTIF($B$9:B940,リスト!$C$6),"")</f>
        <v/>
      </c>
    </row>
    <row r="941" spans="2:9" x14ac:dyDescent="0.2">
      <c r="B941" s="196"/>
      <c r="C941" s="197">
        <v>45494.226909722223</v>
      </c>
      <c r="D941" s="197">
        <v>45494.227696759262</v>
      </c>
      <c r="E941" s="198" t="s">
        <v>244</v>
      </c>
      <c r="F941" s="199"/>
      <c r="G941" s="140" t="e">
        <f ca="1">mif(C941="","",OR(B941=リスト!$C$5,B941=リスト!$C$6),SUM(INDEX(G:G,MATCH(I941-1,I:I,0)+1,1):INDEX(G:G,MATCH(I941,I:I,0)-1,1)),D941-C941)</f>
        <v>#NAME?</v>
      </c>
      <c r="H941" s="140" t="e">
        <f ca="1">mif(C941="","",B941=リスト!$C$5,SUMIF(INDEX(B:B,MATCH(I941-1,I:I,0)+1,1):INDEX(B:B,MATCH(I941,I:I,0)-1,1),リスト!$C$7,INDEX(G:G,MATCH(I941-1,I:I,0)+1,1):INDEX(G:G,MATCH(I941,I:I,0)-1,1)),"")</f>
        <v>#NAME?</v>
      </c>
      <c r="I941" s="200" t="str">
        <f>IF(OR(B941=リスト!$C$5,B941=リスト!$C$6),COUNTIF($B$9:B941,リスト!$C$5)+COUNTIF($B$9:B941,リスト!$C$6),"")</f>
        <v/>
      </c>
    </row>
    <row r="942" spans="2:9" x14ac:dyDescent="0.2">
      <c r="B942" s="196"/>
      <c r="C942" s="197">
        <v>45494.233784722222</v>
      </c>
      <c r="D942" s="197">
        <v>45494.2340625</v>
      </c>
      <c r="E942" s="198" t="s">
        <v>244</v>
      </c>
      <c r="F942" s="199"/>
      <c r="G942" s="140" t="e">
        <f ca="1">mif(C942="","",OR(B942=リスト!$C$5,B942=リスト!$C$6),SUM(INDEX(G:G,MATCH(I942-1,I:I,0)+1,1):INDEX(G:G,MATCH(I942,I:I,0)-1,1)),D942-C942)</f>
        <v>#NAME?</v>
      </c>
      <c r="H942" s="140" t="e">
        <f ca="1">mif(C942="","",B942=リスト!$C$5,SUMIF(INDEX(B:B,MATCH(I942-1,I:I,0)+1,1):INDEX(B:B,MATCH(I942,I:I,0)-1,1),リスト!$C$7,INDEX(G:G,MATCH(I942-1,I:I,0)+1,1):INDEX(G:G,MATCH(I942,I:I,0)-1,1)),"")</f>
        <v>#NAME?</v>
      </c>
      <c r="I942" s="200" t="str">
        <f>IF(OR(B942=リスト!$C$5,B942=リスト!$C$6),COUNTIF($B$9:B942,リスト!$C$5)+COUNTIF($B$9:B942,リスト!$C$6),"")</f>
        <v/>
      </c>
    </row>
    <row r="943" spans="2:9" x14ac:dyDescent="0.2">
      <c r="B943" s="196"/>
      <c r="C943" s="197">
        <v>45494.236527777779</v>
      </c>
      <c r="D943" s="197">
        <v>45494.236805555556</v>
      </c>
      <c r="E943" s="198" t="s">
        <v>244</v>
      </c>
      <c r="F943" s="199"/>
      <c r="G943" s="140" t="e">
        <f ca="1">mif(C943="","",OR(B943=リスト!$C$5,B943=リスト!$C$6),SUM(INDEX(G:G,MATCH(I943-1,I:I,0)+1,1):INDEX(G:G,MATCH(I943,I:I,0)-1,1)),D943-C943)</f>
        <v>#NAME?</v>
      </c>
      <c r="H943" s="140" t="e">
        <f ca="1">mif(C943="","",B943=リスト!$C$5,SUMIF(INDEX(B:B,MATCH(I943-1,I:I,0)+1,1):INDEX(B:B,MATCH(I943,I:I,0)-1,1),リスト!$C$7,INDEX(G:G,MATCH(I943-1,I:I,0)+1,1):INDEX(G:G,MATCH(I943,I:I,0)-1,1)),"")</f>
        <v>#NAME?</v>
      </c>
      <c r="I943" s="200" t="str">
        <f>IF(OR(B943=リスト!$C$5,B943=リスト!$C$6),COUNTIF($B$9:B943,リスト!$C$5)+COUNTIF($B$9:B943,リスト!$C$6),"")</f>
        <v/>
      </c>
    </row>
    <row r="944" spans="2:9" x14ac:dyDescent="0.2">
      <c r="B944" s="196"/>
      <c r="C944" s="197">
        <v>45494.237615740742</v>
      </c>
      <c r="D944" s="197">
        <v>45494.238402777781</v>
      </c>
      <c r="E944" s="198" t="s">
        <v>244</v>
      </c>
      <c r="F944" s="199"/>
      <c r="G944" s="140" t="e">
        <f ca="1">mif(C944="","",OR(B944=リスト!$C$5,B944=リスト!$C$6),SUM(INDEX(G:G,MATCH(I944-1,I:I,0)+1,1):INDEX(G:G,MATCH(I944,I:I,0)-1,1)),D944-C944)</f>
        <v>#NAME?</v>
      </c>
      <c r="H944" s="140" t="e">
        <f ca="1">mif(C944="","",B944=リスト!$C$5,SUMIF(INDEX(B:B,MATCH(I944-1,I:I,0)+1,1):INDEX(B:B,MATCH(I944,I:I,0)-1,1),リスト!$C$7,INDEX(G:G,MATCH(I944-1,I:I,0)+1,1):INDEX(G:G,MATCH(I944,I:I,0)-1,1)),"")</f>
        <v>#NAME?</v>
      </c>
      <c r="I944" s="200" t="str">
        <f>IF(OR(B944=リスト!$C$5,B944=リスト!$C$6),COUNTIF($B$9:B944,リスト!$C$5)+COUNTIF($B$9:B944,リスト!$C$6),"")</f>
        <v/>
      </c>
    </row>
    <row r="945" spans="2:9" x14ac:dyDescent="0.2">
      <c r="B945" s="196"/>
      <c r="C945" s="197">
        <v>45494.271192129629</v>
      </c>
      <c r="D945" s="197">
        <v>45494.271655092591</v>
      </c>
      <c r="E945" s="198" t="s">
        <v>244</v>
      </c>
      <c r="F945" s="199"/>
      <c r="G945" s="140" t="e">
        <f ca="1">mif(C945="","",OR(B945=リスト!$C$5,B945=リスト!$C$6),SUM(INDEX(G:G,MATCH(I945-1,I:I,0)+1,1):INDEX(G:G,MATCH(I945,I:I,0)-1,1)),D945-C945)</f>
        <v>#NAME?</v>
      </c>
      <c r="H945" s="140" t="e">
        <f ca="1">mif(C945="","",B945=リスト!$C$5,SUMIF(INDEX(B:B,MATCH(I945-1,I:I,0)+1,1):INDEX(B:B,MATCH(I945,I:I,0)-1,1),リスト!$C$7,INDEX(G:G,MATCH(I945-1,I:I,0)+1,1):INDEX(G:G,MATCH(I945,I:I,0)-1,1)),"")</f>
        <v>#NAME?</v>
      </c>
      <c r="I945" s="200" t="str">
        <f>IF(OR(B945=リスト!$C$5,B945=リスト!$C$6),COUNTIF($B$9:B945,リスト!$C$5)+COUNTIF($B$9:B945,リスト!$C$6),"")</f>
        <v/>
      </c>
    </row>
    <row r="946" spans="2:9" x14ac:dyDescent="0.2">
      <c r="B946" s="196"/>
      <c r="C946" s="197">
        <v>45494.278715277775</v>
      </c>
      <c r="D946" s="197">
        <v>45494.278946759259</v>
      </c>
      <c r="E946" s="198" t="s">
        <v>244</v>
      </c>
      <c r="F946" s="199"/>
      <c r="G946" s="140" t="e">
        <f ca="1">mif(C946="","",OR(B946=リスト!$C$5,B946=リスト!$C$6),SUM(INDEX(G:G,MATCH(I946-1,I:I,0)+1,1):INDEX(G:G,MATCH(I946,I:I,0)-1,1)),D946-C946)</f>
        <v>#NAME?</v>
      </c>
      <c r="H946" s="140" t="e">
        <f ca="1">mif(C946="","",B946=リスト!$C$5,SUMIF(INDEX(B:B,MATCH(I946-1,I:I,0)+1,1):INDEX(B:B,MATCH(I946,I:I,0)-1,1),リスト!$C$7,INDEX(G:G,MATCH(I946-1,I:I,0)+1,1):INDEX(G:G,MATCH(I946,I:I,0)-1,1)),"")</f>
        <v>#NAME?</v>
      </c>
      <c r="I946" s="200" t="str">
        <f>IF(OR(B946=リスト!$C$5,B946=リスト!$C$6),COUNTIF($B$9:B946,リスト!$C$5)+COUNTIF($B$9:B946,リスト!$C$6),"")</f>
        <v/>
      </c>
    </row>
    <row r="947" spans="2:9" x14ac:dyDescent="0.2">
      <c r="B947" s="196"/>
      <c r="C947" s="197">
        <v>45494.288888888892</v>
      </c>
      <c r="D947" s="197">
        <v>45494.289166666669</v>
      </c>
      <c r="E947" s="198" t="s">
        <v>244</v>
      </c>
      <c r="F947" s="199"/>
      <c r="G947" s="140" t="e">
        <f ca="1">mif(C947="","",OR(B947=リスト!$C$5,B947=リスト!$C$6),SUM(INDEX(G:G,MATCH(I947-1,I:I,0)+1,1):INDEX(G:G,MATCH(I947,I:I,0)-1,1)),D947-C947)</f>
        <v>#NAME?</v>
      </c>
      <c r="H947" s="140" t="e">
        <f ca="1">mif(C947="","",B947=リスト!$C$5,SUMIF(INDEX(B:B,MATCH(I947-1,I:I,0)+1,1):INDEX(B:B,MATCH(I947,I:I,0)-1,1),リスト!$C$7,INDEX(G:G,MATCH(I947-1,I:I,0)+1,1):INDEX(G:G,MATCH(I947,I:I,0)-1,1)),"")</f>
        <v>#NAME?</v>
      </c>
      <c r="I947" s="200" t="str">
        <f>IF(OR(B947=リスト!$C$5,B947=リスト!$C$6),COUNTIF($B$9:B947,リスト!$C$5)+COUNTIF($B$9:B947,リスト!$C$6),"")</f>
        <v/>
      </c>
    </row>
    <row r="948" spans="2:9" x14ac:dyDescent="0.2">
      <c r="B948" s="196"/>
      <c r="C948" s="197">
        <v>45494.313993055555</v>
      </c>
      <c r="D948" s="197">
        <v>45494.314317129632</v>
      </c>
      <c r="E948" s="198" t="s">
        <v>244</v>
      </c>
      <c r="F948" s="199"/>
      <c r="G948" s="140" t="e">
        <f ca="1">mif(C948="","",OR(B948=リスト!$C$5,B948=リスト!$C$6),SUM(INDEX(G:G,MATCH(I948-1,I:I,0)+1,1):INDEX(G:G,MATCH(I948,I:I,0)-1,1)),D948-C948)</f>
        <v>#NAME?</v>
      </c>
      <c r="H948" s="140" t="e">
        <f ca="1">mif(C948="","",B948=リスト!$C$5,SUMIF(INDEX(B:B,MATCH(I948-1,I:I,0)+1,1):INDEX(B:B,MATCH(I948,I:I,0)-1,1),リスト!$C$7,INDEX(G:G,MATCH(I948-1,I:I,0)+1,1):INDEX(G:G,MATCH(I948,I:I,0)-1,1)),"")</f>
        <v>#NAME?</v>
      </c>
      <c r="I948" s="200" t="str">
        <f>IF(OR(B948=リスト!$C$5,B948=リスト!$C$6),COUNTIF($B$9:B948,リスト!$C$5)+COUNTIF($B$9:B948,リスト!$C$6),"")</f>
        <v/>
      </c>
    </row>
    <row r="949" spans="2:9" x14ac:dyDescent="0.2">
      <c r="B949" s="196"/>
      <c r="C949" s="197">
        <v>45494.314340277779</v>
      </c>
      <c r="D949" s="197">
        <v>45494.314918981479</v>
      </c>
      <c r="E949" s="198" t="s">
        <v>244</v>
      </c>
      <c r="F949" s="199"/>
      <c r="G949" s="140" t="e">
        <f ca="1">mif(C949="","",OR(B949=リスト!$C$5,B949=リスト!$C$6),SUM(INDEX(G:G,MATCH(I949-1,I:I,0)+1,1):INDEX(G:G,MATCH(I949,I:I,0)-1,1)),D949-C949)</f>
        <v>#NAME?</v>
      </c>
      <c r="H949" s="140" t="e">
        <f ca="1">mif(C949="","",B949=リスト!$C$5,SUMIF(INDEX(B:B,MATCH(I949-1,I:I,0)+1,1):INDEX(B:B,MATCH(I949,I:I,0)-1,1),リスト!$C$7,INDEX(G:G,MATCH(I949-1,I:I,0)+1,1):INDEX(G:G,MATCH(I949,I:I,0)-1,1)),"")</f>
        <v>#NAME?</v>
      </c>
      <c r="I949" s="200" t="str">
        <f>IF(OR(B949=リスト!$C$5,B949=リスト!$C$6),COUNTIF($B$9:B949,リスト!$C$5)+COUNTIF($B$9:B949,リスト!$C$6),"")</f>
        <v/>
      </c>
    </row>
    <row r="950" spans="2:9" x14ac:dyDescent="0.2">
      <c r="B950" s="196"/>
      <c r="C950" s="197">
        <v>45494.329942129632</v>
      </c>
      <c r="D950" s="197">
        <v>45494.330312500002</v>
      </c>
      <c r="E950" s="198" t="s">
        <v>244</v>
      </c>
      <c r="F950" s="199"/>
      <c r="G950" s="140" t="e">
        <f ca="1">mif(C950="","",OR(B950=リスト!$C$5,B950=リスト!$C$6),SUM(INDEX(G:G,MATCH(I950-1,I:I,0)+1,1):INDEX(G:G,MATCH(I950,I:I,0)-1,1)),D950-C950)</f>
        <v>#NAME?</v>
      </c>
      <c r="H950" s="140" t="e">
        <f ca="1">mif(C950="","",B950=リスト!$C$5,SUMIF(INDEX(B:B,MATCH(I950-1,I:I,0)+1,1):INDEX(B:B,MATCH(I950,I:I,0)-1,1),リスト!$C$7,INDEX(G:G,MATCH(I950-1,I:I,0)+1,1):INDEX(G:G,MATCH(I950,I:I,0)-1,1)),"")</f>
        <v>#NAME?</v>
      </c>
      <c r="I950" s="200" t="str">
        <f>IF(OR(B950=リスト!$C$5,B950=リスト!$C$6),COUNTIF($B$9:B950,リスト!$C$5)+COUNTIF($B$9:B950,リスト!$C$6),"")</f>
        <v/>
      </c>
    </row>
    <row r="951" spans="2:9" x14ac:dyDescent="0.2">
      <c r="B951" s="196"/>
      <c r="C951" s="197">
        <v>45494.34578703704</v>
      </c>
      <c r="D951" s="197">
        <v>45494.346041666664</v>
      </c>
      <c r="E951" s="198" t="s">
        <v>244</v>
      </c>
      <c r="F951" s="199"/>
      <c r="G951" s="140" t="e">
        <f ca="1">mif(C951="","",OR(B951=リスト!$C$5,B951=リスト!$C$6),SUM(INDEX(G:G,MATCH(I951-1,I:I,0)+1,1):INDEX(G:G,MATCH(I951,I:I,0)-1,1)),D951-C951)</f>
        <v>#NAME?</v>
      </c>
      <c r="H951" s="140" t="e">
        <f ca="1">mif(C951="","",B951=リスト!$C$5,SUMIF(INDEX(B:B,MATCH(I951-1,I:I,0)+1,1):INDEX(B:B,MATCH(I951,I:I,0)-1,1),リスト!$C$7,INDEX(G:G,MATCH(I951-1,I:I,0)+1,1):INDEX(G:G,MATCH(I951,I:I,0)-1,1)),"")</f>
        <v>#NAME?</v>
      </c>
      <c r="I951" s="200" t="str">
        <f>IF(OR(B951=リスト!$C$5,B951=リスト!$C$6),COUNTIF($B$9:B951,リスト!$C$5)+COUNTIF($B$9:B951,リスト!$C$6),"")</f>
        <v/>
      </c>
    </row>
    <row r="952" spans="2:9" x14ac:dyDescent="0.2">
      <c r="B952" s="196"/>
      <c r="C952" s="197">
        <v>45494.349652777775</v>
      </c>
      <c r="D952" s="197">
        <v>45494.35</v>
      </c>
      <c r="E952" s="198" t="s">
        <v>244</v>
      </c>
      <c r="F952" s="199"/>
      <c r="G952" s="140" t="e">
        <f ca="1">mif(C952="","",OR(B952=リスト!$C$5,B952=リスト!$C$6),SUM(INDEX(G:G,MATCH(I952-1,I:I,0)+1,1):INDEX(G:G,MATCH(I952,I:I,0)-1,1)),D952-C952)</f>
        <v>#NAME?</v>
      </c>
      <c r="H952" s="140" t="e">
        <f ca="1">mif(C952="","",B952=リスト!$C$5,SUMIF(INDEX(B:B,MATCH(I952-1,I:I,0)+1,1):INDEX(B:B,MATCH(I952,I:I,0)-1,1),リスト!$C$7,INDEX(G:G,MATCH(I952-1,I:I,0)+1,1):INDEX(G:G,MATCH(I952,I:I,0)-1,1)),"")</f>
        <v>#NAME?</v>
      </c>
      <c r="I952" s="200" t="str">
        <f>IF(OR(B952=リスト!$C$5,B952=リスト!$C$6),COUNTIF($B$9:B952,リスト!$C$5)+COUNTIF($B$9:B952,リスト!$C$6),"")</f>
        <v/>
      </c>
    </row>
    <row r="953" spans="2:9" x14ac:dyDescent="0.2">
      <c r="B953" s="196" t="s">
        <v>247</v>
      </c>
      <c r="C953" s="197">
        <v>45493.916666666664</v>
      </c>
      <c r="D953" s="197">
        <v>45494.416666666664</v>
      </c>
      <c r="E953" s="198">
        <v>24</v>
      </c>
      <c r="F953" s="199"/>
      <c r="G953" s="140" t="e">
        <f ca="1">mif(C953="","",OR(B953=リスト!$C$5,B953=リスト!$C$6),SUM(INDEX(G:G,MATCH(I953-1,I:I,0)+1,1):INDEX(G:G,MATCH(I953,I:I,0)-1,1)),D953-C953)</f>
        <v>#NAME?</v>
      </c>
      <c r="H953" s="140" t="e">
        <f ca="1">mif(C953="","",B953=リスト!$C$5,SUMIF(INDEX(B:B,MATCH(I953-1,I:I,0)+1,1):INDEX(B:B,MATCH(I953,I:I,0)-1,1),リスト!$C$7,INDEX(G:G,MATCH(I953-1,I:I,0)+1,1):INDEX(G:G,MATCH(I953,I:I,0)-1,1)),"")</f>
        <v>#NAME?</v>
      </c>
      <c r="I953" s="200">
        <f>IF(OR(B953=リスト!$C$5,B953=リスト!$C$6),COUNTIF($B$9:B953,リスト!$C$5)+COUNTIF($B$9:B953,リスト!$C$6),"")</f>
        <v>66</v>
      </c>
    </row>
    <row r="954" spans="2:9" x14ac:dyDescent="0.2">
      <c r="B954" s="196"/>
      <c r="C954" s="197">
        <v>45494.443888888891</v>
      </c>
      <c r="D954" s="197">
        <v>45494.444421296299</v>
      </c>
      <c r="E954" s="198" t="s">
        <v>244</v>
      </c>
      <c r="F954" s="199"/>
      <c r="G954" s="140" t="e">
        <f ca="1">mif(C954="","",OR(B954=リスト!$C$5,B954=リスト!$C$6),SUM(INDEX(G:G,MATCH(I954-1,I:I,0)+1,1):INDEX(G:G,MATCH(I954,I:I,0)-1,1)),D954-C954)</f>
        <v>#NAME?</v>
      </c>
      <c r="H954" s="140" t="e">
        <f ca="1">mif(C954="","",B954=リスト!$C$5,SUMIF(INDEX(B:B,MATCH(I954-1,I:I,0)+1,1):INDEX(B:B,MATCH(I954,I:I,0)-1,1),リスト!$C$7,INDEX(G:G,MATCH(I954-1,I:I,0)+1,1):INDEX(G:G,MATCH(I954,I:I,0)-1,1)),"")</f>
        <v>#NAME?</v>
      </c>
      <c r="I954" s="200" t="str">
        <f>IF(OR(B954=リスト!$C$5,B954=リスト!$C$6),COUNTIF($B$9:B954,リスト!$C$5)+COUNTIF($B$9:B954,リスト!$C$6),"")</f>
        <v/>
      </c>
    </row>
    <row r="955" spans="2:9" x14ac:dyDescent="0.2">
      <c r="B955" s="196"/>
      <c r="C955" s="197">
        <v>45494.460949074077</v>
      </c>
      <c r="D955" s="197">
        <v>45494.461273148147</v>
      </c>
      <c r="E955" s="198" t="s">
        <v>244</v>
      </c>
      <c r="F955" s="199"/>
      <c r="G955" s="140" t="e">
        <f ca="1">mif(C955="","",OR(B955=リスト!$C$5,B955=リスト!$C$6),SUM(INDEX(G:G,MATCH(I955-1,I:I,0)+1,1):INDEX(G:G,MATCH(I955,I:I,0)-1,1)),D955-C955)</f>
        <v>#NAME?</v>
      </c>
      <c r="H955" s="140" t="e">
        <f ca="1">mif(C955="","",B955=リスト!$C$5,SUMIF(INDEX(B:B,MATCH(I955-1,I:I,0)+1,1):INDEX(B:B,MATCH(I955,I:I,0)-1,1),リスト!$C$7,INDEX(G:G,MATCH(I955-1,I:I,0)+1,1):INDEX(G:G,MATCH(I955,I:I,0)-1,1)),"")</f>
        <v>#NAME?</v>
      </c>
      <c r="I955" s="200" t="str">
        <f>IF(OR(B955=リスト!$C$5,B955=リスト!$C$6),COUNTIF($B$9:B955,リスト!$C$5)+COUNTIF($B$9:B955,リスト!$C$6),"")</f>
        <v/>
      </c>
    </row>
    <row r="956" spans="2:9" x14ac:dyDescent="0.2">
      <c r="B956" s="196"/>
      <c r="C956" s="197">
        <v>45494.485752314817</v>
      </c>
      <c r="D956" s="197">
        <v>45494.486006944448</v>
      </c>
      <c r="E956" s="198" t="s">
        <v>244</v>
      </c>
      <c r="F956" s="199"/>
      <c r="G956" s="140" t="e">
        <f ca="1">mif(C956="","",OR(B956=リスト!$C$5,B956=リスト!$C$6),SUM(INDEX(G:G,MATCH(I956-1,I:I,0)+1,1):INDEX(G:G,MATCH(I956,I:I,0)-1,1)),D956-C956)</f>
        <v>#NAME?</v>
      </c>
      <c r="H956" s="140" t="e">
        <f ca="1">mif(C956="","",B956=リスト!$C$5,SUMIF(INDEX(B:B,MATCH(I956-1,I:I,0)+1,1):INDEX(B:B,MATCH(I956,I:I,0)-1,1),リスト!$C$7,INDEX(G:G,MATCH(I956-1,I:I,0)+1,1):INDEX(G:G,MATCH(I956,I:I,0)-1,1)),"")</f>
        <v>#NAME?</v>
      </c>
      <c r="I956" s="200" t="str">
        <f>IF(OR(B956=リスト!$C$5,B956=リスト!$C$6),COUNTIF($B$9:B956,リスト!$C$5)+COUNTIF($B$9:B956,リスト!$C$6),"")</f>
        <v/>
      </c>
    </row>
    <row r="957" spans="2:9" x14ac:dyDescent="0.2">
      <c r="B957" s="196"/>
      <c r="C957" s="197">
        <v>45494.489675925928</v>
      </c>
      <c r="D957" s="197">
        <v>45494.489976851852</v>
      </c>
      <c r="E957" s="198" t="s">
        <v>244</v>
      </c>
      <c r="F957" s="199"/>
      <c r="G957" s="140" t="e">
        <f ca="1">mif(C957="","",OR(B957=リスト!$C$5,B957=リスト!$C$6),SUM(INDEX(G:G,MATCH(I957-1,I:I,0)+1,1):INDEX(G:G,MATCH(I957,I:I,0)-1,1)),D957-C957)</f>
        <v>#NAME?</v>
      </c>
      <c r="H957" s="140" t="e">
        <f ca="1">mif(C957="","",B957=リスト!$C$5,SUMIF(INDEX(B:B,MATCH(I957-1,I:I,0)+1,1):INDEX(B:B,MATCH(I957,I:I,0)-1,1),リスト!$C$7,INDEX(G:G,MATCH(I957-1,I:I,0)+1,1):INDEX(G:G,MATCH(I957,I:I,0)-1,1)),"")</f>
        <v>#NAME?</v>
      </c>
      <c r="I957" s="200" t="str">
        <f>IF(OR(B957=リスト!$C$5,B957=リスト!$C$6),COUNTIF($B$9:B957,リスト!$C$5)+COUNTIF($B$9:B957,リスト!$C$6),"")</f>
        <v/>
      </c>
    </row>
    <row r="958" spans="2:9" x14ac:dyDescent="0.2">
      <c r="B958" s="196"/>
      <c r="C958" s="197">
        <v>45494.517048611109</v>
      </c>
      <c r="D958" s="197">
        <v>45494.517280092594</v>
      </c>
      <c r="E958" s="198" t="s">
        <v>244</v>
      </c>
      <c r="F958" s="199"/>
      <c r="G958" s="140" t="e">
        <f ca="1">mif(C958="","",OR(B958=リスト!$C$5,B958=リスト!$C$6),SUM(INDEX(G:G,MATCH(I958-1,I:I,0)+1,1):INDEX(G:G,MATCH(I958,I:I,0)-1,1)),D958-C958)</f>
        <v>#NAME?</v>
      </c>
      <c r="H958" s="140" t="e">
        <f ca="1">mif(C958="","",B958=リスト!$C$5,SUMIF(INDEX(B:B,MATCH(I958-1,I:I,0)+1,1):INDEX(B:B,MATCH(I958,I:I,0)-1,1),リスト!$C$7,INDEX(G:G,MATCH(I958-1,I:I,0)+1,1):INDEX(G:G,MATCH(I958,I:I,0)-1,1)),"")</f>
        <v>#NAME?</v>
      </c>
      <c r="I958" s="200" t="str">
        <f>IF(OR(B958=リスト!$C$5,B958=リスト!$C$6),COUNTIF($B$9:B958,リスト!$C$5)+COUNTIF($B$9:B958,リスト!$C$6),"")</f>
        <v/>
      </c>
    </row>
    <row r="959" spans="2:9" x14ac:dyDescent="0.2">
      <c r="B959" s="196"/>
      <c r="C959" s="197">
        <v>45494.537534722222</v>
      </c>
      <c r="D959" s="197">
        <v>45494.538136574076</v>
      </c>
      <c r="E959" s="198" t="s">
        <v>244</v>
      </c>
      <c r="F959" s="199"/>
      <c r="G959" s="140" t="e">
        <f ca="1">mif(C959="","",OR(B959=リスト!$C$5,B959=リスト!$C$6),SUM(INDEX(G:G,MATCH(I959-1,I:I,0)+1,1):INDEX(G:G,MATCH(I959,I:I,0)-1,1)),D959-C959)</f>
        <v>#NAME?</v>
      </c>
      <c r="H959" s="140" t="e">
        <f ca="1">mif(C959="","",B959=リスト!$C$5,SUMIF(INDEX(B:B,MATCH(I959-1,I:I,0)+1,1):INDEX(B:B,MATCH(I959,I:I,0)-1,1),リスト!$C$7,INDEX(G:G,MATCH(I959-1,I:I,0)+1,1):INDEX(G:G,MATCH(I959,I:I,0)-1,1)),"")</f>
        <v>#NAME?</v>
      </c>
      <c r="I959" s="200" t="str">
        <f>IF(OR(B959=リスト!$C$5,B959=リスト!$C$6),COUNTIF($B$9:B959,リスト!$C$5)+COUNTIF($B$9:B959,リスト!$C$6),"")</f>
        <v/>
      </c>
    </row>
    <row r="960" spans="2:9" x14ac:dyDescent="0.2">
      <c r="B960" s="196"/>
      <c r="C960" s="197">
        <v>45494.542939814812</v>
      </c>
      <c r="D960" s="197">
        <v>45494.543287037035</v>
      </c>
      <c r="E960" s="198" t="s">
        <v>244</v>
      </c>
      <c r="F960" s="199"/>
      <c r="G960" s="140" t="e">
        <f ca="1">mif(C960="","",OR(B960=リスト!$C$5,B960=リスト!$C$6),SUM(INDEX(G:G,MATCH(I960-1,I:I,0)+1,1):INDEX(G:G,MATCH(I960,I:I,0)-1,1)),D960-C960)</f>
        <v>#NAME?</v>
      </c>
      <c r="H960" s="140" t="e">
        <f ca="1">mif(C960="","",B960=リスト!$C$5,SUMIF(INDEX(B:B,MATCH(I960-1,I:I,0)+1,1):INDEX(B:B,MATCH(I960,I:I,0)-1,1),リスト!$C$7,INDEX(G:G,MATCH(I960-1,I:I,0)+1,1):INDEX(G:G,MATCH(I960,I:I,0)-1,1)),"")</f>
        <v>#NAME?</v>
      </c>
      <c r="I960" s="200" t="str">
        <f>IF(OR(B960=リスト!$C$5,B960=リスト!$C$6),COUNTIF($B$9:B960,リスト!$C$5)+COUNTIF($B$9:B960,リスト!$C$6),"")</f>
        <v/>
      </c>
    </row>
    <row r="961" spans="2:9" x14ac:dyDescent="0.2">
      <c r="B961" s="196"/>
      <c r="C961" s="197">
        <v>45494.566840277781</v>
      </c>
      <c r="D961" s="197">
        <v>45494.567094907405</v>
      </c>
      <c r="E961" s="198" t="s">
        <v>244</v>
      </c>
      <c r="F961" s="199"/>
      <c r="G961" s="140" t="e">
        <f ca="1">mif(C961="","",OR(B961=リスト!$C$5,B961=リスト!$C$6),SUM(INDEX(G:G,MATCH(I961-1,I:I,0)+1,1):INDEX(G:G,MATCH(I961,I:I,0)-1,1)),D961-C961)</f>
        <v>#NAME?</v>
      </c>
      <c r="H961" s="140" t="e">
        <f ca="1">mif(C961="","",B961=リスト!$C$5,SUMIF(INDEX(B:B,MATCH(I961-1,I:I,0)+1,1):INDEX(B:B,MATCH(I961,I:I,0)-1,1),リスト!$C$7,INDEX(G:G,MATCH(I961-1,I:I,0)+1,1):INDEX(G:G,MATCH(I961,I:I,0)-1,1)),"")</f>
        <v>#NAME?</v>
      </c>
      <c r="I961" s="200" t="str">
        <f>IF(OR(B961=リスト!$C$5,B961=リスト!$C$6),COUNTIF($B$9:B961,リスト!$C$5)+COUNTIF($B$9:B961,リスト!$C$6),"")</f>
        <v/>
      </c>
    </row>
    <row r="962" spans="2:9" x14ac:dyDescent="0.2">
      <c r="B962" s="196"/>
      <c r="C962" s="197">
        <v>45494.601805555554</v>
      </c>
      <c r="D962" s="197">
        <v>45494.602037037039</v>
      </c>
      <c r="E962" s="198" t="s">
        <v>244</v>
      </c>
      <c r="F962" s="199"/>
      <c r="G962" s="140" t="e">
        <f ca="1">mif(C962="","",OR(B962=リスト!$C$5,B962=リスト!$C$6),SUM(INDEX(G:G,MATCH(I962-1,I:I,0)+1,1):INDEX(G:G,MATCH(I962,I:I,0)-1,1)),D962-C962)</f>
        <v>#NAME?</v>
      </c>
      <c r="H962" s="140" t="e">
        <f ca="1">mif(C962="","",B962=リスト!$C$5,SUMIF(INDEX(B:B,MATCH(I962-1,I:I,0)+1,1):INDEX(B:B,MATCH(I962,I:I,0)-1,1),リスト!$C$7,INDEX(G:G,MATCH(I962-1,I:I,0)+1,1):INDEX(G:G,MATCH(I962,I:I,0)-1,1)),"")</f>
        <v>#NAME?</v>
      </c>
      <c r="I962" s="200" t="str">
        <f>IF(OR(B962=リスト!$C$5,B962=リスト!$C$6),COUNTIF($B$9:B962,リスト!$C$5)+COUNTIF($B$9:B962,リスト!$C$6),"")</f>
        <v/>
      </c>
    </row>
    <row r="963" spans="2:9" x14ac:dyDescent="0.2">
      <c r="B963" s="196"/>
      <c r="C963" s="197">
        <v>45494.602962962963</v>
      </c>
      <c r="D963" s="197">
        <v>45494.60324074074</v>
      </c>
      <c r="E963" s="198" t="s">
        <v>244</v>
      </c>
      <c r="F963" s="199"/>
      <c r="G963" s="140" t="e">
        <f ca="1">mif(C963="","",OR(B963=リスト!$C$5,B963=リスト!$C$6),SUM(INDEX(G:G,MATCH(I963-1,I:I,0)+1,1):INDEX(G:G,MATCH(I963,I:I,0)-1,1)),D963-C963)</f>
        <v>#NAME?</v>
      </c>
      <c r="H963" s="140" t="e">
        <f ca="1">mif(C963="","",B963=リスト!$C$5,SUMIF(INDEX(B:B,MATCH(I963-1,I:I,0)+1,1):INDEX(B:B,MATCH(I963,I:I,0)-1,1),リスト!$C$7,INDEX(G:G,MATCH(I963-1,I:I,0)+1,1):INDEX(G:G,MATCH(I963,I:I,0)-1,1)),"")</f>
        <v>#NAME?</v>
      </c>
      <c r="I963" s="200" t="str">
        <f>IF(OR(B963=リスト!$C$5,B963=リスト!$C$6),COUNTIF($B$9:B963,リスト!$C$5)+COUNTIF($B$9:B963,リスト!$C$6),"")</f>
        <v/>
      </c>
    </row>
    <row r="964" spans="2:9" x14ac:dyDescent="0.2">
      <c r="B964" s="196"/>
      <c r="C964" s="197">
        <v>45494.605046296296</v>
      </c>
      <c r="D964" s="197">
        <v>45494.605300925927</v>
      </c>
      <c r="E964" s="198" t="s">
        <v>244</v>
      </c>
      <c r="F964" s="199"/>
      <c r="G964" s="140" t="e">
        <f ca="1">mif(C964="","",OR(B964=リスト!$C$5,B964=リスト!$C$6),SUM(INDEX(G:G,MATCH(I964-1,I:I,0)+1,1):INDEX(G:G,MATCH(I964,I:I,0)-1,1)),D964-C964)</f>
        <v>#NAME?</v>
      </c>
      <c r="H964" s="140" t="e">
        <f ca="1">mif(C964="","",B964=リスト!$C$5,SUMIF(INDEX(B:B,MATCH(I964-1,I:I,0)+1,1):INDEX(B:B,MATCH(I964,I:I,0)-1,1),リスト!$C$7,INDEX(G:G,MATCH(I964-1,I:I,0)+1,1):INDEX(G:G,MATCH(I964,I:I,0)-1,1)),"")</f>
        <v>#NAME?</v>
      </c>
      <c r="I964" s="200" t="str">
        <f>IF(OR(B964=リスト!$C$5,B964=リスト!$C$6),COUNTIF($B$9:B964,リスト!$C$5)+COUNTIF($B$9:B964,リスト!$C$6),"")</f>
        <v/>
      </c>
    </row>
    <row r="965" spans="2:9" x14ac:dyDescent="0.2">
      <c r="B965" s="196"/>
      <c r="C965" s="197">
        <v>45494.605370370373</v>
      </c>
      <c r="D965" s="197">
        <v>45494.605833333335</v>
      </c>
      <c r="E965" s="198" t="s">
        <v>244</v>
      </c>
      <c r="F965" s="199"/>
      <c r="G965" s="140" t="e">
        <f ca="1">mif(C965="","",OR(B965=リスト!$C$5,B965=リスト!$C$6),SUM(INDEX(G:G,MATCH(I965-1,I:I,0)+1,1):INDEX(G:G,MATCH(I965,I:I,0)-1,1)),D965-C965)</f>
        <v>#NAME?</v>
      </c>
      <c r="H965" s="140" t="e">
        <f ca="1">mif(C965="","",B965=リスト!$C$5,SUMIF(INDEX(B:B,MATCH(I965-1,I:I,0)+1,1):INDEX(B:B,MATCH(I965,I:I,0)-1,1),リスト!$C$7,INDEX(G:G,MATCH(I965-1,I:I,0)+1,1):INDEX(G:G,MATCH(I965,I:I,0)-1,1)),"")</f>
        <v>#NAME?</v>
      </c>
      <c r="I965" s="200" t="str">
        <f>IF(OR(B965=リスト!$C$5,B965=リスト!$C$6),COUNTIF($B$9:B965,リスト!$C$5)+COUNTIF($B$9:B965,リスト!$C$6),"")</f>
        <v/>
      </c>
    </row>
    <row r="966" spans="2:9" x14ac:dyDescent="0.2">
      <c r="B966" s="196"/>
      <c r="C966" s="197">
        <v>45494.605902777781</v>
      </c>
      <c r="D966" s="197">
        <v>45494.606203703705</v>
      </c>
      <c r="E966" s="198" t="s">
        <v>244</v>
      </c>
      <c r="F966" s="199"/>
      <c r="G966" s="140" t="e">
        <f ca="1">mif(C966="","",OR(B966=リスト!$C$5,B966=リスト!$C$6),SUM(INDEX(G:G,MATCH(I966-1,I:I,0)+1,1):INDEX(G:G,MATCH(I966,I:I,0)-1,1)),D966-C966)</f>
        <v>#NAME?</v>
      </c>
      <c r="H966" s="140" t="e">
        <f ca="1">mif(C966="","",B966=リスト!$C$5,SUMIF(INDEX(B:B,MATCH(I966-1,I:I,0)+1,1):INDEX(B:B,MATCH(I966,I:I,0)-1,1),リスト!$C$7,INDEX(G:G,MATCH(I966-1,I:I,0)+1,1):INDEX(G:G,MATCH(I966,I:I,0)-1,1)),"")</f>
        <v>#NAME?</v>
      </c>
      <c r="I966" s="200" t="str">
        <f>IF(OR(B966=リスト!$C$5,B966=リスト!$C$6),COUNTIF($B$9:B966,リスト!$C$5)+COUNTIF($B$9:B966,リスト!$C$6),"")</f>
        <v/>
      </c>
    </row>
    <row r="967" spans="2:9" x14ac:dyDescent="0.2">
      <c r="B967" s="196"/>
      <c r="C967" s="197">
        <v>45494.606296296297</v>
      </c>
      <c r="D967" s="197">
        <v>45494.607187499998</v>
      </c>
      <c r="E967" s="198" t="s">
        <v>244</v>
      </c>
      <c r="F967" s="199"/>
      <c r="G967" s="140" t="e">
        <f ca="1">mif(C967="","",OR(B967=リスト!$C$5,B967=リスト!$C$6),SUM(INDEX(G:G,MATCH(I967-1,I:I,0)+1,1):INDEX(G:G,MATCH(I967,I:I,0)-1,1)),D967-C967)</f>
        <v>#NAME?</v>
      </c>
      <c r="H967" s="140" t="e">
        <f ca="1">mif(C967="","",B967=リスト!$C$5,SUMIF(INDEX(B:B,MATCH(I967-1,I:I,0)+1,1):INDEX(B:B,MATCH(I967,I:I,0)-1,1),リスト!$C$7,INDEX(G:G,MATCH(I967-1,I:I,0)+1,1):INDEX(G:G,MATCH(I967,I:I,0)-1,1)),"")</f>
        <v>#NAME?</v>
      </c>
      <c r="I967" s="200" t="str">
        <f>IF(OR(B967=リスト!$C$5,B967=リスト!$C$6),COUNTIF($B$9:B967,リスト!$C$5)+COUNTIF($B$9:B967,リスト!$C$6),"")</f>
        <v/>
      </c>
    </row>
    <row r="968" spans="2:9" x14ac:dyDescent="0.2">
      <c r="B968" s="196"/>
      <c r="C968" s="197">
        <v>45494.607824074075</v>
      </c>
      <c r="D968" s="197">
        <v>45494.610219907408</v>
      </c>
      <c r="E968" s="198" t="s">
        <v>244</v>
      </c>
      <c r="F968" s="199"/>
      <c r="G968" s="140" t="e">
        <f ca="1">mif(C968="","",OR(B968=リスト!$C$5,B968=リスト!$C$6),SUM(INDEX(G:G,MATCH(I968-1,I:I,0)+1,1):INDEX(G:G,MATCH(I968,I:I,0)-1,1)),D968-C968)</f>
        <v>#NAME?</v>
      </c>
      <c r="H968" s="140" t="e">
        <f ca="1">mif(C968="","",B968=リスト!$C$5,SUMIF(INDEX(B:B,MATCH(I968-1,I:I,0)+1,1):INDEX(B:B,MATCH(I968,I:I,0)-1,1),リスト!$C$7,INDEX(G:G,MATCH(I968-1,I:I,0)+1,1):INDEX(G:G,MATCH(I968,I:I,0)-1,1)),"")</f>
        <v>#NAME?</v>
      </c>
      <c r="I968" s="200" t="str">
        <f>IF(OR(B968=リスト!$C$5,B968=リスト!$C$6),COUNTIF($B$9:B968,リスト!$C$5)+COUNTIF($B$9:B968,リスト!$C$6),"")</f>
        <v/>
      </c>
    </row>
    <row r="969" spans="2:9" x14ac:dyDescent="0.2">
      <c r="B969" s="196" t="s">
        <v>245</v>
      </c>
      <c r="C969" s="197">
        <v>45494.61041666667</v>
      </c>
      <c r="D969" s="197">
        <v>45494.656944444447</v>
      </c>
      <c r="E969" s="198"/>
      <c r="F969" s="199" t="s">
        <v>82</v>
      </c>
      <c r="G969" s="140" t="e">
        <f ca="1">mif(C969="","",OR(B969=リスト!$C$5,B969=リスト!$C$6),SUM(INDEX(G:G,MATCH(I969-1,I:I,0)+1,1):INDEX(G:G,MATCH(I969,I:I,0)-1,1)),D969-C969)</f>
        <v>#NAME?</v>
      </c>
      <c r="H969" s="140" t="e">
        <f ca="1">mif(C969="","",B969=リスト!$C$5,SUMIF(INDEX(B:B,MATCH(I969-1,I:I,0)+1,1):INDEX(B:B,MATCH(I969,I:I,0)-1,1),リスト!$C$7,INDEX(G:G,MATCH(I969-1,I:I,0)+1,1):INDEX(G:G,MATCH(I969,I:I,0)-1,1)),"")</f>
        <v>#NAME?</v>
      </c>
      <c r="I969" s="200" t="str">
        <f>IF(OR(B969=リスト!$C$5,B969=リスト!$C$6),COUNTIF($B$9:B969,リスト!$C$5)+COUNTIF($B$9:B969,リスト!$C$6),"")</f>
        <v/>
      </c>
    </row>
    <row r="970" spans="2:9" x14ac:dyDescent="0.2">
      <c r="B970" s="196"/>
      <c r="C970" s="197">
        <v>45494.700370370374</v>
      </c>
      <c r="D970" s="197">
        <v>45494.700601851851</v>
      </c>
      <c r="E970" s="198" t="s">
        <v>244</v>
      </c>
      <c r="F970" s="199"/>
      <c r="G970" s="140" t="e">
        <f ca="1">mif(C970="","",OR(B970=リスト!$C$5,B970=リスト!$C$6),SUM(INDEX(G:G,MATCH(I970-1,I:I,0)+1,1):INDEX(G:G,MATCH(I970,I:I,0)-1,1)),D970-C970)</f>
        <v>#NAME?</v>
      </c>
      <c r="H970" s="140" t="e">
        <f ca="1">mif(C970="","",B970=リスト!$C$5,SUMIF(INDEX(B:B,MATCH(I970-1,I:I,0)+1,1):INDEX(B:B,MATCH(I970,I:I,0)-1,1),リスト!$C$7,INDEX(G:G,MATCH(I970-1,I:I,0)+1,1):INDEX(G:G,MATCH(I970,I:I,0)-1,1)),"")</f>
        <v>#NAME?</v>
      </c>
      <c r="I970" s="200" t="str">
        <f>IF(OR(B970=リスト!$C$5,B970=リスト!$C$6),COUNTIF($B$9:B970,リスト!$C$5)+COUNTIF($B$9:B970,リスト!$C$6),"")</f>
        <v/>
      </c>
    </row>
    <row r="971" spans="2:9" x14ac:dyDescent="0.2">
      <c r="B971" s="196"/>
      <c r="C971" s="197">
        <v>45494.758055555554</v>
      </c>
      <c r="D971" s="197">
        <v>45494.758356481485</v>
      </c>
      <c r="E971" s="198" t="s">
        <v>244</v>
      </c>
      <c r="F971" s="199"/>
      <c r="G971" s="140" t="e">
        <f ca="1">mif(C971="","",OR(B971=リスト!$C$5,B971=リスト!$C$6),SUM(INDEX(G:G,MATCH(I971-1,I:I,0)+1,1):INDEX(G:G,MATCH(I971,I:I,0)-1,1)),D971-C971)</f>
        <v>#NAME?</v>
      </c>
      <c r="H971" s="140" t="e">
        <f ca="1">mif(C971="","",B971=リスト!$C$5,SUMIF(INDEX(B:B,MATCH(I971-1,I:I,0)+1,1):INDEX(B:B,MATCH(I971,I:I,0)-1,1),リスト!$C$7,INDEX(G:G,MATCH(I971-1,I:I,0)+1,1):INDEX(G:G,MATCH(I971,I:I,0)-1,1)),"")</f>
        <v>#NAME?</v>
      </c>
      <c r="I971" s="200" t="str">
        <f>IF(OR(B971=リスト!$C$5,B971=リスト!$C$6),COUNTIF($B$9:B971,リスト!$C$5)+COUNTIF($B$9:B971,リスト!$C$6),"")</f>
        <v/>
      </c>
    </row>
    <row r="972" spans="2:9" x14ac:dyDescent="0.2">
      <c r="B972" s="196"/>
      <c r="C972" s="197">
        <v>45494.823252314818</v>
      </c>
      <c r="D972" s="197">
        <v>45494.823553240742</v>
      </c>
      <c r="E972" s="198" t="s">
        <v>244</v>
      </c>
      <c r="F972" s="199"/>
      <c r="G972" s="140" t="e">
        <f ca="1">mif(C972="","",OR(B972=リスト!$C$5,B972=リスト!$C$6),SUM(INDEX(G:G,MATCH(I972-1,I:I,0)+1,1):INDEX(G:G,MATCH(I972,I:I,0)-1,1)),D972-C972)</f>
        <v>#NAME?</v>
      </c>
      <c r="H972" s="140" t="e">
        <f ca="1">mif(C972="","",B972=リスト!$C$5,SUMIF(INDEX(B:B,MATCH(I972-1,I:I,0)+1,1):INDEX(B:B,MATCH(I972,I:I,0)-1,1),リスト!$C$7,INDEX(G:G,MATCH(I972-1,I:I,0)+1,1):INDEX(G:G,MATCH(I972,I:I,0)-1,1)),"")</f>
        <v>#NAME?</v>
      </c>
      <c r="I972" s="200" t="str">
        <f>IF(OR(B972=リスト!$C$5,B972=リスト!$C$6),COUNTIF($B$9:B972,リスト!$C$5)+COUNTIF($B$9:B972,リスト!$C$6),"")</f>
        <v/>
      </c>
    </row>
    <row r="973" spans="2:9" x14ac:dyDescent="0.2">
      <c r="B973" s="196"/>
      <c r="C973" s="197">
        <v>45494.875289351854</v>
      </c>
      <c r="D973" s="197">
        <v>45494.87568287037</v>
      </c>
      <c r="E973" s="198" t="s">
        <v>244</v>
      </c>
      <c r="F973" s="199"/>
      <c r="G973" s="140" t="e">
        <f ca="1">mif(C973="","",OR(B973=リスト!$C$5,B973=リスト!$C$6),SUM(INDEX(G:G,MATCH(I973-1,I:I,0)+1,1):INDEX(G:G,MATCH(I973,I:I,0)-1,1)),D973-C973)</f>
        <v>#NAME?</v>
      </c>
      <c r="H973" s="140" t="e">
        <f ca="1">mif(C973="","",B973=リスト!$C$5,SUMIF(INDEX(B:B,MATCH(I973-1,I:I,0)+1,1):INDEX(B:B,MATCH(I973,I:I,0)-1,1),リスト!$C$7,INDEX(G:G,MATCH(I973-1,I:I,0)+1,1):INDEX(G:G,MATCH(I973,I:I,0)-1,1)),"")</f>
        <v>#NAME?</v>
      </c>
      <c r="I973" s="200" t="str">
        <f>IF(OR(B973=リスト!$C$5,B973=リスト!$C$6),COUNTIF($B$9:B973,リスト!$C$5)+COUNTIF($B$9:B973,リスト!$C$6),"")</f>
        <v/>
      </c>
    </row>
    <row r="974" spans="2:9" x14ac:dyDescent="0.2">
      <c r="B974" s="196" t="s">
        <v>247</v>
      </c>
      <c r="C974" s="197">
        <v>45494.416666666664</v>
      </c>
      <c r="D974" s="197">
        <v>45494.916666666664</v>
      </c>
      <c r="E974" s="198">
        <v>19</v>
      </c>
      <c r="F974" s="199" t="s">
        <v>82</v>
      </c>
      <c r="G974" s="140" t="e">
        <f ca="1">mif(C974="","",OR(B974=リスト!$C$5,B974=リスト!$C$6),SUM(INDEX(G:G,MATCH(I974-1,I:I,0)+1,1):INDEX(G:G,MATCH(I974,I:I,0)-1,1)),D974-C974)</f>
        <v>#NAME?</v>
      </c>
      <c r="H974" s="140" t="e">
        <f ca="1">mif(C974="","",B974=リスト!$C$5,SUMIF(INDEX(B:B,MATCH(I974-1,I:I,0)+1,1):INDEX(B:B,MATCH(I974,I:I,0)-1,1),リスト!$C$7,INDEX(G:G,MATCH(I974-1,I:I,0)+1,1):INDEX(G:G,MATCH(I974,I:I,0)-1,1)),"")</f>
        <v>#NAME?</v>
      </c>
      <c r="I974" s="200">
        <f>IF(OR(B974=リスト!$C$5,B974=リスト!$C$6),COUNTIF($B$9:B974,リスト!$C$5)+COUNTIF($B$9:B974,リスト!$C$6),"")</f>
        <v>67</v>
      </c>
    </row>
    <row r="975" spans="2:9" x14ac:dyDescent="0.2">
      <c r="B975" s="196"/>
      <c r="C975" s="197">
        <v>45496.943518518521</v>
      </c>
      <c r="D975" s="197">
        <v>45496.943819444445</v>
      </c>
      <c r="E975" s="198" t="s">
        <v>244</v>
      </c>
      <c r="F975" s="199"/>
      <c r="G975" s="140" t="e">
        <f ca="1">mif(C975="","",OR(B975=リスト!$C$5,B975=リスト!$C$6),SUM(INDEX(G:G,MATCH(I975-1,I:I,0)+1,1):INDEX(G:G,MATCH(I975,I:I,0)-1,1)),D975-C975)</f>
        <v>#NAME?</v>
      </c>
      <c r="H975" s="140" t="e">
        <f ca="1">mif(C975="","",B975=リスト!$C$5,SUMIF(INDEX(B:B,MATCH(I975-1,I:I,0)+1,1):INDEX(B:B,MATCH(I975,I:I,0)-1,1),リスト!$C$7,INDEX(G:G,MATCH(I975-1,I:I,0)+1,1):INDEX(G:G,MATCH(I975,I:I,0)-1,1)),"")</f>
        <v>#NAME?</v>
      </c>
      <c r="I975" s="200" t="str">
        <f>IF(OR(B975=リスト!$C$5,B975=リスト!$C$6),COUNTIF($B$9:B975,リスト!$C$5)+COUNTIF($B$9:B975,リスト!$C$6),"")</f>
        <v/>
      </c>
    </row>
    <row r="976" spans="2:9" x14ac:dyDescent="0.2">
      <c r="B976" s="196"/>
      <c r="C976" s="197">
        <v>45497.082835648151</v>
      </c>
      <c r="D976" s="197">
        <v>45497.083298611113</v>
      </c>
      <c r="E976" s="198" t="s">
        <v>244</v>
      </c>
      <c r="F976" s="199"/>
      <c r="G976" s="140" t="e">
        <f ca="1">mif(C976="","",OR(B976=リスト!$C$5,B976=リスト!$C$6),SUM(INDEX(G:G,MATCH(I976-1,I:I,0)+1,1):INDEX(G:G,MATCH(I976,I:I,0)-1,1)),D976-C976)</f>
        <v>#NAME?</v>
      </c>
      <c r="H976" s="140" t="e">
        <f ca="1">mif(C976="","",B976=リスト!$C$5,SUMIF(INDEX(B:B,MATCH(I976-1,I:I,0)+1,1):INDEX(B:B,MATCH(I976,I:I,0)-1,1),リスト!$C$7,INDEX(G:G,MATCH(I976-1,I:I,0)+1,1):INDEX(G:G,MATCH(I976,I:I,0)-1,1)),"")</f>
        <v>#NAME?</v>
      </c>
      <c r="I976" s="200" t="str">
        <f>IF(OR(B976=リスト!$C$5,B976=リスト!$C$6),COUNTIF($B$9:B976,リスト!$C$5)+COUNTIF($B$9:B976,リスト!$C$6),"")</f>
        <v/>
      </c>
    </row>
    <row r="977" spans="1:9" x14ac:dyDescent="0.2">
      <c r="B977" s="196"/>
      <c r="C977" s="197">
        <v>45497.121331018519</v>
      </c>
      <c r="D977" s="197">
        <v>45497.121608796297</v>
      </c>
      <c r="E977" s="198" t="s">
        <v>244</v>
      </c>
      <c r="F977" s="199"/>
      <c r="G977" s="140" t="e">
        <f ca="1">mif(C977="","",OR(B977=リスト!$C$5,B977=リスト!$C$6),SUM(INDEX(G:G,MATCH(I977-1,I:I,0)+1,1):INDEX(G:G,MATCH(I977,I:I,0)-1,1)),D977-C977)</f>
        <v>#NAME?</v>
      </c>
      <c r="H977" s="140" t="e">
        <f ca="1">mif(C977="","",B977=リスト!$C$5,SUMIF(INDEX(B:B,MATCH(I977-1,I:I,0)+1,1):INDEX(B:B,MATCH(I977,I:I,0)-1,1),リスト!$C$7,INDEX(G:G,MATCH(I977-1,I:I,0)+1,1):INDEX(G:G,MATCH(I977,I:I,0)-1,1)),"")</f>
        <v>#NAME?</v>
      </c>
      <c r="I977" s="200" t="str">
        <f>IF(OR(B977=リスト!$C$5,B977=リスト!$C$6),COUNTIF($B$9:B977,リスト!$C$5)+COUNTIF($B$9:B977,リスト!$C$6),"")</f>
        <v/>
      </c>
    </row>
    <row r="978" spans="1:9" x14ac:dyDescent="0.2">
      <c r="B978" s="196"/>
      <c r="C978" s="197">
        <v>45497.30263888889</v>
      </c>
      <c r="D978" s="197">
        <v>45497.303449074076</v>
      </c>
      <c r="E978" s="198" t="s">
        <v>244</v>
      </c>
      <c r="F978" s="199"/>
      <c r="G978" s="140" t="e">
        <f ca="1">mif(C978="","",OR(B978=リスト!$C$5,B978=リスト!$C$6),SUM(INDEX(G:G,MATCH(I978-1,I:I,0)+1,1):INDEX(G:G,MATCH(I978,I:I,0)-1,1)),D978-C978)</f>
        <v>#NAME?</v>
      </c>
      <c r="H978" s="140" t="e">
        <f ca="1">mif(C978="","",B978=リスト!$C$5,SUMIF(INDEX(B:B,MATCH(I978-1,I:I,0)+1,1):INDEX(B:B,MATCH(I978,I:I,0)-1,1),リスト!$C$7,INDEX(G:G,MATCH(I978-1,I:I,0)+1,1):INDEX(G:G,MATCH(I978,I:I,0)-1,1)),"")</f>
        <v>#NAME?</v>
      </c>
      <c r="I978" s="200" t="str">
        <f>IF(OR(B978=リスト!$C$5,B978=リスト!$C$6),COUNTIF($B$9:B978,リスト!$C$5)+COUNTIF($B$9:B978,リスト!$C$6),"")</f>
        <v/>
      </c>
    </row>
    <row r="979" spans="1:9" x14ac:dyDescent="0.2">
      <c r="A979" s="38" t="s">
        <v>225</v>
      </c>
      <c r="B979" s="196" t="s">
        <v>245</v>
      </c>
      <c r="C979" s="197">
        <v>45497.307638888888</v>
      </c>
      <c r="D979" s="197">
        <v>45497.32916666667</v>
      </c>
      <c r="E979" s="198"/>
      <c r="F979" s="199" t="s">
        <v>82</v>
      </c>
      <c r="G979" s="140" t="e">
        <f ca="1">mif(C979="","",OR(B979=リスト!$C$5,B979=リスト!$C$6),SUM(INDEX(G:G,MATCH(I979-1,I:I,0)+1,1):INDEX(G:G,MATCH(I979,I:I,0)-1,1)),D979-C979)</f>
        <v>#NAME?</v>
      </c>
      <c r="H979" s="140" t="e">
        <f ca="1">mif(C979="","",B979=リスト!$C$5,SUMIF(INDEX(B:B,MATCH(I979-1,I:I,0)+1,1):INDEX(B:B,MATCH(I979,I:I,0)-1,1),リスト!$C$7,INDEX(G:G,MATCH(I979-1,I:I,0)+1,1):INDEX(G:G,MATCH(I979,I:I,0)-1,1)),"")</f>
        <v>#NAME?</v>
      </c>
      <c r="I979" s="200" t="str">
        <f>IF(OR(B979=リスト!$C$5,B979=リスト!$C$6),COUNTIF($B$9:B979,リスト!$C$5)+COUNTIF($B$9:B979,リスト!$C$6),"")</f>
        <v/>
      </c>
    </row>
    <row r="980" spans="1:9" x14ac:dyDescent="0.2">
      <c r="B980" s="196"/>
      <c r="C980" s="197">
        <v>45497.358148148145</v>
      </c>
      <c r="D980" s="197">
        <v>45497.358425925922</v>
      </c>
      <c r="E980" s="198" t="s">
        <v>244</v>
      </c>
      <c r="F980" s="199"/>
      <c r="G980" s="140" t="e">
        <f ca="1">mif(C980="","",OR(B980=リスト!$C$5,B980=リスト!$C$6),SUM(INDEX(G:G,MATCH(I980-1,I:I,0)+1,1):INDEX(G:G,MATCH(I980,I:I,0)-1,1)),D980-C980)</f>
        <v>#NAME?</v>
      </c>
      <c r="H980" s="140" t="e">
        <f ca="1">mif(C980="","",B980=リスト!$C$5,SUMIF(INDEX(B:B,MATCH(I980-1,I:I,0)+1,1):INDEX(B:B,MATCH(I980,I:I,0)-1,1),リスト!$C$7,INDEX(G:G,MATCH(I980-1,I:I,0)+1,1):INDEX(G:G,MATCH(I980,I:I,0)-1,1)),"")</f>
        <v>#NAME?</v>
      </c>
      <c r="I980" s="200" t="str">
        <f>IF(OR(B980=リスト!$C$5,B980=リスト!$C$6),COUNTIF($B$9:B980,リスト!$C$5)+COUNTIF($B$9:B980,リスト!$C$6),"")</f>
        <v/>
      </c>
    </row>
    <row r="981" spans="1:9" x14ac:dyDescent="0.2">
      <c r="B981" s="196"/>
      <c r="C981" s="197">
        <v>45497.38958333333</v>
      </c>
      <c r="D981" s="197">
        <v>45497.389930555553</v>
      </c>
      <c r="E981" s="198" t="s">
        <v>244</v>
      </c>
      <c r="F981" s="199"/>
      <c r="G981" s="140" t="e">
        <f ca="1">mif(C981="","",OR(B981=リスト!$C$5,B981=リスト!$C$6),SUM(INDEX(G:G,MATCH(I981-1,I:I,0)+1,1):INDEX(G:G,MATCH(I981,I:I,0)-1,1)),D981-C981)</f>
        <v>#NAME?</v>
      </c>
      <c r="H981" s="140" t="e">
        <f ca="1">mif(C981="","",B981=リスト!$C$5,SUMIF(INDEX(B:B,MATCH(I981-1,I:I,0)+1,1):INDEX(B:B,MATCH(I981,I:I,0)-1,1),リスト!$C$7,INDEX(G:G,MATCH(I981-1,I:I,0)+1,1):INDEX(G:G,MATCH(I981,I:I,0)-1,1)),"")</f>
        <v>#NAME?</v>
      </c>
      <c r="I981" s="200" t="str">
        <f>IF(OR(B981=リスト!$C$5,B981=リスト!$C$6),COUNTIF($B$9:B981,リスト!$C$5)+COUNTIF($B$9:B981,リスト!$C$6),"")</f>
        <v/>
      </c>
    </row>
    <row r="982" spans="1:9" x14ac:dyDescent="0.2">
      <c r="B982" s="196" t="s">
        <v>247</v>
      </c>
      <c r="C982" s="197">
        <v>45496.916666666664</v>
      </c>
      <c r="D982" s="197">
        <v>45497.416666666664</v>
      </c>
      <c r="E982" s="198">
        <v>6</v>
      </c>
      <c r="F982" s="199" t="s">
        <v>82</v>
      </c>
      <c r="G982" s="140" t="e">
        <f ca="1">mif(C982="","",OR(B982=リスト!$C$5,B982=リスト!$C$6),SUM(INDEX(G:G,MATCH(I982-1,I:I,0)+1,1):INDEX(G:G,MATCH(I982,I:I,0)-1,1)),D982-C982)</f>
        <v>#NAME?</v>
      </c>
      <c r="H982" s="140" t="e">
        <f ca="1">mif(C982="","",B982=リスト!$C$5,SUMIF(INDEX(B:B,MATCH(I982-1,I:I,0)+1,1):INDEX(B:B,MATCH(I982,I:I,0)-1,1),リスト!$C$7,INDEX(G:G,MATCH(I982-1,I:I,0)+1,1):INDEX(G:G,MATCH(I982,I:I,0)-1,1)),"")</f>
        <v>#NAME?</v>
      </c>
      <c r="I982" s="200">
        <f>IF(OR(B982=リスト!$C$5,B982=リスト!$C$6),COUNTIF($B$9:B982,リスト!$C$5)+COUNTIF($B$9:B982,リスト!$C$6),"")</f>
        <v>68</v>
      </c>
    </row>
    <row r="983" spans="1:9" x14ac:dyDescent="0.2">
      <c r="B983" s="196"/>
      <c r="C983" s="197">
        <v>45497.418043981481</v>
      </c>
      <c r="D983" s="197">
        <v>45497.418298611112</v>
      </c>
      <c r="E983" s="198" t="s">
        <v>244</v>
      </c>
      <c r="F983" s="199"/>
      <c r="G983" s="140" t="e">
        <f ca="1">mif(C983="","",OR(B983=リスト!$C$5,B983=リスト!$C$6),SUM(INDEX(G:G,MATCH(I983-1,I:I,0)+1,1):INDEX(G:G,MATCH(I983,I:I,0)-1,1)),D983-C983)</f>
        <v>#NAME?</v>
      </c>
      <c r="H983" s="140" t="e">
        <f ca="1">mif(C983="","",B983=リスト!$C$5,SUMIF(INDEX(B:B,MATCH(I983-1,I:I,0)+1,1):INDEX(B:B,MATCH(I983,I:I,0)-1,1),リスト!$C$7,INDEX(G:G,MATCH(I983-1,I:I,0)+1,1):INDEX(G:G,MATCH(I983,I:I,0)-1,1)),"")</f>
        <v>#NAME?</v>
      </c>
      <c r="I983" s="200" t="str">
        <f>IF(OR(B983=リスト!$C$5,B983=リスト!$C$6),COUNTIF($B$9:B983,リスト!$C$5)+COUNTIF($B$9:B983,リスト!$C$6),"")</f>
        <v/>
      </c>
    </row>
    <row r="984" spans="1:9" x14ac:dyDescent="0.2">
      <c r="B984" s="196"/>
      <c r="C984" s="197">
        <v>45497.615162037036</v>
      </c>
      <c r="D984" s="197">
        <v>45497.615486111114</v>
      </c>
      <c r="E984" s="198" t="s">
        <v>244</v>
      </c>
      <c r="F984" s="199"/>
      <c r="G984" s="140" t="e">
        <f ca="1">mif(C984="","",OR(B984=リスト!$C$5,B984=リスト!$C$6),SUM(INDEX(G:G,MATCH(I984-1,I:I,0)+1,1):INDEX(G:G,MATCH(I984,I:I,0)-1,1)),D984-C984)</f>
        <v>#NAME?</v>
      </c>
      <c r="H984" s="140" t="e">
        <f ca="1">mif(C984="","",B984=リスト!$C$5,SUMIF(INDEX(B:B,MATCH(I984-1,I:I,0)+1,1):INDEX(B:B,MATCH(I984,I:I,0)-1,1),リスト!$C$7,INDEX(G:G,MATCH(I984-1,I:I,0)+1,1):INDEX(G:G,MATCH(I984,I:I,0)-1,1)),"")</f>
        <v>#NAME?</v>
      </c>
      <c r="I984" s="200" t="str">
        <f>IF(OR(B984=リスト!$C$5,B984=リスト!$C$6),COUNTIF($B$9:B984,リスト!$C$5)+COUNTIF($B$9:B984,リスト!$C$6),"")</f>
        <v/>
      </c>
    </row>
    <row r="985" spans="1:9" x14ac:dyDescent="0.2">
      <c r="B985" s="196"/>
      <c r="C985" s="197">
        <v>45497.630312499998</v>
      </c>
      <c r="D985" s="197">
        <v>45497.630567129629</v>
      </c>
      <c r="E985" s="198" t="s">
        <v>244</v>
      </c>
      <c r="F985" s="199"/>
      <c r="G985" s="140" t="e">
        <f ca="1">mif(C985="","",OR(B985=リスト!$C$5,B985=リスト!$C$6),SUM(INDEX(G:G,MATCH(I985-1,I:I,0)+1,1):INDEX(G:G,MATCH(I985,I:I,0)-1,1)),D985-C985)</f>
        <v>#NAME?</v>
      </c>
      <c r="H985" s="140" t="e">
        <f ca="1">mif(C985="","",B985=リスト!$C$5,SUMIF(INDEX(B:B,MATCH(I985-1,I:I,0)+1,1):INDEX(B:B,MATCH(I985,I:I,0)-1,1),リスト!$C$7,INDEX(G:G,MATCH(I985-1,I:I,0)+1,1):INDEX(G:G,MATCH(I985,I:I,0)-1,1)),"")</f>
        <v>#NAME?</v>
      </c>
      <c r="I985" s="200" t="str">
        <f>IF(OR(B985=リスト!$C$5,B985=リスト!$C$6),COUNTIF($B$9:B985,リスト!$C$5)+COUNTIF($B$9:B985,リスト!$C$6),"")</f>
        <v/>
      </c>
    </row>
    <row r="986" spans="1:9" x14ac:dyDescent="0.2">
      <c r="B986" s="196"/>
      <c r="C986" s="197">
        <v>45497.630891203706</v>
      </c>
      <c r="D986" s="197">
        <v>45497.631145833337</v>
      </c>
      <c r="E986" s="198" t="s">
        <v>244</v>
      </c>
      <c r="F986" s="199"/>
      <c r="G986" s="140" t="e">
        <f ca="1">mif(C986="","",OR(B986=リスト!$C$5,B986=リスト!$C$6),SUM(INDEX(G:G,MATCH(I986-1,I:I,0)+1,1):INDEX(G:G,MATCH(I986,I:I,0)-1,1)),D986-C986)</f>
        <v>#NAME?</v>
      </c>
      <c r="H986" s="140" t="e">
        <f ca="1">mif(C986="","",B986=リスト!$C$5,SUMIF(INDEX(B:B,MATCH(I986-1,I:I,0)+1,1):INDEX(B:B,MATCH(I986,I:I,0)-1,1),リスト!$C$7,INDEX(G:G,MATCH(I986-1,I:I,0)+1,1):INDEX(G:G,MATCH(I986,I:I,0)-1,1)),"")</f>
        <v>#NAME?</v>
      </c>
      <c r="I986" s="200" t="str">
        <f>IF(OR(B986=リスト!$C$5,B986=リスト!$C$6),COUNTIF($B$9:B986,リスト!$C$5)+COUNTIF($B$9:B986,リスト!$C$6),"")</f>
        <v/>
      </c>
    </row>
    <row r="987" spans="1:9" x14ac:dyDescent="0.2">
      <c r="B987" s="196"/>
      <c r="C987" s="197">
        <v>45497.631724537037</v>
      </c>
      <c r="D987" s="197">
        <v>45497.633564814816</v>
      </c>
      <c r="E987" s="198" t="s">
        <v>244</v>
      </c>
      <c r="F987" s="199"/>
      <c r="G987" s="140" t="e">
        <f ca="1">mif(C987="","",OR(B987=リスト!$C$5,B987=リスト!$C$6),SUM(INDEX(G:G,MATCH(I987-1,I:I,0)+1,1):INDEX(G:G,MATCH(I987,I:I,0)-1,1)),D987-C987)</f>
        <v>#NAME?</v>
      </c>
      <c r="H987" s="140" t="e">
        <f ca="1">mif(C987="","",B987=リスト!$C$5,SUMIF(INDEX(B:B,MATCH(I987-1,I:I,0)+1,1):INDEX(B:B,MATCH(I987,I:I,0)-1,1),リスト!$C$7,INDEX(G:G,MATCH(I987-1,I:I,0)+1,1):INDEX(G:G,MATCH(I987,I:I,0)-1,1)),"")</f>
        <v>#NAME?</v>
      </c>
      <c r="I987" s="200" t="str">
        <f>IF(OR(B987=リスト!$C$5,B987=リスト!$C$6),COUNTIF($B$9:B987,リスト!$C$5)+COUNTIF($B$9:B987,リスト!$C$6),"")</f>
        <v/>
      </c>
    </row>
    <row r="988" spans="1:9" x14ac:dyDescent="0.2">
      <c r="B988" s="196"/>
      <c r="C988" s="197">
        <v>45497.634456018517</v>
      </c>
      <c r="D988" s="197">
        <v>45497.63590277778</v>
      </c>
      <c r="E988" s="198" t="s">
        <v>244</v>
      </c>
      <c r="F988" s="199"/>
      <c r="G988" s="140" t="e">
        <f ca="1">mif(C988="","",OR(B988=リスト!$C$5,B988=リスト!$C$6),SUM(INDEX(G:G,MATCH(I988-1,I:I,0)+1,1):INDEX(G:G,MATCH(I988,I:I,0)-1,1)),D988-C988)</f>
        <v>#NAME?</v>
      </c>
      <c r="H988" s="140" t="e">
        <f ca="1">mif(C988="","",B988=リスト!$C$5,SUMIF(INDEX(B:B,MATCH(I988-1,I:I,0)+1,1):INDEX(B:B,MATCH(I988,I:I,0)-1,1),リスト!$C$7,INDEX(G:G,MATCH(I988-1,I:I,0)+1,1):INDEX(G:G,MATCH(I988,I:I,0)-1,1)),"")</f>
        <v>#NAME?</v>
      </c>
      <c r="I988" s="200" t="str">
        <f>IF(OR(B988=リスト!$C$5,B988=リスト!$C$6),COUNTIF($B$9:B988,リスト!$C$5)+COUNTIF($B$9:B988,リスト!$C$6),"")</f>
        <v/>
      </c>
    </row>
    <row r="989" spans="1:9" x14ac:dyDescent="0.2">
      <c r="B989" s="196"/>
      <c r="C989" s="197">
        <v>45497.650694444441</v>
      </c>
      <c r="D989" s="197">
        <v>45497.650972222225</v>
      </c>
      <c r="E989" s="198" t="s">
        <v>244</v>
      </c>
      <c r="F989" s="199"/>
      <c r="G989" s="140" t="e">
        <f ca="1">mif(C989="","",OR(B989=リスト!$C$5,B989=リスト!$C$6),SUM(INDEX(G:G,MATCH(I989-1,I:I,0)+1,1):INDEX(G:G,MATCH(I989,I:I,0)-1,1)),D989-C989)</f>
        <v>#NAME?</v>
      </c>
      <c r="H989" s="140" t="e">
        <f ca="1">mif(C989="","",B989=リスト!$C$5,SUMIF(INDEX(B:B,MATCH(I989-1,I:I,0)+1,1):INDEX(B:B,MATCH(I989,I:I,0)-1,1),リスト!$C$7,INDEX(G:G,MATCH(I989-1,I:I,0)+1,1):INDEX(G:G,MATCH(I989,I:I,0)-1,1)),"")</f>
        <v>#NAME?</v>
      </c>
      <c r="I989" s="200" t="str">
        <f>IF(OR(B989=リスト!$C$5,B989=リスト!$C$6),COUNTIF($B$9:B989,リスト!$C$5)+COUNTIF($B$9:B989,リスト!$C$6),"")</f>
        <v/>
      </c>
    </row>
    <row r="990" spans="1:9" x14ac:dyDescent="0.2">
      <c r="B990" s="196"/>
      <c r="C990" s="197">
        <v>45497.651180555556</v>
      </c>
      <c r="D990" s="197">
        <v>45497.651666666665</v>
      </c>
      <c r="E990" s="198" t="s">
        <v>244</v>
      </c>
      <c r="F990" s="199"/>
      <c r="G990" s="140" t="e">
        <f ca="1">mif(C990="","",OR(B990=リスト!$C$5,B990=リスト!$C$6),SUM(INDEX(G:G,MATCH(I990-1,I:I,0)+1,1):INDEX(G:G,MATCH(I990,I:I,0)-1,1)),D990-C990)</f>
        <v>#NAME?</v>
      </c>
      <c r="H990" s="140" t="e">
        <f ca="1">mif(C990="","",B990=リスト!$C$5,SUMIF(INDEX(B:B,MATCH(I990-1,I:I,0)+1,1):INDEX(B:B,MATCH(I990,I:I,0)-1,1),リスト!$C$7,INDEX(G:G,MATCH(I990-1,I:I,0)+1,1):INDEX(G:G,MATCH(I990,I:I,0)-1,1)),"")</f>
        <v>#NAME?</v>
      </c>
      <c r="I990" s="200" t="str">
        <f>IF(OR(B990=リスト!$C$5,B990=リスト!$C$6),COUNTIF($B$9:B990,リスト!$C$5)+COUNTIF($B$9:B990,リスト!$C$6),"")</f>
        <v/>
      </c>
    </row>
    <row r="991" spans="1:9" x14ac:dyDescent="0.2">
      <c r="B991" s="196"/>
      <c r="C991" s="197">
        <v>45497.652222222219</v>
      </c>
      <c r="D991" s="197">
        <v>45497.652453703704</v>
      </c>
      <c r="E991" s="198" t="s">
        <v>244</v>
      </c>
      <c r="F991" s="199"/>
      <c r="G991" s="140" t="e">
        <f ca="1">mif(C991="","",OR(B991=リスト!$C$5,B991=リスト!$C$6),SUM(INDEX(G:G,MATCH(I991-1,I:I,0)+1,1):INDEX(G:G,MATCH(I991,I:I,0)-1,1)),D991-C991)</f>
        <v>#NAME?</v>
      </c>
      <c r="H991" s="140" t="e">
        <f ca="1">mif(C991="","",B991=リスト!$C$5,SUMIF(INDEX(B:B,MATCH(I991-1,I:I,0)+1,1):INDEX(B:B,MATCH(I991,I:I,0)-1,1),リスト!$C$7,INDEX(G:G,MATCH(I991-1,I:I,0)+1,1):INDEX(G:G,MATCH(I991,I:I,0)-1,1)),"")</f>
        <v>#NAME?</v>
      </c>
      <c r="I991" s="200" t="str">
        <f>IF(OR(B991=リスト!$C$5,B991=リスト!$C$6),COUNTIF($B$9:B991,リスト!$C$5)+COUNTIF($B$9:B991,リスト!$C$6),"")</f>
        <v/>
      </c>
    </row>
    <row r="992" spans="1:9" x14ac:dyDescent="0.2">
      <c r="B992" s="196"/>
      <c r="C992" s="197">
        <v>45497.65247685185</v>
      </c>
      <c r="D992" s="197">
        <v>45497.653124999997</v>
      </c>
      <c r="E992" s="198" t="s">
        <v>244</v>
      </c>
      <c r="F992" s="199"/>
      <c r="G992" s="140" t="e">
        <f ca="1">mif(C992="","",OR(B992=リスト!$C$5,B992=リスト!$C$6),SUM(INDEX(G:G,MATCH(I992-1,I:I,0)+1,1):INDEX(G:G,MATCH(I992,I:I,0)-1,1)),D992-C992)</f>
        <v>#NAME?</v>
      </c>
      <c r="H992" s="140" t="e">
        <f ca="1">mif(C992="","",B992=リスト!$C$5,SUMIF(INDEX(B:B,MATCH(I992-1,I:I,0)+1,1):INDEX(B:B,MATCH(I992,I:I,0)-1,1),リスト!$C$7,INDEX(G:G,MATCH(I992-1,I:I,0)+1,1):INDEX(G:G,MATCH(I992,I:I,0)-1,1)),"")</f>
        <v>#NAME?</v>
      </c>
      <c r="I992" s="200" t="str">
        <f>IF(OR(B992=リスト!$C$5,B992=リスト!$C$6),COUNTIF($B$9:B992,リスト!$C$5)+COUNTIF($B$9:B992,リスト!$C$6),"")</f>
        <v/>
      </c>
    </row>
    <row r="993" spans="2:9" x14ac:dyDescent="0.2">
      <c r="B993" s="196"/>
      <c r="C993" s="197">
        <v>45497.695486111108</v>
      </c>
      <c r="D993" s="197">
        <v>45497.695740740739</v>
      </c>
      <c r="E993" s="198" t="s">
        <v>244</v>
      </c>
      <c r="F993" s="199"/>
      <c r="G993" s="140" t="e">
        <f ca="1">mif(C993="","",OR(B993=リスト!$C$5,B993=リスト!$C$6),SUM(INDEX(G:G,MATCH(I993-1,I:I,0)+1,1):INDEX(G:G,MATCH(I993,I:I,0)-1,1)),D993-C993)</f>
        <v>#NAME?</v>
      </c>
      <c r="H993" s="140" t="e">
        <f ca="1">mif(C993="","",B993=リスト!$C$5,SUMIF(INDEX(B:B,MATCH(I993-1,I:I,0)+1,1):INDEX(B:B,MATCH(I993,I:I,0)-1,1),リスト!$C$7,INDEX(G:G,MATCH(I993-1,I:I,0)+1,1):INDEX(G:G,MATCH(I993,I:I,0)-1,1)),"")</f>
        <v>#NAME?</v>
      </c>
      <c r="I993" s="200" t="str">
        <f>IF(OR(B993=リスト!$C$5,B993=リスト!$C$6),COUNTIF($B$9:B993,リスト!$C$5)+COUNTIF($B$9:B993,リスト!$C$6),"")</f>
        <v/>
      </c>
    </row>
    <row r="994" spans="2:9" x14ac:dyDescent="0.2">
      <c r="B994" s="196"/>
      <c r="C994" s="197">
        <v>45497.696296296293</v>
      </c>
      <c r="D994" s="197">
        <v>45497.696574074071</v>
      </c>
      <c r="E994" s="198" t="s">
        <v>244</v>
      </c>
      <c r="F994" s="199"/>
      <c r="G994" s="140" t="e">
        <f ca="1">mif(C994="","",OR(B994=リスト!$C$5,B994=リスト!$C$6),SUM(INDEX(G:G,MATCH(I994-1,I:I,0)+1,1):INDEX(G:G,MATCH(I994,I:I,0)-1,1)),D994-C994)</f>
        <v>#NAME?</v>
      </c>
      <c r="H994" s="140" t="e">
        <f ca="1">mif(C994="","",B994=リスト!$C$5,SUMIF(INDEX(B:B,MATCH(I994-1,I:I,0)+1,1):INDEX(B:B,MATCH(I994,I:I,0)-1,1),リスト!$C$7,INDEX(G:G,MATCH(I994-1,I:I,0)+1,1):INDEX(G:G,MATCH(I994,I:I,0)-1,1)),"")</f>
        <v>#NAME?</v>
      </c>
      <c r="I994" s="200" t="str">
        <f>IF(OR(B994=リスト!$C$5,B994=リスト!$C$6),COUNTIF($B$9:B994,リスト!$C$5)+COUNTIF($B$9:B994,リスト!$C$6),"")</f>
        <v/>
      </c>
    </row>
    <row r="995" spans="2:9" x14ac:dyDescent="0.2">
      <c r="B995" s="196"/>
      <c r="C995" s="197">
        <v>45497.716226851851</v>
      </c>
      <c r="D995" s="197">
        <v>45497.716805555552</v>
      </c>
      <c r="E995" s="198" t="s">
        <v>244</v>
      </c>
      <c r="F995" s="199"/>
      <c r="G995" s="140" t="e">
        <f ca="1">mif(C995="","",OR(B995=リスト!$C$5,B995=リスト!$C$6),SUM(INDEX(G:G,MATCH(I995-1,I:I,0)+1,1):INDEX(G:G,MATCH(I995,I:I,0)-1,1)),D995-C995)</f>
        <v>#NAME?</v>
      </c>
      <c r="H995" s="140" t="e">
        <f ca="1">mif(C995="","",B995=リスト!$C$5,SUMIF(INDEX(B:B,MATCH(I995-1,I:I,0)+1,1):INDEX(B:B,MATCH(I995,I:I,0)-1,1),リスト!$C$7,INDEX(G:G,MATCH(I995-1,I:I,0)+1,1):INDEX(G:G,MATCH(I995,I:I,0)-1,1)),"")</f>
        <v>#NAME?</v>
      </c>
      <c r="I995" s="200" t="str">
        <f>IF(OR(B995=リスト!$C$5,B995=リスト!$C$6),COUNTIF($B$9:B995,リスト!$C$5)+COUNTIF($B$9:B995,リスト!$C$6),"")</f>
        <v/>
      </c>
    </row>
    <row r="996" spans="2:9" x14ac:dyDescent="0.2">
      <c r="B996" s="196"/>
      <c r="C996" s="197">
        <v>45497.824548611112</v>
      </c>
      <c r="D996" s="197">
        <v>45497.824849537035</v>
      </c>
      <c r="E996" s="198" t="s">
        <v>244</v>
      </c>
      <c r="F996" s="199"/>
      <c r="G996" s="140" t="e">
        <f ca="1">mif(C996="","",OR(B996=リスト!$C$5,B996=リスト!$C$6),SUM(INDEX(G:G,MATCH(I996-1,I:I,0)+1,1):INDEX(G:G,MATCH(I996,I:I,0)-1,1)),D996-C996)</f>
        <v>#NAME?</v>
      </c>
      <c r="H996" s="140" t="e">
        <f ca="1">mif(C996="","",B996=リスト!$C$5,SUMIF(INDEX(B:B,MATCH(I996-1,I:I,0)+1,1):INDEX(B:B,MATCH(I996,I:I,0)-1,1),リスト!$C$7,INDEX(G:G,MATCH(I996-1,I:I,0)+1,1):INDEX(G:G,MATCH(I996,I:I,0)-1,1)),"")</f>
        <v>#NAME?</v>
      </c>
      <c r="I996" s="200" t="str">
        <f>IF(OR(B996=リスト!$C$5,B996=リスト!$C$6),COUNTIF($B$9:B996,リスト!$C$5)+COUNTIF($B$9:B996,リスト!$C$6),"")</f>
        <v/>
      </c>
    </row>
    <row r="997" spans="2:9" x14ac:dyDescent="0.2">
      <c r="B997" s="196"/>
      <c r="C997" s="197">
        <v>45497.828043981484</v>
      </c>
      <c r="D997" s="197">
        <v>45497.828321759262</v>
      </c>
      <c r="E997" s="198" t="s">
        <v>244</v>
      </c>
      <c r="F997" s="199"/>
      <c r="G997" s="140" t="e">
        <f ca="1">mif(C997="","",OR(B997=リスト!$C$5,B997=リスト!$C$6),SUM(INDEX(G:G,MATCH(I997-1,I:I,0)+1,1):INDEX(G:G,MATCH(I997,I:I,0)-1,1)),D997-C997)</f>
        <v>#NAME?</v>
      </c>
      <c r="H997" s="140" t="e">
        <f ca="1">mif(C997="","",B997=リスト!$C$5,SUMIF(INDEX(B:B,MATCH(I997-1,I:I,0)+1,1):INDEX(B:B,MATCH(I997,I:I,0)-1,1),リスト!$C$7,INDEX(G:G,MATCH(I997-1,I:I,0)+1,1):INDEX(G:G,MATCH(I997,I:I,0)-1,1)),"")</f>
        <v>#NAME?</v>
      </c>
      <c r="I997" s="200" t="str">
        <f>IF(OR(B997=リスト!$C$5,B997=リスト!$C$6),COUNTIF($B$9:B997,リスト!$C$5)+COUNTIF($B$9:B997,リスト!$C$6),"")</f>
        <v/>
      </c>
    </row>
    <row r="998" spans="2:9" x14ac:dyDescent="0.2">
      <c r="B998" s="196"/>
      <c r="C998" s="197">
        <v>45497.857824074075</v>
      </c>
      <c r="D998" s="197">
        <v>45497.858356481483</v>
      </c>
      <c r="E998" s="198" t="s">
        <v>244</v>
      </c>
      <c r="F998" s="199"/>
      <c r="G998" s="140" t="e">
        <f ca="1">mif(C998="","",OR(B998=リスト!$C$5,B998=リスト!$C$6),SUM(INDEX(G:G,MATCH(I998-1,I:I,0)+1,1):INDEX(G:G,MATCH(I998,I:I,0)-1,1)),D998-C998)</f>
        <v>#NAME?</v>
      </c>
      <c r="H998" s="140" t="e">
        <f ca="1">mif(C998="","",B998=リスト!$C$5,SUMIF(INDEX(B:B,MATCH(I998-1,I:I,0)+1,1):INDEX(B:B,MATCH(I998,I:I,0)-1,1),リスト!$C$7,INDEX(G:G,MATCH(I998-1,I:I,0)+1,1):INDEX(G:G,MATCH(I998,I:I,0)-1,1)),"")</f>
        <v>#NAME?</v>
      </c>
      <c r="I998" s="200" t="str">
        <f>IF(OR(B998=リスト!$C$5,B998=リスト!$C$6),COUNTIF($B$9:B998,リスト!$C$5)+COUNTIF($B$9:B998,リスト!$C$6),"")</f>
        <v/>
      </c>
    </row>
    <row r="999" spans="2:9" x14ac:dyDescent="0.2">
      <c r="B999" s="196" t="s">
        <v>247</v>
      </c>
      <c r="C999" s="197">
        <v>45497.416666666664</v>
      </c>
      <c r="D999" s="197">
        <v>45497.916666666664</v>
      </c>
      <c r="E999" s="198">
        <v>16</v>
      </c>
      <c r="F999" s="199"/>
      <c r="G999" s="140" t="e">
        <f ca="1">mif(C999="","",OR(B999=リスト!$C$5,B999=リスト!$C$6),SUM(INDEX(G:G,MATCH(I999-1,I:I,0)+1,1):INDEX(G:G,MATCH(I999,I:I,0)-1,1)),D999-C999)</f>
        <v>#NAME?</v>
      </c>
      <c r="H999" s="140" t="e">
        <f ca="1">mif(C999="","",B999=リスト!$C$5,SUMIF(INDEX(B:B,MATCH(I999-1,I:I,0)+1,1):INDEX(B:B,MATCH(I999,I:I,0)-1,1),リスト!$C$7,INDEX(G:G,MATCH(I999-1,I:I,0)+1,1):INDEX(G:G,MATCH(I999,I:I,0)-1,1)),"")</f>
        <v>#NAME?</v>
      </c>
      <c r="I999" s="200">
        <f>IF(OR(B999=リスト!$C$5,B999=リスト!$C$6),COUNTIF($B$9:B999,リスト!$C$5)+COUNTIF($B$9:B999,リスト!$C$6),"")</f>
        <v>69</v>
      </c>
    </row>
    <row r="1000" spans="2:9" x14ac:dyDescent="0.2">
      <c r="B1000" s="196"/>
      <c r="C1000" s="197">
        <v>45498.010115740741</v>
      </c>
      <c r="D1000" s="197">
        <v>45498.01048611111</v>
      </c>
      <c r="E1000" s="198" t="s">
        <v>244</v>
      </c>
      <c r="F1000" s="199"/>
      <c r="G1000" s="140" t="e">
        <f ca="1">mif(C1000="","",OR(B1000=リスト!$C$5,B1000=リスト!$C$6),SUM(INDEX(G:G,MATCH(I1000-1,I:I,0)+1,1):INDEX(G:G,MATCH(I1000,I:I,0)-1,1)),D1000-C1000)</f>
        <v>#NAME?</v>
      </c>
      <c r="H1000" s="140" t="e">
        <f ca="1">mif(C1000="","",B1000=リスト!$C$5,SUMIF(INDEX(B:B,MATCH(I1000-1,I:I,0)+1,1):INDEX(B:B,MATCH(I1000,I:I,0)-1,1),リスト!$C$7,INDEX(G:G,MATCH(I1000-1,I:I,0)+1,1):INDEX(G:G,MATCH(I1000,I:I,0)-1,1)),"")</f>
        <v>#NAME?</v>
      </c>
      <c r="I1000" s="200" t="str">
        <f>IF(OR(B1000=リスト!$C$5,B1000=リスト!$C$6),COUNTIF($B$9:B1000,リスト!$C$5)+COUNTIF($B$9:B1000,リスト!$C$6),"")</f>
        <v/>
      </c>
    </row>
    <row r="1001" spans="2:9" x14ac:dyDescent="0.2">
      <c r="B1001" s="196"/>
      <c r="C1001" s="197">
        <v>45498.015625</v>
      </c>
      <c r="D1001" s="197">
        <v>45498.015949074077</v>
      </c>
      <c r="E1001" s="198" t="s">
        <v>244</v>
      </c>
      <c r="F1001" s="199"/>
      <c r="G1001" s="140" t="e">
        <f ca="1">mif(C1001="","",OR(B1001=リスト!$C$5,B1001=リスト!$C$6),SUM(INDEX(G:G,MATCH(I1001-1,I:I,0)+1,1):INDEX(G:G,MATCH(I1001,I:I,0)-1,1)),D1001-C1001)</f>
        <v>#NAME?</v>
      </c>
      <c r="H1001" s="140" t="e">
        <f ca="1">mif(C1001="","",B1001=リスト!$C$5,SUMIF(INDEX(B:B,MATCH(I1001-1,I:I,0)+1,1):INDEX(B:B,MATCH(I1001,I:I,0)-1,1),リスト!$C$7,INDEX(G:G,MATCH(I1001-1,I:I,0)+1,1):INDEX(G:G,MATCH(I1001,I:I,0)-1,1)),"")</f>
        <v>#NAME?</v>
      </c>
      <c r="I1001" s="200" t="str">
        <f>IF(OR(B1001=リスト!$C$5,B1001=リスト!$C$6),COUNTIF($B$9:B1001,リスト!$C$5)+COUNTIF($B$9:B1001,リスト!$C$6),"")</f>
        <v/>
      </c>
    </row>
    <row r="1002" spans="2:9" x14ac:dyDescent="0.2">
      <c r="B1002" s="196"/>
      <c r="C1002" s="197">
        <v>45498.081099537034</v>
      </c>
      <c r="D1002" s="197">
        <v>45498.081354166665</v>
      </c>
      <c r="E1002" s="198" t="s">
        <v>244</v>
      </c>
      <c r="F1002" s="199"/>
      <c r="G1002" s="140" t="e">
        <f ca="1">mif(C1002="","",OR(B1002=リスト!$C$5,B1002=リスト!$C$6),SUM(INDEX(G:G,MATCH(I1002-1,I:I,0)+1,1):INDEX(G:G,MATCH(I1002,I:I,0)-1,1)),D1002-C1002)</f>
        <v>#NAME?</v>
      </c>
      <c r="H1002" s="140" t="e">
        <f ca="1">mif(C1002="","",B1002=リスト!$C$5,SUMIF(INDEX(B:B,MATCH(I1002-1,I:I,0)+1,1):INDEX(B:B,MATCH(I1002,I:I,0)-1,1),リスト!$C$7,INDEX(G:G,MATCH(I1002-1,I:I,0)+1,1):INDEX(G:G,MATCH(I1002,I:I,0)-1,1)),"")</f>
        <v>#NAME?</v>
      </c>
      <c r="I1002" s="200" t="str">
        <f>IF(OR(B1002=リスト!$C$5,B1002=リスト!$C$6),COUNTIF($B$9:B1002,リスト!$C$5)+COUNTIF($B$9:B1002,リスト!$C$6),"")</f>
        <v/>
      </c>
    </row>
    <row r="1003" spans="2:9" x14ac:dyDescent="0.2">
      <c r="B1003" s="196"/>
      <c r="C1003" s="197">
        <v>45498.110671296294</v>
      </c>
      <c r="D1003" s="197">
        <v>45498.110902777778</v>
      </c>
      <c r="E1003" s="198" t="s">
        <v>244</v>
      </c>
      <c r="F1003" s="199"/>
      <c r="G1003" s="140" t="e">
        <f ca="1">mif(C1003="","",OR(B1003=リスト!$C$5,B1003=リスト!$C$6),SUM(INDEX(G:G,MATCH(I1003-1,I:I,0)+1,1):INDEX(G:G,MATCH(I1003,I:I,0)-1,1)),D1003-C1003)</f>
        <v>#NAME?</v>
      </c>
      <c r="H1003" s="140" t="e">
        <f ca="1">mif(C1003="","",B1003=リスト!$C$5,SUMIF(INDEX(B:B,MATCH(I1003-1,I:I,0)+1,1):INDEX(B:B,MATCH(I1003,I:I,0)-1,1),リスト!$C$7,INDEX(G:G,MATCH(I1003-1,I:I,0)+1,1):INDEX(G:G,MATCH(I1003,I:I,0)-1,1)),"")</f>
        <v>#NAME?</v>
      </c>
      <c r="I1003" s="200" t="str">
        <f>IF(OR(B1003=リスト!$C$5,B1003=リスト!$C$6),COUNTIF($B$9:B1003,リスト!$C$5)+COUNTIF($B$9:B1003,リスト!$C$6),"")</f>
        <v/>
      </c>
    </row>
    <row r="1004" spans="2:9" x14ac:dyDescent="0.2">
      <c r="B1004" s="196"/>
      <c r="C1004" s="197">
        <v>45498.164282407408</v>
      </c>
      <c r="D1004" s="197">
        <v>45498.164560185185</v>
      </c>
      <c r="E1004" s="198" t="s">
        <v>244</v>
      </c>
      <c r="F1004" s="199"/>
      <c r="G1004" s="140" t="e">
        <f ca="1">mif(C1004="","",OR(B1004=リスト!$C$5,B1004=リスト!$C$6),SUM(INDEX(G:G,MATCH(I1004-1,I:I,0)+1,1):INDEX(G:G,MATCH(I1004,I:I,0)-1,1)),D1004-C1004)</f>
        <v>#NAME?</v>
      </c>
      <c r="H1004" s="140" t="e">
        <f ca="1">mif(C1004="","",B1004=リスト!$C$5,SUMIF(INDEX(B:B,MATCH(I1004-1,I:I,0)+1,1):INDEX(B:B,MATCH(I1004,I:I,0)-1,1),リスト!$C$7,INDEX(G:G,MATCH(I1004-1,I:I,0)+1,1):INDEX(G:G,MATCH(I1004,I:I,0)-1,1)),"")</f>
        <v>#NAME?</v>
      </c>
      <c r="I1004" s="200" t="str">
        <f>IF(OR(B1004=リスト!$C$5,B1004=リスト!$C$6),COUNTIF($B$9:B1004,リスト!$C$5)+COUNTIF($B$9:B1004,リスト!$C$6),"")</f>
        <v/>
      </c>
    </row>
    <row r="1005" spans="2:9" x14ac:dyDescent="0.2">
      <c r="B1005" s="196"/>
      <c r="C1005" s="197">
        <v>45498.188460648147</v>
      </c>
      <c r="D1005" s="197">
        <v>45498.188715277778</v>
      </c>
      <c r="E1005" s="198" t="s">
        <v>244</v>
      </c>
      <c r="F1005" s="199"/>
      <c r="G1005" s="140" t="e">
        <f ca="1">mif(C1005="","",OR(B1005=リスト!$C$5,B1005=リスト!$C$6),SUM(INDEX(G:G,MATCH(I1005-1,I:I,0)+1,1):INDEX(G:G,MATCH(I1005,I:I,0)-1,1)),D1005-C1005)</f>
        <v>#NAME?</v>
      </c>
      <c r="H1005" s="140" t="e">
        <f ca="1">mif(C1005="","",B1005=リスト!$C$5,SUMIF(INDEX(B:B,MATCH(I1005-1,I:I,0)+1,1):INDEX(B:B,MATCH(I1005,I:I,0)-1,1),リスト!$C$7,INDEX(G:G,MATCH(I1005-1,I:I,0)+1,1):INDEX(G:G,MATCH(I1005,I:I,0)-1,1)),"")</f>
        <v>#NAME?</v>
      </c>
      <c r="I1005" s="200" t="str">
        <f>IF(OR(B1005=リスト!$C$5,B1005=リスト!$C$6),COUNTIF($B$9:B1005,リスト!$C$5)+COUNTIF($B$9:B1005,リスト!$C$6),"")</f>
        <v/>
      </c>
    </row>
    <row r="1006" spans="2:9" x14ac:dyDescent="0.2">
      <c r="B1006" s="196"/>
      <c r="C1006" s="197">
        <v>45498.294803240744</v>
      </c>
      <c r="D1006" s="197">
        <v>45498.295057870368</v>
      </c>
      <c r="E1006" s="198" t="s">
        <v>244</v>
      </c>
      <c r="F1006" s="199"/>
      <c r="G1006" s="140" t="e">
        <f ca="1">mif(C1006="","",OR(B1006=リスト!$C$5,B1006=リスト!$C$6),SUM(INDEX(G:G,MATCH(I1006-1,I:I,0)+1,1):INDEX(G:G,MATCH(I1006,I:I,0)-1,1)),D1006-C1006)</f>
        <v>#NAME?</v>
      </c>
      <c r="H1006" s="140" t="e">
        <f ca="1">mif(C1006="","",B1006=リスト!$C$5,SUMIF(INDEX(B:B,MATCH(I1006-1,I:I,0)+1,1):INDEX(B:B,MATCH(I1006,I:I,0)-1,1),リスト!$C$7,INDEX(G:G,MATCH(I1006-1,I:I,0)+1,1):INDEX(G:G,MATCH(I1006,I:I,0)-1,1)),"")</f>
        <v>#NAME?</v>
      </c>
      <c r="I1006" s="200" t="str">
        <f>IF(OR(B1006=リスト!$C$5,B1006=リスト!$C$6),COUNTIF($B$9:B1006,リスト!$C$5)+COUNTIF($B$9:B1006,リスト!$C$6),"")</f>
        <v/>
      </c>
    </row>
    <row r="1007" spans="2:9" x14ac:dyDescent="0.2">
      <c r="B1007" s="196"/>
      <c r="C1007" s="197">
        <v>45498.309467592589</v>
      </c>
      <c r="D1007" s="197">
        <v>45498.309930555559</v>
      </c>
      <c r="E1007" s="198" t="s">
        <v>244</v>
      </c>
      <c r="F1007" s="199"/>
      <c r="G1007" s="140" t="e">
        <f ca="1">mif(C1007="","",OR(B1007=リスト!$C$5,B1007=リスト!$C$6),SUM(INDEX(G:G,MATCH(I1007-1,I:I,0)+1,1):INDEX(G:G,MATCH(I1007,I:I,0)-1,1)),D1007-C1007)</f>
        <v>#NAME?</v>
      </c>
      <c r="H1007" s="140" t="e">
        <f ca="1">mif(C1007="","",B1007=リスト!$C$5,SUMIF(INDEX(B:B,MATCH(I1007-1,I:I,0)+1,1):INDEX(B:B,MATCH(I1007,I:I,0)-1,1),リスト!$C$7,INDEX(G:G,MATCH(I1007-1,I:I,0)+1,1):INDEX(G:G,MATCH(I1007,I:I,0)-1,1)),"")</f>
        <v>#NAME?</v>
      </c>
      <c r="I1007" s="200" t="str">
        <f>IF(OR(B1007=リスト!$C$5,B1007=リスト!$C$6),COUNTIF($B$9:B1007,リスト!$C$5)+COUNTIF($B$9:B1007,リスト!$C$6),"")</f>
        <v/>
      </c>
    </row>
    <row r="1008" spans="2:9" x14ac:dyDescent="0.2">
      <c r="B1008" s="196"/>
      <c r="C1008" s="197">
        <v>45498.317754629628</v>
      </c>
      <c r="D1008" s="197">
        <v>45498.318032407406</v>
      </c>
      <c r="E1008" s="198" t="s">
        <v>244</v>
      </c>
      <c r="F1008" s="199"/>
      <c r="G1008" s="140" t="e">
        <f ca="1">mif(C1008="","",OR(B1008=リスト!$C$5,B1008=リスト!$C$6),SUM(INDEX(G:G,MATCH(I1008-1,I:I,0)+1,1):INDEX(G:G,MATCH(I1008,I:I,0)-1,1)),D1008-C1008)</f>
        <v>#NAME?</v>
      </c>
      <c r="H1008" s="140" t="e">
        <f ca="1">mif(C1008="","",B1008=リスト!$C$5,SUMIF(INDEX(B:B,MATCH(I1008-1,I:I,0)+1,1):INDEX(B:B,MATCH(I1008,I:I,0)-1,1),リスト!$C$7,INDEX(G:G,MATCH(I1008-1,I:I,0)+1,1):INDEX(G:G,MATCH(I1008,I:I,0)-1,1)),"")</f>
        <v>#NAME?</v>
      </c>
      <c r="I1008" s="200" t="str">
        <f>IF(OR(B1008=リスト!$C$5,B1008=リスト!$C$6),COUNTIF($B$9:B1008,リスト!$C$5)+COUNTIF($B$9:B1008,リスト!$C$6),"")</f>
        <v/>
      </c>
    </row>
    <row r="1009" spans="2:9" x14ac:dyDescent="0.2">
      <c r="B1009" s="196"/>
      <c r="C1009" s="197">
        <v>45498.338043981479</v>
      </c>
      <c r="D1009" s="197">
        <v>45498.33829861111</v>
      </c>
      <c r="E1009" s="198" t="s">
        <v>244</v>
      </c>
      <c r="F1009" s="199"/>
      <c r="G1009" s="140" t="e">
        <f ca="1">mif(C1009="","",OR(B1009=リスト!$C$5,B1009=リスト!$C$6),SUM(INDEX(G:G,MATCH(I1009-1,I:I,0)+1,1):INDEX(G:G,MATCH(I1009,I:I,0)-1,1)),D1009-C1009)</f>
        <v>#NAME?</v>
      </c>
      <c r="H1009" s="140" t="e">
        <f ca="1">mif(C1009="","",B1009=リスト!$C$5,SUMIF(INDEX(B:B,MATCH(I1009-1,I:I,0)+1,1):INDEX(B:B,MATCH(I1009,I:I,0)-1,1),リスト!$C$7,INDEX(G:G,MATCH(I1009-1,I:I,0)+1,1):INDEX(G:G,MATCH(I1009,I:I,0)-1,1)),"")</f>
        <v>#NAME?</v>
      </c>
      <c r="I1009" s="200" t="str">
        <f>IF(OR(B1009=リスト!$C$5,B1009=リスト!$C$6),COUNTIF($B$9:B1009,リスト!$C$5)+COUNTIF($B$9:B1009,リスト!$C$6),"")</f>
        <v/>
      </c>
    </row>
    <row r="1010" spans="2:9" x14ac:dyDescent="0.2">
      <c r="B1010" s="196" t="s">
        <v>247</v>
      </c>
      <c r="C1010" s="197">
        <v>45497.916666666664</v>
      </c>
      <c r="D1010" s="197">
        <v>45498.416666666664</v>
      </c>
      <c r="E1010" s="198">
        <v>10</v>
      </c>
      <c r="F1010" s="199"/>
      <c r="G1010" s="140" t="e">
        <f ca="1">mif(C1010="","",OR(B1010=リスト!$C$5,B1010=リスト!$C$6),SUM(INDEX(G:G,MATCH(I1010-1,I:I,0)+1,1):INDEX(G:G,MATCH(I1010,I:I,0)-1,1)),D1010-C1010)</f>
        <v>#NAME?</v>
      </c>
      <c r="H1010" s="140" t="e">
        <f ca="1">mif(C1010="","",B1010=リスト!$C$5,SUMIF(INDEX(B:B,MATCH(I1010-1,I:I,0)+1,1):INDEX(B:B,MATCH(I1010,I:I,0)-1,1),リスト!$C$7,INDEX(G:G,MATCH(I1010-1,I:I,0)+1,1):INDEX(G:G,MATCH(I1010,I:I,0)-1,1)),"")</f>
        <v>#NAME?</v>
      </c>
      <c r="I1010" s="200">
        <f>IF(OR(B1010=リスト!$C$5,B1010=リスト!$C$6),COUNTIF($B$9:B1010,リスト!$C$5)+COUNTIF($B$9:B1010,リスト!$C$6),"")</f>
        <v>70</v>
      </c>
    </row>
    <row r="1011" spans="2:9" x14ac:dyDescent="0.2">
      <c r="B1011" s="196"/>
      <c r="C1011" s="197">
        <v>45498.420763888891</v>
      </c>
      <c r="D1011" s="197">
        <v>45498.421018518522</v>
      </c>
      <c r="E1011" s="198" t="s">
        <v>244</v>
      </c>
      <c r="F1011" s="199"/>
      <c r="G1011" s="140" t="e">
        <f ca="1">mif(C1011="","",OR(B1011=リスト!$C$5,B1011=リスト!$C$6),SUM(INDEX(G:G,MATCH(I1011-1,I:I,0)+1,1):INDEX(G:G,MATCH(I1011,I:I,0)-1,1)),D1011-C1011)</f>
        <v>#NAME?</v>
      </c>
      <c r="H1011" s="140" t="e">
        <f ca="1">mif(C1011="","",B1011=リスト!$C$5,SUMIF(INDEX(B:B,MATCH(I1011-1,I:I,0)+1,1):INDEX(B:B,MATCH(I1011,I:I,0)-1,1),リスト!$C$7,INDEX(G:G,MATCH(I1011-1,I:I,0)+1,1):INDEX(G:G,MATCH(I1011,I:I,0)-1,1)),"")</f>
        <v>#NAME?</v>
      </c>
      <c r="I1011" s="200" t="str">
        <f>IF(OR(B1011=リスト!$C$5,B1011=リスト!$C$6),COUNTIF($B$9:B1011,リスト!$C$5)+COUNTIF($B$9:B1011,リスト!$C$6),"")</f>
        <v/>
      </c>
    </row>
    <row r="1012" spans="2:9" x14ac:dyDescent="0.2">
      <c r="B1012" s="196"/>
      <c r="C1012" s="197">
        <v>45498.423263888886</v>
      </c>
      <c r="D1012" s="197">
        <v>45498.423564814817</v>
      </c>
      <c r="E1012" s="198" t="s">
        <v>244</v>
      </c>
      <c r="F1012" s="199"/>
      <c r="G1012" s="140" t="e">
        <f ca="1">mif(C1012="","",OR(B1012=リスト!$C$5,B1012=リスト!$C$6),SUM(INDEX(G:G,MATCH(I1012-1,I:I,0)+1,1):INDEX(G:G,MATCH(I1012,I:I,0)-1,1)),D1012-C1012)</f>
        <v>#NAME?</v>
      </c>
      <c r="H1012" s="140" t="e">
        <f ca="1">mif(C1012="","",B1012=リスト!$C$5,SUMIF(INDEX(B:B,MATCH(I1012-1,I:I,0)+1,1):INDEX(B:B,MATCH(I1012,I:I,0)-1,1),リスト!$C$7,INDEX(G:G,MATCH(I1012-1,I:I,0)+1,1):INDEX(G:G,MATCH(I1012,I:I,0)-1,1)),"")</f>
        <v>#NAME?</v>
      </c>
      <c r="I1012" s="200" t="str">
        <f>IF(OR(B1012=リスト!$C$5,B1012=リスト!$C$6),COUNTIF($B$9:B1012,リスト!$C$5)+COUNTIF($B$9:B1012,リスト!$C$6),"")</f>
        <v/>
      </c>
    </row>
    <row r="1013" spans="2:9" x14ac:dyDescent="0.2">
      <c r="B1013" s="196"/>
      <c r="C1013" s="197">
        <v>45498.510358796295</v>
      </c>
      <c r="D1013" s="197">
        <v>45498.510659722226</v>
      </c>
      <c r="E1013" s="198" t="s">
        <v>244</v>
      </c>
      <c r="F1013" s="199"/>
      <c r="G1013" s="140" t="e">
        <f ca="1">mif(C1013="","",OR(B1013=リスト!$C$5,B1013=リスト!$C$6),SUM(INDEX(G:G,MATCH(I1013-1,I:I,0)+1,1):INDEX(G:G,MATCH(I1013,I:I,0)-1,1)),D1013-C1013)</f>
        <v>#NAME?</v>
      </c>
      <c r="H1013" s="140" t="e">
        <f ca="1">mif(C1013="","",B1013=リスト!$C$5,SUMIF(INDEX(B:B,MATCH(I1013-1,I:I,0)+1,1):INDEX(B:B,MATCH(I1013,I:I,0)-1,1),リスト!$C$7,INDEX(G:G,MATCH(I1013-1,I:I,0)+1,1):INDEX(G:G,MATCH(I1013,I:I,0)-1,1)),"")</f>
        <v>#NAME?</v>
      </c>
      <c r="I1013" s="200" t="str">
        <f>IF(OR(B1013=リスト!$C$5,B1013=リスト!$C$6),COUNTIF($B$9:B1013,リスト!$C$5)+COUNTIF($B$9:B1013,リスト!$C$6),"")</f>
        <v/>
      </c>
    </row>
    <row r="1014" spans="2:9" x14ac:dyDescent="0.2">
      <c r="B1014" s="196"/>
      <c r="C1014" s="197">
        <v>45498.522824074076</v>
      </c>
      <c r="D1014" s="197">
        <v>45498.523402777777</v>
      </c>
      <c r="E1014" s="198" t="s">
        <v>244</v>
      </c>
      <c r="F1014" s="199"/>
      <c r="G1014" s="140" t="e">
        <f ca="1">mif(C1014="","",OR(B1014=リスト!$C$5,B1014=リスト!$C$6),SUM(INDEX(G:G,MATCH(I1014-1,I:I,0)+1,1):INDEX(G:G,MATCH(I1014,I:I,0)-1,1)),D1014-C1014)</f>
        <v>#NAME?</v>
      </c>
      <c r="H1014" s="140" t="e">
        <f ca="1">mif(C1014="","",B1014=リスト!$C$5,SUMIF(INDEX(B:B,MATCH(I1014-1,I:I,0)+1,1):INDEX(B:B,MATCH(I1014,I:I,0)-1,1),リスト!$C$7,INDEX(G:G,MATCH(I1014-1,I:I,0)+1,1):INDEX(G:G,MATCH(I1014,I:I,0)-1,1)),"")</f>
        <v>#NAME?</v>
      </c>
      <c r="I1014" s="200" t="str">
        <f>IF(OR(B1014=リスト!$C$5,B1014=リスト!$C$6),COUNTIF($B$9:B1014,リスト!$C$5)+COUNTIF($B$9:B1014,リスト!$C$6),"")</f>
        <v/>
      </c>
    </row>
    <row r="1015" spans="2:9" x14ac:dyDescent="0.2">
      <c r="B1015" s="196"/>
      <c r="C1015" s="197">
        <v>45498.572199074071</v>
      </c>
      <c r="D1015" s="197">
        <v>45498.572847222225</v>
      </c>
      <c r="E1015" s="198" t="s">
        <v>244</v>
      </c>
      <c r="F1015" s="199"/>
      <c r="G1015" s="140" t="e">
        <f ca="1">mif(C1015="","",OR(B1015=リスト!$C$5,B1015=リスト!$C$6),SUM(INDEX(G:G,MATCH(I1015-1,I:I,0)+1,1):INDEX(G:G,MATCH(I1015,I:I,0)-1,1)),D1015-C1015)</f>
        <v>#NAME?</v>
      </c>
      <c r="H1015" s="140" t="e">
        <f ca="1">mif(C1015="","",B1015=リスト!$C$5,SUMIF(INDEX(B:B,MATCH(I1015-1,I:I,0)+1,1):INDEX(B:B,MATCH(I1015,I:I,0)-1,1),リスト!$C$7,INDEX(G:G,MATCH(I1015-1,I:I,0)+1,1):INDEX(G:G,MATCH(I1015,I:I,0)-1,1)),"")</f>
        <v>#NAME?</v>
      </c>
      <c r="I1015" s="200" t="str">
        <f>IF(OR(B1015=リスト!$C$5,B1015=リスト!$C$6),COUNTIF($B$9:B1015,リスト!$C$5)+COUNTIF($B$9:B1015,リスト!$C$6),"")</f>
        <v/>
      </c>
    </row>
    <row r="1016" spans="2:9" x14ac:dyDescent="0.2">
      <c r="B1016" s="196"/>
      <c r="C1016" s="197">
        <v>45498.575601851851</v>
      </c>
      <c r="D1016" s="197">
        <v>45498.575856481482</v>
      </c>
      <c r="E1016" s="198" t="s">
        <v>244</v>
      </c>
      <c r="F1016" s="199"/>
      <c r="G1016" s="140" t="e">
        <f ca="1">mif(C1016="","",OR(B1016=リスト!$C$5,B1016=リスト!$C$6),SUM(INDEX(G:G,MATCH(I1016-1,I:I,0)+1,1):INDEX(G:G,MATCH(I1016,I:I,0)-1,1)),D1016-C1016)</f>
        <v>#NAME?</v>
      </c>
      <c r="H1016" s="140" t="e">
        <f ca="1">mif(C1016="","",B1016=リスト!$C$5,SUMIF(INDEX(B:B,MATCH(I1016-1,I:I,0)+1,1):INDEX(B:B,MATCH(I1016,I:I,0)-1,1),リスト!$C$7,INDEX(G:G,MATCH(I1016-1,I:I,0)+1,1):INDEX(G:G,MATCH(I1016,I:I,0)-1,1)),"")</f>
        <v>#NAME?</v>
      </c>
      <c r="I1016" s="200" t="str">
        <f>IF(OR(B1016=リスト!$C$5,B1016=リスト!$C$6),COUNTIF($B$9:B1016,リスト!$C$5)+COUNTIF($B$9:B1016,リスト!$C$6),"")</f>
        <v/>
      </c>
    </row>
    <row r="1017" spans="2:9" x14ac:dyDescent="0.2">
      <c r="B1017" s="196"/>
      <c r="C1017" s="197">
        <v>45498.576249999998</v>
      </c>
      <c r="D1017" s="197">
        <v>45498.576689814814</v>
      </c>
      <c r="E1017" s="198" t="s">
        <v>244</v>
      </c>
      <c r="F1017" s="199"/>
      <c r="G1017" s="140" t="e">
        <f ca="1">mif(C1017="","",OR(B1017=リスト!$C$5,B1017=リスト!$C$6),SUM(INDEX(G:G,MATCH(I1017-1,I:I,0)+1,1):INDEX(G:G,MATCH(I1017,I:I,0)-1,1)),D1017-C1017)</f>
        <v>#NAME?</v>
      </c>
      <c r="H1017" s="140" t="e">
        <f ca="1">mif(C1017="","",B1017=リスト!$C$5,SUMIF(INDEX(B:B,MATCH(I1017-1,I:I,0)+1,1):INDEX(B:B,MATCH(I1017,I:I,0)-1,1),リスト!$C$7,INDEX(G:G,MATCH(I1017-1,I:I,0)+1,1):INDEX(G:G,MATCH(I1017,I:I,0)-1,1)),"")</f>
        <v>#NAME?</v>
      </c>
      <c r="I1017" s="200" t="str">
        <f>IF(OR(B1017=リスト!$C$5,B1017=リスト!$C$6),COUNTIF($B$9:B1017,リスト!$C$5)+COUNTIF($B$9:B1017,リスト!$C$6),"")</f>
        <v/>
      </c>
    </row>
    <row r="1018" spans="2:9" x14ac:dyDescent="0.2">
      <c r="B1018" s="196"/>
      <c r="C1018" s="197">
        <v>45498.595289351855</v>
      </c>
      <c r="D1018" s="197">
        <v>45498.595567129632</v>
      </c>
      <c r="E1018" s="198" t="s">
        <v>244</v>
      </c>
      <c r="F1018" s="199"/>
      <c r="G1018" s="140" t="e">
        <f ca="1">mif(C1018="","",OR(B1018=リスト!$C$5,B1018=リスト!$C$6),SUM(INDEX(G:G,MATCH(I1018-1,I:I,0)+1,1):INDEX(G:G,MATCH(I1018,I:I,0)-1,1)),D1018-C1018)</f>
        <v>#NAME?</v>
      </c>
      <c r="H1018" s="140" t="e">
        <f ca="1">mif(C1018="","",B1018=リスト!$C$5,SUMIF(INDEX(B:B,MATCH(I1018-1,I:I,0)+1,1):INDEX(B:B,MATCH(I1018,I:I,0)-1,1),リスト!$C$7,INDEX(G:G,MATCH(I1018-1,I:I,0)+1,1):INDEX(G:G,MATCH(I1018,I:I,0)-1,1)),"")</f>
        <v>#NAME?</v>
      </c>
      <c r="I1018" s="200" t="str">
        <f>IF(OR(B1018=リスト!$C$5,B1018=リスト!$C$6),COUNTIF($B$9:B1018,リスト!$C$5)+COUNTIF($B$9:B1018,リスト!$C$6),"")</f>
        <v/>
      </c>
    </row>
    <row r="1019" spans="2:9" x14ac:dyDescent="0.2">
      <c r="B1019" s="196"/>
      <c r="C1019" s="197">
        <v>45498.753576388888</v>
      </c>
      <c r="D1019" s="197">
        <v>45498.753831018519</v>
      </c>
      <c r="E1019" s="198" t="s">
        <v>244</v>
      </c>
      <c r="F1019" s="199"/>
      <c r="G1019" s="140" t="e">
        <f ca="1">mif(C1019="","",OR(B1019=リスト!$C$5,B1019=リスト!$C$6),SUM(INDEX(G:G,MATCH(I1019-1,I:I,0)+1,1):INDEX(G:G,MATCH(I1019,I:I,0)-1,1)),D1019-C1019)</f>
        <v>#NAME?</v>
      </c>
      <c r="H1019" s="140" t="e">
        <f ca="1">mif(C1019="","",B1019=リスト!$C$5,SUMIF(INDEX(B:B,MATCH(I1019-1,I:I,0)+1,1):INDEX(B:B,MATCH(I1019,I:I,0)-1,1),リスト!$C$7,INDEX(G:G,MATCH(I1019-1,I:I,0)+1,1):INDEX(G:G,MATCH(I1019,I:I,0)-1,1)),"")</f>
        <v>#NAME?</v>
      </c>
      <c r="I1019" s="200" t="str">
        <f>IF(OR(B1019=リスト!$C$5,B1019=リスト!$C$6),COUNTIF($B$9:B1019,リスト!$C$5)+COUNTIF($B$9:B1019,リスト!$C$6),"")</f>
        <v/>
      </c>
    </row>
    <row r="1020" spans="2:9" x14ac:dyDescent="0.2">
      <c r="B1020" s="196"/>
      <c r="C1020" s="197">
        <v>45498.781527777777</v>
      </c>
      <c r="D1020" s="197">
        <v>45498.783043981479</v>
      </c>
      <c r="E1020" s="198" t="s">
        <v>244</v>
      </c>
      <c r="F1020" s="199"/>
      <c r="G1020" s="140" t="e">
        <f ca="1">mif(C1020="","",OR(B1020=リスト!$C$5,B1020=リスト!$C$6),SUM(INDEX(G:G,MATCH(I1020-1,I:I,0)+1,1):INDEX(G:G,MATCH(I1020,I:I,0)-1,1)),D1020-C1020)</f>
        <v>#NAME?</v>
      </c>
      <c r="H1020" s="140" t="e">
        <f ca="1">mif(C1020="","",B1020=リスト!$C$5,SUMIF(INDEX(B:B,MATCH(I1020-1,I:I,0)+1,1):INDEX(B:B,MATCH(I1020,I:I,0)-1,1),リスト!$C$7,INDEX(G:G,MATCH(I1020-1,I:I,0)+1,1):INDEX(G:G,MATCH(I1020,I:I,0)-1,1)),"")</f>
        <v>#NAME?</v>
      </c>
      <c r="I1020" s="200" t="str">
        <f>IF(OR(B1020=リスト!$C$5,B1020=リスト!$C$6),COUNTIF($B$9:B1020,リスト!$C$5)+COUNTIF($B$9:B1020,リスト!$C$6),"")</f>
        <v/>
      </c>
    </row>
    <row r="1021" spans="2:9" x14ac:dyDescent="0.2">
      <c r="B1021" s="196"/>
      <c r="C1021" s="197">
        <v>45498.80265046296</v>
      </c>
      <c r="D1021" s="197">
        <v>45498.802928240744</v>
      </c>
      <c r="E1021" s="198" t="s">
        <v>244</v>
      </c>
      <c r="F1021" s="199"/>
      <c r="G1021" s="140" t="e">
        <f ca="1">mif(C1021="","",OR(B1021=リスト!$C$5,B1021=リスト!$C$6),SUM(INDEX(G:G,MATCH(I1021-1,I:I,0)+1,1):INDEX(G:G,MATCH(I1021,I:I,0)-1,1)),D1021-C1021)</f>
        <v>#NAME?</v>
      </c>
      <c r="H1021" s="140" t="e">
        <f ca="1">mif(C1021="","",B1021=リスト!$C$5,SUMIF(INDEX(B:B,MATCH(I1021-1,I:I,0)+1,1):INDEX(B:B,MATCH(I1021,I:I,0)-1,1),リスト!$C$7,INDEX(G:G,MATCH(I1021-1,I:I,0)+1,1):INDEX(G:G,MATCH(I1021,I:I,0)-1,1)),"")</f>
        <v>#NAME?</v>
      </c>
      <c r="I1021" s="200" t="str">
        <f>IF(OR(B1021=リスト!$C$5,B1021=リスト!$C$6),COUNTIF($B$9:B1021,リスト!$C$5)+COUNTIF($B$9:B1021,リスト!$C$6),"")</f>
        <v/>
      </c>
    </row>
    <row r="1022" spans="2:9" x14ac:dyDescent="0.2">
      <c r="B1022" s="196"/>
      <c r="C1022" s="197">
        <v>45498.83388888889</v>
      </c>
      <c r="D1022" s="197">
        <v>45498.83425925926</v>
      </c>
      <c r="E1022" s="198" t="s">
        <v>244</v>
      </c>
      <c r="F1022" s="199"/>
      <c r="G1022" s="140" t="e">
        <f ca="1">mif(C1022="","",OR(B1022=リスト!$C$5,B1022=リスト!$C$6),SUM(INDEX(G:G,MATCH(I1022-1,I:I,0)+1,1):INDEX(G:G,MATCH(I1022,I:I,0)-1,1)),D1022-C1022)</f>
        <v>#NAME?</v>
      </c>
      <c r="H1022" s="140" t="e">
        <f ca="1">mif(C1022="","",B1022=リスト!$C$5,SUMIF(INDEX(B:B,MATCH(I1022-1,I:I,0)+1,1):INDEX(B:B,MATCH(I1022,I:I,0)-1,1),リスト!$C$7,INDEX(G:G,MATCH(I1022-1,I:I,0)+1,1):INDEX(G:G,MATCH(I1022,I:I,0)-1,1)),"")</f>
        <v>#NAME?</v>
      </c>
      <c r="I1022" s="200" t="str">
        <f>IF(OR(B1022=リスト!$C$5,B1022=リスト!$C$6),COUNTIF($B$9:B1022,リスト!$C$5)+COUNTIF($B$9:B1022,リスト!$C$6),"")</f>
        <v/>
      </c>
    </row>
    <row r="1023" spans="2:9" x14ac:dyDescent="0.2">
      <c r="B1023" s="196"/>
      <c r="C1023" s="197">
        <v>45498.85832175926</v>
      </c>
      <c r="D1023" s="197">
        <v>45498.858784722222</v>
      </c>
      <c r="E1023" s="198" t="s">
        <v>244</v>
      </c>
      <c r="F1023" s="199"/>
      <c r="G1023" s="140" t="e">
        <f ca="1">mif(C1023="","",OR(B1023=リスト!$C$5,B1023=リスト!$C$6),SUM(INDEX(G:G,MATCH(I1023-1,I:I,0)+1,1):INDEX(G:G,MATCH(I1023,I:I,0)-1,1)),D1023-C1023)</f>
        <v>#NAME?</v>
      </c>
      <c r="H1023" s="140" t="e">
        <f ca="1">mif(C1023="","",B1023=リスト!$C$5,SUMIF(INDEX(B:B,MATCH(I1023-1,I:I,0)+1,1):INDEX(B:B,MATCH(I1023,I:I,0)-1,1),リスト!$C$7,INDEX(G:G,MATCH(I1023-1,I:I,0)+1,1):INDEX(G:G,MATCH(I1023,I:I,0)-1,1)),"")</f>
        <v>#NAME?</v>
      </c>
      <c r="I1023" s="200" t="str">
        <f>IF(OR(B1023=リスト!$C$5,B1023=リスト!$C$6),COUNTIF($B$9:B1023,リスト!$C$5)+COUNTIF($B$9:B1023,リスト!$C$6),"")</f>
        <v/>
      </c>
    </row>
    <row r="1024" spans="2:9" x14ac:dyDescent="0.2">
      <c r="B1024" s="196"/>
      <c r="C1024" s="197">
        <v>45498.873912037037</v>
      </c>
      <c r="D1024" s="197">
        <v>45498.874236111114</v>
      </c>
      <c r="E1024" s="198" t="s">
        <v>244</v>
      </c>
      <c r="F1024" s="199"/>
      <c r="G1024" s="140" t="e">
        <f ca="1">mif(C1024="","",OR(B1024=リスト!$C$5,B1024=リスト!$C$6),SUM(INDEX(G:G,MATCH(I1024-1,I:I,0)+1,1):INDEX(G:G,MATCH(I1024,I:I,0)-1,1)),D1024-C1024)</f>
        <v>#NAME?</v>
      </c>
      <c r="H1024" s="140" t="e">
        <f ca="1">mif(C1024="","",B1024=リスト!$C$5,SUMIF(INDEX(B:B,MATCH(I1024-1,I:I,0)+1,1):INDEX(B:B,MATCH(I1024,I:I,0)-1,1),リスト!$C$7,INDEX(G:G,MATCH(I1024-1,I:I,0)+1,1):INDEX(G:G,MATCH(I1024,I:I,0)-1,1)),"")</f>
        <v>#NAME?</v>
      </c>
      <c r="I1024" s="200" t="str">
        <f>IF(OR(B1024=リスト!$C$5,B1024=リスト!$C$6),COUNTIF($B$9:B1024,リスト!$C$5)+COUNTIF($B$9:B1024,リスト!$C$6),"")</f>
        <v/>
      </c>
    </row>
    <row r="1025" spans="2:9" x14ac:dyDescent="0.2">
      <c r="B1025" s="196"/>
      <c r="C1025" s="197">
        <v>45498.89329861111</v>
      </c>
      <c r="D1025" s="197">
        <v>45498.893831018519</v>
      </c>
      <c r="E1025" s="198" t="s">
        <v>244</v>
      </c>
      <c r="F1025" s="199"/>
      <c r="G1025" s="140" t="e">
        <f ca="1">mif(C1025="","",OR(B1025=リスト!$C$5,B1025=リスト!$C$6),SUM(INDEX(G:G,MATCH(I1025-1,I:I,0)+1,1):INDEX(G:G,MATCH(I1025,I:I,0)-1,1)),D1025-C1025)</f>
        <v>#NAME?</v>
      </c>
      <c r="H1025" s="140" t="e">
        <f ca="1">mif(C1025="","",B1025=リスト!$C$5,SUMIF(INDEX(B:B,MATCH(I1025-1,I:I,0)+1,1):INDEX(B:B,MATCH(I1025,I:I,0)-1,1),リスト!$C$7,INDEX(G:G,MATCH(I1025-1,I:I,0)+1,1):INDEX(G:G,MATCH(I1025,I:I,0)-1,1)),"")</f>
        <v>#NAME?</v>
      </c>
      <c r="I1025" s="200" t="str">
        <f>IF(OR(B1025=リスト!$C$5,B1025=リスト!$C$6),COUNTIF($B$9:B1025,リスト!$C$5)+COUNTIF($B$9:B1025,リスト!$C$6),"")</f>
        <v/>
      </c>
    </row>
    <row r="1026" spans="2:9" x14ac:dyDescent="0.2">
      <c r="B1026" s="196" t="s">
        <v>247</v>
      </c>
      <c r="C1026" s="197">
        <v>45498.416666666664</v>
      </c>
      <c r="D1026" s="197">
        <v>45498.916666666664</v>
      </c>
      <c r="E1026" s="198">
        <v>15</v>
      </c>
      <c r="F1026" s="199"/>
      <c r="G1026" s="140" t="e">
        <f ca="1">mif(C1026="","",OR(B1026=リスト!$C$5,B1026=リスト!$C$6),SUM(INDEX(G:G,MATCH(I1026-1,I:I,0)+1,1):INDEX(G:G,MATCH(I1026,I:I,0)-1,1)),D1026-C1026)</f>
        <v>#NAME?</v>
      </c>
      <c r="H1026" s="140" t="e">
        <f ca="1">mif(C1026="","",B1026=リスト!$C$5,SUMIF(INDEX(B:B,MATCH(I1026-1,I:I,0)+1,1):INDEX(B:B,MATCH(I1026,I:I,0)-1,1),リスト!$C$7,INDEX(G:G,MATCH(I1026-1,I:I,0)+1,1):INDEX(G:G,MATCH(I1026,I:I,0)-1,1)),"")</f>
        <v>#NAME?</v>
      </c>
      <c r="I1026" s="200">
        <f>IF(OR(B1026=リスト!$C$5,B1026=リスト!$C$6),COUNTIF($B$9:B1026,リスト!$C$5)+COUNTIF($B$9:B1026,リスト!$C$6),"")</f>
        <v>71</v>
      </c>
    </row>
    <row r="1027" spans="2:9" x14ac:dyDescent="0.2">
      <c r="B1027" s="196"/>
      <c r="C1027" s="197">
        <v>45498.926898148151</v>
      </c>
      <c r="D1027" s="197">
        <v>45498.927222222221</v>
      </c>
      <c r="E1027" s="198" t="s">
        <v>244</v>
      </c>
      <c r="F1027" s="199"/>
      <c r="G1027" s="140" t="e">
        <f ca="1">mif(C1027="","",OR(B1027=リスト!$C$5,B1027=リスト!$C$6),SUM(INDEX(G:G,MATCH(I1027-1,I:I,0)+1,1):INDEX(G:G,MATCH(I1027,I:I,0)-1,1)),D1027-C1027)</f>
        <v>#NAME?</v>
      </c>
      <c r="H1027" s="140" t="e">
        <f ca="1">mif(C1027="","",B1027=リスト!$C$5,SUMIF(INDEX(B:B,MATCH(I1027-1,I:I,0)+1,1):INDEX(B:B,MATCH(I1027,I:I,0)-1,1),リスト!$C$7,INDEX(G:G,MATCH(I1027-1,I:I,0)+1,1):INDEX(G:G,MATCH(I1027,I:I,0)-1,1)),"")</f>
        <v>#NAME?</v>
      </c>
      <c r="I1027" s="200" t="str">
        <f>IF(OR(B1027=リスト!$C$5,B1027=リスト!$C$6),COUNTIF($B$9:B1027,リスト!$C$5)+COUNTIF($B$9:B1027,リスト!$C$6),"")</f>
        <v/>
      </c>
    </row>
    <row r="1028" spans="2:9" x14ac:dyDescent="0.2">
      <c r="B1028" s="196"/>
      <c r="C1028" s="197">
        <v>45498.927916666667</v>
      </c>
      <c r="D1028" s="197">
        <v>45498.928240740737</v>
      </c>
      <c r="E1028" s="198" t="s">
        <v>244</v>
      </c>
      <c r="F1028" s="199"/>
      <c r="G1028" s="140" t="e">
        <f ca="1">mif(C1028="","",OR(B1028=リスト!$C$5,B1028=リスト!$C$6),SUM(INDEX(G:G,MATCH(I1028-1,I:I,0)+1,1):INDEX(G:G,MATCH(I1028,I:I,0)-1,1)),D1028-C1028)</f>
        <v>#NAME?</v>
      </c>
      <c r="H1028" s="140" t="e">
        <f ca="1">mif(C1028="","",B1028=リスト!$C$5,SUMIF(INDEX(B:B,MATCH(I1028-1,I:I,0)+1,1):INDEX(B:B,MATCH(I1028,I:I,0)-1,1),リスト!$C$7,INDEX(G:G,MATCH(I1028-1,I:I,0)+1,1):INDEX(G:G,MATCH(I1028,I:I,0)-1,1)),"")</f>
        <v>#NAME?</v>
      </c>
      <c r="I1028" s="200" t="str">
        <f>IF(OR(B1028=リスト!$C$5,B1028=リスト!$C$6),COUNTIF($B$9:B1028,リスト!$C$5)+COUNTIF($B$9:B1028,リスト!$C$6),"")</f>
        <v/>
      </c>
    </row>
    <row r="1029" spans="2:9" x14ac:dyDescent="0.2">
      <c r="B1029" s="196"/>
      <c r="C1029" s="197">
        <v>45498.947048611109</v>
      </c>
      <c r="D1029" s="197">
        <v>45498.947326388887</v>
      </c>
      <c r="E1029" s="198" t="s">
        <v>244</v>
      </c>
      <c r="F1029" s="199"/>
      <c r="G1029" s="140" t="e">
        <f ca="1">mif(C1029="","",OR(B1029=リスト!$C$5,B1029=リスト!$C$6),SUM(INDEX(G:G,MATCH(I1029-1,I:I,0)+1,1):INDEX(G:G,MATCH(I1029,I:I,0)-1,1)),D1029-C1029)</f>
        <v>#NAME?</v>
      </c>
      <c r="H1029" s="140" t="e">
        <f ca="1">mif(C1029="","",B1029=リスト!$C$5,SUMIF(INDEX(B:B,MATCH(I1029-1,I:I,0)+1,1):INDEX(B:B,MATCH(I1029,I:I,0)-1,1),リスト!$C$7,INDEX(G:G,MATCH(I1029-1,I:I,0)+1,1):INDEX(G:G,MATCH(I1029,I:I,0)-1,1)),"")</f>
        <v>#NAME?</v>
      </c>
      <c r="I1029" s="200" t="str">
        <f>IF(OR(B1029=リスト!$C$5,B1029=リスト!$C$6),COUNTIF($B$9:B1029,リスト!$C$5)+COUNTIF($B$9:B1029,リスト!$C$6),"")</f>
        <v/>
      </c>
    </row>
    <row r="1030" spans="2:9" x14ac:dyDescent="0.2">
      <c r="B1030" s="196"/>
      <c r="C1030" s="197">
        <v>45498.960775462961</v>
      </c>
      <c r="D1030" s="197">
        <v>45498.961076388892</v>
      </c>
      <c r="E1030" s="198" t="s">
        <v>244</v>
      </c>
      <c r="F1030" s="199"/>
      <c r="G1030" s="140" t="e">
        <f ca="1">mif(C1030="","",OR(B1030=リスト!$C$5,B1030=リスト!$C$6),SUM(INDEX(G:G,MATCH(I1030-1,I:I,0)+1,1):INDEX(G:G,MATCH(I1030,I:I,0)-1,1)),D1030-C1030)</f>
        <v>#NAME?</v>
      </c>
      <c r="H1030" s="140" t="e">
        <f ca="1">mif(C1030="","",B1030=リスト!$C$5,SUMIF(INDEX(B:B,MATCH(I1030-1,I:I,0)+1,1):INDEX(B:B,MATCH(I1030,I:I,0)-1,1),リスト!$C$7,INDEX(G:G,MATCH(I1030-1,I:I,0)+1,1):INDEX(G:G,MATCH(I1030,I:I,0)-1,1)),"")</f>
        <v>#NAME?</v>
      </c>
      <c r="I1030" s="200" t="str">
        <f>IF(OR(B1030=リスト!$C$5,B1030=リスト!$C$6),COUNTIF($B$9:B1030,リスト!$C$5)+COUNTIF($B$9:B1030,リスト!$C$6),"")</f>
        <v/>
      </c>
    </row>
    <row r="1031" spans="2:9" x14ac:dyDescent="0.2">
      <c r="B1031" s="196"/>
      <c r="C1031" s="197">
        <v>45499.034212962964</v>
      </c>
      <c r="D1031" s="197">
        <v>45499.034837962965</v>
      </c>
      <c r="E1031" s="198" t="s">
        <v>244</v>
      </c>
      <c r="F1031" s="199"/>
      <c r="G1031" s="140" t="e">
        <f ca="1">mif(C1031="","",OR(B1031=リスト!$C$5,B1031=リスト!$C$6),SUM(INDEX(G:G,MATCH(I1031-1,I:I,0)+1,1):INDEX(G:G,MATCH(I1031,I:I,0)-1,1)),D1031-C1031)</f>
        <v>#NAME?</v>
      </c>
      <c r="H1031" s="140" t="e">
        <f ca="1">mif(C1031="","",B1031=リスト!$C$5,SUMIF(INDEX(B:B,MATCH(I1031-1,I:I,0)+1,1):INDEX(B:B,MATCH(I1031,I:I,0)-1,1),リスト!$C$7,INDEX(G:G,MATCH(I1031-1,I:I,0)+1,1):INDEX(G:G,MATCH(I1031,I:I,0)-1,1)),"")</f>
        <v>#NAME?</v>
      </c>
      <c r="I1031" s="200" t="str">
        <f>IF(OR(B1031=リスト!$C$5,B1031=リスト!$C$6),COUNTIF($B$9:B1031,リスト!$C$5)+COUNTIF($B$9:B1031,リスト!$C$6),"")</f>
        <v/>
      </c>
    </row>
    <row r="1032" spans="2:9" x14ac:dyDescent="0.2">
      <c r="B1032" s="196"/>
      <c r="C1032" s="197">
        <v>45499.040069444447</v>
      </c>
      <c r="D1032" s="197">
        <v>45499.040648148148</v>
      </c>
      <c r="E1032" s="198" t="s">
        <v>244</v>
      </c>
      <c r="F1032" s="199"/>
      <c r="G1032" s="140" t="e">
        <f ca="1">mif(C1032="","",OR(B1032=リスト!$C$5,B1032=リスト!$C$6),SUM(INDEX(G:G,MATCH(I1032-1,I:I,0)+1,1):INDEX(G:G,MATCH(I1032,I:I,0)-1,1)),D1032-C1032)</f>
        <v>#NAME?</v>
      </c>
      <c r="H1032" s="140" t="e">
        <f ca="1">mif(C1032="","",B1032=リスト!$C$5,SUMIF(INDEX(B:B,MATCH(I1032-1,I:I,0)+1,1):INDEX(B:B,MATCH(I1032,I:I,0)-1,1),リスト!$C$7,INDEX(G:G,MATCH(I1032-1,I:I,0)+1,1):INDEX(G:G,MATCH(I1032,I:I,0)-1,1)),"")</f>
        <v>#NAME?</v>
      </c>
      <c r="I1032" s="200" t="str">
        <f>IF(OR(B1032=リスト!$C$5,B1032=リスト!$C$6),COUNTIF($B$9:B1032,リスト!$C$5)+COUNTIF($B$9:B1032,リスト!$C$6),"")</f>
        <v/>
      </c>
    </row>
    <row r="1033" spans="2:9" x14ac:dyDescent="0.2">
      <c r="B1033" s="196"/>
      <c r="C1033" s="197">
        <v>45499.041134259256</v>
      </c>
      <c r="D1033" s="197">
        <v>45499.041643518518</v>
      </c>
      <c r="E1033" s="198" t="s">
        <v>244</v>
      </c>
      <c r="F1033" s="199"/>
      <c r="G1033" s="140" t="e">
        <f ca="1">mif(C1033="","",OR(B1033=リスト!$C$5,B1033=リスト!$C$6),SUM(INDEX(G:G,MATCH(I1033-1,I:I,0)+1,1):INDEX(G:G,MATCH(I1033,I:I,0)-1,1)),D1033-C1033)</f>
        <v>#NAME?</v>
      </c>
      <c r="H1033" s="140" t="e">
        <f ca="1">mif(C1033="","",B1033=リスト!$C$5,SUMIF(INDEX(B:B,MATCH(I1033-1,I:I,0)+1,1):INDEX(B:B,MATCH(I1033,I:I,0)-1,1),リスト!$C$7,INDEX(G:G,MATCH(I1033-1,I:I,0)+1,1):INDEX(G:G,MATCH(I1033,I:I,0)-1,1)),"")</f>
        <v>#NAME?</v>
      </c>
      <c r="I1033" s="200" t="str">
        <f>IF(OR(B1033=リスト!$C$5,B1033=リスト!$C$6),COUNTIF($B$9:B1033,リスト!$C$5)+COUNTIF($B$9:B1033,リスト!$C$6),"")</f>
        <v/>
      </c>
    </row>
    <row r="1034" spans="2:9" x14ac:dyDescent="0.2">
      <c r="B1034" s="196"/>
      <c r="C1034" s="197">
        <v>45499.041666666664</v>
      </c>
      <c r="D1034" s="197">
        <v>45499.042175925926</v>
      </c>
      <c r="E1034" s="198" t="s">
        <v>244</v>
      </c>
      <c r="F1034" s="199"/>
      <c r="G1034" s="140" t="e">
        <f ca="1">mif(C1034="","",OR(B1034=リスト!$C$5,B1034=リスト!$C$6),SUM(INDEX(G:G,MATCH(I1034-1,I:I,0)+1,1):INDEX(G:G,MATCH(I1034,I:I,0)-1,1)),D1034-C1034)</f>
        <v>#NAME?</v>
      </c>
      <c r="H1034" s="140" t="e">
        <f ca="1">mif(C1034="","",B1034=リスト!$C$5,SUMIF(INDEX(B:B,MATCH(I1034-1,I:I,0)+1,1):INDEX(B:B,MATCH(I1034,I:I,0)-1,1),リスト!$C$7,INDEX(G:G,MATCH(I1034-1,I:I,0)+1,1):INDEX(G:G,MATCH(I1034,I:I,0)-1,1)),"")</f>
        <v>#NAME?</v>
      </c>
      <c r="I1034" s="200" t="str">
        <f>IF(OR(B1034=リスト!$C$5,B1034=リスト!$C$6),COUNTIF($B$9:B1034,リスト!$C$5)+COUNTIF($B$9:B1034,リスト!$C$6),"")</f>
        <v/>
      </c>
    </row>
    <row r="1035" spans="2:9" x14ac:dyDescent="0.2">
      <c r="B1035" s="196"/>
      <c r="C1035" s="197">
        <v>45499.0937037037</v>
      </c>
      <c r="D1035" s="197">
        <v>45499.093981481485</v>
      </c>
      <c r="E1035" s="198" t="s">
        <v>244</v>
      </c>
      <c r="F1035" s="199"/>
      <c r="G1035" s="140" t="e">
        <f ca="1">mif(C1035="","",OR(B1035=リスト!$C$5,B1035=リスト!$C$6),SUM(INDEX(G:G,MATCH(I1035-1,I:I,0)+1,1):INDEX(G:G,MATCH(I1035,I:I,0)-1,1)),D1035-C1035)</f>
        <v>#NAME?</v>
      </c>
      <c r="H1035" s="140" t="e">
        <f ca="1">mif(C1035="","",B1035=リスト!$C$5,SUMIF(INDEX(B:B,MATCH(I1035-1,I:I,0)+1,1):INDEX(B:B,MATCH(I1035,I:I,0)-1,1),リスト!$C$7,INDEX(G:G,MATCH(I1035-1,I:I,0)+1,1):INDEX(G:G,MATCH(I1035,I:I,0)-1,1)),"")</f>
        <v>#NAME?</v>
      </c>
      <c r="I1035" s="200" t="str">
        <f>IF(OR(B1035=リスト!$C$5,B1035=リスト!$C$6),COUNTIF($B$9:B1035,リスト!$C$5)+COUNTIF($B$9:B1035,リスト!$C$6),"")</f>
        <v/>
      </c>
    </row>
    <row r="1036" spans="2:9" x14ac:dyDescent="0.2">
      <c r="B1036" s="196"/>
      <c r="C1036" s="197">
        <v>45499.094375000001</v>
      </c>
      <c r="D1036" s="197">
        <v>45499.094675925924</v>
      </c>
      <c r="E1036" s="198" t="s">
        <v>244</v>
      </c>
      <c r="F1036" s="199"/>
      <c r="G1036" s="140" t="e">
        <f ca="1">mif(C1036="","",OR(B1036=リスト!$C$5,B1036=リスト!$C$6),SUM(INDEX(G:G,MATCH(I1036-1,I:I,0)+1,1):INDEX(G:G,MATCH(I1036,I:I,0)-1,1)),D1036-C1036)</f>
        <v>#NAME?</v>
      </c>
      <c r="H1036" s="140" t="e">
        <f ca="1">mif(C1036="","",B1036=リスト!$C$5,SUMIF(INDEX(B:B,MATCH(I1036-1,I:I,0)+1,1):INDEX(B:B,MATCH(I1036,I:I,0)-1,1),リスト!$C$7,INDEX(G:G,MATCH(I1036-1,I:I,0)+1,1):INDEX(G:G,MATCH(I1036,I:I,0)-1,1)),"")</f>
        <v>#NAME?</v>
      </c>
      <c r="I1036" s="200" t="str">
        <f>IF(OR(B1036=リスト!$C$5,B1036=リスト!$C$6),COUNTIF($B$9:B1036,リスト!$C$5)+COUNTIF($B$9:B1036,リスト!$C$6),"")</f>
        <v/>
      </c>
    </row>
    <row r="1037" spans="2:9" x14ac:dyDescent="0.2">
      <c r="B1037" s="196"/>
      <c r="C1037" s="197">
        <v>45499.118460648147</v>
      </c>
      <c r="D1037" s="197">
        <v>45499.119039351855</v>
      </c>
      <c r="E1037" s="198" t="s">
        <v>244</v>
      </c>
      <c r="F1037" s="199"/>
      <c r="G1037" s="140" t="e">
        <f ca="1">mif(C1037="","",OR(B1037=リスト!$C$5,B1037=リスト!$C$6),SUM(INDEX(G:G,MATCH(I1037-1,I:I,0)+1,1):INDEX(G:G,MATCH(I1037,I:I,0)-1,1)),D1037-C1037)</f>
        <v>#NAME?</v>
      </c>
      <c r="H1037" s="140" t="e">
        <f ca="1">mif(C1037="","",B1037=リスト!$C$5,SUMIF(INDEX(B:B,MATCH(I1037-1,I:I,0)+1,1):INDEX(B:B,MATCH(I1037,I:I,0)-1,1),リスト!$C$7,INDEX(G:G,MATCH(I1037-1,I:I,0)+1,1):INDEX(G:G,MATCH(I1037,I:I,0)-1,1)),"")</f>
        <v>#NAME?</v>
      </c>
      <c r="I1037" s="200" t="str">
        <f>IF(OR(B1037=リスト!$C$5,B1037=リスト!$C$6),COUNTIF($B$9:B1037,リスト!$C$5)+COUNTIF($B$9:B1037,リスト!$C$6),"")</f>
        <v/>
      </c>
    </row>
    <row r="1038" spans="2:9" x14ac:dyDescent="0.2">
      <c r="B1038" s="196"/>
      <c r="C1038" s="197">
        <v>45499.130787037036</v>
      </c>
      <c r="D1038" s="197">
        <v>45499.131018518521</v>
      </c>
      <c r="E1038" s="198" t="s">
        <v>244</v>
      </c>
      <c r="F1038" s="199"/>
      <c r="G1038" s="140" t="e">
        <f ca="1">mif(C1038="","",OR(B1038=リスト!$C$5,B1038=リスト!$C$6),SUM(INDEX(G:G,MATCH(I1038-1,I:I,0)+1,1):INDEX(G:G,MATCH(I1038,I:I,0)-1,1)),D1038-C1038)</f>
        <v>#NAME?</v>
      </c>
      <c r="H1038" s="140" t="e">
        <f ca="1">mif(C1038="","",B1038=リスト!$C$5,SUMIF(INDEX(B:B,MATCH(I1038-1,I:I,0)+1,1):INDEX(B:B,MATCH(I1038,I:I,0)-1,1),リスト!$C$7,INDEX(G:G,MATCH(I1038-1,I:I,0)+1,1):INDEX(G:G,MATCH(I1038,I:I,0)-1,1)),"")</f>
        <v>#NAME?</v>
      </c>
      <c r="I1038" s="200" t="str">
        <f>IF(OR(B1038=リスト!$C$5,B1038=リスト!$C$6),COUNTIF($B$9:B1038,リスト!$C$5)+COUNTIF($B$9:B1038,リスト!$C$6),"")</f>
        <v/>
      </c>
    </row>
    <row r="1039" spans="2:9" x14ac:dyDescent="0.2">
      <c r="B1039" s="196"/>
      <c r="C1039" s="197">
        <v>45499.134166666663</v>
      </c>
      <c r="D1039" s="197">
        <v>45499.134444444448</v>
      </c>
      <c r="E1039" s="198" t="s">
        <v>244</v>
      </c>
      <c r="F1039" s="199"/>
      <c r="G1039" s="140" t="e">
        <f ca="1">mif(C1039="","",OR(B1039=リスト!$C$5,B1039=リスト!$C$6),SUM(INDEX(G:G,MATCH(I1039-1,I:I,0)+1,1):INDEX(G:G,MATCH(I1039,I:I,0)-1,1)),D1039-C1039)</f>
        <v>#NAME?</v>
      </c>
      <c r="H1039" s="140" t="e">
        <f ca="1">mif(C1039="","",B1039=リスト!$C$5,SUMIF(INDEX(B:B,MATCH(I1039-1,I:I,0)+1,1):INDEX(B:B,MATCH(I1039,I:I,0)-1,1),リスト!$C$7,INDEX(G:G,MATCH(I1039-1,I:I,0)+1,1):INDEX(G:G,MATCH(I1039,I:I,0)-1,1)),"")</f>
        <v>#NAME?</v>
      </c>
      <c r="I1039" s="200" t="str">
        <f>IF(OR(B1039=リスト!$C$5,B1039=リスト!$C$6),COUNTIF($B$9:B1039,リスト!$C$5)+COUNTIF($B$9:B1039,リスト!$C$6),"")</f>
        <v/>
      </c>
    </row>
    <row r="1040" spans="2:9" x14ac:dyDescent="0.2">
      <c r="B1040" s="196"/>
      <c r="C1040" s="197">
        <v>45499.248148148145</v>
      </c>
      <c r="D1040" s="197">
        <v>45499.248506944445</v>
      </c>
      <c r="E1040" s="198" t="s">
        <v>244</v>
      </c>
      <c r="F1040" s="199"/>
      <c r="G1040" s="140" t="e">
        <f ca="1">mif(C1040="","",OR(B1040=リスト!$C$5,B1040=リスト!$C$6),SUM(INDEX(G:G,MATCH(I1040-1,I:I,0)+1,1):INDEX(G:G,MATCH(I1040,I:I,0)-1,1)),D1040-C1040)</f>
        <v>#NAME?</v>
      </c>
      <c r="H1040" s="140" t="e">
        <f ca="1">mif(C1040="","",B1040=リスト!$C$5,SUMIF(INDEX(B:B,MATCH(I1040-1,I:I,0)+1,1):INDEX(B:B,MATCH(I1040,I:I,0)-1,1),リスト!$C$7,INDEX(G:G,MATCH(I1040-1,I:I,0)+1,1):INDEX(G:G,MATCH(I1040,I:I,0)-1,1)),"")</f>
        <v>#NAME?</v>
      </c>
      <c r="I1040" s="200" t="str">
        <f>IF(OR(B1040=リスト!$C$5,B1040=リスト!$C$6),COUNTIF($B$9:B1040,リスト!$C$5)+COUNTIF($B$9:B1040,リスト!$C$6),"")</f>
        <v/>
      </c>
    </row>
    <row r="1041" spans="2:9" x14ac:dyDescent="0.2">
      <c r="B1041" s="196"/>
      <c r="C1041" s="197">
        <v>45499.269201388888</v>
      </c>
      <c r="D1041" s="197">
        <v>45499.269479166665</v>
      </c>
      <c r="E1041" s="198" t="s">
        <v>244</v>
      </c>
      <c r="F1041" s="199"/>
      <c r="G1041" s="140" t="e">
        <f ca="1">mif(C1041="","",OR(B1041=リスト!$C$5,B1041=リスト!$C$6),SUM(INDEX(G:G,MATCH(I1041-1,I:I,0)+1,1):INDEX(G:G,MATCH(I1041,I:I,0)-1,1)),D1041-C1041)</f>
        <v>#NAME?</v>
      </c>
      <c r="H1041" s="140" t="e">
        <f ca="1">mif(C1041="","",B1041=リスト!$C$5,SUMIF(INDEX(B:B,MATCH(I1041-1,I:I,0)+1,1):INDEX(B:B,MATCH(I1041,I:I,0)-1,1),リスト!$C$7,INDEX(G:G,MATCH(I1041-1,I:I,0)+1,1):INDEX(G:G,MATCH(I1041,I:I,0)-1,1)),"")</f>
        <v>#NAME?</v>
      </c>
      <c r="I1041" s="200" t="str">
        <f>IF(OR(B1041=リスト!$C$5,B1041=リスト!$C$6),COUNTIF($B$9:B1041,リスト!$C$5)+COUNTIF($B$9:B1041,リスト!$C$6),"")</f>
        <v/>
      </c>
    </row>
    <row r="1042" spans="2:9" x14ac:dyDescent="0.2">
      <c r="B1042" s="196"/>
      <c r="C1042" s="197">
        <v>45499.275416666664</v>
      </c>
      <c r="D1042" s="197">
        <v>45499.275949074072</v>
      </c>
      <c r="E1042" s="198" t="s">
        <v>244</v>
      </c>
      <c r="F1042" s="199"/>
      <c r="G1042" s="140" t="e">
        <f ca="1">mif(C1042="","",OR(B1042=リスト!$C$5,B1042=リスト!$C$6),SUM(INDEX(G:G,MATCH(I1042-1,I:I,0)+1,1):INDEX(G:G,MATCH(I1042,I:I,0)-1,1)),D1042-C1042)</f>
        <v>#NAME?</v>
      </c>
      <c r="H1042" s="140" t="e">
        <f ca="1">mif(C1042="","",B1042=リスト!$C$5,SUMIF(INDEX(B:B,MATCH(I1042-1,I:I,0)+1,1):INDEX(B:B,MATCH(I1042,I:I,0)-1,1),リスト!$C$7,INDEX(G:G,MATCH(I1042-1,I:I,0)+1,1):INDEX(G:G,MATCH(I1042,I:I,0)-1,1)),"")</f>
        <v>#NAME?</v>
      </c>
      <c r="I1042" s="200" t="str">
        <f>IF(OR(B1042=リスト!$C$5,B1042=リスト!$C$6),COUNTIF($B$9:B1042,リスト!$C$5)+COUNTIF($B$9:B1042,リスト!$C$6),"")</f>
        <v/>
      </c>
    </row>
    <row r="1043" spans="2:9" x14ac:dyDescent="0.2">
      <c r="B1043" s="196"/>
      <c r="C1043" s="197">
        <v>45499.295624999999</v>
      </c>
      <c r="D1043" s="197">
        <v>45499.296180555553</v>
      </c>
      <c r="E1043" s="198" t="s">
        <v>244</v>
      </c>
      <c r="F1043" s="199"/>
      <c r="G1043" s="140" t="e">
        <f ca="1">mif(C1043="","",OR(B1043=リスト!$C$5,B1043=リスト!$C$6),SUM(INDEX(G:G,MATCH(I1043-1,I:I,0)+1,1):INDEX(G:G,MATCH(I1043,I:I,0)-1,1)),D1043-C1043)</f>
        <v>#NAME?</v>
      </c>
      <c r="H1043" s="140" t="e">
        <f ca="1">mif(C1043="","",B1043=リスト!$C$5,SUMIF(INDEX(B:B,MATCH(I1043-1,I:I,0)+1,1):INDEX(B:B,MATCH(I1043,I:I,0)-1,1),リスト!$C$7,INDEX(G:G,MATCH(I1043-1,I:I,0)+1,1):INDEX(G:G,MATCH(I1043,I:I,0)-1,1)),"")</f>
        <v>#NAME?</v>
      </c>
      <c r="I1043" s="200" t="str">
        <f>IF(OR(B1043=リスト!$C$5,B1043=リスト!$C$6),COUNTIF($B$9:B1043,リスト!$C$5)+COUNTIF($B$9:B1043,リスト!$C$6),"")</f>
        <v/>
      </c>
    </row>
    <row r="1044" spans="2:9" x14ac:dyDescent="0.2">
      <c r="B1044" s="196"/>
      <c r="C1044" s="197">
        <v>45499.304409722223</v>
      </c>
      <c r="D1044" s="197">
        <v>45499.304895833331</v>
      </c>
      <c r="E1044" s="198" t="s">
        <v>244</v>
      </c>
      <c r="F1044" s="199"/>
      <c r="G1044" s="140" t="e">
        <f ca="1">mif(C1044="","",OR(B1044=リスト!$C$5,B1044=リスト!$C$6),SUM(INDEX(G:G,MATCH(I1044-1,I:I,0)+1,1):INDEX(G:G,MATCH(I1044,I:I,0)-1,1)),D1044-C1044)</f>
        <v>#NAME?</v>
      </c>
      <c r="H1044" s="140" t="e">
        <f ca="1">mif(C1044="","",B1044=リスト!$C$5,SUMIF(INDEX(B:B,MATCH(I1044-1,I:I,0)+1,1):INDEX(B:B,MATCH(I1044,I:I,0)-1,1),リスト!$C$7,INDEX(G:G,MATCH(I1044-1,I:I,0)+1,1):INDEX(G:G,MATCH(I1044,I:I,0)-1,1)),"")</f>
        <v>#NAME?</v>
      </c>
      <c r="I1044" s="200" t="str">
        <f>IF(OR(B1044=リスト!$C$5,B1044=リスト!$C$6),COUNTIF($B$9:B1044,リスト!$C$5)+COUNTIF($B$9:B1044,リスト!$C$6),"")</f>
        <v/>
      </c>
    </row>
    <row r="1045" spans="2:9" x14ac:dyDescent="0.2">
      <c r="B1045" s="196"/>
      <c r="C1045" s="197">
        <v>45499.34238425926</v>
      </c>
      <c r="D1045" s="197">
        <v>45499.342615740738</v>
      </c>
      <c r="E1045" s="198" t="s">
        <v>244</v>
      </c>
      <c r="F1045" s="199"/>
      <c r="G1045" s="140" t="e">
        <f ca="1">mif(C1045="","",OR(B1045=リスト!$C$5,B1045=リスト!$C$6),SUM(INDEX(G:G,MATCH(I1045-1,I:I,0)+1,1):INDEX(G:G,MATCH(I1045,I:I,0)-1,1)),D1045-C1045)</f>
        <v>#NAME?</v>
      </c>
      <c r="H1045" s="140" t="e">
        <f ca="1">mif(C1045="","",B1045=リスト!$C$5,SUMIF(INDEX(B:B,MATCH(I1045-1,I:I,0)+1,1):INDEX(B:B,MATCH(I1045,I:I,0)-1,1),リスト!$C$7,INDEX(G:G,MATCH(I1045-1,I:I,0)+1,1):INDEX(G:G,MATCH(I1045,I:I,0)-1,1)),"")</f>
        <v>#NAME?</v>
      </c>
      <c r="I1045" s="200" t="str">
        <f>IF(OR(B1045=リスト!$C$5,B1045=リスト!$C$6),COUNTIF($B$9:B1045,リスト!$C$5)+COUNTIF($B$9:B1045,リスト!$C$6),"")</f>
        <v/>
      </c>
    </row>
    <row r="1046" spans="2:9" x14ac:dyDescent="0.2">
      <c r="B1046" s="196"/>
      <c r="C1046" s="197">
        <v>45499.346412037034</v>
      </c>
      <c r="D1046" s="197">
        <v>45499.346921296295</v>
      </c>
      <c r="E1046" s="198" t="s">
        <v>244</v>
      </c>
      <c r="F1046" s="199"/>
      <c r="G1046" s="140" t="e">
        <f ca="1">mif(C1046="","",OR(B1046=リスト!$C$5,B1046=リスト!$C$6),SUM(INDEX(G:G,MATCH(I1046-1,I:I,0)+1,1):INDEX(G:G,MATCH(I1046,I:I,0)-1,1)),D1046-C1046)</f>
        <v>#NAME?</v>
      </c>
      <c r="H1046" s="140" t="e">
        <f ca="1">mif(C1046="","",B1046=リスト!$C$5,SUMIF(INDEX(B:B,MATCH(I1046-1,I:I,0)+1,1):INDEX(B:B,MATCH(I1046,I:I,0)-1,1),リスト!$C$7,INDEX(G:G,MATCH(I1046-1,I:I,0)+1,1):INDEX(G:G,MATCH(I1046,I:I,0)-1,1)),"")</f>
        <v>#NAME?</v>
      </c>
      <c r="I1046" s="200" t="str">
        <f>IF(OR(B1046=リスト!$C$5,B1046=リスト!$C$6),COUNTIF($B$9:B1046,リスト!$C$5)+COUNTIF($B$9:B1046,リスト!$C$6),"")</f>
        <v/>
      </c>
    </row>
    <row r="1047" spans="2:9" x14ac:dyDescent="0.2">
      <c r="B1047" s="196"/>
      <c r="C1047" s="197">
        <v>45499.374039351853</v>
      </c>
      <c r="D1047" s="197">
        <v>45499.37431712963</v>
      </c>
      <c r="E1047" s="198" t="s">
        <v>244</v>
      </c>
      <c r="F1047" s="199"/>
      <c r="G1047" s="140" t="e">
        <f ca="1">mif(C1047="","",OR(B1047=リスト!$C$5,B1047=リスト!$C$6),SUM(INDEX(G:G,MATCH(I1047-1,I:I,0)+1,1):INDEX(G:G,MATCH(I1047,I:I,0)-1,1)),D1047-C1047)</f>
        <v>#NAME?</v>
      </c>
      <c r="H1047" s="140" t="e">
        <f ca="1">mif(C1047="","",B1047=リスト!$C$5,SUMIF(INDEX(B:B,MATCH(I1047-1,I:I,0)+1,1):INDEX(B:B,MATCH(I1047,I:I,0)-1,1),リスト!$C$7,INDEX(G:G,MATCH(I1047-1,I:I,0)+1,1):INDEX(G:G,MATCH(I1047,I:I,0)-1,1)),"")</f>
        <v>#NAME?</v>
      </c>
      <c r="I1047" s="200" t="str">
        <f>IF(OR(B1047=リスト!$C$5,B1047=リスト!$C$6),COUNTIF($B$9:B1047,リスト!$C$5)+COUNTIF($B$9:B1047,リスト!$C$6),"")</f>
        <v/>
      </c>
    </row>
    <row r="1048" spans="2:9" x14ac:dyDescent="0.2">
      <c r="B1048" s="196" t="s">
        <v>247</v>
      </c>
      <c r="C1048" s="197">
        <v>45498.916666666664</v>
      </c>
      <c r="D1048" s="197">
        <v>45499.416666666664</v>
      </c>
      <c r="E1048" s="198">
        <v>21</v>
      </c>
      <c r="F1048" s="199"/>
      <c r="G1048" s="140" t="e">
        <f ca="1">mif(C1048="","",OR(B1048=リスト!$C$5,B1048=リスト!$C$6),SUM(INDEX(G:G,MATCH(I1048-1,I:I,0)+1,1):INDEX(G:G,MATCH(I1048,I:I,0)-1,1)),D1048-C1048)</f>
        <v>#NAME?</v>
      </c>
      <c r="H1048" s="140" t="e">
        <f ca="1">mif(C1048="","",B1048=リスト!$C$5,SUMIF(INDEX(B:B,MATCH(I1048-1,I:I,0)+1,1):INDEX(B:B,MATCH(I1048,I:I,0)-1,1),リスト!$C$7,INDEX(G:G,MATCH(I1048-1,I:I,0)+1,1):INDEX(G:G,MATCH(I1048,I:I,0)-1,1)),"")</f>
        <v>#NAME?</v>
      </c>
      <c r="I1048" s="200">
        <f>IF(OR(B1048=リスト!$C$5,B1048=リスト!$C$6),COUNTIF($B$9:B1048,リスト!$C$5)+COUNTIF($B$9:B1048,リスト!$C$6),"")</f>
        <v>72</v>
      </c>
    </row>
    <row r="1049" spans="2:9" x14ac:dyDescent="0.2">
      <c r="B1049" s="196"/>
      <c r="C1049" s="197">
        <v>45499.964803240742</v>
      </c>
      <c r="D1049" s="197">
        <v>45499.965810185182</v>
      </c>
      <c r="E1049" s="198" t="s">
        <v>244</v>
      </c>
      <c r="F1049" s="199"/>
      <c r="G1049" s="140" t="e">
        <f ca="1">mif(C1049="","",OR(B1049=リスト!$C$5,B1049=リスト!$C$6),SUM(INDEX(G:G,MATCH(I1049-1,I:I,0)+1,1):INDEX(G:G,MATCH(I1049,I:I,0)-1,1)),D1049-C1049)</f>
        <v>#NAME?</v>
      </c>
      <c r="H1049" s="140" t="e">
        <f ca="1">mif(C1049="","",B1049=リスト!$C$5,SUMIF(INDEX(B:B,MATCH(I1049-1,I:I,0)+1,1):INDEX(B:B,MATCH(I1049,I:I,0)-1,1),リスト!$C$7,INDEX(G:G,MATCH(I1049-1,I:I,0)+1,1):INDEX(G:G,MATCH(I1049,I:I,0)-1,1)),"")</f>
        <v>#NAME?</v>
      </c>
      <c r="I1049" s="200" t="str">
        <f>IF(OR(B1049=リスト!$C$5,B1049=リスト!$C$6),COUNTIF($B$9:B1049,リスト!$C$5)+COUNTIF($B$9:B1049,リスト!$C$6),"")</f>
        <v/>
      </c>
    </row>
    <row r="1050" spans="2:9" x14ac:dyDescent="0.2">
      <c r="B1050" s="196"/>
      <c r="C1050" s="197">
        <v>45499.968692129631</v>
      </c>
      <c r="D1050" s="197">
        <v>45499.969525462962</v>
      </c>
      <c r="E1050" s="198" t="s">
        <v>244</v>
      </c>
      <c r="F1050" s="199"/>
      <c r="G1050" s="140" t="e">
        <f ca="1">mif(C1050="","",OR(B1050=リスト!$C$5,B1050=リスト!$C$6),SUM(INDEX(G:G,MATCH(I1050-1,I:I,0)+1,1):INDEX(G:G,MATCH(I1050,I:I,0)-1,1)),D1050-C1050)</f>
        <v>#NAME?</v>
      </c>
      <c r="H1050" s="140" t="e">
        <f ca="1">mif(C1050="","",B1050=リスト!$C$5,SUMIF(INDEX(B:B,MATCH(I1050-1,I:I,0)+1,1):INDEX(B:B,MATCH(I1050,I:I,0)-1,1),リスト!$C$7,INDEX(G:G,MATCH(I1050-1,I:I,0)+1,1):INDEX(G:G,MATCH(I1050,I:I,0)-1,1)),"")</f>
        <v>#NAME?</v>
      </c>
      <c r="I1050" s="200" t="str">
        <f>IF(OR(B1050=リスト!$C$5,B1050=リスト!$C$6),COUNTIF($B$9:B1050,リスト!$C$5)+COUNTIF($B$9:B1050,リスト!$C$6),"")</f>
        <v/>
      </c>
    </row>
    <row r="1051" spans="2:9" x14ac:dyDescent="0.2">
      <c r="B1051" s="196"/>
      <c r="C1051" s="197">
        <v>45499.970682870371</v>
      </c>
      <c r="D1051" s="197">
        <v>45499.970937500002</v>
      </c>
      <c r="E1051" s="198" t="s">
        <v>244</v>
      </c>
      <c r="F1051" s="199"/>
      <c r="G1051" s="140" t="e">
        <f ca="1">mif(C1051="","",OR(B1051=リスト!$C$5,B1051=リスト!$C$6),SUM(INDEX(G:G,MATCH(I1051-1,I:I,0)+1,1):INDEX(G:G,MATCH(I1051,I:I,0)-1,1)),D1051-C1051)</f>
        <v>#NAME?</v>
      </c>
      <c r="H1051" s="140" t="e">
        <f ca="1">mif(C1051="","",B1051=リスト!$C$5,SUMIF(INDEX(B:B,MATCH(I1051-1,I:I,0)+1,1):INDEX(B:B,MATCH(I1051,I:I,0)-1,1),リスト!$C$7,INDEX(G:G,MATCH(I1051-1,I:I,0)+1,1):INDEX(G:G,MATCH(I1051,I:I,0)-1,1)),"")</f>
        <v>#NAME?</v>
      </c>
      <c r="I1051" s="200" t="str">
        <f>IF(OR(B1051=リスト!$C$5,B1051=リスト!$C$6),COUNTIF($B$9:B1051,リスト!$C$5)+COUNTIF($B$9:B1051,リスト!$C$6),"")</f>
        <v/>
      </c>
    </row>
    <row r="1052" spans="2:9" x14ac:dyDescent="0.2">
      <c r="B1052" s="196"/>
      <c r="C1052" s="197">
        <v>45500.005162037036</v>
      </c>
      <c r="D1052" s="197">
        <v>45500.005416666667</v>
      </c>
      <c r="E1052" s="198" t="s">
        <v>244</v>
      </c>
      <c r="F1052" s="199"/>
      <c r="G1052" s="140" t="e">
        <f ca="1">mif(C1052="","",OR(B1052=リスト!$C$5,B1052=リスト!$C$6),SUM(INDEX(G:G,MATCH(I1052-1,I:I,0)+1,1):INDEX(G:G,MATCH(I1052,I:I,0)-1,1)),D1052-C1052)</f>
        <v>#NAME?</v>
      </c>
      <c r="H1052" s="140" t="e">
        <f ca="1">mif(C1052="","",B1052=リスト!$C$5,SUMIF(INDEX(B:B,MATCH(I1052-1,I:I,0)+1,1):INDEX(B:B,MATCH(I1052,I:I,0)-1,1),リスト!$C$7,INDEX(G:G,MATCH(I1052-1,I:I,0)+1,1):INDEX(G:G,MATCH(I1052,I:I,0)-1,1)),"")</f>
        <v>#NAME?</v>
      </c>
      <c r="I1052" s="200" t="str">
        <f>IF(OR(B1052=リスト!$C$5,B1052=リスト!$C$6),COUNTIF($B$9:B1052,リスト!$C$5)+COUNTIF($B$9:B1052,リスト!$C$6),"")</f>
        <v/>
      </c>
    </row>
    <row r="1053" spans="2:9" x14ac:dyDescent="0.2">
      <c r="B1053" s="196"/>
      <c r="C1053" s="197">
        <v>45500.007870370369</v>
      </c>
      <c r="D1053" s="197">
        <v>45500.008125</v>
      </c>
      <c r="E1053" s="198" t="s">
        <v>244</v>
      </c>
      <c r="F1053" s="199"/>
      <c r="G1053" s="140" t="e">
        <f ca="1">mif(C1053="","",OR(B1053=リスト!$C$5,B1053=リスト!$C$6),SUM(INDEX(G:G,MATCH(I1053-1,I:I,0)+1,1):INDEX(G:G,MATCH(I1053,I:I,0)-1,1)),D1053-C1053)</f>
        <v>#NAME?</v>
      </c>
      <c r="H1053" s="140" t="e">
        <f ca="1">mif(C1053="","",B1053=リスト!$C$5,SUMIF(INDEX(B:B,MATCH(I1053-1,I:I,0)+1,1):INDEX(B:B,MATCH(I1053,I:I,0)-1,1),リスト!$C$7,INDEX(G:G,MATCH(I1053-1,I:I,0)+1,1):INDEX(G:G,MATCH(I1053,I:I,0)-1,1)),"")</f>
        <v>#NAME?</v>
      </c>
      <c r="I1053" s="200" t="str">
        <f>IF(OR(B1053=リスト!$C$5,B1053=リスト!$C$6),COUNTIF($B$9:B1053,リスト!$C$5)+COUNTIF($B$9:B1053,リスト!$C$6),"")</f>
        <v/>
      </c>
    </row>
    <row r="1054" spans="2:9" x14ac:dyDescent="0.2">
      <c r="B1054" s="196"/>
      <c r="C1054" s="197">
        <v>45500.024826388886</v>
      </c>
      <c r="D1054" s="197">
        <v>45500.025104166663</v>
      </c>
      <c r="E1054" s="198" t="s">
        <v>244</v>
      </c>
      <c r="F1054" s="199"/>
      <c r="G1054" s="140" t="e">
        <f ca="1">mif(C1054="","",OR(B1054=リスト!$C$5,B1054=リスト!$C$6),SUM(INDEX(G:G,MATCH(I1054-1,I:I,0)+1,1):INDEX(G:G,MATCH(I1054,I:I,0)-1,1)),D1054-C1054)</f>
        <v>#NAME?</v>
      </c>
      <c r="H1054" s="140" t="e">
        <f ca="1">mif(C1054="","",B1054=リスト!$C$5,SUMIF(INDEX(B:B,MATCH(I1054-1,I:I,0)+1,1):INDEX(B:B,MATCH(I1054,I:I,0)-1,1),リスト!$C$7,INDEX(G:G,MATCH(I1054-1,I:I,0)+1,1):INDEX(G:G,MATCH(I1054,I:I,0)-1,1)),"")</f>
        <v>#NAME?</v>
      </c>
      <c r="I1054" s="200" t="str">
        <f>IF(OR(B1054=リスト!$C$5,B1054=リスト!$C$6),COUNTIF($B$9:B1054,リスト!$C$5)+COUNTIF($B$9:B1054,リスト!$C$6),"")</f>
        <v/>
      </c>
    </row>
    <row r="1055" spans="2:9" x14ac:dyDescent="0.2">
      <c r="B1055" s="196"/>
      <c r="C1055" s="197">
        <v>45500.033553240741</v>
      </c>
      <c r="D1055" s="197">
        <v>45500.033807870372</v>
      </c>
      <c r="E1055" s="198" t="s">
        <v>244</v>
      </c>
      <c r="F1055" s="199"/>
      <c r="G1055" s="140" t="e">
        <f ca="1">mif(C1055="","",OR(B1055=リスト!$C$5,B1055=リスト!$C$6),SUM(INDEX(G:G,MATCH(I1055-1,I:I,0)+1,1):INDEX(G:G,MATCH(I1055,I:I,0)-1,1)),D1055-C1055)</f>
        <v>#NAME?</v>
      </c>
      <c r="H1055" s="140" t="e">
        <f ca="1">mif(C1055="","",B1055=リスト!$C$5,SUMIF(INDEX(B:B,MATCH(I1055-1,I:I,0)+1,1):INDEX(B:B,MATCH(I1055,I:I,0)-1,1),リスト!$C$7,INDEX(G:G,MATCH(I1055-1,I:I,0)+1,1):INDEX(G:G,MATCH(I1055,I:I,0)-1,1)),"")</f>
        <v>#NAME?</v>
      </c>
      <c r="I1055" s="200" t="str">
        <f>IF(OR(B1055=リスト!$C$5,B1055=リスト!$C$6),COUNTIF($B$9:B1055,リスト!$C$5)+COUNTIF($B$9:B1055,リスト!$C$6),"")</f>
        <v/>
      </c>
    </row>
    <row r="1056" spans="2:9" x14ac:dyDescent="0.2">
      <c r="B1056" s="196"/>
      <c r="C1056" s="197">
        <v>45500.075196759259</v>
      </c>
      <c r="D1056" s="197">
        <v>45500.075706018521</v>
      </c>
      <c r="E1056" s="198" t="s">
        <v>244</v>
      </c>
      <c r="F1056" s="199"/>
      <c r="G1056" s="140" t="e">
        <f ca="1">mif(C1056="","",OR(B1056=リスト!$C$5,B1056=リスト!$C$6),SUM(INDEX(G:G,MATCH(I1056-1,I:I,0)+1,1):INDEX(G:G,MATCH(I1056,I:I,0)-1,1)),D1056-C1056)</f>
        <v>#NAME?</v>
      </c>
      <c r="H1056" s="140" t="e">
        <f ca="1">mif(C1056="","",B1056=リスト!$C$5,SUMIF(INDEX(B:B,MATCH(I1056-1,I:I,0)+1,1):INDEX(B:B,MATCH(I1056,I:I,0)-1,1),リスト!$C$7,INDEX(G:G,MATCH(I1056-1,I:I,0)+1,1):INDEX(G:G,MATCH(I1056,I:I,0)-1,1)),"")</f>
        <v>#NAME?</v>
      </c>
      <c r="I1056" s="200" t="str">
        <f>IF(OR(B1056=リスト!$C$5,B1056=リスト!$C$6),COUNTIF($B$9:B1056,リスト!$C$5)+COUNTIF($B$9:B1056,リスト!$C$6),"")</f>
        <v/>
      </c>
    </row>
    <row r="1057" spans="2:9" x14ac:dyDescent="0.2">
      <c r="B1057" s="196"/>
      <c r="C1057" s="197">
        <v>45500.112708333334</v>
      </c>
      <c r="D1057" s="197">
        <v>45500.112962962965</v>
      </c>
      <c r="E1057" s="198" t="s">
        <v>244</v>
      </c>
      <c r="F1057" s="199"/>
      <c r="G1057" s="140" t="e">
        <f ca="1">mif(C1057="","",OR(B1057=リスト!$C$5,B1057=リスト!$C$6),SUM(INDEX(G:G,MATCH(I1057-1,I:I,0)+1,1):INDEX(G:G,MATCH(I1057,I:I,0)-1,1)),D1057-C1057)</f>
        <v>#NAME?</v>
      </c>
      <c r="H1057" s="140" t="e">
        <f ca="1">mif(C1057="","",B1057=リスト!$C$5,SUMIF(INDEX(B:B,MATCH(I1057-1,I:I,0)+1,1):INDEX(B:B,MATCH(I1057,I:I,0)-1,1),リスト!$C$7,INDEX(G:G,MATCH(I1057-1,I:I,0)+1,1):INDEX(G:G,MATCH(I1057,I:I,0)-1,1)),"")</f>
        <v>#NAME?</v>
      </c>
      <c r="I1057" s="200" t="str">
        <f>IF(OR(B1057=リスト!$C$5,B1057=リスト!$C$6),COUNTIF($B$9:B1057,リスト!$C$5)+COUNTIF($B$9:B1057,リスト!$C$6),"")</f>
        <v/>
      </c>
    </row>
    <row r="1058" spans="2:9" x14ac:dyDescent="0.2">
      <c r="B1058" s="196"/>
      <c r="C1058" s="197">
        <v>45500.116516203707</v>
      </c>
      <c r="D1058" s="197">
        <v>45500.116770833331</v>
      </c>
      <c r="E1058" s="198" t="s">
        <v>244</v>
      </c>
      <c r="F1058" s="199"/>
      <c r="G1058" s="140" t="e">
        <f ca="1">mif(C1058="","",OR(B1058=リスト!$C$5,B1058=リスト!$C$6),SUM(INDEX(G:G,MATCH(I1058-1,I:I,0)+1,1):INDEX(G:G,MATCH(I1058,I:I,0)-1,1)),D1058-C1058)</f>
        <v>#NAME?</v>
      </c>
      <c r="H1058" s="140" t="e">
        <f ca="1">mif(C1058="","",B1058=リスト!$C$5,SUMIF(INDEX(B:B,MATCH(I1058-1,I:I,0)+1,1):INDEX(B:B,MATCH(I1058,I:I,0)-1,1),リスト!$C$7,INDEX(G:G,MATCH(I1058-1,I:I,0)+1,1):INDEX(G:G,MATCH(I1058,I:I,0)-1,1)),"")</f>
        <v>#NAME?</v>
      </c>
      <c r="I1058" s="200" t="str">
        <f>IF(OR(B1058=リスト!$C$5,B1058=リスト!$C$6),COUNTIF($B$9:B1058,リスト!$C$5)+COUNTIF($B$9:B1058,リスト!$C$6),"")</f>
        <v/>
      </c>
    </row>
    <row r="1059" spans="2:9" x14ac:dyDescent="0.2">
      <c r="B1059" s="196"/>
      <c r="C1059" s="197">
        <v>45500.151296296295</v>
      </c>
      <c r="D1059" s="197">
        <v>45500.151782407411</v>
      </c>
      <c r="E1059" s="198" t="s">
        <v>244</v>
      </c>
      <c r="F1059" s="199"/>
      <c r="G1059" s="140" t="e">
        <f ca="1">mif(C1059="","",OR(B1059=リスト!$C$5,B1059=リスト!$C$6),SUM(INDEX(G:G,MATCH(I1059-1,I:I,0)+1,1):INDEX(G:G,MATCH(I1059,I:I,0)-1,1)),D1059-C1059)</f>
        <v>#NAME?</v>
      </c>
      <c r="H1059" s="140" t="e">
        <f ca="1">mif(C1059="","",B1059=リスト!$C$5,SUMIF(INDEX(B:B,MATCH(I1059-1,I:I,0)+1,1):INDEX(B:B,MATCH(I1059,I:I,0)-1,1),リスト!$C$7,INDEX(G:G,MATCH(I1059-1,I:I,0)+1,1):INDEX(G:G,MATCH(I1059,I:I,0)-1,1)),"")</f>
        <v>#NAME?</v>
      </c>
      <c r="I1059" s="200" t="str">
        <f>IF(OR(B1059=リスト!$C$5,B1059=リスト!$C$6),COUNTIF($B$9:B1059,リスト!$C$5)+COUNTIF($B$9:B1059,リスト!$C$6),"")</f>
        <v/>
      </c>
    </row>
    <row r="1060" spans="2:9" x14ac:dyDescent="0.2">
      <c r="B1060" s="196" t="s">
        <v>247</v>
      </c>
      <c r="C1060" s="197">
        <v>45499.916666666664</v>
      </c>
      <c r="D1060" s="197">
        <v>45500.416666666664</v>
      </c>
      <c r="E1060" s="198">
        <v>11</v>
      </c>
      <c r="F1060" s="199"/>
      <c r="G1060" s="140" t="e">
        <f ca="1">mif(C1060="","",OR(B1060=リスト!$C$5,B1060=リスト!$C$6),SUM(INDEX(G:G,MATCH(I1060-1,I:I,0)+1,1):INDEX(G:G,MATCH(I1060,I:I,0)-1,1)),D1060-C1060)</f>
        <v>#NAME?</v>
      </c>
      <c r="H1060" s="140" t="e">
        <f ca="1">mif(C1060="","",B1060=リスト!$C$5,SUMIF(INDEX(B:B,MATCH(I1060-1,I:I,0)+1,1):INDEX(B:B,MATCH(I1060,I:I,0)-1,1),リスト!$C$7,INDEX(G:G,MATCH(I1060-1,I:I,0)+1,1):INDEX(G:G,MATCH(I1060,I:I,0)-1,1)),"")</f>
        <v>#NAME?</v>
      </c>
      <c r="I1060" s="200">
        <f>IF(OR(B1060=リスト!$C$5,B1060=リスト!$C$6),COUNTIF($B$9:B1060,リスト!$C$5)+COUNTIF($B$9:B1060,リスト!$C$6),"")</f>
        <v>73</v>
      </c>
    </row>
    <row r="1061" spans="2:9" x14ac:dyDescent="0.2">
      <c r="B1061" s="196"/>
      <c r="C1061" s="197">
        <v>45500.429872685185</v>
      </c>
      <c r="D1061" s="197">
        <v>45500.430127314816</v>
      </c>
      <c r="E1061" s="198" t="s">
        <v>244</v>
      </c>
      <c r="F1061" s="199"/>
      <c r="G1061" s="140" t="e">
        <f ca="1">mif(C1061="","",OR(B1061=リスト!$C$5,B1061=リスト!$C$6),SUM(INDEX(G:G,MATCH(I1061-1,I:I,0)+1,1):INDEX(G:G,MATCH(I1061,I:I,0)-1,1)),D1061-C1061)</f>
        <v>#NAME?</v>
      </c>
      <c r="H1061" s="140" t="e">
        <f ca="1">mif(C1061="","",B1061=リスト!$C$5,SUMIF(INDEX(B:B,MATCH(I1061-1,I:I,0)+1,1):INDEX(B:B,MATCH(I1061,I:I,0)-1,1),リスト!$C$7,INDEX(G:G,MATCH(I1061-1,I:I,0)+1,1):INDEX(G:G,MATCH(I1061,I:I,0)-1,1)),"")</f>
        <v>#NAME?</v>
      </c>
      <c r="I1061" s="200" t="str">
        <f>IF(OR(B1061=リスト!$C$5,B1061=リスト!$C$6),COUNTIF($B$9:B1061,リスト!$C$5)+COUNTIF($B$9:B1061,リスト!$C$6),"")</f>
        <v/>
      </c>
    </row>
    <row r="1062" spans="2:9" x14ac:dyDescent="0.2">
      <c r="B1062" s="196"/>
      <c r="C1062" s="197">
        <v>45500.575046296297</v>
      </c>
      <c r="D1062" s="197">
        <v>45500.576967592591</v>
      </c>
      <c r="E1062" s="198" t="s">
        <v>244</v>
      </c>
      <c r="F1062" s="199"/>
      <c r="G1062" s="140" t="e">
        <f ca="1">mif(C1062="","",OR(B1062=リスト!$C$5,B1062=リスト!$C$6),SUM(INDEX(G:G,MATCH(I1062-1,I:I,0)+1,1):INDEX(G:G,MATCH(I1062,I:I,0)-1,1)),D1062-C1062)</f>
        <v>#NAME?</v>
      </c>
      <c r="H1062" s="140" t="e">
        <f ca="1">mif(C1062="","",B1062=リスト!$C$5,SUMIF(INDEX(B:B,MATCH(I1062-1,I:I,0)+1,1):INDEX(B:B,MATCH(I1062,I:I,0)-1,1),リスト!$C$7,INDEX(G:G,MATCH(I1062-1,I:I,0)+1,1):INDEX(G:G,MATCH(I1062,I:I,0)-1,1)),"")</f>
        <v>#NAME?</v>
      </c>
      <c r="I1062" s="200" t="str">
        <f>IF(OR(B1062=リスト!$C$5,B1062=リスト!$C$6),COUNTIF($B$9:B1062,リスト!$C$5)+COUNTIF($B$9:B1062,リスト!$C$6),"")</f>
        <v/>
      </c>
    </row>
    <row r="1063" spans="2:9" x14ac:dyDescent="0.2">
      <c r="B1063" s="196"/>
      <c r="C1063" s="197">
        <v>45500.606828703705</v>
      </c>
      <c r="D1063" s="197">
        <v>45500.607083333336</v>
      </c>
      <c r="E1063" s="198" t="s">
        <v>244</v>
      </c>
      <c r="F1063" s="199"/>
      <c r="G1063" s="140" t="e">
        <f ca="1">mif(C1063="","",OR(B1063=リスト!$C$5,B1063=リスト!$C$6),SUM(INDEX(G:G,MATCH(I1063-1,I:I,0)+1,1):INDEX(G:G,MATCH(I1063,I:I,0)-1,1)),D1063-C1063)</f>
        <v>#NAME?</v>
      </c>
      <c r="H1063" s="140" t="e">
        <f ca="1">mif(C1063="","",B1063=リスト!$C$5,SUMIF(INDEX(B:B,MATCH(I1063-1,I:I,0)+1,1):INDEX(B:B,MATCH(I1063,I:I,0)-1,1),リスト!$C$7,INDEX(G:G,MATCH(I1063-1,I:I,0)+1,1):INDEX(G:G,MATCH(I1063,I:I,0)-1,1)),"")</f>
        <v>#NAME?</v>
      </c>
      <c r="I1063" s="200" t="str">
        <f>IF(OR(B1063=リスト!$C$5,B1063=リスト!$C$6),COUNTIF($B$9:B1063,リスト!$C$5)+COUNTIF($B$9:B1063,リスト!$C$6),"")</f>
        <v/>
      </c>
    </row>
    <row r="1064" spans="2:9" x14ac:dyDescent="0.2">
      <c r="B1064" s="196"/>
      <c r="C1064" s="197">
        <v>45500.656990740739</v>
      </c>
      <c r="D1064" s="197">
        <v>45500.657708333332</v>
      </c>
      <c r="E1064" s="198" t="s">
        <v>244</v>
      </c>
      <c r="F1064" s="199"/>
      <c r="G1064" s="140" t="e">
        <f ca="1">mif(C1064="","",OR(B1064=リスト!$C$5,B1064=リスト!$C$6),SUM(INDEX(G:G,MATCH(I1064-1,I:I,0)+1,1):INDEX(G:G,MATCH(I1064,I:I,0)-1,1)),D1064-C1064)</f>
        <v>#NAME?</v>
      </c>
      <c r="H1064" s="140" t="e">
        <f ca="1">mif(C1064="","",B1064=リスト!$C$5,SUMIF(INDEX(B:B,MATCH(I1064-1,I:I,0)+1,1):INDEX(B:B,MATCH(I1064,I:I,0)-1,1),リスト!$C$7,INDEX(G:G,MATCH(I1064-1,I:I,0)+1,1):INDEX(G:G,MATCH(I1064,I:I,0)-1,1)),"")</f>
        <v>#NAME?</v>
      </c>
      <c r="I1064" s="200" t="str">
        <f>IF(OR(B1064=リスト!$C$5,B1064=リスト!$C$6),COUNTIF($B$9:B1064,リスト!$C$5)+COUNTIF($B$9:B1064,リスト!$C$6),"")</f>
        <v/>
      </c>
    </row>
    <row r="1065" spans="2:9" x14ac:dyDescent="0.2">
      <c r="B1065" s="196" t="s">
        <v>245</v>
      </c>
      <c r="C1065" s="197">
        <v>45500.677199074074</v>
      </c>
      <c r="D1065" s="197">
        <v>45500.705069444448</v>
      </c>
      <c r="E1065" s="198"/>
      <c r="F1065" s="199" t="s">
        <v>309</v>
      </c>
      <c r="G1065" s="140" t="e">
        <f ca="1">mif(C1065="","",OR(B1065=リスト!$C$5,B1065=リスト!$C$6),SUM(INDEX(G:G,MATCH(I1065-1,I:I,0)+1,1):INDEX(G:G,MATCH(I1065,I:I,0)-1,1)),D1065-C1065)</f>
        <v>#NAME?</v>
      </c>
      <c r="H1065" s="140" t="e">
        <f ca="1">mif(C1065="","",B1065=リスト!$C$5,SUMIF(INDEX(B:B,MATCH(I1065-1,I:I,0)+1,1):INDEX(B:B,MATCH(I1065,I:I,0)-1,1),リスト!$C$7,INDEX(G:G,MATCH(I1065-1,I:I,0)+1,1):INDEX(G:G,MATCH(I1065,I:I,0)-1,1)),"")</f>
        <v>#NAME?</v>
      </c>
      <c r="I1065" s="200" t="str">
        <f>IF(OR(B1065=リスト!$C$5,B1065=リスト!$C$6),COUNTIF($B$9:B1065,リスト!$C$5)+COUNTIF($B$9:B1065,リスト!$C$6),"")</f>
        <v/>
      </c>
    </row>
    <row r="1066" spans="2:9" x14ac:dyDescent="0.2">
      <c r="B1066" s="196" t="s">
        <v>245</v>
      </c>
      <c r="C1066" s="197">
        <v>45500.711805555555</v>
      </c>
      <c r="D1066" s="197">
        <v>45500.722222222219</v>
      </c>
      <c r="E1066" s="198"/>
      <c r="F1066" s="199" t="s">
        <v>246</v>
      </c>
      <c r="G1066" s="140" t="e">
        <f ca="1">mif(C1066="","",OR(B1066=リスト!$C$5,B1066=リスト!$C$6),SUM(INDEX(G:G,MATCH(I1066-1,I:I,0)+1,1):INDEX(G:G,MATCH(I1066,I:I,0)-1,1)),D1066-C1066)</f>
        <v>#NAME?</v>
      </c>
      <c r="H1066" s="140" t="e">
        <f ca="1">mif(C1066="","",B1066=リスト!$C$5,SUMIF(INDEX(B:B,MATCH(I1066-1,I:I,0)+1,1):INDEX(B:B,MATCH(I1066,I:I,0)-1,1),リスト!$C$7,INDEX(G:G,MATCH(I1066-1,I:I,0)+1,1):INDEX(G:G,MATCH(I1066,I:I,0)-1,1)),"")</f>
        <v>#NAME?</v>
      </c>
      <c r="I1066" s="200" t="str">
        <f>IF(OR(B1066=リスト!$C$5,B1066=リスト!$C$6),COUNTIF($B$9:B1066,リスト!$C$5)+COUNTIF($B$9:B1066,リスト!$C$6),"")</f>
        <v/>
      </c>
    </row>
    <row r="1067" spans="2:9" x14ac:dyDescent="0.2">
      <c r="B1067" s="196"/>
      <c r="C1067" s="197">
        <v>45500.761504629627</v>
      </c>
      <c r="D1067" s="197">
        <v>45500.761759259258</v>
      </c>
      <c r="E1067" s="198" t="s">
        <v>244</v>
      </c>
      <c r="F1067" s="199"/>
      <c r="G1067" s="140" t="e">
        <f ca="1">mif(C1067="","",OR(B1067=リスト!$C$5,B1067=リスト!$C$6),SUM(INDEX(G:G,MATCH(I1067-1,I:I,0)+1,1):INDEX(G:G,MATCH(I1067,I:I,0)-1,1)),D1067-C1067)</f>
        <v>#NAME?</v>
      </c>
      <c r="H1067" s="140" t="e">
        <f ca="1">mif(C1067="","",B1067=リスト!$C$5,SUMIF(INDEX(B:B,MATCH(I1067-1,I:I,0)+1,1):INDEX(B:B,MATCH(I1067,I:I,0)-1,1),リスト!$C$7,INDEX(G:G,MATCH(I1067-1,I:I,0)+1,1):INDEX(G:G,MATCH(I1067,I:I,0)-1,1)),"")</f>
        <v>#NAME?</v>
      </c>
      <c r="I1067" s="200" t="str">
        <f>IF(OR(B1067=リスト!$C$5,B1067=リスト!$C$6),COUNTIF($B$9:B1067,リスト!$C$5)+COUNTIF($B$9:B1067,リスト!$C$6),"")</f>
        <v/>
      </c>
    </row>
    <row r="1068" spans="2:9" x14ac:dyDescent="0.2">
      <c r="B1068" s="196"/>
      <c r="C1068" s="197">
        <v>45500.84547453704</v>
      </c>
      <c r="D1068" s="197">
        <v>45500.845752314817</v>
      </c>
      <c r="E1068" s="198" t="s">
        <v>244</v>
      </c>
      <c r="F1068" s="199"/>
      <c r="G1068" s="140" t="e">
        <f ca="1">mif(C1068="","",OR(B1068=リスト!$C$5,B1068=リスト!$C$6),SUM(INDEX(G:G,MATCH(I1068-1,I:I,0)+1,1):INDEX(G:G,MATCH(I1068,I:I,0)-1,1)),D1068-C1068)</f>
        <v>#NAME?</v>
      </c>
      <c r="H1068" s="140" t="e">
        <f ca="1">mif(C1068="","",B1068=リスト!$C$5,SUMIF(INDEX(B:B,MATCH(I1068-1,I:I,0)+1,1):INDEX(B:B,MATCH(I1068,I:I,0)-1,1),リスト!$C$7,INDEX(G:G,MATCH(I1068-1,I:I,0)+1,1):INDEX(G:G,MATCH(I1068,I:I,0)-1,1)),"")</f>
        <v>#NAME?</v>
      </c>
      <c r="I1068" s="200" t="str">
        <f>IF(OR(B1068=リスト!$C$5,B1068=リスト!$C$6),COUNTIF($B$9:B1068,リスト!$C$5)+COUNTIF($B$9:B1068,リスト!$C$6),"")</f>
        <v/>
      </c>
    </row>
    <row r="1069" spans="2:9" x14ac:dyDescent="0.2">
      <c r="B1069" s="196"/>
      <c r="C1069" s="197">
        <v>45500.88422453704</v>
      </c>
      <c r="D1069" s="197">
        <v>45500.884502314817</v>
      </c>
      <c r="E1069" s="198" t="s">
        <v>244</v>
      </c>
      <c r="F1069" s="199"/>
      <c r="G1069" s="140" t="e">
        <f ca="1">mif(C1069="","",OR(B1069=リスト!$C$5,B1069=リスト!$C$6),SUM(INDEX(G:G,MATCH(I1069-1,I:I,0)+1,1):INDEX(G:G,MATCH(I1069,I:I,0)-1,1)),D1069-C1069)</f>
        <v>#NAME?</v>
      </c>
      <c r="H1069" s="140" t="e">
        <f ca="1">mif(C1069="","",B1069=リスト!$C$5,SUMIF(INDEX(B:B,MATCH(I1069-1,I:I,0)+1,1):INDEX(B:B,MATCH(I1069,I:I,0)-1,1),リスト!$C$7,INDEX(G:G,MATCH(I1069-1,I:I,0)+1,1):INDEX(G:G,MATCH(I1069,I:I,0)-1,1)),"")</f>
        <v>#NAME?</v>
      </c>
      <c r="I1069" s="200" t="str">
        <f>IF(OR(B1069=リスト!$C$5,B1069=リスト!$C$6),COUNTIF($B$9:B1069,リスト!$C$5)+COUNTIF($B$9:B1069,リスト!$C$6),"")</f>
        <v/>
      </c>
    </row>
    <row r="1070" spans="2:9" x14ac:dyDescent="0.2">
      <c r="B1070" s="196" t="s">
        <v>247</v>
      </c>
      <c r="C1070" s="197">
        <v>45500.416666666664</v>
      </c>
      <c r="D1070" s="197">
        <v>45500.916666666664</v>
      </c>
      <c r="E1070" s="198">
        <v>7</v>
      </c>
      <c r="F1070" s="199" t="s">
        <v>310</v>
      </c>
      <c r="G1070" s="140" t="e">
        <f ca="1">mif(C1070="","",OR(B1070=リスト!$C$5,B1070=リスト!$C$6),SUM(INDEX(G:G,MATCH(I1070-1,I:I,0)+1,1):INDEX(G:G,MATCH(I1070,I:I,0)-1,1)),D1070-C1070)</f>
        <v>#NAME?</v>
      </c>
      <c r="H1070" s="140" t="e">
        <f ca="1">mif(C1070="","",B1070=リスト!$C$5,SUMIF(INDEX(B:B,MATCH(I1070-1,I:I,0)+1,1):INDEX(B:B,MATCH(I1070,I:I,0)-1,1),リスト!$C$7,INDEX(G:G,MATCH(I1070-1,I:I,0)+1,1):INDEX(G:G,MATCH(I1070,I:I,0)-1,1)),"")</f>
        <v>#NAME?</v>
      </c>
      <c r="I1070" s="200">
        <f>IF(OR(B1070=リスト!$C$5,B1070=リスト!$C$6),COUNTIF($B$9:B1070,リスト!$C$5)+COUNTIF($B$9:B1070,リスト!$C$6),"")</f>
        <v>74</v>
      </c>
    </row>
    <row r="1071" spans="2:9" x14ac:dyDescent="0.2">
      <c r="B1071" s="196"/>
      <c r="C1071" s="197">
        <v>45500.930879629632</v>
      </c>
      <c r="D1071" s="197">
        <v>45500.931203703702</v>
      </c>
      <c r="E1071" s="198" t="s">
        <v>244</v>
      </c>
      <c r="F1071" s="199"/>
      <c r="G1071" s="140" t="e">
        <f ca="1">mif(C1071="","",OR(B1071=リスト!$C$5,B1071=リスト!$C$6),SUM(INDEX(G:G,MATCH(I1071-1,I:I,0)+1,1):INDEX(G:G,MATCH(I1071,I:I,0)-1,1)),D1071-C1071)</f>
        <v>#NAME?</v>
      </c>
      <c r="H1071" s="140" t="e">
        <f ca="1">mif(C1071="","",B1071=リスト!$C$5,SUMIF(INDEX(B:B,MATCH(I1071-1,I:I,0)+1,1):INDEX(B:B,MATCH(I1071,I:I,0)-1,1),リスト!$C$7,INDEX(G:G,MATCH(I1071-1,I:I,0)+1,1):INDEX(G:G,MATCH(I1071,I:I,0)-1,1)),"")</f>
        <v>#NAME?</v>
      </c>
      <c r="I1071" s="200" t="str">
        <f>IF(OR(B1071=リスト!$C$5,B1071=リスト!$C$6),COUNTIF($B$9:B1071,リスト!$C$5)+COUNTIF($B$9:B1071,リスト!$C$6),"")</f>
        <v/>
      </c>
    </row>
    <row r="1072" spans="2:9" x14ac:dyDescent="0.2">
      <c r="B1072" s="196" t="s">
        <v>245</v>
      </c>
      <c r="C1072" s="197">
        <v>45501.11550925926</v>
      </c>
      <c r="D1072" s="197">
        <v>45501.138645833336</v>
      </c>
      <c r="E1072" s="198"/>
      <c r="F1072" s="199" t="s">
        <v>82</v>
      </c>
      <c r="G1072" s="140" t="e">
        <f ca="1">mif(C1072="","",OR(B1072=リスト!$C$5,B1072=リスト!$C$6),SUM(INDEX(G:G,MATCH(I1072-1,I:I,0)+1,1):INDEX(G:G,MATCH(I1072,I:I,0)-1,1)),D1072-C1072)</f>
        <v>#NAME?</v>
      </c>
      <c r="H1072" s="140" t="e">
        <f ca="1">mif(C1072="","",B1072=リスト!$C$5,SUMIF(INDEX(B:B,MATCH(I1072-1,I:I,0)+1,1):INDEX(B:B,MATCH(I1072,I:I,0)-1,1),リスト!$C$7,INDEX(G:G,MATCH(I1072-1,I:I,0)+1,1):INDEX(G:G,MATCH(I1072,I:I,0)-1,1)),"")</f>
        <v>#NAME?</v>
      </c>
      <c r="I1072" s="200" t="str">
        <f>IF(OR(B1072=リスト!$C$5,B1072=リスト!$C$6),COUNTIF($B$9:B1072,リスト!$C$5)+COUNTIF($B$9:B1072,リスト!$C$6),"")</f>
        <v/>
      </c>
    </row>
    <row r="1073" spans="2:9" x14ac:dyDescent="0.2">
      <c r="B1073" s="196"/>
      <c r="C1073" s="197">
        <v>45501.214675925927</v>
      </c>
      <c r="D1073" s="197">
        <v>45501.215162037035</v>
      </c>
      <c r="E1073" s="198" t="s">
        <v>244</v>
      </c>
      <c r="F1073" s="199"/>
      <c r="G1073" s="140" t="e">
        <f ca="1">mif(C1073="","",OR(B1073=リスト!$C$5,B1073=リスト!$C$6),SUM(INDEX(G:G,MATCH(I1073-1,I:I,0)+1,1):INDEX(G:G,MATCH(I1073,I:I,0)-1,1)),D1073-C1073)</f>
        <v>#NAME?</v>
      </c>
      <c r="H1073" s="140" t="e">
        <f ca="1">mif(C1073="","",B1073=リスト!$C$5,SUMIF(INDEX(B:B,MATCH(I1073-1,I:I,0)+1,1):INDEX(B:B,MATCH(I1073,I:I,0)-1,1),リスト!$C$7,INDEX(G:G,MATCH(I1073-1,I:I,0)+1,1):INDEX(G:G,MATCH(I1073,I:I,0)-1,1)),"")</f>
        <v>#NAME?</v>
      </c>
      <c r="I1073" s="200" t="str">
        <f>IF(OR(B1073=リスト!$C$5,B1073=リスト!$C$6),COUNTIF($B$9:B1073,リスト!$C$5)+COUNTIF($B$9:B1073,リスト!$C$6),"")</f>
        <v/>
      </c>
    </row>
    <row r="1074" spans="2:9" x14ac:dyDescent="0.2">
      <c r="B1074" s="196"/>
      <c r="C1074" s="197">
        <v>45501.241863425923</v>
      </c>
      <c r="D1074" s="197">
        <v>45501.242164351854</v>
      </c>
      <c r="E1074" s="198" t="s">
        <v>244</v>
      </c>
      <c r="F1074" s="199"/>
      <c r="G1074" s="140" t="e">
        <f ca="1">mif(C1074="","",OR(B1074=リスト!$C$5,B1074=リスト!$C$6),SUM(INDEX(G:G,MATCH(I1074-1,I:I,0)+1,1):INDEX(G:G,MATCH(I1074,I:I,0)-1,1)),D1074-C1074)</f>
        <v>#NAME?</v>
      </c>
      <c r="H1074" s="140" t="e">
        <f ca="1">mif(C1074="","",B1074=リスト!$C$5,SUMIF(INDEX(B:B,MATCH(I1074-1,I:I,0)+1,1):INDEX(B:B,MATCH(I1074,I:I,0)-1,1),リスト!$C$7,INDEX(G:G,MATCH(I1074-1,I:I,0)+1,1):INDEX(G:G,MATCH(I1074,I:I,0)-1,1)),"")</f>
        <v>#NAME?</v>
      </c>
      <c r="I1074" s="200" t="str">
        <f>IF(OR(B1074=リスト!$C$5,B1074=リスト!$C$6),COUNTIF($B$9:B1074,リスト!$C$5)+COUNTIF($B$9:B1074,リスト!$C$6),"")</f>
        <v/>
      </c>
    </row>
    <row r="1075" spans="2:9" x14ac:dyDescent="0.2">
      <c r="B1075" s="196"/>
      <c r="C1075" s="197">
        <v>45501.264976851853</v>
      </c>
      <c r="D1075" s="197">
        <v>45501.265231481484</v>
      </c>
      <c r="E1075" s="198" t="s">
        <v>244</v>
      </c>
      <c r="F1075" s="199"/>
      <c r="G1075" s="140" t="e">
        <f ca="1">mif(C1075="","",OR(B1075=リスト!$C$5,B1075=リスト!$C$6),SUM(INDEX(G:G,MATCH(I1075-1,I:I,0)+1,1):INDEX(G:G,MATCH(I1075,I:I,0)-1,1)),D1075-C1075)</f>
        <v>#NAME?</v>
      </c>
      <c r="H1075" s="140" t="e">
        <f ca="1">mif(C1075="","",B1075=リスト!$C$5,SUMIF(INDEX(B:B,MATCH(I1075-1,I:I,0)+1,1):INDEX(B:B,MATCH(I1075,I:I,0)-1,1),リスト!$C$7,INDEX(G:G,MATCH(I1075-1,I:I,0)+1,1):INDEX(G:G,MATCH(I1075,I:I,0)-1,1)),"")</f>
        <v>#NAME?</v>
      </c>
      <c r="I1075" s="200" t="str">
        <f>IF(OR(B1075=リスト!$C$5,B1075=リスト!$C$6),COUNTIF($B$9:B1075,リスト!$C$5)+COUNTIF($B$9:B1075,リスト!$C$6),"")</f>
        <v/>
      </c>
    </row>
    <row r="1076" spans="2:9" x14ac:dyDescent="0.2">
      <c r="B1076" s="196"/>
      <c r="C1076" s="197">
        <v>45501.290775462963</v>
      </c>
      <c r="D1076" s="197">
        <v>45501.29109953704</v>
      </c>
      <c r="E1076" s="198" t="s">
        <v>244</v>
      </c>
      <c r="F1076" s="199"/>
      <c r="G1076" s="140" t="e">
        <f ca="1">mif(C1076="","",OR(B1076=リスト!$C$5,B1076=リスト!$C$6),SUM(INDEX(G:G,MATCH(I1076-1,I:I,0)+1,1):INDEX(G:G,MATCH(I1076,I:I,0)-1,1)),D1076-C1076)</f>
        <v>#NAME?</v>
      </c>
      <c r="H1076" s="140" t="e">
        <f ca="1">mif(C1076="","",B1076=リスト!$C$5,SUMIF(INDEX(B:B,MATCH(I1076-1,I:I,0)+1,1):INDEX(B:B,MATCH(I1076,I:I,0)-1,1),リスト!$C$7,INDEX(G:G,MATCH(I1076-1,I:I,0)+1,1):INDEX(G:G,MATCH(I1076,I:I,0)-1,1)),"")</f>
        <v>#NAME?</v>
      </c>
      <c r="I1076" s="200" t="str">
        <f>IF(OR(B1076=リスト!$C$5,B1076=リスト!$C$6),COUNTIF($B$9:B1076,リスト!$C$5)+COUNTIF($B$9:B1076,リスト!$C$6),"")</f>
        <v/>
      </c>
    </row>
    <row r="1077" spans="2:9" x14ac:dyDescent="0.2">
      <c r="B1077" s="196"/>
      <c r="C1077" s="197">
        <v>45501.297025462962</v>
      </c>
      <c r="D1077" s="197">
        <v>45501.297349537039</v>
      </c>
      <c r="E1077" s="198" t="s">
        <v>244</v>
      </c>
      <c r="F1077" s="199"/>
      <c r="G1077" s="140" t="e">
        <f ca="1">mif(C1077="","",OR(B1077=リスト!$C$5,B1077=リスト!$C$6),SUM(INDEX(G:G,MATCH(I1077-1,I:I,0)+1,1):INDEX(G:G,MATCH(I1077,I:I,0)-1,1)),D1077-C1077)</f>
        <v>#NAME?</v>
      </c>
      <c r="H1077" s="140" t="e">
        <f ca="1">mif(C1077="","",B1077=リスト!$C$5,SUMIF(INDEX(B:B,MATCH(I1077-1,I:I,0)+1,1):INDEX(B:B,MATCH(I1077,I:I,0)-1,1),リスト!$C$7,INDEX(G:G,MATCH(I1077-1,I:I,0)+1,1):INDEX(G:G,MATCH(I1077,I:I,0)-1,1)),"")</f>
        <v>#NAME?</v>
      </c>
      <c r="I1077" s="200" t="str">
        <f>IF(OR(B1077=リスト!$C$5,B1077=リスト!$C$6),COUNTIF($B$9:B1077,リスト!$C$5)+COUNTIF($B$9:B1077,リスト!$C$6),"")</f>
        <v/>
      </c>
    </row>
    <row r="1078" spans="2:9" x14ac:dyDescent="0.2">
      <c r="B1078" s="196"/>
      <c r="C1078" s="197">
        <v>45501.369351851848</v>
      </c>
      <c r="D1078" s="197">
        <v>45501.369629629633</v>
      </c>
      <c r="E1078" s="198" t="s">
        <v>244</v>
      </c>
      <c r="F1078" s="199"/>
      <c r="G1078" s="140" t="e">
        <f ca="1">mif(C1078="","",OR(B1078=リスト!$C$5,B1078=リスト!$C$6),SUM(INDEX(G:G,MATCH(I1078-1,I:I,0)+1,1):INDEX(G:G,MATCH(I1078,I:I,0)-1,1)),D1078-C1078)</f>
        <v>#NAME?</v>
      </c>
      <c r="H1078" s="140" t="e">
        <f ca="1">mif(C1078="","",B1078=リスト!$C$5,SUMIF(INDEX(B:B,MATCH(I1078-1,I:I,0)+1,1):INDEX(B:B,MATCH(I1078,I:I,0)-1,1),リスト!$C$7,INDEX(G:G,MATCH(I1078-1,I:I,0)+1,1):INDEX(G:G,MATCH(I1078,I:I,0)-1,1)),"")</f>
        <v>#NAME?</v>
      </c>
      <c r="I1078" s="200" t="str">
        <f>IF(OR(B1078=リスト!$C$5,B1078=リスト!$C$6),COUNTIF($B$9:B1078,リスト!$C$5)+COUNTIF($B$9:B1078,リスト!$C$6),"")</f>
        <v/>
      </c>
    </row>
    <row r="1079" spans="2:9" x14ac:dyDescent="0.2">
      <c r="B1079" s="196" t="s">
        <v>247</v>
      </c>
      <c r="C1079" s="197">
        <v>45500.916666666664</v>
      </c>
      <c r="D1079" s="197">
        <v>45501.416666666664</v>
      </c>
      <c r="E1079" s="198">
        <v>7</v>
      </c>
      <c r="F1079" s="199" t="s">
        <v>82</v>
      </c>
      <c r="G1079" s="140" t="e">
        <f ca="1">mif(C1079="","",OR(B1079=リスト!$C$5,B1079=リスト!$C$6),SUM(INDEX(G:G,MATCH(I1079-1,I:I,0)+1,1):INDEX(G:G,MATCH(I1079,I:I,0)-1,1)),D1079-C1079)</f>
        <v>#NAME?</v>
      </c>
      <c r="H1079" s="140" t="e">
        <f ca="1">mif(C1079="","",B1079=リスト!$C$5,SUMIF(INDEX(B:B,MATCH(I1079-1,I:I,0)+1,1):INDEX(B:B,MATCH(I1079,I:I,0)-1,1),リスト!$C$7,INDEX(G:G,MATCH(I1079-1,I:I,0)+1,1):INDEX(G:G,MATCH(I1079,I:I,0)-1,1)),"")</f>
        <v>#NAME?</v>
      </c>
      <c r="I1079" s="200">
        <f>IF(OR(B1079=リスト!$C$5,B1079=リスト!$C$6),COUNTIF($B$9:B1079,リスト!$C$5)+COUNTIF($B$9:B1079,リスト!$C$6),"")</f>
        <v>75</v>
      </c>
    </row>
    <row r="1080" spans="2:9" x14ac:dyDescent="0.2">
      <c r="B1080" s="196"/>
      <c r="C1080" s="197">
        <v>45501.553414351853</v>
      </c>
      <c r="D1080" s="197">
        <v>45501.553761574076</v>
      </c>
      <c r="E1080" s="198" t="s">
        <v>244</v>
      </c>
      <c r="F1080" s="199"/>
      <c r="G1080" s="140" t="e">
        <f ca="1">mif(C1080="","",OR(B1080=リスト!$C$5,B1080=リスト!$C$6),SUM(INDEX(G:G,MATCH(I1080-1,I:I,0)+1,1):INDEX(G:G,MATCH(I1080,I:I,0)-1,1)),D1080-C1080)</f>
        <v>#NAME?</v>
      </c>
      <c r="H1080" s="140" t="e">
        <f ca="1">mif(C1080="","",B1080=リスト!$C$5,SUMIF(INDEX(B:B,MATCH(I1080-1,I:I,0)+1,1):INDEX(B:B,MATCH(I1080,I:I,0)-1,1),リスト!$C$7,INDEX(G:G,MATCH(I1080-1,I:I,0)+1,1):INDEX(G:G,MATCH(I1080,I:I,0)-1,1)),"")</f>
        <v>#NAME?</v>
      </c>
      <c r="I1080" s="200" t="str">
        <f>IF(OR(B1080=リスト!$C$5,B1080=リスト!$C$6),COUNTIF($B$9:B1080,リスト!$C$5)+COUNTIF($B$9:B1080,リスト!$C$6),"")</f>
        <v/>
      </c>
    </row>
    <row r="1081" spans="2:9" x14ac:dyDescent="0.2">
      <c r="B1081" s="196"/>
      <c r="C1081" s="197">
        <v>45501.561192129629</v>
      </c>
      <c r="D1081" s="197">
        <v>45501.561469907407</v>
      </c>
      <c r="E1081" s="198" t="s">
        <v>244</v>
      </c>
      <c r="F1081" s="199"/>
      <c r="G1081" s="140" t="e">
        <f ca="1">mif(C1081="","",OR(B1081=リスト!$C$5,B1081=リスト!$C$6),SUM(INDEX(G:G,MATCH(I1081-1,I:I,0)+1,1):INDEX(G:G,MATCH(I1081,I:I,0)-1,1)),D1081-C1081)</f>
        <v>#NAME?</v>
      </c>
      <c r="H1081" s="140" t="e">
        <f ca="1">mif(C1081="","",B1081=リスト!$C$5,SUMIF(INDEX(B:B,MATCH(I1081-1,I:I,0)+1,1):INDEX(B:B,MATCH(I1081,I:I,0)-1,1),リスト!$C$7,INDEX(G:G,MATCH(I1081-1,I:I,0)+1,1):INDEX(G:G,MATCH(I1081,I:I,0)-1,1)),"")</f>
        <v>#NAME?</v>
      </c>
      <c r="I1081" s="200" t="str">
        <f>IF(OR(B1081=リスト!$C$5,B1081=リスト!$C$6),COUNTIF($B$9:B1081,リスト!$C$5)+COUNTIF($B$9:B1081,リスト!$C$6),"")</f>
        <v/>
      </c>
    </row>
    <row r="1082" spans="2:9" x14ac:dyDescent="0.2">
      <c r="B1082" s="196"/>
      <c r="C1082" s="197">
        <v>45501.572592592594</v>
      </c>
      <c r="D1082" s="197">
        <v>45501.573148148149</v>
      </c>
      <c r="E1082" s="198" t="s">
        <v>244</v>
      </c>
      <c r="F1082" s="199"/>
      <c r="G1082" s="140" t="e">
        <f ca="1">mif(C1082="","",OR(B1082=リスト!$C$5,B1082=リスト!$C$6),SUM(INDEX(G:G,MATCH(I1082-1,I:I,0)+1,1):INDEX(G:G,MATCH(I1082,I:I,0)-1,1)),D1082-C1082)</f>
        <v>#NAME?</v>
      </c>
      <c r="H1082" s="140" t="e">
        <f ca="1">mif(C1082="","",B1082=リスト!$C$5,SUMIF(INDEX(B:B,MATCH(I1082-1,I:I,0)+1,1):INDEX(B:B,MATCH(I1082,I:I,0)-1,1),リスト!$C$7,INDEX(G:G,MATCH(I1082-1,I:I,0)+1,1):INDEX(G:G,MATCH(I1082,I:I,0)-1,1)),"")</f>
        <v>#NAME?</v>
      </c>
      <c r="I1082" s="200" t="str">
        <f>IF(OR(B1082=リスト!$C$5,B1082=リスト!$C$6),COUNTIF($B$9:B1082,リスト!$C$5)+COUNTIF($B$9:B1082,リスト!$C$6),"")</f>
        <v/>
      </c>
    </row>
    <row r="1083" spans="2:9" x14ac:dyDescent="0.2">
      <c r="B1083" s="196"/>
      <c r="C1083" s="197">
        <v>45501.576064814813</v>
      </c>
      <c r="D1083" s="197">
        <v>45501.577222222222</v>
      </c>
      <c r="E1083" s="198" t="s">
        <v>244</v>
      </c>
      <c r="F1083" s="199"/>
      <c r="G1083" s="140" t="e">
        <f ca="1">mif(C1083="","",OR(B1083=リスト!$C$5,B1083=リスト!$C$6),SUM(INDEX(G:G,MATCH(I1083-1,I:I,0)+1,1):INDEX(G:G,MATCH(I1083,I:I,0)-1,1)),D1083-C1083)</f>
        <v>#NAME?</v>
      </c>
      <c r="H1083" s="140" t="e">
        <f ca="1">mif(C1083="","",B1083=リスト!$C$5,SUMIF(INDEX(B:B,MATCH(I1083-1,I:I,0)+1,1):INDEX(B:B,MATCH(I1083,I:I,0)-1,1),リスト!$C$7,INDEX(G:G,MATCH(I1083-1,I:I,0)+1,1):INDEX(G:G,MATCH(I1083,I:I,0)-1,1)),"")</f>
        <v>#NAME?</v>
      </c>
      <c r="I1083" s="200" t="str">
        <f>IF(OR(B1083=リスト!$C$5,B1083=リスト!$C$6),COUNTIF($B$9:B1083,リスト!$C$5)+COUNTIF($B$9:B1083,リスト!$C$6),"")</f>
        <v/>
      </c>
    </row>
    <row r="1084" spans="2:9" x14ac:dyDescent="0.2">
      <c r="B1084" s="196"/>
      <c r="C1084" s="197">
        <v>45501.598923611113</v>
      </c>
      <c r="D1084" s="197">
        <v>45501.601851851854</v>
      </c>
      <c r="E1084" s="198" t="s">
        <v>244</v>
      </c>
      <c r="F1084" s="199"/>
      <c r="G1084" s="140" t="e">
        <f ca="1">mif(C1084="","",OR(B1084=リスト!$C$5,B1084=リスト!$C$6),SUM(INDEX(G:G,MATCH(I1084-1,I:I,0)+1,1):INDEX(G:G,MATCH(I1084,I:I,0)-1,1)),D1084-C1084)</f>
        <v>#NAME?</v>
      </c>
      <c r="H1084" s="140" t="e">
        <f ca="1">mif(C1084="","",B1084=リスト!$C$5,SUMIF(INDEX(B:B,MATCH(I1084-1,I:I,0)+1,1):INDEX(B:B,MATCH(I1084,I:I,0)-1,1),リスト!$C$7,INDEX(G:G,MATCH(I1084-1,I:I,0)+1,1):INDEX(G:G,MATCH(I1084,I:I,0)-1,1)),"")</f>
        <v>#NAME?</v>
      </c>
      <c r="I1084" s="200" t="str">
        <f>IF(OR(B1084=リスト!$C$5,B1084=リスト!$C$6),COUNTIF($B$9:B1084,リスト!$C$5)+COUNTIF($B$9:B1084,リスト!$C$6),"")</f>
        <v/>
      </c>
    </row>
    <row r="1085" spans="2:9" x14ac:dyDescent="0.2">
      <c r="B1085" s="196"/>
      <c r="C1085" s="197">
        <v>45501.63071759259</v>
      </c>
      <c r="D1085" s="197">
        <v>45501.631041666667</v>
      </c>
      <c r="E1085" s="198" t="s">
        <v>244</v>
      </c>
      <c r="F1085" s="199"/>
      <c r="G1085" s="140" t="e">
        <f ca="1">mif(C1085="","",OR(B1085=リスト!$C$5,B1085=リスト!$C$6),SUM(INDEX(G:G,MATCH(I1085-1,I:I,0)+1,1):INDEX(G:G,MATCH(I1085,I:I,0)-1,1)),D1085-C1085)</f>
        <v>#NAME?</v>
      </c>
      <c r="H1085" s="140" t="e">
        <f ca="1">mif(C1085="","",B1085=リスト!$C$5,SUMIF(INDEX(B:B,MATCH(I1085-1,I:I,0)+1,1):INDEX(B:B,MATCH(I1085,I:I,0)-1,1),リスト!$C$7,INDEX(G:G,MATCH(I1085-1,I:I,0)+1,1):INDEX(G:G,MATCH(I1085,I:I,0)-1,1)),"")</f>
        <v>#NAME?</v>
      </c>
      <c r="I1085" s="200" t="str">
        <f>IF(OR(B1085=リスト!$C$5,B1085=リスト!$C$6),COUNTIF($B$9:B1085,リスト!$C$5)+COUNTIF($B$9:B1085,リスト!$C$6),"")</f>
        <v/>
      </c>
    </row>
    <row r="1086" spans="2:9" x14ac:dyDescent="0.2">
      <c r="B1086" s="196"/>
      <c r="C1086" s="197">
        <v>45501.684212962966</v>
      </c>
      <c r="D1086" s="197">
        <v>45501.684814814813</v>
      </c>
      <c r="E1086" s="198" t="s">
        <v>244</v>
      </c>
      <c r="F1086" s="199"/>
      <c r="G1086" s="140" t="e">
        <f ca="1">mif(C1086="","",OR(B1086=リスト!$C$5,B1086=リスト!$C$6),SUM(INDEX(G:G,MATCH(I1086-1,I:I,0)+1,1):INDEX(G:G,MATCH(I1086,I:I,0)-1,1)),D1086-C1086)</f>
        <v>#NAME?</v>
      </c>
      <c r="H1086" s="140" t="e">
        <f ca="1">mif(C1086="","",B1086=リスト!$C$5,SUMIF(INDEX(B:B,MATCH(I1086-1,I:I,0)+1,1):INDEX(B:B,MATCH(I1086,I:I,0)-1,1),リスト!$C$7,INDEX(G:G,MATCH(I1086-1,I:I,0)+1,1):INDEX(G:G,MATCH(I1086,I:I,0)-1,1)),"")</f>
        <v>#NAME?</v>
      </c>
      <c r="I1086" s="200" t="str">
        <f>IF(OR(B1086=リスト!$C$5,B1086=リスト!$C$6),COUNTIF($B$9:B1086,リスト!$C$5)+COUNTIF($B$9:B1086,リスト!$C$6),"")</f>
        <v/>
      </c>
    </row>
    <row r="1087" spans="2:9" x14ac:dyDescent="0.2">
      <c r="B1087" s="196"/>
      <c r="C1087" s="197">
        <v>45501.747071759259</v>
      </c>
      <c r="D1087" s="197">
        <v>45501.747395833336</v>
      </c>
      <c r="E1087" s="198" t="s">
        <v>244</v>
      </c>
      <c r="F1087" s="199"/>
      <c r="G1087" s="140" t="e">
        <f ca="1">mif(C1087="","",OR(B1087=リスト!$C$5,B1087=リスト!$C$6),SUM(INDEX(G:G,MATCH(I1087-1,I:I,0)+1,1):INDEX(G:G,MATCH(I1087,I:I,0)-1,1)),D1087-C1087)</f>
        <v>#NAME?</v>
      </c>
      <c r="H1087" s="140" t="e">
        <f ca="1">mif(C1087="","",B1087=リスト!$C$5,SUMIF(INDEX(B:B,MATCH(I1087-1,I:I,0)+1,1):INDEX(B:B,MATCH(I1087,I:I,0)-1,1),リスト!$C$7,INDEX(G:G,MATCH(I1087-1,I:I,0)+1,1):INDEX(G:G,MATCH(I1087,I:I,0)-1,1)),"")</f>
        <v>#NAME?</v>
      </c>
      <c r="I1087" s="200" t="str">
        <f>IF(OR(B1087=リスト!$C$5,B1087=リスト!$C$6),COUNTIF($B$9:B1087,リスト!$C$5)+COUNTIF($B$9:B1087,リスト!$C$6),"")</f>
        <v/>
      </c>
    </row>
    <row r="1088" spans="2:9" x14ac:dyDescent="0.2">
      <c r="B1088" s="196"/>
      <c r="C1088" s="197">
        <v>45501.775509259256</v>
      </c>
      <c r="D1088" s="197">
        <v>45501.775810185187</v>
      </c>
      <c r="E1088" s="198" t="s">
        <v>244</v>
      </c>
      <c r="F1088" s="199"/>
      <c r="G1088" s="140" t="e">
        <f ca="1">mif(C1088="","",OR(B1088=リスト!$C$5,B1088=リスト!$C$6),SUM(INDEX(G:G,MATCH(I1088-1,I:I,0)+1,1):INDEX(G:G,MATCH(I1088,I:I,0)-1,1)),D1088-C1088)</f>
        <v>#NAME?</v>
      </c>
      <c r="H1088" s="140" t="e">
        <f ca="1">mif(C1088="","",B1088=リスト!$C$5,SUMIF(INDEX(B:B,MATCH(I1088-1,I:I,0)+1,1):INDEX(B:B,MATCH(I1088,I:I,0)-1,1),リスト!$C$7,INDEX(G:G,MATCH(I1088-1,I:I,0)+1,1):INDEX(G:G,MATCH(I1088,I:I,0)-1,1)),"")</f>
        <v>#NAME?</v>
      </c>
      <c r="I1088" s="200" t="str">
        <f>IF(OR(B1088=リスト!$C$5,B1088=リスト!$C$6),COUNTIF($B$9:B1088,リスト!$C$5)+COUNTIF($B$9:B1088,リスト!$C$6),"")</f>
        <v/>
      </c>
    </row>
    <row r="1089" spans="2:9" x14ac:dyDescent="0.2">
      <c r="B1089" s="196"/>
      <c r="C1089" s="197">
        <v>45501.784282407411</v>
      </c>
      <c r="D1089" s="197">
        <v>45501.784537037034</v>
      </c>
      <c r="E1089" s="198" t="s">
        <v>244</v>
      </c>
      <c r="F1089" s="199"/>
      <c r="G1089" s="140" t="e">
        <f ca="1">mif(C1089="","",OR(B1089=リスト!$C$5,B1089=リスト!$C$6),SUM(INDEX(G:G,MATCH(I1089-1,I:I,0)+1,1):INDEX(G:G,MATCH(I1089,I:I,0)-1,1)),D1089-C1089)</f>
        <v>#NAME?</v>
      </c>
      <c r="H1089" s="140" t="e">
        <f ca="1">mif(C1089="","",B1089=リスト!$C$5,SUMIF(INDEX(B:B,MATCH(I1089-1,I:I,0)+1,1):INDEX(B:B,MATCH(I1089,I:I,0)-1,1),リスト!$C$7,INDEX(G:G,MATCH(I1089-1,I:I,0)+1,1):INDEX(G:G,MATCH(I1089,I:I,0)-1,1)),"")</f>
        <v>#NAME?</v>
      </c>
      <c r="I1089" s="200" t="str">
        <f>IF(OR(B1089=リスト!$C$5,B1089=リスト!$C$6),COUNTIF($B$9:B1089,リスト!$C$5)+COUNTIF($B$9:B1089,リスト!$C$6),"")</f>
        <v/>
      </c>
    </row>
    <row r="1090" spans="2:9" x14ac:dyDescent="0.2">
      <c r="B1090" s="196"/>
      <c r="C1090" s="197">
        <v>45501.787569444445</v>
      </c>
      <c r="D1090" s="197">
        <v>45501.787847222222</v>
      </c>
      <c r="E1090" s="198" t="s">
        <v>244</v>
      </c>
      <c r="F1090" s="199"/>
      <c r="G1090" s="140" t="e">
        <f ca="1">mif(C1090="","",OR(B1090=リスト!$C$5,B1090=リスト!$C$6),SUM(INDEX(G:G,MATCH(I1090-1,I:I,0)+1,1):INDEX(G:G,MATCH(I1090,I:I,0)-1,1)),D1090-C1090)</f>
        <v>#NAME?</v>
      </c>
      <c r="H1090" s="140" t="e">
        <f ca="1">mif(C1090="","",B1090=リスト!$C$5,SUMIF(INDEX(B:B,MATCH(I1090-1,I:I,0)+1,1):INDEX(B:B,MATCH(I1090,I:I,0)-1,1),リスト!$C$7,INDEX(G:G,MATCH(I1090-1,I:I,0)+1,1):INDEX(G:G,MATCH(I1090,I:I,0)-1,1)),"")</f>
        <v>#NAME?</v>
      </c>
      <c r="I1090" s="200" t="str">
        <f>IF(OR(B1090=リスト!$C$5,B1090=リスト!$C$6),COUNTIF($B$9:B1090,リスト!$C$5)+COUNTIF($B$9:B1090,リスト!$C$6),"")</f>
        <v/>
      </c>
    </row>
    <row r="1091" spans="2:9" x14ac:dyDescent="0.2">
      <c r="B1091" s="196"/>
      <c r="C1091" s="197">
        <v>45501.806215277778</v>
      </c>
      <c r="D1091" s="197">
        <v>45501.806516203702</v>
      </c>
      <c r="E1091" s="198" t="s">
        <v>244</v>
      </c>
      <c r="F1091" s="199"/>
      <c r="G1091" s="140" t="e">
        <f ca="1">mif(C1091="","",OR(B1091=リスト!$C$5,B1091=リスト!$C$6),SUM(INDEX(G:G,MATCH(I1091-1,I:I,0)+1,1):INDEX(G:G,MATCH(I1091,I:I,0)-1,1)),D1091-C1091)</f>
        <v>#NAME?</v>
      </c>
      <c r="H1091" s="140" t="e">
        <f ca="1">mif(C1091="","",B1091=リスト!$C$5,SUMIF(INDEX(B:B,MATCH(I1091-1,I:I,0)+1,1):INDEX(B:B,MATCH(I1091,I:I,0)-1,1),リスト!$C$7,INDEX(G:G,MATCH(I1091-1,I:I,0)+1,1):INDEX(G:G,MATCH(I1091,I:I,0)-1,1)),"")</f>
        <v>#NAME?</v>
      </c>
      <c r="I1091" s="200" t="str">
        <f>IF(OR(B1091=リスト!$C$5,B1091=リスト!$C$6),COUNTIF($B$9:B1091,リスト!$C$5)+COUNTIF($B$9:B1091,リスト!$C$6),"")</f>
        <v/>
      </c>
    </row>
    <row r="1092" spans="2:9" x14ac:dyDescent="0.2">
      <c r="B1092" s="196"/>
      <c r="C1092" s="197">
        <v>45501.844675925924</v>
      </c>
      <c r="D1092" s="197">
        <v>45501.844953703701</v>
      </c>
      <c r="E1092" s="198" t="s">
        <v>244</v>
      </c>
      <c r="F1092" s="199"/>
      <c r="G1092" s="140" t="e">
        <f ca="1">mif(C1092="","",OR(B1092=リスト!$C$5,B1092=リスト!$C$6),SUM(INDEX(G:G,MATCH(I1092-1,I:I,0)+1,1):INDEX(G:G,MATCH(I1092,I:I,0)-1,1)),D1092-C1092)</f>
        <v>#NAME?</v>
      </c>
      <c r="H1092" s="140" t="e">
        <f ca="1">mif(C1092="","",B1092=リスト!$C$5,SUMIF(INDEX(B:B,MATCH(I1092-1,I:I,0)+1,1):INDEX(B:B,MATCH(I1092,I:I,0)-1,1),リスト!$C$7,INDEX(G:G,MATCH(I1092-1,I:I,0)+1,1):INDEX(G:G,MATCH(I1092,I:I,0)-1,1)),"")</f>
        <v>#NAME?</v>
      </c>
      <c r="I1092" s="200" t="str">
        <f>IF(OR(B1092=リスト!$C$5,B1092=リスト!$C$6),COUNTIF($B$9:B1092,リスト!$C$5)+COUNTIF($B$9:B1092,リスト!$C$6),"")</f>
        <v/>
      </c>
    </row>
    <row r="1093" spans="2:9" x14ac:dyDescent="0.2">
      <c r="B1093" s="196"/>
      <c r="C1093" s="197">
        <v>45501.85396990741</v>
      </c>
      <c r="D1093" s="197">
        <v>45501.854247685187</v>
      </c>
      <c r="E1093" s="198" t="s">
        <v>244</v>
      </c>
      <c r="F1093" s="199"/>
      <c r="G1093" s="140" t="e">
        <f ca="1">mif(C1093="","",OR(B1093=リスト!$C$5,B1093=リスト!$C$6),SUM(INDEX(G:G,MATCH(I1093-1,I:I,0)+1,1):INDEX(G:G,MATCH(I1093,I:I,0)-1,1)),D1093-C1093)</f>
        <v>#NAME?</v>
      </c>
      <c r="H1093" s="140" t="e">
        <f ca="1">mif(C1093="","",B1093=リスト!$C$5,SUMIF(INDEX(B:B,MATCH(I1093-1,I:I,0)+1,1):INDEX(B:B,MATCH(I1093,I:I,0)-1,1),リスト!$C$7,INDEX(G:G,MATCH(I1093-1,I:I,0)+1,1):INDEX(G:G,MATCH(I1093,I:I,0)-1,1)),"")</f>
        <v>#NAME?</v>
      </c>
      <c r="I1093" s="200" t="str">
        <f>IF(OR(B1093=リスト!$C$5,B1093=リスト!$C$6),COUNTIF($B$9:B1093,リスト!$C$5)+COUNTIF($B$9:B1093,リスト!$C$6),"")</f>
        <v/>
      </c>
    </row>
    <row r="1094" spans="2:9" x14ac:dyDescent="0.2">
      <c r="B1094" s="196"/>
      <c r="C1094" s="197">
        <v>45501.866400462961</v>
      </c>
      <c r="D1094" s="197">
        <v>45501.866631944446</v>
      </c>
      <c r="E1094" s="198" t="s">
        <v>244</v>
      </c>
      <c r="F1094" s="199"/>
      <c r="G1094" s="140" t="e">
        <f ca="1">mif(C1094="","",OR(B1094=リスト!$C$5,B1094=リスト!$C$6),SUM(INDEX(G:G,MATCH(I1094-1,I:I,0)+1,1):INDEX(G:G,MATCH(I1094,I:I,0)-1,1)),D1094-C1094)</f>
        <v>#NAME?</v>
      </c>
      <c r="H1094" s="140" t="e">
        <f ca="1">mif(C1094="","",B1094=リスト!$C$5,SUMIF(INDEX(B:B,MATCH(I1094-1,I:I,0)+1,1):INDEX(B:B,MATCH(I1094,I:I,0)-1,1),リスト!$C$7,INDEX(G:G,MATCH(I1094-1,I:I,0)+1,1):INDEX(G:G,MATCH(I1094,I:I,0)-1,1)),"")</f>
        <v>#NAME?</v>
      </c>
      <c r="I1094" s="200" t="str">
        <f>IF(OR(B1094=リスト!$C$5,B1094=リスト!$C$6),COUNTIF($B$9:B1094,リスト!$C$5)+COUNTIF($B$9:B1094,リスト!$C$6),"")</f>
        <v/>
      </c>
    </row>
    <row r="1095" spans="2:9" x14ac:dyDescent="0.2">
      <c r="B1095" s="196"/>
      <c r="C1095" s="197">
        <v>45501.875023148146</v>
      </c>
      <c r="D1095" s="197">
        <v>45501.875324074077</v>
      </c>
      <c r="E1095" s="198" t="s">
        <v>244</v>
      </c>
      <c r="F1095" s="199"/>
      <c r="G1095" s="140" t="e">
        <f ca="1">mif(C1095="","",OR(B1095=リスト!$C$5,B1095=リスト!$C$6),SUM(INDEX(G:G,MATCH(I1095-1,I:I,0)+1,1):INDEX(G:G,MATCH(I1095,I:I,0)-1,1)),D1095-C1095)</f>
        <v>#NAME?</v>
      </c>
      <c r="H1095" s="140" t="e">
        <f ca="1">mif(C1095="","",B1095=リスト!$C$5,SUMIF(INDEX(B:B,MATCH(I1095-1,I:I,0)+1,1):INDEX(B:B,MATCH(I1095,I:I,0)-1,1),リスト!$C$7,INDEX(G:G,MATCH(I1095-1,I:I,0)+1,1):INDEX(G:G,MATCH(I1095,I:I,0)-1,1)),"")</f>
        <v>#NAME?</v>
      </c>
      <c r="I1095" s="200" t="str">
        <f>IF(OR(B1095=リスト!$C$5,B1095=リスト!$C$6),COUNTIF($B$9:B1095,リスト!$C$5)+COUNTIF($B$9:B1095,リスト!$C$6),"")</f>
        <v/>
      </c>
    </row>
    <row r="1096" spans="2:9" x14ac:dyDescent="0.2">
      <c r="B1096" s="196"/>
      <c r="C1096" s="197">
        <v>45501.885416666664</v>
      </c>
      <c r="D1096" s="197">
        <v>45501.885717592595</v>
      </c>
      <c r="E1096" s="198" t="s">
        <v>244</v>
      </c>
      <c r="F1096" s="199"/>
      <c r="G1096" s="140" t="e">
        <f ca="1">mif(C1096="","",OR(B1096=リスト!$C$5,B1096=リスト!$C$6),SUM(INDEX(G:G,MATCH(I1096-1,I:I,0)+1,1):INDEX(G:G,MATCH(I1096,I:I,0)-1,1)),D1096-C1096)</f>
        <v>#NAME?</v>
      </c>
      <c r="H1096" s="140" t="e">
        <f ca="1">mif(C1096="","",B1096=リスト!$C$5,SUMIF(INDEX(B:B,MATCH(I1096-1,I:I,0)+1,1):INDEX(B:B,MATCH(I1096,I:I,0)-1,1),リスト!$C$7,INDEX(G:G,MATCH(I1096-1,I:I,0)+1,1):INDEX(G:G,MATCH(I1096,I:I,0)-1,1)),"")</f>
        <v>#NAME?</v>
      </c>
      <c r="I1096" s="200" t="str">
        <f>IF(OR(B1096=リスト!$C$5,B1096=リスト!$C$6),COUNTIF($B$9:B1096,リスト!$C$5)+COUNTIF($B$9:B1096,リスト!$C$6),"")</f>
        <v/>
      </c>
    </row>
    <row r="1097" spans="2:9" x14ac:dyDescent="0.2">
      <c r="B1097" s="196"/>
      <c r="C1097" s="197">
        <v>45501.904224537036</v>
      </c>
      <c r="D1097" s="197">
        <v>45501.904548611114</v>
      </c>
      <c r="E1097" s="198" t="s">
        <v>244</v>
      </c>
      <c r="F1097" s="199"/>
      <c r="G1097" s="140" t="e">
        <f ca="1">mif(C1097="","",OR(B1097=リスト!$C$5,B1097=リスト!$C$6),SUM(INDEX(G:G,MATCH(I1097-1,I:I,0)+1,1):INDEX(G:G,MATCH(I1097,I:I,0)-1,1)),D1097-C1097)</f>
        <v>#NAME?</v>
      </c>
      <c r="H1097" s="140" t="e">
        <f ca="1">mif(C1097="","",B1097=リスト!$C$5,SUMIF(INDEX(B:B,MATCH(I1097-1,I:I,0)+1,1):INDEX(B:B,MATCH(I1097,I:I,0)-1,1),リスト!$C$7,INDEX(G:G,MATCH(I1097-1,I:I,0)+1,1):INDEX(G:G,MATCH(I1097,I:I,0)-1,1)),"")</f>
        <v>#NAME?</v>
      </c>
      <c r="I1097" s="200" t="str">
        <f>IF(OR(B1097=リスト!$C$5,B1097=リスト!$C$6),COUNTIF($B$9:B1097,リスト!$C$5)+COUNTIF($B$9:B1097,リスト!$C$6),"")</f>
        <v/>
      </c>
    </row>
    <row r="1098" spans="2:9" x14ac:dyDescent="0.2">
      <c r="B1098" s="196"/>
      <c r="C1098" s="197">
        <v>45501.908645833333</v>
      </c>
      <c r="D1098" s="197">
        <v>45501.90896990741</v>
      </c>
      <c r="E1098" s="198" t="s">
        <v>244</v>
      </c>
      <c r="F1098" s="199"/>
      <c r="G1098" s="140" t="e">
        <f ca="1">mif(C1098="","",OR(B1098=リスト!$C$5,B1098=リスト!$C$6),SUM(INDEX(G:G,MATCH(I1098-1,I:I,0)+1,1):INDEX(G:G,MATCH(I1098,I:I,0)-1,1)),D1098-C1098)</f>
        <v>#NAME?</v>
      </c>
      <c r="H1098" s="140" t="e">
        <f ca="1">mif(C1098="","",B1098=リスト!$C$5,SUMIF(INDEX(B:B,MATCH(I1098-1,I:I,0)+1,1):INDEX(B:B,MATCH(I1098,I:I,0)-1,1),リスト!$C$7,INDEX(G:G,MATCH(I1098-1,I:I,0)+1,1):INDEX(G:G,MATCH(I1098,I:I,0)-1,1)),"")</f>
        <v>#NAME?</v>
      </c>
      <c r="I1098" s="200" t="str">
        <f>IF(OR(B1098=リスト!$C$5,B1098=リスト!$C$6),COUNTIF($B$9:B1098,リスト!$C$5)+COUNTIF($B$9:B1098,リスト!$C$6),"")</f>
        <v/>
      </c>
    </row>
    <row r="1099" spans="2:9" x14ac:dyDescent="0.2">
      <c r="B1099" s="196" t="s">
        <v>247</v>
      </c>
      <c r="C1099" s="197">
        <v>45501.416666666664</v>
      </c>
      <c r="D1099" s="197">
        <v>45501.916666666664</v>
      </c>
      <c r="E1099" s="198">
        <v>19</v>
      </c>
      <c r="F1099" s="199"/>
      <c r="G1099" s="140" t="e">
        <f ca="1">mif(C1099="","",OR(B1099=リスト!$C$5,B1099=リスト!$C$6),SUM(INDEX(G:G,MATCH(I1099-1,I:I,0)+1,1):INDEX(G:G,MATCH(I1099,I:I,0)-1,1)),D1099-C1099)</f>
        <v>#NAME?</v>
      </c>
      <c r="H1099" s="140" t="e">
        <f ca="1">mif(C1099="","",B1099=リスト!$C$5,SUMIF(INDEX(B:B,MATCH(I1099-1,I:I,0)+1,1):INDEX(B:B,MATCH(I1099,I:I,0)-1,1),リスト!$C$7,INDEX(G:G,MATCH(I1099-1,I:I,0)+1,1):INDEX(G:G,MATCH(I1099,I:I,0)-1,1)),"")</f>
        <v>#NAME?</v>
      </c>
      <c r="I1099" s="200">
        <f>IF(OR(B1099=リスト!$C$5,B1099=リスト!$C$6),COUNTIF($B$9:B1099,リスト!$C$5)+COUNTIF($B$9:B1099,リスト!$C$6),"")</f>
        <v>76</v>
      </c>
    </row>
    <row r="1100" spans="2:9" x14ac:dyDescent="0.2">
      <c r="B1100" s="196"/>
      <c r="C1100" s="197">
        <v>45501.922326388885</v>
      </c>
      <c r="D1100" s="197">
        <v>45501.92260416667</v>
      </c>
      <c r="E1100" s="198" t="s">
        <v>244</v>
      </c>
      <c r="F1100" s="199"/>
      <c r="G1100" s="140" t="e">
        <f ca="1">mif(C1100="","",OR(B1100=リスト!$C$5,B1100=リスト!$C$6),SUM(INDEX(G:G,MATCH(I1100-1,I:I,0)+1,1):INDEX(G:G,MATCH(I1100,I:I,0)-1,1)),D1100-C1100)</f>
        <v>#NAME?</v>
      </c>
      <c r="H1100" s="140" t="e">
        <f ca="1">mif(C1100="","",B1100=リスト!$C$5,SUMIF(INDEX(B:B,MATCH(I1100-1,I:I,0)+1,1):INDEX(B:B,MATCH(I1100,I:I,0)-1,1),リスト!$C$7,INDEX(G:G,MATCH(I1100-1,I:I,0)+1,1):INDEX(G:G,MATCH(I1100,I:I,0)-1,1)),"")</f>
        <v>#NAME?</v>
      </c>
      <c r="I1100" s="200" t="str">
        <f>IF(OR(B1100=リスト!$C$5,B1100=リスト!$C$6),COUNTIF($B$9:B1100,リスト!$C$5)+COUNTIF($B$9:B1100,リスト!$C$6),"")</f>
        <v/>
      </c>
    </row>
    <row r="1101" spans="2:9" x14ac:dyDescent="0.2">
      <c r="B1101" s="196"/>
      <c r="C1101" s="197">
        <v>45501.956006944441</v>
      </c>
      <c r="D1101" s="197">
        <v>45501.95653935185</v>
      </c>
      <c r="E1101" s="198" t="s">
        <v>244</v>
      </c>
      <c r="F1101" s="199"/>
      <c r="G1101" s="140" t="e">
        <f ca="1">mif(C1101="","",OR(B1101=リスト!$C$5,B1101=リスト!$C$6),SUM(INDEX(G:G,MATCH(I1101-1,I:I,0)+1,1):INDEX(G:G,MATCH(I1101,I:I,0)-1,1)),D1101-C1101)</f>
        <v>#NAME?</v>
      </c>
      <c r="H1101" s="140" t="e">
        <f ca="1">mif(C1101="","",B1101=リスト!$C$5,SUMIF(INDEX(B:B,MATCH(I1101-1,I:I,0)+1,1):INDEX(B:B,MATCH(I1101,I:I,0)-1,1),リスト!$C$7,INDEX(G:G,MATCH(I1101-1,I:I,0)+1,1):INDEX(G:G,MATCH(I1101,I:I,0)-1,1)),"")</f>
        <v>#NAME?</v>
      </c>
      <c r="I1101" s="200" t="str">
        <f>IF(OR(B1101=リスト!$C$5,B1101=リスト!$C$6),COUNTIF($B$9:B1101,リスト!$C$5)+COUNTIF($B$9:B1101,リスト!$C$6),"")</f>
        <v/>
      </c>
    </row>
    <row r="1102" spans="2:9" x14ac:dyDescent="0.2">
      <c r="B1102" s="196"/>
      <c r="C1102" s="197">
        <v>45501.961516203701</v>
      </c>
      <c r="D1102" s="197">
        <v>45501.961817129632</v>
      </c>
      <c r="E1102" s="198" t="s">
        <v>244</v>
      </c>
      <c r="F1102" s="199"/>
      <c r="G1102" s="140" t="e">
        <f ca="1">mif(C1102="","",OR(B1102=リスト!$C$5,B1102=リスト!$C$6),SUM(INDEX(G:G,MATCH(I1102-1,I:I,0)+1,1):INDEX(G:G,MATCH(I1102,I:I,0)-1,1)),D1102-C1102)</f>
        <v>#NAME?</v>
      </c>
      <c r="H1102" s="140" t="e">
        <f ca="1">mif(C1102="","",B1102=リスト!$C$5,SUMIF(INDEX(B:B,MATCH(I1102-1,I:I,0)+1,1):INDEX(B:B,MATCH(I1102,I:I,0)-1,1),リスト!$C$7,INDEX(G:G,MATCH(I1102-1,I:I,0)+1,1):INDEX(G:G,MATCH(I1102,I:I,0)-1,1)),"")</f>
        <v>#NAME?</v>
      </c>
      <c r="I1102" s="200" t="str">
        <f>IF(OR(B1102=リスト!$C$5,B1102=リスト!$C$6),COUNTIF($B$9:B1102,リスト!$C$5)+COUNTIF($B$9:B1102,リスト!$C$6),"")</f>
        <v/>
      </c>
    </row>
    <row r="1103" spans="2:9" x14ac:dyDescent="0.2">
      <c r="B1103" s="196"/>
      <c r="C1103" s="197">
        <v>45501.969409722224</v>
      </c>
      <c r="D1103" s="197">
        <v>45501.969687500001</v>
      </c>
      <c r="E1103" s="198" t="s">
        <v>244</v>
      </c>
      <c r="F1103" s="199"/>
      <c r="G1103" s="140" t="e">
        <f ca="1">mif(C1103="","",OR(B1103=リスト!$C$5,B1103=リスト!$C$6),SUM(INDEX(G:G,MATCH(I1103-1,I:I,0)+1,1):INDEX(G:G,MATCH(I1103,I:I,0)-1,1)),D1103-C1103)</f>
        <v>#NAME?</v>
      </c>
      <c r="H1103" s="140" t="e">
        <f ca="1">mif(C1103="","",B1103=リスト!$C$5,SUMIF(INDEX(B:B,MATCH(I1103-1,I:I,0)+1,1):INDEX(B:B,MATCH(I1103,I:I,0)-1,1),リスト!$C$7,INDEX(G:G,MATCH(I1103-1,I:I,0)+1,1):INDEX(G:G,MATCH(I1103,I:I,0)-1,1)),"")</f>
        <v>#NAME?</v>
      </c>
      <c r="I1103" s="200" t="str">
        <f>IF(OR(B1103=リスト!$C$5,B1103=リスト!$C$6),COUNTIF($B$9:B1103,リスト!$C$5)+COUNTIF($B$9:B1103,リスト!$C$6),"")</f>
        <v/>
      </c>
    </row>
    <row r="1104" spans="2:9" x14ac:dyDescent="0.2">
      <c r="B1104" s="196"/>
      <c r="C1104" s="197">
        <v>45501.972511574073</v>
      </c>
      <c r="D1104" s="197">
        <v>45501.97283564815</v>
      </c>
      <c r="E1104" s="198" t="s">
        <v>244</v>
      </c>
      <c r="F1104" s="199"/>
      <c r="G1104" s="140" t="e">
        <f ca="1">mif(C1104="","",OR(B1104=リスト!$C$5,B1104=リスト!$C$6),SUM(INDEX(G:G,MATCH(I1104-1,I:I,0)+1,1):INDEX(G:G,MATCH(I1104,I:I,0)-1,1)),D1104-C1104)</f>
        <v>#NAME?</v>
      </c>
      <c r="H1104" s="140" t="e">
        <f ca="1">mif(C1104="","",B1104=リスト!$C$5,SUMIF(INDEX(B:B,MATCH(I1104-1,I:I,0)+1,1):INDEX(B:B,MATCH(I1104,I:I,0)-1,1),リスト!$C$7,INDEX(G:G,MATCH(I1104-1,I:I,0)+1,1):INDEX(G:G,MATCH(I1104,I:I,0)-1,1)),"")</f>
        <v>#NAME?</v>
      </c>
      <c r="I1104" s="200" t="str">
        <f>IF(OR(B1104=リスト!$C$5,B1104=リスト!$C$6),COUNTIF($B$9:B1104,リスト!$C$5)+COUNTIF($B$9:B1104,リスト!$C$6),"")</f>
        <v/>
      </c>
    </row>
    <row r="1105" spans="2:9" x14ac:dyDescent="0.2">
      <c r="B1105" s="196"/>
      <c r="C1105" s="197">
        <v>45501.991273148145</v>
      </c>
      <c r="D1105" s="197">
        <v>45501.99150462963</v>
      </c>
      <c r="E1105" s="198" t="s">
        <v>244</v>
      </c>
      <c r="F1105" s="199"/>
      <c r="G1105" s="140" t="e">
        <f ca="1">mif(C1105="","",OR(B1105=リスト!$C$5,B1105=リスト!$C$6),SUM(INDEX(G:G,MATCH(I1105-1,I:I,0)+1,1):INDEX(G:G,MATCH(I1105,I:I,0)-1,1)),D1105-C1105)</f>
        <v>#NAME?</v>
      </c>
      <c r="H1105" s="140" t="e">
        <f ca="1">mif(C1105="","",B1105=リスト!$C$5,SUMIF(INDEX(B:B,MATCH(I1105-1,I:I,0)+1,1):INDEX(B:B,MATCH(I1105,I:I,0)-1,1),リスト!$C$7,INDEX(G:G,MATCH(I1105-1,I:I,0)+1,1):INDEX(G:G,MATCH(I1105,I:I,0)-1,1)),"")</f>
        <v>#NAME?</v>
      </c>
      <c r="I1105" s="200" t="str">
        <f>IF(OR(B1105=リスト!$C$5,B1105=リスト!$C$6),COUNTIF($B$9:B1105,リスト!$C$5)+COUNTIF($B$9:B1105,リスト!$C$6),"")</f>
        <v/>
      </c>
    </row>
    <row r="1106" spans="2:9" x14ac:dyDescent="0.2">
      <c r="B1106" s="196"/>
      <c r="C1106" s="197">
        <v>45502.05</v>
      </c>
      <c r="D1106" s="197">
        <v>45502.050810185188</v>
      </c>
      <c r="E1106" s="198" t="s">
        <v>244</v>
      </c>
      <c r="F1106" s="199"/>
      <c r="G1106" s="140" t="e">
        <f ca="1">mif(C1106="","",OR(B1106=リスト!$C$5,B1106=リスト!$C$6),SUM(INDEX(G:G,MATCH(I1106-1,I:I,0)+1,1):INDEX(G:G,MATCH(I1106,I:I,0)-1,1)),D1106-C1106)</f>
        <v>#NAME?</v>
      </c>
      <c r="H1106" s="140" t="e">
        <f ca="1">mif(C1106="","",B1106=リスト!$C$5,SUMIF(INDEX(B:B,MATCH(I1106-1,I:I,0)+1,1):INDEX(B:B,MATCH(I1106,I:I,0)-1,1),リスト!$C$7,INDEX(G:G,MATCH(I1106-1,I:I,0)+1,1):INDEX(G:G,MATCH(I1106,I:I,0)-1,1)),"")</f>
        <v>#NAME?</v>
      </c>
      <c r="I1106" s="200" t="str">
        <f>IF(OR(B1106=リスト!$C$5,B1106=リスト!$C$6),COUNTIF($B$9:B1106,リスト!$C$5)+COUNTIF($B$9:B1106,リスト!$C$6),"")</f>
        <v/>
      </c>
    </row>
    <row r="1107" spans="2:9" x14ac:dyDescent="0.2">
      <c r="B1107" s="196"/>
      <c r="C1107" s="197">
        <v>45502.050833333335</v>
      </c>
      <c r="D1107" s="197">
        <v>45502.051481481481</v>
      </c>
      <c r="E1107" s="198" t="s">
        <v>244</v>
      </c>
      <c r="F1107" s="199"/>
      <c r="G1107" s="140" t="e">
        <f ca="1">mif(C1107="","",OR(B1107=リスト!$C$5,B1107=リスト!$C$6),SUM(INDEX(G:G,MATCH(I1107-1,I:I,0)+1,1):INDEX(G:G,MATCH(I1107,I:I,0)-1,1)),D1107-C1107)</f>
        <v>#NAME?</v>
      </c>
      <c r="H1107" s="140" t="e">
        <f ca="1">mif(C1107="","",B1107=リスト!$C$5,SUMIF(INDEX(B:B,MATCH(I1107-1,I:I,0)+1,1):INDEX(B:B,MATCH(I1107,I:I,0)-1,1),リスト!$C$7,INDEX(G:G,MATCH(I1107-1,I:I,0)+1,1):INDEX(G:G,MATCH(I1107,I:I,0)-1,1)),"")</f>
        <v>#NAME?</v>
      </c>
      <c r="I1107" s="200" t="str">
        <f>IF(OR(B1107=リスト!$C$5,B1107=リスト!$C$6),COUNTIF($B$9:B1107,リスト!$C$5)+COUNTIF($B$9:B1107,リスト!$C$6),"")</f>
        <v/>
      </c>
    </row>
    <row r="1108" spans="2:9" x14ac:dyDescent="0.2">
      <c r="B1108" s="196"/>
      <c r="C1108" s="197">
        <v>45502.054201388892</v>
      </c>
      <c r="D1108" s="197">
        <v>45502.0547337963</v>
      </c>
      <c r="E1108" s="198" t="s">
        <v>244</v>
      </c>
      <c r="F1108" s="199"/>
      <c r="G1108" s="140" t="e">
        <f ca="1">mif(C1108="","",OR(B1108=リスト!$C$5,B1108=リスト!$C$6),SUM(INDEX(G:G,MATCH(I1108-1,I:I,0)+1,1):INDEX(G:G,MATCH(I1108,I:I,0)-1,1)),D1108-C1108)</f>
        <v>#NAME?</v>
      </c>
      <c r="H1108" s="140" t="e">
        <f ca="1">mif(C1108="","",B1108=リスト!$C$5,SUMIF(INDEX(B:B,MATCH(I1108-1,I:I,0)+1,1):INDEX(B:B,MATCH(I1108,I:I,0)-1,1),リスト!$C$7,INDEX(G:G,MATCH(I1108-1,I:I,0)+1,1):INDEX(G:G,MATCH(I1108,I:I,0)-1,1)),"")</f>
        <v>#NAME?</v>
      </c>
      <c r="I1108" s="200" t="str">
        <f>IF(OR(B1108=リスト!$C$5,B1108=リスト!$C$6),COUNTIF($B$9:B1108,リスト!$C$5)+COUNTIF($B$9:B1108,リスト!$C$6),"")</f>
        <v/>
      </c>
    </row>
    <row r="1109" spans="2:9" x14ac:dyDescent="0.2">
      <c r="B1109" s="196"/>
      <c r="C1109" s="197">
        <v>45502.084490740737</v>
      </c>
      <c r="D1109" s="197">
        <v>45502.084930555553</v>
      </c>
      <c r="E1109" s="198" t="s">
        <v>244</v>
      </c>
      <c r="F1109" s="199"/>
      <c r="G1109" s="140" t="e">
        <f ca="1">mif(C1109="","",OR(B1109=リスト!$C$5,B1109=リスト!$C$6),SUM(INDEX(G:G,MATCH(I1109-1,I:I,0)+1,1):INDEX(G:G,MATCH(I1109,I:I,0)-1,1)),D1109-C1109)</f>
        <v>#NAME?</v>
      </c>
      <c r="H1109" s="140" t="e">
        <f ca="1">mif(C1109="","",B1109=リスト!$C$5,SUMIF(INDEX(B:B,MATCH(I1109-1,I:I,0)+1,1):INDEX(B:B,MATCH(I1109,I:I,0)-1,1),リスト!$C$7,INDEX(G:G,MATCH(I1109-1,I:I,0)+1,1):INDEX(G:G,MATCH(I1109,I:I,0)-1,1)),"")</f>
        <v>#NAME?</v>
      </c>
      <c r="I1109" s="200" t="str">
        <f>IF(OR(B1109=リスト!$C$5,B1109=リスト!$C$6),COUNTIF($B$9:B1109,リスト!$C$5)+COUNTIF($B$9:B1109,リスト!$C$6),"")</f>
        <v/>
      </c>
    </row>
    <row r="1110" spans="2:9" x14ac:dyDescent="0.2">
      <c r="B1110" s="196"/>
      <c r="C1110" s="197">
        <v>45502.110844907409</v>
      </c>
      <c r="D1110" s="197">
        <v>45502.111122685186</v>
      </c>
      <c r="E1110" s="198" t="s">
        <v>244</v>
      </c>
      <c r="F1110" s="199"/>
      <c r="G1110" s="140" t="e">
        <f ca="1">mif(C1110="","",OR(B1110=リスト!$C$5,B1110=リスト!$C$6),SUM(INDEX(G:G,MATCH(I1110-1,I:I,0)+1,1):INDEX(G:G,MATCH(I1110,I:I,0)-1,1)),D1110-C1110)</f>
        <v>#NAME?</v>
      </c>
      <c r="H1110" s="140" t="e">
        <f ca="1">mif(C1110="","",B1110=リスト!$C$5,SUMIF(INDEX(B:B,MATCH(I1110-1,I:I,0)+1,1):INDEX(B:B,MATCH(I1110,I:I,0)-1,1),リスト!$C$7,INDEX(G:G,MATCH(I1110-1,I:I,0)+1,1):INDEX(G:G,MATCH(I1110,I:I,0)-1,1)),"")</f>
        <v>#NAME?</v>
      </c>
      <c r="I1110" s="200" t="str">
        <f>IF(OR(B1110=リスト!$C$5,B1110=リスト!$C$6),COUNTIF($B$9:B1110,リスト!$C$5)+COUNTIF($B$9:B1110,リスト!$C$6),"")</f>
        <v/>
      </c>
    </row>
    <row r="1111" spans="2:9" x14ac:dyDescent="0.2">
      <c r="B1111" s="196"/>
      <c r="C1111" s="197">
        <v>45502.176840277774</v>
      </c>
      <c r="D1111" s="197">
        <v>45502.177719907406</v>
      </c>
      <c r="E1111" s="198" t="s">
        <v>244</v>
      </c>
      <c r="F1111" s="199"/>
      <c r="G1111" s="140" t="e">
        <f ca="1">mif(C1111="","",OR(B1111=リスト!$C$5,B1111=リスト!$C$6),SUM(INDEX(G:G,MATCH(I1111-1,I:I,0)+1,1):INDEX(G:G,MATCH(I1111,I:I,0)-1,1)),D1111-C1111)</f>
        <v>#NAME?</v>
      </c>
      <c r="H1111" s="140" t="e">
        <f ca="1">mif(C1111="","",B1111=リスト!$C$5,SUMIF(INDEX(B:B,MATCH(I1111-1,I:I,0)+1,1):INDEX(B:B,MATCH(I1111,I:I,0)-1,1),リスト!$C$7,INDEX(G:G,MATCH(I1111-1,I:I,0)+1,1):INDEX(G:G,MATCH(I1111,I:I,0)-1,1)),"")</f>
        <v>#NAME?</v>
      </c>
      <c r="I1111" s="200" t="str">
        <f>IF(OR(B1111=リスト!$C$5,B1111=リスト!$C$6),COUNTIF($B$9:B1111,リスト!$C$5)+COUNTIF($B$9:B1111,リスト!$C$6),"")</f>
        <v/>
      </c>
    </row>
    <row r="1112" spans="2:9" x14ac:dyDescent="0.2">
      <c r="B1112" s="196"/>
      <c r="C1112" s="197">
        <v>45502.184351851851</v>
      </c>
      <c r="D1112" s="197">
        <v>45502.184652777774</v>
      </c>
      <c r="E1112" s="198" t="s">
        <v>244</v>
      </c>
      <c r="F1112" s="199"/>
      <c r="G1112" s="140" t="e">
        <f ca="1">mif(C1112="","",OR(B1112=リスト!$C$5,B1112=リスト!$C$6),SUM(INDEX(G:G,MATCH(I1112-1,I:I,0)+1,1):INDEX(G:G,MATCH(I1112,I:I,0)-1,1)),D1112-C1112)</f>
        <v>#NAME?</v>
      </c>
      <c r="H1112" s="140" t="e">
        <f ca="1">mif(C1112="","",B1112=リスト!$C$5,SUMIF(INDEX(B:B,MATCH(I1112-1,I:I,0)+1,1):INDEX(B:B,MATCH(I1112,I:I,0)-1,1),リスト!$C$7,INDEX(G:G,MATCH(I1112-1,I:I,0)+1,1):INDEX(G:G,MATCH(I1112,I:I,0)-1,1)),"")</f>
        <v>#NAME?</v>
      </c>
      <c r="I1112" s="200" t="str">
        <f>IF(OR(B1112=リスト!$C$5,B1112=リスト!$C$6),COUNTIF($B$9:B1112,リスト!$C$5)+COUNTIF($B$9:B1112,リスト!$C$6),"")</f>
        <v/>
      </c>
    </row>
    <row r="1113" spans="2:9" x14ac:dyDescent="0.2">
      <c r="B1113" s="196"/>
      <c r="C1113" s="197">
        <v>45502.190416666665</v>
      </c>
      <c r="D1113" s="197">
        <v>45502.190671296295</v>
      </c>
      <c r="E1113" s="198" t="s">
        <v>244</v>
      </c>
      <c r="F1113" s="199"/>
      <c r="G1113" s="140" t="e">
        <f ca="1">mif(C1113="","",OR(B1113=リスト!$C$5,B1113=リスト!$C$6),SUM(INDEX(G:G,MATCH(I1113-1,I:I,0)+1,1):INDEX(G:G,MATCH(I1113,I:I,0)-1,1)),D1113-C1113)</f>
        <v>#NAME?</v>
      </c>
      <c r="H1113" s="140" t="e">
        <f ca="1">mif(C1113="","",B1113=リスト!$C$5,SUMIF(INDEX(B:B,MATCH(I1113-1,I:I,0)+1,1):INDEX(B:B,MATCH(I1113,I:I,0)-1,1),リスト!$C$7,INDEX(G:G,MATCH(I1113-1,I:I,0)+1,1):INDEX(G:G,MATCH(I1113,I:I,0)-1,1)),"")</f>
        <v>#NAME?</v>
      </c>
      <c r="I1113" s="200" t="str">
        <f>IF(OR(B1113=リスト!$C$5,B1113=リスト!$C$6),COUNTIF($B$9:B1113,リスト!$C$5)+COUNTIF($B$9:B1113,リスト!$C$6),"")</f>
        <v/>
      </c>
    </row>
    <row r="1114" spans="2:9" x14ac:dyDescent="0.2">
      <c r="B1114" s="196"/>
      <c r="C1114" s="197">
        <v>45502.194861111115</v>
      </c>
      <c r="D1114" s="197">
        <v>45502.195833333331</v>
      </c>
      <c r="E1114" s="198" t="s">
        <v>244</v>
      </c>
      <c r="F1114" s="199"/>
      <c r="G1114" s="140" t="e">
        <f ca="1">mif(C1114="","",OR(B1114=リスト!$C$5,B1114=リスト!$C$6),SUM(INDEX(G:G,MATCH(I1114-1,I:I,0)+1,1):INDEX(G:G,MATCH(I1114,I:I,0)-1,1)),D1114-C1114)</f>
        <v>#NAME?</v>
      </c>
      <c r="H1114" s="140" t="e">
        <f ca="1">mif(C1114="","",B1114=リスト!$C$5,SUMIF(INDEX(B:B,MATCH(I1114-1,I:I,0)+1,1):INDEX(B:B,MATCH(I1114,I:I,0)-1,1),リスト!$C$7,INDEX(G:G,MATCH(I1114-1,I:I,0)+1,1):INDEX(G:G,MATCH(I1114,I:I,0)-1,1)),"")</f>
        <v>#NAME?</v>
      </c>
      <c r="I1114" s="200" t="str">
        <f>IF(OR(B1114=リスト!$C$5,B1114=リスト!$C$6),COUNTIF($B$9:B1114,リスト!$C$5)+COUNTIF($B$9:B1114,リスト!$C$6),"")</f>
        <v/>
      </c>
    </row>
    <row r="1115" spans="2:9" x14ac:dyDescent="0.2">
      <c r="B1115" s="196"/>
      <c r="C1115" s="197">
        <v>45502.20584490741</v>
      </c>
      <c r="D1115" s="197">
        <v>45502.206145833334</v>
      </c>
      <c r="E1115" s="198" t="s">
        <v>244</v>
      </c>
      <c r="F1115" s="199"/>
      <c r="G1115" s="140" t="e">
        <f ca="1">mif(C1115="","",OR(B1115=リスト!$C$5,B1115=リスト!$C$6),SUM(INDEX(G:G,MATCH(I1115-1,I:I,0)+1,1):INDEX(G:G,MATCH(I1115,I:I,0)-1,1)),D1115-C1115)</f>
        <v>#NAME?</v>
      </c>
      <c r="H1115" s="140" t="e">
        <f ca="1">mif(C1115="","",B1115=リスト!$C$5,SUMIF(INDEX(B:B,MATCH(I1115-1,I:I,0)+1,1):INDEX(B:B,MATCH(I1115,I:I,0)-1,1),リスト!$C$7,INDEX(G:G,MATCH(I1115-1,I:I,0)+1,1):INDEX(G:G,MATCH(I1115,I:I,0)-1,1)),"")</f>
        <v>#NAME?</v>
      </c>
      <c r="I1115" s="200" t="str">
        <f>IF(OR(B1115=リスト!$C$5,B1115=リスト!$C$6),COUNTIF($B$9:B1115,リスト!$C$5)+COUNTIF($B$9:B1115,リスト!$C$6),"")</f>
        <v/>
      </c>
    </row>
    <row r="1116" spans="2:9" x14ac:dyDescent="0.2">
      <c r="B1116" s="196"/>
      <c r="C1116" s="197">
        <v>45502.211631944447</v>
      </c>
      <c r="D1116" s="197">
        <v>45502.21193287037</v>
      </c>
      <c r="E1116" s="198" t="s">
        <v>244</v>
      </c>
      <c r="F1116" s="199"/>
      <c r="G1116" s="140" t="e">
        <f ca="1">mif(C1116="","",OR(B1116=リスト!$C$5,B1116=リスト!$C$6),SUM(INDEX(G:G,MATCH(I1116-1,I:I,0)+1,1):INDEX(G:G,MATCH(I1116,I:I,0)-1,1)),D1116-C1116)</f>
        <v>#NAME?</v>
      </c>
      <c r="H1116" s="140" t="e">
        <f ca="1">mif(C1116="","",B1116=リスト!$C$5,SUMIF(INDEX(B:B,MATCH(I1116-1,I:I,0)+1,1):INDEX(B:B,MATCH(I1116,I:I,0)-1,1),リスト!$C$7,INDEX(G:G,MATCH(I1116-1,I:I,0)+1,1):INDEX(G:G,MATCH(I1116,I:I,0)-1,1)),"")</f>
        <v>#NAME?</v>
      </c>
      <c r="I1116" s="200" t="str">
        <f>IF(OR(B1116=リスト!$C$5,B1116=リスト!$C$6),COUNTIF($B$9:B1116,リスト!$C$5)+COUNTIF($B$9:B1116,リスト!$C$6),"")</f>
        <v/>
      </c>
    </row>
    <row r="1117" spans="2:9" x14ac:dyDescent="0.2">
      <c r="B1117" s="196"/>
      <c r="C1117" s="197">
        <v>45502.33861111111</v>
      </c>
      <c r="D1117" s="197">
        <v>45502.338912037034</v>
      </c>
      <c r="E1117" s="198" t="s">
        <v>244</v>
      </c>
      <c r="F1117" s="199"/>
      <c r="G1117" s="140" t="e">
        <f ca="1">mif(C1117="","",OR(B1117=リスト!$C$5,B1117=リスト!$C$6),SUM(INDEX(G:G,MATCH(I1117-1,I:I,0)+1,1):INDEX(G:G,MATCH(I1117,I:I,0)-1,1)),D1117-C1117)</f>
        <v>#NAME?</v>
      </c>
      <c r="H1117" s="140" t="e">
        <f ca="1">mif(C1117="","",B1117=リスト!$C$5,SUMIF(INDEX(B:B,MATCH(I1117-1,I:I,0)+1,1):INDEX(B:B,MATCH(I1117,I:I,0)-1,1),リスト!$C$7,INDEX(G:G,MATCH(I1117-1,I:I,0)+1,1):INDEX(G:G,MATCH(I1117,I:I,0)-1,1)),"")</f>
        <v>#NAME?</v>
      </c>
      <c r="I1117" s="200" t="str">
        <f>IF(OR(B1117=リスト!$C$5,B1117=リスト!$C$6),COUNTIF($B$9:B1117,リスト!$C$5)+COUNTIF($B$9:B1117,リスト!$C$6),"")</f>
        <v/>
      </c>
    </row>
    <row r="1118" spans="2:9" x14ac:dyDescent="0.2">
      <c r="B1118" s="196"/>
      <c r="C1118" s="197">
        <v>45502.377974537034</v>
      </c>
      <c r="D1118" s="197">
        <v>45502.378298611111</v>
      </c>
      <c r="E1118" s="198" t="s">
        <v>244</v>
      </c>
      <c r="F1118" s="199"/>
      <c r="G1118" s="140" t="e">
        <f ca="1">mif(C1118="","",OR(B1118=リスト!$C$5,B1118=リスト!$C$6),SUM(INDEX(G:G,MATCH(I1118-1,I:I,0)+1,1):INDEX(G:G,MATCH(I1118,I:I,0)-1,1)),D1118-C1118)</f>
        <v>#NAME?</v>
      </c>
      <c r="H1118" s="140" t="e">
        <f ca="1">mif(C1118="","",B1118=リスト!$C$5,SUMIF(INDEX(B:B,MATCH(I1118-1,I:I,0)+1,1):INDEX(B:B,MATCH(I1118,I:I,0)-1,1),リスト!$C$7,INDEX(G:G,MATCH(I1118-1,I:I,0)+1,1):INDEX(G:G,MATCH(I1118,I:I,0)-1,1)),"")</f>
        <v>#NAME?</v>
      </c>
      <c r="I1118" s="200" t="str">
        <f>IF(OR(B1118=リスト!$C$5,B1118=リスト!$C$6),COUNTIF($B$9:B1118,リスト!$C$5)+COUNTIF($B$9:B1118,リスト!$C$6),"")</f>
        <v/>
      </c>
    </row>
    <row r="1119" spans="2:9" x14ac:dyDescent="0.2">
      <c r="B1119" s="196" t="s">
        <v>247</v>
      </c>
      <c r="C1119" s="197">
        <v>45501.916666666664</v>
      </c>
      <c r="D1119" s="197">
        <v>45502.416666666664</v>
      </c>
      <c r="E1119" s="198">
        <v>19</v>
      </c>
      <c r="F1119" s="199"/>
      <c r="G1119" s="140" t="e">
        <f ca="1">mif(C1119="","",OR(B1119=リスト!$C$5,B1119=リスト!$C$6),SUM(INDEX(G:G,MATCH(I1119-1,I:I,0)+1,1):INDEX(G:G,MATCH(I1119,I:I,0)-1,1)),D1119-C1119)</f>
        <v>#NAME?</v>
      </c>
      <c r="H1119" s="140" t="e">
        <f ca="1">mif(C1119="","",B1119=リスト!$C$5,SUMIF(INDEX(B:B,MATCH(I1119-1,I:I,0)+1,1):INDEX(B:B,MATCH(I1119,I:I,0)-1,1),リスト!$C$7,INDEX(G:G,MATCH(I1119-1,I:I,0)+1,1):INDEX(G:G,MATCH(I1119,I:I,0)-1,1)),"")</f>
        <v>#NAME?</v>
      </c>
      <c r="I1119" s="200">
        <f>IF(OR(B1119=リスト!$C$5,B1119=リスト!$C$6),COUNTIF($B$9:B1119,リスト!$C$5)+COUNTIF($B$9:B1119,リスト!$C$6),"")</f>
        <v>77</v>
      </c>
    </row>
    <row r="1120" spans="2:9" x14ac:dyDescent="0.2">
      <c r="B1120" s="196"/>
      <c r="C1120" s="197">
        <v>45573.679189814815</v>
      </c>
      <c r="D1120" s="197">
        <v>45573.679444444446</v>
      </c>
      <c r="E1120" s="198" t="s">
        <v>244</v>
      </c>
      <c r="F1120" s="199"/>
      <c r="G1120" s="140" t="e">
        <f ca="1">mif(C1120="","",OR(B1120=リスト!$C$5,B1120=リスト!$C$6),SUM(INDEX(G:G,MATCH(I1120-1,I:I,0)+1,1):INDEX(G:G,MATCH(I1120,I:I,0)-1,1)),D1120-C1120)</f>
        <v>#NAME?</v>
      </c>
      <c r="H1120" s="140" t="e">
        <f ca="1">mif(C1120="","",B1120=リスト!$C$5,SUMIF(INDEX(B:B,MATCH(I1120-1,I:I,0)+1,1):INDEX(B:B,MATCH(I1120,I:I,0)-1,1),リスト!$C$7,INDEX(G:G,MATCH(I1120-1,I:I,0)+1,1):INDEX(G:G,MATCH(I1120,I:I,0)-1,1)),"")</f>
        <v>#NAME?</v>
      </c>
      <c r="I1120" s="200" t="str">
        <f>IF(OR(B1120=リスト!$C$5,B1120=リスト!$C$6),COUNTIF($B$9:B1120,リスト!$C$5)+COUNTIF($B$9:B1120,リスト!$C$6),"")</f>
        <v/>
      </c>
    </row>
    <row r="1121" spans="2:9" x14ac:dyDescent="0.2">
      <c r="B1121" s="196"/>
      <c r="C1121" s="197">
        <v>45573.712465277778</v>
      </c>
      <c r="D1121" s="197">
        <v>45573.712743055556</v>
      </c>
      <c r="E1121" s="198" t="s">
        <v>244</v>
      </c>
      <c r="F1121" s="199"/>
      <c r="G1121" s="140" t="e">
        <f ca="1">mif(C1121="","",OR(B1121=リスト!$C$5,B1121=リスト!$C$6),SUM(INDEX(G:G,MATCH(I1121-1,I:I,0)+1,1):INDEX(G:G,MATCH(I1121,I:I,0)-1,1)),D1121-C1121)</f>
        <v>#NAME?</v>
      </c>
      <c r="H1121" s="140" t="e">
        <f ca="1">mif(C1121="","",B1121=リスト!$C$5,SUMIF(INDEX(B:B,MATCH(I1121-1,I:I,0)+1,1):INDEX(B:B,MATCH(I1121,I:I,0)-1,1),リスト!$C$7,INDEX(G:G,MATCH(I1121-1,I:I,0)+1,1):INDEX(G:G,MATCH(I1121,I:I,0)-1,1)),"")</f>
        <v>#NAME?</v>
      </c>
      <c r="I1121" s="200" t="str">
        <f>IF(OR(B1121=リスト!$C$5,B1121=リスト!$C$6),COUNTIF($B$9:B1121,リスト!$C$5)+COUNTIF($B$9:B1121,リスト!$C$6),"")</f>
        <v/>
      </c>
    </row>
    <row r="1122" spans="2:9" x14ac:dyDescent="0.2">
      <c r="B1122" s="196"/>
      <c r="C1122" s="197">
        <v>45573.734976851854</v>
      </c>
      <c r="D1122" s="197">
        <v>45573.735324074078</v>
      </c>
      <c r="E1122" s="198" t="s">
        <v>244</v>
      </c>
      <c r="F1122" s="199"/>
      <c r="G1122" s="140" t="e">
        <f ca="1">mif(C1122="","",OR(B1122=リスト!$C$5,B1122=リスト!$C$6),SUM(INDEX(G:G,MATCH(I1122-1,I:I,0)+1,1):INDEX(G:G,MATCH(I1122,I:I,0)-1,1)),D1122-C1122)</f>
        <v>#NAME?</v>
      </c>
      <c r="H1122" s="140" t="e">
        <f ca="1">mif(C1122="","",B1122=リスト!$C$5,SUMIF(INDEX(B:B,MATCH(I1122-1,I:I,0)+1,1):INDEX(B:B,MATCH(I1122,I:I,0)-1,1),リスト!$C$7,INDEX(G:G,MATCH(I1122-1,I:I,0)+1,1):INDEX(G:G,MATCH(I1122,I:I,0)-1,1)),"")</f>
        <v>#NAME?</v>
      </c>
      <c r="I1122" s="200" t="str">
        <f>IF(OR(B1122=リスト!$C$5,B1122=リスト!$C$6),COUNTIF($B$9:B1122,リスト!$C$5)+COUNTIF($B$9:B1122,リスト!$C$6),"")</f>
        <v/>
      </c>
    </row>
    <row r="1123" spans="2:9" x14ac:dyDescent="0.2">
      <c r="B1123" s="196"/>
      <c r="C1123" s="197">
        <v>45573.805798611109</v>
      </c>
      <c r="D1123" s="197">
        <v>45573.806562500002</v>
      </c>
      <c r="E1123" s="198" t="s">
        <v>244</v>
      </c>
      <c r="F1123" s="199"/>
      <c r="G1123" s="140" t="e">
        <f ca="1">mif(C1123="","",OR(B1123=リスト!$C$5,B1123=リスト!$C$6),SUM(INDEX(G:G,MATCH(I1123-1,I:I,0)+1,1):INDEX(G:G,MATCH(I1123,I:I,0)-1,1)),D1123-C1123)</f>
        <v>#NAME?</v>
      </c>
      <c r="H1123" s="140" t="e">
        <f ca="1">mif(C1123="","",B1123=リスト!$C$5,SUMIF(INDEX(B:B,MATCH(I1123-1,I:I,0)+1,1):INDEX(B:B,MATCH(I1123,I:I,0)-1,1),リスト!$C$7,INDEX(G:G,MATCH(I1123-1,I:I,0)+1,1):INDEX(G:G,MATCH(I1123,I:I,0)-1,1)),"")</f>
        <v>#NAME?</v>
      </c>
      <c r="I1123" s="200" t="str">
        <f>IF(OR(B1123=リスト!$C$5,B1123=リスト!$C$6),COUNTIF($B$9:B1123,リスト!$C$5)+COUNTIF($B$9:B1123,リスト!$C$6),"")</f>
        <v/>
      </c>
    </row>
    <row r="1124" spans="2:9" x14ac:dyDescent="0.2">
      <c r="B1124" s="196"/>
      <c r="C1124" s="197">
        <v>45573.80709490741</v>
      </c>
      <c r="D1124" s="197">
        <v>45573.80773148148</v>
      </c>
      <c r="E1124" s="198" t="s">
        <v>244</v>
      </c>
      <c r="F1124" s="199"/>
      <c r="G1124" s="140" t="e">
        <f ca="1">mif(C1124="","",OR(B1124=リスト!$C$5,B1124=リスト!$C$6),SUM(INDEX(G:G,MATCH(I1124-1,I:I,0)+1,1):INDEX(G:G,MATCH(I1124,I:I,0)-1,1)),D1124-C1124)</f>
        <v>#NAME?</v>
      </c>
      <c r="H1124" s="140" t="e">
        <f ca="1">mif(C1124="","",B1124=リスト!$C$5,SUMIF(INDEX(B:B,MATCH(I1124-1,I:I,0)+1,1):INDEX(B:B,MATCH(I1124,I:I,0)-1,1),リスト!$C$7,INDEX(G:G,MATCH(I1124-1,I:I,0)+1,1):INDEX(G:G,MATCH(I1124,I:I,0)-1,1)),"")</f>
        <v>#NAME?</v>
      </c>
      <c r="I1124" s="200" t="str">
        <f>IF(OR(B1124=リスト!$C$5,B1124=リスト!$C$6),COUNTIF($B$9:B1124,リスト!$C$5)+COUNTIF($B$9:B1124,リスト!$C$6),"")</f>
        <v/>
      </c>
    </row>
    <row r="1125" spans="2:9" x14ac:dyDescent="0.2">
      <c r="B1125" s="196"/>
      <c r="C1125" s="197">
        <v>45573.818356481483</v>
      </c>
      <c r="D1125" s="197">
        <v>45573.818680555552</v>
      </c>
      <c r="E1125" s="198" t="s">
        <v>244</v>
      </c>
      <c r="F1125" s="199"/>
      <c r="G1125" s="140" t="e">
        <f ca="1">mif(C1125="","",OR(B1125=リスト!$C$5,B1125=リスト!$C$6),SUM(INDEX(G:G,MATCH(I1125-1,I:I,0)+1,1):INDEX(G:G,MATCH(I1125,I:I,0)-1,1)),D1125-C1125)</f>
        <v>#NAME?</v>
      </c>
      <c r="H1125" s="140" t="e">
        <f ca="1">mif(C1125="","",B1125=リスト!$C$5,SUMIF(INDEX(B:B,MATCH(I1125-1,I:I,0)+1,1):INDEX(B:B,MATCH(I1125,I:I,0)-1,1),リスト!$C$7,INDEX(G:G,MATCH(I1125-1,I:I,0)+1,1):INDEX(G:G,MATCH(I1125,I:I,0)-1,1)),"")</f>
        <v>#NAME?</v>
      </c>
      <c r="I1125" s="200" t="str">
        <f>IF(OR(B1125=リスト!$C$5,B1125=リスト!$C$6),COUNTIF($B$9:B1125,リスト!$C$5)+COUNTIF($B$9:B1125,リスト!$C$6),"")</f>
        <v/>
      </c>
    </row>
    <row r="1126" spans="2:9" x14ac:dyDescent="0.2">
      <c r="B1126" s="196"/>
      <c r="C1126" s="197">
        <v>45573.825324074074</v>
      </c>
      <c r="D1126" s="197">
        <v>45573.825624999998</v>
      </c>
      <c r="E1126" s="198" t="s">
        <v>244</v>
      </c>
      <c r="F1126" s="199"/>
      <c r="G1126" s="140" t="e">
        <f ca="1">mif(C1126="","",OR(B1126=リスト!$C$5,B1126=リスト!$C$6),SUM(INDEX(G:G,MATCH(I1126-1,I:I,0)+1,1):INDEX(G:G,MATCH(I1126,I:I,0)-1,1)),D1126-C1126)</f>
        <v>#NAME?</v>
      </c>
      <c r="H1126" s="140" t="e">
        <f ca="1">mif(C1126="","",B1126=リスト!$C$5,SUMIF(INDEX(B:B,MATCH(I1126-1,I:I,0)+1,1):INDEX(B:B,MATCH(I1126,I:I,0)-1,1),リスト!$C$7,INDEX(G:G,MATCH(I1126-1,I:I,0)+1,1):INDEX(G:G,MATCH(I1126,I:I,0)-1,1)),"")</f>
        <v>#NAME?</v>
      </c>
      <c r="I1126" s="200" t="str">
        <f>IF(OR(B1126=リスト!$C$5,B1126=リスト!$C$6),COUNTIF($B$9:B1126,リスト!$C$5)+COUNTIF($B$9:B1126,リスト!$C$6),"")</f>
        <v/>
      </c>
    </row>
    <row r="1127" spans="2:9" x14ac:dyDescent="0.2">
      <c r="B1127" s="196"/>
      <c r="C1127" s="197">
        <v>45573.869745370372</v>
      </c>
      <c r="D1127" s="197">
        <v>45573.870023148149</v>
      </c>
      <c r="E1127" s="198" t="s">
        <v>244</v>
      </c>
      <c r="F1127" s="199"/>
      <c r="G1127" s="140" t="e">
        <f ca="1">mif(C1127="","",OR(B1127=リスト!$C$5,B1127=リスト!$C$6),SUM(INDEX(G:G,MATCH(I1127-1,I:I,0)+1,1):INDEX(G:G,MATCH(I1127,I:I,0)-1,1)),D1127-C1127)</f>
        <v>#NAME?</v>
      </c>
      <c r="H1127" s="140" t="e">
        <f ca="1">mif(C1127="","",B1127=リスト!$C$5,SUMIF(INDEX(B:B,MATCH(I1127-1,I:I,0)+1,1):INDEX(B:B,MATCH(I1127,I:I,0)-1,1),リスト!$C$7,INDEX(G:G,MATCH(I1127-1,I:I,0)+1,1):INDEX(G:G,MATCH(I1127,I:I,0)-1,1)),"")</f>
        <v>#NAME?</v>
      </c>
      <c r="I1127" s="200" t="str">
        <f>IF(OR(B1127=リスト!$C$5,B1127=リスト!$C$6),COUNTIF($B$9:B1127,リスト!$C$5)+COUNTIF($B$9:B1127,リスト!$C$6),"")</f>
        <v/>
      </c>
    </row>
    <row r="1128" spans="2:9" x14ac:dyDescent="0.2">
      <c r="B1128" s="196"/>
      <c r="C1128" s="197">
        <v>45573.896215277775</v>
      </c>
      <c r="D1128" s="197">
        <v>45573.896724537037</v>
      </c>
      <c r="E1128" s="198" t="s">
        <v>244</v>
      </c>
      <c r="F1128" s="199"/>
      <c r="G1128" s="140" t="e">
        <f ca="1">mif(C1128="","",OR(B1128=リスト!$C$5,B1128=リスト!$C$6),SUM(INDEX(G:G,MATCH(I1128-1,I:I,0)+1,1):INDEX(G:G,MATCH(I1128,I:I,0)-1,1)),D1128-C1128)</f>
        <v>#NAME?</v>
      </c>
      <c r="H1128" s="140" t="e">
        <f ca="1">mif(C1128="","",B1128=リスト!$C$5,SUMIF(INDEX(B:B,MATCH(I1128-1,I:I,0)+1,1):INDEX(B:B,MATCH(I1128,I:I,0)-1,1),リスト!$C$7,INDEX(G:G,MATCH(I1128-1,I:I,0)+1,1):INDEX(G:G,MATCH(I1128,I:I,0)-1,1)),"")</f>
        <v>#NAME?</v>
      </c>
      <c r="I1128" s="200" t="str">
        <f>IF(OR(B1128=リスト!$C$5,B1128=リスト!$C$6),COUNTIF($B$9:B1128,リスト!$C$5)+COUNTIF($B$9:B1128,リスト!$C$6),"")</f>
        <v/>
      </c>
    </row>
    <row r="1129" spans="2:9" x14ac:dyDescent="0.2">
      <c r="B1129" s="196" t="s">
        <v>247</v>
      </c>
      <c r="C1129" s="197">
        <v>45573.666666666664</v>
      </c>
      <c r="D1129" s="197">
        <v>45573.916666666664</v>
      </c>
      <c r="E1129" s="198">
        <v>9</v>
      </c>
      <c r="F1129" s="199"/>
      <c r="G1129" s="140" t="e">
        <f ca="1">mif(C1129="","",OR(B1129=リスト!$C$5,B1129=リスト!$C$6),SUM(INDEX(G:G,MATCH(I1129-1,I:I,0)+1,1):INDEX(G:G,MATCH(I1129,I:I,0)-1,1)),D1129-C1129)</f>
        <v>#NAME?</v>
      </c>
      <c r="H1129" s="140" t="e">
        <f ca="1">mif(C1129="","",B1129=リスト!$C$5,SUMIF(INDEX(B:B,MATCH(I1129-1,I:I,0)+1,1):INDEX(B:B,MATCH(I1129,I:I,0)-1,1),リスト!$C$7,INDEX(G:G,MATCH(I1129-1,I:I,0)+1,1):INDEX(G:G,MATCH(I1129,I:I,0)-1,1)),"")</f>
        <v>#NAME?</v>
      </c>
      <c r="I1129" s="200">
        <f>IF(OR(B1129=リスト!$C$5,B1129=リスト!$C$6),COUNTIF($B$9:B1129,リスト!$C$5)+COUNTIF($B$9:B1129,リスト!$C$6),"")</f>
        <v>78</v>
      </c>
    </row>
    <row r="1130" spans="2:9" x14ac:dyDescent="0.2">
      <c r="B1130" s="196"/>
      <c r="C1130" s="197">
        <v>45573.930162037039</v>
      </c>
      <c r="D1130" s="197">
        <v>45573.930393518516</v>
      </c>
      <c r="E1130" s="198" t="s">
        <v>244</v>
      </c>
      <c r="F1130" s="199"/>
      <c r="G1130" s="140" t="e">
        <f ca="1">mif(C1130="","",OR(B1130=リスト!$C$5,B1130=リスト!$C$6),SUM(INDEX(G:G,MATCH(I1130-1,I:I,0)+1,1):INDEX(G:G,MATCH(I1130,I:I,0)-1,1)),D1130-C1130)</f>
        <v>#NAME?</v>
      </c>
      <c r="H1130" s="140" t="e">
        <f ca="1">mif(C1130="","",B1130=リスト!$C$5,SUMIF(INDEX(B:B,MATCH(I1130-1,I:I,0)+1,1):INDEX(B:B,MATCH(I1130,I:I,0)-1,1),リスト!$C$7,INDEX(G:G,MATCH(I1130-1,I:I,0)+1,1):INDEX(G:G,MATCH(I1130,I:I,0)-1,1)),"")</f>
        <v>#NAME?</v>
      </c>
      <c r="I1130" s="200" t="str">
        <f>IF(OR(B1130=リスト!$C$5,B1130=リスト!$C$6),COUNTIF($B$9:B1130,リスト!$C$5)+COUNTIF($B$9:B1130,リスト!$C$6),"")</f>
        <v/>
      </c>
    </row>
    <row r="1131" spans="2:9" x14ac:dyDescent="0.2">
      <c r="B1131" s="196"/>
      <c r="C1131" s="197">
        <v>45573.932685185187</v>
      </c>
      <c r="D1131" s="197">
        <v>45573.932962962965</v>
      </c>
      <c r="E1131" s="198" t="s">
        <v>244</v>
      </c>
      <c r="F1131" s="199"/>
      <c r="G1131" s="140" t="e">
        <f ca="1">mif(C1131="","",OR(B1131=リスト!$C$5,B1131=リスト!$C$6),SUM(INDEX(G:G,MATCH(I1131-1,I:I,0)+1,1):INDEX(G:G,MATCH(I1131,I:I,0)-1,1)),D1131-C1131)</f>
        <v>#NAME?</v>
      </c>
      <c r="H1131" s="140" t="e">
        <f ca="1">mif(C1131="","",B1131=リスト!$C$5,SUMIF(INDEX(B:B,MATCH(I1131-1,I:I,0)+1,1):INDEX(B:B,MATCH(I1131,I:I,0)-1,1),リスト!$C$7,INDEX(G:G,MATCH(I1131-1,I:I,0)+1,1):INDEX(G:G,MATCH(I1131,I:I,0)-1,1)),"")</f>
        <v>#NAME?</v>
      </c>
      <c r="I1131" s="200" t="str">
        <f>IF(OR(B1131=リスト!$C$5,B1131=リスト!$C$6),COUNTIF($B$9:B1131,リスト!$C$5)+COUNTIF($B$9:B1131,リスト!$C$6),"")</f>
        <v/>
      </c>
    </row>
    <row r="1132" spans="2:9" x14ac:dyDescent="0.2">
      <c r="B1132" s="196"/>
      <c r="C1132" s="197">
        <v>45573.993796296294</v>
      </c>
      <c r="D1132" s="197">
        <v>45573.994328703702</v>
      </c>
      <c r="E1132" s="198" t="s">
        <v>244</v>
      </c>
      <c r="F1132" s="199"/>
      <c r="G1132" s="140" t="e">
        <f ca="1">mif(C1132="","",OR(B1132=リスト!$C$5,B1132=リスト!$C$6),SUM(INDEX(G:G,MATCH(I1132-1,I:I,0)+1,1):INDEX(G:G,MATCH(I1132,I:I,0)-1,1)),D1132-C1132)</f>
        <v>#NAME?</v>
      </c>
      <c r="H1132" s="140" t="e">
        <f ca="1">mif(C1132="","",B1132=リスト!$C$5,SUMIF(INDEX(B:B,MATCH(I1132-1,I:I,0)+1,1):INDEX(B:B,MATCH(I1132,I:I,0)-1,1),リスト!$C$7,INDEX(G:G,MATCH(I1132-1,I:I,0)+1,1):INDEX(G:G,MATCH(I1132,I:I,0)-1,1)),"")</f>
        <v>#NAME?</v>
      </c>
      <c r="I1132" s="200" t="str">
        <f>IF(OR(B1132=リスト!$C$5,B1132=リスト!$C$6),COUNTIF($B$9:B1132,リスト!$C$5)+COUNTIF($B$9:B1132,リスト!$C$6),"")</f>
        <v/>
      </c>
    </row>
    <row r="1133" spans="2:9" x14ac:dyDescent="0.2">
      <c r="B1133" s="196"/>
      <c r="C1133" s="197">
        <v>45574.013414351852</v>
      </c>
      <c r="D1133" s="197">
        <v>45574.013668981483</v>
      </c>
      <c r="E1133" s="198" t="s">
        <v>244</v>
      </c>
      <c r="F1133" s="199"/>
      <c r="G1133" s="140" t="e">
        <f ca="1">mif(C1133="","",OR(B1133=リスト!$C$5,B1133=リスト!$C$6),SUM(INDEX(G:G,MATCH(I1133-1,I:I,0)+1,1):INDEX(G:G,MATCH(I1133,I:I,0)-1,1)),D1133-C1133)</f>
        <v>#NAME?</v>
      </c>
      <c r="H1133" s="140" t="e">
        <f ca="1">mif(C1133="","",B1133=リスト!$C$5,SUMIF(INDEX(B:B,MATCH(I1133-1,I:I,0)+1,1):INDEX(B:B,MATCH(I1133,I:I,0)-1,1),リスト!$C$7,INDEX(G:G,MATCH(I1133-1,I:I,0)+1,1):INDEX(G:G,MATCH(I1133,I:I,0)-1,1)),"")</f>
        <v>#NAME?</v>
      </c>
      <c r="I1133" s="200" t="str">
        <f>IF(OR(B1133=リスト!$C$5,B1133=リスト!$C$6),COUNTIF($B$9:B1133,リスト!$C$5)+COUNTIF($B$9:B1133,リスト!$C$6),"")</f>
        <v/>
      </c>
    </row>
    <row r="1134" spans="2:9" x14ac:dyDescent="0.2">
      <c r="B1134" s="196"/>
      <c r="C1134" s="197">
        <v>45574.015821759262</v>
      </c>
      <c r="D1134" s="197">
        <v>45574.016099537039</v>
      </c>
      <c r="E1134" s="198" t="s">
        <v>244</v>
      </c>
      <c r="F1134" s="199"/>
      <c r="G1134" s="140" t="e">
        <f ca="1">mif(C1134="","",OR(B1134=リスト!$C$5,B1134=リスト!$C$6),SUM(INDEX(G:G,MATCH(I1134-1,I:I,0)+1,1):INDEX(G:G,MATCH(I1134,I:I,0)-1,1)),D1134-C1134)</f>
        <v>#NAME?</v>
      </c>
      <c r="H1134" s="140" t="e">
        <f ca="1">mif(C1134="","",B1134=リスト!$C$5,SUMIF(INDEX(B:B,MATCH(I1134-1,I:I,0)+1,1):INDEX(B:B,MATCH(I1134,I:I,0)-1,1),リスト!$C$7,INDEX(G:G,MATCH(I1134-1,I:I,0)+1,1):INDEX(G:G,MATCH(I1134,I:I,0)-1,1)),"")</f>
        <v>#NAME?</v>
      </c>
      <c r="I1134" s="200" t="str">
        <f>IF(OR(B1134=リスト!$C$5,B1134=リスト!$C$6),COUNTIF($B$9:B1134,リスト!$C$5)+COUNTIF($B$9:B1134,リスト!$C$6),"")</f>
        <v/>
      </c>
    </row>
    <row r="1135" spans="2:9" x14ac:dyDescent="0.2">
      <c r="B1135" s="196"/>
      <c r="C1135" s="197">
        <v>45574.038819444446</v>
      </c>
      <c r="D1135" s="197">
        <v>45574.039074074077</v>
      </c>
      <c r="E1135" s="198" t="s">
        <v>244</v>
      </c>
      <c r="F1135" s="199"/>
      <c r="G1135" s="140" t="e">
        <f ca="1">mif(C1135="","",OR(B1135=リスト!$C$5,B1135=リスト!$C$6),SUM(INDEX(G:G,MATCH(I1135-1,I:I,0)+1,1):INDEX(G:G,MATCH(I1135,I:I,0)-1,1)),D1135-C1135)</f>
        <v>#NAME?</v>
      </c>
      <c r="H1135" s="140" t="e">
        <f ca="1">mif(C1135="","",B1135=リスト!$C$5,SUMIF(INDEX(B:B,MATCH(I1135-1,I:I,0)+1,1):INDEX(B:B,MATCH(I1135,I:I,0)-1,1),リスト!$C$7,INDEX(G:G,MATCH(I1135-1,I:I,0)+1,1):INDEX(G:G,MATCH(I1135,I:I,0)-1,1)),"")</f>
        <v>#NAME?</v>
      </c>
      <c r="I1135" s="200" t="str">
        <f>IF(OR(B1135=リスト!$C$5,B1135=リスト!$C$6),COUNTIF($B$9:B1135,リスト!$C$5)+COUNTIF($B$9:B1135,リスト!$C$6),"")</f>
        <v/>
      </c>
    </row>
    <row r="1136" spans="2:9" x14ac:dyDescent="0.2">
      <c r="B1136" s="196"/>
      <c r="C1136" s="197">
        <v>45574.045648148145</v>
      </c>
      <c r="D1136" s="197">
        <v>45574.046111111114</v>
      </c>
      <c r="E1136" s="198" t="s">
        <v>244</v>
      </c>
      <c r="F1136" s="199"/>
      <c r="G1136" s="140" t="e">
        <f ca="1">mif(C1136="","",OR(B1136=リスト!$C$5,B1136=リスト!$C$6),SUM(INDEX(G:G,MATCH(I1136-1,I:I,0)+1,1):INDEX(G:G,MATCH(I1136,I:I,0)-1,1)),D1136-C1136)</f>
        <v>#NAME?</v>
      </c>
      <c r="H1136" s="140" t="e">
        <f ca="1">mif(C1136="","",B1136=リスト!$C$5,SUMIF(INDEX(B:B,MATCH(I1136-1,I:I,0)+1,1):INDEX(B:B,MATCH(I1136,I:I,0)-1,1),リスト!$C$7,INDEX(G:G,MATCH(I1136-1,I:I,0)+1,1):INDEX(G:G,MATCH(I1136,I:I,0)-1,1)),"")</f>
        <v>#NAME?</v>
      </c>
      <c r="I1136" s="200" t="str">
        <f>IF(OR(B1136=リスト!$C$5,B1136=リスト!$C$6),COUNTIF($B$9:B1136,リスト!$C$5)+COUNTIF($B$9:B1136,リスト!$C$6),"")</f>
        <v/>
      </c>
    </row>
    <row r="1137" spans="2:9" x14ac:dyDescent="0.2">
      <c r="B1137" s="196"/>
      <c r="C1137" s="197">
        <v>45574.073738425926</v>
      </c>
      <c r="D1137" s="197">
        <v>45574.074282407404</v>
      </c>
      <c r="E1137" s="198" t="s">
        <v>244</v>
      </c>
      <c r="F1137" s="199"/>
      <c r="G1137" s="140" t="e">
        <f ca="1">mif(C1137="","",OR(B1137=リスト!$C$5,B1137=リスト!$C$6),SUM(INDEX(G:G,MATCH(I1137-1,I:I,0)+1,1):INDEX(G:G,MATCH(I1137,I:I,0)-1,1)),D1137-C1137)</f>
        <v>#NAME?</v>
      </c>
      <c r="H1137" s="140" t="e">
        <f ca="1">mif(C1137="","",B1137=リスト!$C$5,SUMIF(INDEX(B:B,MATCH(I1137-1,I:I,0)+1,1):INDEX(B:B,MATCH(I1137,I:I,0)-1,1),リスト!$C$7,INDEX(G:G,MATCH(I1137-1,I:I,0)+1,1):INDEX(G:G,MATCH(I1137,I:I,0)-1,1)),"")</f>
        <v>#NAME?</v>
      </c>
      <c r="I1137" s="200" t="str">
        <f>IF(OR(B1137=リスト!$C$5,B1137=リスト!$C$6),COUNTIF($B$9:B1137,リスト!$C$5)+COUNTIF($B$9:B1137,リスト!$C$6),"")</f>
        <v/>
      </c>
    </row>
    <row r="1138" spans="2:9" x14ac:dyDescent="0.2">
      <c r="B1138" s="196"/>
      <c r="C1138" s="197">
        <v>45574.092939814815</v>
      </c>
      <c r="D1138" s="197">
        <v>45574.093263888892</v>
      </c>
      <c r="E1138" s="198" t="s">
        <v>244</v>
      </c>
      <c r="F1138" s="199"/>
      <c r="G1138" s="140" t="e">
        <f ca="1">mif(C1138="","",OR(B1138=リスト!$C$5,B1138=リスト!$C$6),SUM(INDEX(G:G,MATCH(I1138-1,I:I,0)+1,1):INDEX(G:G,MATCH(I1138,I:I,0)-1,1)),D1138-C1138)</f>
        <v>#NAME?</v>
      </c>
      <c r="H1138" s="140" t="e">
        <f ca="1">mif(C1138="","",B1138=リスト!$C$5,SUMIF(INDEX(B:B,MATCH(I1138-1,I:I,0)+1,1):INDEX(B:B,MATCH(I1138,I:I,0)-1,1),リスト!$C$7,INDEX(G:G,MATCH(I1138-1,I:I,0)+1,1):INDEX(G:G,MATCH(I1138,I:I,0)-1,1)),"")</f>
        <v>#NAME?</v>
      </c>
      <c r="I1138" s="200" t="str">
        <f>IF(OR(B1138=リスト!$C$5,B1138=リスト!$C$6),COUNTIF($B$9:B1138,リスト!$C$5)+COUNTIF($B$9:B1138,リスト!$C$6),"")</f>
        <v/>
      </c>
    </row>
    <row r="1139" spans="2:9" x14ac:dyDescent="0.2">
      <c r="B1139" s="196"/>
      <c r="C1139" s="197">
        <v>45574.133009259262</v>
      </c>
      <c r="D1139" s="197">
        <v>45574.133472222224</v>
      </c>
      <c r="E1139" s="198" t="s">
        <v>244</v>
      </c>
      <c r="F1139" s="199"/>
      <c r="G1139" s="140" t="e">
        <f ca="1">mif(C1139="","",OR(B1139=リスト!$C$5,B1139=リスト!$C$6),SUM(INDEX(G:G,MATCH(I1139-1,I:I,0)+1,1):INDEX(G:G,MATCH(I1139,I:I,0)-1,1)),D1139-C1139)</f>
        <v>#NAME?</v>
      </c>
      <c r="H1139" s="140" t="e">
        <f ca="1">mif(C1139="","",B1139=リスト!$C$5,SUMIF(INDEX(B:B,MATCH(I1139-1,I:I,0)+1,1):INDEX(B:B,MATCH(I1139,I:I,0)-1,1),リスト!$C$7,INDEX(G:G,MATCH(I1139-1,I:I,0)+1,1):INDEX(G:G,MATCH(I1139,I:I,0)-1,1)),"")</f>
        <v>#NAME?</v>
      </c>
      <c r="I1139" s="200" t="str">
        <f>IF(OR(B1139=リスト!$C$5,B1139=リスト!$C$6),COUNTIF($B$9:B1139,リスト!$C$5)+COUNTIF($B$9:B1139,リスト!$C$6),"")</f>
        <v/>
      </c>
    </row>
    <row r="1140" spans="2:9" x14ac:dyDescent="0.2">
      <c r="B1140" s="196"/>
      <c r="C1140" s="197">
        <v>45574.140162037038</v>
      </c>
      <c r="D1140" s="197">
        <v>45574.140393518515</v>
      </c>
      <c r="E1140" s="198" t="s">
        <v>244</v>
      </c>
      <c r="F1140" s="199"/>
      <c r="G1140" s="140" t="e">
        <f ca="1">mif(C1140="","",OR(B1140=リスト!$C$5,B1140=リスト!$C$6),SUM(INDEX(G:G,MATCH(I1140-1,I:I,0)+1,1):INDEX(G:G,MATCH(I1140,I:I,0)-1,1)),D1140-C1140)</f>
        <v>#NAME?</v>
      </c>
      <c r="H1140" s="140" t="e">
        <f ca="1">mif(C1140="","",B1140=リスト!$C$5,SUMIF(INDEX(B:B,MATCH(I1140-1,I:I,0)+1,1):INDEX(B:B,MATCH(I1140,I:I,0)-1,1),リスト!$C$7,INDEX(G:G,MATCH(I1140-1,I:I,0)+1,1):INDEX(G:G,MATCH(I1140,I:I,0)-1,1)),"")</f>
        <v>#NAME?</v>
      </c>
      <c r="I1140" s="200" t="str">
        <f>IF(OR(B1140=リスト!$C$5,B1140=リスト!$C$6),COUNTIF($B$9:B1140,リスト!$C$5)+COUNTIF($B$9:B1140,リスト!$C$6),"")</f>
        <v/>
      </c>
    </row>
    <row r="1141" spans="2:9" x14ac:dyDescent="0.2">
      <c r="B1141" s="196"/>
      <c r="C1141" s="197">
        <v>45574.215543981481</v>
      </c>
      <c r="D1141" s="197">
        <v>45574.216006944444</v>
      </c>
      <c r="E1141" s="198" t="s">
        <v>244</v>
      </c>
      <c r="F1141" s="199"/>
      <c r="G1141" s="140" t="e">
        <f ca="1">mif(C1141="","",OR(B1141=リスト!$C$5,B1141=リスト!$C$6),SUM(INDEX(G:G,MATCH(I1141-1,I:I,0)+1,1):INDEX(G:G,MATCH(I1141,I:I,0)-1,1)),D1141-C1141)</f>
        <v>#NAME?</v>
      </c>
      <c r="H1141" s="140" t="e">
        <f ca="1">mif(C1141="","",B1141=リスト!$C$5,SUMIF(INDEX(B:B,MATCH(I1141-1,I:I,0)+1,1):INDEX(B:B,MATCH(I1141,I:I,0)-1,1),リスト!$C$7,INDEX(G:G,MATCH(I1141-1,I:I,0)+1,1):INDEX(G:G,MATCH(I1141,I:I,0)-1,1)),"")</f>
        <v>#NAME?</v>
      </c>
      <c r="I1141" s="200" t="str">
        <f>IF(OR(B1141=リスト!$C$5,B1141=リスト!$C$6),COUNTIF($B$9:B1141,リスト!$C$5)+COUNTIF($B$9:B1141,リスト!$C$6),"")</f>
        <v/>
      </c>
    </row>
    <row r="1142" spans="2:9" x14ac:dyDescent="0.2">
      <c r="B1142" s="196"/>
      <c r="C1142" s="197">
        <v>45574.228379629632</v>
      </c>
      <c r="D1142" s="197">
        <v>45574.228634259256</v>
      </c>
      <c r="E1142" s="198" t="s">
        <v>244</v>
      </c>
      <c r="F1142" s="199"/>
      <c r="G1142" s="140" t="e">
        <f ca="1">mif(C1142="","",OR(B1142=リスト!$C$5,B1142=リスト!$C$6),SUM(INDEX(G:G,MATCH(I1142-1,I:I,0)+1,1):INDEX(G:G,MATCH(I1142,I:I,0)-1,1)),D1142-C1142)</f>
        <v>#NAME?</v>
      </c>
      <c r="H1142" s="140" t="e">
        <f ca="1">mif(C1142="","",B1142=リスト!$C$5,SUMIF(INDEX(B:B,MATCH(I1142-1,I:I,0)+1,1):INDEX(B:B,MATCH(I1142,I:I,0)-1,1),リスト!$C$7,INDEX(G:G,MATCH(I1142-1,I:I,0)+1,1):INDEX(G:G,MATCH(I1142,I:I,0)-1,1)),"")</f>
        <v>#NAME?</v>
      </c>
      <c r="I1142" s="200" t="str">
        <f>IF(OR(B1142=リスト!$C$5,B1142=リスト!$C$6),COUNTIF($B$9:B1142,リスト!$C$5)+COUNTIF($B$9:B1142,リスト!$C$6),"")</f>
        <v/>
      </c>
    </row>
    <row r="1143" spans="2:9" x14ac:dyDescent="0.2">
      <c r="B1143" s="196"/>
      <c r="C1143" s="197">
        <v>45574.228680555556</v>
      </c>
      <c r="D1143" s="197">
        <v>45574.229641203703</v>
      </c>
      <c r="E1143" s="198" t="s">
        <v>244</v>
      </c>
      <c r="F1143" s="199"/>
      <c r="G1143" s="140" t="e">
        <f ca="1">mif(C1143="","",OR(B1143=リスト!$C$5,B1143=リスト!$C$6),SUM(INDEX(G:G,MATCH(I1143-1,I:I,0)+1,1):INDEX(G:G,MATCH(I1143,I:I,0)-1,1)),D1143-C1143)</f>
        <v>#NAME?</v>
      </c>
      <c r="H1143" s="140" t="e">
        <f ca="1">mif(C1143="","",B1143=リスト!$C$5,SUMIF(INDEX(B:B,MATCH(I1143-1,I:I,0)+1,1):INDEX(B:B,MATCH(I1143,I:I,0)-1,1),リスト!$C$7,INDEX(G:G,MATCH(I1143-1,I:I,0)+1,1):INDEX(G:G,MATCH(I1143,I:I,0)-1,1)),"")</f>
        <v>#NAME?</v>
      </c>
      <c r="I1143" s="200" t="str">
        <f>IF(OR(B1143=リスト!$C$5,B1143=リスト!$C$6),COUNTIF($B$9:B1143,リスト!$C$5)+COUNTIF($B$9:B1143,リスト!$C$6),"")</f>
        <v/>
      </c>
    </row>
    <row r="1144" spans="2:9" x14ac:dyDescent="0.2">
      <c r="B1144" s="196"/>
      <c r="C1144" s="197">
        <v>45574.337453703702</v>
      </c>
      <c r="D1144" s="197">
        <v>45574.342256944445</v>
      </c>
      <c r="E1144" s="198" t="s">
        <v>244</v>
      </c>
      <c r="F1144" s="199"/>
      <c r="G1144" s="140" t="e">
        <f ca="1">mif(C1144="","",OR(B1144=リスト!$C$5,B1144=リスト!$C$6),SUM(INDEX(G:G,MATCH(I1144-1,I:I,0)+1,1):INDEX(G:G,MATCH(I1144,I:I,0)-1,1)),D1144-C1144)</f>
        <v>#NAME?</v>
      </c>
      <c r="H1144" s="140" t="e">
        <f ca="1">mif(C1144="","",B1144=リスト!$C$5,SUMIF(INDEX(B:B,MATCH(I1144-1,I:I,0)+1,1):INDEX(B:B,MATCH(I1144,I:I,0)-1,1),リスト!$C$7,INDEX(G:G,MATCH(I1144-1,I:I,0)+1,1):INDEX(G:G,MATCH(I1144,I:I,0)-1,1)),"")</f>
        <v>#NAME?</v>
      </c>
      <c r="I1144" s="200" t="str">
        <f>IF(OR(B1144=リスト!$C$5,B1144=リスト!$C$6),COUNTIF($B$9:B1144,リスト!$C$5)+COUNTIF($B$9:B1144,リスト!$C$6),"")</f>
        <v/>
      </c>
    </row>
    <row r="1145" spans="2:9" x14ac:dyDescent="0.2">
      <c r="B1145" s="196"/>
      <c r="C1145" s="197">
        <v>45574.347199074073</v>
      </c>
      <c r="D1145" s="197">
        <v>45574.348379629628</v>
      </c>
      <c r="E1145" s="198" t="s">
        <v>244</v>
      </c>
      <c r="F1145" s="199"/>
      <c r="G1145" s="140" t="e">
        <f ca="1">mif(C1145="","",OR(B1145=リスト!$C$5,B1145=リスト!$C$6),SUM(INDEX(G:G,MATCH(I1145-1,I:I,0)+1,1):INDEX(G:G,MATCH(I1145,I:I,0)-1,1)),D1145-C1145)</f>
        <v>#NAME?</v>
      </c>
      <c r="H1145" s="140" t="e">
        <f ca="1">mif(C1145="","",B1145=リスト!$C$5,SUMIF(INDEX(B:B,MATCH(I1145-1,I:I,0)+1,1):INDEX(B:B,MATCH(I1145,I:I,0)-1,1),リスト!$C$7,INDEX(G:G,MATCH(I1145-1,I:I,0)+1,1):INDEX(G:G,MATCH(I1145,I:I,0)-1,1)),"")</f>
        <v>#NAME?</v>
      </c>
      <c r="I1145" s="200" t="str">
        <f>IF(OR(B1145=リスト!$C$5,B1145=リスト!$C$6),COUNTIF($B$9:B1145,リスト!$C$5)+COUNTIF($B$9:B1145,リスト!$C$6),"")</f>
        <v/>
      </c>
    </row>
    <row r="1146" spans="2:9" x14ac:dyDescent="0.2">
      <c r="B1146" s="196"/>
      <c r="C1146" s="197">
        <v>45574.371261574073</v>
      </c>
      <c r="D1146" s="197">
        <v>45574.371516203704</v>
      </c>
      <c r="E1146" s="198" t="s">
        <v>244</v>
      </c>
      <c r="F1146" s="199"/>
      <c r="G1146" s="140" t="e">
        <f ca="1">mif(C1146="","",OR(B1146=リスト!$C$5,B1146=リスト!$C$6),SUM(INDEX(G:G,MATCH(I1146-1,I:I,0)+1,1):INDEX(G:G,MATCH(I1146,I:I,0)-1,1)),D1146-C1146)</f>
        <v>#NAME?</v>
      </c>
      <c r="H1146" s="140" t="e">
        <f ca="1">mif(C1146="","",B1146=リスト!$C$5,SUMIF(INDEX(B:B,MATCH(I1146-1,I:I,0)+1,1):INDEX(B:B,MATCH(I1146,I:I,0)-1,1),リスト!$C$7,INDEX(G:G,MATCH(I1146-1,I:I,0)+1,1):INDEX(G:G,MATCH(I1146,I:I,0)-1,1)),"")</f>
        <v>#NAME?</v>
      </c>
      <c r="I1146" s="200" t="str">
        <f>IF(OR(B1146=リスト!$C$5,B1146=リスト!$C$6),COUNTIF($B$9:B1146,リスト!$C$5)+COUNTIF($B$9:B1146,リスト!$C$6),"")</f>
        <v/>
      </c>
    </row>
    <row r="1147" spans="2:9" x14ac:dyDescent="0.2">
      <c r="B1147" s="196"/>
      <c r="C1147" s="197">
        <v>45574.381898148145</v>
      </c>
      <c r="D1147" s="197">
        <v>45574.3827662037</v>
      </c>
      <c r="E1147" s="198" t="s">
        <v>244</v>
      </c>
      <c r="F1147" s="199"/>
      <c r="G1147" s="140" t="e">
        <f ca="1">mif(C1147="","",OR(B1147=リスト!$C$5,B1147=リスト!$C$6),SUM(INDEX(G:G,MATCH(I1147-1,I:I,0)+1,1):INDEX(G:G,MATCH(I1147,I:I,0)-1,1)),D1147-C1147)</f>
        <v>#NAME?</v>
      </c>
      <c r="H1147" s="140" t="e">
        <f ca="1">mif(C1147="","",B1147=リスト!$C$5,SUMIF(INDEX(B:B,MATCH(I1147-1,I:I,0)+1,1):INDEX(B:B,MATCH(I1147,I:I,0)-1,1),リスト!$C$7,INDEX(G:G,MATCH(I1147-1,I:I,0)+1,1):INDEX(G:G,MATCH(I1147,I:I,0)-1,1)),"")</f>
        <v>#NAME?</v>
      </c>
      <c r="I1147" s="200" t="str">
        <f>IF(OR(B1147=リスト!$C$5,B1147=リスト!$C$6),COUNTIF($B$9:B1147,リスト!$C$5)+COUNTIF($B$9:B1147,リスト!$C$6),"")</f>
        <v/>
      </c>
    </row>
    <row r="1148" spans="2:9" x14ac:dyDescent="0.2">
      <c r="B1148" s="196"/>
      <c r="C1148" s="197">
        <v>45574.383194444446</v>
      </c>
      <c r="D1148" s="197">
        <v>45574.383425925924</v>
      </c>
      <c r="E1148" s="198" t="s">
        <v>244</v>
      </c>
      <c r="F1148" s="199"/>
      <c r="G1148" s="140" t="e">
        <f ca="1">mif(C1148="","",OR(B1148=リスト!$C$5,B1148=リスト!$C$6),SUM(INDEX(G:G,MATCH(I1148-1,I:I,0)+1,1):INDEX(G:G,MATCH(I1148,I:I,0)-1,1)),D1148-C1148)</f>
        <v>#NAME?</v>
      </c>
      <c r="H1148" s="140" t="e">
        <f ca="1">mif(C1148="","",B1148=リスト!$C$5,SUMIF(INDEX(B:B,MATCH(I1148-1,I:I,0)+1,1):INDEX(B:B,MATCH(I1148,I:I,0)-1,1),リスト!$C$7,INDEX(G:G,MATCH(I1148-1,I:I,0)+1,1):INDEX(G:G,MATCH(I1148,I:I,0)-1,1)),"")</f>
        <v>#NAME?</v>
      </c>
      <c r="I1148" s="200" t="str">
        <f>IF(OR(B1148=リスト!$C$5,B1148=リスト!$C$6),COUNTIF($B$9:B1148,リスト!$C$5)+COUNTIF($B$9:B1148,リスト!$C$6),"")</f>
        <v/>
      </c>
    </row>
    <row r="1149" spans="2:9" x14ac:dyDescent="0.2">
      <c r="B1149" s="196"/>
      <c r="C1149" s="197">
        <v>45574.38958333333</v>
      </c>
      <c r="D1149" s="197">
        <v>45574.390115740738</v>
      </c>
      <c r="E1149" s="198" t="s">
        <v>244</v>
      </c>
      <c r="F1149" s="199"/>
      <c r="G1149" s="140" t="e">
        <f ca="1">mif(C1149="","",OR(B1149=リスト!$C$5,B1149=リスト!$C$6),SUM(INDEX(G:G,MATCH(I1149-1,I:I,0)+1,1):INDEX(G:G,MATCH(I1149,I:I,0)-1,1)),D1149-C1149)</f>
        <v>#NAME?</v>
      </c>
      <c r="H1149" s="140" t="e">
        <f ca="1">mif(C1149="","",B1149=リスト!$C$5,SUMIF(INDEX(B:B,MATCH(I1149-1,I:I,0)+1,1):INDEX(B:B,MATCH(I1149,I:I,0)-1,1),リスト!$C$7,INDEX(G:G,MATCH(I1149-1,I:I,0)+1,1):INDEX(G:G,MATCH(I1149,I:I,0)-1,1)),"")</f>
        <v>#NAME?</v>
      </c>
      <c r="I1149" s="200" t="str">
        <f>IF(OR(B1149=リスト!$C$5,B1149=リスト!$C$6),COUNTIF($B$9:B1149,リスト!$C$5)+COUNTIF($B$9:B1149,リスト!$C$6),"")</f>
        <v/>
      </c>
    </row>
    <row r="1150" spans="2:9" x14ac:dyDescent="0.2">
      <c r="B1150" s="196"/>
      <c r="C1150" s="197">
        <v>45574.39775462963</v>
      </c>
      <c r="D1150" s="197">
        <v>45574.398032407407</v>
      </c>
      <c r="E1150" s="198" t="s">
        <v>244</v>
      </c>
      <c r="F1150" s="199"/>
      <c r="G1150" s="140" t="e">
        <f ca="1">mif(C1150="","",OR(B1150=リスト!$C$5,B1150=リスト!$C$6),SUM(INDEX(G:G,MATCH(I1150-1,I:I,0)+1,1):INDEX(G:G,MATCH(I1150,I:I,0)-1,1)),D1150-C1150)</f>
        <v>#NAME?</v>
      </c>
      <c r="H1150" s="140" t="e">
        <f ca="1">mif(C1150="","",B1150=リスト!$C$5,SUMIF(INDEX(B:B,MATCH(I1150-1,I:I,0)+1,1):INDEX(B:B,MATCH(I1150,I:I,0)-1,1),リスト!$C$7,INDEX(G:G,MATCH(I1150-1,I:I,0)+1,1):INDEX(G:G,MATCH(I1150,I:I,0)-1,1)),"")</f>
        <v>#NAME?</v>
      </c>
      <c r="I1150" s="200" t="str">
        <f>IF(OR(B1150=リスト!$C$5,B1150=リスト!$C$6),COUNTIF($B$9:B1150,リスト!$C$5)+COUNTIF($B$9:B1150,リスト!$C$6),"")</f>
        <v/>
      </c>
    </row>
    <row r="1151" spans="2:9" x14ac:dyDescent="0.2">
      <c r="B1151" s="196" t="s">
        <v>247</v>
      </c>
      <c r="C1151" s="197">
        <v>45573.916666666664</v>
      </c>
      <c r="D1151" s="197">
        <v>45574.416666666664</v>
      </c>
      <c r="E1151" s="198">
        <v>21</v>
      </c>
      <c r="F1151" s="199"/>
      <c r="G1151" s="140" t="e">
        <f ca="1">mif(C1151="","",OR(B1151=リスト!$C$5,B1151=リスト!$C$6),SUM(INDEX(G:G,MATCH(I1151-1,I:I,0)+1,1):INDEX(G:G,MATCH(I1151,I:I,0)-1,1)),D1151-C1151)</f>
        <v>#NAME?</v>
      </c>
      <c r="H1151" s="140" t="e">
        <f ca="1">mif(C1151="","",B1151=リスト!$C$5,SUMIF(INDEX(B:B,MATCH(I1151-1,I:I,0)+1,1):INDEX(B:B,MATCH(I1151,I:I,0)-1,1),リスト!$C$7,INDEX(G:G,MATCH(I1151-1,I:I,0)+1,1):INDEX(G:G,MATCH(I1151,I:I,0)-1,1)),"")</f>
        <v>#NAME?</v>
      </c>
      <c r="I1151" s="200">
        <f>IF(OR(B1151=リスト!$C$5,B1151=リスト!$C$6),COUNTIF($B$9:B1151,リスト!$C$5)+COUNTIF($B$9:B1151,リスト!$C$6),"")</f>
        <v>79</v>
      </c>
    </row>
    <row r="1152" spans="2:9" x14ac:dyDescent="0.2">
      <c r="B1152" s="196"/>
      <c r="C1152" s="197">
        <v>45574.428391203706</v>
      </c>
      <c r="D1152" s="197">
        <v>45574.42869212963</v>
      </c>
      <c r="E1152" s="198" t="s">
        <v>244</v>
      </c>
      <c r="F1152" s="199"/>
      <c r="G1152" s="140" t="e">
        <f ca="1">mif(C1152="","",OR(B1152=リスト!$C$5,B1152=リスト!$C$6),SUM(INDEX(G:G,MATCH(I1152-1,I:I,0)+1,1):INDEX(G:G,MATCH(I1152,I:I,0)-1,1)),D1152-C1152)</f>
        <v>#NAME?</v>
      </c>
      <c r="H1152" s="140" t="e">
        <f ca="1">mif(C1152="","",B1152=リスト!$C$5,SUMIF(INDEX(B:B,MATCH(I1152-1,I:I,0)+1,1):INDEX(B:B,MATCH(I1152,I:I,0)-1,1),リスト!$C$7,INDEX(G:G,MATCH(I1152-1,I:I,0)+1,1):INDEX(G:G,MATCH(I1152,I:I,0)-1,1)),"")</f>
        <v>#NAME?</v>
      </c>
      <c r="I1152" s="200" t="str">
        <f>IF(OR(B1152=リスト!$C$5,B1152=リスト!$C$6),COUNTIF($B$9:B1152,リスト!$C$5)+COUNTIF($B$9:B1152,リスト!$C$6),"")</f>
        <v/>
      </c>
    </row>
    <row r="1153" spans="2:9" x14ac:dyDescent="0.2">
      <c r="B1153" s="196"/>
      <c r="C1153" s="197">
        <v>45574.431574074071</v>
      </c>
      <c r="D1153" s="197">
        <v>45574.432442129626</v>
      </c>
      <c r="E1153" s="198" t="s">
        <v>244</v>
      </c>
      <c r="F1153" s="199"/>
      <c r="G1153" s="140" t="e">
        <f ca="1">mif(C1153="","",OR(B1153=リスト!$C$5,B1153=リスト!$C$6),SUM(INDEX(G:G,MATCH(I1153-1,I:I,0)+1,1):INDEX(G:G,MATCH(I1153,I:I,0)-1,1)),D1153-C1153)</f>
        <v>#NAME?</v>
      </c>
      <c r="H1153" s="140" t="e">
        <f ca="1">mif(C1153="","",B1153=リスト!$C$5,SUMIF(INDEX(B:B,MATCH(I1153-1,I:I,0)+1,1):INDEX(B:B,MATCH(I1153,I:I,0)-1,1),リスト!$C$7,INDEX(G:G,MATCH(I1153-1,I:I,0)+1,1):INDEX(G:G,MATCH(I1153,I:I,0)-1,1)),"")</f>
        <v>#NAME?</v>
      </c>
      <c r="I1153" s="200" t="str">
        <f>IF(OR(B1153=リスト!$C$5,B1153=リスト!$C$6),COUNTIF($B$9:B1153,リスト!$C$5)+COUNTIF($B$9:B1153,リスト!$C$6),"")</f>
        <v/>
      </c>
    </row>
    <row r="1154" spans="2:9" x14ac:dyDescent="0.2">
      <c r="B1154" s="196"/>
      <c r="C1154" s="197">
        <v>45574.449583333335</v>
      </c>
      <c r="D1154" s="197">
        <v>45574.450254629628</v>
      </c>
      <c r="E1154" s="198" t="s">
        <v>244</v>
      </c>
      <c r="F1154" s="199"/>
      <c r="G1154" s="140" t="e">
        <f ca="1">mif(C1154="","",OR(B1154=リスト!$C$5,B1154=リスト!$C$6),SUM(INDEX(G:G,MATCH(I1154-1,I:I,0)+1,1):INDEX(G:G,MATCH(I1154,I:I,0)-1,1)),D1154-C1154)</f>
        <v>#NAME?</v>
      </c>
      <c r="H1154" s="140" t="e">
        <f ca="1">mif(C1154="","",B1154=リスト!$C$5,SUMIF(INDEX(B:B,MATCH(I1154-1,I:I,0)+1,1):INDEX(B:B,MATCH(I1154,I:I,0)-1,1),リスト!$C$7,INDEX(G:G,MATCH(I1154-1,I:I,0)+1,1):INDEX(G:G,MATCH(I1154,I:I,0)-1,1)),"")</f>
        <v>#NAME?</v>
      </c>
      <c r="I1154" s="200" t="str">
        <f>IF(OR(B1154=リスト!$C$5,B1154=リスト!$C$6),COUNTIF($B$9:B1154,リスト!$C$5)+COUNTIF($B$9:B1154,リスト!$C$6),"")</f>
        <v/>
      </c>
    </row>
    <row r="1155" spans="2:9" x14ac:dyDescent="0.2">
      <c r="B1155" s="196"/>
      <c r="C1155" s="197">
        <v>45574.453587962962</v>
      </c>
      <c r="D1155" s="197">
        <v>45574.453865740739</v>
      </c>
      <c r="E1155" s="198" t="s">
        <v>244</v>
      </c>
      <c r="F1155" s="199"/>
      <c r="G1155" s="140" t="e">
        <f ca="1">mif(C1155="","",OR(B1155=リスト!$C$5,B1155=リスト!$C$6),SUM(INDEX(G:G,MATCH(I1155-1,I:I,0)+1,1):INDEX(G:G,MATCH(I1155,I:I,0)-1,1)),D1155-C1155)</f>
        <v>#NAME?</v>
      </c>
      <c r="H1155" s="140" t="e">
        <f ca="1">mif(C1155="","",B1155=リスト!$C$5,SUMIF(INDEX(B:B,MATCH(I1155-1,I:I,0)+1,1):INDEX(B:B,MATCH(I1155,I:I,0)-1,1),リスト!$C$7,INDEX(G:G,MATCH(I1155-1,I:I,0)+1,1):INDEX(G:G,MATCH(I1155,I:I,0)-1,1)),"")</f>
        <v>#NAME?</v>
      </c>
      <c r="I1155" s="200" t="str">
        <f>IF(OR(B1155=リスト!$C$5,B1155=リスト!$C$6),COUNTIF($B$9:B1155,リスト!$C$5)+COUNTIF($B$9:B1155,リスト!$C$6),"")</f>
        <v/>
      </c>
    </row>
    <row r="1156" spans="2:9" x14ac:dyDescent="0.2">
      <c r="B1156" s="196"/>
      <c r="C1156" s="197">
        <v>45574.457557870373</v>
      </c>
      <c r="D1156" s="197">
        <v>45574.457835648151</v>
      </c>
      <c r="E1156" s="198" t="s">
        <v>244</v>
      </c>
      <c r="F1156" s="199"/>
      <c r="G1156" s="140" t="e">
        <f ca="1">mif(C1156="","",OR(B1156=リスト!$C$5,B1156=リスト!$C$6),SUM(INDEX(G:G,MATCH(I1156-1,I:I,0)+1,1):INDEX(G:G,MATCH(I1156,I:I,0)-1,1)),D1156-C1156)</f>
        <v>#NAME?</v>
      </c>
      <c r="H1156" s="140" t="e">
        <f ca="1">mif(C1156="","",B1156=リスト!$C$5,SUMIF(INDEX(B:B,MATCH(I1156-1,I:I,0)+1,1):INDEX(B:B,MATCH(I1156,I:I,0)-1,1),リスト!$C$7,INDEX(G:G,MATCH(I1156-1,I:I,0)+1,1):INDEX(G:G,MATCH(I1156,I:I,0)-1,1)),"")</f>
        <v>#NAME?</v>
      </c>
      <c r="I1156" s="200" t="str">
        <f>IF(OR(B1156=リスト!$C$5,B1156=リスト!$C$6),COUNTIF($B$9:B1156,リスト!$C$5)+COUNTIF($B$9:B1156,リスト!$C$6),"")</f>
        <v/>
      </c>
    </row>
    <row r="1157" spans="2:9" x14ac:dyDescent="0.2">
      <c r="B1157" s="196"/>
      <c r="C1157" s="197">
        <v>45574.463159722225</v>
      </c>
      <c r="D1157" s="197">
        <v>45574.463472222225</v>
      </c>
      <c r="E1157" s="198" t="s">
        <v>244</v>
      </c>
      <c r="F1157" s="199"/>
      <c r="G1157" s="140" t="e">
        <f ca="1">mif(C1157="","",OR(B1157=リスト!$C$5,B1157=リスト!$C$6),SUM(INDEX(G:G,MATCH(I1157-1,I:I,0)+1,1):INDEX(G:G,MATCH(I1157,I:I,0)-1,1)),D1157-C1157)</f>
        <v>#NAME?</v>
      </c>
      <c r="H1157" s="140" t="e">
        <f ca="1">mif(C1157="","",B1157=リスト!$C$5,SUMIF(INDEX(B:B,MATCH(I1157-1,I:I,0)+1,1):INDEX(B:B,MATCH(I1157,I:I,0)-1,1),リスト!$C$7,INDEX(G:G,MATCH(I1157-1,I:I,0)+1,1):INDEX(G:G,MATCH(I1157,I:I,0)-1,1)),"")</f>
        <v>#NAME?</v>
      </c>
      <c r="I1157" s="200" t="str">
        <f>IF(OR(B1157=リスト!$C$5,B1157=リスト!$C$6),COUNTIF($B$9:B1157,リスト!$C$5)+COUNTIF($B$9:B1157,リスト!$C$6),"")</f>
        <v/>
      </c>
    </row>
    <row r="1158" spans="2:9" x14ac:dyDescent="0.2">
      <c r="B1158" s="196"/>
      <c r="C1158" s="197">
        <v>45574.489120370374</v>
      </c>
      <c r="D1158" s="197">
        <v>45574.489421296297</v>
      </c>
      <c r="E1158" s="198" t="s">
        <v>244</v>
      </c>
      <c r="F1158" s="199"/>
      <c r="G1158" s="140" t="e">
        <f ca="1">mif(C1158="","",OR(B1158=リスト!$C$5,B1158=リスト!$C$6),SUM(INDEX(G:G,MATCH(I1158-1,I:I,0)+1,1):INDEX(G:G,MATCH(I1158,I:I,0)-1,1)),D1158-C1158)</f>
        <v>#NAME?</v>
      </c>
      <c r="H1158" s="140" t="e">
        <f ca="1">mif(C1158="","",B1158=リスト!$C$5,SUMIF(INDEX(B:B,MATCH(I1158-1,I:I,0)+1,1):INDEX(B:B,MATCH(I1158,I:I,0)-1,1),リスト!$C$7,INDEX(G:G,MATCH(I1158-1,I:I,0)+1,1):INDEX(G:G,MATCH(I1158,I:I,0)-1,1)),"")</f>
        <v>#NAME?</v>
      </c>
      <c r="I1158" s="200" t="str">
        <f>IF(OR(B1158=リスト!$C$5,B1158=リスト!$C$6),COUNTIF($B$9:B1158,リスト!$C$5)+COUNTIF($B$9:B1158,リスト!$C$6),"")</f>
        <v/>
      </c>
    </row>
    <row r="1159" spans="2:9" x14ac:dyDescent="0.2">
      <c r="B1159" s="196"/>
      <c r="C1159" s="197">
        <v>45574.495532407411</v>
      </c>
      <c r="D1159" s="197">
        <v>45574.495810185188</v>
      </c>
      <c r="E1159" s="198" t="s">
        <v>244</v>
      </c>
      <c r="F1159" s="199"/>
      <c r="G1159" s="140" t="e">
        <f ca="1">mif(C1159="","",OR(B1159=リスト!$C$5,B1159=リスト!$C$6),SUM(INDEX(G:G,MATCH(I1159-1,I:I,0)+1,1):INDEX(G:G,MATCH(I1159,I:I,0)-1,1)),D1159-C1159)</f>
        <v>#NAME?</v>
      </c>
      <c r="H1159" s="140" t="e">
        <f ca="1">mif(C1159="","",B1159=リスト!$C$5,SUMIF(INDEX(B:B,MATCH(I1159-1,I:I,0)+1,1):INDEX(B:B,MATCH(I1159,I:I,0)-1,1),リスト!$C$7,INDEX(G:G,MATCH(I1159-1,I:I,0)+1,1):INDEX(G:G,MATCH(I1159,I:I,0)-1,1)),"")</f>
        <v>#NAME?</v>
      </c>
      <c r="I1159" s="200" t="str">
        <f>IF(OR(B1159=リスト!$C$5,B1159=リスト!$C$6),COUNTIF($B$9:B1159,リスト!$C$5)+COUNTIF($B$9:B1159,リスト!$C$6),"")</f>
        <v/>
      </c>
    </row>
    <row r="1160" spans="2:9" x14ac:dyDescent="0.2">
      <c r="B1160" s="196"/>
      <c r="C1160" s="197">
        <v>45574.547939814816</v>
      </c>
      <c r="D1160" s="197">
        <v>45574.548171296294</v>
      </c>
      <c r="E1160" s="198" t="s">
        <v>244</v>
      </c>
      <c r="F1160" s="199"/>
      <c r="G1160" s="140" t="e">
        <f ca="1">mif(C1160="","",OR(B1160=リスト!$C$5,B1160=リスト!$C$6),SUM(INDEX(G:G,MATCH(I1160-1,I:I,0)+1,1):INDEX(G:G,MATCH(I1160,I:I,0)-1,1)),D1160-C1160)</f>
        <v>#NAME?</v>
      </c>
      <c r="H1160" s="140" t="e">
        <f ca="1">mif(C1160="","",B1160=リスト!$C$5,SUMIF(INDEX(B:B,MATCH(I1160-1,I:I,0)+1,1):INDEX(B:B,MATCH(I1160,I:I,0)-1,1),リスト!$C$7,INDEX(G:G,MATCH(I1160-1,I:I,0)+1,1):INDEX(G:G,MATCH(I1160,I:I,0)-1,1)),"")</f>
        <v>#NAME?</v>
      </c>
      <c r="I1160" s="200" t="str">
        <f>IF(OR(B1160=リスト!$C$5,B1160=リスト!$C$6),COUNTIF($B$9:B1160,リスト!$C$5)+COUNTIF($B$9:B1160,リスト!$C$6),"")</f>
        <v/>
      </c>
    </row>
    <row r="1161" spans="2:9" x14ac:dyDescent="0.2">
      <c r="B1161" s="196"/>
      <c r="C1161" s="197">
        <v>45574.578483796293</v>
      </c>
      <c r="D1161" s="197">
        <v>45574.578946759262</v>
      </c>
      <c r="E1161" s="198" t="s">
        <v>244</v>
      </c>
      <c r="F1161" s="199"/>
      <c r="G1161" s="140" t="e">
        <f ca="1">mif(C1161="","",OR(B1161=リスト!$C$5,B1161=リスト!$C$6),SUM(INDEX(G:G,MATCH(I1161-1,I:I,0)+1,1):INDEX(G:G,MATCH(I1161,I:I,0)-1,1)),D1161-C1161)</f>
        <v>#NAME?</v>
      </c>
      <c r="H1161" s="140" t="e">
        <f ca="1">mif(C1161="","",B1161=リスト!$C$5,SUMIF(INDEX(B:B,MATCH(I1161-1,I:I,0)+1,1):INDEX(B:B,MATCH(I1161,I:I,0)-1,1),リスト!$C$7,INDEX(G:G,MATCH(I1161-1,I:I,0)+1,1):INDEX(G:G,MATCH(I1161,I:I,0)-1,1)),"")</f>
        <v>#NAME?</v>
      </c>
      <c r="I1161" s="200" t="str">
        <f>IF(OR(B1161=リスト!$C$5,B1161=リスト!$C$6),COUNTIF($B$9:B1161,リスト!$C$5)+COUNTIF($B$9:B1161,リスト!$C$6),"")</f>
        <v/>
      </c>
    </row>
    <row r="1162" spans="2:9" x14ac:dyDescent="0.2">
      <c r="B1162" s="196"/>
      <c r="C1162" s="197">
        <v>45574.588472222225</v>
      </c>
      <c r="D1162" s="197">
        <v>45574.588726851849</v>
      </c>
      <c r="E1162" s="198" t="s">
        <v>244</v>
      </c>
      <c r="F1162" s="199"/>
      <c r="G1162" s="140" t="e">
        <f ca="1">mif(C1162="","",OR(B1162=リスト!$C$5,B1162=リスト!$C$6),SUM(INDEX(G:G,MATCH(I1162-1,I:I,0)+1,1):INDEX(G:G,MATCH(I1162,I:I,0)-1,1)),D1162-C1162)</f>
        <v>#NAME?</v>
      </c>
      <c r="H1162" s="140" t="e">
        <f ca="1">mif(C1162="","",B1162=リスト!$C$5,SUMIF(INDEX(B:B,MATCH(I1162-1,I:I,0)+1,1):INDEX(B:B,MATCH(I1162,I:I,0)-1,1),リスト!$C$7,INDEX(G:G,MATCH(I1162-1,I:I,0)+1,1):INDEX(G:G,MATCH(I1162,I:I,0)-1,1)),"")</f>
        <v>#NAME?</v>
      </c>
      <c r="I1162" s="200" t="str">
        <f>IF(OR(B1162=リスト!$C$5,B1162=リスト!$C$6),COUNTIF($B$9:B1162,リスト!$C$5)+COUNTIF($B$9:B1162,リスト!$C$6),"")</f>
        <v/>
      </c>
    </row>
    <row r="1163" spans="2:9" x14ac:dyDescent="0.2">
      <c r="B1163" s="196"/>
      <c r="C1163" s="197">
        <v>45574.590856481482</v>
      </c>
      <c r="D1163" s="197">
        <v>45574.591111111113</v>
      </c>
      <c r="E1163" s="198" t="s">
        <v>244</v>
      </c>
      <c r="F1163" s="199"/>
      <c r="G1163" s="140" t="e">
        <f ca="1">mif(C1163="","",OR(B1163=リスト!$C$5,B1163=リスト!$C$6),SUM(INDEX(G:G,MATCH(I1163-1,I:I,0)+1,1):INDEX(G:G,MATCH(I1163,I:I,0)-1,1)),D1163-C1163)</f>
        <v>#NAME?</v>
      </c>
      <c r="H1163" s="140" t="e">
        <f ca="1">mif(C1163="","",B1163=リスト!$C$5,SUMIF(INDEX(B:B,MATCH(I1163-1,I:I,0)+1,1):INDEX(B:B,MATCH(I1163,I:I,0)-1,1),リスト!$C$7,INDEX(G:G,MATCH(I1163-1,I:I,0)+1,1):INDEX(G:G,MATCH(I1163,I:I,0)-1,1)),"")</f>
        <v>#NAME?</v>
      </c>
      <c r="I1163" s="200" t="str">
        <f>IF(OR(B1163=リスト!$C$5,B1163=リスト!$C$6),COUNTIF($B$9:B1163,リスト!$C$5)+COUNTIF($B$9:B1163,リスト!$C$6),"")</f>
        <v/>
      </c>
    </row>
    <row r="1164" spans="2:9" x14ac:dyDescent="0.2">
      <c r="B1164" s="196"/>
      <c r="C1164" s="197">
        <v>45574.620497685188</v>
      </c>
      <c r="D1164" s="197">
        <v>45574.620798611111</v>
      </c>
      <c r="E1164" s="198" t="s">
        <v>244</v>
      </c>
      <c r="F1164" s="199"/>
      <c r="G1164" s="140" t="e">
        <f ca="1">mif(C1164="","",OR(B1164=リスト!$C$5,B1164=リスト!$C$6),SUM(INDEX(G:G,MATCH(I1164-1,I:I,0)+1,1):INDEX(G:G,MATCH(I1164,I:I,0)-1,1)),D1164-C1164)</f>
        <v>#NAME?</v>
      </c>
      <c r="H1164" s="140" t="e">
        <f ca="1">mif(C1164="","",B1164=リスト!$C$5,SUMIF(INDEX(B:B,MATCH(I1164-1,I:I,0)+1,1):INDEX(B:B,MATCH(I1164,I:I,0)-1,1),リスト!$C$7,INDEX(G:G,MATCH(I1164-1,I:I,0)+1,1):INDEX(G:G,MATCH(I1164,I:I,0)-1,1)),"")</f>
        <v>#NAME?</v>
      </c>
      <c r="I1164" s="200" t="str">
        <f>IF(OR(B1164=リスト!$C$5,B1164=リスト!$C$6),COUNTIF($B$9:B1164,リスト!$C$5)+COUNTIF($B$9:B1164,リスト!$C$6),"")</f>
        <v/>
      </c>
    </row>
    <row r="1165" spans="2:9" x14ac:dyDescent="0.2">
      <c r="B1165" s="196"/>
      <c r="C1165" s="197">
        <v>45574.663043981483</v>
      </c>
      <c r="D1165" s="197">
        <v>45574.663321759261</v>
      </c>
      <c r="E1165" s="198" t="s">
        <v>244</v>
      </c>
      <c r="F1165" s="199"/>
      <c r="G1165" s="140" t="e">
        <f ca="1">mif(C1165="","",OR(B1165=リスト!$C$5,B1165=リスト!$C$6),SUM(INDEX(G:G,MATCH(I1165-1,I:I,0)+1,1):INDEX(G:G,MATCH(I1165,I:I,0)-1,1)),D1165-C1165)</f>
        <v>#NAME?</v>
      </c>
      <c r="H1165" s="140" t="e">
        <f ca="1">mif(C1165="","",B1165=リスト!$C$5,SUMIF(INDEX(B:B,MATCH(I1165-1,I:I,0)+1,1):INDEX(B:B,MATCH(I1165,I:I,0)-1,1),リスト!$C$7,INDEX(G:G,MATCH(I1165-1,I:I,0)+1,1):INDEX(G:G,MATCH(I1165,I:I,0)-1,1)),"")</f>
        <v>#NAME?</v>
      </c>
      <c r="I1165" s="200" t="str">
        <f>IF(OR(B1165=リスト!$C$5,B1165=リスト!$C$6),COUNTIF($B$9:B1165,リスト!$C$5)+COUNTIF($B$9:B1165,リスト!$C$6),"")</f>
        <v/>
      </c>
    </row>
    <row r="1166" spans="2:9" x14ac:dyDescent="0.2">
      <c r="B1166" s="196"/>
      <c r="C1166" s="197">
        <v>45574.69222222222</v>
      </c>
      <c r="D1166" s="197">
        <v>45574.692523148151</v>
      </c>
      <c r="E1166" s="198" t="s">
        <v>244</v>
      </c>
      <c r="F1166" s="199"/>
      <c r="G1166" s="140" t="e">
        <f ca="1">mif(C1166="","",OR(B1166=リスト!$C$5,B1166=リスト!$C$6),SUM(INDEX(G:G,MATCH(I1166-1,I:I,0)+1,1):INDEX(G:G,MATCH(I1166,I:I,0)-1,1)),D1166-C1166)</f>
        <v>#NAME?</v>
      </c>
      <c r="H1166" s="140" t="e">
        <f ca="1">mif(C1166="","",B1166=リスト!$C$5,SUMIF(INDEX(B:B,MATCH(I1166-1,I:I,0)+1,1):INDEX(B:B,MATCH(I1166,I:I,0)-1,1),リスト!$C$7,INDEX(G:G,MATCH(I1166-1,I:I,0)+1,1):INDEX(G:G,MATCH(I1166,I:I,0)-1,1)),"")</f>
        <v>#NAME?</v>
      </c>
      <c r="I1166" s="200" t="str">
        <f>IF(OR(B1166=リスト!$C$5,B1166=リスト!$C$6),COUNTIF($B$9:B1166,リスト!$C$5)+COUNTIF($B$9:B1166,リスト!$C$6),"")</f>
        <v/>
      </c>
    </row>
    <row r="1167" spans="2:9" x14ac:dyDescent="0.2">
      <c r="B1167" s="196"/>
      <c r="C1167" s="197">
        <v>45574.694699074076</v>
      </c>
      <c r="D1167" s="197">
        <v>45574.695</v>
      </c>
      <c r="E1167" s="198" t="s">
        <v>244</v>
      </c>
      <c r="F1167" s="199"/>
      <c r="G1167" s="140" t="e">
        <f ca="1">mif(C1167="","",OR(B1167=リスト!$C$5,B1167=リスト!$C$6),SUM(INDEX(G:G,MATCH(I1167-1,I:I,0)+1,1):INDEX(G:G,MATCH(I1167,I:I,0)-1,1)),D1167-C1167)</f>
        <v>#NAME?</v>
      </c>
      <c r="H1167" s="140" t="e">
        <f ca="1">mif(C1167="","",B1167=リスト!$C$5,SUMIF(INDEX(B:B,MATCH(I1167-1,I:I,0)+1,1):INDEX(B:B,MATCH(I1167,I:I,0)-1,1),リスト!$C$7,INDEX(G:G,MATCH(I1167-1,I:I,0)+1,1):INDEX(G:G,MATCH(I1167,I:I,0)-1,1)),"")</f>
        <v>#NAME?</v>
      </c>
      <c r="I1167" s="200" t="str">
        <f>IF(OR(B1167=リスト!$C$5,B1167=リスト!$C$6),COUNTIF($B$9:B1167,リスト!$C$5)+COUNTIF($B$9:B1167,リスト!$C$6),"")</f>
        <v/>
      </c>
    </row>
    <row r="1168" spans="2:9" x14ac:dyDescent="0.2">
      <c r="B1168" s="196"/>
      <c r="C1168" s="197">
        <v>45574.717326388891</v>
      </c>
      <c r="D1168" s="197">
        <v>45574.717604166668</v>
      </c>
      <c r="E1168" s="198" t="s">
        <v>244</v>
      </c>
      <c r="F1168" s="199"/>
      <c r="G1168" s="140" t="e">
        <f ca="1">mif(C1168="","",OR(B1168=リスト!$C$5,B1168=リスト!$C$6),SUM(INDEX(G:G,MATCH(I1168-1,I:I,0)+1,1):INDEX(G:G,MATCH(I1168,I:I,0)-1,1)),D1168-C1168)</f>
        <v>#NAME?</v>
      </c>
      <c r="H1168" s="140" t="e">
        <f ca="1">mif(C1168="","",B1168=リスト!$C$5,SUMIF(INDEX(B:B,MATCH(I1168-1,I:I,0)+1,1):INDEX(B:B,MATCH(I1168,I:I,0)-1,1),リスト!$C$7,INDEX(G:G,MATCH(I1168-1,I:I,0)+1,1):INDEX(G:G,MATCH(I1168,I:I,0)-1,1)),"")</f>
        <v>#NAME?</v>
      </c>
      <c r="I1168" s="200" t="str">
        <f>IF(OR(B1168=リスト!$C$5,B1168=リスト!$C$6),COUNTIF($B$9:B1168,リスト!$C$5)+COUNTIF($B$9:B1168,リスト!$C$6),"")</f>
        <v/>
      </c>
    </row>
    <row r="1169" spans="2:9" x14ac:dyDescent="0.2">
      <c r="B1169" s="196"/>
      <c r="C1169" s="197">
        <v>45574.732256944444</v>
      </c>
      <c r="D1169" s="197">
        <v>45574.732604166667</v>
      </c>
      <c r="E1169" s="198" t="s">
        <v>244</v>
      </c>
      <c r="F1169" s="199"/>
      <c r="G1169" s="140" t="e">
        <f ca="1">mif(C1169="","",OR(B1169=リスト!$C$5,B1169=リスト!$C$6),SUM(INDEX(G:G,MATCH(I1169-1,I:I,0)+1,1):INDEX(G:G,MATCH(I1169,I:I,0)-1,1)),D1169-C1169)</f>
        <v>#NAME?</v>
      </c>
      <c r="H1169" s="140" t="e">
        <f ca="1">mif(C1169="","",B1169=リスト!$C$5,SUMIF(INDEX(B:B,MATCH(I1169-1,I:I,0)+1,1):INDEX(B:B,MATCH(I1169,I:I,0)-1,1),リスト!$C$7,INDEX(G:G,MATCH(I1169-1,I:I,0)+1,1):INDEX(G:G,MATCH(I1169,I:I,0)-1,1)),"")</f>
        <v>#NAME?</v>
      </c>
      <c r="I1169" s="200" t="str">
        <f>IF(OR(B1169=リスト!$C$5,B1169=リスト!$C$6),COUNTIF($B$9:B1169,リスト!$C$5)+COUNTIF($B$9:B1169,リスト!$C$6),"")</f>
        <v/>
      </c>
    </row>
    <row r="1170" spans="2:9" x14ac:dyDescent="0.2">
      <c r="B1170" s="196"/>
      <c r="C1170" s="197">
        <v>45574.741388888891</v>
      </c>
      <c r="D1170" s="197">
        <v>45574.741620370369</v>
      </c>
      <c r="E1170" s="198" t="s">
        <v>244</v>
      </c>
      <c r="F1170" s="199"/>
      <c r="G1170" s="140" t="e">
        <f ca="1">mif(C1170="","",OR(B1170=リスト!$C$5,B1170=リスト!$C$6),SUM(INDEX(G:G,MATCH(I1170-1,I:I,0)+1,1):INDEX(G:G,MATCH(I1170,I:I,0)-1,1)),D1170-C1170)</f>
        <v>#NAME?</v>
      </c>
      <c r="H1170" s="140" t="e">
        <f ca="1">mif(C1170="","",B1170=リスト!$C$5,SUMIF(INDEX(B:B,MATCH(I1170-1,I:I,0)+1,1):INDEX(B:B,MATCH(I1170,I:I,0)-1,1),リスト!$C$7,INDEX(G:G,MATCH(I1170-1,I:I,0)+1,1):INDEX(G:G,MATCH(I1170,I:I,0)-1,1)),"")</f>
        <v>#NAME?</v>
      </c>
      <c r="I1170" s="200" t="str">
        <f>IF(OR(B1170=リスト!$C$5,B1170=リスト!$C$6),COUNTIF($B$9:B1170,リスト!$C$5)+COUNTIF($B$9:B1170,リスト!$C$6),"")</f>
        <v/>
      </c>
    </row>
    <row r="1171" spans="2:9" x14ac:dyDescent="0.2">
      <c r="B1171" s="196"/>
      <c r="C1171" s="197">
        <v>45574.754953703705</v>
      </c>
      <c r="D1171" s="197">
        <v>45574.759953703702</v>
      </c>
      <c r="E1171" s="198" t="s">
        <v>244</v>
      </c>
      <c r="F1171" s="199"/>
      <c r="G1171" s="140" t="e">
        <f ca="1">mif(C1171="","",OR(B1171=リスト!$C$5,B1171=リスト!$C$6),SUM(INDEX(G:G,MATCH(I1171-1,I:I,0)+1,1):INDEX(G:G,MATCH(I1171,I:I,0)-1,1)),D1171-C1171)</f>
        <v>#NAME?</v>
      </c>
      <c r="H1171" s="140" t="e">
        <f ca="1">mif(C1171="","",B1171=リスト!$C$5,SUMIF(INDEX(B:B,MATCH(I1171-1,I:I,0)+1,1):INDEX(B:B,MATCH(I1171,I:I,0)-1,1),リスト!$C$7,INDEX(G:G,MATCH(I1171-1,I:I,0)+1,1):INDEX(G:G,MATCH(I1171,I:I,0)-1,1)),"")</f>
        <v>#NAME?</v>
      </c>
      <c r="I1171" s="200" t="str">
        <f>IF(OR(B1171=リスト!$C$5,B1171=リスト!$C$6),COUNTIF($B$9:B1171,リスト!$C$5)+COUNTIF($B$9:B1171,リスト!$C$6),"")</f>
        <v/>
      </c>
    </row>
    <row r="1172" spans="2:9" x14ac:dyDescent="0.2">
      <c r="B1172" s="196"/>
      <c r="C1172" s="197">
        <v>45574.763761574075</v>
      </c>
      <c r="D1172" s="197">
        <v>45574.764062499999</v>
      </c>
      <c r="E1172" s="198" t="s">
        <v>244</v>
      </c>
      <c r="F1172" s="199"/>
      <c r="G1172" s="140" t="e">
        <f ca="1">mif(C1172="","",OR(B1172=リスト!$C$5,B1172=リスト!$C$6),SUM(INDEX(G:G,MATCH(I1172-1,I:I,0)+1,1):INDEX(G:G,MATCH(I1172,I:I,0)-1,1)),D1172-C1172)</f>
        <v>#NAME?</v>
      </c>
      <c r="H1172" s="140" t="e">
        <f ca="1">mif(C1172="","",B1172=リスト!$C$5,SUMIF(INDEX(B:B,MATCH(I1172-1,I:I,0)+1,1):INDEX(B:B,MATCH(I1172,I:I,0)-1,1),リスト!$C$7,INDEX(G:G,MATCH(I1172-1,I:I,0)+1,1):INDEX(G:G,MATCH(I1172,I:I,0)-1,1)),"")</f>
        <v>#NAME?</v>
      </c>
      <c r="I1172" s="200" t="str">
        <f>IF(OR(B1172=リスト!$C$5,B1172=リスト!$C$6),COUNTIF($B$9:B1172,リスト!$C$5)+COUNTIF($B$9:B1172,リスト!$C$6),"")</f>
        <v/>
      </c>
    </row>
    <row r="1173" spans="2:9" x14ac:dyDescent="0.2">
      <c r="B1173" s="196"/>
      <c r="C1173" s="197">
        <v>45574.844189814816</v>
      </c>
      <c r="D1173" s="197">
        <v>45574.844722222224</v>
      </c>
      <c r="E1173" s="198" t="s">
        <v>244</v>
      </c>
      <c r="F1173" s="199"/>
      <c r="G1173" s="140" t="e">
        <f ca="1">mif(C1173="","",OR(B1173=リスト!$C$5,B1173=リスト!$C$6),SUM(INDEX(G:G,MATCH(I1173-1,I:I,0)+1,1):INDEX(G:G,MATCH(I1173,I:I,0)-1,1)),D1173-C1173)</f>
        <v>#NAME?</v>
      </c>
      <c r="H1173" s="140" t="e">
        <f ca="1">mif(C1173="","",B1173=リスト!$C$5,SUMIF(INDEX(B:B,MATCH(I1173-1,I:I,0)+1,1):INDEX(B:B,MATCH(I1173,I:I,0)-1,1),リスト!$C$7,INDEX(G:G,MATCH(I1173-1,I:I,0)+1,1):INDEX(G:G,MATCH(I1173,I:I,0)-1,1)),"")</f>
        <v>#NAME?</v>
      </c>
      <c r="I1173" s="200" t="str">
        <f>IF(OR(B1173=リスト!$C$5,B1173=リスト!$C$6),COUNTIF($B$9:B1173,リスト!$C$5)+COUNTIF($B$9:B1173,リスト!$C$6),"")</f>
        <v/>
      </c>
    </row>
    <row r="1174" spans="2:9" x14ac:dyDescent="0.2">
      <c r="B1174" s="196"/>
      <c r="C1174" s="197">
        <v>45574.858287037037</v>
      </c>
      <c r="D1174" s="197">
        <v>45574.858564814815</v>
      </c>
      <c r="E1174" s="198" t="s">
        <v>244</v>
      </c>
      <c r="F1174" s="199"/>
      <c r="G1174" s="140" t="e">
        <f ca="1">mif(C1174="","",OR(B1174=リスト!$C$5,B1174=リスト!$C$6),SUM(INDEX(G:G,MATCH(I1174-1,I:I,0)+1,1):INDEX(G:G,MATCH(I1174,I:I,0)-1,1)),D1174-C1174)</f>
        <v>#NAME?</v>
      </c>
      <c r="H1174" s="140" t="e">
        <f ca="1">mif(C1174="","",B1174=リスト!$C$5,SUMIF(INDEX(B:B,MATCH(I1174-1,I:I,0)+1,1):INDEX(B:B,MATCH(I1174,I:I,0)-1,1),リスト!$C$7,INDEX(G:G,MATCH(I1174-1,I:I,0)+1,1):INDEX(G:G,MATCH(I1174,I:I,0)-1,1)),"")</f>
        <v>#NAME?</v>
      </c>
      <c r="I1174" s="200" t="str">
        <f>IF(OR(B1174=リスト!$C$5,B1174=リスト!$C$6),COUNTIF($B$9:B1174,リスト!$C$5)+COUNTIF($B$9:B1174,リスト!$C$6),"")</f>
        <v/>
      </c>
    </row>
    <row r="1175" spans="2:9" x14ac:dyDescent="0.2">
      <c r="B1175" s="196"/>
      <c r="C1175" s="197">
        <v>45574.874965277777</v>
      </c>
      <c r="D1175" s="197">
        <v>45574.875520833331</v>
      </c>
      <c r="E1175" s="198" t="s">
        <v>244</v>
      </c>
      <c r="F1175" s="199"/>
      <c r="G1175" s="140" t="e">
        <f ca="1">mif(C1175="","",OR(B1175=リスト!$C$5,B1175=リスト!$C$6),SUM(INDEX(G:G,MATCH(I1175-1,I:I,0)+1,1):INDEX(G:G,MATCH(I1175,I:I,0)-1,1)),D1175-C1175)</f>
        <v>#NAME?</v>
      </c>
      <c r="H1175" s="140" t="e">
        <f ca="1">mif(C1175="","",B1175=リスト!$C$5,SUMIF(INDEX(B:B,MATCH(I1175-1,I:I,0)+1,1):INDEX(B:B,MATCH(I1175,I:I,0)-1,1),リスト!$C$7,INDEX(G:G,MATCH(I1175-1,I:I,0)+1,1):INDEX(G:G,MATCH(I1175,I:I,0)-1,1)),"")</f>
        <v>#NAME?</v>
      </c>
      <c r="I1175" s="200" t="str">
        <f>IF(OR(B1175=リスト!$C$5,B1175=リスト!$C$6),COUNTIF($B$9:B1175,リスト!$C$5)+COUNTIF($B$9:B1175,リスト!$C$6),"")</f>
        <v/>
      </c>
    </row>
    <row r="1176" spans="2:9" x14ac:dyDescent="0.2">
      <c r="B1176" s="196"/>
      <c r="C1176" s="197">
        <v>45574.89638888889</v>
      </c>
      <c r="D1176" s="197">
        <v>45574.897685185184</v>
      </c>
      <c r="E1176" s="198" t="s">
        <v>244</v>
      </c>
      <c r="F1176" s="199"/>
      <c r="G1176" s="140" t="e">
        <f ca="1">mif(C1176="","",OR(B1176=リスト!$C$5,B1176=リスト!$C$6),SUM(INDEX(G:G,MATCH(I1176-1,I:I,0)+1,1):INDEX(G:G,MATCH(I1176,I:I,0)-1,1)),D1176-C1176)</f>
        <v>#NAME?</v>
      </c>
      <c r="H1176" s="140" t="e">
        <f ca="1">mif(C1176="","",B1176=リスト!$C$5,SUMIF(INDEX(B:B,MATCH(I1176-1,I:I,0)+1,1):INDEX(B:B,MATCH(I1176,I:I,0)-1,1),リスト!$C$7,INDEX(G:G,MATCH(I1176-1,I:I,0)+1,1):INDEX(G:G,MATCH(I1176,I:I,0)-1,1)),"")</f>
        <v>#NAME?</v>
      </c>
      <c r="I1176" s="200" t="str">
        <f>IF(OR(B1176=リスト!$C$5,B1176=リスト!$C$6),COUNTIF($B$9:B1176,リスト!$C$5)+COUNTIF($B$9:B1176,リスト!$C$6),"")</f>
        <v/>
      </c>
    </row>
    <row r="1177" spans="2:9" x14ac:dyDescent="0.2">
      <c r="B1177" s="196" t="s">
        <v>247</v>
      </c>
      <c r="C1177" s="197">
        <v>45574.416666666664</v>
      </c>
      <c r="D1177" s="197">
        <v>45574.916666666664</v>
      </c>
      <c r="E1177" s="198">
        <v>25</v>
      </c>
      <c r="F1177" s="199"/>
      <c r="G1177" s="140" t="e">
        <f ca="1">mif(C1177="","",OR(B1177=リスト!$C$5,B1177=リスト!$C$6),SUM(INDEX(G:G,MATCH(I1177-1,I:I,0)+1,1):INDEX(G:G,MATCH(I1177,I:I,0)-1,1)),D1177-C1177)</f>
        <v>#NAME?</v>
      </c>
      <c r="H1177" s="140" t="e">
        <f ca="1">mif(C1177="","",B1177=リスト!$C$5,SUMIF(INDEX(B:B,MATCH(I1177-1,I:I,0)+1,1):INDEX(B:B,MATCH(I1177,I:I,0)-1,1),リスト!$C$7,INDEX(G:G,MATCH(I1177-1,I:I,0)+1,1):INDEX(G:G,MATCH(I1177,I:I,0)-1,1)),"")</f>
        <v>#NAME?</v>
      </c>
      <c r="I1177" s="200">
        <f>IF(OR(B1177=リスト!$C$5,B1177=リスト!$C$6),COUNTIF($B$9:B1177,リスト!$C$5)+COUNTIF($B$9:B1177,リスト!$C$6),"")</f>
        <v>80</v>
      </c>
    </row>
    <row r="1178" spans="2:9" x14ac:dyDescent="0.2">
      <c r="B1178" s="196"/>
      <c r="C1178" s="197">
        <v>45574.927534722221</v>
      </c>
      <c r="D1178" s="197">
        <v>45574.928229166668</v>
      </c>
      <c r="E1178" s="198" t="s">
        <v>244</v>
      </c>
      <c r="F1178" s="199"/>
      <c r="G1178" s="140" t="e">
        <f ca="1">mif(C1178="","",OR(B1178=リスト!$C$5,B1178=リスト!$C$6),SUM(INDEX(G:G,MATCH(I1178-1,I:I,0)+1,1):INDEX(G:G,MATCH(I1178,I:I,0)-1,1)),D1178-C1178)</f>
        <v>#NAME?</v>
      </c>
      <c r="H1178" s="140" t="e">
        <f ca="1">mif(C1178="","",B1178=リスト!$C$5,SUMIF(INDEX(B:B,MATCH(I1178-1,I:I,0)+1,1):INDEX(B:B,MATCH(I1178,I:I,0)-1,1),リスト!$C$7,INDEX(G:G,MATCH(I1178-1,I:I,0)+1,1):INDEX(G:G,MATCH(I1178,I:I,0)-1,1)),"")</f>
        <v>#NAME?</v>
      </c>
      <c r="I1178" s="200" t="str">
        <f>IF(OR(B1178=リスト!$C$5,B1178=リスト!$C$6),COUNTIF($B$9:B1178,リスト!$C$5)+COUNTIF($B$9:B1178,リスト!$C$6),"")</f>
        <v/>
      </c>
    </row>
    <row r="1179" spans="2:9" x14ac:dyDescent="0.2">
      <c r="B1179" s="196"/>
      <c r="C1179" s="197">
        <v>45574.954050925924</v>
      </c>
      <c r="D1179" s="197">
        <v>45574.954560185186</v>
      </c>
      <c r="E1179" s="198" t="s">
        <v>244</v>
      </c>
      <c r="F1179" s="199"/>
      <c r="G1179" s="140" t="e">
        <f ca="1">mif(C1179="","",OR(B1179=リスト!$C$5,B1179=リスト!$C$6),SUM(INDEX(G:G,MATCH(I1179-1,I:I,0)+1,1):INDEX(G:G,MATCH(I1179,I:I,0)-1,1)),D1179-C1179)</f>
        <v>#NAME?</v>
      </c>
      <c r="H1179" s="140" t="e">
        <f ca="1">mif(C1179="","",B1179=リスト!$C$5,SUMIF(INDEX(B:B,MATCH(I1179-1,I:I,0)+1,1):INDEX(B:B,MATCH(I1179,I:I,0)-1,1),リスト!$C$7,INDEX(G:G,MATCH(I1179-1,I:I,0)+1,1):INDEX(G:G,MATCH(I1179,I:I,0)-1,1)),"")</f>
        <v>#NAME?</v>
      </c>
      <c r="I1179" s="200" t="str">
        <f>IF(OR(B1179=リスト!$C$5,B1179=リスト!$C$6),COUNTIF($B$9:B1179,リスト!$C$5)+COUNTIF($B$9:B1179,リスト!$C$6),"")</f>
        <v/>
      </c>
    </row>
    <row r="1180" spans="2:9" x14ac:dyDescent="0.2">
      <c r="B1180" s="196"/>
      <c r="C1180" s="197">
        <v>45574.980150462965</v>
      </c>
      <c r="D1180" s="197">
        <v>45574.980428240742</v>
      </c>
      <c r="E1180" s="198" t="s">
        <v>244</v>
      </c>
      <c r="F1180" s="199"/>
      <c r="G1180" s="140" t="e">
        <f ca="1">mif(C1180="","",OR(B1180=リスト!$C$5,B1180=リスト!$C$6),SUM(INDEX(G:G,MATCH(I1180-1,I:I,0)+1,1):INDEX(G:G,MATCH(I1180,I:I,0)-1,1)),D1180-C1180)</f>
        <v>#NAME?</v>
      </c>
      <c r="H1180" s="140" t="e">
        <f ca="1">mif(C1180="","",B1180=リスト!$C$5,SUMIF(INDEX(B:B,MATCH(I1180-1,I:I,0)+1,1):INDEX(B:B,MATCH(I1180,I:I,0)-1,1),リスト!$C$7,INDEX(G:G,MATCH(I1180-1,I:I,0)+1,1):INDEX(G:G,MATCH(I1180,I:I,0)-1,1)),"")</f>
        <v>#NAME?</v>
      </c>
      <c r="I1180" s="200" t="str">
        <f>IF(OR(B1180=リスト!$C$5,B1180=リスト!$C$6),COUNTIF($B$9:B1180,リスト!$C$5)+COUNTIF($B$9:B1180,リスト!$C$6),"")</f>
        <v/>
      </c>
    </row>
    <row r="1181" spans="2:9" x14ac:dyDescent="0.2">
      <c r="B1181" s="196"/>
      <c r="C1181" s="197">
        <v>45575.112361111111</v>
      </c>
      <c r="D1181" s="197">
        <v>45575.112847222219</v>
      </c>
      <c r="E1181" s="198" t="s">
        <v>244</v>
      </c>
      <c r="F1181" s="199"/>
      <c r="G1181" s="140" t="e">
        <f ca="1">mif(C1181="","",OR(B1181=リスト!$C$5,B1181=リスト!$C$6),SUM(INDEX(G:G,MATCH(I1181-1,I:I,0)+1,1):INDEX(G:G,MATCH(I1181,I:I,0)-1,1)),D1181-C1181)</f>
        <v>#NAME?</v>
      </c>
      <c r="H1181" s="140" t="e">
        <f ca="1">mif(C1181="","",B1181=リスト!$C$5,SUMIF(INDEX(B:B,MATCH(I1181-1,I:I,0)+1,1):INDEX(B:B,MATCH(I1181,I:I,0)-1,1),リスト!$C$7,INDEX(G:G,MATCH(I1181-1,I:I,0)+1,1):INDEX(G:G,MATCH(I1181,I:I,0)-1,1)),"")</f>
        <v>#NAME?</v>
      </c>
      <c r="I1181" s="200" t="str">
        <f>IF(OR(B1181=リスト!$C$5,B1181=リスト!$C$6),COUNTIF($B$9:B1181,リスト!$C$5)+COUNTIF($B$9:B1181,リスト!$C$6),"")</f>
        <v/>
      </c>
    </row>
    <row r="1182" spans="2:9" x14ac:dyDescent="0.2">
      <c r="B1182" s="196"/>
      <c r="C1182" s="197">
        <v>45575.143761574072</v>
      </c>
      <c r="D1182" s="197">
        <v>45575.144004629627</v>
      </c>
      <c r="E1182" s="198" t="s">
        <v>244</v>
      </c>
      <c r="F1182" s="199"/>
      <c r="G1182" s="140" t="e">
        <f ca="1">mif(C1182="","",OR(B1182=リスト!$C$5,B1182=リスト!$C$6),SUM(INDEX(G:G,MATCH(I1182-1,I:I,0)+1,1):INDEX(G:G,MATCH(I1182,I:I,0)-1,1)),D1182-C1182)</f>
        <v>#NAME?</v>
      </c>
      <c r="H1182" s="140" t="e">
        <f ca="1">mif(C1182="","",B1182=リスト!$C$5,SUMIF(INDEX(B:B,MATCH(I1182-1,I:I,0)+1,1):INDEX(B:B,MATCH(I1182,I:I,0)-1,1),リスト!$C$7,INDEX(G:G,MATCH(I1182-1,I:I,0)+1,1):INDEX(G:G,MATCH(I1182,I:I,0)-1,1)),"")</f>
        <v>#NAME?</v>
      </c>
      <c r="I1182" s="200" t="str">
        <f>IF(OR(B1182=リスト!$C$5,B1182=リスト!$C$6),COUNTIF($B$9:B1182,リスト!$C$5)+COUNTIF($B$9:B1182,リスト!$C$6),"")</f>
        <v/>
      </c>
    </row>
    <row r="1183" spans="2:9" x14ac:dyDescent="0.2">
      <c r="B1183" s="196"/>
      <c r="C1183" s="197">
        <v>45575.14875</v>
      </c>
      <c r="D1183" s="197">
        <v>45575.148981481485</v>
      </c>
      <c r="E1183" s="198" t="s">
        <v>244</v>
      </c>
      <c r="F1183" s="199"/>
      <c r="G1183" s="140" t="e">
        <f ca="1">mif(C1183="","",OR(B1183=リスト!$C$5,B1183=リスト!$C$6),SUM(INDEX(G:G,MATCH(I1183-1,I:I,0)+1,1):INDEX(G:G,MATCH(I1183,I:I,0)-1,1)),D1183-C1183)</f>
        <v>#NAME?</v>
      </c>
      <c r="H1183" s="140" t="e">
        <f ca="1">mif(C1183="","",B1183=リスト!$C$5,SUMIF(INDEX(B:B,MATCH(I1183-1,I:I,0)+1,1):INDEX(B:B,MATCH(I1183,I:I,0)-1,1),リスト!$C$7,INDEX(G:G,MATCH(I1183-1,I:I,0)+1,1):INDEX(G:G,MATCH(I1183,I:I,0)-1,1)),"")</f>
        <v>#NAME?</v>
      </c>
      <c r="I1183" s="200" t="str">
        <f>IF(OR(B1183=リスト!$C$5,B1183=リスト!$C$6),COUNTIF($B$9:B1183,リスト!$C$5)+COUNTIF($B$9:B1183,リスト!$C$6),"")</f>
        <v/>
      </c>
    </row>
    <row r="1184" spans="2:9" x14ac:dyDescent="0.2">
      <c r="B1184" s="196"/>
      <c r="C1184" s="197">
        <v>45575.158935185187</v>
      </c>
      <c r="D1184" s="197">
        <v>45575.159131944441</v>
      </c>
      <c r="E1184" s="198" t="s">
        <v>244</v>
      </c>
      <c r="F1184" s="199"/>
      <c r="G1184" s="140" t="e">
        <f ca="1">mif(C1184="","",OR(B1184=リスト!$C$5,B1184=リスト!$C$6),SUM(INDEX(G:G,MATCH(I1184-1,I:I,0)+1,1):INDEX(G:G,MATCH(I1184,I:I,0)-1,1)),D1184-C1184)</f>
        <v>#NAME?</v>
      </c>
      <c r="H1184" s="140" t="e">
        <f ca="1">mif(C1184="","",B1184=リスト!$C$5,SUMIF(INDEX(B:B,MATCH(I1184-1,I:I,0)+1,1):INDEX(B:B,MATCH(I1184,I:I,0)-1,1),リスト!$C$7,INDEX(G:G,MATCH(I1184-1,I:I,0)+1,1):INDEX(G:G,MATCH(I1184,I:I,0)-1,1)),"")</f>
        <v>#NAME?</v>
      </c>
      <c r="I1184" s="200" t="str">
        <f>IF(OR(B1184=リスト!$C$5,B1184=リスト!$C$6),COUNTIF($B$9:B1184,リスト!$C$5)+COUNTIF($B$9:B1184,リスト!$C$6),"")</f>
        <v/>
      </c>
    </row>
    <row r="1185" spans="2:9" x14ac:dyDescent="0.2">
      <c r="B1185" s="196"/>
      <c r="C1185" s="197">
        <v>45575.195393518516</v>
      </c>
      <c r="D1185" s="197">
        <v>45575.195659722223</v>
      </c>
      <c r="E1185" s="198" t="s">
        <v>244</v>
      </c>
      <c r="F1185" s="199"/>
      <c r="G1185" s="140" t="e">
        <f ca="1">mif(C1185="","",OR(B1185=リスト!$C$5,B1185=リスト!$C$6),SUM(INDEX(G:G,MATCH(I1185-1,I:I,0)+1,1):INDEX(G:G,MATCH(I1185,I:I,0)-1,1)),D1185-C1185)</f>
        <v>#NAME?</v>
      </c>
      <c r="H1185" s="140" t="e">
        <f ca="1">mif(C1185="","",B1185=リスト!$C$5,SUMIF(INDEX(B:B,MATCH(I1185-1,I:I,0)+1,1):INDEX(B:B,MATCH(I1185,I:I,0)-1,1),リスト!$C$7,INDEX(G:G,MATCH(I1185-1,I:I,0)+1,1):INDEX(G:G,MATCH(I1185,I:I,0)-1,1)),"")</f>
        <v>#NAME?</v>
      </c>
      <c r="I1185" s="200" t="str">
        <f>IF(OR(B1185=リスト!$C$5,B1185=リスト!$C$6),COUNTIF($B$9:B1185,リスト!$C$5)+COUNTIF($B$9:B1185,リスト!$C$6),"")</f>
        <v/>
      </c>
    </row>
    <row r="1186" spans="2:9" x14ac:dyDescent="0.2">
      <c r="B1186" s="196"/>
      <c r="C1186" s="197">
        <v>45575.224340277775</v>
      </c>
      <c r="D1186" s="197">
        <v>45575.224618055552</v>
      </c>
      <c r="E1186" s="198" t="s">
        <v>244</v>
      </c>
      <c r="F1186" s="199"/>
      <c r="G1186" s="140" t="e">
        <f ca="1">mif(C1186="","",OR(B1186=リスト!$C$5,B1186=リスト!$C$6),SUM(INDEX(G:G,MATCH(I1186-1,I:I,0)+1,1):INDEX(G:G,MATCH(I1186,I:I,0)-1,1)),D1186-C1186)</f>
        <v>#NAME?</v>
      </c>
      <c r="H1186" s="140" t="e">
        <f ca="1">mif(C1186="","",B1186=リスト!$C$5,SUMIF(INDEX(B:B,MATCH(I1186-1,I:I,0)+1,1):INDEX(B:B,MATCH(I1186,I:I,0)-1,1),リスト!$C$7,INDEX(G:G,MATCH(I1186-1,I:I,0)+1,1):INDEX(G:G,MATCH(I1186,I:I,0)-1,1)),"")</f>
        <v>#NAME?</v>
      </c>
      <c r="I1186" s="200" t="str">
        <f>IF(OR(B1186=リスト!$C$5,B1186=リスト!$C$6),COUNTIF($B$9:B1186,リスト!$C$5)+COUNTIF($B$9:B1186,リスト!$C$6),"")</f>
        <v/>
      </c>
    </row>
    <row r="1187" spans="2:9" x14ac:dyDescent="0.2">
      <c r="B1187" s="196"/>
      <c r="C1187" s="197">
        <v>45575.23945601852</v>
      </c>
      <c r="D1187" s="197">
        <v>45575.239745370367</v>
      </c>
      <c r="E1187" s="198" t="s">
        <v>244</v>
      </c>
      <c r="F1187" s="199"/>
      <c r="G1187" s="140" t="e">
        <f ca="1">mif(C1187="","",OR(B1187=リスト!$C$5,B1187=リスト!$C$6),SUM(INDEX(G:G,MATCH(I1187-1,I:I,0)+1,1):INDEX(G:G,MATCH(I1187,I:I,0)-1,1)),D1187-C1187)</f>
        <v>#NAME?</v>
      </c>
      <c r="H1187" s="140" t="e">
        <f ca="1">mif(C1187="","",B1187=リスト!$C$5,SUMIF(INDEX(B:B,MATCH(I1187-1,I:I,0)+1,1):INDEX(B:B,MATCH(I1187,I:I,0)-1,1),リスト!$C$7,INDEX(G:G,MATCH(I1187-1,I:I,0)+1,1):INDEX(G:G,MATCH(I1187,I:I,0)-1,1)),"")</f>
        <v>#NAME?</v>
      </c>
      <c r="I1187" s="200" t="str">
        <f>IF(OR(B1187=リスト!$C$5,B1187=リスト!$C$6),COUNTIF($B$9:B1187,リスト!$C$5)+COUNTIF($B$9:B1187,リスト!$C$6),"")</f>
        <v/>
      </c>
    </row>
    <row r="1188" spans="2:9" x14ac:dyDescent="0.2">
      <c r="B1188" s="196"/>
      <c r="C1188" s="197">
        <v>45575.240428240744</v>
      </c>
      <c r="D1188" s="197">
        <v>45575.240729166668</v>
      </c>
      <c r="E1188" s="198" t="s">
        <v>244</v>
      </c>
      <c r="F1188" s="199"/>
      <c r="G1188" s="140" t="e">
        <f ca="1">mif(C1188="","",OR(B1188=リスト!$C$5,B1188=リスト!$C$6),SUM(INDEX(G:G,MATCH(I1188-1,I:I,0)+1,1):INDEX(G:G,MATCH(I1188,I:I,0)-1,1)),D1188-C1188)</f>
        <v>#NAME?</v>
      </c>
      <c r="H1188" s="140" t="e">
        <f ca="1">mif(C1188="","",B1188=リスト!$C$5,SUMIF(INDEX(B:B,MATCH(I1188-1,I:I,0)+1,1):INDEX(B:B,MATCH(I1188,I:I,0)-1,1),リスト!$C$7,INDEX(G:G,MATCH(I1188-1,I:I,0)+1,1):INDEX(G:G,MATCH(I1188,I:I,0)-1,1)),"")</f>
        <v>#NAME?</v>
      </c>
      <c r="I1188" s="200" t="str">
        <f>IF(OR(B1188=リスト!$C$5,B1188=リスト!$C$6),COUNTIF($B$9:B1188,リスト!$C$5)+COUNTIF($B$9:B1188,リスト!$C$6),"")</f>
        <v/>
      </c>
    </row>
    <row r="1189" spans="2:9" x14ac:dyDescent="0.2">
      <c r="B1189" s="196"/>
      <c r="C1189" s="197">
        <v>45575.246319444443</v>
      </c>
      <c r="D1189" s="197">
        <v>45575.246608796297</v>
      </c>
      <c r="E1189" s="198" t="s">
        <v>244</v>
      </c>
      <c r="F1189" s="199"/>
      <c r="G1189" s="140" t="e">
        <f ca="1">mif(C1189="","",OR(B1189=リスト!$C$5,B1189=リスト!$C$6),SUM(INDEX(G:G,MATCH(I1189-1,I:I,0)+1,1):INDEX(G:G,MATCH(I1189,I:I,0)-1,1)),D1189-C1189)</f>
        <v>#NAME?</v>
      </c>
      <c r="H1189" s="140" t="e">
        <f ca="1">mif(C1189="","",B1189=リスト!$C$5,SUMIF(INDEX(B:B,MATCH(I1189-1,I:I,0)+1,1):INDEX(B:B,MATCH(I1189,I:I,0)-1,1),リスト!$C$7,INDEX(G:G,MATCH(I1189-1,I:I,0)+1,1):INDEX(G:G,MATCH(I1189,I:I,0)-1,1)),"")</f>
        <v>#NAME?</v>
      </c>
      <c r="I1189" s="200" t="str">
        <f>IF(OR(B1189=リスト!$C$5,B1189=リスト!$C$6),COUNTIF($B$9:B1189,リスト!$C$5)+COUNTIF($B$9:B1189,リスト!$C$6),"")</f>
        <v/>
      </c>
    </row>
    <row r="1190" spans="2:9" x14ac:dyDescent="0.2">
      <c r="B1190" s="196"/>
      <c r="C1190" s="197">
        <v>45575.263935185183</v>
      </c>
      <c r="D1190" s="197">
        <v>45575.264201388891</v>
      </c>
      <c r="E1190" s="198" t="s">
        <v>244</v>
      </c>
      <c r="F1190" s="199"/>
      <c r="G1190" s="140" t="e">
        <f ca="1">mif(C1190="","",OR(B1190=リスト!$C$5,B1190=リスト!$C$6),SUM(INDEX(G:G,MATCH(I1190-1,I:I,0)+1,1):INDEX(G:G,MATCH(I1190,I:I,0)-1,1)),D1190-C1190)</f>
        <v>#NAME?</v>
      </c>
      <c r="H1190" s="140" t="e">
        <f ca="1">mif(C1190="","",B1190=リスト!$C$5,SUMIF(INDEX(B:B,MATCH(I1190-1,I:I,0)+1,1):INDEX(B:B,MATCH(I1190,I:I,0)-1,1),リスト!$C$7,INDEX(G:G,MATCH(I1190-1,I:I,0)+1,1):INDEX(G:G,MATCH(I1190,I:I,0)-1,1)),"")</f>
        <v>#NAME?</v>
      </c>
      <c r="I1190" s="200" t="str">
        <f>IF(OR(B1190=リスト!$C$5,B1190=リスト!$C$6),COUNTIF($B$9:B1190,リスト!$C$5)+COUNTIF($B$9:B1190,リスト!$C$6),"")</f>
        <v/>
      </c>
    </row>
    <row r="1191" spans="2:9" x14ac:dyDescent="0.2">
      <c r="B1191" s="196"/>
      <c r="C1191" s="197">
        <v>45575.272974537038</v>
      </c>
      <c r="D1191" s="197">
        <v>45575.273206018515</v>
      </c>
      <c r="E1191" s="198" t="s">
        <v>244</v>
      </c>
      <c r="F1191" s="199"/>
      <c r="G1191" s="140" t="e">
        <f ca="1">mif(C1191="","",OR(B1191=リスト!$C$5,B1191=リスト!$C$6),SUM(INDEX(G:G,MATCH(I1191-1,I:I,0)+1,1):INDEX(G:G,MATCH(I1191,I:I,0)-1,1)),D1191-C1191)</f>
        <v>#NAME?</v>
      </c>
      <c r="H1191" s="140" t="e">
        <f ca="1">mif(C1191="","",B1191=リスト!$C$5,SUMIF(INDEX(B:B,MATCH(I1191-1,I:I,0)+1,1):INDEX(B:B,MATCH(I1191,I:I,0)-1,1),リスト!$C$7,INDEX(G:G,MATCH(I1191-1,I:I,0)+1,1):INDEX(G:G,MATCH(I1191,I:I,0)-1,1)),"")</f>
        <v>#NAME?</v>
      </c>
      <c r="I1191" s="200" t="str">
        <f>IF(OR(B1191=リスト!$C$5,B1191=リスト!$C$6),COUNTIF($B$9:B1191,リスト!$C$5)+COUNTIF($B$9:B1191,リスト!$C$6),"")</f>
        <v/>
      </c>
    </row>
    <row r="1192" spans="2:9" x14ac:dyDescent="0.2">
      <c r="B1192" s="196"/>
      <c r="C1192" s="197">
        <v>45575.344502314816</v>
      </c>
      <c r="D1192" s="197">
        <v>45575.34474537037</v>
      </c>
      <c r="E1192" s="198" t="s">
        <v>244</v>
      </c>
      <c r="F1192" s="199"/>
      <c r="G1192" s="140" t="e">
        <f ca="1">mif(C1192="","",OR(B1192=リスト!$C$5,B1192=リスト!$C$6),SUM(INDEX(G:G,MATCH(I1192-1,I:I,0)+1,1):INDEX(G:G,MATCH(I1192,I:I,0)-1,1)),D1192-C1192)</f>
        <v>#NAME?</v>
      </c>
      <c r="H1192" s="140" t="e">
        <f ca="1">mif(C1192="","",B1192=リスト!$C$5,SUMIF(INDEX(B:B,MATCH(I1192-1,I:I,0)+1,1):INDEX(B:B,MATCH(I1192,I:I,0)-1,1),リスト!$C$7,INDEX(G:G,MATCH(I1192-1,I:I,0)+1,1):INDEX(G:G,MATCH(I1192,I:I,0)-1,1)),"")</f>
        <v>#NAME?</v>
      </c>
      <c r="I1192" s="200" t="str">
        <f>IF(OR(B1192=リスト!$C$5,B1192=リスト!$C$6),COUNTIF($B$9:B1192,リスト!$C$5)+COUNTIF($B$9:B1192,リスト!$C$6),"")</f>
        <v/>
      </c>
    </row>
    <row r="1193" spans="2:9" x14ac:dyDescent="0.2">
      <c r="B1193" s="196"/>
      <c r="C1193" s="197">
        <v>45575.351527777777</v>
      </c>
      <c r="D1193" s="197">
        <v>45575.351793981485</v>
      </c>
      <c r="E1193" s="198" t="s">
        <v>244</v>
      </c>
      <c r="F1193" s="199"/>
      <c r="G1193" s="140" t="e">
        <f ca="1">mif(C1193="","",OR(B1193=リスト!$C$5,B1193=リスト!$C$6),SUM(INDEX(G:G,MATCH(I1193-1,I:I,0)+1,1):INDEX(G:G,MATCH(I1193,I:I,0)-1,1)),D1193-C1193)</f>
        <v>#NAME?</v>
      </c>
      <c r="H1193" s="140" t="e">
        <f ca="1">mif(C1193="","",B1193=リスト!$C$5,SUMIF(INDEX(B:B,MATCH(I1193-1,I:I,0)+1,1):INDEX(B:B,MATCH(I1193,I:I,0)-1,1),リスト!$C$7,INDEX(G:G,MATCH(I1193-1,I:I,0)+1,1):INDEX(G:G,MATCH(I1193,I:I,0)-1,1)),"")</f>
        <v>#NAME?</v>
      </c>
      <c r="I1193" s="200" t="str">
        <f>IF(OR(B1193=リスト!$C$5,B1193=リスト!$C$6),COUNTIF($B$9:B1193,リスト!$C$5)+COUNTIF($B$9:B1193,リスト!$C$6),"")</f>
        <v/>
      </c>
    </row>
    <row r="1194" spans="2:9" x14ac:dyDescent="0.2">
      <c r="B1194" s="196"/>
      <c r="C1194" s="197">
        <v>45575.411111111112</v>
      </c>
      <c r="D1194" s="197">
        <v>45575.411597222221</v>
      </c>
      <c r="E1194" s="198" t="s">
        <v>244</v>
      </c>
      <c r="F1194" s="199"/>
      <c r="G1194" s="140" t="e">
        <f ca="1">mif(C1194="","",OR(B1194=リスト!$C$5,B1194=リスト!$C$6),SUM(INDEX(G:G,MATCH(I1194-1,I:I,0)+1,1):INDEX(G:G,MATCH(I1194,I:I,0)-1,1)),D1194-C1194)</f>
        <v>#NAME?</v>
      </c>
      <c r="H1194" s="140" t="e">
        <f ca="1">mif(C1194="","",B1194=リスト!$C$5,SUMIF(INDEX(B:B,MATCH(I1194-1,I:I,0)+1,1):INDEX(B:B,MATCH(I1194,I:I,0)-1,1),リスト!$C$7,INDEX(G:G,MATCH(I1194-1,I:I,0)+1,1):INDEX(G:G,MATCH(I1194,I:I,0)-1,1)),"")</f>
        <v>#NAME?</v>
      </c>
      <c r="I1194" s="200" t="str">
        <f>IF(OR(B1194=リスト!$C$5,B1194=リスト!$C$6),COUNTIF($B$9:B1194,リスト!$C$5)+COUNTIF($B$9:B1194,リスト!$C$6),"")</f>
        <v/>
      </c>
    </row>
    <row r="1195" spans="2:9" x14ac:dyDescent="0.2">
      <c r="B1195" s="196" t="s">
        <v>247</v>
      </c>
      <c r="C1195" s="197">
        <v>45574.916666666664</v>
      </c>
      <c r="D1195" s="197">
        <v>45575.416666666664</v>
      </c>
      <c r="E1195" s="198">
        <v>17</v>
      </c>
      <c r="F1195" s="199"/>
      <c r="G1195" s="140" t="e">
        <f ca="1">mif(C1195="","",OR(B1195=リスト!$C$5,B1195=リスト!$C$6),SUM(INDEX(G:G,MATCH(I1195-1,I:I,0)+1,1):INDEX(G:G,MATCH(I1195,I:I,0)-1,1)),D1195-C1195)</f>
        <v>#NAME?</v>
      </c>
      <c r="H1195" s="140" t="e">
        <f ca="1">mif(C1195="","",B1195=リスト!$C$5,SUMIF(INDEX(B:B,MATCH(I1195-1,I:I,0)+1,1):INDEX(B:B,MATCH(I1195,I:I,0)-1,1),リスト!$C$7,INDEX(G:G,MATCH(I1195-1,I:I,0)+1,1):INDEX(G:G,MATCH(I1195,I:I,0)-1,1)),"")</f>
        <v>#NAME?</v>
      </c>
      <c r="I1195" s="200">
        <f>IF(OR(B1195=リスト!$C$5,B1195=リスト!$C$6),COUNTIF($B$9:B1195,リスト!$C$5)+COUNTIF($B$9:B1195,リスト!$C$6),"")</f>
        <v>81</v>
      </c>
    </row>
    <row r="1196" spans="2:9" x14ac:dyDescent="0.2">
      <c r="B1196" s="196"/>
      <c r="C1196" s="197">
        <v>45575.462199074071</v>
      </c>
      <c r="D1196" s="197">
        <v>45575.462453703702</v>
      </c>
      <c r="E1196" s="198" t="s">
        <v>244</v>
      </c>
      <c r="F1196" s="199"/>
      <c r="G1196" s="140" t="e">
        <f ca="1">mif(C1196="","",OR(B1196=リスト!$C$5,B1196=リスト!$C$6),SUM(INDEX(G:G,MATCH(I1196-1,I:I,0)+1,1):INDEX(G:G,MATCH(I1196,I:I,0)-1,1)),D1196-C1196)</f>
        <v>#NAME?</v>
      </c>
      <c r="H1196" s="140" t="e">
        <f ca="1">mif(C1196="","",B1196=リスト!$C$5,SUMIF(INDEX(B:B,MATCH(I1196-1,I:I,0)+1,1):INDEX(B:B,MATCH(I1196,I:I,0)-1,1),リスト!$C$7,INDEX(G:G,MATCH(I1196-1,I:I,0)+1,1):INDEX(G:G,MATCH(I1196,I:I,0)-1,1)),"")</f>
        <v>#NAME?</v>
      </c>
      <c r="I1196" s="200" t="str">
        <f>IF(OR(B1196=リスト!$C$5,B1196=リスト!$C$6),COUNTIF($B$9:B1196,リスト!$C$5)+COUNTIF($B$9:B1196,リスト!$C$6),"")</f>
        <v/>
      </c>
    </row>
    <row r="1197" spans="2:9" x14ac:dyDescent="0.2">
      <c r="B1197" s="196"/>
      <c r="C1197" s="197">
        <v>45575.481585648151</v>
      </c>
      <c r="D1197" s="197">
        <v>45575.481886574074</v>
      </c>
      <c r="E1197" s="198" t="s">
        <v>244</v>
      </c>
      <c r="F1197" s="199"/>
      <c r="G1197" s="140" t="e">
        <f ca="1">mif(C1197="","",OR(B1197=リスト!$C$5,B1197=リスト!$C$6),SUM(INDEX(G:G,MATCH(I1197-1,I:I,0)+1,1):INDEX(G:G,MATCH(I1197,I:I,0)-1,1)),D1197-C1197)</f>
        <v>#NAME?</v>
      </c>
      <c r="H1197" s="140" t="e">
        <f ca="1">mif(C1197="","",B1197=リスト!$C$5,SUMIF(INDEX(B:B,MATCH(I1197-1,I:I,0)+1,1):INDEX(B:B,MATCH(I1197,I:I,0)-1,1),リスト!$C$7,INDEX(G:G,MATCH(I1197-1,I:I,0)+1,1):INDEX(G:G,MATCH(I1197,I:I,0)-1,1)),"")</f>
        <v>#NAME?</v>
      </c>
      <c r="I1197" s="200" t="str">
        <f>IF(OR(B1197=リスト!$C$5,B1197=リスト!$C$6),COUNTIF($B$9:B1197,リスト!$C$5)+COUNTIF($B$9:B1197,リスト!$C$6),"")</f>
        <v/>
      </c>
    </row>
    <row r="1198" spans="2:9" x14ac:dyDescent="0.2">
      <c r="B1198" s="196"/>
      <c r="C1198" s="197">
        <v>45575.498182870368</v>
      </c>
      <c r="D1198" s="197">
        <v>45575.498668981483</v>
      </c>
      <c r="E1198" s="198" t="s">
        <v>244</v>
      </c>
      <c r="F1198" s="199"/>
      <c r="G1198" s="140" t="e">
        <f ca="1">mif(C1198="","",OR(B1198=リスト!$C$5,B1198=リスト!$C$6),SUM(INDEX(G:G,MATCH(I1198-1,I:I,0)+1,1):INDEX(G:G,MATCH(I1198,I:I,0)-1,1)),D1198-C1198)</f>
        <v>#NAME?</v>
      </c>
      <c r="H1198" s="140" t="e">
        <f ca="1">mif(C1198="","",B1198=リスト!$C$5,SUMIF(INDEX(B:B,MATCH(I1198-1,I:I,0)+1,1):INDEX(B:B,MATCH(I1198,I:I,0)-1,1),リスト!$C$7,INDEX(G:G,MATCH(I1198-1,I:I,0)+1,1):INDEX(G:G,MATCH(I1198,I:I,0)-1,1)),"")</f>
        <v>#NAME?</v>
      </c>
      <c r="I1198" s="200" t="str">
        <f>IF(OR(B1198=リスト!$C$5,B1198=リスト!$C$6),COUNTIF($B$9:B1198,リスト!$C$5)+COUNTIF($B$9:B1198,リスト!$C$6),"")</f>
        <v/>
      </c>
    </row>
    <row r="1199" spans="2:9" x14ac:dyDescent="0.2">
      <c r="B1199" s="196"/>
      <c r="C1199" s="197">
        <v>45575.509629629632</v>
      </c>
      <c r="D1199" s="197">
        <v>45575.50990740741</v>
      </c>
      <c r="E1199" s="198" t="s">
        <v>244</v>
      </c>
      <c r="F1199" s="199"/>
      <c r="G1199" s="140" t="e">
        <f ca="1">mif(C1199="","",OR(B1199=リスト!$C$5,B1199=リスト!$C$6),SUM(INDEX(G:G,MATCH(I1199-1,I:I,0)+1,1):INDEX(G:G,MATCH(I1199,I:I,0)-1,1)),D1199-C1199)</f>
        <v>#NAME?</v>
      </c>
      <c r="H1199" s="140" t="e">
        <f ca="1">mif(C1199="","",B1199=リスト!$C$5,SUMIF(INDEX(B:B,MATCH(I1199-1,I:I,0)+1,1):INDEX(B:B,MATCH(I1199,I:I,0)-1,1),リスト!$C$7,INDEX(G:G,MATCH(I1199-1,I:I,0)+1,1):INDEX(G:G,MATCH(I1199,I:I,0)-1,1)),"")</f>
        <v>#NAME?</v>
      </c>
      <c r="I1199" s="200" t="str">
        <f>IF(OR(B1199=リスト!$C$5,B1199=リスト!$C$6),COUNTIF($B$9:B1199,リスト!$C$5)+COUNTIF($B$9:B1199,リスト!$C$6),"")</f>
        <v/>
      </c>
    </row>
    <row r="1200" spans="2:9" x14ac:dyDescent="0.2">
      <c r="B1200" s="196" t="s">
        <v>245</v>
      </c>
      <c r="C1200" s="197">
        <v>45575.597071759257</v>
      </c>
      <c r="D1200" s="197">
        <v>45575.612500000003</v>
      </c>
      <c r="E1200" s="198"/>
      <c r="F1200" s="199" t="s">
        <v>82</v>
      </c>
      <c r="G1200" s="140" t="e">
        <f ca="1">mif(C1200="","",OR(B1200=リスト!$C$5,B1200=リスト!$C$6),SUM(INDEX(G:G,MATCH(I1200-1,I:I,0)+1,1):INDEX(G:G,MATCH(I1200,I:I,0)-1,1)),D1200-C1200)</f>
        <v>#NAME?</v>
      </c>
      <c r="H1200" s="140" t="e">
        <f ca="1">mif(C1200="","",B1200=リスト!$C$5,SUMIF(INDEX(B:B,MATCH(I1200-1,I:I,0)+1,1):INDEX(B:B,MATCH(I1200,I:I,0)-1,1),リスト!$C$7,INDEX(G:G,MATCH(I1200-1,I:I,0)+1,1):INDEX(G:G,MATCH(I1200,I:I,0)-1,1)),"")</f>
        <v>#NAME?</v>
      </c>
      <c r="I1200" s="200" t="str">
        <f>IF(OR(B1200=リスト!$C$5,B1200=リスト!$C$6),COUNTIF($B$9:B1200,リスト!$C$5)+COUNTIF($B$9:B1200,リスト!$C$6),"")</f>
        <v/>
      </c>
    </row>
    <row r="1201" spans="2:9" x14ac:dyDescent="0.2">
      <c r="B1201" s="196"/>
      <c r="C1201" s="197">
        <v>45575.621689814812</v>
      </c>
      <c r="D1201" s="197">
        <v>45575.623657407406</v>
      </c>
      <c r="E1201" s="198" t="s">
        <v>244</v>
      </c>
      <c r="F1201" s="199"/>
      <c r="G1201" s="140" t="e">
        <f ca="1">mif(C1201="","",OR(B1201=リスト!$C$5,B1201=リスト!$C$6),SUM(INDEX(G:G,MATCH(I1201-1,I:I,0)+1,1):INDEX(G:G,MATCH(I1201,I:I,0)-1,1)),D1201-C1201)</f>
        <v>#NAME?</v>
      </c>
      <c r="H1201" s="140" t="e">
        <f ca="1">mif(C1201="","",B1201=リスト!$C$5,SUMIF(INDEX(B:B,MATCH(I1201-1,I:I,0)+1,1):INDEX(B:B,MATCH(I1201,I:I,0)-1,1),リスト!$C$7,INDEX(G:G,MATCH(I1201-1,I:I,0)+1,1):INDEX(G:G,MATCH(I1201,I:I,0)-1,1)),"")</f>
        <v>#NAME?</v>
      </c>
      <c r="I1201" s="200" t="str">
        <f>IF(OR(B1201=リスト!$C$5,B1201=リスト!$C$6),COUNTIF($B$9:B1201,リスト!$C$5)+COUNTIF($B$9:B1201,リスト!$C$6),"")</f>
        <v/>
      </c>
    </row>
    <row r="1202" spans="2:9" x14ac:dyDescent="0.2">
      <c r="B1202" s="196"/>
      <c r="C1202" s="197">
        <v>45575.624745370369</v>
      </c>
      <c r="D1202" s="197">
        <v>45575.625023148146</v>
      </c>
      <c r="E1202" s="198" t="s">
        <v>244</v>
      </c>
      <c r="F1202" s="199"/>
      <c r="G1202" s="140" t="e">
        <f ca="1">mif(C1202="","",OR(B1202=リスト!$C$5,B1202=リスト!$C$6),SUM(INDEX(G:G,MATCH(I1202-1,I:I,0)+1,1):INDEX(G:G,MATCH(I1202,I:I,0)-1,1)),D1202-C1202)</f>
        <v>#NAME?</v>
      </c>
      <c r="H1202" s="140" t="e">
        <f ca="1">mif(C1202="","",B1202=リスト!$C$5,SUMIF(INDEX(B:B,MATCH(I1202-1,I:I,0)+1,1):INDEX(B:B,MATCH(I1202,I:I,0)-1,1),リスト!$C$7,INDEX(G:G,MATCH(I1202-1,I:I,0)+1,1):INDEX(G:G,MATCH(I1202,I:I,0)-1,1)),"")</f>
        <v>#NAME?</v>
      </c>
      <c r="I1202" s="200" t="str">
        <f>IF(OR(B1202=リスト!$C$5,B1202=リスト!$C$6),COUNTIF($B$9:B1202,リスト!$C$5)+COUNTIF($B$9:B1202,リスト!$C$6),"")</f>
        <v/>
      </c>
    </row>
    <row r="1203" spans="2:9" x14ac:dyDescent="0.2">
      <c r="B1203" s="196"/>
      <c r="C1203" s="197">
        <v>45575.675370370373</v>
      </c>
      <c r="D1203" s="197">
        <v>45575.675694444442</v>
      </c>
      <c r="E1203" s="198" t="s">
        <v>244</v>
      </c>
      <c r="F1203" s="199"/>
      <c r="G1203" s="140" t="e">
        <f ca="1">mif(C1203="","",OR(B1203=リスト!$C$5,B1203=リスト!$C$6),SUM(INDEX(G:G,MATCH(I1203-1,I:I,0)+1,1):INDEX(G:G,MATCH(I1203,I:I,0)-1,1)),D1203-C1203)</f>
        <v>#NAME?</v>
      </c>
      <c r="H1203" s="140" t="e">
        <f ca="1">mif(C1203="","",B1203=リスト!$C$5,SUMIF(INDEX(B:B,MATCH(I1203-1,I:I,0)+1,1):INDEX(B:B,MATCH(I1203,I:I,0)-1,1),リスト!$C$7,INDEX(G:G,MATCH(I1203-1,I:I,0)+1,1):INDEX(G:G,MATCH(I1203,I:I,0)-1,1)),"")</f>
        <v>#NAME?</v>
      </c>
      <c r="I1203" s="200" t="str">
        <f>IF(OR(B1203=リスト!$C$5,B1203=リスト!$C$6),COUNTIF($B$9:B1203,リスト!$C$5)+COUNTIF($B$9:B1203,リスト!$C$6),"")</f>
        <v/>
      </c>
    </row>
    <row r="1204" spans="2:9" x14ac:dyDescent="0.2">
      <c r="B1204" s="196" t="s">
        <v>245</v>
      </c>
      <c r="C1204" s="197">
        <v>45575.682303240741</v>
      </c>
      <c r="D1204" s="197">
        <v>45575.697916666664</v>
      </c>
      <c r="E1204" s="198"/>
      <c r="F1204" s="199" t="s">
        <v>82</v>
      </c>
      <c r="G1204" s="140" t="e">
        <f ca="1">mif(C1204="","",OR(B1204=リスト!$C$5,B1204=リスト!$C$6),SUM(INDEX(G:G,MATCH(I1204-1,I:I,0)+1,1):INDEX(G:G,MATCH(I1204,I:I,0)-1,1)),D1204-C1204)</f>
        <v>#NAME?</v>
      </c>
      <c r="H1204" s="140" t="e">
        <f ca="1">mif(C1204="","",B1204=リスト!$C$5,SUMIF(INDEX(B:B,MATCH(I1204-1,I:I,0)+1,1):INDEX(B:B,MATCH(I1204,I:I,0)-1,1),リスト!$C$7,INDEX(G:G,MATCH(I1204-1,I:I,0)+1,1):INDEX(G:G,MATCH(I1204,I:I,0)-1,1)),"")</f>
        <v>#NAME?</v>
      </c>
      <c r="I1204" s="200" t="str">
        <f>IF(OR(B1204=リスト!$C$5,B1204=リスト!$C$6),COUNTIF($B$9:B1204,リスト!$C$5)+COUNTIF($B$9:B1204,リスト!$C$6),"")</f>
        <v/>
      </c>
    </row>
    <row r="1205" spans="2:9" x14ac:dyDescent="0.2">
      <c r="B1205" s="196"/>
      <c r="C1205" s="197">
        <v>45575.750844907408</v>
      </c>
      <c r="D1205" s="197">
        <v>45575.751446759263</v>
      </c>
      <c r="E1205" s="198" t="s">
        <v>244</v>
      </c>
      <c r="F1205" s="199"/>
      <c r="G1205" s="140" t="e">
        <f ca="1">mif(C1205="","",OR(B1205=リスト!$C$5,B1205=リスト!$C$6),SUM(INDEX(G:G,MATCH(I1205-1,I:I,0)+1,1):INDEX(G:G,MATCH(I1205,I:I,0)-1,1)),D1205-C1205)</f>
        <v>#NAME?</v>
      </c>
      <c r="H1205" s="140" t="e">
        <f ca="1">mif(C1205="","",B1205=リスト!$C$5,SUMIF(INDEX(B:B,MATCH(I1205-1,I:I,0)+1,1):INDEX(B:B,MATCH(I1205,I:I,0)-1,1),リスト!$C$7,INDEX(G:G,MATCH(I1205-1,I:I,0)+1,1):INDEX(G:G,MATCH(I1205,I:I,0)-1,1)),"")</f>
        <v>#NAME?</v>
      </c>
      <c r="I1205" s="200" t="str">
        <f>IF(OR(B1205=リスト!$C$5,B1205=リスト!$C$6),COUNTIF($B$9:B1205,リスト!$C$5)+COUNTIF($B$9:B1205,リスト!$C$6),"")</f>
        <v/>
      </c>
    </row>
    <row r="1206" spans="2:9" x14ac:dyDescent="0.2">
      <c r="B1206" s="196"/>
      <c r="C1206" s="197">
        <v>45575.759120370371</v>
      </c>
      <c r="D1206" s="197">
        <v>45575.759675925925</v>
      </c>
      <c r="E1206" s="198" t="s">
        <v>244</v>
      </c>
      <c r="F1206" s="199"/>
      <c r="G1206" s="140" t="e">
        <f ca="1">mif(C1206="","",OR(B1206=リスト!$C$5,B1206=リスト!$C$6),SUM(INDEX(G:G,MATCH(I1206-1,I:I,0)+1,1):INDEX(G:G,MATCH(I1206,I:I,0)-1,1)),D1206-C1206)</f>
        <v>#NAME?</v>
      </c>
      <c r="H1206" s="140" t="e">
        <f ca="1">mif(C1206="","",B1206=リスト!$C$5,SUMIF(INDEX(B:B,MATCH(I1206-1,I:I,0)+1,1):INDEX(B:B,MATCH(I1206,I:I,0)-1,1),リスト!$C$7,INDEX(G:G,MATCH(I1206-1,I:I,0)+1,1):INDEX(G:G,MATCH(I1206,I:I,0)-1,1)),"")</f>
        <v>#NAME?</v>
      </c>
      <c r="I1206" s="200" t="str">
        <f>IF(OR(B1206=リスト!$C$5,B1206=リスト!$C$6),COUNTIF($B$9:B1206,リスト!$C$5)+COUNTIF($B$9:B1206,リスト!$C$6),"")</f>
        <v/>
      </c>
    </row>
    <row r="1207" spans="2:9" x14ac:dyDescent="0.2">
      <c r="B1207" s="196"/>
      <c r="C1207" s="197">
        <v>45575.766157407408</v>
      </c>
      <c r="D1207" s="197">
        <v>45575.766458333332</v>
      </c>
      <c r="E1207" s="198" t="s">
        <v>244</v>
      </c>
      <c r="F1207" s="199"/>
      <c r="G1207" s="140" t="e">
        <f ca="1">mif(C1207="","",OR(B1207=リスト!$C$5,B1207=リスト!$C$6),SUM(INDEX(G:G,MATCH(I1207-1,I:I,0)+1,1):INDEX(G:G,MATCH(I1207,I:I,0)-1,1)),D1207-C1207)</f>
        <v>#NAME?</v>
      </c>
      <c r="H1207" s="140" t="e">
        <f ca="1">mif(C1207="","",B1207=リスト!$C$5,SUMIF(INDEX(B:B,MATCH(I1207-1,I:I,0)+1,1):INDEX(B:B,MATCH(I1207,I:I,0)-1,1),リスト!$C$7,INDEX(G:G,MATCH(I1207-1,I:I,0)+1,1):INDEX(G:G,MATCH(I1207,I:I,0)-1,1)),"")</f>
        <v>#NAME?</v>
      </c>
      <c r="I1207" s="200" t="str">
        <f>IF(OR(B1207=リスト!$C$5,B1207=リスト!$C$6),COUNTIF($B$9:B1207,リスト!$C$5)+COUNTIF($B$9:B1207,リスト!$C$6),"")</f>
        <v/>
      </c>
    </row>
    <row r="1208" spans="2:9" x14ac:dyDescent="0.2">
      <c r="B1208" s="196"/>
      <c r="C1208" s="197">
        <v>45575.834849537037</v>
      </c>
      <c r="D1208" s="197">
        <v>45575.835150462961</v>
      </c>
      <c r="E1208" s="198" t="s">
        <v>244</v>
      </c>
      <c r="F1208" s="199"/>
      <c r="G1208" s="140" t="e">
        <f ca="1">mif(C1208="","",OR(B1208=リスト!$C$5,B1208=リスト!$C$6),SUM(INDEX(G:G,MATCH(I1208-1,I:I,0)+1,1):INDEX(G:G,MATCH(I1208,I:I,0)-1,1)),D1208-C1208)</f>
        <v>#NAME?</v>
      </c>
      <c r="H1208" s="140" t="e">
        <f ca="1">mif(C1208="","",B1208=リスト!$C$5,SUMIF(INDEX(B:B,MATCH(I1208-1,I:I,0)+1,1):INDEX(B:B,MATCH(I1208,I:I,0)-1,1),リスト!$C$7,INDEX(G:G,MATCH(I1208-1,I:I,0)+1,1):INDEX(G:G,MATCH(I1208,I:I,0)-1,1)),"")</f>
        <v>#NAME?</v>
      </c>
      <c r="I1208" s="200" t="str">
        <f>IF(OR(B1208=リスト!$C$5,B1208=リスト!$C$6),COUNTIF($B$9:B1208,リスト!$C$5)+COUNTIF($B$9:B1208,リスト!$C$6),"")</f>
        <v/>
      </c>
    </row>
    <row r="1209" spans="2:9" x14ac:dyDescent="0.2">
      <c r="B1209" s="196"/>
      <c r="C1209" s="197">
        <v>45575.864768518521</v>
      </c>
      <c r="D1209" s="197">
        <v>45575.865069444444</v>
      </c>
      <c r="E1209" s="198" t="s">
        <v>244</v>
      </c>
      <c r="F1209" s="199"/>
      <c r="G1209" s="140" t="e">
        <f ca="1">mif(C1209="","",OR(B1209=リスト!$C$5,B1209=リスト!$C$6),SUM(INDEX(G:G,MATCH(I1209-1,I:I,0)+1,1):INDEX(G:G,MATCH(I1209,I:I,0)-1,1)),D1209-C1209)</f>
        <v>#NAME?</v>
      </c>
      <c r="H1209" s="140" t="e">
        <f ca="1">mif(C1209="","",B1209=リスト!$C$5,SUMIF(INDEX(B:B,MATCH(I1209-1,I:I,0)+1,1):INDEX(B:B,MATCH(I1209,I:I,0)-1,1),リスト!$C$7,INDEX(G:G,MATCH(I1209-1,I:I,0)+1,1):INDEX(G:G,MATCH(I1209,I:I,0)-1,1)),"")</f>
        <v>#NAME?</v>
      </c>
      <c r="I1209" s="200" t="str">
        <f>IF(OR(B1209=リスト!$C$5,B1209=リスト!$C$6),COUNTIF($B$9:B1209,リスト!$C$5)+COUNTIF($B$9:B1209,リスト!$C$6),"")</f>
        <v/>
      </c>
    </row>
    <row r="1210" spans="2:9" x14ac:dyDescent="0.2">
      <c r="B1210" s="196"/>
      <c r="C1210" s="197">
        <v>45575.86550925926</v>
      </c>
      <c r="D1210" s="197">
        <v>45575.865925925929</v>
      </c>
      <c r="E1210" s="198" t="s">
        <v>244</v>
      </c>
      <c r="F1210" s="199"/>
      <c r="G1210" s="140" t="e">
        <f ca="1">mif(C1210="","",OR(B1210=リスト!$C$5,B1210=リスト!$C$6),SUM(INDEX(G:G,MATCH(I1210-1,I:I,0)+1,1):INDEX(G:G,MATCH(I1210,I:I,0)-1,1)),D1210-C1210)</f>
        <v>#NAME?</v>
      </c>
      <c r="H1210" s="140" t="e">
        <f ca="1">mif(C1210="","",B1210=リスト!$C$5,SUMIF(INDEX(B:B,MATCH(I1210-1,I:I,0)+1,1):INDEX(B:B,MATCH(I1210,I:I,0)-1,1),リスト!$C$7,INDEX(G:G,MATCH(I1210-1,I:I,0)+1,1):INDEX(G:G,MATCH(I1210,I:I,0)-1,1)),"")</f>
        <v>#NAME?</v>
      </c>
      <c r="I1210" s="200" t="str">
        <f>IF(OR(B1210=リスト!$C$5,B1210=リスト!$C$6),COUNTIF($B$9:B1210,リスト!$C$5)+COUNTIF($B$9:B1210,リスト!$C$6),"")</f>
        <v/>
      </c>
    </row>
    <row r="1211" spans="2:9" x14ac:dyDescent="0.2">
      <c r="B1211" s="196"/>
      <c r="C1211" s="197">
        <v>45575.866180555553</v>
      </c>
      <c r="D1211" s="197">
        <v>45575.86650462963</v>
      </c>
      <c r="E1211" s="198" t="s">
        <v>244</v>
      </c>
      <c r="F1211" s="199"/>
      <c r="G1211" s="140" t="e">
        <f ca="1">mif(C1211="","",OR(B1211=リスト!$C$5,B1211=リスト!$C$6),SUM(INDEX(G:G,MATCH(I1211-1,I:I,0)+1,1):INDEX(G:G,MATCH(I1211,I:I,0)-1,1)),D1211-C1211)</f>
        <v>#NAME?</v>
      </c>
      <c r="H1211" s="140" t="e">
        <f ca="1">mif(C1211="","",B1211=リスト!$C$5,SUMIF(INDEX(B:B,MATCH(I1211-1,I:I,0)+1,1):INDEX(B:B,MATCH(I1211,I:I,0)-1,1),リスト!$C$7,INDEX(G:G,MATCH(I1211-1,I:I,0)+1,1):INDEX(G:G,MATCH(I1211,I:I,0)-1,1)),"")</f>
        <v>#NAME?</v>
      </c>
      <c r="I1211" s="200" t="str">
        <f>IF(OR(B1211=リスト!$C$5,B1211=リスト!$C$6),COUNTIF($B$9:B1211,リスト!$C$5)+COUNTIF($B$9:B1211,リスト!$C$6),"")</f>
        <v/>
      </c>
    </row>
    <row r="1212" spans="2:9" x14ac:dyDescent="0.2">
      <c r="B1212" s="196" t="s">
        <v>247</v>
      </c>
      <c r="C1212" s="197">
        <v>45575.416666666664</v>
      </c>
      <c r="D1212" s="197">
        <v>45575.916666666664</v>
      </c>
      <c r="E1212" s="198">
        <v>14</v>
      </c>
      <c r="F1212" s="199" t="s">
        <v>82</v>
      </c>
      <c r="G1212" s="140" t="e">
        <f ca="1">mif(C1212="","",OR(B1212=リスト!$C$5,B1212=リスト!$C$6),SUM(INDEX(G:G,MATCH(I1212-1,I:I,0)+1,1):INDEX(G:G,MATCH(I1212,I:I,0)-1,1)),D1212-C1212)</f>
        <v>#NAME?</v>
      </c>
      <c r="H1212" s="140" t="e">
        <f ca="1">mif(C1212="","",B1212=リスト!$C$5,SUMIF(INDEX(B:B,MATCH(I1212-1,I:I,0)+1,1):INDEX(B:B,MATCH(I1212,I:I,0)-1,1),リスト!$C$7,INDEX(G:G,MATCH(I1212-1,I:I,0)+1,1):INDEX(G:G,MATCH(I1212,I:I,0)-1,1)),"")</f>
        <v>#NAME?</v>
      </c>
      <c r="I1212" s="200">
        <f>IF(OR(B1212=リスト!$C$5,B1212=リスト!$C$6),COUNTIF($B$9:B1212,リスト!$C$5)+COUNTIF($B$9:B1212,リスト!$C$6),"")</f>
        <v>82</v>
      </c>
    </row>
    <row r="1213" spans="2:9" x14ac:dyDescent="0.2">
      <c r="B1213" s="196"/>
      <c r="C1213" s="197">
        <v>45576.416666666664</v>
      </c>
      <c r="D1213" s="197">
        <v>45576.417395833334</v>
      </c>
      <c r="E1213" s="198" t="s">
        <v>244</v>
      </c>
      <c r="F1213" s="199"/>
      <c r="G1213" s="140" t="e">
        <f ca="1">mif(C1213="","",OR(B1213=リスト!$C$5,B1213=リスト!$C$6),SUM(INDEX(G:G,MATCH(I1213-1,I:I,0)+1,1):INDEX(G:G,MATCH(I1213,I:I,0)-1,1)),D1213-C1213)</f>
        <v>#NAME?</v>
      </c>
      <c r="H1213" s="140" t="e">
        <f ca="1">mif(C1213="","",B1213=リスト!$C$5,SUMIF(INDEX(B:B,MATCH(I1213-1,I:I,0)+1,1):INDEX(B:B,MATCH(I1213,I:I,0)-1,1),リスト!$C$7,INDEX(G:G,MATCH(I1213-1,I:I,0)+1,1):INDEX(G:G,MATCH(I1213,I:I,0)-1,1)),"")</f>
        <v>#NAME?</v>
      </c>
      <c r="I1213" s="200" t="str">
        <f>IF(OR(B1213=リスト!$C$5,B1213=リスト!$C$6),COUNTIF($B$9:B1213,リスト!$C$5)+COUNTIF($B$9:B1213,リスト!$C$6),"")</f>
        <v/>
      </c>
    </row>
    <row r="1214" spans="2:9" x14ac:dyDescent="0.2">
      <c r="B1214" s="196"/>
      <c r="C1214" s="197">
        <v>45576.433356481481</v>
      </c>
      <c r="D1214" s="197">
        <v>45576.433611111112</v>
      </c>
      <c r="E1214" s="198" t="s">
        <v>244</v>
      </c>
      <c r="F1214" s="199"/>
      <c r="G1214" s="140" t="e">
        <f ca="1">mif(C1214="","",OR(B1214=リスト!$C$5,B1214=リスト!$C$6),SUM(INDEX(G:G,MATCH(I1214-1,I:I,0)+1,1):INDEX(G:G,MATCH(I1214,I:I,0)-1,1)),D1214-C1214)</f>
        <v>#NAME?</v>
      </c>
      <c r="H1214" s="140" t="e">
        <f ca="1">mif(C1214="","",B1214=リスト!$C$5,SUMIF(INDEX(B:B,MATCH(I1214-1,I:I,0)+1,1):INDEX(B:B,MATCH(I1214,I:I,0)-1,1),リスト!$C$7,INDEX(G:G,MATCH(I1214-1,I:I,0)+1,1):INDEX(G:G,MATCH(I1214,I:I,0)-1,1)),"")</f>
        <v>#NAME?</v>
      </c>
      <c r="I1214" s="200" t="str">
        <f>IF(OR(B1214=リスト!$C$5,B1214=リスト!$C$6),COUNTIF($B$9:B1214,リスト!$C$5)+COUNTIF($B$9:B1214,リスト!$C$6),"")</f>
        <v/>
      </c>
    </row>
    <row r="1215" spans="2:9" x14ac:dyDescent="0.2">
      <c r="B1215" s="196"/>
      <c r="C1215" s="197">
        <v>45576.454247685186</v>
      </c>
      <c r="D1215" s="197">
        <v>45576.454594907409</v>
      </c>
      <c r="E1215" s="198" t="s">
        <v>244</v>
      </c>
      <c r="F1215" s="199"/>
      <c r="G1215" s="140" t="e">
        <f ca="1">mif(C1215="","",OR(B1215=リスト!$C$5,B1215=リスト!$C$6),SUM(INDEX(G:G,MATCH(I1215-1,I:I,0)+1,1):INDEX(G:G,MATCH(I1215,I:I,0)-1,1)),D1215-C1215)</f>
        <v>#NAME?</v>
      </c>
      <c r="H1215" s="140" t="e">
        <f ca="1">mif(C1215="","",B1215=リスト!$C$5,SUMIF(INDEX(B:B,MATCH(I1215-1,I:I,0)+1,1):INDEX(B:B,MATCH(I1215,I:I,0)-1,1),リスト!$C$7,INDEX(G:G,MATCH(I1215-1,I:I,0)+1,1):INDEX(G:G,MATCH(I1215,I:I,0)-1,1)),"")</f>
        <v>#NAME?</v>
      </c>
      <c r="I1215" s="200" t="str">
        <f>IF(OR(B1215=リスト!$C$5,B1215=リスト!$C$6),COUNTIF($B$9:B1215,リスト!$C$5)+COUNTIF($B$9:B1215,リスト!$C$6),"")</f>
        <v/>
      </c>
    </row>
    <row r="1216" spans="2:9" x14ac:dyDescent="0.2">
      <c r="B1216" s="196"/>
      <c r="C1216" s="197">
        <v>45576.476365740738</v>
      </c>
      <c r="D1216" s="197">
        <v>45576.476643518516</v>
      </c>
      <c r="E1216" s="198" t="s">
        <v>244</v>
      </c>
      <c r="F1216" s="199"/>
      <c r="G1216" s="140" t="e">
        <f ca="1">mif(C1216="","",OR(B1216=リスト!$C$5,B1216=リスト!$C$6),SUM(INDEX(G:G,MATCH(I1216-1,I:I,0)+1,1):INDEX(G:G,MATCH(I1216,I:I,0)-1,1)),D1216-C1216)</f>
        <v>#NAME?</v>
      </c>
      <c r="H1216" s="140" t="e">
        <f ca="1">mif(C1216="","",B1216=リスト!$C$5,SUMIF(INDEX(B:B,MATCH(I1216-1,I:I,0)+1,1):INDEX(B:B,MATCH(I1216,I:I,0)-1,1),リスト!$C$7,INDEX(G:G,MATCH(I1216-1,I:I,0)+1,1):INDEX(G:G,MATCH(I1216,I:I,0)-1,1)),"")</f>
        <v>#NAME?</v>
      </c>
      <c r="I1216" s="200" t="str">
        <f>IF(OR(B1216=リスト!$C$5,B1216=リスト!$C$6),COUNTIF($B$9:B1216,リスト!$C$5)+COUNTIF($B$9:B1216,リスト!$C$6),"")</f>
        <v/>
      </c>
    </row>
    <row r="1217" spans="2:9" x14ac:dyDescent="0.2">
      <c r="B1217" s="196"/>
      <c r="C1217" s="197">
        <v>45576.481435185182</v>
      </c>
      <c r="D1217" s="197">
        <v>45576.481828703705</v>
      </c>
      <c r="E1217" s="198" t="s">
        <v>244</v>
      </c>
      <c r="F1217" s="199"/>
      <c r="G1217" s="140" t="e">
        <f ca="1">mif(C1217="","",OR(B1217=リスト!$C$5,B1217=リスト!$C$6),SUM(INDEX(G:G,MATCH(I1217-1,I:I,0)+1,1):INDEX(G:G,MATCH(I1217,I:I,0)-1,1)),D1217-C1217)</f>
        <v>#NAME?</v>
      </c>
      <c r="H1217" s="140" t="e">
        <f ca="1">mif(C1217="","",B1217=リスト!$C$5,SUMIF(INDEX(B:B,MATCH(I1217-1,I:I,0)+1,1):INDEX(B:B,MATCH(I1217,I:I,0)-1,1),リスト!$C$7,INDEX(G:G,MATCH(I1217-1,I:I,0)+1,1):INDEX(G:G,MATCH(I1217,I:I,0)-1,1)),"")</f>
        <v>#NAME?</v>
      </c>
      <c r="I1217" s="200" t="str">
        <f>IF(OR(B1217=リスト!$C$5,B1217=リスト!$C$6),COUNTIF($B$9:B1217,リスト!$C$5)+COUNTIF($B$9:B1217,リスト!$C$6),"")</f>
        <v/>
      </c>
    </row>
    <row r="1218" spans="2:9" x14ac:dyDescent="0.2">
      <c r="B1218" s="196"/>
      <c r="C1218" s="197">
        <v>45576.549803240741</v>
      </c>
      <c r="D1218" s="197">
        <v>45576.550081018519</v>
      </c>
      <c r="E1218" s="198" t="s">
        <v>244</v>
      </c>
      <c r="F1218" s="199"/>
      <c r="G1218" s="140" t="e">
        <f ca="1">mif(C1218="","",OR(B1218=リスト!$C$5,B1218=リスト!$C$6),SUM(INDEX(G:G,MATCH(I1218-1,I:I,0)+1,1):INDEX(G:G,MATCH(I1218,I:I,0)-1,1)),D1218-C1218)</f>
        <v>#NAME?</v>
      </c>
      <c r="H1218" s="140" t="e">
        <f ca="1">mif(C1218="","",B1218=リスト!$C$5,SUMIF(INDEX(B:B,MATCH(I1218-1,I:I,0)+1,1):INDEX(B:B,MATCH(I1218,I:I,0)-1,1),リスト!$C$7,INDEX(G:G,MATCH(I1218-1,I:I,0)+1,1):INDEX(G:G,MATCH(I1218,I:I,0)-1,1)),"")</f>
        <v>#NAME?</v>
      </c>
      <c r="I1218" s="200" t="str">
        <f>IF(OR(B1218=リスト!$C$5,B1218=リスト!$C$6),COUNTIF($B$9:B1218,リスト!$C$5)+COUNTIF($B$9:B1218,リスト!$C$6),"")</f>
        <v/>
      </c>
    </row>
    <row r="1219" spans="2:9" x14ac:dyDescent="0.2">
      <c r="B1219" s="196"/>
      <c r="C1219" s="197">
        <v>45576.550706018519</v>
      </c>
      <c r="D1219" s="197">
        <v>45576.550983796296</v>
      </c>
      <c r="E1219" s="198" t="s">
        <v>244</v>
      </c>
      <c r="F1219" s="199"/>
      <c r="G1219" s="140" t="e">
        <f ca="1">mif(C1219="","",OR(B1219=リスト!$C$5,B1219=リスト!$C$6),SUM(INDEX(G:G,MATCH(I1219-1,I:I,0)+1,1):INDEX(G:G,MATCH(I1219,I:I,0)-1,1)),D1219-C1219)</f>
        <v>#NAME?</v>
      </c>
      <c r="H1219" s="140" t="e">
        <f ca="1">mif(C1219="","",B1219=リスト!$C$5,SUMIF(INDEX(B:B,MATCH(I1219-1,I:I,0)+1,1):INDEX(B:B,MATCH(I1219,I:I,0)-1,1),リスト!$C$7,INDEX(G:G,MATCH(I1219-1,I:I,0)+1,1):INDEX(G:G,MATCH(I1219,I:I,0)-1,1)),"")</f>
        <v>#NAME?</v>
      </c>
      <c r="I1219" s="200" t="str">
        <f>IF(OR(B1219=リスト!$C$5,B1219=リスト!$C$6),COUNTIF($B$9:B1219,リスト!$C$5)+COUNTIF($B$9:B1219,リスト!$C$6),"")</f>
        <v/>
      </c>
    </row>
    <row r="1220" spans="2:9" x14ac:dyDescent="0.2">
      <c r="B1220" s="196"/>
      <c r="C1220" s="197">
        <v>45576.561261574076</v>
      </c>
      <c r="D1220" s="197">
        <v>45576.561539351853</v>
      </c>
      <c r="E1220" s="198" t="s">
        <v>244</v>
      </c>
      <c r="F1220" s="199"/>
      <c r="G1220" s="140" t="e">
        <f ca="1">mif(C1220="","",OR(B1220=リスト!$C$5,B1220=リスト!$C$6),SUM(INDEX(G:G,MATCH(I1220-1,I:I,0)+1,1):INDEX(G:G,MATCH(I1220,I:I,0)-1,1)),D1220-C1220)</f>
        <v>#NAME?</v>
      </c>
      <c r="H1220" s="140" t="e">
        <f ca="1">mif(C1220="","",B1220=リスト!$C$5,SUMIF(INDEX(B:B,MATCH(I1220-1,I:I,0)+1,1):INDEX(B:B,MATCH(I1220,I:I,0)-1,1),リスト!$C$7,INDEX(G:G,MATCH(I1220-1,I:I,0)+1,1):INDEX(G:G,MATCH(I1220,I:I,0)-1,1)),"")</f>
        <v>#NAME?</v>
      </c>
      <c r="I1220" s="200" t="str">
        <f>IF(OR(B1220=リスト!$C$5,B1220=リスト!$C$6),COUNTIF($B$9:B1220,リスト!$C$5)+COUNTIF($B$9:B1220,リスト!$C$6),"")</f>
        <v/>
      </c>
    </row>
    <row r="1221" spans="2:9" x14ac:dyDescent="0.2">
      <c r="B1221" s="196"/>
      <c r="C1221" s="197">
        <v>45576.579814814817</v>
      </c>
      <c r="D1221" s="197">
        <v>45576.580277777779</v>
      </c>
      <c r="E1221" s="198" t="s">
        <v>244</v>
      </c>
      <c r="F1221" s="199"/>
      <c r="G1221" s="140" t="e">
        <f ca="1">mif(C1221="","",OR(B1221=リスト!$C$5,B1221=リスト!$C$6),SUM(INDEX(G:G,MATCH(I1221-1,I:I,0)+1,1):INDEX(G:G,MATCH(I1221,I:I,0)-1,1)),D1221-C1221)</f>
        <v>#NAME?</v>
      </c>
      <c r="H1221" s="140" t="e">
        <f ca="1">mif(C1221="","",B1221=リスト!$C$5,SUMIF(INDEX(B:B,MATCH(I1221-1,I:I,0)+1,1):INDEX(B:B,MATCH(I1221,I:I,0)-1,1),リスト!$C$7,INDEX(G:G,MATCH(I1221-1,I:I,0)+1,1):INDEX(G:G,MATCH(I1221,I:I,0)-1,1)),"")</f>
        <v>#NAME?</v>
      </c>
      <c r="I1221" s="200" t="str">
        <f>IF(OR(B1221=リスト!$C$5,B1221=リスト!$C$6),COUNTIF($B$9:B1221,リスト!$C$5)+COUNTIF($B$9:B1221,リスト!$C$6),"")</f>
        <v/>
      </c>
    </row>
    <row r="1222" spans="2:9" x14ac:dyDescent="0.2">
      <c r="B1222" s="196"/>
      <c r="C1222" s="197">
        <v>45576.596400462964</v>
      </c>
      <c r="D1222" s="197">
        <v>45576.596701388888</v>
      </c>
      <c r="E1222" s="198" t="s">
        <v>244</v>
      </c>
      <c r="F1222" s="199"/>
      <c r="G1222" s="140" t="e">
        <f ca="1">mif(C1222="","",OR(B1222=リスト!$C$5,B1222=リスト!$C$6),SUM(INDEX(G:G,MATCH(I1222-1,I:I,0)+1,1):INDEX(G:G,MATCH(I1222,I:I,0)-1,1)),D1222-C1222)</f>
        <v>#NAME?</v>
      </c>
      <c r="H1222" s="140" t="e">
        <f ca="1">mif(C1222="","",B1222=リスト!$C$5,SUMIF(INDEX(B:B,MATCH(I1222-1,I:I,0)+1,1):INDEX(B:B,MATCH(I1222,I:I,0)-1,1),リスト!$C$7,INDEX(G:G,MATCH(I1222-1,I:I,0)+1,1):INDEX(G:G,MATCH(I1222,I:I,0)-1,1)),"")</f>
        <v>#NAME?</v>
      </c>
      <c r="I1222" s="200" t="str">
        <f>IF(OR(B1222=リスト!$C$5,B1222=リスト!$C$6),COUNTIF($B$9:B1222,リスト!$C$5)+COUNTIF($B$9:B1222,リスト!$C$6),"")</f>
        <v/>
      </c>
    </row>
    <row r="1223" spans="2:9" x14ac:dyDescent="0.2">
      <c r="B1223" s="196"/>
      <c r="C1223" s="197">
        <v>45576.633356481485</v>
      </c>
      <c r="D1223" s="197">
        <v>45576.633958333332</v>
      </c>
      <c r="E1223" s="198" t="s">
        <v>244</v>
      </c>
      <c r="F1223" s="199"/>
      <c r="G1223" s="140" t="e">
        <f ca="1">mif(C1223="","",OR(B1223=リスト!$C$5,B1223=リスト!$C$6),SUM(INDEX(G:G,MATCH(I1223-1,I:I,0)+1,1):INDEX(G:G,MATCH(I1223,I:I,0)-1,1)),D1223-C1223)</f>
        <v>#NAME?</v>
      </c>
      <c r="H1223" s="140" t="e">
        <f ca="1">mif(C1223="","",B1223=リスト!$C$5,SUMIF(INDEX(B:B,MATCH(I1223-1,I:I,0)+1,1):INDEX(B:B,MATCH(I1223,I:I,0)-1,1),リスト!$C$7,INDEX(G:G,MATCH(I1223-1,I:I,0)+1,1):INDEX(G:G,MATCH(I1223,I:I,0)-1,1)),"")</f>
        <v>#NAME?</v>
      </c>
      <c r="I1223" s="200" t="str">
        <f>IF(OR(B1223=リスト!$C$5,B1223=リスト!$C$6),COUNTIF($B$9:B1223,リスト!$C$5)+COUNTIF($B$9:B1223,リスト!$C$6),"")</f>
        <v/>
      </c>
    </row>
    <row r="1224" spans="2:9" x14ac:dyDescent="0.2">
      <c r="B1224" s="196"/>
      <c r="C1224" s="197">
        <v>45576.640856481485</v>
      </c>
      <c r="D1224" s="197">
        <v>45576.641134259262</v>
      </c>
      <c r="E1224" s="198" t="s">
        <v>244</v>
      </c>
      <c r="F1224" s="199"/>
      <c r="G1224" s="140" t="e">
        <f ca="1">mif(C1224="","",OR(B1224=リスト!$C$5,B1224=リスト!$C$6),SUM(INDEX(G:G,MATCH(I1224-1,I:I,0)+1,1):INDEX(G:G,MATCH(I1224,I:I,0)-1,1)),D1224-C1224)</f>
        <v>#NAME?</v>
      </c>
      <c r="H1224" s="140" t="e">
        <f ca="1">mif(C1224="","",B1224=リスト!$C$5,SUMIF(INDEX(B:B,MATCH(I1224-1,I:I,0)+1,1):INDEX(B:B,MATCH(I1224,I:I,0)-1,1),リスト!$C$7,INDEX(G:G,MATCH(I1224-1,I:I,0)+1,1):INDEX(G:G,MATCH(I1224,I:I,0)-1,1)),"")</f>
        <v>#NAME?</v>
      </c>
      <c r="I1224" s="200" t="str">
        <f>IF(OR(B1224=リスト!$C$5,B1224=リスト!$C$6),COUNTIF($B$9:B1224,リスト!$C$5)+COUNTIF($B$9:B1224,リスト!$C$6),"")</f>
        <v/>
      </c>
    </row>
    <row r="1225" spans="2:9" x14ac:dyDescent="0.2">
      <c r="B1225" s="196"/>
      <c r="C1225" s="197">
        <v>45576.682314814818</v>
      </c>
      <c r="D1225" s="197">
        <v>45576.68273148148</v>
      </c>
      <c r="E1225" s="198" t="s">
        <v>244</v>
      </c>
      <c r="F1225" s="199"/>
      <c r="G1225" s="140" t="e">
        <f ca="1">mif(C1225="","",OR(B1225=リスト!$C$5,B1225=リスト!$C$6),SUM(INDEX(G:G,MATCH(I1225-1,I:I,0)+1,1):INDEX(G:G,MATCH(I1225,I:I,0)-1,1)),D1225-C1225)</f>
        <v>#NAME?</v>
      </c>
      <c r="H1225" s="140" t="e">
        <f ca="1">mif(C1225="","",B1225=リスト!$C$5,SUMIF(INDEX(B:B,MATCH(I1225-1,I:I,0)+1,1):INDEX(B:B,MATCH(I1225,I:I,0)-1,1),リスト!$C$7,INDEX(G:G,MATCH(I1225-1,I:I,0)+1,1):INDEX(G:G,MATCH(I1225,I:I,0)-1,1)),"")</f>
        <v>#NAME?</v>
      </c>
      <c r="I1225" s="200" t="str">
        <f>IF(OR(B1225=リスト!$C$5,B1225=リスト!$C$6),COUNTIF($B$9:B1225,リスト!$C$5)+COUNTIF($B$9:B1225,リスト!$C$6),"")</f>
        <v/>
      </c>
    </row>
    <row r="1226" spans="2:9" x14ac:dyDescent="0.2">
      <c r="B1226" s="196"/>
      <c r="C1226" s="197">
        <v>45576.700937499998</v>
      </c>
      <c r="D1226" s="197">
        <v>45576.701215277775</v>
      </c>
      <c r="E1226" s="198" t="s">
        <v>244</v>
      </c>
      <c r="F1226" s="199"/>
      <c r="G1226" s="140" t="e">
        <f ca="1">mif(C1226="","",OR(B1226=リスト!$C$5,B1226=リスト!$C$6),SUM(INDEX(G:G,MATCH(I1226-1,I:I,0)+1,1):INDEX(G:G,MATCH(I1226,I:I,0)-1,1)),D1226-C1226)</f>
        <v>#NAME?</v>
      </c>
      <c r="H1226" s="140" t="e">
        <f ca="1">mif(C1226="","",B1226=リスト!$C$5,SUMIF(INDEX(B:B,MATCH(I1226-1,I:I,0)+1,1):INDEX(B:B,MATCH(I1226,I:I,0)-1,1),リスト!$C$7,INDEX(G:G,MATCH(I1226-1,I:I,0)+1,1):INDEX(G:G,MATCH(I1226,I:I,0)-1,1)),"")</f>
        <v>#NAME?</v>
      </c>
      <c r="I1226" s="200" t="str">
        <f>IF(OR(B1226=リスト!$C$5,B1226=リスト!$C$6),COUNTIF($B$9:B1226,リスト!$C$5)+COUNTIF($B$9:B1226,リスト!$C$6),"")</f>
        <v/>
      </c>
    </row>
    <row r="1227" spans="2:9" x14ac:dyDescent="0.2">
      <c r="B1227" s="196"/>
      <c r="C1227" s="197">
        <v>45576.71707175926</v>
      </c>
      <c r="D1227" s="197">
        <v>45576.717719907407</v>
      </c>
      <c r="E1227" s="198" t="s">
        <v>244</v>
      </c>
      <c r="F1227" s="199"/>
      <c r="G1227" s="140" t="e">
        <f ca="1">mif(C1227="","",OR(B1227=リスト!$C$5,B1227=リスト!$C$6),SUM(INDEX(G:G,MATCH(I1227-1,I:I,0)+1,1):INDEX(G:G,MATCH(I1227,I:I,0)-1,1)),D1227-C1227)</f>
        <v>#NAME?</v>
      </c>
      <c r="H1227" s="140" t="e">
        <f ca="1">mif(C1227="","",B1227=リスト!$C$5,SUMIF(INDEX(B:B,MATCH(I1227-1,I:I,0)+1,1):INDEX(B:B,MATCH(I1227,I:I,0)-1,1),リスト!$C$7,INDEX(G:G,MATCH(I1227-1,I:I,0)+1,1):INDEX(G:G,MATCH(I1227,I:I,0)-1,1)),"")</f>
        <v>#NAME?</v>
      </c>
      <c r="I1227" s="200" t="str">
        <f>IF(OR(B1227=リスト!$C$5,B1227=リスト!$C$6),COUNTIF($B$9:B1227,リスト!$C$5)+COUNTIF($B$9:B1227,リスト!$C$6),"")</f>
        <v/>
      </c>
    </row>
    <row r="1228" spans="2:9" x14ac:dyDescent="0.2">
      <c r="B1228" s="196"/>
      <c r="C1228" s="197">
        <v>45576.72079861111</v>
      </c>
      <c r="D1228" s="197">
        <v>45576.721192129633</v>
      </c>
      <c r="E1228" s="198" t="s">
        <v>244</v>
      </c>
      <c r="F1228" s="199"/>
      <c r="G1228" s="140" t="e">
        <f ca="1">mif(C1228="","",OR(B1228=リスト!$C$5,B1228=リスト!$C$6),SUM(INDEX(G:G,MATCH(I1228-1,I:I,0)+1,1):INDEX(G:G,MATCH(I1228,I:I,0)-1,1)),D1228-C1228)</f>
        <v>#NAME?</v>
      </c>
      <c r="H1228" s="140" t="e">
        <f ca="1">mif(C1228="","",B1228=リスト!$C$5,SUMIF(INDEX(B:B,MATCH(I1228-1,I:I,0)+1,1):INDEX(B:B,MATCH(I1228,I:I,0)-1,1),リスト!$C$7,INDEX(G:G,MATCH(I1228-1,I:I,0)+1,1):INDEX(G:G,MATCH(I1228,I:I,0)-1,1)),"")</f>
        <v>#NAME?</v>
      </c>
      <c r="I1228" s="200" t="str">
        <f>IF(OR(B1228=リスト!$C$5,B1228=リスト!$C$6),COUNTIF($B$9:B1228,リスト!$C$5)+COUNTIF($B$9:B1228,リスト!$C$6),"")</f>
        <v/>
      </c>
    </row>
    <row r="1229" spans="2:9" x14ac:dyDescent="0.2">
      <c r="B1229" s="196"/>
      <c r="C1229" s="197">
        <v>45576.721203703702</v>
      </c>
      <c r="D1229" s="197">
        <v>45576.721666666665</v>
      </c>
      <c r="E1229" s="198" t="s">
        <v>244</v>
      </c>
      <c r="F1229" s="199"/>
      <c r="G1229" s="140" t="e">
        <f ca="1">mif(C1229="","",OR(B1229=リスト!$C$5,B1229=リスト!$C$6),SUM(INDEX(G:G,MATCH(I1229-1,I:I,0)+1,1):INDEX(G:G,MATCH(I1229,I:I,0)-1,1)),D1229-C1229)</f>
        <v>#NAME?</v>
      </c>
      <c r="H1229" s="140" t="e">
        <f ca="1">mif(C1229="","",B1229=リスト!$C$5,SUMIF(INDEX(B:B,MATCH(I1229-1,I:I,0)+1,1):INDEX(B:B,MATCH(I1229,I:I,0)-1,1),リスト!$C$7,INDEX(G:G,MATCH(I1229-1,I:I,0)+1,1):INDEX(G:G,MATCH(I1229,I:I,0)-1,1)),"")</f>
        <v>#NAME?</v>
      </c>
      <c r="I1229" s="200" t="str">
        <f>IF(OR(B1229=リスト!$C$5,B1229=リスト!$C$6),COUNTIF($B$9:B1229,リスト!$C$5)+COUNTIF($B$9:B1229,リスト!$C$6),"")</f>
        <v/>
      </c>
    </row>
    <row r="1230" spans="2:9" x14ac:dyDescent="0.2">
      <c r="B1230" s="196"/>
      <c r="C1230" s="197">
        <v>45576.730208333334</v>
      </c>
      <c r="D1230" s="197">
        <v>45576.730555555558</v>
      </c>
      <c r="E1230" s="198" t="s">
        <v>244</v>
      </c>
      <c r="F1230" s="199"/>
      <c r="G1230" s="140" t="e">
        <f ca="1">mif(C1230="","",OR(B1230=リスト!$C$5,B1230=リスト!$C$6),SUM(INDEX(G:G,MATCH(I1230-1,I:I,0)+1,1):INDEX(G:G,MATCH(I1230,I:I,0)-1,1)),D1230-C1230)</f>
        <v>#NAME?</v>
      </c>
      <c r="H1230" s="140" t="e">
        <f ca="1">mif(C1230="","",B1230=リスト!$C$5,SUMIF(INDEX(B:B,MATCH(I1230-1,I:I,0)+1,1):INDEX(B:B,MATCH(I1230,I:I,0)-1,1),リスト!$C$7,INDEX(G:G,MATCH(I1230-1,I:I,0)+1,1):INDEX(G:G,MATCH(I1230,I:I,0)-1,1)),"")</f>
        <v>#NAME?</v>
      </c>
      <c r="I1230" s="200" t="str">
        <f>IF(OR(B1230=リスト!$C$5,B1230=リスト!$C$6),COUNTIF($B$9:B1230,リスト!$C$5)+COUNTIF($B$9:B1230,リスト!$C$6),"")</f>
        <v/>
      </c>
    </row>
    <row r="1231" spans="2:9" x14ac:dyDescent="0.2">
      <c r="B1231" s="196"/>
      <c r="C1231" s="197">
        <v>45576.731759259259</v>
      </c>
      <c r="D1231" s="197">
        <v>45576.73201388889</v>
      </c>
      <c r="E1231" s="198" t="s">
        <v>244</v>
      </c>
      <c r="F1231" s="199"/>
      <c r="G1231" s="140" t="e">
        <f ca="1">mif(C1231="","",OR(B1231=リスト!$C$5,B1231=リスト!$C$6),SUM(INDEX(G:G,MATCH(I1231-1,I:I,0)+1,1):INDEX(G:G,MATCH(I1231,I:I,0)-1,1)),D1231-C1231)</f>
        <v>#NAME?</v>
      </c>
      <c r="H1231" s="140" t="e">
        <f ca="1">mif(C1231="","",B1231=リスト!$C$5,SUMIF(INDEX(B:B,MATCH(I1231-1,I:I,0)+1,1):INDEX(B:B,MATCH(I1231,I:I,0)-1,1),リスト!$C$7,INDEX(G:G,MATCH(I1231-1,I:I,0)+1,1):INDEX(G:G,MATCH(I1231,I:I,0)-1,1)),"")</f>
        <v>#NAME?</v>
      </c>
      <c r="I1231" s="200" t="str">
        <f>IF(OR(B1231=リスト!$C$5,B1231=リスト!$C$6),COUNTIF($B$9:B1231,リスト!$C$5)+COUNTIF($B$9:B1231,リスト!$C$6),"")</f>
        <v/>
      </c>
    </row>
    <row r="1232" spans="2:9" x14ac:dyDescent="0.2">
      <c r="B1232" s="196"/>
      <c r="C1232" s="197">
        <v>45576.759502314817</v>
      </c>
      <c r="D1232" s="197">
        <v>45576.759942129633</v>
      </c>
      <c r="E1232" s="198" t="s">
        <v>244</v>
      </c>
      <c r="F1232" s="199"/>
      <c r="G1232" s="140" t="e">
        <f ca="1">mif(C1232="","",OR(B1232=リスト!$C$5,B1232=リスト!$C$6),SUM(INDEX(G:G,MATCH(I1232-1,I:I,0)+1,1):INDEX(G:G,MATCH(I1232,I:I,0)-1,1)),D1232-C1232)</f>
        <v>#NAME?</v>
      </c>
      <c r="H1232" s="140" t="e">
        <f ca="1">mif(C1232="","",B1232=リスト!$C$5,SUMIF(INDEX(B:B,MATCH(I1232-1,I:I,0)+1,1):INDEX(B:B,MATCH(I1232,I:I,0)-1,1),リスト!$C$7,INDEX(G:G,MATCH(I1232-1,I:I,0)+1,1):INDEX(G:G,MATCH(I1232,I:I,0)-1,1)),"")</f>
        <v>#NAME?</v>
      </c>
      <c r="I1232" s="200" t="str">
        <f>IF(OR(B1232=リスト!$C$5,B1232=リスト!$C$6),COUNTIF($B$9:B1232,リスト!$C$5)+COUNTIF($B$9:B1232,リスト!$C$6),"")</f>
        <v/>
      </c>
    </row>
    <row r="1233" spans="2:9" x14ac:dyDescent="0.2">
      <c r="B1233" s="196"/>
      <c r="C1233" s="197">
        <v>45576.7653587963</v>
      </c>
      <c r="D1233" s="197">
        <v>45576.765659722223</v>
      </c>
      <c r="E1233" s="198" t="s">
        <v>244</v>
      </c>
      <c r="F1233" s="199"/>
      <c r="G1233" s="140" t="e">
        <f ca="1">mif(C1233="","",OR(B1233=リスト!$C$5,B1233=リスト!$C$6),SUM(INDEX(G:G,MATCH(I1233-1,I:I,0)+1,1):INDEX(G:G,MATCH(I1233,I:I,0)-1,1)),D1233-C1233)</f>
        <v>#NAME?</v>
      </c>
      <c r="H1233" s="140" t="e">
        <f ca="1">mif(C1233="","",B1233=リスト!$C$5,SUMIF(INDEX(B:B,MATCH(I1233-1,I:I,0)+1,1):INDEX(B:B,MATCH(I1233,I:I,0)-1,1),リスト!$C$7,INDEX(G:G,MATCH(I1233-1,I:I,0)+1,1):INDEX(G:G,MATCH(I1233,I:I,0)-1,1)),"")</f>
        <v>#NAME?</v>
      </c>
      <c r="I1233" s="200" t="str">
        <f>IF(OR(B1233=リスト!$C$5,B1233=リスト!$C$6),COUNTIF($B$9:B1233,リスト!$C$5)+COUNTIF($B$9:B1233,リスト!$C$6),"")</f>
        <v/>
      </c>
    </row>
    <row r="1234" spans="2:9" x14ac:dyDescent="0.2">
      <c r="B1234" s="196"/>
      <c r="C1234" s="197">
        <v>45576.820150462961</v>
      </c>
      <c r="D1234" s="197">
        <v>45576.820428240739</v>
      </c>
      <c r="E1234" s="198" t="s">
        <v>244</v>
      </c>
      <c r="F1234" s="199"/>
      <c r="G1234" s="140" t="e">
        <f ca="1">mif(C1234="","",OR(B1234=リスト!$C$5,B1234=リスト!$C$6),SUM(INDEX(G:G,MATCH(I1234-1,I:I,0)+1,1):INDEX(G:G,MATCH(I1234,I:I,0)-1,1)),D1234-C1234)</f>
        <v>#NAME?</v>
      </c>
      <c r="H1234" s="140" t="e">
        <f ca="1">mif(C1234="","",B1234=リスト!$C$5,SUMIF(INDEX(B:B,MATCH(I1234-1,I:I,0)+1,1):INDEX(B:B,MATCH(I1234,I:I,0)-1,1),リスト!$C$7,INDEX(G:G,MATCH(I1234-1,I:I,0)+1,1):INDEX(G:G,MATCH(I1234,I:I,0)-1,1)),"")</f>
        <v>#NAME?</v>
      </c>
      <c r="I1234" s="200" t="str">
        <f>IF(OR(B1234=リスト!$C$5,B1234=リスト!$C$6),COUNTIF($B$9:B1234,リスト!$C$5)+COUNTIF($B$9:B1234,リスト!$C$6),"")</f>
        <v/>
      </c>
    </row>
    <row r="1235" spans="2:9" x14ac:dyDescent="0.2">
      <c r="B1235" s="196"/>
      <c r="C1235" s="197">
        <v>45576.820451388892</v>
      </c>
      <c r="D1235" s="197">
        <v>45576.820775462962</v>
      </c>
      <c r="E1235" s="198" t="s">
        <v>244</v>
      </c>
      <c r="F1235" s="199"/>
      <c r="G1235" s="140" t="e">
        <f ca="1">mif(C1235="","",OR(B1235=リスト!$C$5,B1235=リスト!$C$6),SUM(INDEX(G:G,MATCH(I1235-1,I:I,0)+1,1):INDEX(G:G,MATCH(I1235,I:I,0)-1,1)),D1235-C1235)</f>
        <v>#NAME?</v>
      </c>
      <c r="H1235" s="140" t="e">
        <f ca="1">mif(C1235="","",B1235=リスト!$C$5,SUMIF(INDEX(B:B,MATCH(I1235-1,I:I,0)+1,1):INDEX(B:B,MATCH(I1235,I:I,0)-1,1),リスト!$C$7,INDEX(G:G,MATCH(I1235-1,I:I,0)+1,1):INDEX(G:G,MATCH(I1235,I:I,0)-1,1)),"")</f>
        <v>#NAME?</v>
      </c>
      <c r="I1235" s="200" t="str">
        <f>IF(OR(B1235=リスト!$C$5,B1235=リスト!$C$6),COUNTIF($B$9:B1235,リスト!$C$5)+COUNTIF($B$9:B1235,リスト!$C$6),"")</f>
        <v/>
      </c>
    </row>
    <row r="1236" spans="2:9" x14ac:dyDescent="0.2">
      <c r="B1236" s="196"/>
      <c r="C1236" s="197">
        <v>45576.839629629627</v>
      </c>
      <c r="D1236" s="197">
        <v>45576.839907407404</v>
      </c>
      <c r="E1236" s="198" t="s">
        <v>244</v>
      </c>
      <c r="F1236" s="199"/>
      <c r="G1236" s="140" t="e">
        <f ca="1">mif(C1236="","",OR(B1236=リスト!$C$5,B1236=リスト!$C$6),SUM(INDEX(G:G,MATCH(I1236-1,I:I,0)+1,1):INDEX(G:G,MATCH(I1236,I:I,0)-1,1)),D1236-C1236)</f>
        <v>#NAME?</v>
      </c>
      <c r="H1236" s="140" t="e">
        <f ca="1">mif(C1236="","",B1236=リスト!$C$5,SUMIF(INDEX(B:B,MATCH(I1236-1,I:I,0)+1,1):INDEX(B:B,MATCH(I1236,I:I,0)-1,1),リスト!$C$7,INDEX(G:G,MATCH(I1236-1,I:I,0)+1,1):INDEX(G:G,MATCH(I1236,I:I,0)-1,1)),"")</f>
        <v>#NAME?</v>
      </c>
      <c r="I1236" s="200" t="str">
        <f>IF(OR(B1236=リスト!$C$5,B1236=リスト!$C$6),COUNTIF($B$9:B1236,リスト!$C$5)+COUNTIF($B$9:B1236,リスト!$C$6),"")</f>
        <v/>
      </c>
    </row>
    <row r="1237" spans="2:9" x14ac:dyDescent="0.2">
      <c r="B1237" s="196"/>
      <c r="C1237" s="197">
        <v>45576.846250000002</v>
      </c>
      <c r="D1237" s="197">
        <v>45576.846828703703</v>
      </c>
      <c r="E1237" s="198" t="s">
        <v>244</v>
      </c>
      <c r="F1237" s="199"/>
      <c r="G1237" s="140" t="e">
        <f ca="1">mif(C1237="","",OR(B1237=リスト!$C$5,B1237=リスト!$C$6),SUM(INDEX(G:G,MATCH(I1237-1,I:I,0)+1,1):INDEX(G:G,MATCH(I1237,I:I,0)-1,1)),D1237-C1237)</f>
        <v>#NAME?</v>
      </c>
      <c r="H1237" s="140" t="e">
        <f ca="1">mif(C1237="","",B1237=リスト!$C$5,SUMIF(INDEX(B:B,MATCH(I1237-1,I:I,0)+1,1):INDEX(B:B,MATCH(I1237,I:I,0)-1,1),リスト!$C$7,INDEX(G:G,MATCH(I1237-1,I:I,0)+1,1):INDEX(G:G,MATCH(I1237,I:I,0)-1,1)),"")</f>
        <v>#NAME?</v>
      </c>
      <c r="I1237" s="200" t="str">
        <f>IF(OR(B1237=リスト!$C$5,B1237=リスト!$C$6),COUNTIF($B$9:B1237,リスト!$C$5)+COUNTIF($B$9:B1237,リスト!$C$6),"")</f>
        <v/>
      </c>
    </row>
    <row r="1238" spans="2:9" x14ac:dyDescent="0.2">
      <c r="B1238" s="196" t="s">
        <v>247</v>
      </c>
      <c r="C1238" s="197">
        <v>45576.416666666664</v>
      </c>
      <c r="D1238" s="197">
        <v>45576.916666666664</v>
      </c>
      <c r="E1238" s="198">
        <v>25</v>
      </c>
      <c r="F1238" s="199"/>
      <c r="G1238" s="140" t="e">
        <f ca="1">mif(C1238="","",OR(B1238=リスト!$C$5,B1238=リスト!$C$6),SUM(INDEX(G:G,MATCH(I1238-1,I:I,0)+1,1):INDEX(G:G,MATCH(I1238,I:I,0)-1,1)),D1238-C1238)</f>
        <v>#NAME?</v>
      </c>
      <c r="H1238" s="140" t="e">
        <f ca="1">mif(C1238="","",B1238=リスト!$C$5,SUMIF(INDEX(B:B,MATCH(I1238-1,I:I,0)+1,1):INDEX(B:B,MATCH(I1238,I:I,0)-1,1),リスト!$C$7,INDEX(G:G,MATCH(I1238-1,I:I,0)+1,1):INDEX(G:G,MATCH(I1238,I:I,0)-1,1)),"")</f>
        <v>#NAME?</v>
      </c>
      <c r="I1238" s="200">
        <f>IF(OR(B1238=リスト!$C$5,B1238=リスト!$C$6),COUNTIF($B$9:B1238,リスト!$C$5)+COUNTIF($B$9:B1238,リスト!$C$6),"")</f>
        <v>83</v>
      </c>
    </row>
    <row r="1239" spans="2:9" x14ac:dyDescent="0.2">
      <c r="B1239" s="196"/>
      <c r="C1239" s="197">
        <v>45581.961273148147</v>
      </c>
      <c r="D1239" s="197">
        <v>45581.961550925924</v>
      </c>
      <c r="E1239" s="198" t="s">
        <v>244</v>
      </c>
      <c r="F1239" s="199"/>
      <c r="G1239" s="140" t="e">
        <f ca="1">mif(C1239="","",OR(B1239=リスト!$C$5,B1239=リスト!$C$6),SUM(INDEX(G:G,MATCH(I1239-1,I:I,0)+1,1):INDEX(G:G,MATCH(I1239,I:I,0)-1,1)),D1239-C1239)</f>
        <v>#NAME?</v>
      </c>
      <c r="H1239" s="140" t="e">
        <f ca="1">mif(C1239="","",B1239=リスト!$C$5,SUMIF(INDEX(B:B,MATCH(I1239-1,I:I,0)+1,1):INDEX(B:B,MATCH(I1239,I:I,0)-1,1),リスト!$C$7,INDEX(G:G,MATCH(I1239-1,I:I,0)+1,1):INDEX(G:G,MATCH(I1239,I:I,0)-1,1)),"")</f>
        <v>#NAME?</v>
      </c>
      <c r="I1239" s="200" t="str">
        <f>IF(OR(B1239=リスト!$C$5,B1239=リスト!$C$6),COUNTIF($B$9:B1239,リスト!$C$5)+COUNTIF($B$9:B1239,リスト!$C$6),"")</f>
        <v/>
      </c>
    </row>
    <row r="1240" spans="2:9" x14ac:dyDescent="0.2">
      <c r="B1240" s="196"/>
      <c r="C1240" s="197">
        <v>45581.989108796297</v>
      </c>
      <c r="D1240" s="197">
        <v>45581.989363425928</v>
      </c>
      <c r="E1240" s="198" t="s">
        <v>244</v>
      </c>
      <c r="F1240" s="199"/>
      <c r="G1240" s="140" t="e">
        <f ca="1">mif(C1240="","",OR(B1240=リスト!$C$5,B1240=リスト!$C$6),SUM(INDEX(G:G,MATCH(I1240-1,I:I,0)+1,1):INDEX(G:G,MATCH(I1240,I:I,0)-1,1)),D1240-C1240)</f>
        <v>#NAME?</v>
      </c>
      <c r="H1240" s="140" t="e">
        <f ca="1">mif(C1240="","",B1240=リスト!$C$5,SUMIF(INDEX(B:B,MATCH(I1240-1,I:I,0)+1,1):INDEX(B:B,MATCH(I1240,I:I,0)-1,1),リスト!$C$7,INDEX(G:G,MATCH(I1240-1,I:I,0)+1,1):INDEX(G:G,MATCH(I1240,I:I,0)-1,1)),"")</f>
        <v>#NAME?</v>
      </c>
      <c r="I1240" s="200" t="str">
        <f>IF(OR(B1240=リスト!$C$5,B1240=リスト!$C$6),COUNTIF($B$9:B1240,リスト!$C$5)+COUNTIF($B$9:B1240,リスト!$C$6),"")</f>
        <v/>
      </c>
    </row>
    <row r="1241" spans="2:9" x14ac:dyDescent="0.2">
      <c r="B1241" s="196"/>
      <c r="C1241" s="197">
        <v>45582.00513888889</v>
      </c>
      <c r="D1241" s="197">
        <v>45582.005416666667</v>
      </c>
      <c r="E1241" s="198" t="s">
        <v>244</v>
      </c>
      <c r="F1241" s="199"/>
      <c r="G1241" s="140" t="e">
        <f ca="1">mif(C1241="","",OR(B1241=リスト!$C$5,B1241=リスト!$C$6),SUM(INDEX(G:G,MATCH(I1241-1,I:I,0)+1,1):INDEX(G:G,MATCH(I1241,I:I,0)-1,1)),D1241-C1241)</f>
        <v>#NAME?</v>
      </c>
      <c r="H1241" s="140" t="e">
        <f ca="1">mif(C1241="","",B1241=リスト!$C$5,SUMIF(INDEX(B:B,MATCH(I1241-1,I:I,0)+1,1):INDEX(B:B,MATCH(I1241,I:I,0)-1,1),リスト!$C$7,INDEX(G:G,MATCH(I1241-1,I:I,0)+1,1):INDEX(G:G,MATCH(I1241,I:I,0)-1,1)),"")</f>
        <v>#NAME?</v>
      </c>
      <c r="I1241" s="200" t="str">
        <f>IF(OR(B1241=リスト!$C$5,B1241=リスト!$C$6),COUNTIF($B$9:B1241,リスト!$C$5)+COUNTIF($B$9:B1241,リスト!$C$6),"")</f>
        <v/>
      </c>
    </row>
    <row r="1242" spans="2:9" x14ac:dyDescent="0.2">
      <c r="B1242" s="196"/>
      <c r="C1242" s="197">
        <v>45582.005694444444</v>
      </c>
      <c r="D1242" s="197">
        <v>45582.006018518521</v>
      </c>
      <c r="E1242" s="198" t="s">
        <v>244</v>
      </c>
      <c r="F1242" s="199"/>
      <c r="G1242" s="140" t="e">
        <f ca="1">mif(C1242="","",OR(B1242=リスト!$C$5,B1242=リスト!$C$6),SUM(INDEX(G:G,MATCH(I1242-1,I:I,0)+1,1):INDEX(G:G,MATCH(I1242,I:I,0)-1,1)),D1242-C1242)</f>
        <v>#NAME?</v>
      </c>
      <c r="H1242" s="140" t="e">
        <f ca="1">mif(C1242="","",B1242=リスト!$C$5,SUMIF(INDEX(B:B,MATCH(I1242-1,I:I,0)+1,1):INDEX(B:B,MATCH(I1242,I:I,0)-1,1),リスト!$C$7,INDEX(G:G,MATCH(I1242-1,I:I,0)+1,1):INDEX(G:G,MATCH(I1242,I:I,0)-1,1)),"")</f>
        <v>#NAME?</v>
      </c>
      <c r="I1242" s="200" t="str">
        <f>IF(OR(B1242=リスト!$C$5,B1242=リスト!$C$6),COUNTIF($B$9:B1242,リスト!$C$5)+COUNTIF($B$9:B1242,リスト!$C$6),"")</f>
        <v/>
      </c>
    </row>
    <row r="1243" spans="2:9" x14ac:dyDescent="0.2">
      <c r="B1243" s="196"/>
      <c r="C1243" s="197">
        <v>45582.100729166668</v>
      </c>
      <c r="D1243" s="197">
        <v>45582.101261574076</v>
      </c>
      <c r="E1243" s="198" t="s">
        <v>244</v>
      </c>
      <c r="F1243" s="199"/>
      <c r="G1243" s="140" t="e">
        <f ca="1">mif(C1243="","",OR(B1243=リスト!$C$5,B1243=リスト!$C$6),SUM(INDEX(G:G,MATCH(I1243-1,I:I,0)+1,1):INDEX(G:G,MATCH(I1243,I:I,0)-1,1)),D1243-C1243)</f>
        <v>#NAME?</v>
      </c>
      <c r="H1243" s="140" t="e">
        <f ca="1">mif(C1243="","",B1243=リスト!$C$5,SUMIF(INDEX(B:B,MATCH(I1243-1,I:I,0)+1,1):INDEX(B:B,MATCH(I1243,I:I,0)-1,1),リスト!$C$7,INDEX(G:G,MATCH(I1243-1,I:I,0)+1,1):INDEX(G:G,MATCH(I1243,I:I,0)-1,1)),"")</f>
        <v>#NAME?</v>
      </c>
      <c r="I1243" s="200" t="str">
        <f>IF(OR(B1243=リスト!$C$5,B1243=リスト!$C$6),COUNTIF($B$9:B1243,リスト!$C$5)+COUNTIF($B$9:B1243,リスト!$C$6),"")</f>
        <v/>
      </c>
    </row>
    <row r="1244" spans="2:9" x14ac:dyDescent="0.2">
      <c r="B1244" s="196"/>
      <c r="C1244" s="197">
        <v>45582.105081018519</v>
      </c>
      <c r="D1244" s="197">
        <v>45582.108506944445</v>
      </c>
      <c r="E1244" s="198" t="s">
        <v>244</v>
      </c>
      <c r="F1244" s="199"/>
      <c r="G1244" s="140" t="e">
        <f ca="1">mif(C1244="","",OR(B1244=リスト!$C$5,B1244=リスト!$C$6),SUM(INDEX(G:G,MATCH(I1244-1,I:I,0)+1,1):INDEX(G:G,MATCH(I1244,I:I,0)-1,1)),D1244-C1244)</f>
        <v>#NAME?</v>
      </c>
      <c r="H1244" s="140" t="e">
        <f ca="1">mif(C1244="","",B1244=リスト!$C$5,SUMIF(INDEX(B:B,MATCH(I1244-1,I:I,0)+1,1):INDEX(B:B,MATCH(I1244,I:I,0)-1,1),リスト!$C$7,INDEX(G:G,MATCH(I1244-1,I:I,0)+1,1):INDEX(G:G,MATCH(I1244,I:I,0)-1,1)),"")</f>
        <v>#NAME?</v>
      </c>
      <c r="I1244" s="200" t="str">
        <f>IF(OR(B1244=リスト!$C$5,B1244=リスト!$C$6),COUNTIF($B$9:B1244,リスト!$C$5)+COUNTIF($B$9:B1244,リスト!$C$6),"")</f>
        <v/>
      </c>
    </row>
    <row r="1245" spans="2:9" x14ac:dyDescent="0.2">
      <c r="B1245" s="196"/>
      <c r="C1245" s="197">
        <v>45582.137627314813</v>
      </c>
      <c r="D1245" s="197">
        <v>45582.138275462959</v>
      </c>
      <c r="E1245" s="198" t="s">
        <v>244</v>
      </c>
      <c r="F1245" s="199"/>
      <c r="G1245" s="140" t="e">
        <f ca="1">mif(C1245="","",OR(B1245=リスト!$C$5,B1245=リスト!$C$6),SUM(INDEX(G:G,MATCH(I1245-1,I:I,0)+1,1):INDEX(G:G,MATCH(I1245,I:I,0)-1,1)),D1245-C1245)</f>
        <v>#NAME?</v>
      </c>
      <c r="H1245" s="140" t="e">
        <f ca="1">mif(C1245="","",B1245=リスト!$C$5,SUMIF(INDEX(B:B,MATCH(I1245-1,I:I,0)+1,1):INDEX(B:B,MATCH(I1245,I:I,0)-1,1),リスト!$C$7,INDEX(G:G,MATCH(I1245-1,I:I,0)+1,1):INDEX(G:G,MATCH(I1245,I:I,0)-1,1)),"")</f>
        <v>#NAME?</v>
      </c>
      <c r="I1245" s="200" t="str">
        <f>IF(OR(B1245=リスト!$C$5,B1245=リスト!$C$6),COUNTIF($B$9:B1245,リスト!$C$5)+COUNTIF($B$9:B1245,リスト!$C$6),"")</f>
        <v/>
      </c>
    </row>
    <row r="1246" spans="2:9" x14ac:dyDescent="0.2">
      <c r="B1246" s="196"/>
      <c r="C1246" s="197">
        <v>45582.153344907405</v>
      </c>
      <c r="D1246" s="197">
        <v>45582.153599537036</v>
      </c>
      <c r="E1246" s="198" t="s">
        <v>244</v>
      </c>
      <c r="F1246" s="199"/>
      <c r="G1246" s="140" t="e">
        <f ca="1">mif(C1246="","",OR(B1246=リスト!$C$5,B1246=リスト!$C$6),SUM(INDEX(G:G,MATCH(I1246-1,I:I,0)+1,1):INDEX(G:G,MATCH(I1246,I:I,0)-1,1)),D1246-C1246)</f>
        <v>#NAME?</v>
      </c>
      <c r="H1246" s="140" t="e">
        <f ca="1">mif(C1246="","",B1246=リスト!$C$5,SUMIF(INDEX(B:B,MATCH(I1246-1,I:I,0)+1,1):INDEX(B:B,MATCH(I1246,I:I,0)-1,1),リスト!$C$7,INDEX(G:G,MATCH(I1246-1,I:I,0)+1,1):INDEX(G:G,MATCH(I1246,I:I,0)-1,1)),"")</f>
        <v>#NAME?</v>
      </c>
      <c r="I1246" s="200" t="str">
        <f>IF(OR(B1246=リスト!$C$5,B1246=リスト!$C$6),COUNTIF($B$9:B1246,リスト!$C$5)+COUNTIF($B$9:B1246,リスト!$C$6),"")</f>
        <v/>
      </c>
    </row>
    <row r="1247" spans="2:9" x14ac:dyDescent="0.2">
      <c r="B1247" s="196"/>
      <c r="C1247" s="197">
        <v>45582.230671296296</v>
      </c>
      <c r="D1247" s="197">
        <v>45582.231041666666</v>
      </c>
      <c r="E1247" s="198" t="s">
        <v>244</v>
      </c>
      <c r="F1247" s="199"/>
      <c r="G1247" s="140" t="e">
        <f ca="1">mif(C1247="","",OR(B1247=リスト!$C$5,B1247=リスト!$C$6),SUM(INDEX(G:G,MATCH(I1247-1,I:I,0)+1,1):INDEX(G:G,MATCH(I1247,I:I,0)-1,1)),D1247-C1247)</f>
        <v>#NAME?</v>
      </c>
      <c r="H1247" s="140" t="e">
        <f ca="1">mif(C1247="","",B1247=リスト!$C$5,SUMIF(INDEX(B:B,MATCH(I1247-1,I:I,0)+1,1):INDEX(B:B,MATCH(I1247,I:I,0)-1,1),リスト!$C$7,INDEX(G:G,MATCH(I1247-1,I:I,0)+1,1):INDEX(G:G,MATCH(I1247,I:I,0)-1,1)),"")</f>
        <v>#NAME?</v>
      </c>
      <c r="I1247" s="200" t="str">
        <f>IF(OR(B1247=リスト!$C$5,B1247=リスト!$C$6),COUNTIF($B$9:B1247,リスト!$C$5)+COUNTIF($B$9:B1247,リスト!$C$6),"")</f>
        <v/>
      </c>
    </row>
    <row r="1248" spans="2:9" x14ac:dyDescent="0.2">
      <c r="B1248" s="196"/>
      <c r="C1248" s="197">
        <v>45582.329328703701</v>
      </c>
      <c r="D1248" s="197">
        <v>45582.329606481479</v>
      </c>
      <c r="E1248" s="198" t="s">
        <v>244</v>
      </c>
      <c r="F1248" s="199"/>
      <c r="G1248" s="140" t="e">
        <f ca="1">mif(C1248="","",OR(B1248=リスト!$C$5,B1248=リスト!$C$6),SUM(INDEX(G:G,MATCH(I1248-1,I:I,0)+1,1):INDEX(G:G,MATCH(I1248,I:I,0)-1,1)),D1248-C1248)</f>
        <v>#NAME?</v>
      </c>
      <c r="H1248" s="140" t="e">
        <f ca="1">mif(C1248="","",B1248=リスト!$C$5,SUMIF(INDEX(B:B,MATCH(I1248-1,I:I,0)+1,1):INDEX(B:B,MATCH(I1248,I:I,0)-1,1),リスト!$C$7,INDEX(G:G,MATCH(I1248-1,I:I,0)+1,1):INDEX(G:G,MATCH(I1248,I:I,0)-1,1)),"")</f>
        <v>#NAME?</v>
      </c>
      <c r="I1248" s="200" t="str">
        <f>IF(OR(B1248=リスト!$C$5,B1248=リスト!$C$6),COUNTIF($B$9:B1248,リスト!$C$5)+COUNTIF($B$9:B1248,リスト!$C$6),"")</f>
        <v/>
      </c>
    </row>
    <row r="1249" spans="2:9" x14ac:dyDescent="0.2">
      <c r="B1249" s="196"/>
      <c r="C1249" s="197">
        <v>45582.337256944447</v>
      </c>
      <c r="D1249" s="197">
        <v>45582.337511574071</v>
      </c>
      <c r="E1249" s="198" t="s">
        <v>244</v>
      </c>
      <c r="F1249" s="199"/>
      <c r="G1249" s="140" t="e">
        <f ca="1">mif(C1249="","",OR(B1249=リスト!$C$5,B1249=リスト!$C$6),SUM(INDEX(G:G,MATCH(I1249-1,I:I,0)+1,1):INDEX(G:G,MATCH(I1249,I:I,0)-1,1)),D1249-C1249)</f>
        <v>#NAME?</v>
      </c>
      <c r="H1249" s="140" t="e">
        <f ca="1">mif(C1249="","",B1249=リスト!$C$5,SUMIF(INDEX(B:B,MATCH(I1249-1,I:I,0)+1,1):INDEX(B:B,MATCH(I1249,I:I,0)-1,1),リスト!$C$7,INDEX(G:G,MATCH(I1249-1,I:I,0)+1,1):INDEX(G:G,MATCH(I1249,I:I,0)-1,1)),"")</f>
        <v>#NAME?</v>
      </c>
      <c r="I1249" s="200" t="str">
        <f>IF(OR(B1249=リスト!$C$5,B1249=リスト!$C$6),COUNTIF($B$9:B1249,リスト!$C$5)+COUNTIF($B$9:B1249,リスト!$C$6),"")</f>
        <v/>
      </c>
    </row>
    <row r="1250" spans="2:9" x14ac:dyDescent="0.2">
      <c r="B1250" s="196"/>
      <c r="C1250" s="197">
        <v>45582.341307870367</v>
      </c>
      <c r="D1250" s="197">
        <v>45582.341631944444</v>
      </c>
      <c r="E1250" s="198" t="s">
        <v>244</v>
      </c>
      <c r="F1250" s="199"/>
      <c r="G1250" s="140" t="e">
        <f ca="1">mif(C1250="","",OR(B1250=リスト!$C$5,B1250=リスト!$C$6),SUM(INDEX(G:G,MATCH(I1250-1,I:I,0)+1,1):INDEX(G:G,MATCH(I1250,I:I,0)-1,1)),D1250-C1250)</f>
        <v>#NAME?</v>
      </c>
      <c r="H1250" s="140" t="e">
        <f ca="1">mif(C1250="","",B1250=リスト!$C$5,SUMIF(INDEX(B:B,MATCH(I1250-1,I:I,0)+1,1):INDEX(B:B,MATCH(I1250,I:I,0)-1,1),リスト!$C$7,INDEX(G:G,MATCH(I1250-1,I:I,0)+1,1):INDEX(G:G,MATCH(I1250,I:I,0)-1,1)),"")</f>
        <v>#NAME?</v>
      </c>
      <c r="I1250" s="200" t="str">
        <f>IF(OR(B1250=リスト!$C$5,B1250=リスト!$C$6),COUNTIF($B$9:B1250,リスト!$C$5)+COUNTIF($B$9:B1250,リスト!$C$6),"")</f>
        <v/>
      </c>
    </row>
    <row r="1251" spans="2:9" x14ac:dyDescent="0.2">
      <c r="B1251" s="196" t="s">
        <v>247</v>
      </c>
      <c r="C1251" s="197">
        <v>45581.916666666664</v>
      </c>
      <c r="D1251" s="197">
        <v>45582.416666666664</v>
      </c>
      <c r="E1251" s="198">
        <v>12</v>
      </c>
      <c r="F1251" s="199"/>
      <c r="G1251" s="140" t="e">
        <f ca="1">mif(C1251="","",OR(B1251=リスト!$C$5,B1251=リスト!$C$6),SUM(INDEX(G:G,MATCH(I1251-1,I:I,0)+1,1):INDEX(G:G,MATCH(I1251,I:I,0)-1,1)),D1251-C1251)</f>
        <v>#NAME?</v>
      </c>
      <c r="H1251" s="140" t="e">
        <f ca="1">mif(C1251="","",B1251=リスト!$C$5,SUMIF(INDEX(B:B,MATCH(I1251-1,I:I,0)+1,1):INDEX(B:B,MATCH(I1251,I:I,0)-1,1),リスト!$C$7,INDEX(G:G,MATCH(I1251-1,I:I,0)+1,1):INDEX(G:G,MATCH(I1251,I:I,0)-1,1)),"")</f>
        <v>#NAME?</v>
      </c>
      <c r="I1251" s="200">
        <f>IF(OR(B1251=リスト!$C$5,B1251=リスト!$C$6),COUNTIF($B$9:B1251,リスト!$C$5)+COUNTIF($B$9:B1251,リスト!$C$6),"")</f>
        <v>84</v>
      </c>
    </row>
    <row r="1252" spans="2:9" x14ac:dyDescent="0.2">
      <c r="B1252" s="196"/>
      <c r="C1252" s="197">
        <v>45582.446608796294</v>
      </c>
      <c r="D1252" s="197">
        <v>45582.446956018517</v>
      </c>
      <c r="E1252" s="198" t="s">
        <v>244</v>
      </c>
      <c r="F1252" s="199"/>
      <c r="G1252" s="140" t="e">
        <f ca="1">mif(C1252="","",OR(B1252=リスト!$C$5,B1252=リスト!$C$6),SUM(INDEX(G:G,MATCH(I1252-1,I:I,0)+1,1):INDEX(G:G,MATCH(I1252,I:I,0)-1,1)),D1252-C1252)</f>
        <v>#NAME?</v>
      </c>
      <c r="H1252" s="140" t="e">
        <f ca="1">mif(C1252="","",B1252=リスト!$C$5,SUMIF(INDEX(B:B,MATCH(I1252-1,I:I,0)+1,1):INDEX(B:B,MATCH(I1252,I:I,0)-1,1),リスト!$C$7,INDEX(G:G,MATCH(I1252-1,I:I,0)+1,1):INDEX(G:G,MATCH(I1252,I:I,0)-1,1)),"")</f>
        <v>#NAME?</v>
      </c>
      <c r="I1252" s="200" t="str">
        <f>IF(OR(B1252=リスト!$C$5,B1252=リスト!$C$6),COUNTIF($B$9:B1252,リスト!$C$5)+COUNTIF($B$9:B1252,リスト!$C$6),"")</f>
        <v/>
      </c>
    </row>
    <row r="1253" spans="2:9" x14ac:dyDescent="0.2">
      <c r="B1253" s="196"/>
      <c r="C1253" s="197">
        <v>45582.447951388887</v>
      </c>
      <c r="D1253" s="197">
        <v>45582.448414351849</v>
      </c>
      <c r="E1253" s="198" t="s">
        <v>244</v>
      </c>
      <c r="F1253" s="199"/>
      <c r="G1253" s="140" t="e">
        <f ca="1">mif(C1253="","",OR(B1253=リスト!$C$5,B1253=リスト!$C$6),SUM(INDEX(G:G,MATCH(I1253-1,I:I,0)+1,1):INDEX(G:G,MATCH(I1253,I:I,0)-1,1)),D1253-C1253)</f>
        <v>#NAME?</v>
      </c>
      <c r="H1253" s="140" t="e">
        <f ca="1">mif(C1253="","",B1253=リスト!$C$5,SUMIF(INDEX(B:B,MATCH(I1253-1,I:I,0)+1,1):INDEX(B:B,MATCH(I1253,I:I,0)-1,1),リスト!$C$7,INDEX(G:G,MATCH(I1253-1,I:I,0)+1,1):INDEX(G:G,MATCH(I1253,I:I,0)-1,1)),"")</f>
        <v>#NAME?</v>
      </c>
      <c r="I1253" s="200" t="str">
        <f>IF(OR(B1253=リスト!$C$5,B1253=リスト!$C$6),COUNTIF($B$9:B1253,リスト!$C$5)+COUNTIF($B$9:B1253,リスト!$C$6),"")</f>
        <v/>
      </c>
    </row>
    <row r="1254" spans="2:9" x14ac:dyDescent="0.2">
      <c r="B1254" s="196"/>
      <c r="C1254" s="197">
        <v>45582.463217592594</v>
      </c>
      <c r="D1254" s="197">
        <v>45582.463796296295</v>
      </c>
      <c r="E1254" s="198" t="s">
        <v>244</v>
      </c>
      <c r="F1254" s="199"/>
      <c r="G1254" s="140" t="e">
        <f ca="1">mif(C1254="","",OR(B1254=リスト!$C$5,B1254=リスト!$C$6),SUM(INDEX(G:G,MATCH(I1254-1,I:I,0)+1,1):INDEX(G:G,MATCH(I1254,I:I,0)-1,1)),D1254-C1254)</f>
        <v>#NAME?</v>
      </c>
      <c r="H1254" s="140" t="e">
        <f ca="1">mif(C1254="","",B1254=リスト!$C$5,SUMIF(INDEX(B:B,MATCH(I1254-1,I:I,0)+1,1):INDEX(B:B,MATCH(I1254,I:I,0)-1,1),リスト!$C$7,INDEX(G:G,MATCH(I1254-1,I:I,0)+1,1):INDEX(G:G,MATCH(I1254,I:I,0)-1,1)),"")</f>
        <v>#NAME?</v>
      </c>
      <c r="I1254" s="200" t="str">
        <f>IF(OR(B1254=リスト!$C$5,B1254=リスト!$C$6),COUNTIF($B$9:B1254,リスト!$C$5)+COUNTIF($B$9:B1254,リスト!$C$6),"")</f>
        <v/>
      </c>
    </row>
    <row r="1255" spans="2:9" x14ac:dyDescent="0.2">
      <c r="B1255" s="196"/>
      <c r="C1255" s="197">
        <v>45582.472916666666</v>
      </c>
      <c r="D1255" s="197">
        <v>45582.473402777781</v>
      </c>
      <c r="E1255" s="198" t="s">
        <v>244</v>
      </c>
      <c r="F1255" s="199"/>
      <c r="G1255" s="140" t="e">
        <f ca="1">mif(C1255="","",OR(B1255=リスト!$C$5,B1255=リスト!$C$6),SUM(INDEX(G:G,MATCH(I1255-1,I:I,0)+1,1):INDEX(G:G,MATCH(I1255,I:I,0)-1,1)),D1255-C1255)</f>
        <v>#NAME?</v>
      </c>
      <c r="H1255" s="140" t="e">
        <f ca="1">mif(C1255="","",B1255=リスト!$C$5,SUMIF(INDEX(B:B,MATCH(I1255-1,I:I,0)+1,1):INDEX(B:B,MATCH(I1255,I:I,0)-1,1),リスト!$C$7,INDEX(G:G,MATCH(I1255-1,I:I,0)+1,1):INDEX(G:G,MATCH(I1255,I:I,0)-1,1)),"")</f>
        <v>#NAME?</v>
      </c>
      <c r="I1255" s="200" t="str">
        <f>IF(OR(B1255=リスト!$C$5,B1255=リスト!$C$6),COUNTIF($B$9:B1255,リスト!$C$5)+COUNTIF($B$9:B1255,リスト!$C$6),"")</f>
        <v/>
      </c>
    </row>
    <row r="1256" spans="2:9" x14ac:dyDescent="0.2">
      <c r="B1256" s="196"/>
      <c r="C1256" s="197">
        <v>45582.562002314815</v>
      </c>
      <c r="D1256" s="197">
        <v>45582.562256944446</v>
      </c>
      <c r="E1256" s="198" t="s">
        <v>244</v>
      </c>
      <c r="F1256" s="199"/>
      <c r="G1256" s="140" t="e">
        <f ca="1">mif(C1256="","",OR(B1256=リスト!$C$5,B1256=リスト!$C$6),SUM(INDEX(G:G,MATCH(I1256-1,I:I,0)+1,1):INDEX(G:G,MATCH(I1256,I:I,0)-1,1)),D1256-C1256)</f>
        <v>#NAME?</v>
      </c>
      <c r="H1256" s="140" t="e">
        <f ca="1">mif(C1256="","",B1256=リスト!$C$5,SUMIF(INDEX(B:B,MATCH(I1256-1,I:I,0)+1,1):INDEX(B:B,MATCH(I1256,I:I,0)-1,1),リスト!$C$7,INDEX(G:G,MATCH(I1256-1,I:I,0)+1,1):INDEX(G:G,MATCH(I1256,I:I,0)-1,1)),"")</f>
        <v>#NAME?</v>
      </c>
      <c r="I1256" s="200" t="str">
        <f>IF(OR(B1256=リスト!$C$5,B1256=リスト!$C$6),COUNTIF($B$9:B1256,リスト!$C$5)+COUNTIF($B$9:B1256,リスト!$C$6),"")</f>
        <v/>
      </c>
    </row>
    <row r="1257" spans="2:9" x14ac:dyDescent="0.2">
      <c r="B1257" s="196"/>
      <c r="C1257" s="197">
        <v>45582.617893518516</v>
      </c>
      <c r="D1257" s="197">
        <v>45582.618634259263</v>
      </c>
      <c r="E1257" s="198" t="s">
        <v>244</v>
      </c>
      <c r="F1257" s="199"/>
      <c r="G1257" s="140" t="e">
        <f ca="1">mif(C1257="","",OR(B1257=リスト!$C$5,B1257=リスト!$C$6),SUM(INDEX(G:G,MATCH(I1257-1,I:I,0)+1,1):INDEX(G:G,MATCH(I1257,I:I,0)-1,1)),D1257-C1257)</f>
        <v>#NAME?</v>
      </c>
      <c r="H1257" s="140" t="e">
        <f ca="1">mif(C1257="","",B1257=リスト!$C$5,SUMIF(INDEX(B:B,MATCH(I1257-1,I:I,0)+1,1):INDEX(B:B,MATCH(I1257,I:I,0)-1,1),リスト!$C$7,INDEX(G:G,MATCH(I1257-1,I:I,0)+1,1):INDEX(G:G,MATCH(I1257,I:I,0)-1,1)),"")</f>
        <v>#NAME?</v>
      </c>
      <c r="I1257" s="200" t="str">
        <f>IF(OR(B1257=リスト!$C$5,B1257=リスト!$C$6),COUNTIF($B$9:B1257,リスト!$C$5)+COUNTIF($B$9:B1257,リスト!$C$6),"")</f>
        <v/>
      </c>
    </row>
    <row r="1258" spans="2:9" x14ac:dyDescent="0.2">
      <c r="B1258" s="196"/>
      <c r="C1258" s="197">
        <v>45582.625694444447</v>
      </c>
      <c r="D1258" s="197">
        <v>45582.626157407409</v>
      </c>
      <c r="E1258" s="198" t="s">
        <v>244</v>
      </c>
      <c r="F1258" s="199"/>
      <c r="G1258" s="140" t="e">
        <f ca="1">mif(C1258="","",OR(B1258=リスト!$C$5,B1258=リスト!$C$6),SUM(INDEX(G:G,MATCH(I1258-1,I:I,0)+1,1):INDEX(G:G,MATCH(I1258,I:I,0)-1,1)),D1258-C1258)</f>
        <v>#NAME?</v>
      </c>
      <c r="H1258" s="140" t="e">
        <f ca="1">mif(C1258="","",B1258=リスト!$C$5,SUMIF(INDEX(B:B,MATCH(I1258-1,I:I,0)+1,1):INDEX(B:B,MATCH(I1258,I:I,0)-1,1),リスト!$C$7,INDEX(G:G,MATCH(I1258-1,I:I,0)+1,1):INDEX(G:G,MATCH(I1258,I:I,0)-1,1)),"")</f>
        <v>#NAME?</v>
      </c>
      <c r="I1258" s="200" t="str">
        <f>IF(OR(B1258=リスト!$C$5,B1258=リスト!$C$6),COUNTIF($B$9:B1258,リスト!$C$5)+COUNTIF($B$9:B1258,リスト!$C$6),"")</f>
        <v/>
      </c>
    </row>
    <row r="1259" spans="2:9" x14ac:dyDescent="0.2">
      <c r="B1259" s="196"/>
      <c r="C1259" s="197">
        <v>45582.635995370372</v>
      </c>
      <c r="D1259" s="197">
        <v>45582.638657407406</v>
      </c>
      <c r="E1259" s="198" t="s">
        <v>244</v>
      </c>
      <c r="F1259" s="199"/>
      <c r="G1259" s="140" t="e">
        <f ca="1">mif(C1259="","",OR(B1259=リスト!$C$5,B1259=リスト!$C$6),SUM(INDEX(G:G,MATCH(I1259-1,I:I,0)+1,1):INDEX(G:G,MATCH(I1259,I:I,0)-1,1)),D1259-C1259)</f>
        <v>#NAME?</v>
      </c>
      <c r="H1259" s="140" t="e">
        <f ca="1">mif(C1259="","",B1259=リスト!$C$5,SUMIF(INDEX(B:B,MATCH(I1259-1,I:I,0)+1,1):INDEX(B:B,MATCH(I1259,I:I,0)-1,1),リスト!$C$7,INDEX(G:G,MATCH(I1259-1,I:I,0)+1,1):INDEX(G:G,MATCH(I1259,I:I,0)-1,1)),"")</f>
        <v>#NAME?</v>
      </c>
      <c r="I1259" s="200" t="str">
        <f>IF(OR(B1259=リスト!$C$5,B1259=リスト!$C$6),COUNTIF($B$9:B1259,リスト!$C$5)+COUNTIF($B$9:B1259,リスト!$C$6),"")</f>
        <v/>
      </c>
    </row>
    <row r="1260" spans="2:9" x14ac:dyDescent="0.2">
      <c r="B1260" s="196"/>
      <c r="C1260" s="197">
        <v>45582.647349537037</v>
      </c>
      <c r="D1260" s="197">
        <v>45582.650347222225</v>
      </c>
      <c r="E1260" s="198" t="s">
        <v>244</v>
      </c>
      <c r="F1260" s="199"/>
      <c r="G1260" s="140" t="e">
        <f ca="1">mif(C1260="","",OR(B1260=リスト!$C$5,B1260=リスト!$C$6),SUM(INDEX(G:G,MATCH(I1260-1,I:I,0)+1,1):INDEX(G:G,MATCH(I1260,I:I,0)-1,1)),D1260-C1260)</f>
        <v>#NAME?</v>
      </c>
      <c r="H1260" s="140" t="e">
        <f ca="1">mif(C1260="","",B1260=リスト!$C$5,SUMIF(INDEX(B:B,MATCH(I1260-1,I:I,0)+1,1):INDEX(B:B,MATCH(I1260,I:I,0)-1,1),リスト!$C$7,INDEX(G:G,MATCH(I1260-1,I:I,0)+1,1):INDEX(G:G,MATCH(I1260,I:I,0)-1,1)),"")</f>
        <v>#NAME?</v>
      </c>
      <c r="I1260" s="200" t="str">
        <f>IF(OR(B1260=リスト!$C$5,B1260=リスト!$C$6),COUNTIF($B$9:B1260,リスト!$C$5)+COUNTIF($B$9:B1260,リスト!$C$6),"")</f>
        <v/>
      </c>
    </row>
    <row r="1261" spans="2:9" x14ac:dyDescent="0.2">
      <c r="B1261" s="196"/>
      <c r="C1261" s="197">
        <v>45582.656817129631</v>
      </c>
      <c r="D1261" s="197">
        <v>45582.657094907408</v>
      </c>
      <c r="E1261" s="198" t="s">
        <v>244</v>
      </c>
      <c r="F1261" s="199"/>
      <c r="G1261" s="140" t="e">
        <f ca="1">mif(C1261="","",OR(B1261=リスト!$C$5,B1261=リスト!$C$6),SUM(INDEX(G:G,MATCH(I1261-1,I:I,0)+1,1):INDEX(G:G,MATCH(I1261,I:I,0)-1,1)),D1261-C1261)</f>
        <v>#NAME?</v>
      </c>
      <c r="H1261" s="140" t="e">
        <f ca="1">mif(C1261="","",B1261=リスト!$C$5,SUMIF(INDEX(B:B,MATCH(I1261-1,I:I,0)+1,1):INDEX(B:B,MATCH(I1261,I:I,0)-1,1),リスト!$C$7,INDEX(G:G,MATCH(I1261-1,I:I,0)+1,1):INDEX(G:G,MATCH(I1261,I:I,0)-1,1)),"")</f>
        <v>#NAME?</v>
      </c>
      <c r="I1261" s="200" t="str">
        <f>IF(OR(B1261=リスト!$C$5,B1261=リスト!$C$6),COUNTIF($B$9:B1261,リスト!$C$5)+COUNTIF($B$9:B1261,リスト!$C$6),"")</f>
        <v/>
      </c>
    </row>
    <row r="1262" spans="2:9" x14ac:dyDescent="0.2">
      <c r="B1262" s="196"/>
      <c r="C1262" s="197">
        <v>45582.672152777777</v>
      </c>
      <c r="D1262" s="197">
        <v>45582.672453703701</v>
      </c>
      <c r="E1262" s="198" t="s">
        <v>244</v>
      </c>
      <c r="F1262" s="199"/>
      <c r="G1262" s="140" t="e">
        <f ca="1">mif(C1262="","",OR(B1262=リスト!$C$5,B1262=リスト!$C$6),SUM(INDEX(G:G,MATCH(I1262-1,I:I,0)+1,1):INDEX(G:G,MATCH(I1262,I:I,0)-1,1)),D1262-C1262)</f>
        <v>#NAME?</v>
      </c>
      <c r="H1262" s="140" t="e">
        <f ca="1">mif(C1262="","",B1262=リスト!$C$5,SUMIF(INDEX(B:B,MATCH(I1262-1,I:I,0)+1,1):INDEX(B:B,MATCH(I1262,I:I,0)-1,1),リスト!$C$7,INDEX(G:G,MATCH(I1262-1,I:I,0)+1,1):INDEX(G:G,MATCH(I1262,I:I,0)-1,1)),"")</f>
        <v>#NAME?</v>
      </c>
      <c r="I1262" s="200" t="str">
        <f>IF(OR(B1262=リスト!$C$5,B1262=リスト!$C$6),COUNTIF($B$9:B1262,リスト!$C$5)+COUNTIF($B$9:B1262,リスト!$C$6),"")</f>
        <v/>
      </c>
    </row>
    <row r="1263" spans="2:9" x14ac:dyDescent="0.2">
      <c r="B1263" s="196"/>
      <c r="C1263" s="197">
        <v>45582.686226851853</v>
      </c>
      <c r="D1263" s="197">
        <v>45582.686759259261</v>
      </c>
      <c r="E1263" s="198" t="s">
        <v>244</v>
      </c>
      <c r="F1263" s="199"/>
      <c r="G1263" s="140" t="e">
        <f ca="1">mif(C1263="","",OR(B1263=リスト!$C$5,B1263=リスト!$C$6),SUM(INDEX(G:G,MATCH(I1263-1,I:I,0)+1,1):INDEX(G:G,MATCH(I1263,I:I,0)-1,1)),D1263-C1263)</f>
        <v>#NAME?</v>
      </c>
      <c r="H1263" s="140" t="e">
        <f ca="1">mif(C1263="","",B1263=リスト!$C$5,SUMIF(INDEX(B:B,MATCH(I1263-1,I:I,0)+1,1):INDEX(B:B,MATCH(I1263,I:I,0)-1,1),リスト!$C$7,INDEX(G:G,MATCH(I1263-1,I:I,0)+1,1):INDEX(G:G,MATCH(I1263,I:I,0)-1,1)),"")</f>
        <v>#NAME?</v>
      </c>
      <c r="I1263" s="200" t="str">
        <f>IF(OR(B1263=リスト!$C$5,B1263=リスト!$C$6),COUNTIF($B$9:B1263,リスト!$C$5)+COUNTIF($B$9:B1263,リスト!$C$6),"")</f>
        <v/>
      </c>
    </row>
    <row r="1264" spans="2:9" x14ac:dyDescent="0.2">
      <c r="B1264" s="196"/>
      <c r="C1264" s="197">
        <v>45582.752650462964</v>
      </c>
      <c r="D1264" s="197">
        <v>45582.752974537034</v>
      </c>
      <c r="E1264" s="198" t="s">
        <v>244</v>
      </c>
      <c r="F1264" s="199"/>
      <c r="G1264" s="140" t="e">
        <f ca="1">mif(C1264="","",OR(B1264=リスト!$C$5,B1264=リスト!$C$6),SUM(INDEX(G:G,MATCH(I1264-1,I:I,0)+1,1):INDEX(G:G,MATCH(I1264,I:I,0)-1,1)),D1264-C1264)</f>
        <v>#NAME?</v>
      </c>
      <c r="H1264" s="140" t="e">
        <f ca="1">mif(C1264="","",B1264=リスト!$C$5,SUMIF(INDEX(B:B,MATCH(I1264-1,I:I,0)+1,1):INDEX(B:B,MATCH(I1264,I:I,0)-1,1),リスト!$C$7,INDEX(G:G,MATCH(I1264-1,I:I,0)+1,1):INDEX(G:G,MATCH(I1264,I:I,0)-1,1)),"")</f>
        <v>#NAME?</v>
      </c>
      <c r="I1264" s="200" t="str">
        <f>IF(OR(B1264=リスト!$C$5,B1264=リスト!$C$6),COUNTIF($B$9:B1264,リスト!$C$5)+COUNTIF($B$9:B1264,リスト!$C$6),"")</f>
        <v/>
      </c>
    </row>
    <row r="1265" spans="2:9" x14ac:dyDescent="0.2">
      <c r="B1265" s="196"/>
      <c r="C1265" s="197">
        <v>45582.784120370372</v>
      </c>
      <c r="D1265" s="197">
        <v>45582.784398148149</v>
      </c>
      <c r="E1265" s="198" t="s">
        <v>244</v>
      </c>
      <c r="F1265" s="199"/>
      <c r="G1265" s="140" t="e">
        <f ca="1">mif(C1265="","",OR(B1265=リスト!$C$5,B1265=リスト!$C$6),SUM(INDEX(G:G,MATCH(I1265-1,I:I,0)+1,1):INDEX(G:G,MATCH(I1265,I:I,0)-1,1)),D1265-C1265)</f>
        <v>#NAME?</v>
      </c>
      <c r="H1265" s="140" t="e">
        <f ca="1">mif(C1265="","",B1265=リスト!$C$5,SUMIF(INDEX(B:B,MATCH(I1265-1,I:I,0)+1,1):INDEX(B:B,MATCH(I1265,I:I,0)-1,1),リスト!$C$7,INDEX(G:G,MATCH(I1265-1,I:I,0)+1,1):INDEX(G:G,MATCH(I1265,I:I,0)-1,1)),"")</f>
        <v>#NAME?</v>
      </c>
      <c r="I1265" s="200" t="str">
        <f>IF(OR(B1265=リスト!$C$5,B1265=リスト!$C$6),COUNTIF($B$9:B1265,リスト!$C$5)+COUNTIF($B$9:B1265,リスト!$C$6),"")</f>
        <v/>
      </c>
    </row>
    <row r="1266" spans="2:9" x14ac:dyDescent="0.2">
      <c r="B1266" s="196"/>
      <c r="C1266" s="197">
        <v>45582.807233796295</v>
      </c>
      <c r="D1266" s="197">
        <v>45582.807557870372</v>
      </c>
      <c r="E1266" s="198" t="s">
        <v>244</v>
      </c>
      <c r="F1266" s="199"/>
      <c r="G1266" s="140" t="e">
        <f ca="1">mif(C1266="","",OR(B1266=リスト!$C$5,B1266=リスト!$C$6),SUM(INDEX(G:G,MATCH(I1266-1,I:I,0)+1,1):INDEX(G:G,MATCH(I1266,I:I,0)-1,1)),D1266-C1266)</f>
        <v>#NAME?</v>
      </c>
      <c r="H1266" s="140" t="e">
        <f ca="1">mif(C1266="","",B1266=リスト!$C$5,SUMIF(INDEX(B:B,MATCH(I1266-1,I:I,0)+1,1):INDEX(B:B,MATCH(I1266,I:I,0)-1,1),リスト!$C$7,INDEX(G:G,MATCH(I1266-1,I:I,0)+1,1):INDEX(G:G,MATCH(I1266,I:I,0)-1,1)),"")</f>
        <v>#NAME?</v>
      </c>
      <c r="I1266" s="200" t="str">
        <f>IF(OR(B1266=リスト!$C$5,B1266=リスト!$C$6),COUNTIF($B$9:B1266,リスト!$C$5)+COUNTIF($B$9:B1266,リスト!$C$6),"")</f>
        <v/>
      </c>
    </row>
    <row r="1267" spans="2:9" x14ac:dyDescent="0.2">
      <c r="B1267" s="196"/>
      <c r="C1267" s="197">
        <v>45582.834999999999</v>
      </c>
      <c r="D1267" s="197">
        <v>45582.835277777776</v>
      </c>
      <c r="E1267" s="198" t="s">
        <v>244</v>
      </c>
      <c r="F1267" s="199"/>
      <c r="G1267" s="140" t="e">
        <f ca="1">mif(C1267="","",OR(B1267=リスト!$C$5,B1267=リスト!$C$6),SUM(INDEX(G:G,MATCH(I1267-1,I:I,0)+1,1):INDEX(G:G,MATCH(I1267,I:I,0)-1,1)),D1267-C1267)</f>
        <v>#NAME?</v>
      </c>
      <c r="H1267" s="140" t="e">
        <f ca="1">mif(C1267="","",B1267=リスト!$C$5,SUMIF(INDEX(B:B,MATCH(I1267-1,I:I,0)+1,1):INDEX(B:B,MATCH(I1267,I:I,0)-1,1),リスト!$C$7,INDEX(G:G,MATCH(I1267-1,I:I,0)+1,1):INDEX(G:G,MATCH(I1267,I:I,0)-1,1)),"")</f>
        <v>#NAME?</v>
      </c>
      <c r="I1267" s="200" t="str">
        <f>IF(OR(B1267=リスト!$C$5,B1267=リスト!$C$6),COUNTIF($B$9:B1267,リスト!$C$5)+COUNTIF($B$9:B1267,リスト!$C$6),"")</f>
        <v/>
      </c>
    </row>
    <row r="1268" spans="2:9" x14ac:dyDescent="0.2">
      <c r="B1268" s="196"/>
      <c r="C1268" s="197">
        <v>45582.840925925928</v>
      </c>
      <c r="D1268" s="197">
        <v>45582.841527777775</v>
      </c>
      <c r="E1268" s="198" t="s">
        <v>244</v>
      </c>
      <c r="F1268" s="199"/>
      <c r="G1268" s="140" t="e">
        <f ca="1">mif(C1268="","",OR(B1268=リスト!$C$5,B1268=リスト!$C$6),SUM(INDEX(G:G,MATCH(I1268-1,I:I,0)+1,1):INDEX(G:G,MATCH(I1268,I:I,0)-1,1)),D1268-C1268)</f>
        <v>#NAME?</v>
      </c>
      <c r="H1268" s="140" t="e">
        <f ca="1">mif(C1268="","",B1268=リスト!$C$5,SUMIF(INDEX(B:B,MATCH(I1268-1,I:I,0)+1,1):INDEX(B:B,MATCH(I1268,I:I,0)-1,1),リスト!$C$7,INDEX(G:G,MATCH(I1268-1,I:I,0)+1,1):INDEX(G:G,MATCH(I1268,I:I,0)-1,1)),"")</f>
        <v>#NAME?</v>
      </c>
      <c r="I1268" s="200" t="str">
        <f>IF(OR(B1268=リスト!$C$5,B1268=リスト!$C$6),COUNTIF($B$9:B1268,リスト!$C$5)+COUNTIF($B$9:B1268,リスト!$C$6),"")</f>
        <v/>
      </c>
    </row>
    <row r="1269" spans="2:9" x14ac:dyDescent="0.2">
      <c r="B1269" s="196"/>
      <c r="C1269" s="197">
        <v>45582.888495370367</v>
      </c>
      <c r="D1269" s="197">
        <v>45582.888888888891</v>
      </c>
      <c r="E1269" s="198" t="s">
        <v>244</v>
      </c>
      <c r="F1269" s="199"/>
      <c r="G1269" s="140" t="e">
        <f ca="1">mif(C1269="","",OR(B1269=リスト!$C$5,B1269=リスト!$C$6),SUM(INDEX(G:G,MATCH(I1269-1,I:I,0)+1,1):INDEX(G:G,MATCH(I1269,I:I,0)-1,1)),D1269-C1269)</f>
        <v>#NAME?</v>
      </c>
      <c r="H1269" s="140" t="e">
        <f ca="1">mif(C1269="","",B1269=リスト!$C$5,SUMIF(INDEX(B:B,MATCH(I1269-1,I:I,0)+1,1):INDEX(B:B,MATCH(I1269,I:I,0)-1,1),リスト!$C$7,INDEX(G:G,MATCH(I1269-1,I:I,0)+1,1):INDEX(G:G,MATCH(I1269,I:I,0)-1,1)),"")</f>
        <v>#NAME?</v>
      </c>
      <c r="I1269" s="200" t="str">
        <f>IF(OR(B1269=リスト!$C$5,B1269=リスト!$C$6),COUNTIF($B$9:B1269,リスト!$C$5)+COUNTIF($B$9:B1269,リスト!$C$6),"")</f>
        <v/>
      </c>
    </row>
    <row r="1270" spans="2:9" x14ac:dyDescent="0.2">
      <c r="B1270" s="196" t="s">
        <v>247</v>
      </c>
      <c r="C1270" s="197">
        <v>45582.416666666664</v>
      </c>
      <c r="D1270" s="197">
        <v>45582.916666666664</v>
      </c>
      <c r="E1270" s="198">
        <v>18</v>
      </c>
      <c r="F1270" s="199"/>
      <c r="G1270" s="140" t="e">
        <f ca="1">mif(C1270="","",OR(B1270=リスト!$C$5,B1270=リスト!$C$6),SUM(INDEX(G:G,MATCH(I1270-1,I:I,0)+1,1):INDEX(G:G,MATCH(I1270,I:I,0)-1,1)),D1270-C1270)</f>
        <v>#NAME?</v>
      </c>
      <c r="H1270" s="140" t="e">
        <f ca="1">mif(C1270="","",B1270=リスト!$C$5,SUMIF(INDEX(B:B,MATCH(I1270-1,I:I,0)+1,1):INDEX(B:B,MATCH(I1270,I:I,0)-1,1),リスト!$C$7,INDEX(G:G,MATCH(I1270-1,I:I,0)+1,1):INDEX(G:G,MATCH(I1270,I:I,0)-1,1)),"")</f>
        <v>#NAME?</v>
      </c>
      <c r="I1270" s="200">
        <f>IF(OR(B1270=リスト!$C$5,B1270=リスト!$C$6),COUNTIF($B$9:B1270,リスト!$C$5)+COUNTIF($B$9:B1270,リスト!$C$6),"")</f>
        <v>85</v>
      </c>
    </row>
    <row r="1271" spans="2:9" x14ac:dyDescent="0.2">
      <c r="B1271" s="196"/>
      <c r="C1271" s="197">
        <v>45582.918796296297</v>
      </c>
      <c r="D1271" s="197">
        <v>45582.91909722222</v>
      </c>
      <c r="E1271" s="198" t="s">
        <v>244</v>
      </c>
      <c r="F1271" s="199"/>
      <c r="G1271" s="140" t="e">
        <f ca="1">mif(C1271="","",OR(B1271=リスト!$C$5,B1271=リスト!$C$6),SUM(INDEX(G:G,MATCH(I1271-1,I:I,0)+1,1):INDEX(G:G,MATCH(I1271,I:I,0)-1,1)),D1271-C1271)</f>
        <v>#NAME?</v>
      </c>
      <c r="H1271" s="140" t="e">
        <f ca="1">mif(C1271="","",B1271=リスト!$C$5,SUMIF(INDEX(B:B,MATCH(I1271-1,I:I,0)+1,1):INDEX(B:B,MATCH(I1271,I:I,0)-1,1),リスト!$C$7,INDEX(G:G,MATCH(I1271-1,I:I,0)+1,1):INDEX(G:G,MATCH(I1271,I:I,0)-1,1)),"")</f>
        <v>#NAME?</v>
      </c>
      <c r="I1271" s="200" t="str">
        <f>IF(OR(B1271=リスト!$C$5,B1271=リスト!$C$6),COUNTIF($B$9:B1271,リスト!$C$5)+COUNTIF($B$9:B1271,リスト!$C$6),"")</f>
        <v/>
      </c>
    </row>
    <row r="1272" spans="2:9" x14ac:dyDescent="0.2">
      <c r="B1272" s="196"/>
      <c r="C1272" s="197">
        <v>45583.001516203702</v>
      </c>
      <c r="D1272" s="197">
        <v>45583.001793981479</v>
      </c>
      <c r="E1272" s="198" t="s">
        <v>244</v>
      </c>
      <c r="F1272" s="199"/>
      <c r="G1272" s="140" t="e">
        <f ca="1">mif(C1272="","",OR(B1272=リスト!$C$5,B1272=リスト!$C$6),SUM(INDEX(G:G,MATCH(I1272-1,I:I,0)+1,1):INDEX(G:G,MATCH(I1272,I:I,0)-1,1)),D1272-C1272)</f>
        <v>#NAME?</v>
      </c>
      <c r="H1272" s="140" t="e">
        <f ca="1">mif(C1272="","",B1272=リスト!$C$5,SUMIF(INDEX(B:B,MATCH(I1272-1,I:I,0)+1,1):INDEX(B:B,MATCH(I1272,I:I,0)-1,1),リスト!$C$7,INDEX(G:G,MATCH(I1272-1,I:I,0)+1,1):INDEX(G:G,MATCH(I1272,I:I,0)-1,1)),"")</f>
        <v>#NAME?</v>
      </c>
      <c r="I1272" s="200" t="str">
        <f>IF(OR(B1272=リスト!$C$5,B1272=リスト!$C$6),COUNTIF($B$9:B1272,リスト!$C$5)+COUNTIF($B$9:B1272,リスト!$C$6),"")</f>
        <v/>
      </c>
    </row>
    <row r="1273" spans="2:9" x14ac:dyDescent="0.2">
      <c r="B1273" s="196"/>
      <c r="C1273" s="197">
        <v>45583.081597222219</v>
      </c>
      <c r="D1273" s="197">
        <v>45583.08189814815</v>
      </c>
      <c r="E1273" s="198" t="s">
        <v>244</v>
      </c>
      <c r="F1273" s="199"/>
      <c r="G1273" s="140" t="e">
        <f ca="1">mif(C1273="","",OR(B1273=リスト!$C$5,B1273=リスト!$C$6),SUM(INDEX(G:G,MATCH(I1273-1,I:I,0)+1,1):INDEX(G:G,MATCH(I1273,I:I,0)-1,1)),D1273-C1273)</f>
        <v>#NAME?</v>
      </c>
      <c r="H1273" s="140" t="e">
        <f ca="1">mif(C1273="","",B1273=リスト!$C$5,SUMIF(INDEX(B:B,MATCH(I1273-1,I:I,0)+1,1):INDEX(B:B,MATCH(I1273,I:I,0)-1,1),リスト!$C$7,INDEX(G:G,MATCH(I1273-1,I:I,0)+1,1):INDEX(G:G,MATCH(I1273,I:I,0)-1,1)),"")</f>
        <v>#NAME?</v>
      </c>
      <c r="I1273" s="200" t="str">
        <f>IF(OR(B1273=リスト!$C$5,B1273=リスト!$C$6),COUNTIF($B$9:B1273,リスト!$C$5)+COUNTIF($B$9:B1273,リスト!$C$6),"")</f>
        <v/>
      </c>
    </row>
    <row r="1274" spans="2:9" x14ac:dyDescent="0.2">
      <c r="B1274" s="196"/>
      <c r="C1274" s="197">
        <v>45583.122731481482</v>
      </c>
      <c r="D1274" s="197">
        <v>45583.122986111113</v>
      </c>
      <c r="E1274" s="198" t="s">
        <v>244</v>
      </c>
      <c r="F1274" s="199"/>
      <c r="G1274" s="140" t="e">
        <f ca="1">mif(C1274="","",OR(B1274=リスト!$C$5,B1274=リスト!$C$6),SUM(INDEX(G:G,MATCH(I1274-1,I:I,0)+1,1):INDEX(G:G,MATCH(I1274,I:I,0)-1,1)),D1274-C1274)</f>
        <v>#NAME?</v>
      </c>
      <c r="H1274" s="140" t="e">
        <f ca="1">mif(C1274="","",B1274=リスト!$C$5,SUMIF(INDEX(B:B,MATCH(I1274-1,I:I,0)+1,1):INDEX(B:B,MATCH(I1274,I:I,0)-1,1),リスト!$C$7,INDEX(G:G,MATCH(I1274-1,I:I,0)+1,1):INDEX(G:G,MATCH(I1274,I:I,0)-1,1)),"")</f>
        <v>#NAME?</v>
      </c>
      <c r="I1274" s="200" t="str">
        <f>IF(OR(B1274=リスト!$C$5,B1274=リスト!$C$6),COUNTIF($B$9:B1274,リスト!$C$5)+COUNTIF($B$9:B1274,リスト!$C$6),"")</f>
        <v/>
      </c>
    </row>
    <row r="1275" spans="2:9" x14ac:dyDescent="0.2">
      <c r="B1275" s="196"/>
      <c r="C1275" s="197">
        <v>45583.126759259256</v>
      </c>
      <c r="D1275" s="197">
        <v>45583.12703703704</v>
      </c>
      <c r="E1275" s="198" t="s">
        <v>244</v>
      </c>
      <c r="F1275" s="199"/>
      <c r="G1275" s="140" t="e">
        <f ca="1">mif(C1275="","",OR(B1275=リスト!$C$5,B1275=リスト!$C$6),SUM(INDEX(G:G,MATCH(I1275-1,I:I,0)+1,1):INDEX(G:G,MATCH(I1275,I:I,0)-1,1)),D1275-C1275)</f>
        <v>#NAME?</v>
      </c>
      <c r="H1275" s="140" t="e">
        <f ca="1">mif(C1275="","",B1275=リスト!$C$5,SUMIF(INDEX(B:B,MATCH(I1275-1,I:I,0)+1,1):INDEX(B:B,MATCH(I1275,I:I,0)-1,1),リスト!$C$7,INDEX(G:G,MATCH(I1275-1,I:I,0)+1,1):INDEX(G:G,MATCH(I1275,I:I,0)-1,1)),"")</f>
        <v>#NAME?</v>
      </c>
      <c r="I1275" s="200" t="str">
        <f>IF(OR(B1275=リスト!$C$5,B1275=リスト!$C$6),COUNTIF($B$9:B1275,リスト!$C$5)+COUNTIF($B$9:B1275,リスト!$C$6),"")</f>
        <v/>
      </c>
    </row>
    <row r="1276" spans="2:9" x14ac:dyDescent="0.2">
      <c r="B1276" s="196"/>
      <c r="C1276" s="197">
        <v>45583.12840277778</v>
      </c>
      <c r="D1276" s="197">
        <v>45583.128657407404</v>
      </c>
      <c r="E1276" s="198" t="s">
        <v>244</v>
      </c>
      <c r="F1276" s="199"/>
      <c r="G1276" s="140" t="e">
        <f ca="1">mif(C1276="","",OR(B1276=リスト!$C$5,B1276=リスト!$C$6),SUM(INDEX(G:G,MATCH(I1276-1,I:I,0)+1,1):INDEX(G:G,MATCH(I1276,I:I,0)-1,1)),D1276-C1276)</f>
        <v>#NAME?</v>
      </c>
      <c r="H1276" s="140" t="e">
        <f ca="1">mif(C1276="","",B1276=リスト!$C$5,SUMIF(INDEX(B:B,MATCH(I1276-1,I:I,0)+1,1):INDEX(B:B,MATCH(I1276,I:I,0)-1,1),リスト!$C$7,INDEX(G:G,MATCH(I1276-1,I:I,0)+1,1):INDEX(G:G,MATCH(I1276,I:I,0)-1,1)),"")</f>
        <v>#NAME?</v>
      </c>
      <c r="I1276" s="200" t="str">
        <f>IF(OR(B1276=リスト!$C$5,B1276=リスト!$C$6),COUNTIF($B$9:B1276,リスト!$C$5)+COUNTIF($B$9:B1276,リスト!$C$6),"")</f>
        <v/>
      </c>
    </row>
    <row r="1277" spans="2:9" x14ac:dyDescent="0.2">
      <c r="B1277" s="196"/>
      <c r="C1277" s="197">
        <v>45583.143194444441</v>
      </c>
      <c r="D1277" s="197">
        <v>45583.143472222226</v>
      </c>
      <c r="E1277" s="198" t="s">
        <v>244</v>
      </c>
      <c r="F1277" s="199"/>
      <c r="G1277" s="140" t="e">
        <f ca="1">mif(C1277="","",OR(B1277=リスト!$C$5,B1277=リスト!$C$6),SUM(INDEX(G:G,MATCH(I1277-1,I:I,0)+1,1):INDEX(G:G,MATCH(I1277,I:I,0)-1,1)),D1277-C1277)</f>
        <v>#NAME?</v>
      </c>
      <c r="H1277" s="140" t="e">
        <f ca="1">mif(C1277="","",B1277=リスト!$C$5,SUMIF(INDEX(B:B,MATCH(I1277-1,I:I,0)+1,1):INDEX(B:B,MATCH(I1277,I:I,0)-1,1),リスト!$C$7,INDEX(G:G,MATCH(I1277-1,I:I,0)+1,1):INDEX(G:G,MATCH(I1277,I:I,0)-1,1)),"")</f>
        <v>#NAME?</v>
      </c>
      <c r="I1277" s="200" t="str">
        <f>IF(OR(B1277=リスト!$C$5,B1277=リスト!$C$6),COUNTIF($B$9:B1277,リスト!$C$5)+COUNTIF($B$9:B1277,リスト!$C$6),"")</f>
        <v/>
      </c>
    </row>
    <row r="1278" spans="2:9" x14ac:dyDescent="0.2">
      <c r="B1278" s="196"/>
      <c r="C1278" s="197">
        <v>45583.155266203707</v>
      </c>
      <c r="D1278" s="197">
        <v>45583.155543981484</v>
      </c>
      <c r="E1278" s="198" t="s">
        <v>244</v>
      </c>
      <c r="F1278" s="199"/>
      <c r="G1278" s="140" t="e">
        <f ca="1">mif(C1278="","",OR(B1278=リスト!$C$5,B1278=リスト!$C$6),SUM(INDEX(G:G,MATCH(I1278-1,I:I,0)+1,1):INDEX(G:G,MATCH(I1278,I:I,0)-1,1)),D1278-C1278)</f>
        <v>#NAME?</v>
      </c>
      <c r="H1278" s="140" t="e">
        <f ca="1">mif(C1278="","",B1278=リスト!$C$5,SUMIF(INDEX(B:B,MATCH(I1278-1,I:I,0)+1,1):INDEX(B:B,MATCH(I1278,I:I,0)-1,1),リスト!$C$7,INDEX(G:G,MATCH(I1278-1,I:I,0)+1,1):INDEX(G:G,MATCH(I1278,I:I,0)-1,1)),"")</f>
        <v>#NAME?</v>
      </c>
      <c r="I1278" s="200" t="str">
        <f>IF(OR(B1278=リスト!$C$5,B1278=リスト!$C$6),COUNTIF($B$9:B1278,リスト!$C$5)+COUNTIF($B$9:B1278,リスト!$C$6),"")</f>
        <v/>
      </c>
    </row>
    <row r="1279" spans="2:9" x14ac:dyDescent="0.2">
      <c r="B1279" s="196"/>
      <c r="C1279" s="197">
        <v>45583.17428240741</v>
      </c>
      <c r="D1279" s="197">
        <v>45583.174583333333</v>
      </c>
      <c r="E1279" s="198" t="s">
        <v>244</v>
      </c>
      <c r="F1279" s="199"/>
      <c r="G1279" s="140" t="e">
        <f ca="1">mif(C1279="","",OR(B1279=リスト!$C$5,B1279=リスト!$C$6),SUM(INDEX(G:G,MATCH(I1279-1,I:I,0)+1,1):INDEX(G:G,MATCH(I1279,I:I,0)-1,1)),D1279-C1279)</f>
        <v>#NAME?</v>
      </c>
      <c r="H1279" s="140" t="e">
        <f ca="1">mif(C1279="","",B1279=リスト!$C$5,SUMIF(INDEX(B:B,MATCH(I1279-1,I:I,0)+1,1):INDEX(B:B,MATCH(I1279,I:I,0)-1,1),リスト!$C$7,INDEX(G:G,MATCH(I1279-1,I:I,0)+1,1):INDEX(G:G,MATCH(I1279,I:I,0)-1,1)),"")</f>
        <v>#NAME?</v>
      </c>
      <c r="I1279" s="200" t="str">
        <f>IF(OR(B1279=リスト!$C$5,B1279=リスト!$C$6),COUNTIF($B$9:B1279,リスト!$C$5)+COUNTIF($B$9:B1279,リスト!$C$6),"")</f>
        <v/>
      </c>
    </row>
    <row r="1280" spans="2:9" x14ac:dyDescent="0.2">
      <c r="B1280" s="196"/>
      <c r="C1280" s="197">
        <v>45583.176898148151</v>
      </c>
      <c r="D1280" s="197">
        <v>45583.177337962959</v>
      </c>
      <c r="E1280" s="198" t="s">
        <v>244</v>
      </c>
      <c r="F1280" s="199"/>
      <c r="G1280" s="140" t="e">
        <f ca="1">mif(C1280="","",OR(B1280=リスト!$C$5,B1280=リスト!$C$6),SUM(INDEX(G:G,MATCH(I1280-1,I:I,0)+1,1):INDEX(G:G,MATCH(I1280,I:I,0)-1,1)),D1280-C1280)</f>
        <v>#NAME?</v>
      </c>
      <c r="H1280" s="140" t="e">
        <f ca="1">mif(C1280="","",B1280=リスト!$C$5,SUMIF(INDEX(B:B,MATCH(I1280-1,I:I,0)+1,1):INDEX(B:B,MATCH(I1280,I:I,0)-1,1),リスト!$C$7,INDEX(G:G,MATCH(I1280-1,I:I,0)+1,1):INDEX(G:G,MATCH(I1280,I:I,0)-1,1)),"")</f>
        <v>#NAME?</v>
      </c>
      <c r="I1280" s="200" t="str">
        <f>IF(OR(B1280=リスト!$C$5,B1280=リスト!$C$6),COUNTIF($B$9:B1280,リスト!$C$5)+COUNTIF($B$9:B1280,リスト!$C$6),"")</f>
        <v/>
      </c>
    </row>
    <row r="1281" spans="2:9" x14ac:dyDescent="0.2">
      <c r="B1281" s="196"/>
      <c r="C1281" s="197">
        <v>45583.201793981483</v>
      </c>
      <c r="D1281" s="197">
        <v>45583.20207175926</v>
      </c>
      <c r="E1281" s="198" t="s">
        <v>244</v>
      </c>
      <c r="F1281" s="199"/>
      <c r="G1281" s="140" t="e">
        <f ca="1">mif(C1281="","",OR(B1281=リスト!$C$5,B1281=リスト!$C$6),SUM(INDEX(G:G,MATCH(I1281-1,I:I,0)+1,1):INDEX(G:G,MATCH(I1281,I:I,0)-1,1)),D1281-C1281)</f>
        <v>#NAME?</v>
      </c>
      <c r="H1281" s="140" t="e">
        <f ca="1">mif(C1281="","",B1281=リスト!$C$5,SUMIF(INDEX(B:B,MATCH(I1281-1,I:I,0)+1,1):INDEX(B:B,MATCH(I1281,I:I,0)-1,1),リスト!$C$7,INDEX(G:G,MATCH(I1281-1,I:I,0)+1,1):INDEX(G:G,MATCH(I1281,I:I,0)-1,1)),"")</f>
        <v>#NAME?</v>
      </c>
      <c r="I1281" s="200" t="str">
        <f>IF(OR(B1281=リスト!$C$5,B1281=リスト!$C$6),COUNTIF($B$9:B1281,リスト!$C$5)+COUNTIF($B$9:B1281,リスト!$C$6),"")</f>
        <v/>
      </c>
    </row>
    <row r="1282" spans="2:9" x14ac:dyDescent="0.2">
      <c r="B1282" s="196"/>
      <c r="C1282" s="197">
        <v>45583.290046296293</v>
      </c>
      <c r="D1282" s="197">
        <v>45583.290532407409</v>
      </c>
      <c r="E1282" s="198" t="s">
        <v>244</v>
      </c>
      <c r="F1282" s="199"/>
      <c r="G1282" s="140" t="e">
        <f ca="1">mif(C1282="","",OR(B1282=リスト!$C$5,B1282=リスト!$C$6),SUM(INDEX(G:G,MATCH(I1282-1,I:I,0)+1,1):INDEX(G:G,MATCH(I1282,I:I,0)-1,1)),D1282-C1282)</f>
        <v>#NAME?</v>
      </c>
      <c r="H1282" s="140" t="e">
        <f ca="1">mif(C1282="","",B1282=リスト!$C$5,SUMIF(INDEX(B:B,MATCH(I1282-1,I:I,0)+1,1):INDEX(B:B,MATCH(I1282,I:I,0)-1,1),リスト!$C$7,INDEX(G:G,MATCH(I1282-1,I:I,0)+1,1):INDEX(G:G,MATCH(I1282,I:I,0)-1,1)),"")</f>
        <v>#NAME?</v>
      </c>
      <c r="I1282" s="200" t="str">
        <f>IF(OR(B1282=リスト!$C$5,B1282=リスト!$C$6),COUNTIF($B$9:B1282,リスト!$C$5)+COUNTIF($B$9:B1282,リスト!$C$6),"")</f>
        <v/>
      </c>
    </row>
    <row r="1283" spans="2:9" x14ac:dyDescent="0.2">
      <c r="B1283" s="196"/>
      <c r="C1283" s="197">
        <v>45583.296435185184</v>
      </c>
      <c r="D1283" s="197">
        <v>45583.296712962961</v>
      </c>
      <c r="E1283" s="198" t="s">
        <v>244</v>
      </c>
      <c r="F1283" s="199"/>
      <c r="G1283" s="140" t="e">
        <f ca="1">mif(C1283="","",OR(B1283=リスト!$C$5,B1283=リスト!$C$6),SUM(INDEX(G:G,MATCH(I1283-1,I:I,0)+1,1):INDEX(G:G,MATCH(I1283,I:I,0)-1,1)),D1283-C1283)</f>
        <v>#NAME?</v>
      </c>
      <c r="H1283" s="140" t="e">
        <f ca="1">mif(C1283="","",B1283=リスト!$C$5,SUMIF(INDEX(B:B,MATCH(I1283-1,I:I,0)+1,1):INDEX(B:B,MATCH(I1283,I:I,0)-1,1),リスト!$C$7,INDEX(G:G,MATCH(I1283-1,I:I,0)+1,1):INDEX(G:G,MATCH(I1283,I:I,0)-1,1)),"")</f>
        <v>#NAME?</v>
      </c>
      <c r="I1283" s="200" t="str">
        <f>IF(OR(B1283=リスト!$C$5,B1283=リスト!$C$6),COUNTIF($B$9:B1283,リスト!$C$5)+COUNTIF($B$9:B1283,リスト!$C$6),"")</f>
        <v/>
      </c>
    </row>
    <row r="1284" spans="2:9" x14ac:dyDescent="0.2">
      <c r="B1284" s="196"/>
      <c r="C1284" s="197">
        <v>45583.308900462966</v>
      </c>
      <c r="D1284" s="197">
        <v>45583.309178240743</v>
      </c>
      <c r="E1284" s="198" t="s">
        <v>244</v>
      </c>
      <c r="F1284" s="199"/>
      <c r="G1284" s="140" t="e">
        <f ca="1">mif(C1284="","",OR(B1284=リスト!$C$5,B1284=リスト!$C$6),SUM(INDEX(G:G,MATCH(I1284-1,I:I,0)+1,1):INDEX(G:G,MATCH(I1284,I:I,0)-1,1)),D1284-C1284)</f>
        <v>#NAME?</v>
      </c>
      <c r="H1284" s="140" t="e">
        <f ca="1">mif(C1284="","",B1284=リスト!$C$5,SUMIF(INDEX(B:B,MATCH(I1284-1,I:I,0)+1,1):INDEX(B:B,MATCH(I1284,I:I,0)-1,1),リスト!$C$7,INDEX(G:G,MATCH(I1284-1,I:I,0)+1,1):INDEX(G:G,MATCH(I1284,I:I,0)-1,1)),"")</f>
        <v>#NAME?</v>
      </c>
      <c r="I1284" s="200" t="str">
        <f>IF(OR(B1284=リスト!$C$5,B1284=リスト!$C$6),COUNTIF($B$9:B1284,リスト!$C$5)+COUNTIF($B$9:B1284,リスト!$C$6),"")</f>
        <v/>
      </c>
    </row>
    <row r="1285" spans="2:9" x14ac:dyDescent="0.2">
      <c r="B1285" s="196"/>
      <c r="C1285" s="197">
        <v>45583.358506944445</v>
      </c>
      <c r="D1285" s="197">
        <v>45583.358784722222</v>
      </c>
      <c r="E1285" s="198" t="s">
        <v>244</v>
      </c>
      <c r="F1285" s="199"/>
      <c r="G1285" s="140" t="e">
        <f ca="1">mif(C1285="","",OR(B1285=リスト!$C$5,B1285=リスト!$C$6),SUM(INDEX(G:G,MATCH(I1285-1,I:I,0)+1,1):INDEX(G:G,MATCH(I1285,I:I,0)-1,1)),D1285-C1285)</f>
        <v>#NAME?</v>
      </c>
      <c r="H1285" s="140" t="e">
        <f ca="1">mif(C1285="","",B1285=リスト!$C$5,SUMIF(INDEX(B:B,MATCH(I1285-1,I:I,0)+1,1):INDEX(B:B,MATCH(I1285,I:I,0)-1,1),リスト!$C$7,INDEX(G:G,MATCH(I1285-1,I:I,0)+1,1):INDEX(G:G,MATCH(I1285,I:I,0)-1,1)),"")</f>
        <v>#NAME?</v>
      </c>
      <c r="I1285" s="200" t="str">
        <f>IF(OR(B1285=リスト!$C$5,B1285=リスト!$C$6),COUNTIF($B$9:B1285,リスト!$C$5)+COUNTIF($B$9:B1285,リスト!$C$6),"")</f>
        <v/>
      </c>
    </row>
    <row r="1286" spans="2:9" x14ac:dyDescent="0.2">
      <c r="B1286" s="196" t="s">
        <v>247</v>
      </c>
      <c r="C1286" s="197">
        <v>45582.916666666664</v>
      </c>
      <c r="D1286" s="197">
        <v>45583.416666666664</v>
      </c>
      <c r="E1286" s="198">
        <v>15</v>
      </c>
      <c r="F1286" s="199"/>
      <c r="G1286" s="140" t="e">
        <f ca="1">mif(C1286="","",OR(B1286=リスト!$C$5,B1286=リスト!$C$6),SUM(INDEX(G:G,MATCH(I1286-1,I:I,0)+1,1):INDEX(G:G,MATCH(I1286,I:I,0)-1,1)),D1286-C1286)</f>
        <v>#NAME?</v>
      </c>
      <c r="H1286" s="140" t="e">
        <f ca="1">mif(C1286="","",B1286=リスト!$C$5,SUMIF(INDEX(B:B,MATCH(I1286-1,I:I,0)+1,1):INDEX(B:B,MATCH(I1286,I:I,0)-1,1),リスト!$C$7,INDEX(G:G,MATCH(I1286-1,I:I,0)+1,1):INDEX(G:G,MATCH(I1286,I:I,0)-1,1)),"")</f>
        <v>#NAME?</v>
      </c>
      <c r="I1286" s="200">
        <f>IF(OR(B1286=リスト!$C$5,B1286=リスト!$C$6),COUNTIF($B$9:B1286,リスト!$C$5)+COUNTIF($B$9:B1286,リスト!$C$6),"")</f>
        <v>86</v>
      </c>
    </row>
    <row r="1287" spans="2:9" x14ac:dyDescent="0.2">
      <c r="B1287" s="196"/>
      <c r="C1287" s="197">
        <v>45583.504687499997</v>
      </c>
      <c r="D1287" s="197">
        <v>45583.504965277774</v>
      </c>
      <c r="E1287" s="198" t="s">
        <v>244</v>
      </c>
      <c r="F1287" s="199"/>
      <c r="G1287" s="140" t="e">
        <f ca="1">mif(C1287="","",OR(B1287=リスト!$C$5,B1287=リスト!$C$6),SUM(INDEX(G:G,MATCH(I1287-1,I:I,0)+1,1):INDEX(G:G,MATCH(I1287,I:I,0)-1,1)),D1287-C1287)</f>
        <v>#NAME?</v>
      </c>
      <c r="H1287" s="140" t="e">
        <f ca="1">mif(C1287="","",B1287=リスト!$C$5,SUMIF(INDEX(B:B,MATCH(I1287-1,I:I,0)+1,1):INDEX(B:B,MATCH(I1287,I:I,0)-1,1),リスト!$C$7,INDEX(G:G,MATCH(I1287-1,I:I,0)+1,1):INDEX(G:G,MATCH(I1287,I:I,0)-1,1)),"")</f>
        <v>#NAME?</v>
      </c>
      <c r="I1287" s="200" t="str">
        <f>IF(OR(B1287=リスト!$C$5,B1287=リスト!$C$6),COUNTIF($B$9:B1287,リスト!$C$5)+COUNTIF($B$9:B1287,リスト!$C$6),"")</f>
        <v/>
      </c>
    </row>
    <row r="1288" spans="2:9" x14ac:dyDescent="0.2">
      <c r="B1288" s="196"/>
      <c r="C1288" s="197">
        <v>45583.525972222225</v>
      </c>
      <c r="D1288" s="197">
        <v>45583.526273148149</v>
      </c>
      <c r="E1288" s="198" t="s">
        <v>244</v>
      </c>
      <c r="F1288" s="199"/>
      <c r="G1288" s="140" t="e">
        <f ca="1">mif(C1288="","",OR(B1288=リスト!$C$5,B1288=リスト!$C$6),SUM(INDEX(G:G,MATCH(I1288-1,I:I,0)+1,1):INDEX(G:G,MATCH(I1288,I:I,0)-1,1)),D1288-C1288)</f>
        <v>#NAME?</v>
      </c>
      <c r="H1288" s="140" t="e">
        <f ca="1">mif(C1288="","",B1288=リスト!$C$5,SUMIF(INDEX(B:B,MATCH(I1288-1,I:I,0)+1,1):INDEX(B:B,MATCH(I1288,I:I,0)-1,1),リスト!$C$7,INDEX(G:G,MATCH(I1288-1,I:I,0)+1,1):INDEX(G:G,MATCH(I1288,I:I,0)-1,1)),"")</f>
        <v>#NAME?</v>
      </c>
      <c r="I1288" s="200" t="str">
        <f>IF(OR(B1288=リスト!$C$5,B1288=リスト!$C$6),COUNTIF($B$9:B1288,リスト!$C$5)+COUNTIF($B$9:B1288,リスト!$C$6),"")</f>
        <v/>
      </c>
    </row>
    <row r="1289" spans="2:9" x14ac:dyDescent="0.2">
      <c r="B1289" s="196"/>
      <c r="C1289" s="197">
        <v>45583.534699074073</v>
      </c>
      <c r="D1289" s="197">
        <v>45583.53502314815</v>
      </c>
      <c r="E1289" s="198" t="s">
        <v>244</v>
      </c>
      <c r="F1289" s="199"/>
      <c r="G1289" s="140" t="e">
        <f ca="1">mif(C1289="","",OR(B1289=リスト!$C$5,B1289=リスト!$C$6),SUM(INDEX(G:G,MATCH(I1289-1,I:I,0)+1,1):INDEX(G:G,MATCH(I1289,I:I,0)-1,1)),D1289-C1289)</f>
        <v>#NAME?</v>
      </c>
      <c r="H1289" s="140" t="e">
        <f ca="1">mif(C1289="","",B1289=リスト!$C$5,SUMIF(INDEX(B:B,MATCH(I1289-1,I:I,0)+1,1):INDEX(B:B,MATCH(I1289,I:I,0)-1,1),リスト!$C$7,INDEX(G:G,MATCH(I1289-1,I:I,0)+1,1):INDEX(G:G,MATCH(I1289,I:I,0)-1,1)),"")</f>
        <v>#NAME?</v>
      </c>
      <c r="I1289" s="200" t="str">
        <f>IF(OR(B1289=リスト!$C$5,B1289=リスト!$C$6),COUNTIF($B$9:B1289,リスト!$C$5)+COUNTIF($B$9:B1289,リスト!$C$6),"")</f>
        <v/>
      </c>
    </row>
    <row r="1290" spans="2:9" x14ac:dyDescent="0.2">
      <c r="B1290" s="196"/>
      <c r="C1290" s="197">
        <v>45583.544444444444</v>
      </c>
      <c r="D1290" s="197">
        <v>45583.544745370367</v>
      </c>
      <c r="E1290" s="198" t="s">
        <v>244</v>
      </c>
      <c r="F1290" s="199"/>
      <c r="G1290" s="140" t="e">
        <f ca="1">mif(C1290="","",OR(B1290=リスト!$C$5,B1290=リスト!$C$6),SUM(INDEX(G:G,MATCH(I1290-1,I:I,0)+1,1):INDEX(G:G,MATCH(I1290,I:I,0)-1,1)),D1290-C1290)</f>
        <v>#NAME?</v>
      </c>
      <c r="H1290" s="140" t="e">
        <f ca="1">mif(C1290="","",B1290=リスト!$C$5,SUMIF(INDEX(B:B,MATCH(I1290-1,I:I,0)+1,1):INDEX(B:B,MATCH(I1290,I:I,0)-1,1),リスト!$C$7,INDEX(G:G,MATCH(I1290-1,I:I,0)+1,1):INDEX(G:G,MATCH(I1290,I:I,0)-1,1)),"")</f>
        <v>#NAME?</v>
      </c>
      <c r="I1290" s="200" t="str">
        <f>IF(OR(B1290=リスト!$C$5,B1290=リスト!$C$6),COUNTIF($B$9:B1290,リスト!$C$5)+COUNTIF($B$9:B1290,リスト!$C$6),"")</f>
        <v/>
      </c>
    </row>
    <row r="1291" spans="2:9" x14ac:dyDescent="0.2">
      <c r="B1291" s="196"/>
      <c r="C1291" s="197">
        <v>45583.607928240737</v>
      </c>
      <c r="D1291" s="197">
        <v>45583.608252314814</v>
      </c>
      <c r="E1291" s="198" t="s">
        <v>244</v>
      </c>
      <c r="F1291" s="199"/>
      <c r="G1291" s="140" t="e">
        <f ca="1">mif(C1291="","",OR(B1291=リスト!$C$5,B1291=リスト!$C$6),SUM(INDEX(G:G,MATCH(I1291-1,I:I,0)+1,1):INDEX(G:G,MATCH(I1291,I:I,0)-1,1)),D1291-C1291)</f>
        <v>#NAME?</v>
      </c>
      <c r="H1291" s="140" t="e">
        <f ca="1">mif(C1291="","",B1291=リスト!$C$5,SUMIF(INDEX(B:B,MATCH(I1291-1,I:I,0)+1,1):INDEX(B:B,MATCH(I1291,I:I,0)-1,1),リスト!$C$7,INDEX(G:G,MATCH(I1291-1,I:I,0)+1,1):INDEX(G:G,MATCH(I1291,I:I,0)-1,1)),"")</f>
        <v>#NAME?</v>
      </c>
      <c r="I1291" s="200" t="str">
        <f>IF(OR(B1291=リスト!$C$5,B1291=リスト!$C$6),COUNTIF($B$9:B1291,リスト!$C$5)+COUNTIF($B$9:B1291,リスト!$C$6),"")</f>
        <v/>
      </c>
    </row>
    <row r="1292" spans="2:9" x14ac:dyDescent="0.2">
      <c r="B1292" s="196"/>
      <c r="C1292" s="197">
        <v>45583.62736111111</v>
      </c>
      <c r="D1292" s="197">
        <v>45583.627662037034</v>
      </c>
      <c r="E1292" s="198" t="s">
        <v>244</v>
      </c>
      <c r="F1292" s="199"/>
      <c r="G1292" s="140" t="e">
        <f ca="1">mif(C1292="","",OR(B1292=リスト!$C$5,B1292=リスト!$C$6),SUM(INDEX(G:G,MATCH(I1292-1,I:I,0)+1,1):INDEX(G:G,MATCH(I1292,I:I,0)-1,1)),D1292-C1292)</f>
        <v>#NAME?</v>
      </c>
      <c r="H1292" s="140" t="e">
        <f ca="1">mif(C1292="","",B1292=リスト!$C$5,SUMIF(INDEX(B:B,MATCH(I1292-1,I:I,0)+1,1):INDEX(B:B,MATCH(I1292,I:I,0)-1,1),リスト!$C$7,INDEX(G:G,MATCH(I1292-1,I:I,0)+1,1):INDEX(G:G,MATCH(I1292,I:I,0)-1,1)),"")</f>
        <v>#NAME?</v>
      </c>
      <c r="I1292" s="200" t="str">
        <f>IF(OR(B1292=リスト!$C$5,B1292=リスト!$C$6),COUNTIF($B$9:B1292,リスト!$C$5)+COUNTIF($B$9:B1292,リスト!$C$6),"")</f>
        <v/>
      </c>
    </row>
    <row r="1293" spans="2:9" x14ac:dyDescent="0.2">
      <c r="B1293" s="196"/>
      <c r="C1293" s="197">
        <v>45583.681574074071</v>
      </c>
      <c r="D1293" s="197">
        <v>45583.681805555556</v>
      </c>
      <c r="E1293" s="198" t="s">
        <v>244</v>
      </c>
      <c r="F1293" s="199"/>
      <c r="G1293" s="140" t="e">
        <f ca="1">mif(C1293="","",OR(B1293=リスト!$C$5,B1293=リスト!$C$6),SUM(INDEX(G:G,MATCH(I1293-1,I:I,0)+1,1):INDEX(G:G,MATCH(I1293,I:I,0)-1,1)),D1293-C1293)</f>
        <v>#NAME?</v>
      </c>
      <c r="H1293" s="140" t="e">
        <f ca="1">mif(C1293="","",B1293=リスト!$C$5,SUMIF(INDEX(B:B,MATCH(I1293-1,I:I,0)+1,1):INDEX(B:B,MATCH(I1293,I:I,0)-1,1),リスト!$C$7,INDEX(G:G,MATCH(I1293-1,I:I,0)+1,1):INDEX(G:G,MATCH(I1293,I:I,0)-1,1)),"")</f>
        <v>#NAME?</v>
      </c>
      <c r="I1293" s="200" t="str">
        <f>IF(OR(B1293=リスト!$C$5,B1293=リスト!$C$6),COUNTIF($B$9:B1293,リスト!$C$5)+COUNTIF($B$9:B1293,リスト!$C$6),"")</f>
        <v/>
      </c>
    </row>
    <row r="1294" spans="2:9" x14ac:dyDescent="0.2">
      <c r="B1294" s="196"/>
      <c r="C1294" s="197">
        <v>45583.686342592591</v>
      </c>
      <c r="D1294" s="197">
        <v>45583.686620370368</v>
      </c>
      <c r="E1294" s="198" t="s">
        <v>244</v>
      </c>
      <c r="F1294" s="199"/>
      <c r="G1294" s="140" t="e">
        <f ca="1">mif(C1294="","",OR(B1294=リスト!$C$5,B1294=リスト!$C$6),SUM(INDEX(G:G,MATCH(I1294-1,I:I,0)+1,1):INDEX(G:G,MATCH(I1294,I:I,0)-1,1)),D1294-C1294)</f>
        <v>#NAME?</v>
      </c>
      <c r="H1294" s="140" t="e">
        <f ca="1">mif(C1294="","",B1294=リスト!$C$5,SUMIF(INDEX(B:B,MATCH(I1294-1,I:I,0)+1,1):INDEX(B:B,MATCH(I1294,I:I,0)-1,1),リスト!$C$7,INDEX(G:G,MATCH(I1294-1,I:I,0)+1,1):INDEX(G:G,MATCH(I1294,I:I,0)-1,1)),"")</f>
        <v>#NAME?</v>
      </c>
      <c r="I1294" s="200" t="str">
        <f>IF(OR(B1294=リスト!$C$5,B1294=リスト!$C$6),COUNTIF($B$9:B1294,リスト!$C$5)+COUNTIF($B$9:B1294,リスト!$C$6),"")</f>
        <v/>
      </c>
    </row>
    <row r="1295" spans="2:9" x14ac:dyDescent="0.2">
      <c r="B1295" s="196"/>
      <c r="C1295" s="197">
        <v>45583.743842592594</v>
      </c>
      <c r="D1295" s="197">
        <v>45583.744305555556</v>
      </c>
      <c r="E1295" s="198" t="s">
        <v>244</v>
      </c>
      <c r="F1295" s="199"/>
      <c r="G1295" s="140" t="e">
        <f ca="1">mif(C1295="","",OR(B1295=リスト!$C$5,B1295=リスト!$C$6),SUM(INDEX(G:G,MATCH(I1295-1,I:I,0)+1,1):INDEX(G:G,MATCH(I1295,I:I,0)-1,1)),D1295-C1295)</f>
        <v>#NAME?</v>
      </c>
      <c r="H1295" s="140" t="e">
        <f ca="1">mif(C1295="","",B1295=リスト!$C$5,SUMIF(INDEX(B:B,MATCH(I1295-1,I:I,0)+1,1):INDEX(B:B,MATCH(I1295,I:I,0)-1,1),リスト!$C$7,INDEX(G:G,MATCH(I1295-1,I:I,0)+1,1):INDEX(G:G,MATCH(I1295,I:I,0)-1,1)),"")</f>
        <v>#NAME?</v>
      </c>
      <c r="I1295" s="200" t="str">
        <f>IF(OR(B1295=リスト!$C$5,B1295=リスト!$C$6),COUNTIF($B$9:B1295,リスト!$C$5)+COUNTIF($B$9:B1295,リスト!$C$6),"")</f>
        <v/>
      </c>
    </row>
    <row r="1296" spans="2:9" x14ac:dyDescent="0.2">
      <c r="B1296" s="196"/>
      <c r="C1296" s="197">
        <v>45583.757210648146</v>
      </c>
      <c r="D1296" s="197">
        <v>45583.757465277777</v>
      </c>
      <c r="E1296" s="198" t="s">
        <v>244</v>
      </c>
      <c r="F1296" s="199"/>
      <c r="G1296" s="140" t="e">
        <f ca="1">mif(C1296="","",OR(B1296=リスト!$C$5,B1296=リスト!$C$6),SUM(INDEX(G:G,MATCH(I1296-1,I:I,0)+1,1):INDEX(G:G,MATCH(I1296,I:I,0)-1,1)),D1296-C1296)</f>
        <v>#NAME?</v>
      </c>
      <c r="H1296" s="140" t="e">
        <f ca="1">mif(C1296="","",B1296=リスト!$C$5,SUMIF(INDEX(B:B,MATCH(I1296-1,I:I,0)+1,1):INDEX(B:B,MATCH(I1296,I:I,0)-1,1),リスト!$C$7,INDEX(G:G,MATCH(I1296-1,I:I,0)+1,1):INDEX(G:G,MATCH(I1296,I:I,0)-1,1)),"")</f>
        <v>#NAME?</v>
      </c>
      <c r="I1296" s="200" t="str">
        <f>IF(OR(B1296=リスト!$C$5,B1296=リスト!$C$6),COUNTIF($B$9:B1296,リスト!$C$5)+COUNTIF($B$9:B1296,リスト!$C$6),"")</f>
        <v/>
      </c>
    </row>
    <row r="1297" spans="2:9" x14ac:dyDescent="0.2">
      <c r="B1297" s="196"/>
      <c r="C1297" s="197">
        <v>45583.764525462961</v>
      </c>
      <c r="D1297" s="197">
        <v>45583.764803240738</v>
      </c>
      <c r="E1297" s="198" t="s">
        <v>244</v>
      </c>
      <c r="F1297" s="199"/>
      <c r="G1297" s="140" t="e">
        <f ca="1">mif(C1297="","",OR(B1297=リスト!$C$5,B1297=リスト!$C$6),SUM(INDEX(G:G,MATCH(I1297-1,I:I,0)+1,1):INDEX(G:G,MATCH(I1297,I:I,0)-1,1)),D1297-C1297)</f>
        <v>#NAME?</v>
      </c>
      <c r="H1297" s="140" t="e">
        <f ca="1">mif(C1297="","",B1297=リスト!$C$5,SUMIF(INDEX(B:B,MATCH(I1297-1,I:I,0)+1,1):INDEX(B:B,MATCH(I1297,I:I,0)-1,1),リスト!$C$7,INDEX(G:G,MATCH(I1297-1,I:I,0)+1,1):INDEX(G:G,MATCH(I1297,I:I,0)-1,1)),"")</f>
        <v>#NAME?</v>
      </c>
      <c r="I1297" s="200" t="str">
        <f>IF(OR(B1297=リスト!$C$5,B1297=リスト!$C$6),COUNTIF($B$9:B1297,リスト!$C$5)+COUNTIF($B$9:B1297,リスト!$C$6),"")</f>
        <v/>
      </c>
    </row>
    <row r="1298" spans="2:9" x14ac:dyDescent="0.2">
      <c r="B1298" s="196"/>
      <c r="C1298" s="197">
        <v>45583.781388888892</v>
      </c>
      <c r="D1298" s="197">
        <v>45583.781689814816</v>
      </c>
      <c r="E1298" s="198" t="s">
        <v>244</v>
      </c>
      <c r="F1298" s="199"/>
      <c r="G1298" s="140" t="e">
        <f ca="1">mif(C1298="","",OR(B1298=リスト!$C$5,B1298=リスト!$C$6),SUM(INDEX(G:G,MATCH(I1298-1,I:I,0)+1,1):INDEX(G:G,MATCH(I1298,I:I,0)-1,1)),D1298-C1298)</f>
        <v>#NAME?</v>
      </c>
      <c r="H1298" s="140" t="e">
        <f ca="1">mif(C1298="","",B1298=リスト!$C$5,SUMIF(INDEX(B:B,MATCH(I1298-1,I:I,0)+1,1):INDEX(B:B,MATCH(I1298,I:I,0)-1,1),リスト!$C$7,INDEX(G:G,MATCH(I1298-1,I:I,0)+1,1):INDEX(G:G,MATCH(I1298,I:I,0)-1,1)),"")</f>
        <v>#NAME?</v>
      </c>
      <c r="I1298" s="200" t="str">
        <f>IF(OR(B1298=リスト!$C$5,B1298=リスト!$C$6),COUNTIF($B$9:B1298,リスト!$C$5)+COUNTIF($B$9:B1298,リスト!$C$6),"")</f>
        <v/>
      </c>
    </row>
    <row r="1299" spans="2:9" x14ac:dyDescent="0.2">
      <c r="B1299" s="196" t="s">
        <v>247</v>
      </c>
      <c r="C1299" s="197">
        <v>45583.416666666664</v>
      </c>
      <c r="D1299" s="197">
        <v>45583.916666666664</v>
      </c>
      <c r="E1299" s="198">
        <v>12</v>
      </c>
      <c r="F1299" s="199"/>
      <c r="G1299" s="140" t="e">
        <f ca="1">mif(C1299="","",OR(B1299=リスト!$C$5,B1299=リスト!$C$6),SUM(INDEX(G:G,MATCH(I1299-1,I:I,0)+1,1):INDEX(G:G,MATCH(I1299,I:I,0)-1,1)),D1299-C1299)</f>
        <v>#NAME?</v>
      </c>
      <c r="H1299" s="140" t="e">
        <f ca="1">mif(C1299="","",B1299=リスト!$C$5,SUMIF(INDEX(B:B,MATCH(I1299-1,I:I,0)+1,1):INDEX(B:B,MATCH(I1299,I:I,0)-1,1),リスト!$C$7,INDEX(G:G,MATCH(I1299-1,I:I,0)+1,1):INDEX(G:G,MATCH(I1299,I:I,0)-1,1)),"")</f>
        <v>#NAME?</v>
      </c>
      <c r="I1299" s="200">
        <f>IF(OR(B1299=リスト!$C$5,B1299=リスト!$C$6),COUNTIF($B$9:B1299,リスト!$C$5)+COUNTIF($B$9:B1299,リスト!$C$6),"")</f>
        <v>87</v>
      </c>
    </row>
    <row r="1300" spans="2:9" x14ac:dyDescent="0.2">
      <c r="B1300" s="196"/>
      <c r="C1300" s="197">
        <v>45587.675451388888</v>
      </c>
      <c r="D1300" s="197">
        <v>45587.675752314812</v>
      </c>
      <c r="E1300" s="198" t="s">
        <v>244</v>
      </c>
      <c r="F1300" s="199"/>
      <c r="G1300" s="140" t="e">
        <f ca="1">mif(C1300="","",OR(B1300=リスト!$C$5,B1300=リスト!$C$6),SUM(INDEX(G:G,MATCH(I1300-1,I:I,0)+1,1):INDEX(G:G,MATCH(I1300,I:I,0)-1,1)),D1300-C1300)</f>
        <v>#NAME?</v>
      </c>
      <c r="H1300" s="140" t="e">
        <f ca="1">mif(C1300="","",B1300=リスト!$C$5,SUMIF(INDEX(B:B,MATCH(I1300-1,I:I,0)+1,1):INDEX(B:B,MATCH(I1300,I:I,0)-1,1),リスト!$C$7,INDEX(G:G,MATCH(I1300-1,I:I,0)+1,1):INDEX(G:G,MATCH(I1300,I:I,0)-1,1)),"")</f>
        <v>#NAME?</v>
      </c>
      <c r="I1300" s="200" t="str">
        <f>IF(OR(B1300=リスト!$C$5,B1300=リスト!$C$6),COUNTIF($B$9:B1300,リスト!$C$5)+COUNTIF($B$9:B1300,リスト!$C$6),"")</f>
        <v/>
      </c>
    </row>
    <row r="1301" spans="2:9" x14ac:dyDescent="0.2">
      <c r="B1301" s="196"/>
      <c r="C1301" s="197">
        <v>45587.756782407407</v>
      </c>
      <c r="D1301" s="197">
        <v>45587.757060185184</v>
      </c>
      <c r="E1301" s="198" t="s">
        <v>244</v>
      </c>
      <c r="F1301" s="199"/>
      <c r="G1301" s="140" t="e">
        <f ca="1">mif(C1301="","",OR(B1301=リスト!$C$5,B1301=リスト!$C$6),SUM(INDEX(G:G,MATCH(I1301-1,I:I,0)+1,1):INDEX(G:G,MATCH(I1301,I:I,0)-1,1)),D1301-C1301)</f>
        <v>#NAME?</v>
      </c>
      <c r="H1301" s="140" t="e">
        <f ca="1">mif(C1301="","",B1301=リスト!$C$5,SUMIF(INDEX(B:B,MATCH(I1301-1,I:I,0)+1,1):INDEX(B:B,MATCH(I1301,I:I,0)-1,1),リスト!$C$7,INDEX(G:G,MATCH(I1301-1,I:I,0)+1,1):INDEX(G:G,MATCH(I1301,I:I,0)-1,1)),"")</f>
        <v>#NAME?</v>
      </c>
      <c r="I1301" s="200" t="str">
        <f>IF(OR(B1301=リスト!$C$5,B1301=リスト!$C$6),COUNTIF($B$9:B1301,リスト!$C$5)+COUNTIF($B$9:B1301,リスト!$C$6),"")</f>
        <v/>
      </c>
    </row>
    <row r="1302" spans="2:9" x14ac:dyDescent="0.2">
      <c r="B1302" s="196"/>
      <c r="C1302" s="197">
        <v>45587.769363425927</v>
      </c>
      <c r="D1302" s="197">
        <v>45587.769641203704</v>
      </c>
      <c r="E1302" s="198" t="s">
        <v>244</v>
      </c>
      <c r="F1302" s="199"/>
      <c r="G1302" s="140" t="e">
        <f ca="1">mif(C1302="","",OR(B1302=リスト!$C$5,B1302=リスト!$C$6),SUM(INDEX(G:G,MATCH(I1302-1,I:I,0)+1,1):INDEX(G:G,MATCH(I1302,I:I,0)-1,1)),D1302-C1302)</f>
        <v>#NAME?</v>
      </c>
      <c r="H1302" s="140" t="e">
        <f ca="1">mif(C1302="","",B1302=リスト!$C$5,SUMIF(INDEX(B:B,MATCH(I1302-1,I:I,0)+1,1):INDEX(B:B,MATCH(I1302,I:I,0)-1,1),リスト!$C$7,INDEX(G:G,MATCH(I1302-1,I:I,0)+1,1):INDEX(G:G,MATCH(I1302,I:I,0)-1,1)),"")</f>
        <v>#NAME?</v>
      </c>
      <c r="I1302" s="200" t="str">
        <f>IF(OR(B1302=リスト!$C$5,B1302=リスト!$C$6),COUNTIF($B$9:B1302,リスト!$C$5)+COUNTIF($B$9:B1302,リスト!$C$6),"")</f>
        <v/>
      </c>
    </row>
    <row r="1303" spans="2:9" x14ac:dyDescent="0.2">
      <c r="B1303" s="196"/>
      <c r="C1303" s="197">
        <v>45587.80127314815</v>
      </c>
      <c r="D1303" s="197">
        <v>45587.801574074074</v>
      </c>
      <c r="E1303" s="198" t="s">
        <v>244</v>
      </c>
      <c r="F1303" s="199"/>
      <c r="G1303" s="140" t="e">
        <f ca="1">mif(C1303="","",OR(B1303=リスト!$C$5,B1303=リスト!$C$6),SUM(INDEX(G:G,MATCH(I1303-1,I:I,0)+1,1):INDEX(G:G,MATCH(I1303,I:I,0)-1,1)),D1303-C1303)</f>
        <v>#NAME?</v>
      </c>
      <c r="H1303" s="140" t="e">
        <f ca="1">mif(C1303="","",B1303=リスト!$C$5,SUMIF(INDEX(B:B,MATCH(I1303-1,I:I,0)+1,1):INDEX(B:B,MATCH(I1303,I:I,0)-1,1),リスト!$C$7,INDEX(G:G,MATCH(I1303-1,I:I,0)+1,1):INDEX(G:G,MATCH(I1303,I:I,0)-1,1)),"")</f>
        <v>#NAME?</v>
      </c>
      <c r="I1303" s="200" t="str">
        <f>IF(OR(B1303=リスト!$C$5,B1303=リスト!$C$6),COUNTIF($B$9:B1303,リスト!$C$5)+COUNTIF($B$9:B1303,リスト!$C$6),"")</f>
        <v/>
      </c>
    </row>
    <row r="1304" spans="2:9" x14ac:dyDescent="0.2">
      <c r="B1304" s="196"/>
      <c r="C1304" s="197">
        <v>45587.803657407407</v>
      </c>
      <c r="D1304" s="197">
        <v>45587.803981481484</v>
      </c>
      <c r="E1304" s="198" t="s">
        <v>244</v>
      </c>
      <c r="F1304" s="199"/>
      <c r="G1304" s="140" t="e">
        <f ca="1">mif(C1304="","",OR(B1304=リスト!$C$5,B1304=リスト!$C$6),SUM(INDEX(G:G,MATCH(I1304-1,I:I,0)+1,1):INDEX(G:G,MATCH(I1304,I:I,0)-1,1)),D1304-C1304)</f>
        <v>#NAME?</v>
      </c>
      <c r="H1304" s="140" t="e">
        <f ca="1">mif(C1304="","",B1304=リスト!$C$5,SUMIF(INDEX(B:B,MATCH(I1304-1,I:I,0)+1,1):INDEX(B:B,MATCH(I1304,I:I,0)-1,1),リスト!$C$7,INDEX(G:G,MATCH(I1304-1,I:I,0)+1,1):INDEX(G:G,MATCH(I1304,I:I,0)-1,1)),"")</f>
        <v>#NAME?</v>
      </c>
      <c r="I1304" s="200" t="str">
        <f>IF(OR(B1304=リスト!$C$5,B1304=リスト!$C$6),COUNTIF($B$9:B1304,リスト!$C$5)+COUNTIF($B$9:B1304,リスト!$C$6),"")</f>
        <v/>
      </c>
    </row>
    <row r="1305" spans="2:9" x14ac:dyDescent="0.2">
      <c r="B1305" s="196"/>
      <c r="C1305" s="197">
        <v>45587.810069444444</v>
      </c>
      <c r="D1305" s="197">
        <v>45587.810370370367</v>
      </c>
      <c r="E1305" s="198" t="s">
        <v>244</v>
      </c>
      <c r="F1305" s="199"/>
      <c r="G1305" s="140" t="e">
        <f ca="1">mif(C1305="","",OR(B1305=リスト!$C$5,B1305=リスト!$C$6),SUM(INDEX(G:G,MATCH(I1305-1,I:I,0)+1,1):INDEX(G:G,MATCH(I1305,I:I,0)-1,1)),D1305-C1305)</f>
        <v>#NAME?</v>
      </c>
      <c r="H1305" s="140" t="e">
        <f ca="1">mif(C1305="","",B1305=リスト!$C$5,SUMIF(INDEX(B:B,MATCH(I1305-1,I:I,0)+1,1):INDEX(B:B,MATCH(I1305,I:I,0)-1,1),リスト!$C$7,INDEX(G:G,MATCH(I1305-1,I:I,0)+1,1):INDEX(G:G,MATCH(I1305,I:I,0)-1,1)),"")</f>
        <v>#NAME?</v>
      </c>
      <c r="I1305" s="200" t="str">
        <f>IF(OR(B1305=リスト!$C$5,B1305=リスト!$C$6),COUNTIF($B$9:B1305,リスト!$C$5)+COUNTIF($B$9:B1305,リスト!$C$6),"")</f>
        <v/>
      </c>
    </row>
    <row r="1306" spans="2:9" x14ac:dyDescent="0.2">
      <c r="B1306" s="196"/>
      <c r="C1306" s="197">
        <v>45587.811111111114</v>
      </c>
      <c r="D1306" s="197">
        <v>45587.81145833333</v>
      </c>
      <c r="E1306" s="198" t="s">
        <v>244</v>
      </c>
      <c r="F1306" s="199"/>
      <c r="G1306" s="140" t="e">
        <f ca="1">mif(C1306="","",OR(B1306=リスト!$C$5,B1306=リスト!$C$6),SUM(INDEX(G:G,MATCH(I1306-1,I:I,0)+1,1):INDEX(G:G,MATCH(I1306,I:I,0)-1,1)),D1306-C1306)</f>
        <v>#NAME?</v>
      </c>
      <c r="H1306" s="140" t="e">
        <f ca="1">mif(C1306="","",B1306=リスト!$C$5,SUMIF(INDEX(B:B,MATCH(I1306-1,I:I,0)+1,1):INDEX(B:B,MATCH(I1306,I:I,0)-1,1),リスト!$C$7,INDEX(G:G,MATCH(I1306-1,I:I,0)+1,1):INDEX(G:G,MATCH(I1306,I:I,0)-1,1)),"")</f>
        <v>#NAME?</v>
      </c>
      <c r="I1306" s="200" t="str">
        <f>IF(OR(B1306=リスト!$C$5,B1306=リスト!$C$6),COUNTIF($B$9:B1306,リスト!$C$5)+COUNTIF($B$9:B1306,リスト!$C$6),"")</f>
        <v/>
      </c>
    </row>
    <row r="1307" spans="2:9" x14ac:dyDescent="0.2">
      <c r="B1307" s="196"/>
      <c r="C1307" s="197">
        <v>45587.888923611114</v>
      </c>
      <c r="D1307" s="197">
        <v>45587.899155092593</v>
      </c>
      <c r="E1307" s="198" t="s">
        <v>244</v>
      </c>
      <c r="F1307" s="199"/>
      <c r="G1307" s="140" t="e">
        <f ca="1">mif(C1307="","",OR(B1307=リスト!$C$5,B1307=リスト!$C$6),SUM(INDEX(G:G,MATCH(I1307-1,I:I,0)+1,1):INDEX(G:G,MATCH(I1307,I:I,0)-1,1)),D1307-C1307)</f>
        <v>#NAME?</v>
      </c>
      <c r="H1307" s="140" t="e">
        <f ca="1">mif(C1307="","",B1307=リスト!$C$5,SUMIF(INDEX(B:B,MATCH(I1307-1,I:I,0)+1,1):INDEX(B:B,MATCH(I1307,I:I,0)-1,1),リスト!$C$7,INDEX(G:G,MATCH(I1307-1,I:I,0)+1,1):INDEX(G:G,MATCH(I1307,I:I,0)-1,1)),"")</f>
        <v>#NAME?</v>
      </c>
      <c r="I1307" s="200" t="str">
        <f>IF(OR(B1307=リスト!$C$5,B1307=リスト!$C$6),COUNTIF($B$9:B1307,リスト!$C$5)+COUNTIF($B$9:B1307,リスト!$C$6),"")</f>
        <v/>
      </c>
    </row>
    <row r="1308" spans="2:9" x14ac:dyDescent="0.2">
      <c r="B1308" s="196"/>
      <c r="C1308" s="197">
        <v>45587.905833333331</v>
      </c>
      <c r="D1308" s="197">
        <v>45587.90625</v>
      </c>
      <c r="E1308" s="198" t="s">
        <v>244</v>
      </c>
      <c r="F1308" s="199"/>
      <c r="G1308" s="140" t="e">
        <f ca="1">mif(C1308="","",OR(B1308=リスト!$C$5,B1308=リスト!$C$6),SUM(INDEX(G:G,MATCH(I1308-1,I:I,0)+1,1):INDEX(G:G,MATCH(I1308,I:I,0)-1,1)),D1308-C1308)</f>
        <v>#NAME?</v>
      </c>
      <c r="H1308" s="140" t="e">
        <f ca="1">mif(C1308="","",B1308=リスト!$C$5,SUMIF(INDEX(B:B,MATCH(I1308-1,I:I,0)+1,1):INDEX(B:B,MATCH(I1308,I:I,0)-1,1),リスト!$C$7,INDEX(G:G,MATCH(I1308-1,I:I,0)+1,1):INDEX(G:G,MATCH(I1308,I:I,0)-1,1)),"")</f>
        <v>#NAME?</v>
      </c>
      <c r="I1308" s="200" t="str">
        <f>IF(OR(B1308=リスト!$C$5,B1308=リスト!$C$6),COUNTIF($B$9:B1308,リスト!$C$5)+COUNTIF($B$9:B1308,リスト!$C$6),"")</f>
        <v/>
      </c>
    </row>
    <row r="1309" spans="2:9" x14ac:dyDescent="0.2">
      <c r="B1309" s="196" t="s">
        <v>247</v>
      </c>
      <c r="C1309" s="197">
        <v>45587.666666666664</v>
      </c>
      <c r="D1309" s="197">
        <v>45587.916666666664</v>
      </c>
      <c r="E1309" s="198">
        <v>9</v>
      </c>
      <c r="F1309" s="199"/>
      <c r="G1309" s="140" t="e">
        <f ca="1">mif(C1309="","",OR(B1309=リスト!$C$5,B1309=リスト!$C$6),SUM(INDEX(G:G,MATCH(I1309-1,I:I,0)+1,1):INDEX(G:G,MATCH(I1309,I:I,0)-1,1)),D1309-C1309)</f>
        <v>#NAME?</v>
      </c>
      <c r="H1309" s="140" t="e">
        <f ca="1">mif(C1309="","",B1309=リスト!$C$5,SUMIF(INDEX(B:B,MATCH(I1309-1,I:I,0)+1,1):INDEX(B:B,MATCH(I1309,I:I,0)-1,1),リスト!$C$7,INDEX(G:G,MATCH(I1309-1,I:I,0)+1,1):INDEX(G:G,MATCH(I1309,I:I,0)-1,1)),"")</f>
        <v>#NAME?</v>
      </c>
      <c r="I1309" s="200">
        <f>IF(OR(B1309=リスト!$C$5,B1309=リスト!$C$6),COUNTIF($B$9:B1309,リスト!$C$5)+COUNTIF($B$9:B1309,リスト!$C$6),"")</f>
        <v>88</v>
      </c>
    </row>
    <row r="1310" spans="2:9" x14ac:dyDescent="0.2">
      <c r="B1310" s="196"/>
      <c r="C1310" s="197">
        <v>45588.446539351855</v>
      </c>
      <c r="D1310" s="197">
        <v>45588.447233796294</v>
      </c>
      <c r="E1310" s="198" t="s">
        <v>244</v>
      </c>
      <c r="F1310" s="199"/>
      <c r="G1310" s="140" t="e">
        <f ca="1">mif(C1310="","",OR(B1310=リスト!$C$5,B1310=リスト!$C$6),SUM(INDEX(G:G,MATCH(I1310-1,I:I,0)+1,1):INDEX(G:G,MATCH(I1310,I:I,0)-1,1)),D1310-C1310)</f>
        <v>#NAME?</v>
      </c>
      <c r="H1310" s="140" t="e">
        <f ca="1">mif(C1310="","",B1310=リスト!$C$5,SUMIF(INDEX(B:B,MATCH(I1310-1,I:I,0)+1,1):INDEX(B:B,MATCH(I1310,I:I,0)-1,1),リスト!$C$7,INDEX(G:G,MATCH(I1310-1,I:I,0)+1,1):INDEX(G:G,MATCH(I1310,I:I,0)-1,1)),"")</f>
        <v>#NAME?</v>
      </c>
      <c r="I1310" s="200" t="str">
        <f>IF(OR(B1310=リスト!$C$5,B1310=リスト!$C$6),COUNTIF($B$9:B1310,リスト!$C$5)+COUNTIF($B$9:B1310,リスト!$C$6),"")</f>
        <v/>
      </c>
    </row>
    <row r="1311" spans="2:9" x14ac:dyDescent="0.2">
      <c r="B1311" s="196"/>
      <c r="C1311" s="197">
        <v>45588.44734953704</v>
      </c>
      <c r="D1311" s="197">
        <v>45588.447858796295</v>
      </c>
      <c r="E1311" s="198" t="s">
        <v>244</v>
      </c>
      <c r="F1311" s="199"/>
      <c r="G1311" s="140" t="e">
        <f ca="1">mif(C1311="","",OR(B1311=リスト!$C$5,B1311=リスト!$C$6),SUM(INDEX(G:G,MATCH(I1311-1,I:I,0)+1,1):INDEX(G:G,MATCH(I1311,I:I,0)-1,1)),D1311-C1311)</f>
        <v>#NAME?</v>
      </c>
      <c r="H1311" s="140" t="e">
        <f ca="1">mif(C1311="","",B1311=リスト!$C$5,SUMIF(INDEX(B:B,MATCH(I1311-1,I:I,0)+1,1):INDEX(B:B,MATCH(I1311,I:I,0)-1,1),リスト!$C$7,INDEX(G:G,MATCH(I1311-1,I:I,0)+1,1):INDEX(G:G,MATCH(I1311,I:I,0)-1,1)),"")</f>
        <v>#NAME?</v>
      </c>
      <c r="I1311" s="200" t="str">
        <f>IF(OR(B1311=リスト!$C$5,B1311=リスト!$C$6),COUNTIF($B$9:B1311,リスト!$C$5)+COUNTIF($B$9:B1311,リスト!$C$6),"")</f>
        <v/>
      </c>
    </row>
    <row r="1312" spans="2:9" x14ac:dyDescent="0.2">
      <c r="B1312" s="196"/>
      <c r="C1312" s="197">
        <v>45588.469097222223</v>
      </c>
      <c r="D1312" s="197">
        <v>45588.469375000001</v>
      </c>
      <c r="E1312" s="198" t="s">
        <v>244</v>
      </c>
      <c r="F1312" s="199"/>
      <c r="G1312" s="140" t="e">
        <f ca="1">mif(C1312="","",OR(B1312=リスト!$C$5,B1312=リスト!$C$6),SUM(INDEX(G:G,MATCH(I1312-1,I:I,0)+1,1):INDEX(G:G,MATCH(I1312,I:I,0)-1,1)),D1312-C1312)</f>
        <v>#NAME?</v>
      </c>
      <c r="H1312" s="140" t="e">
        <f ca="1">mif(C1312="","",B1312=リスト!$C$5,SUMIF(INDEX(B:B,MATCH(I1312-1,I:I,0)+1,1):INDEX(B:B,MATCH(I1312,I:I,0)-1,1),リスト!$C$7,INDEX(G:G,MATCH(I1312-1,I:I,0)+1,1):INDEX(G:G,MATCH(I1312,I:I,0)-1,1)),"")</f>
        <v>#NAME?</v>
      </c>
      <c r="I1312" s="200" t="str">
        <f>IF(OR(B1312=リスト!$C$5,B1312=リスト!$C$6),COUNTIF($B$9:B1312,リスト!$C$5)+COUNTIF($B$9:B1312,リスト!$C$6),"")</f>
        <v/>
      </c>
    </row>
    <row r="1313" spans="2:9" x14ac:dyDescent="0.2">
      <c r="B1313" s="196"/>
      <c r="C1313" s="197">
        <v>45588.504421296297</v>
      </c>
      <c r="D1313" s="197">
        <v>45588.504745370374</v>
      </c>
      <c r="E1313" s="198" t="s">
        <v>244</v>
      </c>
      <c r="F1313" s="199"/>
      <c r="G1313" s="140" t="e">
        <f ca="1">mif(C1313="","",OR(B1313=リスト!$C$5,B1313=リスト!$C$6),SUM(INDEX(G:G,MATCH(I1313-1,I:I,0)+1,1):INDEX(G:G,MATCH(I1313,I:I,0)-1,1)),D1313-C1313)</f>
        <v>#NAME?</v>
      </c>
      <c r="H1313" s="140" t="e">
        <f ca="1">mif(C1313="","",B1313=リスト!$C$5,SUMIF(INDEX(B:B,MATCH(I1313-1,I:I,0)+1,1):INDEX(B:B,MATCH(I1313,I:I,0)-1,1),リスト!$C$7,INDEX(G:G,MATCH(I1313-1,I:I,0)+1,1):INDEX(G:G,MATCH(I1313,I:I,0)-1,1)),"")</f>
        <v>#NAME?</v>
      </c>
      <c r="I1313" s="200" t="str">
        <f>IF(OR(B1313=リスト!$C$5,B1313=リスト!$C$6),COUNTIF($B$9:B1313,リスト!$C$5)+COUNTIF($B$9:B1313,リスト!$C$6),"")</f>
        <v/>
      </c>
    </row>
    <row r="1314" spans="2:9" x14ac:dyDescent="0.2">
      <c r="B1314" s="196"/>
      <c r="C1314" s="197">
        <v>45588.573935185188</v>
      </c>
      <c r="D1314" s="197">
        <v>45588.574189814812</v>
      </c>
      <c r="E1314" s="198" t="s">
        <v>244</v>
      </c>
      <c r="F1314" s="199"/>
      <c r="G1314" s="140" t="e">
        <f ca="1">mif(C1314="","",OR(B1314=リスト!$C$5,B1314=リスト!$C$6),SUM(INDEX(G:G,MATCH(I1314-1,I:I,0)+1,1):INDEX(G:G,MATCH(I1314,I:I,0)-1,1)),D1314-C1314)</f>
        <v>#NAME?</v>
      </c>
      <c r="H1314" s="140" t="e">
        <f ca="1">mif(C1314="","",B1314=リスト!$C$5,SUMIF(INDEX(B:B,MATCH(I1314-1,I:I,0)+1,1):INDEX(B:B,MATCH(I1314,I:I,0)-1,1),リスト!$C$7,INDEX(G:G,MATCH(I1314-1,I:I,0)+1,1):INDEX(G:G,MATCH(I1314,I:I,0)-1,1)),"")</f>
        <v>#NAME?</v>
      </c>
      <c r="I1314" s="200" t="str">
        <f>IF(OR(B1314=リスト!$C$5,B1314=リスト!$C$6),COUNTIF($B$9:B1314,リスト!$C$5)+COUNTIF($B$9:B1314,リスト!$C$6),"")</f>
        <v/>
      </c>
    </row>
    <row r="1315" spans="2:9" x14ac:dyDescent="0.2">
      <c r="B1315" s="196"/>
      <c r="C1315" s="197">
        <v>45588.59065972222</v>
      </c>
      <c r="D1315" s="197">
        <v>45588.590937499997</v>
      </c>
      <c r="E1315" s="198" t="s">
        <v>244</v>
      </c>
      <c r="F1315" s="199"/>
      <c r="G1315" s="140" t="e">
        <f ca="1">mif(C1315="","",OR(B1315=リスト!$C$5,B1315=リスト!$C$6),SUM(INDEX(G:G,MATCH(I1315-1,I:I,0)+1,1):INDEX(G:G,MATCH(I1315,I:I,0)-1,1)),D1315-C1315)</f>
        <v>#NAME?</v>
      </c>
      <c r="H1315" s="140" t="e">
        <f ca="1">mif(C1315="","",B1315=リスト!$C$5,SUMIF(INDEX(B:B,MATCH(I1315-1,I:I,0)+1,1):INDEX(B:B,MATCH(I1315,I:I,0)-1,1),リスト!$C$7,INDEX(G:G,MATCH(I1315-1,I:I,0)+1,1):INDEX(G:G,MATCH(I1315,I:I,0)-1,1)),"")</f>
        <v>#NAME?</v>
      </c>
      <c r="I1315" s="200" t="str">
        <f>IF(OR(B1315=リスト!$C$5,B1315=リスト!$C$6),COUNTIF($B$9:B1315,リスト!$C$5)+COUNTIF($B$9:B1315,リスト!$C$6),"")</f>
        <v/>
      </c>
    </row>
    <row r="1316" spans="2:9" x14ac:dyDescent="0.2">
      <c r="B1316" s="196"/>
      <c r="C1316" s="197">
        <v>45588.650706018518</v>
      </c>
      <c r="D1316" s="197">
        <v>45588.651006944441</v>
      </c>
      <c r="E1316" s="198" t="s">
        <v>244</v>
      </c>
      <c r="F1316" s="199"/>
      <c r="G1316" s="140" t="e">
        <f ca="1">mif(C1316="","",OR(B1316=リスト!$C$5,B1316=リスト!$C$6),SUM(INDEX(G:G,MATCH(I1316-1,I:I,0)+1,1):INDEX(G:G,MATCH(I1316,I:I,0)-1,1)),D1316-C1316)</f>
        <v>#NAME?</v>
      </c>
      <c r="H1316" s="140" t="e">
        <f ca="1">mif(C1316="","",B1316=リスト!$C$5,SUMIF(INDEX(B:B,MATCH(I1316-1,I:I,0)+1,1):INDEX(B:B,MATCH(I1316,I:I,0)-1,1),リスト!$C$7,INDEX(G:G,MATCH(I1316-1,I:I,0)+1,1):INDEX(G:G,MATCH(I1316,I:I,0)-1,1)),"")</f>
        <v>#NAME?</v>
      </c>
      <c r="I1316" s="200" t="str">
        <f>IF(OR(B1316=リスト!$C$5,B1316=リスト!$C$6),COUNTIF($B$9:B1316,リスト!$C$5)+COUNTIF($B$9:B1316,リスト!$C$6),"")</f>
        <v/>
      </c>
    </row>
    <row r="1317" spans="2:9" x14ac:dyDescent="0.2">
      <c r="B1317" s="196"/>
      <c r="C1317" s="197">
        <v>45588.663657407407</v>
      </c>
      <c r="D1317" s="197">
        <v>45588.664606481485</v>
      </c>
      <c r="E1317" s="198" t="s">
        <v>244</v>
      </c>
      <c r="F1317" s="199"/>
      <c r="G1317" s="140" t="e">
        <f ca="1">mif(C1317="","",OR(B1317=リスト!$C$5,B1317=リスト!$C$6),SUM(INDEX(G:G,MATCH(I1317-1,I:I,0)+1,1):INDEX(G:G,MATCH(I1317,I:I,0)-1,1)),D1317-C1317)</f>
        <v>#NAME?</v>
      </c>
      <c r="H1317" s="140" t="e">
        <f ca="1">mif(C1317="","",B1317=リスト!$C$5,SUMIF(INDEX(B:B,MATCH(I1317-1,I:I,0)+1,1):INDEX(B:B,MATCH(I1317,I:I,0)-1,1),リスト!$C$7,INDEX(G:G,MATCH(I1317-1,I:I,0)+1,1):INDEX(G:G,MATCH(I1317,I:I,0)-1,1)),"")</f>
        <v>#NAME?</v>
      </c>
      <c r="I1317" s="200" t="str">
        <f>IF(OR(B1317=リスト!$C$5,B1317=リスト!$C$6),COUNTIF($B$9:B1317,リスト!$C$5)+COUNTIF($B$9:B1317,リスト!$C$6),"")</f>
        <v/>
      </c>
    </row>
    <row r="1318" spans="2:9" x14ac:dyDescent="0.2">
      <c r="B1318" s="196" t="s">
        <v>247</v>
      </c>
      <c r="C1318" s="197">
        <v>45588.416666666664</v>
      </c>
      <c r="D1318" s="197">
        <v>45588.666666666664</v>
      </c>
      <c r="E1318" s="198">
        <v>8</v>
      </c>
      <c r="F1318" s="199"/>
      <c r="G1318" s="140" t="e">
        <f ca="1">mif(C1318="","",OR(B1318=リスト!$C$5,B1318=リスト!$C$6),SUM(INDEX(G:G,MATCH(I1318-1,I:I,0)+1,1):INDEX(G:G,MATCH(I1318,I:I,0)-1,1)),D1318-C1318)</f>
        <v>#NAME?</v>
      </c>
      <c r="H1318" s="140" t="e">
        <f ca="1">mif(C1318="","",B1318=リスト!$C$5,SUMIF(INDEX(B:B,MATCH(I1318-1,I:I,0)+1,1):INDEX(B:B,MATCH(I1318,I:I,0)-1,1),リスト!$C$7,INDEX(G:G,MATCH(I1318-1,I:I,0)+1,1):INDEX(G:G,MATCH(I1318,I:I,0)-1,1)),"")</f>
        <v>#NAME?</v>
      </c>
      <c r="I1318" s="200">
        <f>IF(OR(B1318=リスト!$C$5,B1318=リスト!$C$6),COUNTIF($B$9:B1318,リスト!$C$5)+COUNTIF($B$9:B1318,リスト!$C$6),"")</f>
        <v>89</v>
      </c>
    </row>
    <row r="1319" spans="2:9" x14ac:dyDescent="0.2">
      <c r="B1319" s="196"/>
      <c r="C1319" s="197">
        <v>45589.440104166664</v>
      </c>
      <c r="D1319" s="197">
        <v>45589.440381944441</v>
      </c>
      <c r="E1319" s="198" t="s">
        <v>244</v>
      </c>
      <c r="F1319" s="199"/>
      <c r="G1319" s="140" t="e">
        <f ca="1">mif(C1319="","",OR(B1319=リスト!$C$5,B1319=リスト!$C$6),SUM(INDEX(G:G,MATCH(I1319-1,I:I,0)+1,1):INDEX(G:G,MATCH(I1319,I:I,0)-1,1)),D1319-C1319)</f>
        <v>#NAME?</v>
      </c>
      <c r="H1319" s="140" t="e">
        <f ca="1">mif(C1319="","",B1319=リスト!$C$5,SUMIF(INDEX(B:B,MATCH(I1319-1,I:I,0)+1,1):INDEX(B:B,MATCH(I1319,I:I,0)-1,1),リスト!$C$7,INDEX(G:G,MATCH(I1319-1,I:I,0)+1,1):INDEX(G:G,MATCH(I1319,I:I,0)-1,1)),"")</f>
        <v>#NAME?</v>
      </c>
      <c r="I1319" s="200" t="str">
        <f>IF(OR(B1319=リスト!$C$5,B1319=リスト!$C$6),COUNTIF($B$9:B1319,リスト!$C$5)+COUNTIF($B$9:B1319,リスト!$C$6),"")</f>
        <v/>
      </c>
    </row>
    <row r="1320" spans="2:9" x14ac:dyDescent="0.2">
      <c r="B1320" s="196"/>
      <c r="C1320" s="197">
        <v>45589.509988425925</v>
      </c>
      <c r="D1320" s="197">
        <v>45589.511053240742</v>
      </c>
      <c r="E1320" s="198" t="s">
        <v>244</v>
      </c>
      <c r="F1320" s="199"/>
      <c r="G1320" s="140" t="e">
        <f ca="1">mif(C1320="","",OR(B1320=リスト!$C$5,B1320=リスト!$C$6),SUM(INDEX(G:G,MATCH(I1320-1,I:I,0)+1,1):INDEX(G:G,MATCH(I1320,I:I,0)-1,1)),D1320-C1320)</f>
        <v>#NAME?</v>
      </c>
      <c r="H1320" s="140" t="e">
        <f ca="1">mif(C1320="","",B1320=リスト!$C$5,SUMIF(INDEX(B:B,MATCH(I1320-1,I:I,0)+1,1):INDEX(B:B,MATCH(I1320,I:I,0)-1,1),リスト!$C$7,INDEX(G:G,MATCH(I1320-1,I:I,0)+1,1):INDEX(G:G,MATCH(I1320,I:I,0)-1,1)),"")</f>
        <v>#NAME?</v>
      </c>
      <c r="I1320" s="200" t="str">
        <f>IF(OR(B1320=リスト!$C$5,B1320=リスト!$C$6),COUNTIF($B$9:B1320,リスト!$C$5)+COUNTIF($B$9:B1320,リスト!$C$6),"")</f>
        <v/>
      </c>
    </row>
    <row r="1321" spans="2:9" x14ac:dyDescent="0.2">
      <c r="B1321" s="196"/>
      <c r="C1321" s="197">
        <v>45589.537615740737</v>
      </c>
      <c r="D1321" s="197">
        <v>45589.538078703707</v>
      </c>
      <c r="E1321" s="198" t="s">
        <v>244</v>
      </c>
      <c r="F1321" s="199"/>
      <c r="G1321" s="140" t="e">
        <f ca="1">mif(C1321="","",OR(B1321=リスト!$C$5,B1321=リスト!$C$6),SUM(INDEX(G:G,MATCH(I1321-1,I:I,0)+1,1):INDEX(G:G,MATCH(I1321,I:I,0)-1,1)),D1321-C1321)</f>
        <v>#NAME?</v>
      </c>
      <c r="H1321" s="140" t="e">
        <f ca="1">mif(C1321="","",B1321=リスト!$C$5,SUMIF(INDEX(B:B,MATCH(I1321-1,I:I,0)+1,1):INDEX(B:B,MATCH(I1321,I:I,0)-1,1),リスト!$C$7,INDEX(G:G,MATCH(I1321-1,I:I,0)+1,1):INDEX(G:G,MATCH(I1321,I:I,0)-1,1)),"")</f>
        <v>#NAME?</v>
      </c>
      <c r="I1321" s="200" t="str">
        <f>IF(OR(B1321=リスト!$C$5,B1321=リスト!$C$6),COUNTIF($B$9:B1321,リスト!$C$5)+COUNTIF($B$9:B1321,リスト!$C$6),"")</f>
        <v/>
      </c>
    </row>
    <row r="1322" spans="2:9" x14ac:dyDescent="0.2">
      <c r="B1322" s="196"/>
      <c r="C1322" s="197">
        <v>45589.552465277775</v>
      </c>
      <c r="D1322" s="197">
        <v>45589.552719907406</v>
      </c>
      <c r="E1322" s="198" t="s">
        <v>244</v>
      </c>
      <c r="F1322" s="199"/>
      <c r="G1322" s="140" t="e">
        <f ca="1">mif(C1322="","",OR(B1322=リスト!$C$5,B1322=リスト!$C$6),SUM(INDEX(G:G,MATCH(I1322-1,I:I,0)+1,1):INDEX(G:G,MATCH(I1322,I:I,0)-1,1)),D1322-C1322)</f>
        <v>#NAME?</v>
      </c>
      <c r="H1322" s="140" t="e">
        <f ca="1">mif(C1322="","",B1322=リスト!$C$5,SUMIF(INDEX(B:B,MATCH(I1322-1,I:I,0)+1,1):INDEX(B:B,MATCH(I1322,I:I,0)-1,1),リスト!$C$7,INDEX(G:G,MATCH(I1322-1,I:I,0)+1,1):INDEX(G:G,MATCH(I1322,I:I,0)-1,1)),"")</f>
        <v>#NAME?</v>
      </c>
      <c r="I1322" s="200" t="str">
        <f>IF(OR(B1322=リスト!$C$5,B1322=リスト!$C$6),COUNTIF($B$9:B1322,リスト!$C$5)+COUNTIF($B$9:B1322,リスト!$C$6),"")</f>
        <v/>
      </c>
    </row>
    <row r="1323" spans="2:9" x14ac:dyDescent="0.2">
      <c r="B1323" s="196"/>
      <c r="C1323" s="197">
        <v>45589.571388888886</v>
      </c>
      <c r="D1323" s="197">
        <v>45589.571643518517</v>
      </c>
      <c r="E1323" s="198" t="s">
        <v>244</v>
      </c>
      <c r="F1323" s="199"/>
      <c r="G1323" s="140" t="e">
        <f ca="1">mif(C1323="","",OR(B1323=リスト!$C$5,B1323=リスト!$C$6),SUM(INDEX(G:G,MATCH(I1323-1,I:I,0)+1,1):INDEX(G:G,MATCH(I1323,I:I,0)-1,1)),D1323-C1323)</f>
        <v>#NAME?</v>
      </c>
      <c r="H1323" s="140" t="e">
        <f ca="1">mif(C1323="","",B1323=リスト!$C$5,SUMIF(INDEX(B:B,MATCH(I1323-1,I:I,0)+1,1):INDEX(B:B,MATCH(I1323,I:I,0)-1,1),リスト!$C$7,INDEX(G:G,MATCH(I1323-1,I:I,0)+1,1):INDEX(G:G,MATCH(I1323,I:I,0)-1,1)),"")</f>
        <v>#NAME?</v>
      </c>
      <c r="I1323" s="200" t="str">
        <f>IF(OR(B1323=リスト!$C$5,B1323=リスト!$C$6),COUNTIF($B$9:B1323,リスト!$C$5)+COUNTIF($B$9:B1323,リスト!$C$6),"")</f>
        <v/>
      </c>
    </row>
    <row r="1324" spans="2:9" x14ac:dyDescent="0.2">
      <c r="B1324" s="196"/>
      <c r="C1324" s="197">
        <v>45589.643090277779</v>
      </c>
      <c r="D1324" s="197">
        <v>45589.644178240742</v>
      </c>
      <c r="E1324" s="198" t="s">
        <v>244</v>
      </c>
      <c r="F1324" s="199"/>
      <c r="G1324" s="140" t="e">
        <f ca="1">mif(C1324="","",OR(B1324=リスト!$C$5,B1324=リスト!$C$6),SUM(INDEX(G:G,MATCH(I1324-1,I:I,0)+1,1):INDEX(G:G,MATCH(I1324,I:I,0)-1,1)),D1324-C1324)</f>
        <v>#NAME?</v>
      </c>
      <c r="H1324" s="140" t="e">
        <f ca="1">mif(C1324="","",B1324=リスト!$C$5,SUMIF(INDEX(B:B,MATCH(I1324-1,I:I,0)+1,1):INDEX(B:B,MATCH(I1324,I:I,0)-1,1),リスト!$C$7,INDEX(G:G,MATCH(I1324-1,I:I,0)+1,1):INDEX(G:G,MATCH(I1324,I:I,0)-1,1)),"")</f>
        <v>#NAME?</v>
      </c>
      <c r="I1324" s="200" t="str">
        <f>IF(OR(B1324=リスト!$C$5,B1324=リスト!$C$6),COUNTIF($B$9:B1324,リスト!$C$5)+COUNTIF($B$9:B1324,リスト!$C$6),"")</f>
        <v/>
      </c>
    </row>
    <row r="1325" spans="2:9" x14ac:dyDescent="0.2">
      <c r="B1325" s="196"/>
      <c r="C1325" s="197">
        <v>45589.659479166665</v>
      </c>
      <c r="D1325" s="197">
        <v>45589.660405092596</v>
      </c>
      <c r="E1325" s="198" t="s">
        <v>244</v>
      </c>
      <c r="F1325" s="199"/>
      <c r="G1325" s="140" t="e">
        <f ca="1">mif(C1325="","",OR(B1325=リスト!$C$5,B1325=リスト!$C$6),SUM(INDEX(G:G,MATCH(I1325-1,I:I,0)+1,1):INDEX(G:G,MATCH(I1325,I:I,0)-1,1)),D1325-C1325)</f>
        <v>#NAME?</v>
      </c>
      <c r="H1325" s="140" t="e">
        <f ca="1">mif(C1325="","",B1325=リスト!$C$5,SUMIF(INDEX(B:B,MATCH(I1325-1,I:I,0)+1,1):INDEX(B:B,MATCH(I1325,I:I,0)-1,1),リスト!$C$7,INDEX(G:G,MATCH(I1325-1,I:I,0)+1,1):INDEX(G:G,MATCH(I1325,I:I,0)-1,1)),"")</f>
        <v>#NAME?</v>
      </c>
      <c r="I1325" s="200" t="str">
        <f>IF(OR(B1325=リスト!$C$5,B1325=リスト!$C$6),COUNTIF($B$9:B1325,リスト!$C$5)+COUNTIF($B$9:B1325,リスト!$C$6),"")</f>
        <v/>
      </c>
    </row>
    <row r="1326" spans="2:9" x14ac:dyDescent="0.2">
      <c r="B1326" s="196" t="s">
        <v>247</v>
      </c>
      <c r="C1326" s="197">
        <v>45589.416666666664</v>
      </c>
      <c r="D1326" s="197">
        <v>45589.666666666664</v>
      </c>
      <c r="E1326" s="198">
        <v>7</v>
      </c>
      <c r="F1326" s="199"/>
      <c r="G1326" s="140" t="e">
        <f ca="1">mif(C1326="","",OR(B1326=リスト!$C$5,B1326=リスト!$C$6),SUM(INDEX(G:G,MATCH(I1326-1,I:I,0)+1,1):INDEX(G:G,MATCH(I1326,I:I,0)-1,1)),D1326-C1326)</f>
        <v>#NAME?</v>
      </c>
      <c r="H1326" s="140" t="e">
        <f ca="1">mif(C1326="","",B1326=リスト!$C$5,SUMIF(INDEX(B:B,MATCH(I1326-1,I:I,0)+1,1):INDEX(B:B,MATCH(I1326,I:I,0)-1,1),リスト!$C$7,INDEX(G:G,MATCH(I1326-1,I:I,0)+1,1):INDEX(G:G,MATCH(I1326,I:I,0)-1,1)),"")</f>
        <v>#NAME?</v>
      </c>
      <c r="I1326" s="200">
        <f>IF(OR(B1326=リスト!$C$5,B1326=リスト!$C$6),COUNTIF($B$9:B1326,リスト!$C$5)+COUNTIF($B$9:B1326,リスト!$C$6),"")</f>
        <v>90</v>
      </c>
    </row>
    <row r="1327" spans="2:9" x14ac:dyDescent="0.2">
      <c r="B1327" s="196"/>
      <c r="C1327" s="197">
        <v>45590.924687500003</v>
      </c>
      <c r="D1327" s="197">
        <v>45590.924942129626</v>
      </c>
      <c r="E1327" s="198" t="s">
        <v>244</v>
      </c>
      <c r="F1327" s="199"/>
      <c r="G1327" s="140" t="e">
        <f ca="1">mif(C1327="","",OR(B1327=リスト!$C$5,B1327=リスト!$C$6),SUM(INDEX(G:G,MATCH(I1327-1,I:I,0)+1,1):INDEX(G:G,MATCH(I1327,I:I,0)-1,1)),D1327-C1327)</f>
        <v>#NAME?</v>
      </c>
      <c r="H1327" s="140" t="e">
        <f ca="1">mif(C1327="","",B1327=リスト!$C$5,SUMIF(INDEX(B:B,MATCH(I1327-1,I:I,0)+1,1):INDEX(B:B,MATCH(I1327,I:I,0)-1,1),リスト!$C$7,INDEX(G:G,MATCH(I1327-1,I:I,0)+1,1):INDEX(G:G,MATCH(I1327,I:I,0)-1,1)),"")</f>
        <v>#NAME?</v>
      </c>
      <c r="I1327" s="200" t="str">
        <f>IF(OR(B1327=リスト!$C$5,B1327=リスト!$C$6),COUNTIF($B$9:B1327,リスト!$C$5)+COUNTIF($B$9:B1327,リスト!$C$6),"")</f>
        <v/>
      </c>
    </row>
    <row r="1328" spans="2:9" x14ac:dyDescent="0.2">
      <c r="B1328" s="196"/>
      <c r="C1328" s="197">
        <v>45590.960393518515</v>
      </c>
      <c r="D1328" s="197">
        <v>45590.960902777777</v>
      </c>
      <c r="E1328" s="198" t="s">
        <v>244</v>
      </c>
      <c r="F1328" s="199"/>
      <c r="G1328" s="140" t="e">
        <f ca="1">mif(C1328="","",OR(B1328=リスト!$C$5,B1328=リスト!$C$6),SUM(INDEX(G:G,MATCH(I1328-1,I:I,0)+1,1):INDEX(G:G,MATCH(I1328,I:I,0)-1,1)),D1328-C1328)</f>
        <v>#NAME?</v>
      </c>
      <c r="H1328" s="140" t="e">
        <f ca="1">mif(C1328="","",B1328=リスト!$C$5,SUMIF(INDEX(B:B,MATCH(I1328-1,I:I,0)+1,1):INDEX(B:B,MATCH(I1328,I:I,0)-1,1),リスト!$C$7,INDEX(G:G,MATCH(I1328-1,I:I,0)+1,1):INDEX(G:G,MATCH(I1328,I:I,0)-1,1)),"")</f>
        <v>#NAME?</v>
      </c>
      <c r="I1328" s="200" t="str">
        <f>IF(OR(B1328=リスト!$C$5,B1328=リスト!$C$6),COUNTIF($B$9:B1328,リスト!$C$5)+COUNTIF($B$9:B1328,リスト!$C$6),"")</f>
        <v/>
      </c>
    </row>
    <row r="1329" spans="2:9" x14ac:dyDescent="0.2">
      <c r="B1329" s="196"/>
      <c r="C1329" s="197">
        <v>45590.973090277781</v>
      </c>
      <c r="D1329" s="197">
        <v>45590.973923611113</v>
      </c>
      <c r="E1329" s="198" t="s">
        <v>244</v>
      </c>
      <c r="F1329" s="199"/>
      <c r="G1329" s="140" t="e">
        <f ca="1">mif(C1329="","",OR(B1329=リスト!$C$5,B1329=リスト!$C$6),SUM(INDEX(G:G,MATCH(I1329-1,I:I,0)+1,1):INDEX(G:G,MATCH(I1329,I:I,0)-1,1)),D1329-C1329)</f>
        <v>#NAME?</v>
      </c>
      <c r="H1329" s="140" t="e">
        <f ca="1">mif(C1329="","",B1329=リスト!$C$5,SUMIF(INDEX(B:B,MATCH(I1329-1,I:I,0)+1,1):INDEX(B:B,MATCH(I1329,I:I,0)-1,1),リスト!$C$7,INDEX(G:G,MATCH(I1329-1,I:I,0)+1,1):INDEX(G:G,MATCH(I1329,I:I,0)-1,1)),"")</f>
        <v>#NAME?</v>
      </c>
      <c r="I1329" s="200" t="str">
        <f>IF(OR(B1329=リスト!$C$5,B1329=リスト!$C$6),COUNTIF($B$9:B1329,リスト!$C$5)+COUNTIF($B$9:B1329,リスト!$C$6),"")</f>
        <v/>
      </c>
    </row>
    <row r="1330" spans="2:9" x14ac:dyDescent="0.2">
      <c r="B1330" s="196"/>
      <c r="C1330" s="197">
        <v>45590.990787037037</v>
      </c>
      <c r="D1330" s="197">
        <v>45590.991226851853</v>
      </c>
      <c r="E1330" s="198" t="s">
        <v>244</v>
      </c>
      <c r="F1330" s="199"/>
      <c r="G1330" s="140" t="e">
        <f ca="1">mif(C1330="","",OR(B1330=リスト!$C$5,B1330=リスト!$C$6),SUM(INDEX(G:G,MATCH(I1330-1,I:I,0)+1,1):INDEX(G:G,MATCH(I1330,I:I,0)-1,1)),D1330-C1330)</f>
        <v>#NAME?</v>
      </c>
      <c r="H1330" s="140" t="e">
        <f ca="1">mif(C1330="","",B1330=リスト!$C$5,SUMIF(INDEX(B:B,MATCH(I1330-1,I:I,0)+1,1):INDEX(B:B,MATCH(I1330,I:I,0)-1,1),リスト!$C$7,INDEX(G:G,MATCH(I1330-1,I:I,0)+1,1):INDEX(G:G,MATCH(I1330,I:I,0)-1,1)),"")</f>
        <v>#NAME?</v>
      </c>
      <c r="I1330" s="200" t="str">
        <f>IF(OR(B1330=リスト!$C$5,B1330=リスト!$C$6),COUNTIF($B$9:B1330,リスト!$C$5)+COUNTIF($B$9:B1330,リスト!$C$6),"")</f>
        <v/>
      </c>
    </row>
    <row r="1331" spans="2:9" x14ac:dyDescent="0.2">
      <c r="B1331" s="196"/>
      <c r="C1331" s="197">
        <v>45591.000601851854</v>
      </c>
      <c r="D1331" s="197">
        <v>45591.000856481478</v>
      </c>
      <c r="E1331" s="198" t="s">
        <v>244</v>
      </c>
      <c r="F1331" s="199"/>
      <c r="G1331" s="140" t="e">
        <f ca="1">mif(C1331="","",OR(B1331=リスト!$C$5,B1331=リスト!$C$6),SUM(INDEX(G:G,MATCH(I1331-1,I:I,0)+1,1):INDEX(G:G,MATCH(I1331,I:I,0)-1,1)),D1331-C1331)</f>
        <v>#NAME?</v>
      </c>
      <c r="H1331" s="140" t="e">
        <f ca="1">mif(C1331="","",B1331=リスト!$C$5,SUMIF(INDEX(B:B,MATCH(I1331-1,I:I,0)+1,1):INDEX(B:B,MATCH(I1331,I:I,0)-1,1),リスト!$C$7,INDEX(G:G,MATCH(I1331-1,I:I,0)+1,1):INDEX(G:G,MATCH(I1331,I:I,0)-1,1)),"")</f>
        <v>#NAME?</v>
      </c>
      <c r="I1331" s="200" t="str">
        <f>IF(OR(B1331=リスト!$C$5,B1331=リスト!$C$6),COUNTIF($B$9:B1331,リスト!$C$5)+COUNTIF($B$9:B1331,リスト!$C$6),"")</f>
        <v/>
      </c>
    </row>
    <row r="1332" spans="2:9" x14ac:dyDescent="0.2">
      <c r="B1332" s="196"/>
      <c r="C1332" s="197">
        <v>45591.040370370371</v>
      </c>
      <c r="D1332" s="197">
        <v>45591.040671296294</v>
      </c>
      <c r="E1332" s="198" t="s">
        <v>244</v>
      </c>
      <c r="F1332" s="199"/>
      <c r="G1332" s="140" t="e">
        <f ca="1">mif(C1332="","",OR(B1332=リスト!$C$5,B1332=リスト!$C$6),SUM(INDEX(G:G,MATCH(I1332-1,I:I,0)+1,1):INDEX(G:G,MATCH(I1332,I:I,0)-1,1)),D1332-C1332)</f>
        <v>#NAME?</v>
      </c>
      <c r="H1332" s="140" t="e">
        <f ca="1">mif(C1332="","",B1332=リスト!$C$5,SUMIF(INDEX(B:B,MATCH(I1332-1,I:I,0)+1,1):INDEX(B:B,MATCH(I1332,I:I,0)-1,1),リスト!$C$7,INDEX(G:G,MATCH(I1332-1,I:I,0)+1,1):INDEX(G:G,MATCH(I1332,I:I,0)-1,1)),"")</f>
        <v>#NAME?</v>
      </c>
      <c r="I1332" s="200" t="str">
        <f>IF(OR(B1332=リスト!$C$5,B1332=リスト!$C$6),COUNTIF($B$9:B1332,リスト!$C$5)+COUNTIF($B$9:B1332,リスト!$C$6),"")</f>
        <v/>
      </c>
    </row>
    <row r="1333" spans="2:9" x14ac:dyDescent="0.2">
      <c r="B1333" s="196"/>
      <c r="C1333" s="197">
        <v>45591.064236111109</v>
      </c>
      <c r="D1333" s="197">
        <v>45591.06453703704</v>
      </c>
      <c r="E1333" s="198" t="s">
        <v>244</v>
      </c>
      <c r="F1333" s="199"/>
      <c r="G1333" s="140" t="e">
        <f ca="1">mif(C1333="","",OR(B1333=リスト!$C$5,B1333=リスト!$C$6),SUM(INDEX(G:G,MATCH(I1333-1,I:I,0)+1,1):INDEX(G:G,MATCH(I1333,I:I,0)-1,1)),D1333-C1333)</f>
        <v>#NAME?</v>
      </c>
      <c r="H1333" s="140" t="e">
        <f ca="1">mif(C1333="","",B1333=リスト!$C$5,SUMIF(INDEX(B:B,MATCH(I1333-1,I:I,0)+1,1):INDEX(B:B,MATCH(I1333,I:I,0)-1,1),リスト!$C$7,INDEX(G:G,MATCH(I1333-1,I:I,0)+1,1):INDEX(G:G,MATCH(I1333,I:I,0)-1,1)),"")</f>
        <v>#NAME?</v>
      </c>
      <c r="I1333" s="200" t="str">
        <f>IF(OR(B1333=リスト!$C$5,B1333=リスト!$C$6),COUNTIF($B$9:B1333,リスト!$C$5)+COUNTIF($B$9:B1333,リスト!$C$6),"")</f>
        <v/>
      </c>
    </row>
    <row r="1334" spans="2:9" x14ac:dyDescent="0.2">
      <c r="B1334" s="196"/>
      <c r="C1334" s="197">
        <v>45591.070057870369</v>
      </c>
      <c r="D1334" s="197">
        <v>45591.070335648146</v>
      </c>
      <c r="E1334" s="198" t="s">
        <v>244</v>
      </c>
      <c r="F1334" s="199"/>
      <c r="G1334" s="140" t="e">
        <f ca="1">mif(C1334="","",OR(B1334=リスト!$C$5,B1334=リスト!$C$6),SUM(INDEX(G:G,MATCH(I1334-1,I:I,0)+1,1):INDEX(G:G,MATCH(I1334,I:I,0)-1,1)),D1334-C1334)</f>
        <v>#NAME?</v>
      </c>
      <c r="H1334" s="140" t="e">
        <f ca="1">mif(C1334="","",B1334=リスト!$C$5,SUMIF(INDEX(B:B,MATCH(I1334-1,I:I,0)+1,1):INDEX(B:B,MATCH(I1334,I:I,0)-1,1),リスト!$C$7,INDEX(G:G,MATCH(I1334-1,I:I,0)+1,1):INDEX(G:G,MATCH(I1334,I:I,0)-1,1)),"")</f>
        <v>#NAME?</v>
      </c>
      <c r="I1334" s="200" t="str">
        <f>IF(OR(B1334=リスト!$C$5,B1334=リスト!$C$6),COUNTIF($B$9:B1334,リスト!$C$5)+COUNTIF($B$9:B1334,リスト!$C$6),"")</f>
        <v/>
      </c>
    </row>
    <row r="1335" spans="2:9" x14ac:dyDescent="0.2">
      <c r="B1335" s="196"/>
      <c r="C1335" s="197">
        <v>45591.100648148145</v>
      </c>
      <c r="D1335" s="197">
        <v>45591.10087962963</v>
      </c>
      <c r="E1335" s="198" t="s">
        <v>244</v>
      </c>
      <c r="F1335" s="199"/>
      <c r="G1335" s="140" t="e">
        <f ca="1">mif(C1335="","",OR(B1335=リスト!$C$5,B1335=リスト!$C$6),SUM(INDEX(G:G,MATCH(I1335-1,I:I,0)+1,1):INDEX(G:G,MATCH(I1335,I:I,0)-1,1)),D1335-C1335)</f>
        <v>#NAME?</v>
      </c>
      <c r="H1335" s="140" t="e">
        <f ca="1">mif(C1335="","",B1335=リスト!$C$5,SUMIF(INDEX(B:B,MATCH(I1335-1,I:I,0)+1,1):INDEX(B:B,MATCH(I1335,I:I,0)-1,1),リスト!$C$7,INDEX(G:G,MATCH(I1335-1,I:I,0)+1,1):INDEX(G:G,MATCH(I1335,I:I,0)-1,1)),"")</f>
        <v>#NAME?</v>
      </c>
      <c r="I1335" s="200" t="str">
        <f>IF(OR(B1335=リスト!$C$5,B1335=リスト!$C$6),COUNTIF($B$9:B1335,リスト!$C$5)+COUNTIF($B$9:B1335,リスト!$C$6),"")</f>
        <v/>
      </c>
    </row>
    <row r="1336" spans="2:9" x14ac:dyDescent="0.2">
      <c r="B1336" s="196"/>
      <c r="C1336" s="197">
        <v>45591.121400462966</v>
      </c>
      <c r="D1336" s="197">
        <v>45591.121724537035</v>
      </c>
      <c r="E1336" s="198" t="s">
        <v>244</v>
      </c>
      <c r="F1336" s="199"/>
      <c r="G1336" s="140" t="e">
        <f ca="1">mif(C1336="","",OR(B1336=リスト!$C$5,B1336=リスト!$C$6),SUM(INDEX(G:G,MATCH(I1336-1,I:I,0)+1,1):INDEX(G:G,MATCH(I1336,I:I,0)-1,1)),D1336-C1336)</f>
        <v>#NAME?</v>
      </c>
      <c r="H1336" s="140" t="e">
        <f ca="1">mif(C1336="","",B1336=リスト!$C$5,SUMIF(INDEX(B:B,MATCH(I1336-1,I:I,0)+1,1):INDEX(B:B,MATCH(I1336,I:I,0)-1,1),リスト!$C$7,INDEX(G:G,MATCH(I1336-1,I:I,0)+1,1):INDEX(G:G,MATCH(I1336,I:I,0)-1,1)),"")</f>
        <v>#NAME?</v>
      </c>
      <c r="I1336" s="200" t="str">
        <f>IF(OR(B1336=リスト!$C$5,B1336=リスト!$C$6),COUNTIF($B$9:B1336,リスト!$C$5)+COUNTIF($B$9:B1336,リスト!$C$6),"")</f>
        <v/>
      </c>
    </row>
    <row r="1337" spans="2:9" x14ac:dyDescent="0.2">
      <c r="B1337" s="196"/>
      <c r="C1337" s="197">
        <v>45591.207268518519</v>
      </c>
      <c r="D1337" s="197">
        <v>45591.207615740743</v>
      </c>
      <c r="E1337" s="198" t="s">
        <v>244</v>
      </c>
      <c r="F1337" s="199"/>
      <c r="G1337" s="140" t="e">
        <f ca="1">mif(C1337="","",OR(B1337=リスト!$C$5,B1337=リスト!$C$6),SUM(INDEX(G:G,MATCH(I1337-1,I:I,0)+1,1):INDEX(G:G,MATCH(I1337,I:I,0)-1,1)),D1337-C1337)</f>
        <v>#NAME?</v>
      </c>
      <c r="H1337" s="140" t="e">
        <f ca="1">mif(C1337="","",B1337=リスト!$C$5,SUMIF(INDEX(B:B,MATCH(I1337-1,I:I,0)+1,1):INDEX(B:B,MATCH(I1337,I:I,0)-1,1),リスト!$C$7,INDEX(G:G,MATCH(I1337-1,I:I,0)+1,1):INDEX(G:G,MATCH(I1337,I:I,0)-1,1)),"")</f>
        <v>#NAME?</v>
      </c>
      <c r="I1337" s="200" t="str">
        <f>IF(OR(B1337=リスト!$C$5,B1337=リスト!$C$6),COUNTIF($B$9:B1337,リスト!$C$5)+COUNTIF($B$9:B1337,リスト!$C$6),"")</f>
        <v/>
      </c>
    </row>
    <row r="1338" spans="2:9" x14ac:dyDescent="0.2">
      <c r="B1338" s="196"/>
      <c r="C1338" s="197">
        <v>45591.211689814816</v>
      </c>
      <c r="D1338" s="197">
        <v>45591.212013888886</v>
      </c>
      <c r="E1338" s="198" t="s">
        <v>244</v>
      </c>
      <c r="F1338" s="199"/>
      <c r="G1338" s="140" t="e">
        <f ca="1">mif(C1338="","",OR(B1338=リスト!$C$5,B1338=リスト!$C$6),SUM(INDEX(G:G,MATCH(I1338-1,I:I,0)+1,1):INDEX(G:G,MATCH(I1338,I:I,0)-1,1)),D1338-C1338)</f>
        <v>#NAME?</v>
      </c>
      <c r="H1338" s="140" t="e">
        <f ca="1">mif(C1338="","",B1338=リスト!$C$5,SUMIF(INDEX(B:B,MATCH(I1338-1,I:I,0)+1,1):INDEX(B:B,MATCH(I1338,I:I,0)-1,1),リスト!$C$7,INDEX(G:G,MATCH(I1338-1,I:I,0)+1,1):INDEX(G:G,MATCH(I1338,I:I,0)-1,1)),"")</f>
        <v>#NAME?</v>
      </c>
      <c r="I1338" s="200" t="str">
        <f>IF(OR(B1338=リスト!$C$5,B1338=リスト!$C$6),COUNTIF($B$9:B1338,リスト!$C$5)+COUNTIF($B$9:B1338,リスト!$C$6),"")</f>
        <v/>
      </c>
    </row>
    <row r="1339" spans="2:9" x14ac:dyDescent="0.2">
      <c r="B1339" s="196"/>
      <c r="C1339" s="197">
        <v>45591.228159722225</v>
      </c>
      <c r="D1339" s="197">
        <v>45591.228483796294</v>
      </c>
      <c r="E1339" s="198" t="s">
        <v>244</v>
      </c>
      <c r="F1339" s="199"/>
      <c r="G1339" s="140" t="e">
        <f ca="1">mif(C1339="","",OR(B1339=リスト!$C$5,B1339=リスト!$C$6),SUM(INDEX(G:G,MATCH(I1339-1,I:I,0)+1,1):INDEX(G:G,MATCH(I1339,I:I,0)-1,1)),D1339-C1339)</f>
        <v>#NAME?</v>
      </c>
      <c r="H1339" s="140" t="e">
        <f ca="1">mif(C1339="","",B1339=リスト!$C$5,SUMIF(INDEX(B:B,MATCH(I1339-1,I:I,0)+1,1):INDEX(B:B,MATCH(I1339,I:I,0)-1,1),リスト!$C$7,INDEX(G:G,MATCH(I1339-1,I:I,0)+1,1):INDEX(G:G,MATCH(I1339,I:I,0)-1,1)),"")</f>
        <v>#NAME?</v>
      </c>
      <c r="I1339" s="200" t="str">
        <f>IF(OR(B1339=リスト!$C$5,B1339=リスト!$C$6),COUNTIF($B$9:B1339,リスト!$C$5)+COUNTIF($B$9:B1339,リスト!$C$6),"")</f>
        <v/>
      </c>
    </row>
    <row r="1340" spans="2:9" x14ac:dyDescent="0.2">
      <c r="B1340" s="196"/>
      <c r="C1340" s="197">
        <v>45591.28670138889</v>
      </c>
      <c r="D1340" s="197">
        <v>45591.287002314813</v>
      </c>
      <c r="E1340" s="198" t="s">
        <v>244</v>
      </c>
      <c r="F1340" s="199"/>
      <c r="G1340" s="140" t="e">
        <f ca="1">mif(C1340="","",OR(B1340=リスト!$C$5,B1340=リスト!$C$6),SUM(INDEX(G:G,MATCH(I1340-1,I:I,0)+1,1):INDEX(G:G,MATCH(I1340,I:I,0)-1,1)),D1340-C1340)</f>
        <v>#NAME?</v>
      </c>
      <c r="H1340" s="140" t="e">
        <f ca="1">mif(C1340="","",B1340=リスト!$C$5,SUMIF(INDEX(B:B,MATCH(I1340-1,I:I,0)+1,1):INDEX(B:B,MATCH(I1340,I:I,0)-1,1),リスト!$C$7,INDEX(G:G,MATCH(I1340-1,I:I,0)+1,1):INDEX(G:G,MATCH(I1340,I:I,0)-1,1)),"")</f>
        <v>#NAME?</v>
      </c>
      <c r="I1340" s="200" t="str">
        <f>IF(OR(B1340=リスト!$C$5,B1340=リスト!$C$6),COUNTIF($B$9:B1340,リスト!$C$5)+COUNTIF($B$9:B1340,リスト!$C$6),"")</f>
        <v/>
      </c>
    </row>
    <row r="1341" spans="2:9" x14ac:dyDescent="0.2">
      <c r="B1341" s="196"/>
      <c r="C1341" s="197">
        <v>45591.312199074076</v>
      </c>
      <c r="D1341" s="197">
        <v>45591.328703703701</v>
      </c>
      <c r="E1341" s="198" t="s">
        <v>244</v>
      </c>
      <c r="F1341" s="199"/>
      <c r="G1341" s="140" t="e">
        <f ca="1">mif(C1341="","",OR(B1341=リスト!$C$5,B1341=リスト!$C$6),SUM(INDEX(G:G,MATCH(I1341-1,I:I,0)+1,1):INDEX(G:G,MATCH(I1341,I:I,0)-1,1)),D1341-C1341)</f>
        <v>#NAME?</v>
      </c>
      <c r="H1341" s="140" t="e">
        <f ca="1">mif(C1341="","",B1341=リスト!$C$5,SUMIF(INDEX(B:B,MATCH(I1341-1,I:I,0)+1,1):INDEX(B:B,MATCH(I1341,I:I,0)-1,1),リスト!$C$7,INDEX(G:G,MATCH(I1341-1,I:I,0)+1,1):INDEX(G:G,MATCH(I1341,I:I,0)-1,1)),"")</f>
        <v>#NAME?</v>
      </c>
      <c r="I1341" s="200" t="str">
        <f>IF(OR(B1341=リスト!$C$5,B1341=リスト!$C$6),COUNTIF($B$9:B1341,リスト!$C$5)+COUNTIF($B$9:B1341,リスト!$C$6),"")</f>
        <v/>
      </c>
    </row>
    <row r="1342" spans="2:9" x14ac:dyDescent="0.2">
      <c r="B1342" s="196"/>
      <c r="C1342" s="197">
        <v>45591.335497685184</v>
      </c>
      <c r="D1342" s="197">
        <v>45591.335775462961</v>
      </c>
      <c r="E1342" s="198" t="s">
        <v>244</v>
      </c>
      <c r="F1342" s="199"/>
      <c r="G1342" s="140" t="e">
        <f ca="1">mif(C1342="","",OR(B1342=リスト!$C$5,B1342=リスト!$C$6),SUM(INDEX(G:G,MATCH(I1342-1,I:I,0)+1,1):INDEX(G:G,MATCH(I1342,I:I,0)-1,1)),D1342-C1342)</f>
        <v>#NAME?</v>
      </c>
      <c r="H1342" s="140" t="e">
        <f ca="1">mif(C1342="","",B1342=リスト!$C$5,SUMIF(INDEX(B:B,MATCH(I1342-1,I:I,0)+1,1):INDEX(B:B,MATCH(I1342,I:I,0)-1,1),リスト!$C$7,INDEX(G:G,MATCH(I1342-1,I:I,0)+1,1):INDEX(G:G,MATCH(I1342,I:I,0)-1,1)),"")</f>
        <v>#NAME?</v>
      </c>
      <c r="I1342" s="200" t="str">
        <f>IF(OR(B1342=リスト!$C$5,B1342=リスト!$C$6),COUNTIF($B$9:B1342,リスト!$C$5)+COUNTIF($B$9:B1342,リスト!$C$6),"")</f>
        <v/>
      </c>
    </row>
    <row r="1343" spans="2:9" x14ac:dyDescent="0.2">
      <c r="B1343" s="196"/>
      <c r="C1343" s="197">
        <v>45591.342673611114</v>
      </c>
      <c r="D1343" s="197">
        <v>45591.342928240738</v>
      </c>
      <c r="E1343" s="198" t="s">
        <v>244</v>
      </c>
      <c r="F1343" s="199"/>
      <c r="G1343" s="140" t="e">
        <f ca="1">mif(C1343="","",OR(B1343=リスト!$C$5,B1343=リスト!$C$6),SUM(INDEX(G:G,MATCH(I1343-1,I:I,0)+1,1):INDEX(G:G,MATCH(I1343,I:I,0)-1,1)),D1343-C1343)</f>
        <v>#NAME?</v>
      </c>
      <c r="H1343" s="140" t="e">
        <f ca="1">mif(C1343="","",B1343=リスト!$C$5,SUMIF(INDEX(B:B,MATCH(I1343-1,I:I,0)+1,1):INDEX(B:B,MATCH(I1343,I:I,0)-1,1),リスト!$C$7,INDEX(G:G,MATCH(I1343-1,I:I,0)+1,1):INDEX(G:G,MATCH(I1343,I:I,0)-1,1)),"")</f>
        <v>#NAME?</v>
      </c>
      <c r="I1343" s="200" t="str">
        <f>IF(OR(B1343=リスト!$C$5,B1343=リスト!$C$6),COUNTIF($B$9:B1343,リスト!$C$5)+COUNTIF($B$9:B1343,リスト!$C$6),"")</f>
        <v/>
      </c>
    </row>
    <row r="1344" spans="2:9" x14ac:dyDescent="0.2">
      <c r="B1344" s="196"/>
      <c r="C1344" s="197">
        <v>45591.361643518518</v>
      </c>
      <c r="D1344" s="197">
        <v>45591.361898148149</v>
      </c>
      <c r="E1344" s="198" t="s">
        <v>244</v>
      </c>
      <c r="F1344" s="199"/>
      <c r="G1344" s="140" t="e">
        <f ca="1">mif(C1344="","",OR(B1344=リスト!$C$5,B1344=リスト!$C$6),SUM(INDEX(G:G,MATCH(I1344-1,I:I,0)+1,1):INDEX(G:G,MATCH(I1344,I:I,0)-1,1)),D1344-C1344)</f>
        <v>#NAME?</v>
      </c>
      <c r="H1344" s="140" t="e">
        <f ca="1">mif(C1344="","",B1344=リスト!$C$5,SUMIF(INDEX(B:B,MATCH(I1344-1,I:I,0)+1,1):INDEX(B:B,MATCH(I1344,I:I,0)-1,1),リスト!$C$7,INDEX(G:G,MATCH(I1344-1,I:I,0)+1,1):INDEX(G:G,MATCH(I1344,I:I,0)-1,1)),"")</f>
        <v>#NAME?</v>
      </c>
      <c r="I1344" s="200" t="str">
        <f>IF(OR(B1344=リスト!$C$5,B1344=リスト!$C$6),COUNTIF($B$9:B1344,リスト!$C$5)+COUNTIF($B$9:B1344,リスト!$C$6),"")</f>
        <v/>
      </c>
    </row>
    <row r="1345" spans="2:9" x14ac:dyDescent="0.2">
      <c r="B1345" s="196" t="s">
        <v>247</v>
      </c>
      <c r="C1345" s="197">
        <v>45590.916666666664</v>
      </c>
      <c r="D1345" s="197">
        <v>45591.416666666664</v>
      </c>
      <c r="E1345" s="198">
        <v>18</v>
      </c>
      <c r="F1345" s="199"/>
      <c r="G1345" s="140" t="e">
        <f ca="1">mif(C1345="","",OR(B1345=リスト!$C$5,B1345=リスト!$C$6),SUM(INDEX(G:G,MATCH(I1345-1,I:I,0)+1,1):INDEX(G:G,MATCH(I1345,I:I,0)-1,1)),D1345-C1345)</f>
        <v>#NAME?</v>
      </c>
      <c r="H1345" s="140" t="e">
        <f ca="1">mif(C1345="","",B1345=リスト!$C$5,SUMIF(INDEX(B:B,MATCH(I1345-1,I:I,0)+1,1):INDEX(B:B,MATCH(I1345,I:I,0)-1,1),リスト!$C$7,INDEX(G:G,MATCH(I1345-1,I:I,0)+1,1):INDEX(G:G,MATCH(I1345,I:I,0)-1,1)),"")</f>
        <v>#NAME?</v>
      </c>
      <c r="I1345" s="200">
        <f>IF(OR(B1345=リスト!$C$5,B1345=リスト!$C$6),COUNTIF($B$9:B1345,リスト!$C$5)+COUNTIF($B$9:B1345,リスト!$C$6),"")</f>
        <v>91</v>
      </c>
    </row>
    <row r="1346" spans="2:9" x14ac:dyDescent="0.2">
      <c r="B1346" s="196"/>
      <c r="C1346" s="197">
        <v>45591.422442129631</v>
      </c>
      <c r="D1346" s="197">
        <v>45591.422812500001</v>
      </c>
      <c r="E1346" s="198" t="s">
        <v>244</v>
      </c>
      <c r="F1346" s="199"/>
      <c r="G1346" s="140" t="e">
        <f ca="1">mif(C1346="","",OR(B1346=リスト!$C$5,B1346=リスト!$C$6),SUM(INDEX(G:G,MATCH(I1346-1,I:I,0)+1,1):INDEX(G:G,MATCH(I1346,I:I,0)-1,1)),D1346-C1346)</f>
        <v>#NAME?</v>
      </c>
      <c r="H1346" s="140" t="e">
        <f ca="1">mif(C1346="","",B1346=リスト!$C$5,SUMIF(INDEX(B:B,MATCH(I1346-1,I:I,0)+1,1):INDEX(B:B,MATCH(I1346,I:I,0)-1,1),リスト!$C$7,INDEX(G:G,MATCH(I1346-1,I:I,0)+1,1):INDEX(G:G,MATCH(I1346,I:I,0)-1,1)),"")</f>
        <v>#NAME?</v>
      </c>
      <c r="I1346" s="200" t="str">
        <f>IF(OR(B1346=リスト!$C$5,B1346=リスト!$C$6),COUNTIF($B$9:B1346,リスト!$C$5)+COUNTIF($B$9:B1346,リスト!$C$6),"")</f>
        <v/>
      </c>
    </row>
    <row r="1347" spans="2:9" x14ac:dyDescent="0.2">
      <c r="B1347" s="196"/>
      <c r="C1347" s="197">
        <v>45591.472928240742</v>
      </c>
      <c r="D1347" s="197">
        <v>45591.473275462966</v>
      </c>
      <c r="E1347" s="198" t="s">
        <v>244</v>
      </c>
      <c r="F1347" s="199"/>
      <c r="G1347" s="140" t="e">
        <f ca="1">mif(C1347="","",OR(B1347=リスト!$C$5,B1347=リスト!$C$6),SUM(INDEX(G:G,MATCH(I1347-1,I:I,0)+1,1):INDEX(G:G,MATCH(I1347,I:I,0)-1,1)),D1347-C1347)</f>
        <v>#NAME?</v>
      </c>
      <c r="H1347" s="140" t="e">
        <f ca="1">mif(C1347="","",B1347=リスト!$C$5,SUMIF(INDEX(B:B,MATCH(I1347-1,I:I,0)+1,1):INDEX(B:B,MATCH(I1347,I:I,0)-1,1),リスト!$C$7,INDEX(G:G,MATCH(I1347-1,I:I,0)+1,1):INDEX(G:G,MATCH(I1347,I:I,0)-1,1)),"")</f>
        <v>#NAME?</v>
      </c>
      <c r="I1347" s="200" t="str">
        <f>IF(OR(B1347=リスト!$C$5,B1347=リスト!$C$6),COUNTIF($B$9:B1347,リスト!$C$5)+COUNTIF($B$9:B1347,リスト!$C$6),"")</f>
        <v/>
      </c>
    </row>
    <row r="1348" spans="2:9" x14ac:dyDescent="0.2">
      <c r="B1348" s="196"/>
      <c r="C1348" s="197">
        <v>45591.524270833332</v>
      </c>
      <c r="D1348" s="197">
        <v>45591.524502314816</v>
      </c>
      <c r="E1348" s="198" t="s">
        <v>244</v>
      </c>
      <c r="F1348" s="199"/>
      <c r="G1348" s="140" t="e">
        <f ca="1">mif(C1348="","",OR(B1348=リスト!$C$5,B1348=リスト!$C$6),SUM(INDEX(G:G,MATCH(I1348-1,I:I,0)+1,1):INDEX(G:G,MATCH(I1348,I:I,0)-1,1)),D1348-C1348)</f>
        <v>#NAME?</v>
      </c>
      <c r="H1348" s="140" t="e">
        <f ca="1">mif(C1348="","",B1348=リスト!$C$5,SUMIF(INDEX(B:B,MATCH(I1348-1,I:I,0)+1,1):INDEX(B:B,MATCH(I1348,I:I,0)-1,1),リスト!$C$7,INDEX(G:G,MATCH(I1348-1,I:I,0)+1,1):INDEX(G:G,MATCH(I1348,I:I,0)-1,1)),"")</f>
        <v>#NAME?</v>
      </c>
      <c r="I1348" s="200" t="str">
        <f>IF(OR(B1348=リスト!$C$5,B1348=リスト!$C$6),COUNTIF($B$9:B1348,リスト!$C$5)+COUNTIF($B$9:B1348,リスト!$C$6),"")</f>
        <v/>
      </c>
    </row>
    <row r="1349" spans="2:9" x14ac:dyDescent="0.2">
      <c r="B1349" s="196"/>
      <c r="C1349" s="197">
        <v>45591.557245370372</v>
      </c>
      <c r="D1349" s="197">
        <v>45591.557800925926</v>
      </c>
      <c r="E1349" s="198" t="s">
        <v>244</v>
      </c>
      <c r="F1349" s="199"/>
      <c r="G1349" s="140" t="e">
        <f ca="1">mif(C1349="","",OR(B1349=リスト!$C$5,B1349=リスト!$C$6),SUM(INDEX(G:G,MATCH(I1349-1,I:I,0)+1,1):INDEX(G:G,MATCH(I1349,I:I,0)-1,1)),D1349-C1349)</f>
        <v>#NAME?</v>
      </c>
      <c r="H1349" s="140" t="e">
        <f ca="1">mif(C1349="","",B1349=リスト!$C$5,SUMIF(INDEX(B:B,MATCH(I1349-1,I:I,0)+1,1):INDEX(B:B,MATCH(I1349,I:I,0)-1,1),リスト!$C$7,INDEX(G:G,MATCH(I1349-1,I:I,0)+1,1):INDEX(G:G,MATCH(I1349,I:I,0)-1,1)),"")</f>
        <v>#NAME?</v>
      </c>
      <c r="I1349" s="200" t="str">
        <f>IF(OR(B1349=リスト!$C$5,B1349=リスト!$C$6),COUNTIF($B$9:B1349,リスト!$C$5)+COUNTIF($B$9:B1349,リスト!$C$6),"")</f>
        <v/>
      </c>
    </row>
    <row r="1350" spans="2:9" x14ac:dyDescent="0.2">
      <c r="B1350" s="196"/>
      <c r="C1350" s="197">
        <v>45591.567870370367</v>
      </c>
      <c r="D1350" s="197">
        <v>45591.569606481484</v>
      </c>
      <c r="E1350" s="198" t="s">
        <v>244</v>
      </c>
      <c r="F1350" s="199"/>
      <c r="G1350" s="140" t="e">
        <f ca="1">mif(C1350="","",OR(B1350=リスト!$C$5,B1350=リスト!$C$6),SUM(INDEX(G:G,MATCH(I1350-1,I:I,0)+1,1):INDEX(G:G,MATCH(I1350,I:I,0)-1,1)),D1350-C1350)</f>
        <v>#NAME?</v>
      </c>
      <c r="H1350" s="140" t="e">
        <f ca="1">mif(C1350="","",B1350=リスト!$C$5,SUMIF(INDEX(B:B,MATCH(I1350-1,I:I,0)+1,1):INDEX(B:B,MATCH(I1350,I:I,0)-1,1),リスト!$C$7,INDEX(G:G,MATCH(I1350-1,I:I,0)+1,1):INDEX(G:G,MATCH(I1350,I:I,0)-1,1)),"")</f>
        <v>#NAME?</v>
      </c>
      <c r="I1350" s="200" t="str">
        <f>IF(OR(B1350=リスト!$C$5,B1350=リスト!$C$6),COUNTIF($B$9:B1350,リスト!$C$5)+COUNTIF($B$9:B1350,リスト!$C$6),"")</f>
        <v/>
      </c>
    </row>
    <row r="1351" spans="2:9" x14ac:dyDescent="0.2">
      <c r="B1351" s="196"/>
      <c r="C1351" s="197">
        <v>45591.585798611108</v>
      </c>
      <c r="D1351" s="197">
        <v>45591.587037037039</v>
      </c>
      <c r="E1351" s="198" t="s">
        <v>244</v>
      </c>
      <c r="F1351" s="199"/>
      <c r="G1351" s="140" t="e">
        <f ca="1">mif(C1351="","",OR(B1351=リスト!$C$5,B1351=リスト!$C$6),SUM(INDEX(G:G,MATCH(I1351-1,I:I,0)+1,1):INDEX(G:G,MATCH(I1351,I:I,0)-1,1)),D1351-C1351)</f>
        <v>#NAME?</v>
      </c>
      <c r="H1351" s="140" t="e">
        <f ca="1">mif(C1351="","",B1351=リスト!$C$5,SUMIF(INDEX(B:B,MATCH(I1351-1,I:I,0)+1,1):INDEX(B:B,MATCH(I1351,I:I,0)-1,1),リスト!$C$7,INDEX(G:G,MATCH(I1351-1,I:I,0)+1,1):INDEX(G:G,MATCH(I1351,I:I,0)-1,1)),"")</f>
        <v>#NAME?</v>
      </c>
      <c r="I1351" s="200" t="str">
        <f>IF(OR(B1351=リスト!$C$5,B1351=リスト!$C$6),COUNTIF($B$9:B1351,リスト!$C$5)+COUNTIF($B$9:B1351,リスト!$C$6),"")</f>
        <v/>
      </c>
    </row>
    <row r="1352" spans="2:9" x14ac:dyDescent="0.2">
      <c r="B1352" s="196"/>
      <c r="C1352" s="197">
        <v>45591.622361111113</v>
      </c>
      <c r="D1352" s="197">
        <v>45591.622685185182</v>
      </c>
      <c r="E1352" s="198" t="s">
        <v>244</v>
      </c>
      <c r="F1352" s="199"/>
      <c r="G1352" s="140" t="e">
        <f ca="1">mif(C1352="","",OR(B1352=リスト!$C$5,B1352=リスト!$C$6),SUM(INDEX(G:G,MATCH(I1352-1,I:I,0)+1,1):INDEX(G:G,MATCH(I1352,I:I,0)-1,1)),D1352-C1352)</f>
        <v>#NAME?</v>
      </c>
      <c r="H1352" s="140" t="e">
        <f ca="1">mif(C1352="","",B1352=リスト!$C$5,SUMIF(INDEX(B:B,MATCH(I1352-1,I:I,0)+1,1):INDEX(B:B,MATCH(I1352,I:I,0)-1,1),リスト!$C$7,INDEX(G:G,MATCH(I1352-1,I:I,0)+1,1):INDEX(G:G,MATCH(I1352,I:I,0)-1,1)),"")</f>
        <v>#NAME?</v>
      </c>
      <c r="I1352" s="200" t="str">
        <f>IF(OR(B1352=リスト!$C$5,B1352=リスト!$C$6),COUNTIF($B$9:B1352,リスト!$C$5)+COUNTIF($B$9:B1352,リスト!$C$6),"")</f>
        <v/>
      </c>
    </row>
    <row r="1353" spans="2:9" x14ac:dyDescent="0.2">
      <c r="B1353" s="196"/>
      <c r="C1353" s="197">
        <v>45591.634386574071</v>
      </c>
      <c r="D1353" s="197">
        <v>45591.63480324074</v>
      </c>
      <c r="E1353" s="198" t="s">
        <v>244</v>
      </c>
      <c r="F1353" s="199"/>
      <c r="G1353" s="140" t="e">
        <f ca="1">mif(C1353="","",OR(B1353=リスト!$C$5,B1353=リスト!$C$6),SUM(INDEX(G:G,MATCH(I1353-1,I:I,0)+1,1):INDEX(G:G,MATCH(I1353,I:I,0)-1,1)),D1353-C1353)</f>
        <v>#NAME?</v>
      </c>
      <c r="H1353" s="140" t="e">
        <f ca="1">mif(C1353="","",B1353=リスト!$C$5,SUMIF(INDEX(B:B,MATCH(I1353-1,I:I,0)+1,1):INDEX(B:B,MATCH(I1353,I:I,0)-1,1),リスト!$C$7,INDEX(G:G,MATCH(I1353-1,I:I,0)+1,1):INDEX(G:G,MATCH(I1353,I:I,0)-1,1)),"")</f>
        <v>#NAME?</v>
      </c>
      <c r="I1353" s="200" t="str">
        <f>IF(OR(B1353=リスト!$C$5,B1353=リスト!$C$6),COUNTIF($B$9:B1353,リスト!$C$5)+COUNTIF($B$9:B1353,リスト!$C$6),"")</f>
        <v/>
      </c>
    </row>
    <row r="1354" spans="2:9" x14ac:dyDescent="0.2">
      <c r="B1354" s="196"/>
      <c r="C1354" s="197">
        <v>45591.635381944441</v>
      </c>
      <c r="D1354" s="197">
        <v>45591.635636574072</v>
      </c>
      <c r="E1354" s="198" t="s">
        <v>244</v>
      </c>
      <c r="F1354" s="199"/>
      <c r="G1354" s="140" t="e">
        <f ca="1">mif(C1354="","",OR(B1354=リスト!$C$5,B1354=リスト!$C$6),SUM(INDEX(G:G,MATCH(I1354-1,I:I,0)+1,1):INDEX(G:G,MATCH(I1354,I:I,0)-1,1)),D1354-C1354)</f>
        <v>#NAME?</v>
      </c>
      <c r="H1354" s="140" t="e">
        <f ca="1">mif(C1354="","",B1354=リスト!$C$5,SUMIF(INDEX(B:B,MATCH(I1354-1,I:I,0)+1,1):INDEX(B:B,MATCH(I1354,I:I,0)-1,1),リスト!$C$7,INDEX(G:G,MATCH(I1354-1,I:I,0)+1,1):INDEX(G:G,MATCH(I1354,I:I,0)-1,1)),"")</f>
        <v>#NAME?</v>
      </c>
      <c r="I1354" s="200" t="str">
        <f>IF(OR(B1354=リスト!$C$5,B1354=リスト!$C$6),COUNTIF($B$9:B1354,リスト!$C$5)+COUNTIF($B$9:B1354,リスト!$C$6),"")</f>
        <v/>
      </c>
    </row>
    <row r="1355" spans="2:9" x14ac:dyDescent="0.2">
      <c r="B1355" s="196"/>
      <c r="C1355" s="197">
        <v>45591.722175925926</v>
      </c>
      <c r="D1355" s="197">
        <v>45591.722453703704</v>
      </c>
      <c r="E1355" s="198" t="s">
        <v>244</v>
      </c>
      <c r="F1355" s="199"/>
      <c r="G1355" s="140" t="e">
        <f ca="1">mif(C1355="","",OR(B1355=リスト!$C$5,B1355=リスト!$C$6),SUM(INDEX(G:G,MATCH(I1355-1,I:I,0)+1,1):INDEX(G:G,MATCH(I1355,I:I,0)-1,1)),D1355-C1355)</f>
        <v>#NAME?</v>
      </c>
      <c r="H1355" s="140" t="e">
        <f ca="1">mif(C1355="","",B1355=リスト!$C$5,SUMIF(INDEX(B:B,MATCH(I1355-1,I:I,0)+1,1):INDEX(B:B,MATCH(I1355,I:I,0)-1,1),リスト!$C$7,INDEX(G:G,MATCH(I1355-1,I:I,0)+1,1):INDEX(G:G,MATCH(I1355,I:I,0)-1,1)),"")</f>
        <v>#NAME?</v>
      </c>
      <c r="I1355" s="200" t="str">
        <f>IF(OR(B1355=リスト!$C$5,B1355=リスト!$C$6),COUNTIF($B$9:B1355,リスト!$C$5)+COUNTIF($B$9:B1355,リスト!$C$6),"")</f>
        <v/>
      </c>
    </row>
    <row r="1356" spans="2:9" x14ac:dyDescent="0.2">
      <c r="B1356" s="196"/>
      <c r="C1356" s="197">
        <v>45591.750173611108</v>
      </c>
      <c r="D1356" s="197">
        <v>45591.750474537039</v>
      </c>
      <c r="E1356" s="198" t="s">
        <v>244</v>
      </c>
      <c r="F1356" s="199"/>
      <c r="G1356" s="140" t="e">
        <f ca="1">mif(C1356="","",OR(B1356=リスト!$C$5,B1356=リスト!$C$6),SUM(INDEX(G:G,MATCH(I1356-1,I:I,0)+1,1):INDEX(G:G,MATCH(I1356,I:I,0)-1,1)),D1356-C1356)</f>
        <v>#NAME?</v>
      </c>
      <c r="H1356" s="140" t="e">
        <f ca="1">mif(C1356="","",B1356=リスト!$C$5,SUMIF(INDEX(B:B,MATCH(I1356-1,I:I,0)+1,1):INDEX(B:B,MATCH(I1356,I:I,0)-1,1),リスト!$C$7,INDEX(G:G,MATCH(I1356-1,I:I,0)+1,1):INDEX(G:G,MATCH(I1356,I:I,0)-1,1)),"")</f>
        <v>#NAME?</v>
      </c>
      <c r="I1356" s="200" t="str">
        <f>IF(OR(B1356=リスト!$C$5,B1356=リスト!$C$6),COUNTIF($B$9:B1356,リスト!$C$5)+COUNTIF($B$9:B1356,リスト!$C$6),"")</f>
        <v/>
      </c>
    </row>
    <row r="1357" spans="2:9" x14ac:dyDescent="0.2">
      <c r="B1357" s="196"/>
      <c r="C1357" s="197">
        <v>45591.762083333335</v>
      </c>
      <c r="D1357" s="197">
        <v>45591.762314814812</v>
      </c>
      <c r="E1357" s="198" t="s">
        <v>244</v>
      </c>
      <c r="F1357" s="199"/>
      <c r="G1357" s="140" t="e">
        <f ca="1">mif(C1357="","",OR(B1357=リスト!$C$5,B1357=リスト!$C$6),SUM(INDEX(G:G,MATCH(I1357-1,I:I,0)+1,1):INDEX(G:G,MATCH(I1357,I:I,0)-1,1)),D1357-C1357)</f>
        <v>#NAME?</v>
      </c>
      <c r="H1357" s="140" t="e">
        <f ca="1">mif(C1357="","",B1357=リスト!$C$5,SUMIF(INDEX(B:B,MATCH(I1357-1,I:I,0)+1,1):INDEX(B:B,MATCH(I1357,I:I,0)-1,1),リスト!$C$7,INDEX(G:G,MATCH(I1357-1,I:I,0)+1,1):INDEX(G:G,MATCH(I1357,I:I,0)-1,1)),"")</f>
        <v>#NAME?</v>
      </c>
      <c r="I1357" s="200" t="str">
        <f>IF(OR(B1357=リスト!$C$5,B1357=リスト!$C$6),COUNTIF($B$9:B1357,リスト!$C$5)+COUNTIF($B$9:B1357,リスト!$C$6),"")</f>
        <v/>
      </c>
    </row>
    <row r="1358" spans="2:9" x14ac:dyDescent="0.2">
      <c r="B1358" s="196"/>
      <c r="C1358" s="197">
        <v>45591.787164351852</v>
      </c>
      <c r="D1358" s="197">
        <v>45591.787418981483</v>
      </c>
      <c r="E1358" s="198" t="s">
        <v>244</v>
      </c>
      <c r="F1358" s="199"/>
      <c r="G1358" s="140" t="e">
        <f ca="1">mif(C1358="","",OR(B1358=リスト!$C$5,B1358=リスト!$C$6),SUM(INDEX(G:G,MATCH(I1358-1,I:I,0)+1,1):INDEX(G:G,MATCH(I1358,I:I,0)-1,1)),D1358-C1358)</f>
        <v>#NAME?</v>
      </c>
      <c r="H1358" s="140" t="e">
        <f ca="1">mif(C1358="","",B1358=リスト!$C$5,SUMIF(INDEX(B:B,MATCH(I1358-1,I:I,0)+1,1):INDEX(B:B,MATCH(I1358,I:I,0)-1,1),リスト!$C$7,INDEX(G:G,MATCH(I1358-1,I:I,0)+1,1):INDEX(G:G,MATCH(I1358,I:I,0)-1,1)),"")</f>
        <v>#NAME?</v>
      </c>
      <c r="I1358" s="200" t="str">
        <f>IF(OR(B1358=リスト!$C$5,B1358=リスト!$C$6),COUNTIF($B$9:B1358,リスト!$C$5)+COUNTIF($B$9:B1358,リスト!$C$6),"")</f>
        <v/>
      </c>
    </row>
    <row r="1359" spans="2:9" x14ac:dyDescent="0.2">
      <c r="B1359" s="196"/>
      <c r="C1359" s="197">
        <v>45591.823287037034</v>
      </c>
      <c r="D1359" s="197">
        <v>45591.823865740742</v>
      </c>
      <c r="E1359" s="198" t="s">
        <v>244</v>
      </c>
      <c r="F1359" s="199"/>
      <c r="G1359" s="140" t="e">
        <f ca="1">mif(C1359="","",OR(B1359=リスト!$C$5,B1359=リスト!$C$6),SUM(INDEX(G:G,MATCH(I1359-1,I:I,0)+1,1):INDEX(G:G,MATCH(I1359,I:I,0)-1,1)),D1359-C1359)</f>
        <v>#NAME?</v>
      </c>
      <c r="H1359" s="140" t="e">
        <f ca="1">mif(C1359="","",B1359=リスト!$C$5,SUMIF(INDEX(B:B,MATCH(I1359-1,I:I,0)+1,1):INDEX(B:B,MATCH(I1359,I:I,0)-1,1),リスト!$C$7,INDEX(G:G,MATCH(I1359-1,I:I,0)+1,1):INDEX(G:G,MATCH(I1359,I:I,0)-1,1)),"")</f>
        <v>#NAME?</v>
      </c>
      <c r="I1359" s="200" t="str">
        <f>IF(OR(B1359=リスト!$C$5,B1359=リスト!$C$6),COUNTIF($B$9:B1359,リスト!$C$5)+COUNTIF($B$9:B1359,リスト!$C$6),"")</f>
        <v/>
      </c>
    </row>
    <row r="1360" spans="2:9" x14ac:dyDescent="0.2">
      <c r="B1360" s="196"/>
      <c r="C1360" s="197">
        <v>45591.831608796296</v>
      </c>
      <c r="D1360" s="197">
        <v>45591.831909722219</v>
      </c>
      <c r="E1360" s="198" t="s">
        <v>244</v>
      </c>
      <c r="F1360" s="199"/>
      <c r="G1360" s="140" t="e">
        <f ca="1">mif(C1360="","",OR(B1360=リスト!$C$5,B1360=リスト!$C$6),SUM(INDEX(G:G,MATCH(I1360-1,I:I,0)+1,1):INDEX(G:G,MATCH(I1360,I:I,0)-1,1)),D1360-C1360)</f>
        <v>#NAME?</v>
      </c>
      <c r="H1360" s="140" t="e">
        <f ca="1">mif(C1360="","",B1360=リスト!$C$5,SUMIF(INDEX(B:B,MATCH(I1360-1,I:I,0)+1,1):INDEX(B:B,MATCH(I1360,I:I,0)-1,1),リスト!$C$7,INDEX(G:G,MATCH(I1360-1,I:I,0)+1,1):INDEX(G:G,MATCH(I1360,I:I,0)-1,1)),"")</f>
        <v>#NAME?</v>
      </c>
      <c r="I1360" s="200" t="str">
        <f>IF(OR(B1360=リスト!$C$5,B1360=リスト!$C$6),COUNTIF($B$9:B1360,リスト!$C$5)+COUNTIF($B$9:B1360,リスト!$C$6),"")</f>
        <v/>
      </c>
    </row>
    <row r="1361" spans="2:9" x14ac:dyDescent="0.2">
      <c r="B1361" s="196"/>
      <c r="C1361" s="197">
        <v>45591.84065972222</v>
      </c>
      <c r="D1361" s="197">
        <v>45591.840914351851</v>
      </c>
      <c r="E1361" s="198" t="s">
        <v>244</v>
      </c>
      <c r="F1361" s="199"/>
      <c r="G1361" s="140" t="e">
        <f ca="1">mif(C1361="","",OR(B1361=リスト!$C$5,B1361=リスト!$C$6),SUM(INDEX(G:G,MATCH(I1361-1,I:I,0)+1,1):INDEX(G:G,MATCH(I1361,I:I,0)-1,1)),D1361-C1361)</f>
        <v>#NAME?</v>
      </c>
      <c r="H1361" s="140" t="e">
        <f ca="1">mif(C1361="","",B1361=リスト!$C$5,SUMIF(INDEX(B:B,MATCH(I1361-1,I:I,0)+1,1):INDEX(B:B,MATCH(I1361,I:I,0)-1,1),リスト!$C$7,INDEX(G:G,MATCH(I1361-1,I:I,0)+1,1):INDEX(G:G,MATCH(I1361,I:I,0)-1,1)),"")</f>
        <v>#NAME?</v>
      </c>
      <c r="I1361" s="200" t="str">
        <f>IF(OR(B1361=リスト!$C$5,B1361=リスト!$C$6),COUNTIF($B$9:B1361,リスト!$C$5)+COUNTIF($B$9:B1361,リスト!$C$6),"")</f>
        <v/>
      </c>
    </row>
    <row r="1362" spans="2:9" x14ac:dyDescent="0.2">
      <c r="B1362" s="196" t="s">
        <v>247</v>
      </c>
      <c r="C1362" s="197">
        <v>45591.416666666664</v>
      </c>
      <c r="D1362" s="197">
        <v>45591.916666666664</v>
      </c>
      <c r="E1362" s="198">
        <v>16</v>
      </c>
      <c r="F1362" s="199"/>
      <c r="G1362" s="140" t="e">
        <f ca="1">mif(C1362="","",OR(B1362=リスト!$C$5,B1362=リスト!$C$6),SUM(INDEX(G:G,MATCH(I1362-1,I:I,0)+1,1):INDEX(G:G,MATCH(I1362,I:I,0)-1,1)),D1362-C1362)</f>
        <v>#NAME?</v>
      </c>
      <c r="H1362" s="140" t="e">
        <f ca="1">mif(C1362="","",B1362=リスト!$C$5,SUMIF(INDEX(B:B,MATCH(I1362-1,I:I,0)+1,1):INDEX(B:B,MATCH(I1362,I:I,0)-1,1),リスト!$C$7,INDEX(G:G,MATCH(I1362-1,I:I,0)+1,1):INDEX(G:G,MATCH(I1362,I:I,0)-1,1)),"")</f>
        <v>#NAME?</v>
      </c>
      <c r="I1362" s="200">
        <f>IF(OR(B1362=リスト!$C$5,B1362=リスト!$C$6),COUNTIF($B$9:B1362,リスト!$C$5)+COUNTIF($B$9:B1362,リスト!$C$6),"")</f>
        <v>92</v>
      </c>
    </row>
    <row r="1363" spans="2:9" x14ac:dyDescent="0.2">
      <c r="B1363" s="196"/>
      <c r="C1363" s="197">
        <v>45592.104733796295</v>
      </c>
      <c r="D1363" s="197">
        <v>45592.105011574073</v>
      </c>
      <c r="E1363" s="198" t="s">
        <v>244</v>
      </c>
      <c r="F1363" s="199"/>
      <c r="G1363" s="140" t="e">
        <f ca="1">mif(C1363="","",OR(B1363=リスト!$C$5,B1363=リスト!$C$6),SUM(INDEX(G:G,MATCH(I1363-1,I:I,0)+1,1):INDEX(G:G,MATCH(I1363,I:I,0)-1,1)),D1363-C1363)</f>
        <v>#NAME?</v>
      </c>
      <c r="H1363" s="140" t="e">
        <f ca="1">mif(C1363="","",B1363=リスト!$C$5,SUMIF(INDEX(B:B,MATCH(I1363-1,I:I,0)+1,1):INDEX(B:B,MATCH(I1363,I:I,0)-1,1),リスト!$C$7,INDEX(G:G,MATCH(I1363-1,I:I,0)+1,1):INDEX(G:G,MATCH(I1363,I:I,0)-1,1)),"")</f>
        <v>#NAME?</v>
      </c>
      <c r="I1363" s="200" t="str">
        <f>IF(OR(B1363=リスト!$C$5,B1363=リスト!$C$6),COUNTIF($B$9:B1363,リスト!$C$5)+COUNTIF($B$9:B1363,リスト!$C$6),"")</f>
        <v/>
      </c>
    </row>
    <row r="1364" spans="2:9" x14ac:dyDescent="0.2">
      <c r="B1364" s="196"/>
      <c r="C1364" s="197">
        <v>45592.131180555552</v>
      </c>
      <c r="D1364" s="197">
        <v>45592.131435185183</v>
      </c>
      <c r="E1364" s="198" t="s">
        <v>244</v>
      </c>
      <c r="F1364" s="199"/>
      <c r="G1364" s="140" t="e">
        <f ca="1">mif(C1364="","",OR(B1364=リスト!$C$5,B1364=リスト!$C$6),SUM(INDEX(G:G,MATCH(I1364-1,I:I,0)+1,1):INDEX(G:G,MATCH(I1364,I:I,0)-1,1)),D1364-C1364)</f>
        <v>#NAME?</v>
      </c>
      <c r="H1364" s="140" t="e">
        <f ca="1">mif(C1364="","",B1364=リスト!$C$5,SUMIF(INDEX(B:B,MATCH(I1364-1,I:I,0)+1,1):INDEX(B:B,MATCH(I1364,I:I,0)-1,1),リスト!$C$7,INDEX(G:G,MATCH(I1364-1,I:I,0)+1,1):INDEX(G:G,MATCH(I1364,I:I,0)-1,1)),"")</f>
        <v>#NAME?</v>
      </c>
      <c r="I1364" s="200" t="str">
        <f>IF(OR(B1364=リスト!$C$5,B1364=リスト!$C$6),COUNTIF($B$9:B1364,リスト!$C$5)+COUNTIF($B$9:B1364,リスト!$C$6),"")</f>
        <v/>
      </c>
    </row>
    <row r="1365" spans="2:9" x14ac:dyDescent="0.2">
      <c r="B1365" s="196"/>
      <c r="C1365" s="197">
        <v>45592.180277777778</v>
      </c>
      <c r="D1365" s="197">
        <v>45592.180717592593</v>
      </c>
      <c r="E1365" s="198" t="s">
        <v>244</v>
      </c>
      <c r="F1365" s="199"/>
      <c r="G1365" s="140" t="e">
        <f ca="1">mif(C1365="","",OR(B1365=リスト!$C$5,B1365=リスト!$C$6),SUM(INDEX(G:G,MATCH(I1365-1,I:I,0)+1,1):INDEX(G:G,MATCH(I1365,I:I,0)-1,1)),D1365-C1365)</f>
        <v>#NAME?</v>
      </c>
      <c r="H1365" s="140" t="e">
        <f ca="1">mif(C1365="","",B1365=リスト!$C$5,SUMIF(INDEX(B:B,MATCH(I1365-1,I:I,0)+1,1):INDEX(B:B,MATCH(I1365,I:I,0)-1,1),リスト!$C$7,INDEX(G:G,MATCH(I1365-1,I:I,0)+1,1):INDEX(G:G,MATCH(I1365,I:I,0)-1,1)),"")</f>
        <v>#NAME?</v>
      </c>
      <c r="I1365" s="200" t="str">
        <f>IF(OR(B1365=リスト!$C$5,B1365=リスト!$C$6),COUNTIF($B$9:B1365,リスト!$C$5)+COUNTIF($B$9:B1365,リスト!$C$6),"")</f>
        <v/>
      </c>
    </row>
    <row r="1366" spans="2:9" x14ac:dyDescent="0.2">
      <c r="B1366" s="196"/>
      <c r="C1366" s="197">
        <v>45592.194016203706</v>
      </c>
      <c r="D1366" s="197">
        <v>45592.194791666669</v>
      </c>
      <c r="E1366" s="198" t="s">
        <v>244</v>
      </c>
      <c r="F1366" s="199"/>
      <c r="G1366" s="140" t="e">
        <f ca="1">mif(C1366="","",OR(B1366=リスト!$C$5,B1366=リスト!$C$6),SUM(INDEX(G:G,MATCH(I1366-1,I:I,0)+1,1):INDEX(G:G,MATCH(I1366,I:I,0)-1,1)),D1366-C1366)</f>
        <v>#NAME?</v>
      </c>
      <c r="H1366" s="140" t="e">
        <f ca="1">mif(C1366="","",B1366=リスト!$C$5,SUMIF(INDEX(B:B,MATCH(I1366-1,I:I,0)+1,1):INDEX(B:B,MATCH(I1366,I:I,0)-1,1),リスト!$C$7,INDEX(G:G,MATCH(I1366-1,I:I,0)+1,1):INDEX(G:G,MATCH(I1366,I:I,0)-1,1)),"")</f>
        <v>#NAME?</v>
      </c>
      <c r="I1366" s="200" t="str">
        <f>IF(OR(B1366=リスト!$C$5,B1366=リスト!$C$6),COUNTIF($B$9:B1366,リスト!$C$5)+COUNTIF($B$9:B1366,リスト!$C$6),"")</f>
        <v/>
      </c>
    </row>
    <row r="1367" spans="2:9" x14ac:dyDescent="0.2">
      <c r="B1367" s="196"/>
      <c r="C1367" s="197">
        <v>45592.195729166669</v>
      </c>
      <c r="D1367" s="197">
        <v>45592.195983796293</v>
      </c>
      <c r="E1367" s="198" t="s">
        <v>244</v>
      </c>
      <c r="F1367" s="199"/>
      <c r="G1367" s="140" t="e">
        <f ca="1">mif(C1367="","",OR(B1367=リスト!$C$5,B1367=リスト!$C$6),SUM(INDEX(G:G,MATCH(I1367-1,I:I,0)+1,1):INDEX(G:G,MATCH(I1367,I:I,0)-1,1)),D1367-C1367)</f>
        <v>#NAME?</v>
      </c>
      <c r="H1367" s="140" t="e">
        <f ca="1">mif(C1367="","",B1367=リスト!$C$5,SUMIF(INDEX(B:B,MATCH(I1367-1,I:I,0)+1,1):INDEX(B:B,MATCH(I1367,I:I,0)-1,1),リスト!$C$7,INDEX(G:G,MATCH(I1367-1,I:I,0)+1,1):INDEX(G:G,MATCH(I1367,I:I,0)-1,1)),"")</f>
        <v>#NAME?</v>
      </c>
      <c r="I1367" s="200" t="str">
        <f>IF(OR(B1367=リスト!$C$5,B1367=リスト!$C$6),COUNTIF($B$9:B1367,リスト!$C$5)+COUNTIF($B$9:B1367,リスト!$C$6),"")</f>
        <v/>
      </c>
    </row>
    <row r="1368" spans="2:9" x14ac:dyDescent="0.2">
      <c r="B1368" s="196"/>
      <c r="C1368" s="197">
        <v>45592.201863425929</v>
      </c>
      <c r="D1368" s="197">
        <v>45592.202164351853</v>
      </c>
      <c r="E1368" s="198" t="s">
        <v>244</v>
      </c>
      <c r="F1368" s="199"/>
      <c r="G1368" s="140" t="e">
        <f ca="1">mif(C1368="","",OR(B1368=リスト!$C$5,B1368=リスト!$C$6),SUM(INDEX(G:G,MATCH(I1368-1,I:I,0)+1,1):INDEX(G:G,MATCH(I1368,I:I,0)-1,1)),D1368-C1368)</f>
        <v>#NAME?</v>
      </c>
      <c r="H1368" s="140" t="e">
        <f ca="1">mif(C1368="","",B1368=リスト!$C$5,SUMIF(INDEX(B:B,MATCH(I1368-1,I:I,0)+1,1):INDEX(B:B,MATCH(I1368,I:I,0)-1,1),リスト!$C$7,INDEX(G:G,MATCH(I1368-1,I:I,0)+1,1):INDEX(G:G,MATCH(I1368,I:I,0)-1,1)),"")</f>
        <v>#NAME?</v>
      </c>
      <c r="I1368" s="200" t="str">
        <f>IF(OR(B1368=リスト!$C$5,B1368=リスト!$C$6),COUNTIF($B$9:B1368,リスト!$C$5)+COUNTIF($B$9:B1368,リスト!$C$6),"")</f>
        <v/>
      </c>
    </row>
    <row r="1369" spans="2:9" x14ac:dyDescent="0.2">
      <c r="B1369" s="196"/>
      <c r="C1369" s="197">
        <v>45592.234305555554</v>
      </c>
      <c r="D1369" s="197">
        <v>45592.234560185185</v>
      </c>
      <c r="E1369" s="198" t="s">
        <v>244</v>
      </c>
      <c r="F1369" s="199"/>
      <c r="G1369" s="140" t="e">
        <f ca="1">mif(C1369="","",OR(B1369=リスト!$C$5,B1369=リスト!$C$6),SUM(INDEX(G:G,MATCH(I1369-1,I:I,0)+1,1):INDEX(G:G,MATCH(I1369,I:I,0)-1,1)),D1369-C1369)</f>
        <v>#NAME?</v>
      </c>
      <c r="H1369" s="140" t="e">
        <f ca="1">mif(C1369="","",B1369=リスト!$C$5,SUMIF(INDEX(B:B,MATCH(I1369-1,I:I,0)+1,1):INDEX(B:B,MATCH(I1369,I:I,0)-1,1),リスト!$C$7,INDEX(G:G,MATCH(I1369-1,I:I,0)+1,1):INDEX(G:G,MATCH(I1369,I:I,0)-1,1)),"")</f>
        <v>#NAME?</v>
      </c>
      <c r="I1369" s="200" t="str">
        <f>IF(OR(B1369=リスト!$C$5,B1369=リスト!$C$6),COUNTIF($B$9:B1369,リスト!$C$5)+COUNTIF($B$9:B1369,リスト!$C$6),"")</f>
        <v/>
      </c>
    </row>
    <row r="1370" spans="2:9" x14ac:dyDescent="0.2">
      <c r="B1370" s="196"/>
      <c r="C1370" s="197">
        <v>45592.239386574074</v>
      </c>
      <c r="D1370" s="197">
        <v>45592.239687499998</v>
      </c>
      <c r="E1370" s="198" t="s">
        <v>244</v>
      </c>
      <c r="F1370" s="199"/>
      <c r="G1370" s="140" t="e">
        <f ca="1">mif(C1370="","",OR(B1370=リスト!$C$5,B1370=リスト!$C$6),SUM(INDEX(G:G,MATCH(I1370-1,I:I,0)+1,1):INDEX(G:G,MATCH(I1370,I:I,0)-1,1)),D1370-C1370)</f>
        <v>#NAME?</v>
      </c>
      <c r="H1370" s="140" t="e">
        <f ca="1">mif(C1370="","",B1370=リスト!$C$5,SUMIF(INDEX(B:B,MATCH(I1370-1,I:I,0)+1,1):INDEX(B:B,MATCH(I1370,I:I,0)-1,1),リスト!$C$7,INDEX(G:G,MATCH(I1370-1,I:I,0)+1,1):INDEX(G:G,MATCH(I1370,I:I,0)-1,1)),"")</f>
        <v>#NAME?</v>
      </c>
      <c r="I1370" s="200" t="str">
        <f>IF(OR(B1370=リスト!$C$5,B1370=リスト!$C$6),COUNTIF($B$9:B1370,リスト!$C$5)+COUNTIF($B$9:B1370,リスト!$C$6),"")</f>
        <v/>
      </c>
    </row>
    <row r="1371" spans="2:9" x14ac:dyDescent="0.2">
      <c r="B1371" s="196"/>
      <c r="C1371" s="197">
        <v>45592.252581018518</v>
      </c>
      <c r="D1371" s="197">
        <v>45592.253067129626</v>
      </c>
      <c r="E1371" s="198" t="s">
        <v>244</v>
      </c>
      <c r="F1371" s="199"/>
      <c r="G1371" s="140" t="e">
        <f ca="1">mif(C1371="","",OR(B1371=リスト!$C$5,B1371=リスト!$C$6),SUM(INDEX(G:G,MATCH(I1371-1,I:I,0)+1,1):INDEX(G:G,MATCH(I1371,I:I,0)-1,1)),D1371-C1371)</f>
        <v>#NAME?</v>
      </c>
      <c r="H1371" s="140" t="e">
        <f ca="1">mif(C1371="","",B1371=リスト!$C$5,SUMIF(INDEX(B:B,MATCH(I1371-1,I:I,0)+1,1):INDEX(B:B,MATCH(I1371,I:I,0)-1,1),リスト!$C$7,INDEX(G:G,MATCH(I1371-1,I:I,0)+1,1):INDEX(G:G,MATCH(I1371,I:I,0)-1,1)),"")</f>
        <v>#NAME?</v>
      </c>
      <c r="I1371" s="200" t="str">
        <f>IF(OR(B1371=リスト!$C$5,B1371=リスト!$C$6),COUNTIF($B$9:B1371,リスト!$C$5)+COUNTIF($B$9:B1371,リスト!$C$6),"")</f>
        <v/>
      </c>
    </row>
    <row r="1372" spans="2:9" x14ac:dyDescent="0.2">
      <c r="B1372" s="196"/>
      <c r="C1372" s="197">
        <v>45592.2737037037</v>
      </c>
      <c r="D1372" s="197">
        <v>45592.274027777778</v>
      </c>
      <c r="E1372" s="198" t="s">
        <v>244</v>
      </c>
      <c r="F1372" s="199"/>
      <c r="G1372" s="140" t="e">
        <f ca="1">mif(C1372="","",OR(B1372=リスト!$C$5,B1372=リスト!$C$6),SUM(INDEX(G:G,MATCH(I1372-1,I:I,0)+1,1):INDEX(G:G,MATCH(I1372,I:I,0)-1,1)),D1372-C1372)</f>
        <v>#NAME?</v>
      </c>
      <c r="H1372" s="140" t="e">
        <f ca="1">mif(C1372="","",B1372=リスト!$C$5,SUMIF(INDEX(B:B,MATCH(I1372-1,I:I,0)+1,1):INDEX(B:B,MATCH(I1372,I:I,0)-1,1),リスト!$C$7,INDEX(G:G,MATCH(I1372-1,I:I,0)+1,1):INDEX(G:G,MATCH(I1372,I:I,0)-1,1)),"")</f>
        <v>#NAME?</v>
      </c>
      <c r="I1372" s="200" t="str">
        <f>IF(OR(B1372=リスト!$C$5,B1372=リスト!$C$6),COUNTIF($B$9:B1372,リスト!$C$5)+COUNTIF($B$9:B1372,リスト!$C$6),"")</f>
        <v/>
      </c>
    </row>
    <row r="1373" spans="2:9" x14ac:dyDescent="0.2">
      <c r="B1373" s="196"/>
      <c r="C1373" s="197">
        <v>45592.283634259256</v>
      </c>
      <c r="D1373" s="197">
        <v>45592.283935185187</v>
      </c>
      <c r="E1373" s="198" t="s">
        <v>244</v>
      </c>
      <c r="F1373" s="199"/>
      <c r="G1373" s="140" t="e">
        <f ca="1">mif(C1373="","",OR(B1373=リスト!$C$5,B1373=リスト!$C$6),SUM(INDEX(G:G,MATCH(I1373-1,I:I,0)+1,1):INDEX(G:G,MATCH(I1373,I:I,0)-1,1)),D1373-C1373)</f>
        <v>#NAME?</v>
      </c>
      <c r="H1373" s="140" t="e">
        <f ca="1">mif(C1373="","",B1373=リスト!$C$5,SUMIF(INDEX(B:B,MATCH(I1373-1,I:I,0)+1,1):INDEX(B:B,MATCH(I1373,I:I,0)-1,1),リスト!$C$7,INDEX(G:G,MATCH(I1373-1,I:I,0)+1,1):INDEX(G:G,MATCH(I1373,I:I,0)-1,1)),"")</f>
        <v>#NAME?</v>
      </c>
      <c r="I1373" s="200" t="str">
        <f>IF(OR(B1373=リスト!$C$5,B1373=リスト!$C$6),COUNTIF($B$9:B1373,リスト!$C$5)+COUNTIF($B$9:B1373,リスト!$C$6),"")</f>
        <v/>
      </c>
    </row>
    <row r="1374" spans="2:9" x14ac:dyDescent="0.2">
      <c r="B1374" s="196"/>
      <c r="C1374" s="197">
        <v>45592.284351851849</v>
      </c>
      <c r="D1374" s="197">
        <v>45592.284814814811</v>
      </c>
      <c r="E1374" s="198" t="s">
        <v>244</v>
      </c>
      <c r="F1374" s="199"/>
      <c r="G1374" s="140" t="e">
        <f ca="1">mif(C1374="","",OR(B1374=リスト!$C$5,B1374=リスト!$C$6),SUM(INDEX(G:G,MATCH(I1374-1,I:I,0)+1,1):INDEX(G:G,MATCH(I1374,I:I,0)-1,1)),D1374-C1374)</f>
        <v>#NAME?</v>
      </c>
      <c r="H1374" s="140" t="e">
        <f ca="1">mif(C1374="","",B1374=リスト!$C$5,SUMIF(INDEX(B:B,MATCH(I1374-1,I:I,0)+1,1):INDEX(B:B,MATCH(I1374,I:I,0)-1,1),リスト!$C$7,INDEX(G:G,MATCH(I1374-1,I:I,0)+1,1):INDEX(G:G,MATCH(I1374,I:I,0)-1,1)),"")</f>
        <v>#NAME?</v>
      </c>
      <c r="I1374" s="200" t="str">
        <f>IF(OR(B1374=リスト!$C$5,B1374=リスト!$C$6),COUNTIF($B$9:B1374,リスト!$C$5)+COUNTIF($B$9:B1374,リスト!$C$6),"")</f>
        <v/>
      </c>
    </row>
    <row r="1375" spans="2:9" x14ac:dyDescent="0.2">
      <c r="B1375" s="196"/>
      <c r="C1375" s="197">
        <v>45592.285416666666</v>
      </c>
      <c r="D1375" s="197">
        <v>45592.285671296297</v>
      </c>
      <c r="E1375" s="198" t="s">
        <v>244</v>
      </c>
      <c r="F1375" s="199"/>
      <c r="G1375" s="140" t="e">
        <f ca="1">mif(C1375="","",OR(B1375=リスト!$C$5,B1375=リスト!$C$6),SUM(INDEX(G:G,MATCH(I1375-1,I:I,0)+1,1):INDEX(G:G,MATCH(I1375,I:I,0)-1,1)),D1375-C1375)</f>
        <v>#NAME?</v>
      </c>
      <c r="H1375" s="140" t="e">
        <f ca="1">mif(C1375="","",B1375=リスト!$C$5,SUMIF(INDEX(B:B,MATCH(I1375-1,I:I,0)+1,1):INDEX(B:B,MATCH(I1375,I:I,0)-1,1),リスト!$C$7,INDEX(G:G,MATCH(I1375-1,I:I,0)+1,1):INDEX(G:G,MATCH(I1375,I:I,0)-1,1)),"")</f>
        <v>#NAME?</v>
      </c>
      <c r="I1375" s="200" t="str">
        <f>IF(OR(B1375=リスト!$C$5,B1375=リスト!$C$6),COUNTIF($B$9:B1375,リスト!$C$5)+COUNTIF($B$9:B1375,リスト!$C$6),"")</f>
        <v/>
      </c>
    </row>
    <row r="1376" spans="2:9" x14ac:dyDescent="0.2">
      <c r="B1376" s="196"/>
      <c r="C1376" s="197">
        <v>45592.310844907406</v>
      </c>
      <c r="D1376" s="197">
        <v>45592.312222222223</v>
      </c>
      <c r="E1376" s="198" t="s">
        <v>244</v>
      </c>
      <c r="F1376" s="199"/>
      <c r="G1376" s="140" t="e">
        <f ca="1">mif(C1376="","",OR(B1376=リスト!$C$5,B1376=リスト!$C$6),SUM(INDEX(G:G,MATCH(I1376-1,I:I,0)+1,1):INDEX(G:G,MATCH(I1376,I:I,0)-1,1)),D1376-C1376)</f>
        <v>#NAME?</v>
      </c>
      <c r="H1376" s="140" t="e">
        <f ca="1">mif(C1376="","",B1376=リスト!$C$5,SUMIF(INDEX(B:B,MATCH(I1376-1,I:I,0)+1,1):INDEX(B:B,MATCH(I1376,I:I,0)-1,1),リスト!$C$7,INDEX(G:G,MATCH(I1376-1,I:I,0)+1,1):INDEX(G:G,MATCH(I1376,I:I,0)-1,1)),"")</f>
        <v>#NAME?</v>
      </c>
      <c r="I1376" s="200" t="str">
        <f>IF(OR(B1376=リスト!$C$5,B1376=リスト!$C$6),COUNTIF($B$9:B1376,リスト!$C$5)+COUNTIF($B$9:B1376,リスト!$C$6),"")</f>
        <v/>
      </c>
    </row>
    <row r="1377" spans="2:9" x14ac:dyDescent="0.2">
      <c r="B1377" s="196"/>
      <c r="C1377" s="197">
        <v>45592.384583333333</v>
      </c>
      <c r="D1377" s="197">
        <v>45592.38486111111</v>
      </c>
      <c r="E1377" s="198" t="s">
        <v>244</v>
      </c>
      <c r="F1377" s="199"/>
      <c r="G1377" s="140" t="e">
        <f ca="1">mif(C1377="","",OR(B1377=リスト!$C$5,B1377=リスト!$C$6),SUM(INDEX(G:G,MATCH(I1377-1,I:I,0)+1,1):INDEX(G:G,MATCH(I1377,I:I,0)-1,1)),D1377-C1377)</f>
        <v>#NAME?</v>
      </c>
      <c r="H1377" s="140" t="e">
        <f ca="1">mif(C1377="","",B1377=リスト!$C$5,SUMIF(INDEX(B:B,MATCH(I1377-1,I:I,0)+1,1):INDEX(B:B,MATCH(I1377,I:I,0)-1,1),リスト!$C$7,INDEX(G:G,MATCH(I1377-1,I:I,0)+1,1):INDEX(G:G,MATCH(I1377,I:I,0)-1,1)),"")</f>
        <v>#NAME?</v>
      </c>
      <c r="I1377" s="200" t="str">
        <f>IF(OR(B1377=リスト!$C$5,B1377=リスト!$C$6),COUNTIF($B$9:B1377,リスト!$C$5)+COUNTIF($B$9:B1377,リスト!$C$6),"")</f>
        <v/>
      </c>
    </row>
    <row r="1378" spans="2:9" x14ac:dyDescent="0.2">
      <c r="B1378" s="196" t="s">
        <v>247</v>
      </c>
      <c r="C1378" s="197">
        <v>45591.916666666664</v>
      </c>
      <c r="D1378" s="197">
        <v>45592.416666666664</v>
      </c>
      <c r="E1378" s="198">
        <v>15</v>
      </c>
      <c r="F1378" s="199"/>
      <c r="G1378" s="140" t="e">
        <f ca="1">mif(C1378="","",OR(B1378=リスト!$C$5,B1378=リスト!$C$6),SUM(INDEX(G:G,MATCH(I1378-1,I:I,0)+1,1):INDEX(G:G,MATCH(I1378,I:I,0)-1,1)),D1378-C1378)</f>
        <v>#NAME?</v>
      </c>
      <c r="H1378" s="140" t="e">
        <f ca="1">mif(C1378="","",B1378=リスト!$C$5,SUMIF(INDEX(B:B,MATCH(I1378-1,I:I,0)+1,1):INDEX(B:B,MATCH(I1378,I:I,0)-1,1),リスト!$C$7,INDEX(G:G,MATCH(I1378-1,I:I,0)+1,1):INDEX(G:G,MATCH(I1378,I:I,0)-1,1)),"")</f>
        <v>#NAME?</v>
      </c>
      <c r="I1378" s="200">
        <f>IF(OR(B1378=リスト!$C$5,B1378=リスト!$C$6),COUNTIF($B$9:B1378,リスト!$C$5)+COUNTIF($B$9:B1378,リスト!$C$6),"")</f>
        <v>93</v>
      </c>
    </row>
    <row r="1379" spans="2:9" x14ac:dyDescent="0.2">
      <c r="B1379" s="196"/>
      <c r="C1379" s="197">
        <v>45592.418055555558</v>
      </c>
      <c r="D1379" s="197">
        <v>45592.418333333335</v>
      </c>
      <c r="E1379" s="198" t="s">
        <v>244</v>
      </c>
      <c r="F1379" s="199"/>
      <c r="G1379" s="140" t="e">
        <f ca="1">mif(C1379="","",OR(B1379=リスト!$C$5,B1379=リスト!$C$6),SUM(INDEX(G:G,MATCH(I1379-1,I:I,0)+1,1):INDEX(G:G,MATCH(I1379,I:I,0)-1,1)),D1379-C1379)</f>
        <v>#NAME?</v>
      </c>
      <c r="H1379" s="140" t="e">
        <f ca="1">mif(C1379="","",B1379=リスト!$C$5,SUMIF(INDEX(B:B,MATCH(I1379-1,I:I,0)+1,1):INDEX(B:B,MATCH(I1379,I:I,0)-1,1),リスト!$C$7,INDEX(G:G,MATCH(I1379-1,I:I,0)+1,1):INDEX(G:G,MATCH(I1379,I:I,0)-1,1)),"")</f>
        <v>#NAME?</v>
      </c>
      <c r="I1379" s="200" t="str">
        <f>IF(OR(B1379=リスト!$C$5,B1379=リスト!$C$6),COUNTIF($B$9:B1379,リスト!$C$5)+COUNTIF($B$9:B1379,リスト!$C$6),"")</f>
        <v/>
      </c>
    </row>
    <row r="1380" spans="2:9" x14ac:dyDescent="0.2">
      <c r="B1380" s="196"/>
      <c r="C1380" s="197">
        <v>45592.445289351854</v>
      </c>
      <c r="D1380" s="197">
        <v>45592.445798611108</v>
      </c>
      <c r="E1380" s="198" t="s">
        <v>244</v>
      </c>
      <c r="F1380" s="199"/>
      <c r="G1380" s="140" t="e">
        <f ca="1">mif(C1380="","",OR(B1380=リスト!$C$5,B1380=リスト!$C$6),SUM(INDEX(G:G,MATCH(I1380-1,I:I,0)+1,1):INDEX(G:G,MATCH(I1380,I:I,0)-1,1)),D1380-C1380)</f>
        <v>#NAME?</v>
      </c>
      <c r="H1380" s="140" t="e">
        <f ca="1">mif(C1380="","",B1380=リスト!$C$5,SUMIF(INDEX(B:B,MATCH(I1380-1,I:I,0)+1,1):INDEX(B:B,MATCH(I1380,I:I,0)-1,1),リスト!$C$7,INDEX(G:G,MATCH(I1380-1,I:I,0)+1,1):INDEX(G:G,MATCH(I1380,I:I,0)-1,1)),"")</f>
        <v>#NAME?</v>
      </c>
      <c r="I1380" s="200" t="str">
        <f>IF(OR(B1380=リスト!$C$5,B1380=リスト!$C$6),COUNTIF($B$9:B1380,リスト!$C$5)+COUNTIF($B$9:B1380,リスト!$C$6),"")</f>
        <v/>
      </c>
    </row>
    <row r="1381" spans="2:9" x14ac:dyDescent="0.2">
      <c r="B1381" s="196"/>
      <c r="C1381" s="197">
        <v>45592.537800925929</v>
      </c>
      <c r="D1381" s="197">
        <v>45592.538587962961</v>
      </c>
      <c r="E1381" s="198" t="s">
        <v>244</v>
      </c>
      <c r="F1381" s="199"/>
      <c r="G1381" s="140" t="e">
        <f ca="1">mif(C1381="","",OR(B1381=リスト!$C$5,B1381=リスト!$C$6),SUM(INDEX(G:G,MATCH(I1381-1,I:I,0)+1,1):INDEX(G:G,MATCH(I1381,I:I,0)-1,1)),D1381-C1381)</f>
        <v>#NAME?</v>
      </c>
      <c r="H1381" s="140" t="e">
        <f ca="1">mif(C1381="","",B1381=リスト!$C$5,SUMIF(INDEX(B:B,MATCH(I1381-1,I:I,0)+1,1):INDEX(B:B,MATCH(I1381,I:I,0)-1,1),リスト!$C$7,INDEX(G:G,MATCH(I1381-1,I:I,0)+1,1):INDEX(G:G,MATCH(I1381,I:I,0)-1,1)),"")</f>
        <v>#NAME?</v>
      </c>
      <c r="I1381" s="200" t="str">
        <f>IF(OR(B1381=リスト!$C$5,B1381=リスト!$C$6),COUNTIF($B$9:B1381,リスト!$C$5)+COUNTIF($B$9:B1381,リスト!$C$6),"")</f>
        <v/>
      </c>
    </row>
    <row r="1382" spans="2:9" x14ac:dyDescent="0.2">
      <c r="B1382" s="196"/>
      <c r="C1382" s="197">
        <v>45592.554062499999</v>
      </c>
      <c r="D1382" s="197">
        <v>45592.554409722223</v>
      </c>
      <c r="E1382" s="198" t="s">
        <v>244</v>
      </c>
      <c r="F1382" s="199"/>
      <c r="G1382" s="140" t="e">
        <f ca="1">mif(C1382="","",OR(B1382=リスト!$C$5,B1382=リスト!$C$6),SUM(INDEX(G:G,MATCH(I1382-1,I:I,0)+1,1):INDEX(G:G,MATCH(I1382,I:I,0)-1,1)),D1382-C1382)</f>
        <v>#NAME?</v>
      </c>
      <c r="H1382" s="140" t="e">
        <f ca="1">mif(C1382="","",B1382=リスト!$C$5,SUMIF(INDEX(B:B,MATCH(I1382-1,I:I,0)+1,1):INDEX(B:B,MATCH(I1382,I:I,0)-1,1),リスト!$C$7,INDEX(G:G,MATCH(I1382-1,I:I,0)+1,1):INDEX(G:G,MATCH(I1382,I:I,0)-1,1)),"")</f>
        <v>#NAME?</v>
      </c>
      <c r="I1382" s="200" t="str">
        <f>IF(OR(B1382=リスト!$C$5,B1382=リスト!$C$6),COUNTIF($B$9:B1382,リスト!$C$5)+COUNTIF($B$9:B1382,リスト!$C$6),"")</f>
        <v/>
      </c>
    </row>
    <row r="1383" spans="2:9" x14ac:dyDescent="0.2">
      <c r="B1383" s="196"/>
      <c r="C1383" s="197">
        <v>45592.57571759259</v>
      </c>
      <c r="D1383" s="197">
        <v>45592.576736111114</v>
      </c>
      <c r="E1383" s="198" t="s">
        <v>244</v>
      </c>
      <c r="F1383" s="199"/>
      <c r="G1383" s="140" t="e">
        <f ca="1">mif(C1383="","",OR(B1383=リスト!$C$5,B1383=リスト!$C$6),SUM(INDEX(G:G,MATCH(I1383-1,I:I,0)+1,1):INDEX(G:G,MATCH(I1383,I:I,0)-1,1)),D1383-C1383)</f>
        <v>#NAME?</v>
      </c>
      <c r="H1383" s="140" t="e">
        <f ca="1">mif(C1383="","",B1383=リスト!$C$5,SUMIF(INDEX(B:B,MATCH(I1383-1,I:I,0)+1,1):INDEX(B:B,MATCH(I1383,I:I,0)-1,1),リスト!$C$7,INDEX(G:G,MATCH(I1383-1,I:I,0)+1,1):INDEX(G:G,MATCH(I1383,I:I,0)-1,1)),"")</f>
        <v>#NAME?</v>
      </c>
      <c r="I1383" s="200" t="str">
        <f>IF(OR(B1383=リスト!$C$5,B1383=リスト!$C$6),COUNTIF($B$9:B1383,リスト!$C$5)+COUNTIF($B$9:B1383,リスト!$C$6),"")</f>
        <v/>
      </c>
    </row>
    <row r="1384" spans="2:9" x14ac:dyDescent="0.2">
      <c r="B1384" s="196"/>
      <c r="C1384" s="197">
        <v>45592.652511574073</v>
      </c>
      <c r="D1384" s="197">
        <v>45592.65283564815</v>
      </c>
      <c r="E1384" s="198" t="s">
        <v>244</v>
      </c>
      <c r="F1384" s="199"/>
      <c r="G1384" s="140" t="e">
        <f ca="1">mif(C1384="","",OR(B1384=リスト!$C$5,B1384=リスト!$C$6),SUM(INDEX(G:G,MATCH(I1384-1,I:I,0)+1,1):INDEX(G:G,MATCH(I1384,I:I,0)-1,1)),D1384-C1384)</f>
        <v>#NAME?</v>
      </c>
      <c r="H1384" s="140" t="e">
        <f ca="1">mif(C1384="","",B1384=リスト!$C$5,SUMIF(INDEX(B:B,MATCH(I1384-1,I:I,0)+1,1):INDEX(B:B,MATCH(I1384,I:I,0)-1,1),リスト!$C$7,INDEX(G:G,MATCH(I1384-1,I:I,0)+1,1):INDEX(G:G,MATCH(I1384,I:I,0)-1,1)),"")</f>
        <v>#NAME?</v>
      </c>
      <c r="I1384" s="200" t="str">
        <f>IF(OR(B1384=リスト!$C$5,B1384=リスト!$C$6),COUNTIF($B$9:B1384,リスト!$C$5)+COUNTIF($B$9:B1384,リスト!$C$6),"")</f>
        <v/>
      </c>
    </row>
    <row r="1385" spans="2:9" x14ac:dyDescent="0.2">
      <c r="B1385" s="196"/>
      <c r="C1385" s="197">
        <v>45592.676620370374</v>
      </c>
      <c r="D1385" s="197">
        <v>45592.676898148151</v>
      </c>
      <c r="E1385" s="198" t="s">
        <v>244</v>
      </c>
      <c r="F1385" s="199"/>
      <c r="G1385" s="140" t="e">
        <f ca="1">mif(C1385="","",OR(B1385=リスト!$C$5,B1385=リスト!$C$6),SUM(INDEX(G:G,MATCH(I1385-1,I:I,0)+1,1):INDEX(G:G,MATCH(I1385,I:I,0)-1,1)),D1385-C1385)</f>
        <v>#NAME?</v>
      </c>
      <c r="H1385" s="140" t="e">
        <f ca="1">mif(C1385="","",B1385=リスト!$C$5,SUMIF(INDEX(B:B,MATCH(I1385-1,I:I,0)+1,1):INDEX(B:B,MATCH(I1385,I:I,0)-1,1),リスト!$C$7,INDEX(G:G,MATCH(I1385-1,I:I,0)+1,1):INDEX(G:G,MATCH(I1385,I:I,0)-1,1)),"")</f>
        <v>#NAME?</v>
      </c>
      <c r="I1385" s="200" t="str">
        <f>IF(OR(B1385=リスト!$C$5,B1385=リスト!$C$6),COUNTIF($B$9:B1385,リスト!$C$5)+COUNTIF($B$9:B1385,リスト!$C$6),"")</f>
        <v/>
      </c>
    </row>
    <row r="1386" spans="2:9" x14ac:dyDescent="0.2">
      <c r="B1386" s="196"/>
      <c r="C1386" s="197">
        <v>45592.727152777778</v>
      </c>
      <c r="D1386" s="197">
        <v>45592.727685185186</v>
      </c>
      <c r="E1386" s="198" t="s">
        <v>244</v>
      </c>
      <c r="F1386" s="199"/>
      <c r="G1386" s="140" t="e">
        <f ca="1">mif(C1386="","",OR(B1386=リスト!$C$5,B1386=リスト!$C$6),SUM(INDEX(G:G,MATCH(I1386-1,I:I,0)+1,1):INDEX(G:G,MATCH(I1386,I:I,0)-1,1)),D1386-C1386)</f>
        <v>#NAME?</v>
      </c>
      <c r="H1386" s="140" t="e">
        <f ca="1">mif(C1386="","",B1386=リスト!$C$5,SUMIF(INDEX(B:B,MATCH(I1386-1,I:I,0)+1,1):INDEX(B:B,MATCH(I1386,I:I,0)-1,1),リスト!$C$7,INDEX(G:G,MATCH(I1386-1,I:I,0)+1,1):INDEX(G:G,MATCH(I1386,I:I,0)-1,1)),"")</f>
        <v>#NAME?</v>
      </c>
      <c r="I1386" s="200" t="str">
        <f>IF(OR(B1386=リスト!$C$5,B1386=リスト!$C$6),COUNTIF($B$9:B1386,リスト!$C$5)+COUNTIF($B$9:B1386,リスト!$C$6),"")</f>
        <v/>
      </c>
    </row>
    <row r="1387" spans="2:9" x14ac:dyDescent="0.2">
      <c r="B1387" s="196"/>
      <c r="C1387" s="197">
        <v>45592.742731481485</v>
      </c>
      <c r="D1387" s="197">
        <v>45592.743333333332</v>
      </c>
      <c r="E1387" s="198" t="s">
        <v>244</v>
      </c>
      <c r="F1387" s="199"/>
      <c r="G1387" s="140" t="e">
        <f ca="1">mif(C1387="","",OR(B1387=リスト!$C$5,B1387=リスト!$C$6),SUM(INDEX(G:G,MATCH(I1387-1,I:I,0)+1,1):INDEX(G:G,MATCH(I1387,I:I,0)-1,1)),D1387-C1387)</f>
        <v>#NAME?</v>
      </c>
      <c r="H1387" s="140" t="e">
        <f ca="1">mif(C1387="","",B1387=リスト!$C$5,SUMIF(INDEX(B:B,MATCH(I1387-1,I:I,0)+1,1):INDEX(B:B,MATCH(I1387,I:I,0)-1,1),リスト!$C$7,INDEX(G:G,MATCH(I1387-1,I:I,0)+1,1):INDEX(G:G,MATCH(I1387,I:I,0)-1,1)),"")</f>
        <v>#NAME?</v>
      </c>
      <c r="I1387" s="200" t="str">
        <f>IF(OR(B1387=リスト!$C$5,B1387=リスト!$C$6),COUNTIF($B$9:B1387,リスト!$C$5)+COUNTIF($B$9:B1387,リスト!$C$6),"")</f>
        <v/>
      </c>
    </row>
    <row r="1388" spans="2:9" x14ac:dyDescent="0.2">
      <c r="B1388" s="196"/>
      <c r="C1388" s="197">
        <v>45592.74832175926</v>
      </c>
      <c r="D1388" s="197">
        <v>45592.748877314814</v>
      </c>
      <c r="E1388" s="198" t="s">
        <v>244</v>
      </c>
      <c r="F1388" s="199"/>
      <c r="G1388" s="140" t="e">
        <f ca="1">mif(C1388="","",OR(B1388=リスト!$C$5,B1388=リスト!$C$6),SUM(INDEX(G:G,MATCH(I1388-1,I:I,0)+1,1):INDEX(G:G,MATCH(I1388,I:I,0)-1,1)),D1388-C1388)</f>
        <v>#NAME?</v>
      </c>
      <c r="H1388" s="140" t="e">
        <f ca="1">mif(C1388="","",B1388=リスト!$C$5,SUMIF(INDEX(B:B,MATCH(I1388-1,I:I,0)+1,1):INDEX(B:B,MATCH(I1388,I:I,0)-1,1),リスト!$C$7,INDEX(G:G,MATCH(I1388-1,I:I,0)+1,1):INDEX(G:G,MATCH(I1388,I:I,0)-1,1)),"")</f>
        <v>#NAME?</v>
      </c>
      <c r="I1388" s="200" t="str">
        <f>IF(OR(B1388=リスト!$C$5,B1388=リスト!$C$6),COUNTIF($B$9:B1388,リスト!$C$5)+COUNTIF($B$9:B1388,リスト!$C$6),"")</f>
        <v/>
      </c>
    </row>
    <row r="1389" spans="2:9" x14ac:dyDescent="0.2">
      <c r="B1389" s="196"/>
      <c r="C1389" s="197">
        <v>45592.753692129627</v>
      </c>
      <c r="D1389" s="197">
        <v>45592.753969907404</v>
      </c>
      <c r="E1389" s="198" t="s">
        <v>244</v>
      </c>
      <c r="F1389" s="199"/>
      <c r="G1389" s="140" t="e">
        <f ca="1">mif(C1389="","",OR(B1389=リスト!$C$5,B1389=リスト!$C$6),SUM(INDEX(G:G,MATCH(I1389-1,I:I,0)+1,1):INDEX(G:G,MATCH(I1389,I:I,0)-1,1)),D1389-C1389)</f>
        <v>#NAME?</v>
      </c>
      <c r="H1389" s="140" t="e">
        <f ca="1">mif(C1389="","",B1389=リスト!$C$5,SUMIF(INDEX(B:B,MATCH(I1389-1,I:I,0)+1,1):INDEX(B:B,MATCH(I1389,I:I,0)-1,1),リスト!$C$7,INDEX(G:G,MATCH(I1389-1,I:I,0)+1,1):INDEX(G:G,MATCH(I1389,I:I,0)-1,1)),"")</f>
        <v>#NAME?</v>
      </c>
      <c r="I1389" s="200" t="str">
        <f>IF(OR(B1389=リスト!$C$5,B1389=リスト!$C$6),COUNTIF($B$9:B1389,リスト!$C$5)+COUNTIF($B$9:B1389,リスト!$C$6),"")</f>
        <v/>
      </c>
    </row>
    <row r="1390" spans="2:9" x14ac:dyDescent="0.2">
      <c r="B1390" s="196"/>
      <c r="C1390" s="197">
        <v>45592.858854166669</v>
      </c>
      <c r="D1390" s="197">
        <v>45592.861006944448</v>
      </c>
      <c r="E1390" s="198" t="s">
        <v>244</v>
      </c>
      <c r="F1390" s="199"/>
      <c r="G1390" s="140" t="e">
        <f ca="1">mif(C1390="","",OR(B1390=リスト!$C$5,B1390=リスト!$C$6),SUM(INDEX(G:G,MATCH(I1390-1,I:I,0)+1,1):INDEX(G:G,MATCH(I1390,I:I,0)-1,1)),D1390-C1390)</f>
        <v>#NAME?</v>
      </c>
      <c r="H1390" s="140" t="e">
        <f ca="1">mif(C1390="","",B1390=リスト!$C$5,SUMIF(INDEX(B:B,MATCH(I1390-1,I:I,0)+1,1):INDEX(B:B,MATCH(I1390,I:I,0)-1,1),リスト!$C$7,INDEX(G:G,MATCH(I1390-1,I:I,0)+1,1):INDEX(G:G,MATCH(I1390,I:I,0)-1,1)),"")</f>
        <v>#NAME?</v>
      </c>
      <c r="I1390" s="200" t="str">
        <f>IF(OR(B1390=リスト!$C$5,B1390=リスト!$C$6),COUNTIF($B$9:B1390,リスト!$C$5)+COUNTIF($B$9:B1390,リスト!$C$6),"")</f>
        <v/>
      </c>
    </row>
    <row r="1391" spans="2:9" x14ac:dyDescent="0.2">
      <c r="B1391" s="196"/>
      <c r="C1391" s="197">
        <v>45592.912280092591</v>
      </c>
      <c r="D1391" s="197">
        <v>45592.912534722222</v>
      </c>
      <c r="E1391" s="198" t="s">
        <v>244</v>
      </c>
      <c r="F1391" s="199"/>
      <c r="G1391" s="140" t="e">
        <f ca="1">mif(C1391="","",OR(B1391=リスト!$C$5,B1391=リスト!$C$6),SUM(INDEX(G:G,MATCH(I1391-1,I:I,0)+1,1):INDEX(G:G,MATCH(I1391,I:I,0)-1,1)),D1391-C1391)</f>
        <v>#NAME?</v>
      </c>
      <c r="H1391" s="140" t="e">
        <f ca="1">mif(C1391="","",B1391=リスト!$C$5,SUMIF(INDEX(B:B,MATCH(I1391-1,I:I,0)+1,1):INDEX(B:B,MATCH(I1391,I:I,0)-1,1),リスト!$C$7,INDEX(G:G,MATCH(I1391-1,I:I,0)+1,1):INDEX(G:G,MATCH(I1391,I:I,0)-1,1)),"")</f>
        <v>#NAME?</v>
      </c>
      <c r="I1391" s="200" t="str">
        <f>IF(OR(B1391=リスト!$C$5,B1391=リスト!$C$6),COUNTIF($B$9:B1391,リスト!$C$5)+COUNTIF($B$9:B1391,リスト!$C$6),"")</f>
        <v/>
      </c>
    </row>
    <row r="1392" spans="2:9" x14ac:dyDescent="0.2">
      <c r="B1392" s="196" t="s">
        <v>247</v>
      </c>
      <c r="C1392" s="197">
        <v>45592.416666666664</v>
      </c>
      <c r="D1392" s="197">
        <v>45592.916666666664</v>
      </c>
      <c r="E1392" s="198">
        <v>13</v>
      </c>
      <c r="F1392" s="199"/>
      <c r="G1392" s="140" t="e">
        <f ca="1">mif(C1392="","",OR(B1392=リスト!$C$5,B1392=リスト!$C$6),SUM(INDEX(G:G,MATCH(I1392-1,I:I,0)+1,1):INDEX(G:G,MATCH(I1392,I:I,0)-1,1)),D1392-C1392)</f>
        <v>#NAME?</v>
      </c>
      <c r="H1392" s="140" t="e">
        <f ca="1">mif(C1392="","",B1392=リスト!$C$5,SUMIF(INDEX(B:B,MATCH(I1392-1,I:I,0)+1,1):INDEX(B:B,MATCH(I1392,I:I,0)-1,1),リスト!$C$7,INDEX(G:G,MATCH(I1392-1,I:I,0)+1,1):INDEX(G:G,MATCH(I1392,I:I,0)-1,1)),"")</f>
        <v>#NAME?</v>
      </c>
      <c r="I1392" s="200">
        <f>IF(OR(B1392=リスト!$C$5,B1392=リスト!$C$6),COUNTIF($B$9:B1392,リスト!$C$5)+COUNTIF($B$9:B1392,リスト!$C$6),"")</f>
        <v>94</v>
      </c>
    </row>
    <row r="1393" spans="2:9" x14ac:dyDescent="0.2">
      <c r="B1393" s="196"/>
      <c r="C1393" s="197"/>
      <c r="D1393" s="197"/>
      <c r="E1393" s="198"/>
      <c r="F1393" s="199"/>
      <c r="G1393" s="140" t="e">
        <f ca="1">mif(C1393="","",OR(B1393=リスト!$C$5,B1393=リスト!$C$6),SUM(INDEX(G:G,MATCH(I1393-1,I:I,0)+1,1):INDEX(G:G,MATCH(I1393,I:I,0)-1,1)),D1393-C1393)</f>
        <v>#NAME?</v>
      </c>
      <c r="H1393" s="140" t="e">
        <f ca="1">mif(C1393="","",B1393=リスト!$C$5,SUMIF(INDEX(B:B,MATCH(I1393-1,I:I,0)+1,1):INDEX(B:B,MATCH(I1393,I:I,0)-1,1),リスト!$C$7,INDEX(G:G,MATCH(I1393-1,I:I,0)+1,1):INDEX(G:G,MATCH(I1393,I:I,0)-1,1)),"")</f>
        <v>#NAME?</v>
      </c>
      <c r="I1393" s="200" t="str">
        <f>IF(OR(B1393=リスト!$C$5,B1393=リスト!$C$6),COUNTIF($B$9:B1393,リスト!$C$5)+COUNTIF($B$9:B1393,リスト!$C$6),"")</f>
        <v/>
      </c>
    </row>
    <row r="1394" spans="2:9" x14ac:dyDescent="0.2">
      <c r="B1394" s="196"/>
      <c r="C1394" s="197"/>
      <c r="D1394" s="197"/>
      <c r="E1394" s="198" t="e">
        <f ca="1">mif(OR(C1394="",B1394=リスト!$C$7),"",B1394="","RF",OR(B1394=リスト!$C$5,B1394=リスト!$C$6),COUNTBLANK(INDEX(B:B,MATCH(I1394-1,I:I,0)+1,1):INDEX(B:B,MATCH(I1394,I:I,0)-1,1)),"")</f>
        <v>#NAME?</v>
      </c>
      <c r="F1394" s="199" t="s">
        <v>189</v>
      </c>
      <c r="G1394" s="140" t="e">
        <f ca="1">mif(C1394="","",OR(B1394=リスト!$C$5,B1394=リスト!$C$6),SUM(INDEX(G:G,MATCH(I1394-1,I:I,0)+1,1):INDEX(G:G,MATCH(I1394,I:I,0)-1,1)),D1394-C1394)</f>
        <v>#NAME?</v>
      </c>
      <c r="H1394" s="140" t="e">
        <f ca="1">mif(C1394="","",B1394=リスト!$C$5,SUMIF(INDEX(B:B,MATCH(I1394-1,I:I,0)+1,1):INDEX(B:B,MATCH(I1394,I:I,0)-1,1),リスト!$C$7,INDEX(G:G,MATCH(I1394-1,I:I,0)+1,1):INDEX(G:G,MATCH(I1394,I:I,0)-1,1)),"")</f>
        <v>#NAME?</v>
      </c>
      <c r="I1394" s="200" t="str">
        <f>IF(OR(B1394=リスト!$C$5,B1394=リスト!$C$6),COUNTIF($B$9:B1394,リスト!$C$5)+COUNTIF($B$9:B1394,リスト!$C$6),"")</f>
        <v/>
      </c>
    </row>
    <row r="1395" spans="2:9" x14ac:dyDescent="0.2">
      <c r="B1395" s="196"/>
      <c r="C1395" s="197"/>
      <c r="D1395" s="197"/>
      <c r="E1395" s="198" t="e">
        <f ca="1">mif(OR(C1395="",B1395=リスト!$C$7),"",B1395="","RF",OR(B1395=リスト!$C$5,B1395=リスト!$C$6),COUNTBLANK(INDEX(B:B,MATCH(I1395-1,I:I,0)+1,1):INDEX(B:B,MATCH(I1395,I:I,0)-1,1)),"")</f>
        <v>#NAME?</v>
      </c>
      <c r="F1395" s="199" t="s">
        <v>189</v>
      </c>
      <c r="G1395" s="140" t="e">
        <f ca="1">mif(C1395="","",OR(B1395=リスト!$C$5,B1395=リスト!$C$6),SUM(INDEX(G:G,MATCH(I1395-1,I:I,0)+1,1):INDEX(G:G,MATCH(I1395,I:I,0)-1,1)),D1395-C1395)</f>
        <v>#NAME?</v>
      </c>
      <c r="H1395" s="140" t="e">
        <f ca="1">mif(C1395="","",B1395=リスト!$C$5,SUMIF(INDEX(B:B,MATCH(I1395-1,I:I,0)+1,1):INDEX(B:B,MATCH(I1395,I:I,0)-1,1),リスト!$C$7,INDEX(G:G,MATCH(I1395-1,I:I,0)+1,1):INDEX(G:G,MATCH(I1395,I:I,0)-1,1)),"")</f>
        <v>#NAME?</v>
      </c>
      <c r="I1395" s="200" t="str">
        <f>IF(OR(B1395=リスト!$C$5,B1395=リスト!$C$6),COUNTIF($B$9:B1395,リスト!$C$5)+COUNTIF($B$9:B1395,リスト!$C$6),"")</f>
        <v/>
      </c>
    </row>
    <row r="1396" spans="2:9" x14ac:dyDescent="0.2">
      <c r="B1396" s="196"/>
      <c r="C1396" s="197"/>
      <c r="D1396" s="197"/>
      <c r="E1396" s="198" t="e">
        <f ca="1">mif(OR(C1396="",B1396=リスト!$C$7),"",B1396="","RF",OR(B1396=リスト!$C$5,B1396=リスト!$C$6),COUNTBLANK(INDEX(B:B,MATCH(I1396-1,I:I,0)+1,1):INDEX(B:B,MATCH(I1396,I:I,0)-1,1)),"")</f>
        <v>#NAME?</v>
      </c>
      <c r="F1396" s="199" t="s">
        <v>189</v>
      </c>
      <c r="G1396" s="140" t="e">
        <f ca="1">mif(C1396="","",OR(B1396=リスト!$C$5,B1396=リスト!$C$6),SUM(INDEX(G:G,MATCH(I1396-1,I:I,0)+1,1):INDEX(G:G,MATCH(I1396,I:I,0)-1,1)),D1396-C1396)</f>
        <v>#NAME?</v>
      </c>
      <c r="H1396" s="140" t="e">
        <f ca="1">mif(C1396="","",B1396=リスト!$C$5,SUMIF(INDEX(B:B,MATCH(I1396-1,I:I,0)+1,1):INDEX(B:B,MATCH(I1396,I:I,0)-1,1),リスト!$C$7,INDEX(G:G,MATCH(I1396-1,I:I,0)+1,1):INDEX(G:G,MATCH(I1396,I:I,0)-1,1)),"")</f>
        <v>#NAME?</v>
      </c>
      <c r="I1396" s="200" t="str">
        <f>IF(OR(B1396=リスト!$C$5,B1396=リスト!$C$6),COUNTIF($B$9:B1396,リスト!$C$5)+COUNTIF($B$9:B1396,リスト!$C$6),"")</f>
        <v/>
      </c>
    </row>
    <row r="1397" spans="2:9" x14ac:dyDescent="0.2">
      <c r="B1397" s="196"/>
      <c r="C1397" s="197"/>
      <c r="D1397" s="197"/>
      <c r="E1397" s="198" t="e">
        <f ca="1">mif(OR(C1397="",B1397=リスト!$C$7),"",B1397="","RF",OR(B1397=リスト!$C$5,B1397=リスト!$C$6),COUNTBLANK(INDEX(B:B,MATCH(I1397-1,I:I,0)+1,1):INDEX(B:B,MATCH(I1397,I:I,0)-1,1)),"")</f>
        <v>#NAME?</v>
      </c>
      <c r="F1397" s="199" t="s">
        <v>189</v>
      </c>
      <c r="G1397" s="140" t="e">
        <f ca="1">mif(C1397="","",OR(B1397=リスト!$C$5,B1397=リスト!$C$6),SUM(INDEX(G:G,MATCH(I1397-1,I:I,0)+1,1):INDEX(G:G,MATCH(I1397,I:I,0)-1,1)),D1397-C1397)</f>
        <v>#NAME?</v>
      </c>
      <c r="H1397" s="140" t="e">
        <f ca="1">mif(C1397="","",B1397=リスト!$C$5,SUMIF(INDEX(B:B,MATCH(I1397-1,I:I,0)+1,1):INDEX(B:B,MATCH(I1397,I:I,0)-1,1),リスト!$C$7,INDEX(G:G,MATCH(I1397-1,I:I,0)+1,1):INDEX(G:G,MATCH(I1397,I:I,0)-1,1)),"")</f>
        <v>#NAME?</v>
      </c>
      <c r="I1397" s="200" t="str">
        <f>IF(OR(B1397=リスト!$C$5,B1397=リスト!$C$6),COUNTIF($B$9:B1397,リスト!$C$5)+COUNTIF($B$9:B1397,リスト!$C$6),"")</f>
        <v/>
      </c>
    </row>
    <row r="1398" spans="2:9" x14ac:dyDescent="0.2">
      <c r="B1398" s="196"/>
      <c r="C1398" s="197"/>
      <c r="D1398" s="197"/>
      <c r="E1398" s="198" t="e">
        <f ca="1">mif(OR(C1398="",B1398=リスト!$C$7),"",B1398="","RF",OR(B1398=リスト!$C$5,B1398=リスト!$C$6),COUNTBLANK(INDEX(B:B,MATCH(I1398-1,I:I,0)+1,1):INDEX(B:B,MATCH(I1398,I:I,0)-1,1)),"")</f>
        <v>#NAME?</v>
      </c>
      <c r="F1398" s="199" t="s">
        <v>189</v>
      </c>
      <c r="G1398" s="140" t="e">
        <f ca="1">mif(C1398="","",OR(B1398=リスト!$C$5,B1398=リスト!$C$6),SUM(INDEX(G:G,MATCH(I1398-1,I:I,0)+1,1):INDEX(G:G,MATCH(I1398,I:I,0)-1,1)),D1398-C1398)</f>
        <v>#NAME?</v>
      </c>
      <c r="H1398" s="140" t="e">
        <f ca="1">mif(C1398="","",B1398=リスト!$C$5,SUMIF(INDEX(B:B,MATCH(I1398-1,I:I,0)+1,1):INDEX(B:B,MATCH(I1398,I:I,0)-1,1),リスト!$C$7,INDEX(G:G,MATCH(I1398-1,I:I,0)+1,1):INDEX(G:G,MATCH(I1398,I:I,0)-1,1)),"")</f>
        <v>#NAME?</v>
      </c>
      <c r="I1398" s="200" t="str">
        <f>IF(OR(B1398=リスト!$C$5,B1398=リスト!$C$6),COUNTIF($B$9:B1398,リスト!$C$5)+COUNTIF($B$9:B1398,リスト!$C$6),"")</f>
        <v/>
      </c>
    </row>
    <row r="1399" spans="2:9" x14ac:dyDescent="0.2">
      <c r="B1399" s="196"/>
      <c r="C1399" s="197"/>
      <c r="D1399" s="197"/>
      <c r="E1399" s="198" t="e">
        <f ca="1">mif(OR(C1399="",B1399=リスト!$C$7),"",B1399="","RF",OR(B1399=リスト!$C$5,B1399=リスト!$C$6),COUNTBLANK(INDEX(B:B,MATCH(I1399-1,I:I,0)+1,1):INDEX(B:B,MATCH(I1399,I:I,0)-1,1)),"")</f>
        <v>#NAME?</v>
      </c>
      <c r="F1399" s="199" t="s">
        <v>189</v>
      </c>
      <c r="G1399" s="140" t="e">
        <f ca="1">mif(C1399="","",OR(B1399=リスト!$C$5,B1399=リスト!$C$6),SUM(INDEX(G:G,MATCH(I1399-1,I:I,0)+1,1):INDEX(G:G,MATCH(I1399,I:I,0)-1,1)),D1399-C1399)</f>
        <v>#NAME?</v>
      </c>
      <c r="H1399" s="140" t="e">
        <f ca="1">mif(C1399="","",B1399=リスト!$C$5,SUMIF(INDEX(B:B,MATCH(I1399-1,I:I,0)+1,1):INDEX(B:B,MATCH(I1399,I:I,0)-1,1),リスト!$C$7,INDEX(G:G,MATCH(I1399-1,I:I,0)+1,1):INDEX(G:G,MATCH(I1399,I:I,0)-1,1)),"")</f>
        <v>#NAME?</v>
      </c>
      <c r="I1399" s="200" t="str">
        <f>IF(OR(B1399=リスト!$C$5,B1399=リスト!$C$6),COUNTIF($B$9:B1399,リスト!$C$5)+COUNTIF($B$9:B1399,リスト!$C$6),"")</f>
        <v/>
      </c>
    </row>
    <row r="1400" spans="2:9" x14ac:dyDescent="0.2">
      <c r="B1400" s="196"/>
      <c r="C1400" s="197"/>
      <c r="D1400" s="197"/>
      <c r="E1400" s="198" t="e">
        <f ca="1">mif(OR(C1400="",B1400=リスト!$C$7),"",B1400="","RF",OR(B1400=リスト!$C$5,B1400=リスト!$C$6),COUNTBLANK(INDEX(B:B,MATCH(I1400-1,I:I,0)+1,1):INDEX(B:B,MATCH(I1400,I:I,0)-1,1)),"")</f>
        <v>#NAME?</v>
      </c>
      <c r="F1400" s="199" t="s">
        <v>189</v>
      </c>
      <c r="G1400" s="140" t="e">
        <f ca="1">mif(C1400="","",OR(B1400=リスト!$C$5,B1400=リスト!$C$6),SUM(INDEX(G:G,MATCH(I1400-1,I:I,0)+1,1):INDEX(G:G,MATCH(I1400,I:I,0)-1,1)),D1400-C1400)</f>
        <v>#NAME?</v>
      </c>
      <c r="H1400" s="140" t="e">
        <f ca="1">mif(C1400="","",B1400=リスト!$C$5,SUMIF(INDEX(B:B,MATCH(I1400-1,I:I,0)+1,1):INDEX(B:B,MATCH(I1400,I:I,0)-1,1),リスト!$C$7,INDEX(G:G,MATCH(I1400-1,I:I,0)+1,1):INDEX(G:G,MATCH(I1400,I:I,0)-1,1)),"")</f>
        <v>#NAME?</v>
      </c>
      <c r="I1400" s="200" t="str">
        <f>IF(OR(B1400=リスト!$C$5,B1400=リスト!$C$6),COUNTIF($B$9:B1400,リスト!$C$5)+COUNTIF($B$9:B1400,リスト!$C$6),"")</f>
        <v/>
      </c>
    </row>
    <row r="1401" spans="2:9" x14ac:dyDescent="0.2">
      <c r="B1401" s="196"/>
      <c r="C1401" s="197"/>
      <c r="D1401" s="197"/>
      <c r="E1401" s="198" t="e">
        <f ca="1">mif(OR(C1401="",B1401=リスト!$C$7),"",B1401="","RF",OR(B1401=リスト!$C$5,B1401=リスト!$C$6),COUNTBLANK(INDEX(B:B,MATCH(I1401-1,I:I,0)+1,1):INDEX(B:B,MATCH(I1401,I:I,0)-1,1)),"")</f>
        <v>#NAME?</v>
      </c>
      <c r="F1401" s="199" t="s">
        <v>189</v>
      </c>
      <c r="G1401" s="140" t="e">
        <f ca="1">mif(C1401="","",OR(B1401=リスト!$C$5,B1401=リスト!$C$6),SUM(INDEX(G:G,MATCH(I1401-1,I:I,0)+1,1):INDEX(G:G,MATCH(I1401,I:I,0)-1,1)),D1401-C1401)</f>
        <v>#NAME?</v>
      </c>
      <c r="H1401" s="140" t="e">
        <f ca="1">mif(C1401="","",B1401=リスト!$C$5,SUMIF(INDEX(B:B,MATCH(I1401-1,I:I,0)+1,1):INDEX(B:B,MATCH(I1401,I:I,0)-1,1),リスト!$C$7,INDEX(G:G,MATCH(I1401-1,I:I,0)+1,1):INDEX(G:G,MATCH(I1401,I:I,0)-1,1)),"")</f>
        <v>#NAME?</v>
      </c>
      <c r="I1401" s="200" t="str">
        <f>IF(OR(B1401=リスト!$C$5,B1401=リスト!$C$6),COUNTIF($B$9:B1401,リスト!$C$5)+COUNTIF($B$9:B1401,リスト!$C$6),"")</f>
        <v/>
      </c>
    </row>
    <row r="1402" spans="2:9" x14ac:dyDescent="0.2">
      <c r="B1402" s="196"/>
      <c r="C1402" s="197"/>
      <c r="D1402" s="197"/>
      <c r="E1402" s="198" t="e">
        <f ca="1">mif(OR(C1402="",B1402=リスト!$C$7),"",B1402="","RF",OR(B1402=リスト!$C$5,B1402=リスト!$C$6),COUNTBLANK(INDEX(B:B,MATCH(I1402-1,I:I,0)+1,1):INDEX(B:B,MATCH(I1402,I:I,0)-1,1)),"")</f>
        <v>#NAME?</v>
      </c>
      <c r="F1402" s="199" t="s">
        <v>189</v>
      </c>
      <c r="G1402" s="140" t="e">
        <f ca="1">mif(C1402="","",OR(B1402=リスト!$C$5,B1402=リスト!$C$6),SUM(INDEX(G:G,MATCH(I1402-1,I:I,0)+1,1):INDEX(G:G,MATCH(I1402,I:I,0)-1,1)),D1402-C1402)</f>
        <v>#NAME?</v>
      </c>
      <c r="H1402" s="140" t="e">
        <f ca="1">mif(C1402="","",B1402=リスト!$C$5,SUMIF(INDEX(B:B,MATCH(I1402-1,I:I,0)+1,1):INDEX(B:B,MATCH(I1402,I:I,0)-1,1),リスト!$C$7,INDEX(G:G,MATCH(I1402-1,I:I,0)+1,1):INDEX(G:G,MATCH(I1402,I:I,0)-1,1)),"")</f>
        <v>#NAME?</v>
      </c>
      <c r="I1402" s="200" t="str">
        <f>IF(OR(B1402=リスト!$C$5,B1402=リスト!$C$6),COUNTIF($B$9:B1402,リスト!$C$5)+COUNTIF($B$9:B1402,リスト!$C$6),"")</f>
        <v/>
      </c>
    </row>
    <row r="1403" spans="2:9" x14ac:dyDescent="0.2">
      <c r="B1403" s="196"/>
      <c r="C1403" s="197"/>
      <c r="D1403" s="197"/>
      <c r="E1403" s="198" t="e">
        <f ca="1">mif(OR(C1403="",B1403=リスト!$C$7),"",B1403="","RF",OR(B1403=リスト!$C$5,B1403=リスト!$C$6),COUNTBLANK(INDEX(B:B,MATCH(I1403-1,I:I,0)+1,1):INDEX(B:B,MATCH(I1403,I:I,0)-1,1)),"")</f>
        <v>#NAME?</v>
      </c>
      <c r="F1403" s="199" t="s">
        <v>189</v>
      </c>
      <c r="G1403" s="140" t="e">
        <f ca="1">mif(C1403="","",OR(B1403=リスト!$C$5,B1403=リスト!$C$6),SUM(INDEX(G:G,MATCH(I1403-1,I:I,0)+1,1):INDEX(G:G,MATCH(I1403,I:I,0)-1,1)),D1403-C1403)</f>
        <v>#NAME?</v>
      </c>
      <c r="H1403" s="140" t="e">
        <f ca="1">mif(C1403="","",B1403=リスト!$C$5,SUMIF(INDEX(B:B,MATCH(I1403-1,I:I,0)+1,1):INDEX(B:B,MATCH(I1403,I:I,0)-1,1),リスト!$C$7,INDEX(G:G,MATCH(I1403-1,I:I,0)+1,1):INDEX(G:G,MATCH(I1403,I:I,0)-1,1)),"")</f>
        <v>#NAME?</v>
      </c>
      <c r="I1403" s="200" t="str">
        <f>IF(OR(B1403=リスト!$C$5,B1403=リスト!$C$6),COUNTIF($B$9:B1403,リスト!$C$5)+COUNTIF($B$9:B1403,リスト!$C$6),"")</f>
        <v/>
      </c>
    </row>
    <row r="1404" spans="2:9" x14ac:dyDescent="0.2">
      <c r="B1404" s="196"/>
      <c r="C1404" s="197"/>
      <c r="D1404" s="197"/>
      <c r="E1404" s="198" t="e">
        <f ca="1">mif(OR(C1404="",B1404=リスト!$C$7),"",B1404="","RF",OR(B1404=リスト!$C$5,B1404=リスト!$C$6),COUNTBLANK(INDEX(B:B,MATCH(I1404-1,I:I,0)+1,1):INDEX(B:B,MATCH(I1404,I:I,0)-1,1)),"")</f>
        <v>#NAME?</v>
      </c>
      <c r="F1404" s="199" t="s">
        <v>189</v>
      </c>
      <c r="G1404" s="140" t="e">
        <f ca="1">mif(C1404="","",OR(B1404=リスト!$C$5,B1404=リスト!$C$6),SUM(INDEX(G:G,MATCH(I1404-1,I:I,0)+1,1):INDEX(G:G,MATCH(I1404,I:I,0)-1,1)),D1404-C1404)</f>
        <v>#NAME?</v>
      </c>
      <c r="H1404" s="140" t="e">
        <f ca="1">mif(C1404="","",B1404=リスト!$C$5,SUMIF(INDEX(B:B,MATCH(I1404-1,I:I,0)+1,1):INDEX(B:B,MATCH(I1404,I:I,0)-1,1),リスト!$C$7,INDEX(G:G,MATCH(I1404-1,I:I,0)+1,1):INDEX(G:G,MATCH(I1404,I:I,0)-1,1)),"")</f>
        <v>#NAME?</v>
      </c>
      <c r="I1404" s="200" t="str">
        <f>IF(OR(B1404=リスト!$C$5,B1404=リスト!$C$6),COUNTIF($B$9:B1404,リスト!$C$5)+COUNTIF($B$9:B1404,リスト!$C$6),"")</f>
        <v/>
      </c>
    </row>
    <row r="1405" spans="2:9" x14ac:dyDescent="0.2">
      <c r="B1405" s="196"/>
      <c r="C1405" s="197"/>
      <c r="D1405" s="197"/>
      <c r="E1405" s="198" t="e">
        <f ca="1">mif(OR(C1405="",B1405=リスト!$C$7),"",B1405="","RF",OR(B1405=リスト!$C$5,B1405=リスト!$C$6),COUNTBLANK(INDEX(B:B,MATCH(I1405-1,I:I,0)+1,1):INDEX(B:B,MATCH(I1405,I:I,0)-1,1)),"")</f>
        <v>#NAME?</v>
      </c>
      <c r="F1405" s="199" t="s">
        <v>189</v>
      </c>
      <c r="G1405" s="140" t="e">
        <f ca="1">mif(C1405="","",OR(B1405=リスト!$C$5,B1405=リスト!$C$6),SUM(INDEX(G:G,MATCH(I1405-1,I:I,0)+1,1):INDEX(G:G,MATCH(I1405,I:I,0)-1,1)),D1405-C1405)</f>
        <v>#NAME?</v>
      </c>
      <c r="H1405" s="140" t="e">
        <f ca="1">mif(C1405="","",B1405=リスト!$C$5,SUMIF(INDEX(B:B,MATCH(I1405-1,I:I,0)+1,1):INDEX(B:B,MATCH(I1405,I:I,0)-1,1),リスト!$C$7,INDEX(G:G,MATCH(I1405-1,I:I,0)+1,1):INDEX(G:G,MATCH(I1405,I:I,0)-1,1)),"")</f>
        <v>#NAME?</v>
      </c>
      <c r="I1405" s="200" t="str">
        <f>IF(OR(B1405=リスト!$C$5,B1405=リスト!$C$6),COUNTIF($B$9:B1405,リスト!$C$5)+COUNTIF($B$9:B1405,リスト!$C$6),"")</f>
        <v/>
      </c>
    </row>
    <row r="1406" spans="2:9" x14ac:dyDescent="0.2">
      <c r="B1406" s="196"/>
      <c r="C1406" s="197"/>
      <c r="D1406" s="197"/>
      <c r="E1406" s="198" t="e">
        <f ca="1">mif(OR(C1406="",B1406=リスト!$C$7),"",B1406="","RF",OR(B1406=リスト!$C$5,B1406=リスト!$C$6),COUNTBLANK(INDEX(B:B,MATCH(I1406-1,I:I,0)+1,1):INDEX(B:B,MATCH(I1406,I:I,0)-1,1)),"")</f>
        <v>#NAME?</v>
      </c>
      <c r="F1406" s="199" t="s">
        <v>189</v>
      </c>
      <c r="G1406" s="140" t="e">
        <f ca="1">mif(C1406="","",OR(B1406=リスト!$C$5,B1406=リスト!$C$6),SUM(INDEX(G:G,MATCH(I1406-1,I:I,0)+1,1):INDEX(G:G,MATCH(I1406,I:I,0)-1,1)),D1406-C1406)</f>
        <v>#NAME?</v>
      </c>
      <c r="H1406" s="140" t="e">
        <f ca="1">mif(C1406="","",B1406=リスト!$C$5,SUMIF(INDEX(B:B,MATCH(I1406-1,I:I,0)+1,1):INDEX(B:B,MATCH(I1406,I:I,0)-1,1),リスト!$C$7,INDEX(G:G,MATCH(I1406-1,I:I,0)+1,1):INDEX(G:G,MATCH(I1406,I:I,0)-1,1)),"")</f>
        <v>#NAME?</v>
      </c>
      <c r="I1406" s="200" t="str">
        <f>IF(OR(B1406=リスト!$C$5,B1406=リスト!$C$6),COUNTIF($B$9:B1406,リスト!$C$5)+COUNTIF($B$9:B1406,リスト!$C$6),"")</f>
        <v/>
      </c>
    </row>
    <row r="1407" spans="2:9" x14ac:dyDescent="0.2">
      <c r="B1407" s="196"/>
      <c r="C1407" s="197"/>
      <c r="D1407" s="197"/>
      <c r="E1407" s="198" t="e">
        <f ca="1">mif(OR(C1407="",B1407=リスト!$C$7),"",B1407="","RF",OR(B1407=リスト!$C$5,B1407=リスト!$C$6),COUNTBLANK(INDEX(B:B,MATCH(I1407-1,I:I,0)+1,1):INDEX(B:B,MATCH(I1407,I:I,0)-1,1)),"")</f>
        <v>#NAME?</v>
      </c>
      <c r="F1407" s="199" t="s">
        <v>189</v>
      </c>
      <c r="G1407" s="140" t="e">
        <f ca="1">mif(C1407="","",OR(B1407=リスト!$C$5,B1407=リスト!$C$6),SUM(INDEX(G:G,MATCH(I1407-1,I:I,0)+1,1):INDEX(G:G,MATCH(I1407,I:I,0)-1,1)),D1407-C1407)</f>
        <v>#NAME?</v>
      </c>
      <c r="H1407" s="140" t="e">
        <f ca="1">mif(C1407="","",B1407=リスト!$C$5,SUMIF(INDEX(B:B,MATCH(I1407-1,I:I,0)+1,1):INDEX(B:B,MATCH(I1407,I:I,0)-1,1),リスト!$C$7,INDEX(G:G,MATCH(I1407-1,I:I,0)+1,1):INDEX(G:G,MATCH(I1407,I:I,0)-1,1)),"")</f>
        <v>#NAME?</v>
      </c>
      <c r="I1407" s="200" t="str">
        <f>IF(OR(B1407=リスト!$C$5,B1407=リスト!$C$6),COUNTIF($B$9:B1407,リスト!$C$5)+COUNTIF($B$9:B1407,リスト!$C$6),"")</f>
        <v/>
      </c>
    </row>
    <row r="1408" spans="2:9" x14ac:dyDescent="0.2">
      <c r="B1408" s="196"/>
      <c r="C1408" s="197"/>
      <c r="D1408" s="197"/>
      <c r="E1408" s="198" t="e">
        <f ca="1">mif(OR(C1408="",B1408=リスト!$C$7),"",B1408="","RF",OR(B1408=リスト!$C$5,B1408=リスト!$C$6),COUNTBLANK(INDEX(B:B,MATCH(I1408-1,I:I,0)+1,1):INDEX(B:B,MATCH(I1408,I:I,0)-1,1)),"")</f>
        <v>#NAME?</v>
      </c>
      <c r="F1408" s="199" t="s">
        <v>189</v>
      </c>
      <c r="G1408" s="140" t="e">
        <f ca="1">mif(C1408="","",OR(B1408=リスト!$C$5,B1408=リスト!$C$6),SUM(INDEX(G:G,MATCH(I1408-1,I:I,0)+1,1):INDEX(G:G,MATCH(I1408,I:I,0)-1,1)),D1408-C1408)</f>
        <v>#NAME?</v>
      </c>
      <c r="H1408" s="140" t="e">
        <f ca="1">mif(C1408="","",B1408=リスト!$C$5,SUMIF(INDEX(B:B,MATCH(I1408-1,I:I,0)+1,1):INDEX(B:B,MATCH(I1408,I:I,0)-1,1),リスト!$C$7,INDEX(G:G,MATCH(I1408-1,I:I,0)+1,1):INDEX(G:G,MATCH(I1408,I:I,0)-1,1)),"")</f>
        <v>#NAME?</v>
      </c>
      <c r="I1408" s="200" t="str">
        <f>IF(OR(B1408=リスト!$C$5,B1408=リスト!$C$6),COUNTIF($B$9:B1408,リスト!$C$5)+COUNTIF($B$9:B1408,リスト!$C$6),"")</f>
        <v/>
      </c>
    </row>
    <row r="1409" spans="2:9" x14ac:dyDescent="0.2">
      <c r="B1409" s="196"/>
      <c r="C1409" s="197"/>
      <c r="D1409" s="197"/>
      <c r="E1409" s="198" t="e">
        <f ca="1">mif(OR(C1409="",B1409=リスト!$C$7),"",B1409="","RF",OR(B1409=リスト!$C$5,B1409=リスト!$C$6),COUNTBLANK(INDEX(B:B,MATCH(I1409-1,I:I,0)+1,1):INDEX(B:B,MATCH(I1409,I:I,0)-1,1)),"")</f>
        <v>#NAME?</v>
      </c>
      <c r="F1409" s="199" t="s">
        <v>189</v>
      </c>
      <c r="G1409" s="140" t="e">
        <f ca="1">mif(C1409="","",OR(B1409=リスト!$C$5,B1409=リスト!$C$6),SUM(INDEX(G:G,MATCH(I1409-1,I:I,0)+1,1):INDEX(G:G,MATCH(I1409,I:I,0)-1,1)),D1409-C1409)</f>
        <v>#NAME?</v>
      </c>
      <c r="H1409" s="140" t="e">
        <f ca="1">mif(C1409="","",B1409=リスト!$C$5,SUMIF(INDEX(B:B,MATCH(I1409-1,I:I,0)+1,1):INDEX(B:B,MATCH(I1409,I:I,0)-1,1),リスト!$C$7,INDEX(G:G,MATCH(I1409-1,I:I,0)+1,1):INDEX(G:G,MATCH(I1409,I:I,0)-1,1)),"")</f>
        <v>#NAME?</v>
      </c>
      <c r="I1409" s="200" t="str">
        <f>IF(OR(B1409=リスト!$C$5,B1409=リスト!$C$6),COUNTIF($B$9:B1409,リスト!$C$5)+COUNTIF($B$9:B1409,リスト!$C$6),"")</f>
        <v/>
      </c>
    </row>
    <row r="1410" spans="2:9" x14ac:dyDescent="0.2">
      <c r="B1410" s="196"/>
      <c r="C1410" s="197"/>
      <c r="D1410" s="197"/>
      <c r="E1410" s="198" t="e">
        <f ca="1">mif(OR(C1410="",B1410=リスト!$C$7),"",B1410="","RF",OR(B1410=リスト!$C$5,B1410=リスト!$C$6),COUNTBLANK(INDEX(B:B,MATCH(I1410-1,I:I,0)+1,1):INDEX(B:B,MATCH(I1410,I:I,0)-1,1)),"")</f>
        <v>#NAME?</v>
      </c>
      <c r="F1410" s="199" t="s">
        <v>189</v>
      </c>
      <c r="G1410" s="140" t="e">
        <f ca="1">mif(C1410="","",OR(B1410=リスト!$C$5,B1410=リスト!$C$6),SUM(INDEX(G:G,MATCH(I1410-1,I:I,0)+1,1):INDEX(G:G,MATCH(I1410,I:I,0)-1,1)),D1410-C1410)</f>
        <v>#NAME?</v>
      </c>
      <c r="H1410" s="140" t="e">
        <f ca="1">mif(C1410="","",B1410=リスト!$C$5,SUMIF(INDEX(B:B,MATCH(I1410-1,I:I,0)+1,1):INDEX(B:B,MATCH(I1410,I:I,0)-1,1),リスト!$C$7,INDEX(G:G,MATCH(I1410-1,I:I,0)+1,1):INDEX(G:G,MATCH(I1410,I:I,0)-1,1)),"")</f>
        <v>#NAME?</v>
      </c>
      <c r="I1410" s="200" t="str">
        <f>IF(OR(B1410=リスト!$C$5,B1410=リスト!$C$6),COUNTIF($B$9:B1410,リスト!$C$5)+COUNTIF($B$9:B1410,リスト!$C$6),"")</f>
        <v/>
      </c>
    </row>
    <row r="1411" spans="2:9" x14ac:dyDescent="0.2">
      <c r="B1411" s="196"/>
      <c r="C1411" s="197"/>
      <c r="D1411" s="197"/>
      <c r="E1411" s="198" t="e">
        <f ca="1">mif(OR(C1411="",B1411=リスト!$C$7),"",B1411="","RF",OR(B1411=リスト!$C$5,B1411=リスト!$C$6),COUNTBLANK(INDEX(B:B,MATCH(I1411-1,I:I,0)+1,1):INDEX(B:B,MATCH(I1411,I:I,0)-1,1)),"")</f>
        <v>#NAME?</v>
      </c>
      <c r="F1411" s="199" t="s">
        <v>189</v>
      </c>
      <c r="G1411" s="140" t="e">
        <f ca="1">mif(C1411="","",OR(B1411=リスト!$C$5,B1411=リスト!$C$6),SUM(INDEX(G:G,MATCH(I1411-1,I:I,0)+1,1):INDEX(G:G,MATCH(I1411,I:I,0)-1,1)),D1411-C1411)</f>
        <v>#NAME?</v>
      </c>
      <c r="H1411" s="140" t="e">
        <f ca="1">mif(C1411="","",B1411=リスト!$C$5,SUMIF(INDEX(B:B,MATCH(I1411-1,I:I,0)+1,1):INDEX(B:B,MATCH(I1411,I:I,0)-1,1),リスト!$C$7,INDEX(G:G,MATCH(I1411-1,I:I,0)+1,1):INDEX(G:G,MATCH(I1411,I:I,0)-1,1)),"")</f>
        <v>#NAME?</v>
      </c>
      <c r="I1411" s="200" t="str">
        <f>IF(OR(B1411=リスト!$C$5,B1411=リスト!$C$6),COUNTIF($B$9:B1411,リスト!$C$5)+COUNTIF($B$9:B1411,リスト!$C$6),"")</f>
        <v/>
      </c>
    </row>
    <row r="1412" spans="2:9" x14ac:dyDescent="0.2">
      <c r="B1412" s="196"/>
      <c r="C1412" s="197"/>
      <c r="D1412" s="197"/>
      <c r="E1412" s="198" t="e">
        <f ca="1">mif(OR(C1412="",B1412=リスト!$C$7),"",B1412="","RF",OR(B1412=リスト!$C$5,B1412=リスト!$C$6),COUNTBLANK(INDEX(B:B,MATCH(I1412-1,I:I,0)+1,1):INDEX(B:B,MATCH(I1412,I:I,0)-1,1)),"")</f>
        <v>#NAME?</v>
      </c>
      <c r="F1412" s="199" t="s">
        <v>189</v>
      </c>
      <c r="G1412" s="140" t="e">
        <f ca="1">mif(C1412="","",OR(B1412=リスト!$C$5,B1412=リスト!$C$6),SUM(INDEX(G:G,MATCH(I1412-1,I:I,0)+1,1):INDEX(G:G,MATCH(I1412,I:I,0)-1,1)),D1412-C1412)</f>
        <v>#NAME?</v>
      </c>
      <c r="H1412" s="140" t="e">
        <f ca="1">mif(C1412="","",B1412=リスト!$C$5,SUMIF(INDEX(B:B,MATCH(I1412-1,I:I,0)+1,1):INDEX(B:B,MATCH(I1412,I:I,0)-1,1),リスト!$C$7,INDEX(G:G,MATCH(I1412-1,I:I,0)+1,1):INDEX(G:G,MATCH(I1412,I:I,0)-1,1)),"")</f>
        <v>#NAME?</v>
      </c>
      <c r="I1412" s="200" t="str">
        <f>IF(OR(B1412=リスト!$C$5,B1412=リスト!$C$6),COUNTIF($B$9:B1412,リスト!$C$5)+COUNTIF($B$9:B1412,リスト!$C$6),"")</f>
        <v/>
      </c>
    </row>
    <row r="1413" spans="2:9" x14ac:dyDescent="0.2">
      <c r="B1413" s="196"/>
      <c r="C1413" s="197"/>
      <c r="D1413" s="197"/>
      <c r="E1413" s="198" t="e">
        <f ca="1">mif(OR(C1413="",B1413=リスト!$C$7),"",B1413="","RF",OR(B1413=リスト!$C$5,B1413=リスト!$C$6),COUNTBLANK(INDEX(B:B,MATCH(I1413-1,I:I,0)+1,1):INDEX(B:B,MATCH(I1413,I:I,0)-1,1)),"")</f>
        <v>#NAME?</v>
      </c>
      <c r="F1413" s="199" t="s">
        <v>189</v>
      </c>
      <c r="G1413" s="140" t="e">
        <f ca="1">mif(C1413="","",OR(B1413=リスト!$C$5,B1413=リスト!$C$6),SUM(INDEX(G:G,MATCH(I1413-1,I:I,0)+1,1):INDEX(G:G,MATCH(I1413,I:I,0)-1,1)),D1413-C1413)</f>
        <v>#NAME?</v>
      </c>
      <c r="H1413" s="140" t="e">
        <f ca="1">mif(C1413="","",B1413=リスト!$C$5,SUMIF(INDEX(B:B,MATCH(I1413-1,I:I,0)+1,1):INDEX(B:B,MATCH(I1413,I:I,0)-1,1),リスト!$C$7,INDEX(G:G,MATCH(I1413-1,I:I,0)+1,1):INDEX(G:G,MATCH(I1413,I:I,0)-1,1)),"")</f>
        <v>#NAME?</v>
      </c>
      <c r="I1413" s="200" t="str">
        <f>IF(OR(B1413=リスト!$C$5,B1413=リスト!$C$6),COUNTIF($B$9:B1413,リスト!$C$5)+COUNTIF($B$9:B1413,リスト!$C$6),"")</f>
        <v/>
      </c>
    </row>
    <row r="1414" spans="2:9" x14ac:dyDescent="0.2">
      <c r="B1414" s="196"/>
      <c r="C1414" s="197"/>
      <c r="D1414" s="197"/>
      <c r="E1414" s="198" t="e">
        <f ca="1">mif(OR(C1414="",B1414=リスト!$C$7),"",B1414="","RF",OR(B1414=リスト!$C$5,B1414=リスト!$C$6),COUNTBLANK(INDEX(B:B,MATCH(I1414-1,I:I,0)+1,1):INDEX(B:B,MATCH(I1414,I:I,0)-1,1)),"")</f>
        <v>#NAME?</v>
      </c>
      <c r="F1414" s="199" t="s">
        <v>189</v>
      </c>
      <c r="G1414" s="140" t="e">
        <f ca="1">mif(C1414="","",OR(B1414=リスト!$C$5,B1414=リスト!$C$6),SUM(INDEX(G:G,MATCH(I1414-1,I:I,0)+1,1):INDEX(G:G,MATCH(I1414,I:I,0)-1,1)),D1414-C1414)</f>
        <v>#NAME?</v>
      </c>
      <c r="H1414" s="140" t="e">
        <f ca="1">mif(C1414="","",B1414=リスト!$C$5,SUMIF(INDEX(B:B,MATCH(I1414-1,I:I,0)+1,1):INDEX(B:B,MATCH(I1414,I:I,0)-1,1),リスト!$C$7,INDEX(G:G,MATCH(I1414-1,I:I,0)+1,1):INDEX(G:G,MATCH(I1414,I:I,0)-1,1)),"")</f>
        <v>#NAME?</v>
      </c>
      <c r="I1414" s="200" t="str">
        <f>IF(OR(B1414=リスト!$C$5,B1414=リスト!$C$6),COUNTIF($B$9:B1414,リスト!$C$5)+COUNTIF($B$9:B1414,リスト!$C$6),"")</f>
        <v/>
      </c>
    </row>
    <row r="1415" spans="2:9" x14ac:dyDescent="0.2">
      <c r="B1415" s="196"/>
      <c r="C1415" s="197"/>
      <c r="D1415" s="197"/>
      <c r="E1415" s="198" t="e">
        <f ca="1">mif(OR(C1415="",B1415=リスト!$C$7),"",B1415="","RF",OR(B1415=リスト!$C$5,B1415=リスト!$C$6),COUNTBLANK(INDEX(B:B,MATCH(I1415-1,I:I,0)+1,1):INDEX(B:B,MATCH(I1415,I:I,0)-1,1)),"")</f>
        <v>#NAME?</v>
      </c>
      <c r="F1415" s="199" t="s">
        <v>189</v>
      </c>
      <c r="G1415" s="140" t="e">
        <f ca="1">mif(C1415="","",OR(B1415=リスト!$C$5,B1415=リスト!$C$6),SUM(INDEX(G:G,MATCH(I1415-1,I:I,0)+1,1):INDEX(G:G,MATCH(I1415,I:I,0)-1,1)),D1415-C1415)</f>
        <v>#NAME?</v>
      </c>
      <c r="H1415" s="140" t="e">
        <f ca="1">mif(C1415="","",B1415=リスト!$C$5,SUMIF(INDEX(B:B,MATCH(I1415-1,I:I,0)+1,1):INDEX(B:B,MATCH(I1415,I:I,0)-1,1),リスト!$C$7,INDEX(G:G,MATCH(I1415-1,I:I,0)+1,1):INDEX(G:G,MATCH(I1415,I:I,0)-1,1)),"")</f>
        <v>#NAME?</v>
      </c>
      <c r="I1415" s="200" t="str">
        <f>IF(OR(B1415=リスト!$C$5,B1415=リスト!$C$6),COUNTIF($B$9:B1415,リスト!$C$5)+COUNTIF($B$9:B1415,リスト!$C$6),"")</f>
        <v/>
      </c>
    </row>
    <row r="1416" spans="2:9" x14ac:dyDescent="0.2">
      <c r="B1416" s="196"/>
      <c r="C1416" s="197"/>
      <c r="D1416" s="197"/>
      <c r="E1416" s="198" t="e">
        <f ca="1">mif(OR(C1416="",B1416=リスト!$C$7),"",B1416="","RF",OR(B1416=リスト!$C$5,B1416=リスト!$C$6),COUNTBLANK(INDEX(B:B,MATCH(I1416-1,I:I,0)+1,1):INDEX(B:B,MATCH(I1416,I:I,0)-1,1)),"")</f>
        <v>#NAME?</v>
      </c>
      <c r="F1416" s="199" t="s">
        <v>189</v>
      </c>
      <c r="G1416" s="140" t="e">
        <f ca="1">mif(C1416="","",OR(B1416=リスト!$C$5,B1416=リスト!$C$6),SUM(INDEX(G:G,MATCH(I1416-1,I:I,0)+1,1):INDEX(G:G,MATCH(I1416,I:I,0)-1,1)),D1416-C1416)</f>
        <v>#NAME?</v>
      </c>
      <c r="H1416" s="140" t="e">
        <f ca="1">mif(C1416="","",B1416=リスト!$C$5,SUMIF(INDEX(B:B,MATCH(I1416-1,I:I,0)+1,1):INDEX(B:B,MATCH(I1416,I:I,0)-1,1),リスト!$C$7,INDEX(G:G,MATCH(I1416-1,I:I,0)+1,1):INDEX(G:G,MATCH(I1416,I:I,0)-1,1)),"")</f>
        <v>#NAME?</v>
      </c>
      <c r="I1416" s="200" t="str">
        <f>IF(OR(B1416=リスト!$C$5,B1416=リスト!$C$6),COUNTIF($B$9:B1416,リスト!$C$5)+COUNTIF($B$9:B1416,リスト!$C$6),"")</f>
        <v/>
      </c>
    </row>
    <row r="1417" spans="2:9" x14ac:dyDescent="0.2">
      <c r="B1417" s="196"/>
      <c r="C1417" s="197"/>
      <c r="D1417" s="197"/>
      <c r="E1417" s="198" t="e">
        <f ca="1">mif(OR(C1417="",B1417=リスト!$C$7),"",B1417="","RF",OR(B1417=リスト!$C$5,B1417=リスト!$C$6),COUNTBLANK(INDEX(B:B,MATCH(I1417-1,I:I,0)+1,1):INDEX(B:B,MATCH(I1417,I:I,0)-1,1)),"")</f>
        <v>#NAME?</v>
      </c>
      <c r="F1417" s="199" t="s">
        <v>189</v>
      </c>
      <c r="G1417" s="140" t="e">
        <f ca="1">mif(C1417="","",OR(B1417=リスト!$C$5,B1417=リスト!$C$6),SUM(INDEX(G:G,MATCH(I1417-1,I:I,0)+1,1):INDEX(G:G,MATCH(I1417,I:I,0)-1,1)),D1417-C1417)</f>
        <v>#NAME?</v>
      </c>
      <c r="H1417" s="140" t="e">
        <f ca="1">mif(C1417="","",B1417=リスト!$C$5,SUMIF(INDEX(B:B,MATCH(I1417-1,I:I,0)+1,1):INDEX(B:B,MATCH(I1417,I:I,0)-1,1),リスト!$C$7,INDEX(G:G,MATCH(I1417-1,I:I,0)+1,1):INDEX(G:G,MATCH(I1417,I:I,0)-1,1)),"")</f>
        <v>#NAME?</v>
      </c>
      <c r="I1417" s="200" t="str">
        <f>IF(OR(B1417=リスト!$C$5,B1417=リスト!$C$6),COUNTIF($B$9:B1417,リスト!$C$5)+COUNTIF($B$9:B1417,リスト!$C$6),"")</f>
        <v/>
      </c>
    </row>
    <row r="1418" spans="2:9" x14ac:dyDescent="0.2">
      <c r="B1418" s="196"/>
      <c r="C1418" s="197"/>
      <c r="D1418" s="197"/>
      <c r="E1418" s="198" t="e">
        <f ca="1">mif(OR(C1418="",B1418=リスト!$C$7),"",B1418="","RF",OR(B1418=リスト!$C$5,B1418=リスト!$C$6),COUNTBLANK(INDEX(B:B,MATCH(I1418-1,I:I,0)+1,1):INDEX(B:B,MATCH(I1418,I:I,0)-1,1)),"")</f>
        <v>#NAME?</v>
      </c>
      <c r="F1418" s="199" t="s">
        <v>189</v>
      </c>
      <c r="G1418" s="140" t="e">
        <f ca="1">mif(C1418="","",OR(B1418=リスト!$C$5,B1418=リスト!$C$6),SUM(INDEX(G:G,MATCH(I1418-1,I:I,0)+1,1):INDEX(G:G,MATCH(I1418,I:I,0)-1,1)),D1418-C1418)</f>
        <v>#NAME?</v>
      </c>
      <c r="H1418" s="140" t="e">
        <f ca="1">mif(C1418="","",B1418=リスト!$C$5,SUMIF(INDEX(B:B,MATCH(I1418-1,I:I,0)+1,1):INDEX(B:B,MATCH(I1418,I:I,0)-1,1),リスト!$C$7,INDEX(G:G,MATCH(I1418-1,I:I,0)+1,1):INDEX(G:G,MATCH(I1418,I:I,0)-1,1)),"")</f>
        <v>#NAME?</v>
      </c>
      <c r="I1418" s="200" t="str">
        <f>IF(OR(B1418=リスト!$C$5,B1418=リスト!$C$6),COUNTIF($B$9:B1418,リスト!$C$5)+COUNTIF($B$9:B1418,リスト!$C$6),"")</f>
        <v/>
      </c>
    </row>
    <row r="1419" spans="2:9" x14ac:dyDescent="0.2">
      <c r="B1419" s="196"/>
      <c r="C1419" s="197"/>
      <c r="D1419" s="197"/>
      <c r="E1419" s="198" t="e">
        <f ca="1">mif(OR(C1419="",B1419=リスト!$C$7),"",B1419="","RF",OR(B1419=リスト!$C$5,B1419=リスト!$C$6),COUNTBLANK(INDEX(B:B,MATCH(I1419-1,I:I,0)+1,1):INDEX(B:B,MATCH(I1419,I:I,0)-1,1)),"")</f>
        <v>#NAME?</v>
      </c>
      <c r="F1419" s="199" t="s">
        <v>189</v>
      </c>
      <c r="G1419" s="140" t="e">
        <f ca="1">mif(C1419="","",OR(B1419=リスト!$C$5,B1419=リスト!$C$6),SUM(INDEX(G:G,MATCH(I1419-1,I:I,0)+1,1):INDEX(G:G,MATCH(I1419,I:I,0)-1,1)),D1419-C1419)</f>
        <v>#NAME?</v>
      </c>
      <c r="H1419" s="140" t="e">
        <f ca="1">mif(C1419="","",B1419=リスト!$C$5,SUMIF(INDEX(B:B,MATCH(I1419-1,I:I,0)+1,1):INDEX(B:B,MATCH(I1419,I:I,0)-1,1),リスト!$C$7,INDEX(G:G,MATCH(I1419-1,I:I,0)+1,1):INDEX(G:G,MATCH(I1419,I:I,0)-1,1)),"")</f>
        <v>#NAME?</v>
      </c>
      <c r="I1419" s="200" t="str">
        <f>IF(OR(B1419=リスト!$C$5,B1419=リスト!$C$6),COUNTIF($B$9:B1419,リスト!$C$5)+COUNTIF($B$9:B1419,リスト!$C$6),"")</f>
        <v/>
      </c>
    </row>
    <row r="1420" spans="2:9" x14ac:dyDescent="0.2">
      <c r="B1420" s="196"/>
      <c r="C1420" s="197"/>
      <c r="D1420" s="197"/>
      <c r="E1420" s="198" t="e">
        <f ca="1">mif(OR(C1420="",B1420=リスト!$C$7),"",B1420="","RF",OR(B1420=リスト!$C$5,B1420=リスト!$C$6),COUNTBLANK(INDEX(B:B,MATCH(I1420-1,I:I,0)+1,1):INDEX(B:B,MATCH(I1420,I:I,0)-1,1)),"")</f>
        <v>#NAME?</v>
      </c>
      <c r="F1420" s="199" t="s">
        <v>189</v>
      </c>
      <c r="G1420" s="140" t="e">
        <f ca="1">mif(C1420="","",OR(B1420=リスト!$C$5,B1420=リスト!$C$6),SUM(INDEX(G:G,MATCH(I1420-1,I:I,0)+1,1):INDEX(G:G,MATCH(I1420,I:I,0)-1,1)),D1420-C1420)</f>
        <v>#NAME?</v>
      </c>
      <c r="H1420" s="140" t="e">
        <f ca="1">mif(C1420="","",B1420=リスト!$C$5,SUMIF(INDEX(B:B,MATCH(I1420-1,I:I,0)+1,1):INDEX(B:B,MATCH(I1420,I:I,0)-1,1),リスト!$C$7,INDEX(G:G,MATCH(I1420-1,I:I,0)+1,1):INDEX(G:G,MATCH(I1420,I:I,0)-1,1)),"")</f>
        <v>#NAME?</v>
      </c>
      <c r="I1420" s="200" t="str">
        <f>IF(OR(B1420=リスト!$C$5,B1420=リスト!$C$6),COUNTIF($B$9:B1420,リスト!$C$5)+COUNTIF($B$9:B1420,リスト!$C$6),"")</f>
        <v/>
      </c>
    </row>
    <row r="1421" spans="2:9" x14ac:dyDescent="0.2">
      <c r="B1421" s="196"/>
      <c r="C1421" s="197"/>
      <c r="D1421" s="197"/>
      <c r="E1421" s="198" t="e">
        <f ca="1">mif(OR(C1421="",B1421=リスト!$C$7),"",B1421="","RF",OR(B1421=リスト!$C$5,B1421=リスト!$C$6),COUNTBLANK(INDEX(B:B,MATCH(I1421-1,I:I,0)+1,1):INDEX(B:B,MATCH(I1421,I:I,0)-1,1)),"")</f>
        <v>#NAME?</v>
      </c>
      <c r="F1421" s="199" t="s">
        <v>189</v>
      </c>
      <c r="G1421" s="140" t="e">
        <f ca="1">mif(C1421="","",OR(B1421=リスト!$C$5,B1421=リスト!$C$6),SUM(INDEX(G:G,MATCH(I1421-1,I:I,0)+1,1):INDEX(G:G,MATCH(I1421,I:I,0)-1,1)),D1421-C1421)</f>
        <v>#NAME?</v>
      </c>
      <c r="H1421" s="140" t="e">
        <f ca="1">mif(C1421="","",B1421=リスト!$C$5,SUMIF(INDEX(B:B,MATCH(I1421-1,I:I,0)+1,1):INDEX(B:B,MATCH(I1421,I:I,0)-1,1),リスト!$C$7,INDEX(G:G,MATCH(I1421-1,I:I,0)+1,1):INDEX(G:G,MATCH(I1421,I:I,0)-1,1)),"")</f>
        <v>#NAME?</v>
      </c>
      <c r="I1421" s="200" t="str">
        <f>IF(OR(B1421=リスト!$C$5,B1421=リスト!$C$6),COUNTIF($B$9:B1421,リスト!$C$5)+COUNTIF($B$9:B1421,リスト!$C$6),"")</f>
        <v/>
      </c>
    </row>
    <row r="1422" spans="2:9" x14ac:dyDescent="0.2">
      <c r="B1422" s="196"/>
      <c r="C1422" s="197"/>
      <c r="D1422" s="197"/>
      <c r="E1422" s="198" t="e">
        <f ca="1">mif(OR(C1422="",B1422=リスト!$C$7),"",B1422="","RF",OR(B1422=リスト!$C$5,B1422=リスト!$C$6),COUNTBLANK(INDEX(B:B,MATCH(I1422-1,I:I,0)+1,1):INDEX(B:B,MATCH(I1422,I:I,0)-1,1)),"")</f>
        <v>#NAME?</v>
      </c>
      <c r="F1422" s="199" t="s">
        <v>189</v>
      </c>
      <c r="G1422" s="140" t="e">
        <f ca="1">mif(C1422="","",OR(B1422=リスト!$C$5,B1422=リスト!$C$6),SUM(INDEX(G:G,MATCH(I1422-1,I:I,0)+1,1):INDEX(G:G,MATCH(I1422,I:I,0)-1,1)),D1422-C1422)</f>
        <v>#NAME?</v>
      </c>
      <c r="H1422" s="140" t="e">
        <f ca="1">mif(C1422="","",B1422=リスト!$C$5,SUMIF(INDEX(B:B,MATCH(I1422-1,I:I,0)+1,1):INDEX(B:B,MATCH(I1422,I:I,0)-1,1),リスト!$C$7,INDEX(G:G,MATCH(I1422-1,I:I,0)+1,1):INDEX(G:G,MATCH(I1422,I:I,0)-1,1)),"")</f>
        <v>#NAME?</v>
      </c>
      <c r="I1422" s="200" t="str">
        <f>IF(OR(B1422=リスト!$C$5,B1422=リスト!$C$6),COUNTIF($B$9:B1422,リスト!$C$5)+COUNTIF($B$9:B1422,リスト!$C$6),"")</f>
        <v/>
      </c>
    </row>
    <row r="1423" spans="2:9" x14ac:dyDescent="0.2">
      <c r="B1423" s="196"/>
      <c r="C1423" s="197"/>
      <c r="D1423" s="197"/>
      <c r="E1423" s="198" t="e">
        <f ca="1">mif(OR(C1423="",B1423=リスト!$C$7),"",B1423="","RF",OR(B1423=リスト!$C$5,B1423=リスト!$C$6),COUNTBLANK(INDEX(B:B,MATCH(I1423-1,I:I,0)+1,1):INDEX(B:B,MATCH(I1423,I:I,0)-1,1)),"")</f>
        <v>#NAME?</v>
      </c>
      <c r="F1423" s="199" t="s">
        <v>189</v>
      </c>
      <c r="G1423" s="140" t="e">
        <f ca="1">mif(C1423="","",OR(B1423=リスト!$C$5,B1423=リスト!$C$6),SUM(INDEX(G:G,MATCH(I1423-1,I:I,0)+1,1):INDEX(G:G,MATCH(I1423,I:I,0)-1,1)),D1423-C1423)</f>
        <v>#NAME?</v>
      </c>
      <c r="H1423" s="140" t="e">
        <f ca="1">mif(C1423="","",B1423=リスト!$C$5,SUMIF(INDEX(B:B,MATCH(I1423-1,I:I,0)+1,1):INDEX(B:B,MATCH(I1423,I:I,0)-1,1),リスト!$C$7,INDEX(G:G,MATCH(I1423-1,I:I,0)+1,1):INDEX(G:G,MATCH(I1423,I:I,0)-1,1)),"")</f>
        <v>#NAME?</v>
      </c>
      <c r="I1423" s="200" t="str">
        <f>IF(OR(B1423=リスト!$C$5,B1423=リスト!$C$6),COUNTIF($B$9:B1423,リスト!$C$5)+COUNTIF($B$9:B1423,リスト!$C$6),"")</f>
        <v/>
      </c>
    </row>
    <row r="1424" spans="2:9" x14ac:dyDescent="0.2">
      <c r="B1424" s="196"/>
      <c r="C1424" s="197"/>
      <c r="D1424" s="197"/>
      <c r="E1424" s="198" t="e">
        <f ca="1">mif(OR(C1424="",B1424=リスト!$C$7),"",B1424="","RF",OR(B1424=リスト!$C$5,B1424=リスト!$C$6),COUNTBLANK(INDEX(B:B,MATCH(I1424-1,I:I,0)+1,1):INDEX(B:B,MATCH(I1424,I:I,0)-1,1)),"")</f>
        <v>#NAME?</v>
      </c>
      <c r="F1424" s="199" t="s">
        <v>189</v>
      </c>
      <c r="G1424" s="140" t="e">
        <f ca="1">mif(C1424="","",OR(B1424=リスト!$C$5,B1424=リスト!$C$6),SUM(INDEX(G:G,MATCH(I1424-1,I:I,0)+1,1):INDEX(G:G,MATCH(I1424,I:I,0)-1,1)),D1424-C1424)</f>
        <v>#NAME?</v>
      </c>
      <c r="H1424" s="140" t="e">
        <f ca="1">mif(C1424="","",B1424=リスト!$C$5,SUMIF(INDEX(B:B,MATCH(I1424-1,I:I,0)+1,1):INDEX(B:B,MATCH(I1424,I:I,0)-1,1),リスト!$C$7,INDEX(G:G,MATCH(I1424-1,I:I,0)+1,1):INDEX(G:G,MATCH(I1424,I:I,0)-1,1)),"")</f>
        <v>#NAME?</v>
      </c>
      <c r="I1424" s="200" t="str">
        <f>IF(OR(B1424=リスト!$C$5,B1424=リスト!$C$6),COUNTIF($B$9:B1424,リスト!$C$5)+COUNTIF($B$9:B1424,リスト!$C$6),"")</f>
        <v/>
      </c>
    </row>
    <row r="1425" spans="2:9" x14ac:dyDescent="0.2">
      <c r="B1425" s="196"/>
      <c r="C1425" s="197"/>
      <c r="D1425" s="197"/>
      <c r="E1425" s="198" t="e">
        <f ca="1">mif(OR(C1425="",B1425=リスト!$C$7),"",B1425="","RF",OR(B1425=リスト!$C$5,B1425=リスト!$C$6),COUNTBLANK(INDEX(B:B,MATCH(I1425-1,I:I,0)+1,1):INDEX(B:B,MATCH(I1425,I:I,0)-1,1)),"")</f>
        <v>#NAME?</v>
      </c>
      <c r="F1425" s="199" t="s">
        <v>189</v>
      </c>
      <c r="G1425" s="140" t="e">
        <f ca="1">mif(C1425="","",OR(B1425=リスト!$C$5,B1425=リスト!$C$6),SUM(INDEX(G:G,MATCH(I1425-1,I:I,0)+1,1):INDEX(G:G,MATCH(I1425,I:I,0)-1,1)),D1425-C1425)</f>
        <v>#NAME?</v>
      </c>
      <c r="H1425" s="140" t="e">
        <f ca="1">mif(C1425="","",B1425=リスト!$C$5,SUMIF(INDEX(B:B,MATCH(I1425-1,I:I,0)+1,1):INDEX(B:B,MATCH(I1425,I:I,0)-1,1),リスト!$C$7,INDEX(G:G,MATCH(I1425-1,I:I,0)+1,1):INDEX(G:G,MATCH(I1425,I:I,0)-1,1)),"")</f>
        <v>#NAME?</v>
      </c>
      <c r="I1425" s="200" t="str">
        <f>IF(OR(B1425=リスト!$C$5,B1425=リスト!$C$6),COUNTIF($B$9:B1425,リスト!$C$5)+COUNTIF($B$9:B1425,リスト!$C$6),"")</f>
        <v/>
      </c>
    </row>
    <row r="1426" spans="2:9" x14ac:dyDescent="0.2">
      <c r="B1426" s="196"/>
      <c r="C1426" s="197"/>
      <c r="D1426" s="197"/>
      <c r="E1426" s="198" t="e">
        <f ca="1">mif(OR(C1426="",B1426=リスト!$C$7),"",B1426="","RF",OR(B1426=リスト!$C$5,B1426=リスト!$C$6),COUNTBLANK(INDEX(B:B,MATCH(I1426-1,I:I,0)+1,1):INDEX(B:B,MATCH(I1426,I:I,0)-1,1)),"")</f>
        <v>#NAME?</v>
      </c>
      <c r="F1426" s="199" t="s">
        <v>189</v>
      </c>
      <c r="G1426" s="140" t="e">
        <f ca="1">mif(C1426="","",OR(B1426=リスト!$C$5,B1426=リスト!$C$6),SUM(INDEX(G:G,MATCH(I1426-1,I:I,0)+1,1):INDEX(G:G,MATCH(I1426,I:I,0)-1,1)),D1426-C1426)</f>
        <v>#NAME?</v>
      </c>
      <c r="H1426" s="140" t="e">
        <f ca="1">mif(C1426="","",B1426=リスト!$C$5,SUMIF(INDEX(B:B,MATCH(I1426-1,I:I,0)+1,1):INDEX(B:B,MATCH(I1426,I:I,0)-1,1),リスト!$C$7,INDEX(G:G,MATCH(I1426-1,I:I,0)+1,1):INDEX(G:G,MATCH(I1426,I:I,0)-1,1)),"")</f>
        <v>#NAME?</v>
      </c>
      <c r="I1426" s="200" t="str">
        <f>IF(OR(B1426=リスト!$C$5,B1426=リスト!$C$6),COUNTIF($B$9:B1426,リスト!$C$5)+COUNTIF($B$9:B1426,リスト!$C$6),"")</f>
        <v/>
      </c>
    </row>
    <row r="1427" spans="2:9" x14ac:dyDescent="0.2">
      <c r="B1427" s="196"/>
      <c r="C1427" s="197"/>
      <c r="D1427" s="197"/>
      <c r="E1427" s="198" t="e">
        <f ca="1">mif(OR(C1427="",B1427=リスト!$C$7),"",B1427="","RF",OR(B1427=リスト!$C$5,B1427=リスト!$C$6),COUNTBLANK(INDEX(B:B,MATCH(I1427-1,I:I,0)+1,1):INDEX(B:B,MATCH(I1427,I:I,0)-1,1)),"")</f>
        <v>#NAME?</v>
      </c>
      <c r="F1427" s="199" t="s">
        <v>189</v>
      </c>
      <c r="G1427" s="140" t="e">
        <f ca="1">mif(C1427="","",OR(B1427=リスト!$C$5,B1427=リスト!$C$6),SUM(INDEX(G:G,MATCH(I1427-1,I:I,0)+1,1):INDEX(G:G,MATCH(I1427,I:I,0)-1,1)),D1427-C1427)</f>
        <v>#NAME?</v>
      </c>
      <c r="H1427" s="140" t="e">
        <f ca="1">mif(C1427="","",B1427=リスト!$C$5,SUMIF(INDEX(B:B,MATCH(I1427-1,I:I,0)+1,1):INDEX(B:B,MATCH(I1427,I:I,0)-1,1),リスト!$C$7,INDEX(G:G,MATCH(I1427-1,I:I,0)+1,1):INDEX(G:G,MATCH(I1427,I:I,0)-1,1)),"")</f>
        <v>#NAME?</v>
      </c>
      <c r="I1427" s="200" t="str">
        <f>IF(OR(B1427=リスト!$C$5,B1427=リスト!$C$6),COUNTIF($B$9:B1427,リスト!$C$5)+COUNTIF($B$9:B1427,リスト!$C$6),"")</f>
        <v/>
      </c>
    </row>
    <row r="1428" spans="2:9" x14ac:dyDescent="0.2">
      <c r="B1428" s="196"/>
      <c r="C1428" s="197"/>
      <c r="D1428" s="197"/>
      <c r="E1428" s="198" t="e">
        <f ca="1">mif(OR(C1428="",B1428=リスト!$C$7),"",B1428="","RF",OR(B1428=リスト!$C$5,B1428=リスト!$C$6),COUNTBLANK(INDEX(B:B,MATCH(I1428-1,I:I,0)+1,1):INDEX(B:B,MATCH(I1428,I:I,0)-1,1)),"")</f>
        <v>#NAME?</v>
      </c>
      <c r="F1428" s="199" t="s">
        <v>189</v>
      </c>
      <c r="G1428" s="140" t="e">
        <f ca="1">mif(C1428="","",OR(B1428=リスト!$C$5,B1428=リスト!$C$6),SUM(INDEX(G:G,MATCH(I1428-1,I:I,0)+1,1):INDEX(G:G,MATCH(I1428,I:I,0)-1,1)),D1428-C1428)</f>
        <v>#NAME?</v>
      </c>
      <c r="H1428" s="140" t="e">
        <f ca="1">mif(C1428="","",B1428=リスト!$C$5,SUMIF(INDEX(B:B,MATCH(I1428-1,I:I,0)+1,1):INDEX(B:B,MATCH(I1428,I:I,0)-1,1),リスト!$C$7,INDEX(G:G,MATCH(I1428-1,I:I,0)+1,1):INDEX(G:G,MATCH(I1428,I:I,0)-1,1)),"")</f>
        <v>#NAME?</v>
      </c>
      <c r="I1428" s="200" t="str">
        <f>IF(OR(B1428=リスト!$C$5,B1428=リスト!$C$6),COUNTIF($B$9:B1428,リスト!$C$5)+COUNTIF($B$9:B1428,リスト!$C$6),"")</f>
        <v/>
      </c>
    </row>
    <row r="1429" spans="2:9" x14ac:dyDescent="0.2">
      <c r="B1429" s="196"/>
      <c r="C1429" s="197"/>
      <c r="D1429" s="197"/>
      <c r="E1429" s="198" t="e">
        <f ca="1">mif(OR(C1429="",B1429=リスト!$C$7),"",B1429="","RF",OR(B1429=リスト!$C$5,B1429=リスト!$C$6),COUNTBLANK(INDEX(B:B,MATCH(I1429-1,I:I,0)+1,1):INDEX(B:B,MATCH(I1429,I:I,0)-1,1)),"")</f>
        <v>#NAME?</v>
      </c>
      <c r="F1429" s="199" t="s">
        <v>189</v>
      </c>
      <c r="G1429" s="140" t="e">
        <f ca="1">mif(C1429="","",OR(B1429=リスト!$C$5,B1429=リスト!$C$6),SUM(INDEX(G:G,MATCH(I1429-1,I:I,0)+1,1):INDEX(G:G,MATCH(I1429,I:I,0)-1,1)),D1429-C1429)</f>
        <v>#NAME?</v>
      </c>
      <c r="H1429" s="140" t="e">
        <f ca="1">mif(C1429="","",B1429=リスト!$C$5,SUMIF(INDEX(B:B,MATCH(I1429-1,I:I,0)+1,1):INDEX(B:B,MATCH(I1429,I:I,0)-1,1),リスト!$C$7,INDEX(G:G,MATCH(I1429-1,I:I,0)+1,1):INDEX(G:G,MATCH(I1429,I:I,0)-1,1)),"")</f>
        <v>#NAME?</v>
      </c>
      <c r="I1429" s="200" t="str">
        <f>IF(OR(B1429=リスト!$C$5,B1429=リスト!$C$6),COUNTIF($B$9:B1429,リスト!$C$5)+COUNTIF($B$9:B1429,リスト!$C$6),"")</f>
        <v/>
      </c>
    </row>
    <row r="1430" spans="2:9" x14ac:dyDescent="0.2">
      <c r="B1430" s="196"/>
      <c r="C1430" s="197"/>
      <c r="D1430" s="197"/>
      <c r="E1430" s="198" t="e">
        <f ca="1">mif(OR(C1430="",B1430=リスト!$C$7),"",B1430="","RF",OR(B1430=リスト!$C$5,B1430=リスト!$C$6),COUNTBLANK(INDEX(B:B,MATCH(I1430-1,I:I,0)+1,1):INDEX(B:B,MATCH(I1430,I:I,0)-1,1)),"")</f>
        <v>#NAME?</v>
      </c>
      <c r="F1430" s="199" t="s">
        <v>189</v>
      </c>
      <c r="G1430" s="140" t="e">
        <f ca="1">mif(C1430="","",OR(B1430=リスト!$C$5,B1430=リスト!$C$6),SUM(INDEX(G:G,MATCH(I1430-1,I:I,0)+1,1):INDEX(G:G,MATCH(I1430,I:I,0)-1,1)),D1430-C1430)</f>
        <v>#NAME?</v>
      </c>
      <c r="H1430" s="140" t="e">
        <f ca="1">mif(C1430="","",B1430=リスト!$C$5,SUMIF(INDEX(B:B,MATCH(I1430-1,I:I,0)+1,1):INDEX(B:B,MATCH(I1430,I:I,0)-1,1),リスト!$C$7,INDEX(G:G,MATCH(I1430-1,I:I,0)+1,1):INDEX(G:G,MATCH(I1430,I:I,0)-1,1)),"")</f>
        <v>#NAME?</v>
      </c>
      <c r="I1430" s="200" t="str">
        <f>IF(OR(B1430=リスト!$C$5,B1430=リスト!$C$6),COUNTIF($B$9:B1430,リスト!$C$5)+COUNTIF($B$9:B1430,リスト!$C$6),"")</f>
        <v/>
      </c>
    </row>
    <row r="1431" spans="2:9" x14ac:dyDescent="0.2">
      <c r="B1431" s="196"/>
      <c r="C1431" s="197"/>
      <c r="D1431" s="197"/>
      <c r="E1431" s="198" t="e">
        <f ca="1">mif(OR(C1431="",B1431=リスト!$C$7),"",B1431="","RF",OR(B1431=リスト!$C$5,B1431=リスト!$C$6),COUNTBLANK(INDEX(B:B,MATCH(I1431-1,I:I,0)+1,1):INDEX(B:B,MATCH(I1431,I:I,0)-1,1)),"")</f>
        <v>#NAME?</v>
      </c>
      <c r="F1431" s="199" t="s">
        <v>189</v>
      </c>
      <c r="G1431" s="140" t="e">
        <f ca="1">mif(C1431="","",OR(B1431=リスト!$C$5,B1431=リスト!$C$6),SUM(INDEX(G:G,MATCH(I1431-1,I:I,0)+1,1):INDEX(G:G,MATCH(I1431,I:I,0)-1,1)),D1431-C1431)</f>
        <v>#NAME?</v>
      </c>
      <c r="H1431" s="140" t="e">
        <f ca="1">mif(C1431="","",B1431=リスト!$C$5,SUMIF(INDEX(B:B,MATCH(I1431-1,I:I,0)+1,1):INDEX(B:B,MATCH(I1431,I:I,0)-1,1),リスト!$C$7,INDEX(G:G,MATCH(I1431-1,I:I,0)+1,1):INDEX(G:G,MATCH(I1431,I:I,0)-1,1)),"")</f>
        <v>#NAME?</v>
      </c>
      <c r="I1431" s="200" t="str">
        <f>IF(OR(B1431=リスト!$C$5,B1431=リスト!$C$6),COUNTIF($B$9:B1431,リスト!$C$5)+COUNTIF($B$9:B1431,リスト!$C$6),"")</f>
        <v/>
      </c>
    </row>
    <row r="1432" spans="2:9" x14ac:dyDescent="0.2">
      <c r="B1432" s="196"/>
      <c r="C1432" s="197"/>
      <c r="D1432" s="197"/>
      <c r="E1432" s="198" t="e">
        <f ca="1">mif(OR(C1432="",B1432=リスト!$C$7),"",B1432="","RF",OR(B1432=リスト!$C$5,B1432=リスト!$C$6),COUNTBLANK(INDEX(B:B,MATCH(I1432-1,I:I,0)+1,1):INDEX(B:B,MATCH(I1432,I:I,0)-1,1)),"")</f>
        <v>#NAME?</v>
      </c>
      <c r="F1432" s="199" t="s">
        <v>189</v>
      </c>
      <c r="G1432" s="140" t="e">
        <f ca="1">mif(C1432="","",OR(B1432=リスト!$C$5,B1432=リスト!$C$6),SUM(INDEX(G:G,MATCH(I1432-1,I:I,0)+1,1):INDEX(G:G,MATCH(I1432,I:I,0)-1,1)),D1432-C1432)</f>
        <v>#NAME?</v>
      </c>
      <c r="H1432" s="140" t="e">
        <f ca="1">mif(C1432="","",B1432=リスト!$C$5,SUMIF(INDEX(B:B,MATCH(I1432-1,I:I,0)+1,1):INDEX(B:B,MATCH(I1432,I:I,0)-1,1),リスト!$C$7,INDEX(G:G,MATCH(I1432-1,I:I,0)+1,1):INDEX(G:G,MATCH(I1432,I:I,0)-1,1)),"")</f>
        <v>#NAME?</v>
      </c>
      <c r="I1432" s="200" t="str">
        <f>IF(OR(B1432=リスト!$C$5,B1432=リスト!$C$6),COUNTIF($B$9:B1432,リスト!$C$5)+COUNTIF($B$9:B1432,リスト!$C$6),"")</f>
        <v/>
      </c>
    </row>
    <row r="1433" spans="2:9" x14ac:dyDescent="0.2">
      <c r="B1433" s="196"/>
      <c r="C1433" s="197"/>
      <c r="D1433" s="197"/>
      <c r="E1433" s="198" t="e">
        <f ca="1">mif(OR(C1433="",B1433=リスト!$C$7),"",B1433="","RF",OR(B1433=リスト!$C$5,B1433=リスト!$C$6),COUNTBLANK(INDEX(B:B,MATCH(I1433-1,I:I,0)+1,1):INDEX(B:B,MATCH(I1433,I:I,0)-1,1)),"")</f>
        <v>#NAME?</v>
      </c>
      <c r="F1433" s="199" t="s">
        <v>189</v>
      </c>
      <c r="G1433" s="140" t="e">
        <f ca="1">mif(C1433="","",OR(B1433=リスト!$C$5,B1433=リスト!$C$6),SUM(INDEX(G:G,MATCH(I1433-1,I:I,0)+1,1):INDEX(G:G,MATCH(I1433,I:I,0)-1,1)),D1433-C1433)</f>
        <v>#NAME?</v>
      </c>
      <c r="H1433" s="140" t="e">
        <f ca="1">mif(C1433="","",B1433=リスト!$C$5,SUMIF(INDEX(B:B,MATCH(I1433-1,I:I,0)+1,1):INDEX(B:B,MATCH(I1433,I:I,0)-1,1),リスト!$C$7,INDEX(G:G,MATCH(I1433-1,I:I,0)+1,1):INDEX(G:G,MATCH(I1433,I:I,0)-1,1)),"")</f>
        <v>#NAME?</v>
      </c>
      <c r="I1433" s="200" t="str">
        <f>IF(OR(B1433=リスト!$C$5,B1433=リスト!$C$6),COUNTIF($B$9:B1433,リスト!$C$5)+COUNTIF($B$9:B1433,リスト!$C$6),"")</f>
        <v/>
      </c>
    </row>
    <row r="1434" spans="2:9" x14ac:dyDescent="0.2">
      <c r="B1434" s="196"/>
      <c r="C1434" s="197"/>
      <c r="D1434" s="197"/>
      <c r="E1434" s="198" t="e">
        <f ca="1">mif(OR(C1434="",B1434=リスト!$C$7),"",B1434="","RF",OR(B1434=リスト!$C$5,B1434=リスト!$C$6),COUNTBLANK(INDEX(B:B,MATCH(I1434-1,I:I,0)+1,1):INDEX(B:B,MATCH(I1434,I:I,0)-1,1)),"")</f>
        <v>#NAME?</v>
      </c>
      <c r="F1434" s="199" t="s">
        <v>189</v>
      </c>
      <c r="G1434" s="140" t="e">
        <f ca="1">mif(C1434="","",OR(B1434=リスト!$C$5,B1434=リスト!$C$6),SUM(INDEX(G:G,MATCH(I1434-1,I:I,0)+1,1):INDEX(G:G,MATCH(I1434,I:I,0)-1,1)),D1434-C1434)</f>
        <v>#NAME?</v>
      </c>
      <c r="H1434" s="140" t="e">
        <f ca="1">mif(C1434="","",B1434=リスト!$C$5,SUMIF(INDEX(B:B,MATCH(I1434-1,I:I,0)+1,1):INDEX(B:B,MATCH(I1434,I:I,0)-1,1),リスト!$C$7,INDEX(G:G,MATCH(I1434-1,I:I,0)+1,1):INDEX(G:G,MATCH(I1434,I:I,0)-1,1)),"")</f>
        <v>#NAME?</v>
      </c>
      <c r="I1434" s="200" t="str">
        <f>IF(OR(B1434=リスト!$C$5,B1434=リスト!$C$6),COUNTIF($B$9:B1434,リスト!$C$5)+COUNTIF($B$9:B1434,リスト!$C$6),"")</f>
        <v/>
      </c>
    </row>
    <row r="1435" spans="2:9" x14ac:dyDescent="0.2">
      <c r="B1435" s="196"/>
      <c r="C1435" s="197"/>
      <c r="D1435" s="197"/>
      <c r="E1435" s="198" t="e">
        <f ca="1">mif(OR(C1435="",B1435=リスト!$C$7),"",B1435="","RF",OR(B1435=リスト!$C$5,B1435=リスト!$C$6),COUNTBLANK(INDEX(B:B,MATCH(I1435-1,I:I,0)+1,1):INDEX(B:B,MATCH(I1435,I:I,0)-1,1)),"")</f>
        <v>#NAME?</v>
      </c>
      <c r="F1435" s="199" t="s">
        <v>189</v>
      </c>
      <c r="G1435" s="140" t="e">
        <f ca="1">mif(C1435="","",OR(B1435=リスト!$C$5,B1435=リスト!$C$6),SUM(INDEX(G:G,MATCH(I1435-1,I:I,0)+1,1):INDEX(G:G,MATCH(I1435,I:I,0)-1,1)),D1435-C1435)</f>
        <v>#NAME?</v>
      </c>
      <c r="H1435" s="140" t="e">
        <f ca="1">mif(C1435="","",B1435=リスト!$C$5,SUMIF(INDEX(B:B,MATCH(I1435-1,I:I,0)+1,1):INDEX(B:B,MATCH(I1435,I:I,0)-1,1),リスト!$C$7,INDEX(G:G,MATCH(I1435-1,I:I,0)+1,1):INDEX(G:G,MATCH(I1435,I:I,0)-1,1)),"")</f>
        <v>#NAME?</v>
      </c>
      <c r="I1435" s="200" t="str">
        <f>IF(OR(B1435=リスト!$C$5,B1435=リスト!$C$6),COUNTIF($B$9:B1435,リスト!$C$5)+COUNTIF($B$9:B1435,リスト!$C$6),"")</f>
        <v/>
      </c>
    </row>
    <row r="1436" spans="2:9" x14ac:dyDescent="0.2">
      <c r="B1436" s="196"/>
      <c r="C1436" s="197"/>
      <c r="D1436" s="197"/>
      <c r="E1436" s="198" t="e">
        <f ca="1">mif(OR(C1436="",B1436=リスト!$C$7),"",B1436="","RF",OR(B1436=リスト!$C$5,B1436=リスト!$C$6),COUNTBLANK(INDEX(B:B,MATCH(I1436-1,I:I,0)+1,1):INDEX(B:B,MATCH(I1436,I:I,0)-1,1)),"")</f>
        <v>#NAME?</v>
      </c>
      <c r="F1436" s="199" t="s">
        <v>189</v>
      </c>
      <c r="G1436" s="140" t="e">
        <f ca="1">mif(C1436="","",OR(B1436=リスト!$C$5,B1436=リスト!$C$6),SUM(INDEX(G:G,MATCH(I1436-1,I:I,0)+1,1):INDEX(G:G,MATCH(I1436,I:I,0)-1,1)),D1436-C1436)</f>
        <v>#NAME?</v>
      </c>
      <c r="H1436" s="140" t="e">
        <f ca="1">mif(C1436="","",B1436=リスト!$C$5,SUMIF(INDEX(B:B,MATCH(I1436-1,I:I,0)+1,1):INDEX(B:B,MATCH(I1436,I:I,0)-1,1),リスト!$C$7,INDEX(G:G,MATCH(I1436-1,I:I,0)+1,1):INDEX(G:G,MATCH(I1436,I:I,0)-1,1)),"")</f>
        <v>#NAME?</v>
      </c>
      <c r="I1436" s="200" t="str">
        <f>IF(OR(B1436=リスト!$C$5,B1436=リスト!$C$6),COUNTIF($B$9:B1436,リスト!$C$5)+COUNTIF($B$9:B1436,リスト!$C$6),"")</f>
        <v/>
      </c>
    </row>
    <row r="1437" spans="2:9" x14ac:dyDescent="0.2">
      <c r="B1437" s="196"/>
      <c r="C1437" s="197"/>
      <c r="D1437" s="197"/>
      <c r="E1437" s="198" t="e">
        <f ca="1">mif(OR(C1437="",B1437=リスト!$C$7),"",B1437="","RF",OR(B1437=リスト!$C$5,B1437=リスト!$C$6),COUNTBLANK(INDEX(B:B,MATCH(I1437-1,I:I,0)+1,1):INDEX(B:B,MATCH(I1437,I:I,0)-1,1)),"")</f>
        <v>#NAME?</v>
      </c>
      <c r="F1437" s="199" t="s">
        <v>189</v>
      </c>
      <c r="G1437" s="140" t="e">
        <f ca="1">mif(C1437="","",OR(B1437=リスト!$C$5,B1437=リスト!$C$6),SUM(INDEX(G:G,MATCH(I1437-1,I:I,0)+1,1):INDEX(G:G,MATCH(I1437,I:I,0)-1,1)),D1437-C1437)</f>
        <v>#NAME?</v>
      </c>
      <c r="H1437" s="140" t="e">
        <f ca="1">mif(C1437="","",B1437=リスト!$C$5,SUMIF(INDEX(B:B,MATCH(I1437-1,I:I,0)+1,1):INDEX(B:B,MATCH(I1437,I:I,0)-1,1),リスト!$C$7,INDEX(G:G,MATCH(I1437-1,I:I,0)+1,1):INDEX(G:G,MATCH(I1437,I:I,0)-1,1)),"")</f>
        <v>#NAME?</v>
      </c>
      <c r="I1437" s="200" t="str">
        <f>IF(OR(B1437=リスト!$C$5,B1437=リスト!$C$6),COUNTIF($B$9:B1437,リスト!$C$5)+COUNTIF($B$9:B1437,リスト!$C$6),"")</f>
        <v/>
      </c>
    </row>
    <row r="1438" spans="2:9" x14ac:dyDescent="0.2">
      <c r="B1438" s="196"/>
      <c r="C1438" s="197"/>
      <c r="D1438" s="197"/>
      <c r="E1438" s="198" t="e">
        <f ca="1">mif(OR(C1438="",B1438=リスト!$C$7),"",B1438="","RF",OR(B1438=リスト!$C$5,B1438=リスト!$C$6),COUNTBLANK(INDEX(B:B,MATCH(I1438-1,I:I,0)+1,1):INDEX(B:B,MATCH(I1438,I:I,0)-1,1)),"")</f>
        <v>#NAME?</v>
      </c>
      <c r="F1438" s="199" t="s">
        <v>189</v>
      </c>
      <c r="G1438" s="140" t="e">
        <f ca="1">mif(C1438="","",OR(B1438=リスト!$C$5,B1438=リスト!$C$6),SUM(INDEX(G:G,MATCH(I1438-1,I:I,0)+1,1):INDEX(G:G,MATCH(I1438,I:I,0)-1,1)),D1438-C1438)</f>
        <v>#NAME?</v>
      </c>
      <c r="H1438" s="140" t="e">
        <f ca="1">mif(C1438="","",B1438=リスト!$C$5,SUMIF(INDEX(B:B,MATCH(I1438-1,I:I,0)+1,1):INDEX(B:B,MATCH(I1438,I:I,0)-1,1),リスト!$C$7,INDEX(G:G,MATCH(I1438-1,I:I,0)+1,1):INDEX(G:G,MATCH(I1438,I:I,0)-1,1)),"")</f>
        <v>#NAME?</v>
      </c>
      <c r="I1438" s="200" t="str">
        <f>IF(OR(B1438=リスト!$C$5,B1438=リスト!$C$6),COUNTIF($B$9:B1438,リスト!$C$5)+COUNTIF($B$9:B1438,リスト!$C$6),"")</f>
        <v/>
      </c>
    </row>
    <row r="1439" spans="2:9" x14ac:dyDescent="0.2">
      <c r="B1439" s="196"/>
      <c r="C1439" s="197"/>
      <c r="D1439" s="197"/>
      <c r="E1439" s="198" t="e">
        <f ca="1">mif(OR(C1439="",B1439=リスト!$C$7),"",B1439="","RF",OR(B1439=リスト!$C$5,B1439=リスト!$C$6),COUNTBLANK(INDEX(B:B,MATCH(I1439-1,I:I,0)+1,1):INDEX(B:B,MATCH(I1439,I:I,0)-1,1)),"")</f>
        <v>#NAME?</v>
      </c>
      <c r="F1439" s="199" t="s">
        <v>189</v>
      </c>
      <c r="G1439" s="140" t="e">
        <f ca="1">mif(C1439="","",OR(B1439=リスト!$C$5,B1439=リスト!$C$6),SUM(INDEX(G:G,MATCH(I1439-1,I:I,0)+1,1):INDEX(G:G,MATCH(I1439,I:I,0)-1,1)),D1439-C1439)</f>
        <v>#NAME?</v>
      </c>
      <c r="H1439" s="140" t="e">
        <f ca="1">mif(C1439="","",B1439=リスト!$C$5,SUMIF(INDEX(B:B,MATCH(I1439-1,I:I,0)+1,1):INDEX(B:B,MATCH(I1439,I:I,0)-1,1),リスト!$C$7,INDEX(G:G,MATCH(I1439-1,I:I,0)+1,1):INDEX(G:G,MATCH(I1439,I:I,0)-1,1)),"")</f>
        <v>#NAME?</v>
      </c>
      <c r="I1439" s="200" t="str">
        <f>IF(OR(B1439=リスト!$C$5,B1439=リスト!$C$6),COUNTIF($B$9:B1439,リスト!$C$5)+COUNTIF($B$9:B1439,リスト!$C$6),"")</f>
        <v/>
      </c>
    </row>
    <row r="1440" spans="2:9" x14ac:dyDescent="0.2">
      <c r="B1440" s="196"/>
      <c r="C1440" s="197"/>
      <c r="D1440" s="197"/>
      <c r="E1440" s="198" t="e">
        <f ca="1">mif(OR(C1440="",B1440=リスト!$C$7),"",B1440="","RF",OR(B1440=リスト!$C$5,B1440=リスト!$C$6),COUNTBLANK(INDEX(B:B,MATCH(I1440-1,I:I,0)+1,1):INDEX(B:B,MATCH(I1440,I:I,0)-1,1)),"")</f>
        <v>#NAME?</v>
      </c>
      <c r="F1440" s="199" t="s">
        <v>189</v>
      </c>
      <c r="G1440" s="140" t="e">
        <f ca="1">mif(C1440="","",OR(B1440=リスト!$C$5,B1440=リスト!$C$6),SUM(INDEX(G:G,MATCH(I1440-1,I:I,0)+1,1):INDEX(G:G,MATCH(I1440,I:I,0)-1,1)),D1440-C1440)</f>
        <v>#NAME?</v>
      </c>
      <c r="H1440" s="140" t="e">
        <f ca="1">mif(C1440="","",B1440=リスト!$C$5,SUMIF(INDEX(B:B,MATCH(I1440-1,I:I,0)+1,1):INDEX(B:B,MATCH(I1440,I:I,0)-1,1),リスト!$C$7,INDEX(G:G,MATCH(I1440-1,I:I,0)+1,1):INDEX(G:G,MATCH(I1440,I:I,0)-1,1)),"")</f>
        <v>#NAME?</v>
      </c>
      <c r="I1440" s="200" t="str">
        <f>IF(OR(B1440=リスト!$C$5,B1440=リスト!$C$6),COUNTIF($B$9:B1440,リスト!$C$5)+COUNTIF($B$9:B1440,リスト!$C$6),"")</f>
        <v/>
      </c>
    </row>
    <row r="1441" spans="2:9" x14ac:dyDescent="0.2">
      <c r="B1441" s="196"/>
      <c r="C1441" s="197"/>
      <c r="D1441" s="197"/>
      <c r="E1441" s="198" t="e">
        <f ca="1">mif(OR(C1441="",B1441=リスト!$C$7),"",B1441="","RF",OR(B1441=リスト!$C$5,B1441=リスト!$C$6),COUNTBLANK(INDEX(B:B,MATCH(I1441-1,I:I,0)+1,1):INDEX(B:B,MATCH(I1441,I:I,0)-1,1)),"")</f>
        <v>#NAME?</v>
      </c>
      <c r="F1441" s="199" t="s">
        <v>189</v>
      </c>
      <c r="G1441" s="140" t="e">
        <f ca="1">mif(C1441="","",OR(B1441=リスト!$C$5,B1441=リスト!$C$6),SUM(INDEX(G:G,MATCH(I1441-1,I:I,0)+1,1):INDEX(G:G,MATCH(I1441,I:I,0)-1,1)),D1441-C1441)</f>
        <v>#NAME?</v>
      </c>
      <c r="H1441" s="140" t="e">
        <f ca="1">mif(C1441="","",B1441=リスト!$C$5,SUMIF(INDEX(B:B,MATCH(I1441-1,I:I,0)+1,1):INDEX(B:B,MATCH(I1441,I:I,0)-1,1),リスト!$C$7,INDEX(G:G,MATCH(I1441-1,I:I,0)+1,1):INDEX(G:G,MATCH(I1441,I:I,0)-1,1)),"")</f>
        <v>#NAME?</v>
      </c>
      <c r="I1441" s="200" t="str">
        <f>IF(OR(B1441=リスト!$C$5,B1441=リスト!$C$6),COUNTIF($B$9:B1441,リスト!$C$5)+COUNTIF($B$9:B1441,リスト!$C$6),"")</f>
        <v/>
      </c>
    </row>
    <row r="1442" spans="2:9" x14ac:dyDescent="0.2">
      <c r="B1442" s="196"/>
      <c r="C1442" s="197"/>
      <c r="D1442" s="197"/>
      <c r="E1442" s="198" t="e">
        <f ca="1">mif(OR(C1442="",B1442=リスト!$C$7),"",B1442="","RF",OR(B1442=リスト!$C$5,B1442=リスト!$C$6),COUNTBLANK(INDEX(B:B,MATCH(I1442-1,I:I,0)+1,1):INDEX(B:B,MATCH(I1442,I:I,0)-1,1)),"")</f>
        <v>#NAME?</v>
      </c>
      <c r="F1442" s="199" t="s">
        <v>189</v>
      </c>
      <c r="G1442" s="140" t="e">
        <f ca="1">mif(C1442="","",OR(B1442=リスト!$C$5,B1442=リスト!$C$6),SUM(INDEX(G:G,MATCH(I1442-1,I:I,0)+1,1):INDEX(G:G,MATCH(I1442,I:I,0)-1,1)),D1442-C1442)</f>
        <v>#NAME?</v>
      </c>
      <c r="H1442" s="140" t="e">
        <f ca="1">mif(C1442="","",B1442=リスト!$C$5,SUMIF(INDEX(B:B,MATCH(I1442-1,I:I,0)+1,1):INDEX(B:B,MATCH(I1442,I:I,0)-1,1),リスト!$C$7,INDEX(G:G,MATCH(I1442-1,I:I,0)+1,1):INDEX(G:G,MATCH(I1442,I:I,0)-1,1)),"")</f>
        <v>#NAME?</v>
      </c>
      <c r="I1442" s="200" t="str">
        <f>IF(OR(B1442=リスト!$C$5,B1442=リスト!$C$6),COUNTIF($B$9:B1442,リスト!$C$5)+COUNTIF($B$9:B1442,リスト!$C$6),"")</f>
        <v/>
      </c>
    </row>
    <row r="1443" spans="2:9" x14ac:dyDescent="0.2">
      <c r="B1443" s="196"/>
      <c r="C1443" s="197"/>
      <c r="D1443" s="197"/>
      <c r="E1443" s="198" t="e">
        <f ca="1">mif(OR(C1443="",B1443=リスト!$C$7),"",B1443="","RF",OR(B1443=リスト!$C$5,B1443=リスト!$C$6),COUNTBLANK(INDEX(B:B,MATCH(I1443-1,I:I,0)+1,1):INDEX(B:B,MATCH(I1443,I:I,0)-1,1)),"")</f>
        <v>#NAME?</v>
      </c>
      <c r="F1443" s="199" t="s">
        <v>189</v>
      </c>
      <c r="G1443" s="140" t="e">
        <f ca="1">mif(C1443="","",OR(B1443=リスト!$C$5,B1443=リスト!$C$6),SUM(INDEX(G:G,MATCH(I1443-1,I:I,0)+1,1):INDEX(G:G,MATCH(I1443,I:I,0)-1,1)),D1443-C1443)</f>
        <v>#NAME?</v>
      </c>
      <c r="H1443" s="140" t="e">
        <f ca="1">mif(C1443="","",B1443=リスト!$C$5,SUMIF(INDEX(B:B,MATCH(I1443-1,I:I,0)+1,1):INDEX(B:B,MATCH(I1443,I:I,0)-1,1),リスト!$C$7,INDEX(G:G,MATCH(I1443-1,I:I,0)+1,1):INDEX(G:G,MATCH(I1443,I:I,0)-1,1)),"")</f>
        <v>#NAME?</v>
      </c>
      <c r="I1443" s="200" t="str">
        <f>IF(OR(B1443=リスト!$C$5,B1443=リスト!$C$6),COUNTIF($B$9:B1443,リスト!$C$5)+COUNTIF($B$9:B1443,リスト!$C$6),"")</f>
        <v/>
      </c>
    </row>
    <row r="1444" spans="2:9" x14ac:dyDescent="0.2">
      <c r="B1444" s="196"/>
      <c r="C1444" s="197"/>
      <c r="D1444" s="197"/>
      <c r="E1444" s="198" t="e">
        <f ca="1">mif(OR(C1444="",B1444=リスト!$C$7),"",B1444="","RF",OR(B1444=リスト!$C$5,B1444=リスト!$C$6),COUNTBLANK(INDEX(B:B,MATCH(I1444-1,I:I,0)+1,1):INDEX(B:B,MATCH(I1444,I:I,0)-1,1)),"")</f>
        <v>#NAME?</v>
      </c>
      <c r="F1444" s="199" t="s">
        <v>189</v>
      </c>
      <c r="G1444" s="140" t="e">
        <f ca="1">mif(C1444="","",OR(B1444=リスト!$C$5,B1444=リスト!$C$6),SUM(INDEX(G:G,MATCH(I1444-1,I:I,0)+1,1):INDEX(G:G,MATCH(I1444,I:I,0)-1,1)),D1444-C1444)</f>
        <v>#NAME?</v>
      </c>
      <c r="H1444" s="140" t="e">
        <f ca="1">mif(C1444="","",B1444=リスト!$C$5,SUMIF(INDEX(B:B,MATCH(I1444-1,I:I,0)+1,1):INDEX(B:B,MATCH(I1444,I:I,0)-1,1),リスト!$C$7,INDEX(G:G,MATCH(I1444-1,I:I,0)+1,1):INDEX(G:G,MATCH(I1444,I:I,0)-1,1)),"")</f>
        <v>#NAME?</v>
      </c>
      <c r="I1444" s="200" t="str">
        <f>IF(OR(B1444=リスト!$C$5,B1444=リスト!$C$6),COUNTIF($B$9:B1444,リスト!$C$5)+COUNTIF($B$9:B1444,リスト!$C$6),"")</f>
        <v/>
      </c>
    </row>
    <row r="1445" spans="2:9" x14ac:dyDescent="0.2">
      <c r="B1445" s="196"/>
      <c r="C1445" s="197"/>
      <c r="D1445" s="197"/>
      <c r="E1445" s="198" t="e">
        <f ca="1">mif(OR(C1445="",B1445=リスト!$C$7),"",B1445="","RF",OR(B1445=リスト!$C$5,B1445=リスト!$C$6),COUNTBLANK(INDEX(B:B,MATCH(I1445-1,I:I,0)+1,1):INDEX(B:B,MATCH(I1445,I:I,0)-1,1)),"")</f>
        <v>#NAME?</v>
      </c>
      <c r="F1445" s="199" t="s">
        <v>189</v>
      </c>
      <c r="G1445" s="140" t="e">
        <f ca="1">mif(C1445="","",OR(B1445=リスト!$C$5,B1445=リスト!$C$6),SUM(INDEX(G:G,MATCH(I1445-1,I:I,0)+1,1):INDEX(G:G,MATCH(I1445,I:I,0)-1,1)),D1445-C1445)</f>
        <v>#NAME?</v>
      </c>
      <c r="H1445" s="140" t="e">
        <f ca="1">mif(C1445="","",B1445=リスト!$C$5,SUMIF(INDEX(B:B,MATCH(I1445-1,I:I,0)+1,1):INDEX(B:B,MATCH(I1445,I:I,0)-1,1),リスト!$C$7,INDEX(G:G,MATCH(I1445-1,I:I,0)+1,1):INDEX(G:G,MATCH(I1445,I:I,0)-1,1)),"")</f>
        <v>#NAME?</v>
      </c>
      <c r="I1445" s="200" t="str">
        <f>IF(OR(B1445=リスト!$C$5,B1445=リスト!$C$6),COUNTIF($B$9:B1445,リスト!$C$5)+COUNTIF($B$9:B1445,リスト!$C$6),"")</f>
        <v/>
      </c>
    </row>
    <row r="1446" spans="2:9" x14ac:dyDescent="0.2">
      <c r="B1446" s="196"/>
      <c r="C1446" s="197"/>
      <c r="D1446" s="197"/>
      <c r="E1446" s="198" t="e">
        <f ca="1">mif(OR(C1446="",B1446=リスト!$C$7),"",B1446="","RF",OR(B1446=リスト!$C$5,B1446=リスト!$C$6),COUNTBLANK(INDEX(B:B,MATCH(I1446-1,I:I,0)+1,1):INDEX(B:B,MATCH(I1446,I:I,0)-1,1)),"")</f>
        <v>#NAME?</v>
      </c>
      <c r="F1446" s="199" t="s">
        <v>189</v>
      </c>
      <c r="G1446" s="140" t="e">
        <f ca="1">mif(C1446="","",OR(B1446=リスト!$C$5,B1446=リスト!$C$6),SUM(INDEX(G:G,MATCH(I1446-1,I:I,0)+1,1):INDEX(G:G,MATCH(I1446,I:I,0)-1,1)),D1446-C1446)</f>
        <v>#NAME?</v>
      </c>
      <c r="H1446" s="140" t="e">
        <f ca="1">mif(C1446="","",B1446=リスト!$C$5,SUMIF(INDEX(B:B,MATCH(I1446-1,I:I,0)+1,1):INDEX(B:B,MATCH(I1446,I:I,0)-1,1),リスト!$C$7,INDEX(G:G,MATCH(I1446-1,I:I,0)+1,1):INDEX(G:G,MATCH(I1446,I:I,0)-1,1)),"")</f>
        <v>#NAME?</v>
      </c>
      <c r="I1446" s="200" t="str">
        <f>IF(OR(B1446=リスト!$C$5,B1446=リスト!$C$6),COUNTIF($B$9:B1446,リスト!$C$5)+COUNTIF($B$9:B1446,リスト!$C$6),"")</f>
        <v/>
      </c>
    </row>
    <row r="1447" spans="2:9" x14ac:dyDescent="0.2">
      <c r="B1447" s="196"/>
      <c r="C1447" s="197"/>
      <c r="D1447" s="197"/>
      <c r="E1447" s="198" t="e">
        <f ca="1">mif(OR(C1447="",B1447=リスト!$C$7),"",B1447="","RF",OR(B1447=リスト!$C$5,B1447=リスト!$C$6),COUNTBLANK(INDEX(B:B,MATCH(I1447-1,I:I,0)+1,1):INDEX(B:B,MATCH(I1447,I:I,0)-1,1)),"")</f>
        <v>#NAME?</v>
      </c>
      <c r="F1447" s="199" t="s">
        <v>189</v>
      </c>
      <c r="G1447" s="140" t="e">
        <f ca="1">mif(C1447="","",OR(B1447=リスト!$C$5,B1447=リスト!$C$6),SUM(INDEX(G:G,MATCH(I1447-1,I:I,0)+1,1):INDEX(G:G,MATCH(I1447,I:I,0)-1,1)),D1447-C1447)</f>
        <v>#NAME?</v>
      </c>
      <c r="H1447" s="140" t="e">
        <f ca="1">mif(C1447="","",B1447=リスト!$C$5,SUMIF(INDEX(B:B,MATCH(I1447-1,I:I,0)+1,1):INDEX(B:B,MATCH(I1447,I:I,0)-1,1),リスト!$C$7,INDEX(G:G,MATCH(I1447-1,I:I,0)+1,1):INDEX(G:G,MATCH(I1447,I:I,0)-1,1)),"")</f>
        <v>#NAME?</v>
      </c>
      <c r="I1447" s="200" t="str">
        <f>IF(OR(B1447=リスト!$C$5,B1447=リスト!$C$6),COUNTIF($B$9:B1447,リスト!$C$5)+COUNTIF($B$9:B1447,リスト!$C$6),"")</f>
        <v/>
      </c>
    </row>
    <row r="1448" spans="2:9" x14ac:dyDescent="0.2">
      <c r="B1448" s="196"/>
      <c r="C1448" s="197"/>
      <c r="D1448" s="197"/>
      <c r="E1448" s="198" t="e">
        <f ca="1">mif(OR(C1448="",B1448=リスト!$C$7),"",B1448="","RF",OR(B1448=リスト!$C$5,B1448=リスト!$C$6),COUNTBLANK(INDEX(B:B,MATCH(I1448-1,I:I,0)+1,1):INDEX(B:B,MATCH(I1448,I:I,0)-1,1)),"")</f>
        <v>#NAME?</v>
      </c>
      <c r="F1448" s="199" t="s">
        <v>189</v>
      </c>
      <c r="G1448" s="140" t="e">
        <f ca="1">mif(C1448="","",OR(B1448=リスト!$C$5,B1448=リスト!$C$6),SUM(INDEX(G:G,MATCH(I1448-1,I:I,0)+1,1):INDEX(G:G,MATCH(I1448,I:I,0)-1,1)),D1448-C1448)</f>
        <v>#NAME?</v>
      </c>
      <c r="H1448" s="140" t="e">
        <f ca="1">mif(C1448="","",B1448=リスト!$C$5,SUMIF(INDEX(B:B,MATCH(I1448-1,I:I,0)+1,1):INDEX(B:B,MATCH(I1448,I:I,0)-1,1),リスト!$C$7,INDEX(G:G,MATCH(I1448-1,I:I,0)+1,1):INDEX(G:G,MATCH(I1448,I:I,0)-1,1)),"")</f>
        <v>#NAME?</v>
      </c>
      <c r="I1448" s="200" t="str">
        <f>IF(OR(B1448=リスト!$C$5,B1448=リスト!$C$6),COUNTIF($B$9:B1448,リスト!$C$5)+COUNTIF($B$9:B1448,リスト!$C$6),"")</f>
        <v/>
      </c>
    </row>
    <row r="1449" spans="2:9" x14ac:dyDescent="0.2">
      <c r="B1449" s="196"/>
      <c r="C1449" s="197"/>
      <c r="D1449" s="197"/>
      <c r="E1449" s="198" t="e">
        <f ca="1">mif(OR(C1449="",B1449=リスト!$C$7),"",B1449="","RF",OR(B1449=リスト!$C$5,B1449=リスト!$C$6),COUNTBLANK(INDEX(B:B,MATCH(I1449-1,I:I,0)+1,1):INDEX(B:B,MATCH(I1449,I:I,0)-1,1)),"")</f>
        <v>#NAME?</v>
      </c>
      <c r="F1449" s="199" t="s">
        <v>189</v>
      </c>
      <c r="G1449" s="140" t="e">
        <f ca="1">mif(C1449="","",OR(B1449=リスト!$C$5,B1449=リスト!$C$6),SUM(INDEX(G:G,MATCH(I1449-1,I:I,0)+1,1):INDEX(G:G,MATCH(I1449,I:I,0)-1,1)),D1449-C1449)</f>
        <v>#NAME?</v>
      </c>
      <c r="H1449" s="140" t="e">
        <f ca="1">mif(C1449="","",B1449=リスト!$C$5,SUMIF(INDEX(B:B,MATCH(I1449-1,I:I,0)+1,1):INDEX(B:B,MATCH(I1449,I:I,0)-1,1),リスト!$C$7,INDEX(G:G,MATCH(I1449-1,I:I,0)+1,1):INDEX(G:G,MATCH(I1449,I:I,0)-1,1)),"")</f>
        <v>#NAME?</v>
      </c>
      <c r="I1449" s="200" t="str">
        <f>IF(OR(B1449=リスト!$C$5,B1449=リスト!$C$6),COUNTIF($B$9:B1449,リスト!$C$5)+COUNTIF($B$9:B1449,リスト!$C$6),"")</f>
        <v/>
      </c>
    </row>
    <row r="1450" spans="2:9" x14ac:dyDescent="0.2">
      <c r="B1450" s="196"/>
      <c r="C1450" s="197"/>
      <c r="D1450" s="197"/>
      <c r="E1450" s="198" t="e">
        <f ca="1">mif(OR(C1450="",B1450=リスト!$C$7),"",B1450="","RF",OR(B1450=リスト!$C$5,B1450=リスト!$C$6),COUNTBLANK(INDEX(B:B,MATCH(I1450-1,I:I,0)+1,1):INDEX(B:B,MATCH(I1450,I:I,0)-1,1)),"")</f>
        <v>#NAME?</v>
      </c>
      <c r="F1450" s="199" t="s">
        <v>189</v>
      </c>
      <c r="G1450" s="140" t="e">
        <f ca="1">mif(C1450="","",OR(B1450=リスト!$C$5,B1450=リスト!$C$6),SUM(INDEX(G:G,MATCH(I1450-1,I:I,0)+1,1):INDEX(G:G,MATCH(I1450,I:I,0)-1,1)),D1450-C1450)</f>
        <v>#NAME?</v>
      </c>
      <c r="H1450" s="140" t="e">
        <f ca="1">mif(C1450="","",B1450=リスト!$C$5,SUMIF(INDEX(B:B,MATCH(I1450-1,I:I,0)+1,1):INDEX(B:B,MATCH(I1450,I:I,0)-1,1),リスト!$C$7,INDEX(G:G,MATCH(I1450-1,I:I,0)+1,1):INDEX(G:G,MATCH(I1450,I:I,0)-1,1)),"")</f>
        <v>#NAME?</v>
      </c>
      <c r="I1450" s="200" t="str">
        <f>IF(OR(B1450=リスト!$C$5,B1450=リスト!$C$6),COUNTIF($B$9:B1450,リスト!$C$5)+COUNTIF($B$9:B1450,リスト!$C$6),"")</f>
        <v/>
      </c>
    </row>
    <row r="1451" spans="2:9" x14ac:dyDescent="0.2">
      <c r="B1451" s="196"/>
      <c r="C1451" s="197"/>
      <c r="D1451" s="197"/>
      <c r="E1451" s="198" t="e">
        <f ca="1">mif(OR(C1451="",B1451=リスト!$C$7),"",B1451="","RF",OR(B1451=リスト!$C$5,B1451=リスト!$C$6),COUNTBLANK(INDEX(B:B,MATCH(I1451-1,I:I,0)+1,1):INDEX(B:B,MATCH(I1451,I:I,0)-1,1)),"")</f>
        <v>#NAME?</v>
      </c>
      <c r="F1451" s="199" t="s">
        <v>189</v>
      </c>
      <c r="G1451" s="140" t="e">
        <f ca="1">mif(C1451="","",OR(B1451=リスト!$C$5,B1451=リスト!$C$6),SUM(INDEX(G:G,MATCH(I1451-1,I:I,0)+1,1):INDEX(G:G,MATCH(I1451,I:I,0)-1,1)),D1451-C1451)</f>
        <v>#NAME?</v>
      </c>
      <c r="H1451" s="140" t="e">
        <f ca="1">mif(C1451="","",B1451=リスト!$C$5,SUMIF(INDEX(B:B,MATCH(I1451-1,I:I,0)+1,1):INDEX(B:B,MATCH(I1451,I:I,0)-1,1),リスト!$C$7,INDEX(G:G,MATCH(I1451-1,I:I,0)+1,1):INDEX(G:G,MATCH(I1451,I:I,0)-1,1)),"")</f>
        <v>#NAME?</v>
      </c>
      <c r="I1451" s="200" t="str">
        <f>IF(OR(B1451=リスト!$C$5,B1451=リスト!$C$6),COUNTIF($B$9:B1451,リスト!$C$5)+COUNTIF($B$9:B1451,リスト!$C$6),"")</f>
        <v/>
      </c>
    </row>
    <row r="1452" spans="2:9" x14ac:dyDescent="0.2">
      <c r="B1452" s="196"/>
      <c r="C1452" s="197"/>
      <c r="D1452" s="197"/>
      <c r="E1452" s="198" t="e">
        <f ca="1">mif(OR(C1452="",B1452=リスト!$C$7),"",B1452="","RF",OR(B1452=リスト!$C$5,B1452=リスト!$C$6),COUNTBLANK(INDEX(B:B,MATCH(I1452-1,I:I,0)+1,1):INDEX(B:B,MATCH(I1452,I:I,0)-1,1)),"")</f>
        <v>#NAME?</v>
      </c>
      <c r="F1452" s="199" t="s">
        <v>189</v>
      </c>
      <c r="G1452" s="140" t="e">
        <f ca="1">mif(C1452="","",OR(B1452=リスト!$C$5,B1452=リスト!$C$6),SUM(INDEX(G:G,MATCH(I1452-1,I:I,0)+1,1):INDEX(G:G,MATCH(I1452,I:I,0)-1,1)),D1452-C1452)</f>
        <v>#NAME?</v>
      </c>
      <c r="H1452" s="140" t="e">
        <f ca="1">mif(C1452="","",B1452=リスト!$C$5,SUMIF(INDEX(B:B,MATCH(I1452-1,I:I,0)+1,1):INDEX(B:B,MATCH(I1452,I:I,0)-1,1),リスト!$C$7,INDEX(G:G,MATCH(I1452-1,I:I,0)+1,1):INDEX(G:G,MATCH(I1452,I:I,0)-1,1)),"")</f>
        <v>#NAME?</v>
      </c>
      <c r="I1452" s="200" t="str">
        <f>IF(OR(B1452=リスト!$C$5,B1452=リスト!$C$6),COUNTIF($B$9:B1452,リスト!$C$5)+COUNTIF($B$9:B1452,リスト!$C$6),"")</f>
        <v/>
      </c>
    </row>
    <row r="1453" spans="2:9" x14ac:dyDescent="0.2">
      <c r="B1453" s="196"/>
      <c r="C1453" s="197"/>
      <c r="D1453" s="197"/>
      <c r="E1453" s="198" t="e">
        <f ca="1">mif(OR(C1453="",B1453=リスト!$C$7),"",B1453="","RF",OR(B1453=リスト!$C$5,B1453=リスト!$C$6),COUNTBLANK(INDEX(B:B,MATCH(I1453-1,I:I,0)+1,1):INDEX(B:B,MATCH(I1453,I:I,0)-1,1)),"")</f>
        <v>#NAME?</v>
      </c>
      <c r="F1453" s="199" t="s">
        <v>189</v>
      </c>
      <c r="G1453" s="140" t="e">
        <f ca="1">mif(C1453="","",OR(B1453=リスト!$C$5,B1453=リスト!$C$6),SUM(INDEX(G:G,MATCH(I1453-1,I:I,0)+1,1):INDEX(G:G,MATCH(I1453,I:I,0)-1,1)),D1453-C1453)</f>
        <v>#NAME?</v>
      </c>
      <c r="H1453" s="140" t="e">
        <f ca="1">mif(C1453="","",B1453=リスト!$C$5,SUMIF(INDEX(B:B,MATCH(I1453-1,I:I,0)+1,1):INDEX(B:B,MATCH(I1453,I:I,0)-1,1),リスト!$C$7,INDEX(G:G,MATCH(I1453-1,I:I,0)+1,1):INDEX(G:G,MATCH(I1453,I:I,0)-1,1)),"")</f>
        <v>#NAME?</v>
      </c>
      <c r="I1453" s="200" t="str">
        <f>IF(OR(B1453=リスト!$C$5,B1453=リスト!$C$6),COUNTIF($B$9:B1453,リスト!$C$5)+COUNTIF($B$9:B1453,リスト!$C$6),"")</f>
        <v/>
      </c>
    </row>
    <row r="1454" spans="2:9" x14ac:dyDescent="0.2">
      <c r="B1454" s="196"/>
      <c r="C1454" s="197"/>
      <c r="D1454" s="197"/>
      <c r="E1454" s="198" t="e">
        <f ca="1">mif(OR(C1454="",B1454=リスト!$C$7),"",B1454="","RF",OR(B1454=リスト!$C$5,B1454=リスト!$C$6),COUNTBLANK(INDEX(B:B,MATCH(I1454-1,I:I,0)+1,1):INDEX(B:B,MATCH(I1454,I:I,0)-1,1)),"")</f>
        <v>#NAME?</v>
      </c>
      <c r="F1454" s="199" t="s">
        <v>189</v>
      </c>
      <c r="G1454" s="140" t="e">
        <f ca="1">mif(C1454="","",OR(B1454=リスト!$C$5,B1454=リスト!$C$6),SUM(INDEX(G:G,MATCH(I1454-1,I:I,0)+1,1):INDEX(G:G,MATCH(I1454,I:I,0)-1,1)),D1454-C1454)</f>
        <v>#NAME?</v>
      </c>
      <c r="H1454" s="140" t="e">
        <f ca="1">mif(C1454="","",B1454=リスト!$C$5,SUMIF(INDEX(B:B,MATCH(I1454-1,I:I,0)+1,1):INDEX(B:B,MATCH(I1454,I:I,0)-1,1),リスト!$C$7,INDEX(G:G,MATCH(I1454-1,I:I,0)+1,1):INDEX(G:G,MATCH(I1454,I:I,0)-1,1)),"")</f>
        <v>#NAME?</v>
      </c>
      <c r="I1454" s="200" t="str">
        <f>IF(OR(B1454=リスト!$C$5,B1454=リスト!$C$6),COUNTIF($B$9:B1454,リスト!$C$5)+COUNTIF($B$9:B1454,リスト!$C$6),"")</f>
        <v/>
      </c>
    </row>
    <row r="1455" spans="2:9" x14ac:dyDescent="0.2">
      <c r="B1455" s="196"/>
      <c r="C1455" s="197"/>
      <c r="D1455" s="197"/>
      <c r="E1455" s="198" t="e">
        <f ca="1">mif(OR(C1455="",B1455=リスト!$C$7),"",B1455="","RF",OR(B1455=リスト!$C$5,B1455=リスト!$C$6),COUNTBLANK(INDEX(B:B,MATCH(I1455-1,I:I,0)+1,1):INDEX(B:B,MATCH(I1455,I:I,0)-1,1)),"")</f>
        <v>#NAME?</v>
      </c>
      <c r="F1455" s="199" t="s">
        <v>189</v>
      </c>
      <c r="G1455" s="140" t="e">
        <f ca="1">mif(C1455="","",OR(B1455=リスト!$C$5,B1455=リスト!$C$6),SUM(INDEX(G:G,MATCH(I1455-1,I:I,0)+1,1):INDEX(G:G,MATCH(I1455,I:I,0)-1,1)),D1455-C1455)</f>
        <v>#NAME?</v>
      </c>
      <c r="H1455" s="140" t="e">
        <f ca="1">mif(C1455="","",B1455=リスト!$C$5,SUMIF(INDEX(B:B,MATCH(I1455-1,I:I,0)+1,1):INDEX(B:B,MATCH(I1455,I:I,0)-1,1),リスト!$C$7,INDEX(G:G,MATCH(I1455-1,I:I,0)+1,1):INDEX(G:G,MATCH(I1455,I:I,0)-1,1)),"")</f>
        <v>#NAME?</v>
      </c>
      <c r="I1455" s="200" t="str">
        <f>IF(OR(B1455=リスト!$C$5,B1455=リスト!$C$6),COUNTIF($B$9:B1455,リスト!$C$5)+COUNTIF($B$9:B1455,リスト!$C$6),"")</f>
        <v/>
      </c>
    </row>
    <row r="1456" spans="2:9" x14ac:dyDescent="0.2">
      <c r="B1456" s="196"/>
      <c r="C1456" s="197"/>
      <c r="D1456" s="197"/>
      <c r="E1456" s="198" t="e">
        <f ca="1">mif(OR(C1456="",B1456=リスト!$C$7),"",B1456="","RF",OR(B1456=リスト!$C$5,B1456=リスト!$C$6),COUNTBLANK(INDEX(B:B,MATCH(I1456-1,I:I,0)+1,1):INDEX(B:B,MATCH(I1456,I:I,0)-1,1)),"")</f>
        <v>#NAME?</v>
      </c>
      <c r="F1456" s="199" t="s">
        <v>189</v>
      </c>
      <c r="G1456" s="140" t="e">
        <f ca="1">mif(C1456="","",OR(B1456=リスト!$C$5,B1456=リスト!$C$6),SUM(INDEX(G:G,MATCH(I1456-1,I:I,0)+1,1):INDEX(G:G,MATCH(I1456,I:I,0)-1,1)),D1456-C1456)</f>
        <v>#NAME?</v>
      </c>
      <c r="H1456" s="140" t="e">
        <f ca="1">mif(C1456="","",B1456=リスト!$C$5,SUMIF(INDEX(B:B,MATCH(I1456-1,I:I,0)+1,1):INDEX(B:B,MATCH(I1456,I:I,0)-1,1),リスト!$C$7,INDEX(G:G,MATCH(I1456-1,I:I,0)+1,1):INDEX(G:G,MATCH(I1456,I:I,0)-1,1)),"")</f>
        <v>#NAME?</v>
      </c>
      <c r="I1456" s="200" t="str">
        <f>IF(OR(B1456=リスト!$C$5,B1456=リスト!$C$6),COUNTIF($B$9:B1456,リスト!$C$5)+COUNTIF($B$9:B1456,リスト!$C$6),"")</f>
        <v/>
      </c>
    </row>
    <row r="1457" spans="2:9" x14ac:dyDescent="0.2">
      <c r="B1457" s="196"/>
      <c r="C1457" s="197"/>
      <c r="D1457" s="197"/>
      <c r="E1457" s="198" t="e">
        <f ca="1">mif(OR(C1457="",B1457=リスト!$C$7),"",B1457="","RF",OR(B1457=リスト!$C$5,B1457=リスト!$C$6),COUNTBLANK(INDEX(B:B,MATCH(I1457-1,I:I,0)+1,1):INDEX(B:B,MATCH(I1457,I:I,0)-1,1)),"")</f>
        <v>#NAME?</v>
      </c>
      <c r="F1457" s="199" t="s">
        <v>189</v>
      </c>
      <c r="G1457" s="140" t="e">
        <f ca="1">mif(C1457="","",OR(B1457=リスト!$C$5,B1457=リスト!$C$6),SUM(INDEX(G:G,MATCH(I1457-1,I:I,0)+1,1):INDEX(G:G,MATCH(I1457,I:I,0)-1,1)),D1457-C1457)</f>
        <v>#NAME?</v>
      </c>
      <c r="H1457" s="140" t="e">
        <f ca="1">mif(C1457="","",B1457=リスト!$C$5,SUMIF(INDEX(B:B,MATCH(I1457-1,I:I,0)+1,1):INDEX(B:B,MATCH(I1457,I:I,0)-1,1),リスト!$C$7,INDEX(G:G,MATCH(I1457-1,I:I,0)+1,1):INDEX(G:G,MATCH(I1457,I:I,0)-1,1)),"")</f>
        <v>#NAME?</v>
      </c>
      <c r="I1457" s="200" t="str">
        <f>IF(OR(B1457=リスト!$C$5,B1457=リスト!$C$6),COUNTIF($B$9:B1457,リスト!$C$5)+COUNTIF($B$9:B1457,リスト!$C$6),"")</f>
        <v/>
      </c>
    </row>
    <row r="1458" spans="2:9" x14ac:dyDescent="0.2">
      <c r="B1458" s="196"/>
      <c r="C1458" s="197"/>
      <c r="D1458" s="197"/>
      <c r="E1458" s="198" t="e">
        <f ca="1">mif(OR(C1458="",B1458=リスト!$C$7),"",B1458="","RF",OR(B1458=リスト!$C$5,B1458=リスト!$C$6),COUNTBLANK(INDEX(B:B,MATCH(I1458-1,I:I,0)+1,1):INDEX(B:B,MATCH(I1458,I:I,0)-1,1)),"")</f>
        <v>#NAME?</v>
      </c>
      <c r="F1458" s="199" t="s">
        <v>189</v>
      </c>
      <c r="G1458" s="140" t="e">
        <f ca="1">mif(C1458="","",OR(B1458=リスト!$C$5,B1458=リスト!$C$6),SUM(INDEX(G:G,MATCH(I1458-1,I:I,0)+1,1):INDEX(G:G,MATCH(I1458,I:I,0)-1,1)),D1458-C1458)</f>
        <v>#NAME?</v>
      </c>
      <c r="H1458" s="140" t="e">
        <f ca="1">mif(C1458="","",B1458=リスト!$C$5,SUMIF(INDEX(B:B,MATCH(I1458-1,I:I,0)+1,1):INDEX(B:B,MATCH(I1458,I:I,0)-1,1),リスト!$C$7,INDEX(G:G,MATCH(I1458-1,I:I,0)+1,1):INDEX(G:G,MATCH(I1458,I:I,0)-1,1)),"")</f>
        <v>#NAME?</v>
      </c>
      <c r="I1458" s="200" t="str">
        <f>IF(OR(B1458=リスト!$C$5,B1458=リスト!$C$6),COUNTIF($B$9:B1458,リスト!$C$5)+COUNTIF($B$9:B1458,リスト!$C$6),"")</f>
        <v/>
      </c>
    </row>
    <row r="1459" spans="2:9" x14ac:dyDescent="0.2">
      <c r="B1459" s="196"/>
      <c r="C1459" s="197"/>
      <c r="D1459" s="197"/>
      <c r="E1459" s="198" t="e">
        <f ca="1">mif(OR(C1459="",B1459=リスト!$C$7),"",B1459="","RF",OR(B1459=リスト!$C$5,B1459=リスト!$C$6),COUNTBLANK(INDEX(B:B,MATCH(I1459-1,I:I,0)+1,1):INDEX(B:B,MATCH(I1459,I:I,0)-1,1)),"")</f>
        <v>#NAME?</v>
      </c>
      <c r="F1459" s="199" t="s">
        <v>189</v>
      </c>
      <c r="G1459" s="140" t="e">
        <f ca="1">mif(C1459="","",OR(B1459=リスト!$C$5,B1459=リスト!$C$6),SUM(INDEX(G:G,MATCH(I1459-1,I:I,0)+1,1):INDEX(G:G,MATCH(I1459,I:I,0)-1,1)),D1459-C1459)</f>
        <v>#NAME?</v>
      </c>
      <c r="H1459" s="140" t="e">
        <f ca="1">mif(C1459="","",B1459=リスト!$C$5,SUMIF(INDEX(B:B,MATCH(I1459-1,I:I,0)+1,1):INDEX(B:B,MATCH(I1459,I:I,0)-1,1),リスト!$C$7,INDEX(G:G,MATCH(I1459-1,I:I,0)+1,1):INDEX(G:G,MATCH(I1459,I:I,0)-1,1)),"")</f>
        <v>#NAME?</v>
      </c>
      <c r="I1459" s="200" t="str">
        <f>IF(OR(B1459=リスト!$C$5,B1459=リスト!$C$6),COUNTIF($B$9:B1459,リスト!$C$5)+COUNTIF($B$9:B1459,リスト!$C$6),"")</f>
        <v/>
      </c>
    </row>
    <row r="1460" spans="2:9" x14ac:dyDescent="0.2">
      <c r="B1460" s="196"/>
      <c r="C1460" s="197"/>
      <c r="D1460" s="197"/>
      <c r="E1460" s="198" t="e">
        <f ca="1">mif(OR(C1460="",B1460=リスト!$C$7),"",B1460="","RF",OR(B1460=リスト!$C$5,B1460=リスト!$C$6),COUNTBLANK(INDEX(B:B,MATCH(I1460-1,I:I,0)+1,1):INDEX(B:B,MATCH(I1460,I:I,0)-1,1)),"")</f>
        <v>#NAME?</v>
      </c>
      <c r="F1460" s="199" t="s">
        <v>189</v>
      </c>
      <c r="G1460" s="140" t="e">
        <f ca="1">mif(C1460="","",OR(B1460=リスト!$C$5,B1460=リスト!$C$6),SUM(INDEX(G:G,MATCH(I1460-1,I:I,0)+1,1):INDEX(G:G,MATCH(I1460,I:I,0)-1,1)),D1460-C1460)</f>
        <v>#NAME?</v>
      </c>
      <c r="H1460" s="140" t="e">
        <f ca="1">mif(C1460="","",B1460=リスト!$C$5,SUMIF(INDEX(B:B,MATCH(I1460-1,I:I,0)+1,1):INDEX(B:B,MATCH(I1460,I:I,0)-1,1),リスト!$C$7,INDEX(G:G,MATCH(I1460-1,I:I,0)+1,1):INDEX(G:G,MATCH(I1460,I:I,0)-1,1)),"")</f>
        <v>#NAME?</v>
      </c>
      <c r="I1460" s="200" t="str">
        <f>IF(OR(B1460=リスト!$C$5,B1460=リスト!$C$6),COUNTIF($B$9:B1460,リスト!$C$5)+COUNTIF($B$9:B1460,リスト!$C$6),"")</f>
        <v/>
      </c>
    </row>
    <row r="1461" spans="2:9" x14ac:dyDescent="0.2">
      <c r="B1461" s="196"/>
      <c r="C1461" s="197"/>
      <c r="D1461" s="197"/>
      <c r="E1461" s="198" t="e">
        <f ca="1">mif(OR(C1461="",B1461=リスト!$C$7),"",B1461="","RF",OR(B1461=リスト!$C$5,B1461=リスト!$C$6),COUNTBLANK(INDEX(B:B,MATCH(I1461-1,I:I,0)+1,1):INDEX(B:B,MATCH(I1461,I:I,0)-1,1)),"")</f>
        <v>#NAME?</v>
      </c>
      <c r="F1461" s="199" t="s">
        <v>189</v>
      </c>
      <c r="G1461" s="140" t="e">
        <f ca="1">mif(C1461="","",OR(B1461=リスト!$C$5,B1461=リスト!$C$6),SUM(INDEX(G:G,MATCH(I1461-1,I:I,0)+1,1):INDEX(G:G,MATCH(I1461,I:I,0)-1,1)),D1461-C1461)</f>
        <v>#NAME?</v>
      </c>
      <c r="H1461" s="140" t="e">
        <f ca="1">mif(C1461="","",B1461=リスト!$C$5,SUMIF(INDEX(B:B,MATCH(I1461-1,I:I,0)+1,1):INDEX(B:B,MATCH(I1461,I:I,0)-1,1),リスト!$C$7,INDEX(G:G,MATCH(I1461-1,I:I,0)+1,1):INDEX(G:G,MATCH(I1461,I:I,0)-1,1)),"")</f>
        <v>#NAME?</v>
      </c>
      <c r="I1461" s="200" t="str">
        <f>IF(OR(B1461=リスト!$C$5,B1461=リスト!$C$6),COUNTIF($B$9:B1461,リスト!$C$5)+COUNTIF($B$9:B1461,リスト!$C$6),"")</f>
        <v/>
      </c>
    </row>
    <row r="1462" spans="2:9" x14ac:dyDescent="0.2">
      <c r="B1462" s="196"/>
      <c r="C1462" s="197"/>
      <c r="D1462" s="197"/>
      <c r="E1462" s="198" t="e">
        <f ca="1">mif(OR(C1462="",B1462=リスト!$C$7),"",B1462="","RF",OR(B1462=リスト!$C$5,B1462=リスト!$C$6),COUNTBLANK(INDEX(B:B,MATCH(I1462-1,I:I,0)+1,1):INDEX(B:B,MATCH(I1462,I:I,0)-1,1)),"")</f>
        <v>#NAME?</v>
      </c>
      <c r="F1462" s="199" t="s">
        <v>189</v>
      </c>
      <c r="G1462" s="140" t="e">
        <f ca="1">mif(C1462="","",OR(B1462=リスト!$C$5,B1462=リスト!$C$6),SUM(INDEX(G:G,MATCH(I1462-1,I:I,0)+1,1):INDEX(G:G,MATCH(I1462,I:I,0)-1,1)),D1462-C1462)</f>
        <v>#NAME?</v>
      </c>
      <c r="H1462" s="140" t="e">
        <f ca="1">mif(C1462="","",B1462=リスト!$C$5,SUMIF(INDEX(B:B,MATCH(I1462-1,I:I,0)+1,1):INDEX(B:B,MATCH(I1462,I:I,0)-1,1),リスト!$C$7,INDEX(G:G,MATCH(I1462-1,I:I,0)+1,1):INDEX(G:G,MATCH(I1462,I:I,0)-1,1)),"")</f>
        <v>#NAME?</v>
      </c>
      <c r="I1462" s="200" t="str">
        <f>IF(OR(B1462=リスト!$C$5,B1462=リスト!$C$6),COUNTIF($B$9:B1462,リスト!$C$5)+COUNTIF($B$9:B1462,リスト!$C$6),"")</f>
        <v/>
      </c>
    </row>
    <row r="1463" spans="2:9" x14ac:dyDescent="0.2">
      <c r="B1463" s="196"/>
      <c r="C1463" s="197"/>
      <c r="D1463" s="197"/>
      <c r="E1463" s="198" t="e">
        <f ca="1">mif(OR(C1463="",B1463=リスト!$C$7),"",B1463="","RF",OR(B1463=リスト!$C$5,B1463=リスト!$C$6),COUNTBLANK(INDEX(B:B,MATCH(I1463-1,I:I,0)+1,1):INDEX(B:B,MATCH(I1463,I:I,0)-1,1)),"")</f>
        <v>#NAME?</v>
      </c>
      <c r="F1463" s="199" t="s">
        <v>189</v>
      </c>
      <c r="G1463" s="140" t="e">
        <f ca="1">mif(C1463="","",OR(B1463=リスト!$C$5,B1463=リスト!$C$6),SUM(INDEX(G:G,MATCH(I1463-1,I:I,0)+1,1):INDEX(G:G,MATCH(I1463,I:I,0)-1,1)),D1463-C1463)</f>
        <v>#NAME?</v>
      </c>
      <c r="H1463" s="140" t="e">
        <f ca="1">mif(C1463="","",B1463=リスト!$C$5,SUMIF(INDEX(B:B,MATCH(I1463-1,I:I,0)+1,1):INDEX(B:B,MATCH(I1463,I:I,0)-1,1),リスト!$C$7,INDEX(G:G,MATCH(I1463-1,I:I,0)+1,1):INDEX(G:G,MATCH(I1463,I:I,0)-1,1)),"")</f>
        <v>#NAME?</v>
      </c>
      <c r="I1463" s="200" t="str">
        <f>IF(OR(B1463=リスト!$C$5,B1463=リスト!$C$6),COUNTIF($B$9:B1463,リスト!$C$5)+COUNTIF($B$9:B1463,リスト!$C$6),"")</f>
        <v/>
      </c>
    </row>
    <row r="1464" spans="2:9" x14ac:dyDescent="0.2">
      <c r="B1464" s="196"/>
      <c r="C1464" s="197"/>
      <c r="D1464" s="197"/>
      <c r="E1464" s="198" t="e">
        <f ca="1">mif(OR(C1464="",B1464=リスト!$C$7),"",B1464="","RF",OR(B1464=リスト!$C$5,B1464=リスト!$C$6),COUNTBLANK(INDEX(B:B,MATCH(I1464-1,I:I,0)+1,1):INDEX(B:B,MATCH(I1464,I:I,0)-1,1)),"")</f>
        <v>#NAME?</v>
      </c>
      <c r="F1464" s="199" t="s">
        <v>189</v>
      </c>
      <c r="G1464" s="140" t="e">
        <f ca="1">mif(C1464="","",OR(B1464=リスト!$C$5,B1464=リスト!$C$6),SUM(INDEX(G:G,MATCH(I1464-1,I:I,0)+1,1):INDEX(G:G,MATCH(I1464,I:I,0)-1,1)),D1464-C1464)</f>
        <v>#NAME?</v>
      </c>
      <c r="H1464" s="140" t="e">
        <f ca="1">mif(C1464="","",B1464=リスト!$C$5,SUMIF(INDEX(B:B,MATCH(I1464-1,I:I,0)+1,1):INDEX(B:B,MATCH(I1464,I:I,0)-1,1),リスト!$C$7,INDEX(G:G,MATCH(I1464-1,I:I,0)+1,1):INDEX(G:G,MATCH(I1464,I:I,0)-1,1)),"")</f>
        <v>#NAME?</v>
      </c>
      <c r="I1464" s="200" t="str">
        <f>IF(OR(B1464=リスト!$C$5,B1464=リスト!$C$6),COUNTIF($B$9:B1464,リスト!$C$5)+COUNTIF($B$9:B1464,リスト!$C$6),"")</f>
        <v/>
      </c>
    </row>
    <row r="1465" spans="2:9" x14ac:dyDescent="0.2">
      <c r="B1465" s="196"/>
      <c r="C1465" s="197"/>
      <c r="D1465" s="197"/>
      <c r="E1465" s="198" t="e">
        <f ca="1">mif(OR(C1465="",B1465=リスト!$C$7),"",B1465="","RF",OR(B1465=リスト!$C$5,B1465=リスト!$C$6),COUNTBLANK(INDEX(B:B,MATCH(I1465-1,I:I,0)+1,1):INDEX(B:B,MATCH(I1465,I:I,0)-1,1)),"")</f>
        <v>#NAME?</v>
      </c>
      <c r="F1465" s="199" t="s">
        <v>189</v>
      </c>
      <c r="G1465" s="140" t="e">
        <f ca="1">mif(C1465="","",OR(B1465=リスト!$C$5,B1465=リスト!$C$6),SUM(INDEX(G:G,MATCH(I1465-1,I:I,0)+1,1):INDEX(G:G,MATCH(I1465,I:I,0)-1,1)),D1465-C1465)</f>
        <v>#NAME?</v>
      </c>
      <c r="H1465" s="140" t="e">
        <f ca="1">mif(C1465="","",B1465=リスト!$C$5,SUMIF(INDEX(B:B,MATCH(I1465-1,I:I,0)+1,1):INDEX(B:B,MATCH(I1465,I:I,0)-1,1),リスト!$C$7,INDEX(G:G,MATCH(I1465-1,I:I,0)+1,1):INDEX(G:G,MATCH(I1465,I:I,0)-1,1)),"")</f>
        <v>#NAME?</v>
      </c>
      <c r="I1465" s="200" t="str">
        <f>IF(OR(B1465=リスト!$C$5,B1465=リスト!$C$6),COUNTIF($B$9:B1465,リスト!$C$5)+COUNTIF($B$9:B1465,リスト!$C$6),"")</f>
        <v/>
      </c>
    </row>
    <row r="1466" spans="2:9" x14ac:dyDescent="0.2">
      <c r="B1466" s="196"/>
      <c r="C1466" s="197"/>
      <c r="D1466" s="197"/>
      <c r="E1466" s="198" t="e">
        <f ca="1">mif(OR(C1466="",B1466=リスト!$C$7),"",B1466="","RF",OR(B1466=リスト!$C$5,B1466=リスト!$C$6),COUNTBLANK(INDEX(B:B,MATCH(I1466-1,I:I,0)+1,1):INDEX(B:B,MATCH(I1466,I:I,0)-1,1)),"")</f>
        <v>#NAME?</v>
      </c>
      <c r="F1466" s="199" t="s">
        <v>189</v>
      </c>
      <c r="G1466" s="140" t="e">
        <f ca="1">mif(C1466="","",OR(B1466=リスト!$C$5,B1466=リスト!$C$6),SUM(INDEX(G:G,MATCH(I1466-1,I:I,0)+1,1):INDEX(G:G,MATCH(I1466,I:I,0)-1,1)),D1466-C1466)</f>
        <v>#NAME?</v>
      </c>
      <c r="H1466" s="140" t="e">
        <f ca="1">mif(C1466="","",B1466=リスト!$C$5,SUMIF(INDEX(B:B,MATCH(I1466-1,I:I,0)+1,1):INDEX(B:B,MATCH(I1466,I:I,0)-1,1),リスト!$C$7,INDEX(G:G,MATCH(I1466-1,I:I,0)+1,1):INDEX(G:G,MATCH(I1466,I:I,0)-1,1)),"")</f>
        <v>#NAME?</v>
      </c>
      <c r="I1466" s="200" t="str">
        <f>IF(OR(B1466=リスト!$C$5,B1466=リスト!$C$6),COUNTIF($B$9:B1466,リスト!$C$5)+COUNTIF($B$9:B1466,リスト!$C$6),"")</f>
        <v/>
      </c>
    </row>
    <row r="1467" spans="2:9" x14ac:dyDescent="0.2">
      <c r="B1467" s="196"/>
      <c r="C1467" s="197"/>
      <c r="D1467" s="197"/>
      <c r="E1467" s="198" t="e">
        <f ca="1">mif(OR(C1467="",B1467=リスト!$C$7),"",B1467="","RF",OR(B1467=リスト!$C$5,B1467=リスト!$C$6),COUNTBLANK(INDEX(B:B,MATCH(I1467-1,I:I,0)+1,1):INDEX(B:B,MATCH(I1467,I:I,0)-1,1)),"")</f>
        <v>#NAME?</v>
      </c>
      <c r="F1467" s="199" t="s">
        <v>189</v>
      </c>
      <c r="G1467" s="140" t="e">
        <f ca="1">mif(C1467="","",OR(B1467=リスト!$C$5,B1467=リスト!$C$6),SUM(INDEX(G:G,MATCH(I1467-1,I:I,0)+1,1):INDEX(G:G,MATCH(I1467,I:I,0)-1,1)),D1467-C1467)</f>
        <v>#NAME?</v>
      </c>
      <c r="H1467" s="140" t="e">
        <f ca="1">mif(C1467="","",B1467=リスト!$C$5,SUMIF(INDEX(B:B,MATCH(I1467-1,I:I,0)+1,1):INDEX(B:B,MATCH(I1467,I:I,0)-1,1),リスト!$C$7,INDEX(G:G,MATCH(I1467-1,I:I,0)+1,1):INDEX(G:G,MATCH(I1467,I:I,0)-1,1)),"")</f>
        <v>#NAME?</v>
      </c>
      <c r="I1467" s="200" t="str">
        <f>IF(OR(B1467=リスト!$C$5,B1467=リスト!$C$6),COUNTIF($B$9:B1467,リスト!$C$5)+COUNTIF($B$9:B1467,リスト!$C$6),"")</f>
        <v/>
      </c>
    </row>
    <row r="1468" spans="2:9" x14ac:dyDescent="0.2">
      <c r="B1468" s="196"/>
      <c r="C1468" s="197"/>
      <c r="D1468" s="197"/>
      <c r="E1468" s="198" t="e">
        <f ca="1">mif(OR(C1468="",B1468=リスト!$C$7),"",B1468="","RF",OR(B1468=リスト!$C$5,B1468=リスト!$C$6),COUNTBLANK(INDEX(B:B,MATCH(I1468-1,I:I,0)+1,1):INDEX(B:B,MATCH(I1468,I:I,0)-1,1)),"")</f>
        <v>#NAME?</v>
      </c>
      <c r="F1468" s="199" t="s">
        <v>189</v>
      </c>
      <c r="G1468" s="140" t="e">
        <f ca="1">mif(C1468="","",OR(B1468=リスト!$C$5,B1468=リスト!$C$6),SUM(INDEX(G:G,MATCH(I1468-1,I:I,0)+1,1):INDEX(G:G,MATCH(I1468,I:I,0)-1,1)),D1468-C1468)</f>
        <v>#NAME?</v>
      </c>
      <c r="H1468" s="140" t="e">
        <f ca="1">mif(C1468="","",B1468=リスト!$C$5,SUMIF(INDEX(B:B,MATCH(I1468-1,I:I,0)+1,1):INDEX(B:B,MATCH(I1468,I:I,0)-1,1),リスト!$C$7,INDEX(G:G,MATCH(I1468-1,I:I,0)+1,1):INDEX(G:G,MATCH(I1468,I:I,0)-1,1)),"")</f>
        <v>#NAME?</v>
      </c>
      <c r="I1468" s="200" t="str">
        <f>IF(OR(B1468=リスト!$C$5,B1468=リスト!$C$6),COUNTIF($B$9:B1468,リスト!$C$5)+COUNTIF($B$9:B1468,リスト!$C$6),"")</f>
        <v/>
      </c>
    </row>
    <row r="1469" spans="2:9" x14ac:dyDescent="0.2">
      <c r="B1469" s="196"/>
      <c r="C1469" s="197"/>
      <c r="D1469" s="197"/>
      <c r="E1469" s="198" t="e">
        <f ca="1">mif(OR(C1469="",B1469=リスト!$C$7),"",B1469="","RF",OR(B1469=リスト!$C$5,B1469=リスト!$C$6),COUNTBLANK(INDEX(B:B,MATCH(I1469-1,I:I,0)+1,1):INDEX(B:B,MATCH(I1469,I:I,0)-1,1)),"")</f>
        <v>#NAME?</v>
      </c>
      <c r="F1469" s="199" t="s">
        <v>189</v>
      </c>
      <c r="G1469" s="140" t="e">
        <f ca="1">mif(C1469="","",OR(B1469=リスト!$C$5,B1469=リスト!$C$6),SUM(INDEX(G:G,MATCH(I1469-1,I:I,0)+1,1):INDEX(G:G,MATCH(I1469,I:I,0)-1,1)),D1469-C1469)</f>
        <v>#NAME?</v>
      </c>
      <c r="H1469" s="140" t="e">
        <f ca="1">mif(C1469="","",B1469=リスト!$C$5,SUMIF(INDEX(B:B,MATCH(I1469-1,I:I,0)+1,1):INDEX(B:B,MATCH(I1469,I:I,0)-1,1),リスト!$C$7,INDEX(G:G,MATCH(I1469-1,I:I,0)+1,1):INDEX(G:G,MATCH(I1469,I:I,0)-1,1)),"")</f>
        <v>#NAME?</v>
      </c>
      <c r="I1469" s="200" t="str">
        <f>IF(OR(B1469=リスト!$C$5,B1469=リスト!$C$6),COUNTIF($B$9:B1469,リスト!$C$5)+COUNTIF($B$9:B1469,リスト!$C$6),"")</f>
        <v/>
      </c>
    </row>
    <row r="1470" spans="2:9" x14ac:dyDescent="0.2">
      <c r="B1470" s="196"/>
      <c r="C1470" s="197"/>
      <c r="D1470" s="197"/>
      <c r="E1470" s="198" t="e">
        <f ca="1">mif(OR(C1470="",B1470=リスト!$C$7),"",B1470="","RF",OR(B1470=リスト!$C$5,B1470=リスト!$C$6),COUNTBLANK(INDEX(B:B,MATCH(I1470-1,I:I,0)+1,1):INDEX(B:B,MATCH(I1470,I:I,0)-1,1)),"")</f>
        <v>#NAME?</v>
      </c>
      <c r="F1470" s="199" t="s">
        <v>189</v>
      </c>
      <c r="G1470" s="140" t="e">
        <f ca="1">mif(C1470="","",OR(B1470=リスト!$C$5,B1470=リスト!$C$6),SUM(INDEX(G:G,MATCH(I1470-1,I:I,0)+1,1):INDEX(G:G,MATCH(I1470,I:I,0)-1,1)),D1470-C1470)</f>
        <v>#NAME?</v>
      </c>
      <c r="H1470" s="140" t="e">
        <f ca="1">mif(C1470="","",B1470=リスト!$C$5,SUMIF(INDEX(B:B,MATCH(I1470-1,I:I,0)+1,1):INDEX(B:B,MATCH(I1470,I:I,0)-1,1),リスト!$C$7,INDEX(G:G,MATCH(I1470-1,I:I,0)+1,1):INDEX(G:G,MATCH(I1470,I:I,0)-1,1)),"")</f>
        <v>#NAME?</v>
      </c>
      <c r="I1470" s="200" t="str">
        <f>IF(OR(B1470=リスト!$C$5,B1470=リスト!$C$6),COUNTIF($B$9:B1470,リスト!$C$5)+COUNTIF($B$9:B1470,リスト!$C$6),"")</f>
        <v/>
      </c>
    </row>
    <row r="1471" spans="2:9" x14ac:dyDescent="0.2">
      <c r="B1471" s="196"/>
      <c r="C1471" s="197"/>
      <c r="D1471" s="197"/>
      <c r="E1471" s="198" t="e">
        <f ca="1">mif(OR(C1471="",B1471=リスト!$C$7),"",B1471="","RF",OR(B1471=リスト!$C$5,B1471=リスト!$C$6),COUNTBLANK(INDEX(B:B,MATCH(I1471-1,I:I,0)+1,1):INDEX(B:B,MATCH(I1471,I:I,0)-1,1)),"")</f>
        <v>#NAME?</v>
      </c>
      <c r="F1471" s="199" t="s">
        <v>189</v>
      </c>
      <c r="G1471" s="140" t="e">
        <f ca="1">mif(C1471="","",OR(B1471=リスト!$C$5,B1471=リスト!$C$6),SUM(INDEX(G:G,MATCH(I1471-1,I:I,0)+1,1):INDEX(G:G,MATCH(I1471,I:I,0)-1,1)),D1471-C1471)</f>
        <v>#NAME?</v>
      </c>
      <c r="H1471" s="140" t="e">
        <f ca="1">mif(C1471="","",B1471=リスト!$C$5,SUMIF(INDEX(B:B,MATCH(I1471-1,I:I,0)+1,1):INDEX(B:B,MATCH(I1471,I:I,0)-1,1),リスト!$C$7,INDEX(G:G,MATCH(I1471-1,I:I,0)+1,1):INDEX(G:G,MATCH(I1471,I:I,0)-1,1)),"")</f>
        <v>#NAME?</v>
      </c>
      <c r="I1471" s="200" t="str">
        <f>IF(OR(B1471=リスト!$C$5,B1471=リスト!$C$6),COUNTIF($B$9:B1471,リスト!$C$5)+COUNTIF($B$9:B1471,リスト!$C$6),"")</f>
        <v/>
      </c>
    </row>
    <row r="1472" spans="2:9" x14ac:dyDescent="0.2">
      <c r="B1472" s="196"/>
      <c r="C1472" s="197"/>
      <c r="D1472" s="197"/>
      <c r="E1472" s="198" t="e">
        <f ca="1">mif(OR(C1472="",B1472=リスト!$C$7),"",B1472="","RF",OR(B1472=リスト!$C$5,B1472=リスト!$C$6),COUNTBLANK(INDEX(B:B,MATCH(I1472-1,I:I,0)+1,1):INDEX(B:B,MATCH(I1472,I:I,0)-1,1)),"")</f>
        <v>#NAME?</v>
      </c>
      <c r="F1472" s="199" t="s">
        <v>189</v>
      </c>
      <c r="G1472" s="140" t="e">
        <f ca="1">mif(C1472="","",OR(B1472=リスト!$C$5,B1472=リスト!$C$6),SUM(INDEX(G:G,MATCH(I1472-1,I:I,0)+1,1):INDEX(G:G,MATCH(I1472,I:I,0)-1,1)),D1472-C1472)</f>
        <v>#NAME?</v>
      </c>
      <c r="H1472" s="140" t="e">
        <f ca="1">mif(C1472="","",B1472=リスト!$C$5,SUMIF(INDEX(B:B,MATCH(I1472-1,I:I,0)+1,1):INDEX(B:B,MATCH(I1472,I:I,0)-1,1),リスト!$C$7,INDEX(G:G,MATCH(I1472-1,I:I,0)+1,1):INDEX(G:G,MATCH(I1472,I:I,0)-1,1)),"")</f>
        <v>#NAME?</v>
      </c>
      <c r="I1472" s="200" t="str">
        <f>IF(OR(B1472=リスト!$C$5,B1472=リスト!$C$6),COUNTIF($B$9:B1472,リスト!$C$5)+COUNTIF($B$9:B1472,リスト!$C$6),"")</f>
        <v/>
      </c>
    </row>
    <row r="1473" spans="2:9" x14ac:dyDescent="0.2">
      <c r="B1473" s="196"/>
      <c r="C1473" s="197"/>
      <c r="D1473" s="197"/>
      <c r="E1473" s="198" t="e">
        <f ca="1">mif(OR(C1473="",B1473=リスト!$C$7),"",B1473="","RF",OR(B1473=リスト!$C$5,B1473=リスト!$C$6),COUNTBLANK(INDEX(B:B,MATCH(I1473-1,I:I,0)+1,1):INDEX(B:B,MATCH(I1473,I:I,0)-1,1)),"")</f>
        <v>#NAME?</v>
      </c>
      <c r="F1473" s="199" t="s">
        <v>189</v>
      </c>
      <c r="G1473" s="140" t="e">
        <f ca="1">mif(C1473="","",OR(B1473=リスト!$C$5,B1473=リスト!$C$6),SUM(INDEX(G:G,MATCH(I1473-1,I:I,0)+1,1):INDEX(G:G,MATCH(I1473,I:I,0)-1,1)),D1473-C1473)</f>
        <v>#NAME?</v>
      </c>
      <c r="H1473" s="140" t="e">
        <f ca="1">mif(C1473="","",B1473=リスト!$C$5,SUMIF(INDEX(B:B,MATCH(I1473-1,I:I,0)+1,1):INDEX(B:B,MATCH(I1473,I:I,0)-1,1),リスト!$C$7,INDEX(G:G,MATCH(I1473-1,I:I,0)+1,1):INDEX(G:G,MATCH(I1473,I:I,0)-1,1)),"")</f>
        <v>#NAME?</v>
      </c>
      <c r="I1473" s="200" t="str">
        <f>IF(OR(B1473=リスト!$C$5,B1473=リスト!$C$6),COUNTIF($B$9:B1473,リスト!$C$5)+COUNTIF($B$9:B1473,リスト!$C$6),"")</f>
        <v/>
      </c>
    </row>
    <row r="1474" spans="2:9" x14ac:dyDescent="0.2">
      <c r="B1474" s="196"/>
      <c r="C1474" s="197"/>
      <c r="D1474" s="197"/>
      <c r="E1474" s="198" t="e">
        <f ca="1">mif(OR(C1474="",B1474=リスト!$C$7),"",B1474="","RF",OR(B1474=リスト!$C$5,B1474=リスト!$C$6),COUNTBLANK(INDEX(B:B,MATCH(I1474-1,I:I,0)+1,1):INDEX(B:B,MATCH(I1474,I:I,0)-1,1)),"")</f>
        <v>#NAME?</v>
      </c>
      <c r="F1474" s="199" t="s">
        <v>189</v>
      </c>
      <c r="G1474" s="140" t="e">
        <f ca="1">mif(C1474="","",OR(B1474=リスト!$C$5,B1474=リスト!$C$6),SUM(INDEX(G:G,MATCH(I1474-1,I:I,0)+1,1):INDEX(G:G,MATCH(I1474,I:I,0)-1,1)),D1474-C1474)</f>
        <v>#NAME?</v>
      </c>
      <c r="H1474" s="140" t="e">
        <f ca="1">mif(C1474="","",B1474=リスト!$C$5,SUMIF(INDEX(B:B,MATCH(I1474-1,I:I,0)+1,1):INDEX(B:B,MATCH(I1474,I:I,0)-1,1),リスト!$C$7,INDEX(G:G,MATCH(I1474-1,I:I,0)+1,1):INDEX(G:G,MATCH(I1474,I:I,0)-1,1)),"")</f>
        <v>#NAME?</v>
      </c>
      <c r="I1474" s="200" t="str">
        <f>IF(OR(B1474=リスト!$C$5,B1474=リスト!$C$6),COUNTIF($B$9:B1474,リスト!$C$5)+COUNTIF($B$9:B1474,リスト!$C$6),"")</f>
        <v/>
      </c>
    </row>
    <row r="1475" spans="2:9" x14ac:dyDescent="0.2">
      <c r="B1475" s="196"/>
      <c r="C1475" s="197"/>
      <c r="D1475" s="197"/>
      <c r="E1475" s="198" t="e">
        <f ca="1">mif(OR(C1475="",B1475=リスト!$C$7),"",B1475="","RF",OR(B1475=リスト!$C$5,B1475=リスト!$C$6),COUNTBLANK(INDEX(B:B,MATCH(I1475-1,I:I,0)+1,1):INDEX(B:B,MATCH(I1475,I:I,0)-1,1)),"")</f>
        <v>#NAME?</v>
      </c>
      <c r="F1475" s="199" t="s">
        <v>189</v>
      </c>
      <c r="G1475" s="140" t="e">
        <f ca="1">mif(C1475="","",OR(B1475=リスト!$C$5,B1475=リスト!$C$6),SUM(INDEX(G:G,MATCH(I1475-1,I:I,0)+1,1):INDEX(G:G,MATCH(I1475,I:I,0)-1,1)),D1475-C1475)</f>
        <v>#NAME?</v>
      </c>
      <c r="H1475" s="140" t="e">
        <f ca="1">mif(C1475="","",B1475=リスト!$C$5,SUMIF(INDEX(B:B,MATCH(I1475-1,I:I,0)+1,1):INDEX(B:B,MATCH(I1475,I:I,0)-1,1),リスト!$C$7,INDEX(G:G,MATCH(I1475-1,I:I,0)+1,1):INDEX(G:G,MATCH(I1475,I:I,0)-1,1)),"")</f>
        <v>#NAME?</v>
      </c>
      <c r="I1475" s="200" t="str">
        <f>IF(OR(B1475=リスト!$C$5,B1475=リスト!$C$6),COUNTIF($B$9:B1475,リスト!$C$5)+COUNTIF($B$9:B1475,リスト!$C$6),"")</f>
        <v/>
      </c>
    </row>
    <row r="1476" spans="2:9" x14ac:dyDescent="0.2">
      <c r="B1476" s="196"/>
      <c r="C1476" s="197"/>
      <c r="D1476" s="197"/>
      <c r="E1476" s="198" t="e">
        <f ca="1">mif(OR(C1476="",B1476=リスト!$C$7),"",B1476="","RF",OR(B1476=リスト!$C$5,B1476=リスト!$C$6),COUNTBLANK(INDEX(B:B,MATCH(I1476-1,I:I,0)+1,1):INDEX(B:B,MATCH(I1476,I:I,0)-1,1)),"")</f>
        <v>#NAME?</v>
      </c>
      <c r="F1476" s="199" t="s">
        <v>189</v>
      </c>
      <c r="G1476" s="140" t="e">
        <f ca="1">mif(C1476="","",OR(B1476=リスト!$C$5,B1476=リスト!$C$6),SUM(INDEX(G:G,MATCH(I1476-1,I:I,0)+1,1):INDEX(G:G,MATCH(I1476,I:I,0)-1,1)),D1476-C1476)</f>
        <v>#NAME?</v>
      </c>
      <c r="H1476" s="140" t="e">
        <f ca="1">mif(C1476="","",B1476=リスト!$C$5,SUMIF(INDEX(B:B,MATCH(I1476-1,I:I,0)+1,1):INDEX(B:B,MATCH(I1476,I:I,0)-1,1),リスト!$C$7,INDEX(G:G,MATCH(I1476-1,I:I,0)+1,1):INDEX(G:G,MATCH(I1476,I:I,0)-1,1)),"")</f>
        <v>#NAME?</v>
      </c>
      <c r="I1476" s="200" t="str">
        <f>IF(OR(B1476=リスト!$C$5,B1476=リスト!$C$6),COUNTIF($B$9:B1476,リスト!$C$5)+COUNTIF($B$9:B1476,リスト!$C$6),"")</f>
        <v/>
      </c>
    </row>
    <row r="1477" spans="2:9" x14ac:dyDescent="0.2">
      <c r="B1477" s="196"/>
      <c r="C1477" s="197"/>
      <c r="D1477" s="197"/>
      <c r="E1477" s="198" t="e">
        <f ca="1">mif(OR(C1477="",B1477=リスト!$C$7),"",B1477="","RF",OR(B1477=リスト!$C$5,B1477=リスト!$C$6),COUNTBLANK(INDEX(B:B,MATCH(I1477-1,I:I,0)+1,1):INDEX(B:B,MATCH(I1477,I:I,0)-1,1)),"")</f>
        <v>#NAME?</v>
      </c>
      <c r="F1477" s="199" t="s">
        <v>189</v>
      </c>
      <c r="G1477" s="140" t="e">
        <f ca="1">mif(C1477="","",OR(B1477=リスト!$C$5,B1477=リスト!$C$6),SUM(INDEX(G:G,MATCH(I1477-1,I:I,0)+1,1):INDEX(G:G,MATCH(I1477,I:I,0)-1,1)),D1477-C1477)</f>
        <v>#NAME?</v>
      </c>
      <c r="H1477" s="140" t="e">
        <f ca="1">mif(C1477="","",B1477=リスト!$C$5,SUMIF(INDEX(B:B,MATCH(I1477-1,I:I,0)+1,1):INDEX(B:B,MATCH(I1477,I:I,0)-1,1),リスト!$C$7,INDEX(G:G,MATCH(I1477-1,I:I,0)+1,1):INDEX(G:G,MATCH(I1477,I:I,0)-1,1)),"")</f>
        <v>#NAME?</v>
      </c>
      <c r="I1477" s="200" t="str">
        <f>IF(OR(B1477=リスト!$C$5,B1477=リスト!$C$6),COUNTIF($B$9:B1477,リスト!$C$5)+COUNTIF($B$9:B1477,リスト!$C$6),"")</f>
        <v/>
      </c>
    </row>
    <row r="1478" spans="2:9" x14ac:dyDescent="0.2">
      <c r="B1478" s="196"/>
      <c r="C1478" s="197"/>
      <c r="D1478" s="197"/>
      <c r="E1478" s="198" t="e">
        <f ca="1">mif(OR(C1478="",B1478=リスト!$C$7),"",B1478="","RF",OR(B1478=リスト!$C$5,B1478=リスト!$C$6),COUNTBLANK(INDEX(B:B,MATCH(I1478-1,I:I,0)+1,1):INDEX(B:B,MATCH(I1478,I:I,0)-1,1)),"")</f>
        <v>#NAME?</v>
      </c>
      <c r="F1478" s="199" t="s">
        <v>189</v>
      </c>
      <c r="G1478" s="140" t="e">
        <f ca="1">mif(C1478="","",OR(B1478=リスト!$C$5,B1478=リスト!$C$6),SUM(INDEX(G:G,MATCH(I1478-1,I:I,0)+1,1):INDEX(G:G,MATCH(I1478,I:I,0)-1,1)),D1478-C1478)</f>
        <v>#NAME?</v>
      </c>
      <c r="H1478" s="140" t="e">
        <f ca="1">mif(C1478="","",B1478=リスト!$C$5,SUMIF(INDEX(B:B,MATCH(I1478-1,I:I,0)+1,1):INDEX(B:B,MATCH(I1478,I:I,0)-1,1),リスト!$C$7,INDEX(G:G,MATCH(I1478-1,I:I,0)+1,1):INDEX(G:G,MATCH(I1478,I:I,0)-1,1)),"")</f>
        <v>#NAME?</v>
      </c>
      <c r="I1478" s="200" t="str">
        <f>IF(OR(B1478=リスト!$C$5,B1478=リスト!$C$6),COUNTIF($B$9:B1478,リスト!$C$5)+COUNTIF($B$9:B1478,リスト!$C$6),"")</f>
        <v/>
      </c>
    </row>
    <row r="1479" spans="2:9" x14ac:dyDescent="0.2">
      <c r="B1479" s="196"/>
      <c r="C1479" s="197"/>
      <c r="D1479" s="197"/>
      <c r="E1479" s="198" t="e">
        <f ca="1">mif(OR(C1479="",B1479=リスト!$C$7),"",B1479="","RF",OR(B1479=リスト!$C$5,B1479=リスト!$C$6),COUNTBLANK(INDEX(B:B,MATCH(I1479-1,I:I,0)+1,1):INDEX(B:B,MATCH(I1479,I:I,0)-1,1)),"")</f>
        <v>#NAME?</v>
      </c>
      <c r="F1479" s="199" t="s">
        <v>189</v>
      </c>
      <c r="G1479" s="140" t="e">
        <f ca="1">mif(C1479="","",OR(B1479=リスト!$C$5,B1479=リスト!$C$6),SUM(INDEX(G:G,MATCH(I1479-1,I:I,0)+1,1):INDEX(G:G,MATCH(I1479,I:I,0)-1,1)),D1479-C1479)</f>
        <v>#NAME?</v>
      </c>
      <c r="H1479" s="140" t="e">
        <f ca="1">mif(C1479="","",B1479=リスト!$C$5,SUMIF(INDEX(B:B,MATCH(I1479-1,I:I,0)+1,1):INDEX(B:B,MATCH(I1479,I:I,0)-1,1),リスト!$C$7,INDEX(G:G,MATCH(I1479-1,I:I,0)+1,1):INDEX(G:G,MATCH(I1479,I:I,0)-1,1)),"")</f>
        <v>#NAME?</v>
      </c>
      <c r="I1479" s="200" t="str">
        <f>IF(OR(B1479=リスト!$C$5,B1479=リスト!$C$6),COUNTIF($B$9:B1479,リスト!$C$5)+COUNTIF($B$9:B1479,リスト!$C$6),"")</f>
        <v/>
      </c>
    </row>
    <row r="1480" spans="2:9" x14ac:dyDescent="0.2">
      <c r="B1480" s="196"/>
      <c r="C1480" s="197"/>
      <c r="D1480" s="197"/>
      <c r="E1480" s="198" t="e">
        <f ca="1">mif(OR(C1480="",B1480=リスト!$C$7),"",B1480="","RF",OR(B1480=リスト!$C$5,B1480=リスト!$C$6),COUNTBLANK(INDEX(B:B,MATCH(I1480-1,I:I,0)+1,1):INDEX(B:B,MATCH(I1480,I:I,0)-1,1)),"")</f>
        <v>#NAME?</v>
      </c>
      <c r="F1480" s="199" t="s">
        <v>189</v>
      </c>
      <c r="G1480" s="140" t="e">
        <f ca="1">mif(C1480="","",OR(B1480=リスト!$C$5,B1480=リスト!$C$6),SUM(INDEX(G:G,MATCH(I1480-1,I:I,0)+1,1):INDEX(G:G,MATCH(I1480,I:I,0)-1,1)),D1480-C1480)</f>
        <v>#NAME?</v>
      </c>
      <c r="H1480" s="140" t="e">
        <f ca="1">mif(C1480="","",B1480=リスト!$C$5,SUMIF(INDEX(B:B,MATCH(I1480-1,I:I,0)+1,1):INDEX(B:B,MATCH(I1480,I:I,0)-1,1),リスト!$C$7,INDEX(G:G,MATCH(I1480-1,I:I,0)+1,1):INDEX(G:G,MATCH(I1480,I:I,0)-1,1)),"")</f>
        <v>#NAME?</v>
      </c>
      <c r="I1480" s="200" t="str">
        <f>IF(OR(B1480=リスト!$C$5,B1480=リスト!$C$6),COUNTIF($B$9:B1480,リスト!$C$5)+COUNTIF($B$9:B1480,リスト!$C$6),"")</f>
        <v/>
      </c>
    </row>
    <row r="1481" spans="2:9" x14ac:dyDescent="0.2">
      <c r="B1481" s="196"/>
      <c r="C1481" s="197"/>
      <c r="D1481" s="197"/>
      <c r="E1481" s="198" t="e">
        <f ca="1">mif(OR(C1481="",B1481=リスト!$C$7),"",B1481="","RF",OR(B1481=リスト!$C$5,B1481=リスト!$C$6),COUNTBLANK(INDEX(B:B,MATCH(I1481-1,I:I,0)+1,1):INDEX(B:B,MATCH(I1481,I:I,0)-1,1)),"")</f>
        <v>#NAME?</v>
      </c>
      <c r="F1481" s="199" t="s">
        <v>189</v>
      </c>
      <c r="G1481" s="140" t="e">
        <f ca="1">mif(C1481="","",OR(B1481=リスト!$C$5,B1481=リスト!$C$6),SUM(INDEX(G:G,MATCH(I1481-1,I:I,0)+1,1):INDEX(G:G,MATCH(I1481,I:I,0)-1,1)),D1481-C1481)</f>
        <v>#NAME?</v>
      </c>
      <c r="H1481" s="140" t="e">
        <f ca="1">mif(C1481="","",B1481=リスト!$C$5,SUMIF(INDEX(B:B,MATCH(I1481-1,I:I,0)+1,1):INDEX(B:B,MATCH(I1481,I:I,0)-1,1),リスト!$C$7,INDEX(G:G,MATCH(I1481-1,I:I,0)+1,1):INDEX(G:G,MATCH(I1481,I:I,0)-1,1)),"")</f>
        <v>#NAME?</v>
      </c>
      <c r="I1481" s="200" t="str">
        <f>IF(OR(B1481=リスト!$C$5,B1481=リスト!$C$6),COUNTIF($B$9:B1481,リスト!$C$5)+COUNTIF($B$9:B1481,リスト!$C$6),"")</f>
        <v/>
      </c>
    </row>
    <row r="1482" spans="2:9" x14ac:dyDescent="0.2">
      <c r="B1482" s="196"/>
      <c r="C1482" s="197"/>
      <c r="D1482" s="197"/>
      <c r="E1482" s="198" t="e">
        <f ca="1">mif(OR(C1482="",B1482=リスト!$C$7),"",B1482="","RF",OR(B1482=リスト!$C$5,B1482=リスト!$C$6),COUNTBLANK(INDEX(B:B,MATCH(I1482-1,I:I,0)+1,1):INDEX(B:B,MATCH(I1482,I:I,0)-1,1)),"")</f>
        <v>#NAME?</v>
      </c>
      <c r="F1482" s="199" t="s">
        <v>189</v>
      </c>
      <c r="G1482" s="140" t="e">
        <f ca="1">mif(C1482="","",OR(B1482=リスト!$C$5,B1482=リスト!$C$6),SUM(INDEX(G:G,MATCH(I1482-1,I:I,0)+1,1):INDEX(G:G,MATCH(I1482,I:I,0)-1,1)),D1482-C1482)</f>
        <v>#NAME?</v>
      </c>
      <c r="H1482" s="140" t="e">
        <f ca="1">mif(C1482="","",B1482=リスト!$C$5,SUMIF(INDEX(B:B,MATCH(I1482-1,I:I,0)+1,1):INDEX(B:B,MATCH(I1482,I:I,0)-1,1),リスト!$C$7,INDEX(G:G,MATCH(I1482-1,I:I,0)+1,1):INDEX(G:G,MATCH(I1482,I:I,0)-1,1)),"")</f>
        <v>#NAME?</v>
      </c>
      <c r="I1482" s="200" t="str">
        <f>IF(OR(B1482=リスト!$C$5,B1482=リスト!$C$6),COUNTIF($B$9:B1482,リスト!$C$5)+COUNTIF($B$9:B1482,リスト!$C$6),"")</f>
        <v/>
      </c>
    </row>
    <row r="1483" spans="2:9" x14ac:dyDescent="0.2">
      <c r="B1483" s="196"/>
      <c r="C1483" s="197"/>
      <c r="D1483" s="197"/>
      <c r="E1483" s="198" t="e">
        <f ca="1">mif(OR(C1483="",B1483=リスト!$C$7),"",B1483="","RF",OR(B1483=リスト!$C$5,B1483=リスト!$C$6),COUNTBLANK(INDEX(B:B,MATCH(I1483-1,I:I,0)+1,1):INDEX(B:B,MATCH(I1483,I:I,0)-1,1)),"")</f>
        <v>#NAME?</v>
      </c>
      <c r="F1483" s="199" t="s">
        <v>189</v>
      </c>
      <c r="G1483" s="140" t="e">
        <f ca="1">mif(C1483="","",OR(B1483=リスト!$C$5,B1483=リスト!$C$6),SUM(INDEX(G:G,MATCH(I1483-1,I:I,0)+1,1):INDEX(G:G,MATCH(I1483,I:I,0)-1,1)),D1483-C1483)</f>
        <v>#NAME?</v>
      </c>
      <c r="H1483" s="140" t="e">
        <f ca="1">mif(C1483="","",B1483=リスト!$C$5,SUMIF(INDEX(B:B,MATCH(I1483-1,I:I,0)+1,1):INDEX(B:B,MATCH(I1483,I:I,0)-1,1),リスト!$C$7,INDEX(G:G,MATCH(I1483-1,I:I,0)+1,1):INDEX(G:G,MATCH(I1483,I:I,0)-1,1)),"")</f>
        <v>#NAME?</v>
      </c>
      <c r="I1483" s="200" t="str">
        <f>IF(OR(B1483=リスト!$C$5,B1483=リスト!$C$6),COUNTIF($B$9:B1483,リスト!$C$5)+COUNTIF($B$9:B1483,リスト!$C$6),"")</f>
        <v/>
      </c>
    </row>
    <row r="1484" spans="2:9" x14ac:dyDescent="0.2">
      <c r="B1484" s="196"/>
      <c r="C1484" s="197"/>
      <c r="D1484" s="197"/>
      <c r="E1484" s="198" t="e">
        <f ca="1">mif(OR(C1484="",B1484=リスト!$C$7),"",B1484="","RF",OR(B1484=リスト!$C$5,B1484=リスト!$C$6),COUNTBLANK(INDEX(B:B,MATCH(I1484-1,I:I,0)+1,1):INDEX(B:B,MATCH(I1484,I:I,0)-1,1)),"")</f>
        <v>#NAME?</v>
      </c>
      <c r="F1484" s="199" t="s">
        <v>189</v>
      </c>
      <c r="G1484" s="140" t="e">
        <f ca="1">mif(C1484="","",OR(B1484=リスト!$C$5,B1484=リスト!$C$6),SUM(INDEX(G:G,MATCH(I1484-1,I:I,0)+1,1):INDEX(G:G,MATCH(I1484,I:I,0)-1,1)),D1484-C1484)</f>
        <v>#NAME?</v>
      </c>
      <c r="H1484" s="140" t="e">
        <f ca="1">mif(C1484="","",B1484=リスト!$C$5,SUMIF(INDEX(B:B,MATCH(I1484-1,I:I,0)+1,1):INDEX(B:B,MATCH(I1484,I:I,0)-1,1),リスト!$C$7,INDEX(G:G,MATCH(I1484-1,I:I,0)+1,1):INDEX(G:G,MATCH(I1484,I:I,0)-1,1)),"")</f>
        <v>#NAME?</v>
      </c>
      <c r="I1484" s="200" t="str">
        <f>IF(OR(B1484=リスト!$C$5,B1484=リスト!$C$6),COUNTIF($B$9:B1484,リスト!$C$5)+COUNTIF($B$9:B1484,リスト!$C$6),"")</f>
        <v/>
      </c>
    </row>
    <row r="1485" spans="2:9" x14ac:dyDescent="0.2">
      <c r="B1485" s="196"/>
      <c r="C1485" s="197"/>
      <c r="D1485" s="197"/>
      <c r="E1485" s="198" t="e">
        <f ca="1">mif(OR(C1485="",B1485=リスト!$C$7),"",B1485="","RF",OR(B1485=リスト!$C$5,B1485=リスト!$C$6),COUNTBLANK(INDEX(B:B,MATCH(I1485-1,I:I,0)+1,1):INDEX(B:B,MATCH(I1485,I:I,0)-1,1)),"")</f>
        <v>#NAME?</v>
      </c>
      <c r="F1485" s="199" t="s">
        <v>189</v>
      </c>
      <c r="G1485" s="140" t="e">
        <f ca="1">mif(C1485="","",OR(B1485=リスト!$C$5,B1485=リスト!$C$6),SUM(INDEX(G:G,MATCH(I1485-1,I:I,0)+1,1):INDEX(G:G,MATCH(I1485,I:I,0)-1,1)),D1485-C1485)</f>
        <v>#NAME?</v>
      </c>
      <c r="H1485" s="140" t="e">
        <f ca="1">mif(C1485="","",B1485=リスト!$C$5,SUMIF(INDEX(B:B,MATCH(I1485-1,I:I,0)+1,1):INDEX(B:B,MATCH(I1485,I:I,0)-1,1),リスト!$C$7,INDEX(G:G,MATCH(I1485-1,I:I,0)+1,1):INDEX(G:G,MATCH(I1485,I:I,0)-1,1)),"")</f>
        <v>#NAME?</v>
      </c>
      <c r="I1485" s="200" t="str">
        <f>IF(OR(B1485=リスト!$C$5,B1485=リスト!$C$6),COUNTIF($B$9:B1485,リスト!$C$5)+COUNTIF($B$9:B1485,リスト!$C$6),"")</f>
        <v/>
      </c>
    </row>
    <row r="1486" spans="2:9" x14ac:dyDescent="0.2">
      <c r="B1486" s="196"/>
      <c r="C1486" s="197"/>
      <c r="D1486" s="197"/>
      <c r="E1486" s="198" t="e">
        <f ca="1">mif(OR(C1486="",B1486=リスト!$C$7),"",B1486="","RF",OR(B1486=リスト!$C$5,B1486=リスト!$C$6),COUNTBLANK(INDEX(B:B,MATCH(I1486-1,I:I,0)+1,1):INDEX(B:B,MATCH(I1486,I:I,0)-1,1)),"")</f>
        <v>#NAME?</v>
      </c>
      <c r="F1486" s="199" t="s">
        <v>189</v>
      </c>
      <c r="G1486" s="140" t="e">
        <f ca="1">mif(C1486="","",OR(B1486=リスト!$C$5,B1486=リスト!$C$6),SUM(INDEX(G:G,MATCH(I1486-1,I:I,0)+1,1):INDEX(G:G,MATCH(I1486,I:I,0)-1,1)),D1486-C1486)</f>
        <v>#NAME?</v>
      </c>
      <c r="H1486" s="140" t="e">
        <f ca="1">mif(C1486="","",B1486=リスト!$C$5,SUMIF(INDEX(B:B,MATCH(I1486-1,I:I,0)+1,1):INDEX(B:B,MATCH(I1486,I:I,0)-1,1),リスト!$C$7,INDEX(G:G,MATCH(I1486-1,I:I,0)+1,1):INDEX(G:G,MATCH(I1486,I:I,0)-1,1)),"")</f>
        <v>#NAME?</v>
      </c>
      <c r="I1486" s="200" t="str">
        <f>IF(OR(B1486=リスト!$C$5,B1486=リスト!$C$6),COUNTIF($B$9:B1486,リスト!$C$5)+COUNTIF($B$9:B1486,リスト!$C$6),"")</f>
        <v/>
      </c>
    </row>
    <row r="1487" spans="2:9" x14ac:dyDescent="0.2">
      <c r="B1487" s="196"/>
      <c r="C1487" s="197"/>
      <c r="D1487" s="197"/>
      <c r="E1487" s="198" t="e">
        <f ca="1">mif(OR(C1487="",B1487=リスト!$C$7),"",B1487="","RF",OR(B1487=リスト!$C$5,B1487=リスト!$C$6),COUNTBLANK(INDEX(B:B,MATCH(I1487-1,I:I,0)+1,1):INDEX(B:B,MATCH(I1487,I:I,0)-1,1)),"")</f>
        <v>#NAME?</v>
      </c>
      <c r="F1487" s="199" t="s">
        <v>189</v>
      </c>
      <c r="G1487" s="140" t="e">
        <f ca="1">mif(C1487="","",OR(B1487=リスト!$C$5,B1487=リスト!$C$6),SUM(INDEX(G:G,MATCH(I1487-1,I:I,0)+1,1):INDEX(G:G,MATCH(I1487,I:I,0)-1,1)),D1487-C1487)</f>
        <v>#NAME?</v>
      </c>
      <c r="H1487" s="140" t="e">
        <f ca="1">mif(C1487="","",B1487=リスト!$C$5,SUMIF(INDEX(B:B,MATCH(I1487-1,I:I,0)+1,1):INDEX(B:B,MATCH(I1487,I:I,0)-1,1),リスト!$C$7,INDEX(G:G,MATCH(I1487-1,I:I,0)+1,1):INDEX(G:G,MATCH(I1487,I:I,0)-1,1)),"")</f>
        <v>#NAME?</v>
      </c>
      <c r="I1487" s="200" t="str">
        <f>IF(OR(B1487=リスト!$C$5,B1487=リスト!$C$6),COUNTIF($B$9:B1487,リスト!$C$5)+COUNTIF($B$9:B1487,リスト!$C$6),"")</f>
        <v/>
      </c>
    </row>
    <row r="1488" spans="2:9" x14ac:dyDescent="0.2">
      <c r="B1488" s="196"/>
      <c r="C1488" s="197"/>
      <c r="D1488" s="197"/>
      <c r="E1488" s="198" t="e">
        <f ca="1">mif(OR(C1488="",B1488=リスト!$C$7),"",B1488="","RF",OR(B1488=リスト!$C$5,B1488=リスト!$C$6),COUNTBLANK(INDEX(B:B,MATCH(I1488-1,I:I,0)+1,1):INDEX(B:B,MATCH(I1488,I:I,0)-1,1)),"")</f>
        <v>#NAME?</v>
      </c>
      <c r="F1488" s="199" t="s">
        <v>189</v>
      </c>
      <c r="G1488" s="140" t="e">
        <f ca="1">mif(C1488="","",OR(B1488=リスト!$C$5,B1488=リスト!$C$6),SUM(INDEX(G:G,MATCH(I1488-1,I:I,0)+1,1):INDEX(G:G,MATCH(I1488,I:I,0)-1,1)),D1488-C1488)</f>
        <v>#NAME?</v>
      </c>
      <c r="H1488" s="140" t="e">
        <f ca="1">mif(C1488="","",B1488=リスト!$C$5,SUMIF(INDEX(B:B,MATCH(I1488-1,I:I,0)+1,1):INDEX(B:B,MATCH(I1488,I:I,0)-1,1),リスト!$C$7,INDEX(G:G,MATCH(I1488-1,I:I,0)+1,1):INDEX(G:G,MATCH(I1488,I:I,0)-1,1)),"")</f>
        <v>#NAME?</v>
      </c>
      <c r="I1488" s="200" t="str">
        <f>IF(OR(B1488=リスト!$C$5,B1488=リスト!$C$6),COUNTIF($B$9:B1488,リスト!$C$5)+COUNTIF($B$9:B1488,リスト!$C$6),"")</f>
        <v/>
      </c>
    </row>
    <row r="1489" spans="2:9" x14ac:dyDescent="0.2">
      <c r="B1489" s="196"/>
      <c r="C1489" s="197"/>
      <c r="D1489" s="197"/>
      <c r="E1489" s="198" t="e">
        <f ca="1">mif(OR(C1489="",B1489=リスト!$C$7),"",B1489="","RF",OR(B1489=リスト!$C$5,B1489=リスト!$C$6),COUNTBLANK(INDEX(B:B,MATCH(I1489-1,I:I,0)+1,1):INDEX(B:B,MATCH(I1489,I:I,0)-1,1)),"")</f>
        <v>#NAME?</v>
      </c>
      <c r="F1489" s="199" t="s">
        <v>189</v>
      </c>
      <c r="G1489" s="140" t="e">
        <f ca="1">mif(C1489="","",OR(B1489=リスト!$C$5,B1489=リスト!$C$6),SUM(INDEX(G:G,MATCH(I1489-1,I:I,0)+1,1):INDEX(G:G,MATCH(I1489,I:I,0)-1,1)),D1489-C1489)</f>
        <v>#NAME?</v>
      </c>
      <c r="H1489" s="140" t="e">
        <f ca="1">mif(C1489="","",B1489=リスト!$C$5,SUMIF(INDEX(B:B,MATCH(I1489-1,I:I,0)+1,1):INDEX(B:B,MATCH(I1489,I:I,0)-1,1),リスト!$C$7,INDEX(G:G,MATCH(I1489-1,I:I,0)+1,1):INDEX(G:G,MATCH(I1489,I:I,0)-1,1)),"")</f>
        <v>#NAME?</v>
      </c>
      <c r="I1489" s="200" t="str">
        <f>IF(OR(B1489=リスト!$C$5,B1489=リスト!$C$6),COUNTIF($B$9:B1489,リスト!$C$5)+COUNTIF($B$9:B1489,リスト!$C$6),"")</f>
        <v/>
      </c>
    </row>
    <row r="1490" spans="2:9" x14ac:dyDescent="0.2">
      <c r="B1490" s="196"/>
      <c r="C1490" s="197"/>
      <c r="D1490" s="197"/>
      <c r="E1490" s="198" t="e">
        <f ca="1">mif(OR(C1490="",B1490=リスト!$C$7),"",B1490="","RF",OR(B1490=リスト!$C$5,B1490=リスト!$C$6),COUNTBLANK(INDEX(B:B,MATCH(I1490-1,I:I,0)+1,1):INDEX(B:B,MATCH(I1490,I:I,0)-1,1)),"")</f>
        <v>#NAME?</v>
      </c>
      <c r="F1490" s="199" t="s">
        <v>189</v>
      </c>
      <c r="G1490" s="140" t="e">
        <f ca="1">mif(C1490="","",OR(B1490=リスト!$C$5,B1490=リスト!$C$6),SUM(INDEX(G:G,MATCH(I1490-1,I:I,0)+1,1):INDEX(G:G,MATCH(I1490,I:I,0)-1,1)),D1490-C1490)</f>
        <v>#NAME?</v>
      </c>
      <c r="H1490" s="140" t="e">
        <f ca="1">mif(C1490="","",B1490=リスト!$C$5,SUMIF(INDEX(B:B,MATCH(I1490-1,I:I,0)+1,1):INDEX(B:B,MATCH(I1490,I:I,0)-1,1),リスト!$C$7,INDEX(G:G,MATCH(I1490-1,I:I,0)+1,1):INDEX(G:G,MATCH(I1490,I:I,0)-1,1)),"")</f>
        <v>#NAME?</v>
      </c>
      <c r="I1490" s="200" t="str">
        <f>IF(OR(B1490=リスト!$C$5,B1490=リスト!$C$6),COUNTIF($B$9:B1490,リスト!$C$5)+COUNTIF($B$9:B1490,リスト!$C$6),"")</f>
        <v/>
      </c>
    </row>
    <row r="1491" spans="2:9" x14ac:dyDescent="0.2">
      <c r="B1491" s="196"/>
      <c r="C1491" s="197"/>
      <c r="D1491" s="197"/>
      <c r="E1491" s="198" t="e">
        <f ca="1">mif(OR(C1491="",B1491=リスト!$C$7),"",B1491="","RF",OR(B1491=リスト!$C$5,B1491=リスト!$C$6),COUNTBLANK(INDEX(B:B,MATCH(I1491-1,I:I,0)+1,1):INDEX(B:B,MATCH(I1491,I:I,0)-1,1)),"")</f>
        <v>#NAME?</v>
      </c>
      <c r="F1491" s="199" t="s">
        <v>189</v>
      </c>
      <c r="G1491" s="140" t="e">
        <f ca="1">mif(C1491="","",OR(B1491=リスト!$C$5,B1491=リスト!$C$6),SUM(INDEX(G:G,MATCH(I1491-1,I:I,0)+1,1):INDEX(G:G,MATCH(I1491,I:I,0)-1,1)),D1491-C1491)</f>
        <v>#NAME?</v>
      </c>
      <c r="H1491" s="140" t="e">
        <f ca="1">mif(C1491="","",B1491=リスト!$C$5,SUMIF(INDEX(B:B,MATCH(I1491-1,I:I,0)+1,1):INDEX(B:B,MATCH(I1491,I:I,0)-1,1),リスト!$C$7,INDEX(G:G,MATCH(I1491-1,I:I,0)+1,1):INDEX(G:G,MATCH(I1491,I:I,0)-1,1)),"")</f>
        <v>#NAME?</v>
      </c>
      <c r="I1491" s="200" t="str">
        <f>IF(OR(B1491=リスト!$C$5,B1491=リスト!$C$6),COUNTIF($B$9:B1491,リスト!$C$5)+COUNTIF($B$9:B1491,リスト!$C$6),"")</f>
        <v/>
      </c>
    </row>
    <row r="1492" spans="2:9" x14ac:dyDescent="0.2">
      <c r="B1492" s="196"/>
      <c r="C1492" s="197"/>
      <c r="D1492" s="197"/>
      <c r="E1492" s="198" t="e">
        <f ca="1">mif(OR(C1492="",B1492=リスト!$C$7),"",B1492="","RF",OR(B1492=リスト!$C$5,B1492=リスト!$C$6),COUNTBLANK(INDEX(B:B,MATCH(I1492-1,I:I,0)+1,1):INDEX(B:B,MATCH(I1492,I:I,0)-1,1)),"")</f>
        <v>#NAME?</v>
      </c>
      <c r="F1492" s="199" t="s">
        <v>189</v>
      </c>
      <c r="G1492" s="140" t="e">
        <f ca="1">mif(C1492="","",OR(B1492=リスト!$C$5,B1492=リスト!$C$6),SUM(INDEX(G:G,MATCH(I1492-1,I:I,0)+1,1):INDEX(G:G,MATCH(I1492,I:I,0)-1,1)),D1492-C1492)</f>
        <v>#NAME?</v>
      </c>
      <c r="H1492" s="140" t="e">
        <f ca="1">mif(C1492="","",B1492=リスト!$C$5,SUMIF(INDEX(B:B,MATCH(I1492-1,I:I,0)+1,1):INDEX(B:B,MATCH(I1492,I:I,0)-1,1),リスト!$C$7,INDEX(G:G,MATCH(I1492-1,I:I,0)+1,1):INDEX(G:G,MATCH(I1492,I:I,0)-1,1)),"")</f>
        <v>#NAME?</v>
      </c>
      <c r="I1492" s="200" t="str">
        <f>IF(OR(B1492=リスト!$C$5,B1492=リスト!$C$6),COUNTIF($B$9:B1492,リスト!$C$5)+COUNTIF($B$9:B1492,リスト!$C$6),"")</f>
        <v/>
      </c>
    </row>
    <row r="1493" spans="2:9" x14ac:dyDescent="0.2">
      <c r="B1493" s="196"/>
      <c r="C1493" s="197"/>
      <c r="D1493" s="197"/>
      <c r="E1493" s="198" t="e">
        <f ca="1">mif(OR(C1493="",B1493=リスト!$C$7),"",B1493="","RF",OR(B1493=リスト!$C$5,B1493=リスト!$C$6),COUNTBLANK(INDEX(B:B,MATCH(I1493-1,I:I,0)+1,1):INDEX(B:B,MATCH(I1493,I:I,0)-1,1)),"")</f>
        <v>#NAME?</v>
      </c>
      <c r="F1493" s="199" t="s">
        <v>189</v>
      </c>
      <c r="G1493" s="140" t="e">
        <f ca="1">mif(C1493="","",OR(B1493=リスト!$C$5,B1493=リスト!$C$6),SUM(INDEX(G:G,MATCH(I1493-1,I:I,0)+1,1):INDEX(G:G,MATCH(I1493,I:I,0)-1,1)),D1493-C1493)</f>
        <v>#NAME?</v>
      </c>
      <c r="H1493" s="140" t="e">
        <f ca="1">mif(C1493="","",B1493=リスト!$C$5,SUMIF(INDEX(B:B,MATCH(I1493-1,I:I,0)+1,1):INDEX(B:B,MATCH(I1493,I:I,0)-1,1),リスト!$C$7,INDEX(G:G,MATCH(I1493-1,I:I,0)+1,1):INDEX(G:G,MATCH(I1493,I:I,0)-1,1)),"")</f>
        <v>#NAME?</v>
      </c>
      <c r="I1493" s="200" t="str">
        <f>IF(OR(B1493=リスト!$C$5,B1493=リスト!$C$6),COUNTIF($B$9:B1493,リスト!$C$5)+COUNTIF($B$9:B1493,リスト!$C$6),"")</f>
        <v/>
      </c>
    </row>
    <row r="1494" spans="2:9" x14ac:dyDescent="0.2">
      <c r="B1494" s="196"/>
      <c r="C1494" s="197"/>
      <c r="D1494" s="197"/>
      <c r="E1494" s="198" t="e">
        <f ca="1">mif(OR(C1494="",B1494=リスト!$C$7),"",B1494="","RF",OR(B1494=リスト!$C$5,B1494=リスト!$C$6),COUNTBLANK(INDEX(B:B,MATCH(I1494-1,I:I,0)+1,1):INDEX(B:B,MATCH(I1494,I:I,0)-1,1)),"")</f>
        <v>#NAME?</v>
      </c>
      <c r="F1494" s="199" t="s">
        <v>189</v>
      </c>
      <c r="G1494" s="140" t="e">
        <f ca="1">mif(C1494="","",OR(B1494=リスト!$C$5,B1494=リスト!$C$6),SUM(INDEX(G:G,MATCH(I1494-1,I:I,0)+1,1):INDEX(G:G,MATCH(I1494,I:I,0)-1,1)),D1494-C1494)</f>
        <v>#NAME?</v>
      </c>
      <c r="H1494" s="140" t="e">
        <f ca="1">mif(C1494="","",B1494=リスト!$C$5,SUMIF(INDEX(B:B,MATCH(I1494-1,I:I,0)+1,1):INDEX(B:B,MATCH(I1494,I:I,0)-1,1),リスト!$C$7,INDEX(G:G,MATCH(I1494-1,I:I,0)+1,1):INDEX(G:G,MATCH(I1494,I:I,0)-1,1)),"")</f>
        <v>#NAME?</v>
      </c>
      <c r="I1494" s="200" t="str">
        <f>IF(OR(B1494=リスト!$C$5,B1494=リスト!$C$6),COUNTIF($B$9:B1494,リスト!$C$5)+COUNTIF($B$9:B1494,リスト!$C$6),"")</f>
        <v/>
      </c>
    </row>
    <row r="1495" spans="2:9" x14ac:dyDescent="0.2">
      <c r="B1495" s="196"/>
      <c r="C1495" s="197"/>
      <c r="D1495" s="197"/>
      <c r="E1495" s="198" t="e">
        <f ca="1">mif(OR(C1495="",B1495=リスト!$C$7),"",B1495="","RF",OR(B1495=リスト!$C$5,B1495=リスト!$C$6),COUNTBLANK(INDEX(B:B,MATCH(I1495-1,I:I,0)+1,1):INDEX(B:B,MATCH(I1495,I:I,0)-1,1)),"")</f>
        <v>#NAME?</v>
      </c>
      <c r="F1495" s="199" t="s">
        <v>189</v>
      </c>
      <c r="G1495" s="140" t="e">
        <f ca="1">mif(C1495="","",OR(B1495=リスト!$C$5,B1495=リスト!$C$6),SUM(INDEX(G:G,MATCH(I1495-1,I:I,0)+1,1):INDEX(G:G,MATCH(I1495,I:I,0)-1,1)),D1495-C1495)</f>
        <v>#NAME?</v>
      </c>
      <c r="H1495" s="140" t="e">
        <f ca="1">mif(C1495="","",B1495=リスト!$C$5,SUMIF(INDEX(B:B,MATCH(I1495-1,I:I,0)+1,1):INDEX(B:B,MATCH(I1495,I:I,0)-1,1),リスト!$C$7,INDEX(G:G,MATCH(I1495-1,I:I,0)+1,1):INDEX(G:G,MATCH(I1495,I:I,0)-1,1)),"")</f>
        <v>#NAME?</v>
      </c>
      <c r="I1495" s="200" t="str">
        <f>IF(OR(B1495=リスト!$C$5,B1495=リスト!$C$6),COUNTIF($B$9:B1495,リスト!$C$5)+COUNTIF($B$9:B1495,リスト!$C$6),"")</f>
        <v/>
      </c>
    </row>
    <row r="1496" spans="2:9" x14ac:dyDescent="0.2">
      <c r="B1496" s="196"/>
      <c r="C1496" s="197"/>
      <c r="D1496" s="197"/>
      <c r="E1496" s="198" t="e">
        <f ca="1">mif(OR(C1496="",B1496=リスト!$C$7),"",B1496="","RF",OR(B1496=リスト!$C$5,B1496=リスト!$C$6),COUNTBLANK(INDEX(B:B,MATCH(I1496-1,I:I,0)+1,1):INDEX(B:B,MATCH(I1496,I:I,0)-1,1)),"")</f>
        <v>#NAME?</v>
      </c>
      <c r="F1496" s="199" t="s">
        <v>189</v>
      </c>
      <c r="G1496" s="140" t="e">
        <f ca="1">mif(C1496="","",OR(B1496=リスト!$C$5,B1496=リスト!$C$6),SUM(INDEX(G:G,MATCH(I1496-1,I:I,0)+1,1):INDEX(G:G,MATCH(I1496,I:I,0)-1,1)),D1496-C1496)</f>
        <v>#NAME?</v>
      </c>
      <c r="H1496" s="140" t="e">
        <f ca="1">mif(C1496="","",B1496=リスト!$C$5,SUMIF(INDEX(B:B,MATCH(I1496-1,I:I,0)+1,1):INDEX(B:B,MATCH(I1496,I:I,0)-1,1),リスト!$C$7,INDEX(G:G,MATCH(I1496-1,I:I,0)+1,1):INDEX(G:G,MATCH(I1496,I:I,0)-1,1)),"")</f>
        <v>#NAME?</v>
      </c>
      <c r="I1496" s="200" t="str">
        <f>IF(OR(B1496=リスト!$C$5,B1496=リスト!$C$6),COUNTIF($B$9:B1496,リスト!$C$5)+COUNTIF($B$9:B1496,リスト!$C$6),"")</f>
        <v/>
      </c>
    </row>
    <row r="1497" spans="2:9" x14ac:dyDescent="0.2">
      <c r="B1497" s="196"/>
      <c r="C1497" s="197"/>
      <c r="D1497" s="197"/>
      <c r="E1497" s="198" t="e">
        <f ca="1">mif(OR(C1497="",B1497=リスト!$C$7),"",B1497="","RF",OR(B1497=リスト!$C$5,B1497=リスト!$C$6),COUNTBLANK(INDEX(B:B,MATCH(I1497-1,I:I,0)+1,1):INDEX(B:B,MATCH(I1497,I:I,0)-1,1)),"")</f>
        <v>#NAME?</v>
      </c>
      <c r="F1497" s="199" t="s">
        <v>189</v>
      </c>
      <c r="G1497" s="140" t="e">
        <f ca="1">mif(C1497="","",OR(B1497=リスト!$C$5,B1497=リスト!$C$6),SUM(INDEX(G:G,MATCH(I1497-1,I:I,0)+1,1):INDEX(G:G,MATCH(I1497,I:I,0)-1,1)),D1497-C1497)</f>
        <v>#NAME?</v>
      </c>
      <c r="H1497" s="140" t="e">
        <f ca="1">mif(C1497="","",B1497=リスト!$C$5,SUMIF(INDEX(B:B,MATCH(I1497-1,I:I,0)+1,1):INDEX(B:B,MATCH(I1497,I:I,0)-1,1),リスト!$C$7,INDEX(G:G,MATCH(I1497-1,I:I,0)+1,1):INDEX(G:G,MATCH(I1497,I:I,0)-1,1)),"")</f>
        <v>#NAME?</v>
      </c>
      <c r="I1497" s="200" t="str">
        <f>IF(OR(B1497=リスト!$C$5,B1497=リスト!$C$6),COUNTIF($B$9:B1497,リスト!$C$5)+COUNTIF($B$9:B1497,リスト!$C$6),"")</f>
        <v/>
      </c>
    </row>
    <row r="1498" spans="2:9" x14ac:dyDescent="0.2">
      <c r="B1498" s="196"/>
      <c r="C1498" s="197"/>
      <c r="D1498" s="197"/>
      <c r="E1498" s="198" t="e">
        <f ca="1">mif(OR(C1498="",B1498=リスト!$C$7),"",B1498="","RF",OR(B1498=リスト!$C$5,B1498=リスト!$C$6),COUNTBLANK(INDEX(B:B,MATCH(I1498-1,I:I,0)+1,1):INDEX(B:B,MATCH(I1498,I:I,0)-1,1)),"")</f>
        <v>#NAME?</v>
      </c>
      <c r="F1498" s="199" t="s">
        <v>189</v>
      </c>
      <c r="G1498" s="140" t="e">
        <f ca="1">mif(C1498="","",OR(B1498=リスト!$C$5,B1498=リスト!$C$6),SUM(INDEX(G:G,MATCH(I1498-1,I:I,0)+1,1):INDEX(G:G,MATCH(I1498,I:I,0)-1,1)),D1498-C1498)</f>
        <v>#NAME?</v>
      </c>
      <c r="H1498" s="140" t="e">
        <f ca="1">mif(C1498="","",B1498=リスト!$C$5,SUMIF(INDEX(B:B,MATCH(I1498-1,I:I,0)+1,1):INDEX(B:B,MATCH(I1498,I:I,0)-1,1),リスト!$C$7,INDEX(G:G,MATCH(I1498-1,I:I,0)+1,1):INDEX(G:G,MATCH(I1498,I:I,0)-1,1)),"")</f>
        <v>#NAME?</v>
      </c>
      <c r="I1498" s="200" t="str">
        <f>IF(OR(B1498=リスト!$C$5,B1498=リスト!$C$6),COUNTIF($B$9:B1498,リスト!$C$5)+COUNTIF($B$9:B1498,リスト!$C$6),"")</f>
        <v/>
      </c>
    </row>
    <row r="1499" spans="2:9" x14ac:dyDescent="0.2">
      <c r="B1499" s="196"/>
      <c r="C1499" s="197"/>
      <c r="D1499" s="197"/>
      <c r="E1499" s="198" t="e">
        <f ca="1">mif(OR(C1499="",B1499=リスト!$C$7),"",B1499="","RF",OR(B1499=リスト!$C$5,B1499=リスト!$C$6),COUNTBLANK(INDEX(B:B,MATCH(I1499-1,I:I,0)+1,1):INDEX(B:B,MATCH(I1499,I:I,0)-1,1)),"")</f>
        <v>#NAME?</v>
      </c>
      <c r="F1499" s="199" t="s">
        <v>189</v>
      </c>
      <c r="G1499" s="140" t="e">
        <f ca="1">mif(C1499="","",OR(B1499=リスト!$C$5,B1499=リスト!$C$6),SUM(INDEX(G:G,MATCH(I1499-1,I:I,0)+1,1):INDEX(G:G,MATCH(I1499,I:I,0)-1,1)),D1499-C1499)</f>
        <v>#NAME?</v>
      </c>
      <c r="H1499" s="140" t="e">
        <f ca="1">mif(C1499="","",B1499=リスト!$C$5,SUMIF(INDEX(B:B,MATCH(I1499-1,I:I,0)+1,1):INDEX(B:B,MATCH(I1499,I:I,0)-1,1),リスト!$C$7,INDEX(G:G,MATCH(I1499-1,I:I,0)+1,1):INDEX(G:G,MATCH(I1499,I:I,0)-1,1)),"")</f>
        <v>#NAME?</v>
      </c>
      <c r="I1499" s="200" t="str">
        <f>IF(OR(B1499=リスト!$C$5,B1499=リスト!$C$6),COUNTIF($B$9:B1499,リスト!$C$5)+COUNTIF($B$9:B1499,リスト!$C$6),"")</f>
        <v/>
      </c>
    </row>
    <row r="1500" spans="2:9" x14ac:dyDescent="0.2">
      <c r="B1500" s="196"/>
      <c r="C1500" s="197"/>
      <c r="D1500" s="197"/>
      <c r="E1500" s="198" t="e">
        <f ca="1">mif(OR(C1500="",B1500=リスト!$C$7),"",B1500="","RF",OR(B1500=リスト!$C$5,B1500=リスト!$C$6),COUNTBLANK(INDEX(B:B,MATCH(I1500-1,I:I,0)+1,1):INDEX(B:B,MATCH(I1500,I:I,0)-1,1)),"")</f>
        <v>#NAME?</v>
      </c>
      <c r="F1500" s="199" t="s">
        <v>189</v>
      </c>
      <c r="G1500" s="140" t="e">
        <f ca="1">mif(C1500="","",OR(B1500=リスト!$C$5,B1500=リスト!$C$6),SUM(INDEX(G:G,MATCH(I1500-1,I:I,0)+1,1):INDEX(G:G,MATCH(I1500,I:I,0)-1,1)),D1500-C1500)</f>
        <v>#NAME?</v>
      </c>
      <c r="H1500" s="140" t="e">
        <f ca="1">mif(C1500="","",B1500=リスト!$C$5,SUMIF(INDEX(B:B,MATCH(I1500-1,I:I,0)+1,1):INDEX(B:B,MATCH(I1500,I:I,0)-1,1),リスト!$C$7,INDEX(G:G,MATCH(I1500-1,I:I,0)+1,1):INDEX(G:G,MATCH(I1500,I:I,0)-1,1)),"")</f>
        <v>#NAME?</v>
      </c>
      <c r="I1500" s="200" t="str">
        <f>IF(OR(B1500=リスト!$C$5,B1500=リスト!$C$6),COUNTIF($B$9:B1500,リスト!$C$5)+COUNTIF($B$9:B1500,リスト!$C$6),"")</f>
        <v/>
      </c>
    </row>
    <row r="1501" spans="2:9" x14ac:dyDescent="0.2">
      <c r="B1501" s="196"/>
      <c r="C1501" s="197"/>
      <c r="D1501" s="197"/>
      <c r="E1501" s="198" t="e">
        <f ca="1">mif(OR(C1501="",B1501=リスト!$C$7),"",B1501="","RF",OR(B1501=リスト!$C$5,B1501=リスト!$C$6),COUNTBLANK(INDEX(B:B,MATCH(I1501-1,I:I,0)+1,1):INDEX(B:B,MATCH(I1501,I:I,0)-1,1)),"")</f>
        <v>#NAME?</v>
      </c>
      <c r="F1501" s="199" t="s">
        <v>189</v>
      </c>
      <c r="G1501" s="140" t="e">
        <f ca="1">mif(C1501="","",OR(B1501=リスト!$C$5,B1501=リスト!$C$6),SUM(INDEX(G:G,MATCH(I1501-1,I:I,0)+1,1):INDEX(G:G,MATCH(I1501,I:I,0)-1,1)),D1501-C1501)</f>
        <v>#NAME?</v>
      </c>
      <c r="H1501" s="140" t="e">
        <f ca="1">mif(C1501="","",B1501=リスト!$C$5,SUMIF(INDEX(B:B,MATCH(I1501-1,I:I,0)+1,1):INDEX(B:B,MATCH(I1501,I:I,0)-1,1),リスト!$C$7,INDEX(G:G,MATCH(I1501-1,I:I,0)+1,1):INDEX(G:G,MATCH(I1501,I:I,0)-1,1)),"")</f>
        <v>#NAME?</v>
      </c>
      <c r="I1501" s="200" t="str">
        <f>IF(OR(B1501=リスト!$C$5,B1501=リスト!$C$6),COUNTIF($B$9:B1501,リスト!$C$5)+COUNTIF($B$9:B1501,リスト!$C$6),"")</f>
        <v/>
      </c>
    </row>
    <row r="1502" spans="2:9" x14ac:dyDescent="0.2">
      <c r="B1502" s="196"/>
      <c r="C1502" s="197"/>
      <c r="D1502" s="197"/>
      <c r="E1502" s="198" t="e">
        <f ca="1">mif(OR(C1502="",B1502=リスト!$C$7),"",B1502="","RF",OR(B1502=リスト!$C$5,B1502=リスト!$C$6),COUNTBLANK(INDEX(B:B,MATCH(I1502-1,I:I,0)+1,1):INDEX(B:B,MATCH(I1502,I:I,0)-1,1)),"")</f>
        <v>#NAME?</v>
      </c>
      <c r="F1502" s="199" t="s">
        <v>189</v>
      </c>
      <c r="G1502" s="140" t="e">
        <f ca="1">mif(C1502="","",OR(B1502=リスト!$C$5,B1502=リスト!$C$6),SUM(INDEX(G:G,MATCH(I1502-1,I:I,0)+1,1):INDEX(G:G,MATCH(I1502,I:I,0)-1,1)),D1502-C1502)</f>
        <v>#NAME?</v>
      </c>
      <c r="H1502" s="140" t="e">
        <f ca="1">mif(C1502="","",B1502=リスト!$C$5,SUMIF(INDEX(B:B,MATCH(I1502-1,I:I,0)+1,1):INDEX(B:B,MATCH(I1502,I:I,0)-1,1),リスト!$C$7,INDEX(G:G,MATCH(I1502-1,I:I,0)+1,1):INDEX(G:G,MATCH(I1502,I:I,0)-1,1)),"")</f>
        <v>#NAME?</v>
      </c>
      <c r="I1502" s="200" t="str">
        <f>IF(OR(B1502=リスト!$C$5,B1502=リスト!$C$6),COUNTIF($B$9:B1502,リスト!$C$5)+COUNTIF($B$9:B1502,リスト!$C$6),"")</f>
        <v/>
      </c>
    </row>
    <row r="1503" spans="2:9" x14ac:dyDescent="0.2">
      <c r="B1503" s="196"/>
      <c r="C1503" s="197"/>
      <c r="D1503" s="197"/>
      <c r="E1503" s="198" t="e">
        <f ca="1">mif(OR(C1503="",B1503=リスト!$C$7),"",B1503="","RF",OR(B1503=リスト!$C$5,B1503=リスト!$C$6),COUNTBLANK(INDEX(B:B,MATCH(I1503-1,I:I,0)+1,1):INDEX(B:B,MATCH(I1503,I:I,0)-1,1)),"")</f>
        <v>#NAME?</v>
      </c>
      <c r="F1503" s="199" t="s">
        <v>189</v>
      </c>
      <c r="G1503" s="140" t="e">
        <f ca="1">mif(C1503="","",OR(B1503=リスト!$C$5,B1503=リスト!$C$6),SUM(INDEX(G:G,MATCH(I1503-1,I:I,0)+1,1):INDEX(G:G,MATCH(I1503,I:I,0)-1,1)),D1503-C1503)</f>
        <v>#NAME?</v>
      </c>
      <c r="H1503" s="140" t="e">
        <f ca="1">mif(C1503="","",B1503=リスト!$C$5,SUMIF(INDEX(B:B,MATCH(I1503-1,I:I,0)+1,1):INDEX(B:B,MATCH(I1503,I:I,0)-1,1),リスト!$C$7,INDEX(G:G,MATCH(I1503-1,I:I,0)+1,1):INDEX(G:G,MATCH(I1503,I:I,0)-1,1)),"")</f>
        <v>#NAME?</v>
      </c>
      <c r="I1503" s="200" t="str">
        <f>IF(OR(B1503=リスト!$C$5,B1503=リスト!$C$6),COUNTIF($B$9:B1503,リスト!$C$5)+COUNTIF($B$9:B1503,リスト!$C$6),"")</f>
        <v/>
      </c>
    </row>
    <row r="1504" spans="2:9" x14ac:dyDescent="0.2">
      <c r="B1504" s="196"/>
      <c r="C1504" s="197"/>
      <c r="D1504" s="197"/>
      <c r="E1504" s="198" t="e">
        <f ca="1">mif(OR(C1504="",B1504=リスト!$C$7),"",B1504="","RF",OR(B1504=リスト!$C$5,B1504=リスト!$C$6),COUNTBLANK(INDEX(B:B,MATCH(I1504-1,I:I,0)+1,1):INDEX(B:B,MATCH(I1504,I:I,0)-1,1)),"")</f>
        <v>#NAME?</v>
      </c>
      <c r="F1504" s="199" t="s">
        <v>189</v>
      </c>
      <c r="G1504" s="140" t="e">
        <f ca="1">mif(C1504="","",OR(B1504=リスト!$C$5,B1504=リスト!$C$6),SUM(INDEX(G:G,MATCH(I1504-1,I:I,0)+1,1):INDEX(G:G,MATCH(I1504,I:I,0)-1,1)),D1504-C1504)</f>
        <v>#NAME?</v>
      </c>
      <c r="H1504" s="140" t="e">
        <f ca="1">mif(C1504="","",B1504=リスト!$C$5,SUMIF(INDEX(B:B,MATCH(I1504-1,I:I,0)+1,1):INDEX(B:B,MATCH(I1504,I:I,0)-1,1),リスト!$C$7,INDEX(G:G,MATCH(I1504-1,I:I,0)+1,1):INDEX(G:G,MATCH(I1504,I:I,0)-1,1)),"")</f>
        <v>#NAME?</v>
      </c>
      <c r="I1504" s="200" t="str">
        <f>IF(OR(B1504=リスト!$C$5,B1504=リスト!$C$6),COUNTIF($B$9:B1504,リスト!$C$5)+COUNTIF($B$9:B1504,リスト!$C$6),"")</f>
        <v/>
      </c>
    </row>
    <row r="1505" spans="2:9" x14ac:dyDescent="0.2">
      <c r="B1505" s="196"/>
      <c r="C1505" s="197"/>
      <c r="D1505" s="197"/>
      <c r="E1505" s="198" t="e">
        <f ca="1">mif(OR(C1505="",B1505=リスト!$C$7),"",B1505="","RF",OR(B1505=リスト!$C$5,B1505=リスト!$C$6),COUNTBLANK(INDEX(B:B,MATCH(I1505-1,I:I,0)+1,1):INDEX(B:B,MATCH(I1505,I:I,0)-1,1)),"")</f>
        <v>#NAME?</v>
      </c>
      <c r="F1505" s="199" t="s">
        <v>189</v>
      </c>
      <c r="G1505" s="140" t="e">
        <f ca="1">mif(C1505="","",OR(B1505=リスト!$C$5,B1505=リスト!$C$6),SUM(INDEX(G:G,MATCH(I1505-1,I:I,0)+1,1):INDEX(G:G,MATCH(I1505,I:I,0)-1,1)),D1505-C1505)</f>
        <v>#NAME?</v>
      </c>
      <c r="H1505" s="140" t="e">
        <f ca="1">mif(C1505="","",B1505=リスト!$C$5,SUMIF(INDEX(B:B,MATCH(I1505-1,I:I,0)+1,1):INDEX(B:B,MATCH(I1505,I:I,0)-1,1),リスト!$C$7,INDEX(G:G,MATCH(I1505-1,I:I,0)+1,1):INDEX(G:G,MATCH(I1505,I:I,0)-1,1)),"")</f>
        <v>#NAME?</v>
      </c>
      <c r="I1505" s="200" t="str">
        <f>IF(OR(B1505=リスト!$C$5,B1505=リスト!$C$6),COUNTIF($B$9:B1505,リスト!$C$5)+COUNTIF($B$9:B1505,リスト!$C$6),"")</f>
        <v/>
      </c>
    </row>
    <row r="1506" spans="2:9" x14ac:dyDescent="0.2">
      <c r="B1506" s="196"/>
      <c r="C1506" s="197"/>
      <c r="D1506" s="197"/>
      <c r="E1506" s="198" t="e">
        <f ca="1">mif(OR(C1506="",B1506=リスト!$C$7),"",B1506="","RF",OR(B1506=リスト!$C$5,B1506=リスト!$C$6),COUNTBLANK(INDEX(B:B,MATCH(I1506-1,I:I,0)+1,1):INDEX(B:B,MATCH(I1506,I:I,0)-1,1)),"")</f>
        <v>#NAME?</v>
      </c>
      <c r="F1506" s="199" t="s">
        <v>189</v>
      </c>
      <c r="G1506" s="140" t="e">
        <f ca="1">mif(C1506="","",OR(B1506=リスト!$C$5,B1506=リスト!$C$6),SUM(INDEX(G:G,MATCH(I1506-1,I:I,0)+1,1):INDEX(G:G,MATCH(I1506,I:I,0)-1,1)),D1506-C1506)</f>
        <v>#NAME?</v>
      </c>
      <c r="H1506" s="140" t="e">
        <f ca="1">mif(C1506="","",B1506=リスト!$C$5,SUMIF(INDEX(B:B,MATCH(I1506-1,I:I,0)+1,1):INDEX(B:B,MATCH(I1506,I:I,0)-1,1),リスト!$C$7,INDEX(G:G,MATCH(I1506-1,I:I,0)+1,1):INDEX(G:G,MATCH(I1506,I:I,0)-1,1)),"")</f>
        <v>#NAME?</v>
      </c>
      <c r="I1506" s="200" t="str">
        <f>IF(OR(B1506=リスト!$C$5,B1506=リスト!$C$6),COUNTIF($B$9:B1506,リスト!$C$5)+COUNTIF($B$9:B1506,リスト!$C$6),"")</f>
        <v/>
      </c>
    </row>
    <row r="1507" spans="2:9" x14ac:dyDescent="0.2">
      <c r="B1507" s="196"/>
      <c r="C1507" s="197"/>
      <c r="D1507" s="197"/>
      <c r="E1507" s="198" t="e">
        <f ca="1">mif(OR(C1507="",B1507=リスト!$C$7),"",B1507="","RF",OR(B1507=リスト!$C$5,B1507=リスト!$C$6),COUNTBLANK(INDEX(B:B,MATCH(I1507-1,I:I,0)+1,1):INDEX(B:B,MATCH(I1507,I:I,0)-1,1)),"")</f>
        <v>#NAME?</v>
      </c>
      <c r="F1507" s="199" t="s">
        <v>189</v>
      </c>
      <c r="G1507" s="140" t="e">
        <f ca="1">mif(C1507="","",OR(B1507=リスト!$C$5,B1507=リスト!$C$6),SUM(INDEX(G:G,MATCH(I1507-1,I:I,0)+1,1):INDEX(G:G,MATCH(I1507,I:I,0)-1,1)),D1507-C1507)</f>
        <v>#NAME?</v>
      </c>
      <c r="H1507" s="140" t="e">
        <f ca="1">mif(C1507="","",B1507=リスト!$C$5,SUMIF(INDEX(B:B,MATCH(I1507-1,I:I,0)+1,1):INDEX(B:B,MATCH(I1507,I:I,0)-1,1),リスト!$C$7,INDEX(G:G,MATCH(I1507-1,I:I,0)+1,1):INDEX(G:G,MATCH(I1507,I:I,0)-1,1)),"")</f>
        <v>#NAME?</v>
      </c>
      <c r="I1507" s="200" t="str">
        <f>IF(OR(B1507=リスト!$C$5,B1507=リスト!$C$6),COUNTIF($B$9:B1507,リスト!$C$5)+COUNTIF($B$9:B1507,リスト!$C$6),"")</f>
        <v/>
      </c>
    </row>
    <row r="1508" spans="2:9" x14ac:dyDescent="0.2">
      <c r="B1508" s="196"/>
      <c r="C1508" s="197"/>
      <c r="D1508" s="197"/>
      <c r="E1508" s="198" t="e">
        <f ca="1">mif(OR(C1508="",B1508=リスト!$C$7),"",B1508="","RF",OR(B1508=リスト!$C$5,B1508=リスト!$C$6),COUNTBLANK(INDEX(B:B,MATCH(I1508-1,I:I,0)+1,1):INDEX(B:B,MATCH(I1508,I:I,0)-1,1)),"")</f>
        <v>#NAME?</v>
      </c>
      <c r="F1508" s="199" t="s">
        <v>189</v>
      </c>
      <c r="G1508" s="140" t="e">
        <f ca="1">mif(C1508="","",OR(B1508=リスト!$C$5,B1508=リスト!$C$6),SUM(INDEX(G:G,MATCH(I1508-1,I:I,0)+1,1):INDEX(G:G,MATCH(I1508,I:I,0)-1,1)),D1508-C1508)</f>
        <v>#NAME?</v>
      </c>
      <c r="H1508" s="140" t="e">
        <f ca="1">mif(C1508="","",B1508=リスト!$C$5,SUMIF(INDEX(B:B,MATCH(I1508-1,I:I,0)+1,1):INDEX(B:B,MATCH(I1508,I:I,0)-1,1),リスト!$C$7,INDEX(G:G,MATCH(I1508-1,I:I,0)+1,1):INDEX(G:G,MATCH(I1508,I:I,0)-1,1)),"")</f>
        <v>#NAME?</v>
      </c>
      <c r="I1508" s="200" t="str">
        <f>IF(OR(B1508=リスト!$C$5,B1508=リスト!$C$6),COUNTIF($B$9:B1508,リスト!$C$5)+COUNTIF($B$9:B1508,リスト!$C$6),"")</f>
        <v/>
      </c>
    </row>
    <row r="1509" spans="2:9" x14ac:dyDescent="0.2">
      <c r="B1509" s="196"/>
      <c r="C1509" s="197"/>
      <c r="D1509" s="197"/>
      <c r="E1509" s="198" t="e">
        <f ca="1">mif(OR(C1509="",B1509=リスト!$C$7),"",B1509="","RF",OR(B1509=リスト!$C$5,B1509=リスト!$C$6),COUNTBLANK(INDEX(B:B,MATCH(I1509-1,I:I,0)+1,1):INDEX(B:B,MATCH(I1509,I:I,0)-1,1)),"")</f>
        <v>#NAME?</v>
      </c>
      <c r="F1509" s="199" t="s">
        <v>189</v>
      </c>
      <c r="G1509" s="140" t="e">
        <f ca="1">mif(C1509="","",OR(B1509=リスト!$C$5,B1509=リスト!$C$6),SUM(INDEX(G:G,MATCH(I1509-1,I:I,0)+1,1):INDEX(G:G,MATCH(I1509,I:I,0)-1,1)),D1509-C1509)</f>
        <v>#NAME?</v>
      </c>
      <c r="H1509" s="140" t="e">
        <f ca="1">mif(C1509="","",B1509=リスト!$C$5,SUMIF(INDEX(B:B,MATCH(I1509-1,I:I,0)+1,1):INDEX(B:B,MATCH(I1509,I:I,0)-1,1),リスト!$C$7,INDEX(G:G,MATCH(I1509-1,I:I,0)+1,1):INDEX(G:G,MATCH(I1509,I:I,0)-1,1)),"")</f>
        <v>#NAME?</v>
      </c>
      <c r="I1509" s="200" t="str">
        <f>IF(OR(B1509=リスト!$C$5,B1509=リスト!$C$6),COUNTIF($B$9:B1509,リスト!$C$5)+COUNTIF($B$9:B1509,リスト!$C$6),"")</f>
        <v/>
      </c>
    </row>
    <row r="1510" spans="2:9" x14ac:dyDescent="0.2">
      <c r="B1510" s="196"/>
      <c r="C1510" s="197"/>
      <c r="D1510" s="197"/>
      <c r="E1510" s="198" t="e">
        <f ca="1">mif(OR(C1510="",B1510=リスト!$C$7),"",B1510="","RF",OR(B1510=リスト!$C$5,B1510=リスト!$C$6),COUNTBLANK(INDEX(B:B,MATCH(I1510-1,I:I,0)+1,1):INDEX(B:B,MATCH(I1510,I:I,0)-1,1)),"")</f>
        <v>#NAME?</v>
      </c>
      <c r="F1510" s="199" t="s">
        <v>189</v>
      </c>
      <c r="G1510" s="140" t="e">
        <f ca="1">mif(C1510="","",OR(B1510=リスト!$C$5,B1510=リスト!$C$6),SUM(INDEX(G:G,MATCH(I1510-1,I:I,0)+1,1):INDEX(G:G,MATCH(I1510,I:I,0)-1,1)),D1510-C1510)</f>
        <v>#NAME?</v>
      </c>
      <c r="H1510" s="140" t="e">
        <f ca="1">mif(C1510="","",B1510=リスト!$C$5,SUMIF(INDEX(B:B,MATCH(I1510-1,I:I,0)+1,1):INDEX(B:B,MATCH(I1510,I:I,0)-1,1),リスト!$C$7,INDEX(G:G,MATCH(I1510-1,I:I,0)+1,1):INDEX(G:G,MATCH(I1510,I:I,0)-1,1)),"")</f>
        <v>#NAME?</v>
      </c>
      <c r="I1510" s="200" t="str">
        <f>IF(OR(B1510=リスト!$C$5,B1510=リスト!$C$6),COUNTIF($B$9:B1510,リスト!$C$5)+COUNTIF($B$9:B1510,リスト!$C$6),"")</f>
        <v/>
      </c>
    </row>
    <row r="1511" spans="2:9" x14ac:dyDescent="0.2">
      <c r="B1511" s="196"/>
      <c r="C1511" s="197"/>
      <c r="D1511" s="197"/>
      <c r="E1511" s="198" t="e">
        <f ca="1">mif(OR(C1511="",B1511=リスト!$C$7),"",B1511="","RF",OR(B1511=リスト!$C$5,B1511=リスト!$C$6),COUNTBLANK(INDEX(B:B,MATCH(I1511-1,I:I,0)+1,1):INDEX(B:B,MATCH(I1511,I:I,0)-1,1)),"")</f>
        <v>#NAME?</v>
      </c>
      <c r="F1511" s="199" t="s">
        <v>189</v>
      </c>
      <c r="G1511" s="140" t="e">
        <f ca="1">mif(C1511="","",OR(B1511=リスト!$C$5,B1511=リスト!$C$6),SUM(INDEX(G:G,MATCH(I1511-1,I:I,0)+1,1):INDEX(G:G,MATCH(I1511,I:I,0)-1,1)),D1511-C1511)</f>
        <v>#NAME?</v>
      </c>
      <c r="H1511" s="140" t="e">
        <f ca="1">mif(C1511="","",B1511=リスト!$C$5,SUMIF(INDEX(B:B,MATCH(I1511-1,I:I,0)+1,1):INDEX(B:B,MATCH(I1511,I:I,0)-1,1),リスト!$C$7,INDEX(G:G,MATCH(I1511-1,I:I,0)+1,1):INDEX(G:G,MATCH(I1511,I:I,0)-1,1)),"")</f>
        <v>#NAME?</v>
      </c>
      <c r="I1511" s="200" t="str">
        <f>IF(OR(B1511=リスト!$C$5,B1511=リスト!$C$6),COUNTIF($B$9:B1511,リスト!$C$5)+COUNTIF($B$9:B1511,リスト!$C$6),"")</f>
        <v/>
      </c>
    </row>
    <row r="1512" spans="2:9" x14ac:dyDescent="0.2">
      <c r="B1512" s="196"/>
      <c r="C1512" s="197"/>
      <c r="D1512" s="197"/>
      <c r="E1512" s="198" t="e">
        <f ca="1">mif(OR(C1512="",B1512=リスト!$C$7),"",B1512="","RF",OR(B1512=リスト!$C$5,B1512=リスト!$C$6),COUNTBLANK(INDEX(B:B,MATCH(I1512-1,I:I,0)+1,1):INDEX(B:B,MATCH(I1512,I:I,0)-1,1)),"")</f>
        <v>#NAME?</v>
      </c>
      <c r="F1512" s="199" t="s">
        <v>189</v>
      </c>
      <c r="G1512" s="140" t="e">
        <f ca="1">mif(C1512="","",OR(B1512=リスト!$C$5,B1512=リスト!$C$6),SUM(INDEX(G:G,MATCH(I1512-1,I:I,0)+1,1):INDEX(G:G,MATCH(I1512,I:I,0)-1,1)),D1512-C1512)</f>
        <v>#NAME?</v>
      </c>
      <c r="H1512" s="140" t="e">
        <f ca="1">mif(C1512="","",B1512=リスト!$C$5,SUMIF(INDEX(B:B,MATCH(I1512-1,I:I,0)+1,1):INDEX(B:B,MATCH(I1512,I:I,0)-1,1),リスト!$C$7,INDEX(G:G,MATCH(I1512-1,I:I,0)+1,1):INDEX(G:G,MATCH(I1512,I:I,0)-1,1)),"")</f>
        <v>#NAME?</v>
      </c>
      <c r="I1512" s="200" t="str">
        <f>IF(OR(B1512=リスト!$C$5,B1512=リスト!$C$6),COUNTIF($B$9:B1512,リスト!$C$5)+COUNTIF($B$9:B1512,リスト!$C$6),"")</f>
        <v/>
      </c>
    </row>
    <row r="1513" spans="2:9" x14ac:dyDescent="0.2">
      <c r="B1513" s="196"/>
      <c r="C1513" s="197"/>
      <c r="D1513" s="197"/>
      <c r="E1513" s="198" t="e">
        <f ca="1">mif(OR(C1513="",B1513=リスト!$C$7),"",B1513="","RF",OR(B1513=リスト!$C$5,B1513=リスト!$C$6),COUNTBLANK(INDEX(B:B,MATCH(I1513-1,I:I,0)+1,1):INDEX(B:B,MATCH(I1513,I:I,0)-1,1)),"")</f>
        <v>#NAME?</v>
      </c>
      <c r="F1513" s="199" t="s">
        <v>189</v>
      </c>
      <c r="G1513" s="140" t="e">
        <f ca="1">mif(C1513="","",OR(B1513=リスト!$C$5,B1513=リスト!$C$6),SUM(INDEX(G:G,MATCH(I1513-1,I:I,0)+1,1):INDEX(G:G,MATCH(I1513,I:I,0)-1,1)),D1513-C1513)</f>
        <v>#NAME?</v>
      </c>
      <c r="H1513" s="140" t="e">
        <f ca="1">mif(C1513="","",B1513=リスト!$C$5,SUMIF(INDEX(B:B,MATCH(I1513-1,I:I,0)+1,1):INDEX(B:B,MATCH(I1513,I:I,0)-1,1),リスト!$C$7,INDEX(G:G,MATCH(I1513-1,I:I,0)+1,1):INDEX(G:G,MATCH(I1513,I:I,0)-1,1)),"")</f>
        <v>#NAME?</v>
      </c>
      <c r="I1513" s="200" t="str">
        <f>IF(OR(B1513=リスト!$C$5,B1513=リスト!$C$6),COUNTIF($B$9:B1513,リスト!$C$5)+COUNTIF($B$9:B1513,リスト!$C$6),"")</f>
        <v/>
      </c>
    </row>
    <row r="1514" spans="2:9" x14ac:dyDescent="0.2">
      <c r="B1514" s="196"/>
      <c r="C1514" s="197"/>
      <c r="D1514" s="197"/>
      <c r="E1514" s="198" t="e">
        <f ca="1">mif(OR(C1514="",B1514=リスト!$C$7),"",B1514="","RF",OR(B1514=リスト!$C$5,B1514=リスト!$C$6),COUNTBLANK(INDEX(B:B,MATCH(I1514-1,I:I,0)+1,1):INDEX(B:B,MATCH(I1514,I:I,0)-1,1)),"")</f>
        <v>#NAME?</v>
      </c>
      <c r="F1514" s="199" t="s">
        <v>189</v>
      </c>
      <c r="G1514" s="140" t="e">
        <f ca="1">mif(C1514="","",OR(B1514=リスト!$C$5,B1514=リスト!$C$6),SUM(INDEX(G:G,MATCH(I1514-1,I:I,0)+1,1):INDEX(G:G,MATCH(I1514,I:I,0)-1,1)),D1514-C1514)</f>
        <v>#NAME?</v>
      </c>
      <c r="H1514" s="140" t="e">
        <f ca="1">mif(C1514="","",B1514=リスト!$C$5,SUMIF(INDEX(B:B,MATCH(I1514-1,I:I,0)+1,1):INDEX(B:B,MATCH(I1514,I:I,0)-1,1),リスト!$C$7,INDEX(G:G,MATCH(I1514-1,I:I,0)+1,1):INDEX(G:G,MATCH(I1514,I:I,0)-1,1)),"")</f>
        <v>#NAME?</v>
      </c>
      <c r="I1514" s="200" t="str">
        <f>IF(OR(B1514=リスト!$C$5,B1514=リスト!$C$6),COUNTIF($B$9:B1514,リスト!$C$5)+COUNTIF($B$9:B1514,リスト!$C$6),"")</f>
        <v/>
      </c>
    </row>
    <row r="1515" spans="2:9" x14ac:dyDescent="0.2">
      <c r="B1515" s="196"/>
      <c r="C1515" s="197"/>
      <c r="D1515" s="197"/>
      <c r="E1515" s="198" t="e">
        <f ca="1">mif(OR(C1515="",B1515=リスト!$C$7),"",B1515="","RF",OR(B1515=リスト!$C$5,B1515=リスト!$C$6),COUNTBLANK(INDEX(B:B,MATCH(I1515-1,I:I,0)+1,1):INDEX(B:B,MATCH(I1515,I:I,0)-1,1)),"")</f>
        <v>#NAME?</v>
      </c>
      <c r="F1515" s="199" t="s">
        <v>189</v>
      </c>
      <c r="G1515" s="140" t="e">
        <f ca="1">mif(C1515="","",OR(B1515=リスト!$C$5,B1515=リスト!$C$6),SUM(INDEX(G:G,MATCH(I1515-1,I:I,0)+1,1):INDEX(G:G,MATCH(I1515,I:I,0)-1,1)),D1515-C1515)</f>
        <v>#NAME?</v>
      </c>
      <c r="H1515" s="140" t="e">
        <f ca="1">mif(C1515="","",B1515=リスト!$C$5,SUMIF(INDEX(B:B,MATCH(I1515-1,I:I,0)+1,1):INDEX(B:B,MATCH(I1515,I:I,0)-1,1),リスト!$C$7,INDEX(G:G,MATCH(I1515-1,I:I,0)+1,1):INDEX(G:G,MATCH(I1515,I:I,0)-1,1)),"")</f>
        <v>#NAME?</v>
      </c>
      <c r="I1515" s="200" t="str">
        <f>IF(OR(B1515=リスト!$C$5,B1515=リスト!$C$6),COUNTIF($B$9:B1515,リスト!$C$5)+COUNTIF($B$9:B1515,リスト!$C$6),"")</f>
        <v/>
      </c>
    </row>
    <row r="1516" spans="2:9" x14ac:dyDescent="0.2">
      <c r="B1516" s="196"/>
      <c r="C1516" s="197"/>
      <c r="D1516" s="197"/>
      <c r="E1516" s="198" t="e">
        <f ca="1">mif(OR(C1516="",B1516=リスト!$C$7),"",B1516="","RF",OR(B1516=リスト!$C$5,B1516=リスト!$C$6),COUNTBLANK(INDEX(B:B,MATCH(I1516-1,I:I,0)+1,1):INDEX(B:B,MATCH(I1516,I:I,0)-1,1)),"")</f>
        <v>#NAME?</v>
      </c>
      <c r="F1516" s="199" t="s">
        <v>189</v>
      </c>
      <c r="G1516" s="140" t="e">
        <f ca="1">mif(C1516="","",OR(B1516=リスト!$C$5,B1516=リスト!$C$6),SUM(INDEX(G:G,MATCH(I1516-1,I:I,0)+1,1):INDEX(G:G,MATCH(I1516,I:I,0)-1,1)),D1516-C1516)</f>
        <v>#NAME?</v>
      </c>
      <c r="H1516" s="140" t="e">
        <f ca="1">mif(C1516="","",B1516=リスト!$C$5,SUMIF(INDEX(B:B,MATCH(I1516-1,I:I,0)+1,1):INDEX(B:B,MATCH(I1516,I:I,0)-1,1),リスト!$C$7,INDEX(G:G,MATCH(I1516-1,I:I,0)+1,1):INDEX(G:G,MATCH(I1516,I:I,0)-1,1)),"")</f>
        <v>#NAME?</v>
      </c>
      <c r="I1516" s="200" t="str">
        <f>IF(OR(B1516=リスト!$C$5,B1516=リスト!$C$6),COUNTIF($B$9:B1516,リスト!$C$5)+COUNTIF($B$9:B1516,リスト!$C$6),"")</f>
        <v/>
      </c>
    </row>
    <row r="1517" spans="2:9" x14ac:dyDescent="0.2">
      <c r="B1517" s="196"/>
      <c r="C1517" s="197"/>
      <c r="D1517" s="197"/>
      <c r="E1517" s="198" t="e">
        <f ca="1">mif(OR(C1517="",B1517=リスト!$C$7),"",B1517="","RF",OR(B1517=リスト!$C$5,B1517=リスト!$C$6),COUNTBLANK(INDEX(B:B,MATCH(I1517-1,I:I,0)+1,1):INDEX(B:B,MATCH(I1517,I:I,0)-1,1)),"")</f>
        <v>#NAME?</v>
      </c>
      <c r="F1517" s="199" t="s">
        <v>189</v>
      </c>
      <c r="G1517" s="140" t="e">
        <f ca="1">mif(C1517="","",OR(B1517=リスト!$C$5,B1517=リスト!$C$6),SUM(INDEX(G:G,MATCH(I1517-1,I:I,0)+1,1):INDEX(G:G,MATCH(I1517,I:I,0)-1,1)),D1517-C1517)</f>
        <v>#NAME?</v>
      </c>
      <c r="H1517" s="140" t="e">
        <f ca="1">mif(C1517="","",B1517=リスト!$C$5,SUMIF(INDEX(B:B,MATCH(I1517-1,I:I,0)+1,1):INDEX(B:B,MATCH(I1517,I:I,0)-1,1),リスト!$C$7,INDEX(G:G,MATCH(I1517-1,I:I,0)+1,1):INDEX(G:G,MATCH(I1517,I:I,0)-1,1)),"")</f>
        <v>#NAME?</v>
      </c>
      <c r="I1517" s="200" t="str">
        <f>IF(OR(B1517=リスト!$C$5,B1517=リスト!$C$6),COUNTIF($B$9:B1517,リスト!$C$5)+COUNTIF($B$9:B1517,リスト!$C$6),"")</f>
        <v/>
      </c>
    </row>
    <row r="1518" spans="2:9" x14ac:dyDescent="0.2">
      <c r="B1518" s="196"/>
      <c r="C1518" s="197"/>
      <c r="D1518" s="197"/>
      <c r="E1518" s="198" t="e">
        <f ca="1">mif(OR(C1518="",B1518=リスト!$C$7),"",B1518="","RF",OR(B1518=リスト!$C$5,B1518=リスト!$C$6),COUNTBLANK(INDEX(B:B,MATCH(I1518-1,I:I,0)+1,1):INDEX(B:B,MATCH(I1518,I:I,0)-1,1)),"")</f>
        <v>#NAME?</v>
      </c>
      <c r="F1518" s="199" t="s">
        <v>189</v>
      </c>
      <c r="G1518" s="140" t="e">
        <f ca="1">mif(C1518="","",OR(B1518=リスト!$C$5,B1518=リスト!$C$6),SUM(INDEX(G:G,MATCH(I1518-1,I:I,0)+1,1):INDEX(G:G,MATCH(I1518,I:I,0)-1,1)),D1518-C1518)</f>
        <v>#NAME?</v>
      </c>
      <c r="H1518" s="140" t="e">
        <f ca="1">mif(C1518="","",B1518=リスト!$C$5,SUMIF(INDEX(B:B,MATCH(I1518-1,I:I,0)+1,1):INDEX(B:B,MATCH(I1518,I:I,0)-1,1),リスト!$C$7,INDEX(G:G,MATCH(I1518-1,I:I,0)+1,1):INDEX(G:G,MATCH(I1518,I:I,0)-1,1)),"")</f>
        <v>#NAME?</v>
      </c>
      <c r="I1518" s="200" t="str">
        <f>IF(OR(B1518=リスト!$C$5,B1518=リスト!$C$6),COUNTIF($B$9:B1518,リスト!$C$5)+COUNTIF($B$9:B1518,リスト!$C$6),"")</f>
        <v/>
      </c>
    </row>
    <row r="1519" spans="2:9" x14ac:dyDescent="0.2">
      <c r="B1519" s="196"/>
      <c r="C1519" s="197"/>
      <c r="D1519" s="197"/>
      <c r="E1519" s="198" t="e">
        <f ca="1">mif(OR(C1519="",B1519=リスト!$C$7),"",B1519="","RF",OR(B1519=リスト!$C$5,B1519=リスト!$C$6),COUNTBLANK(INDEX(B:B,MATCH(I1519-1,I:I,0)+1,1):INDEX(B:B,MATCH(I1519,I:I,0)-1,1)),"")</f>
        <v>#NAME?</v>
      </c>
      <c r="F1519" s="199" t="s">
        <v>189</v>
      </c>
      <c r="G1519" s="140" t="e">
        <f ca="1">mif(C1519="","",OR(B1519=リスト!$C$5,B1519=リスト!$C$6),SUM(INDEX(G:G,MATCH(I1519-1,I:I,0)+1,1):INDEX(G:G,MATCH(I1519,I:I,0)-1,1)),D1519-C1519)</f>
        <v>#NAME?</v>
      </c>
      <c r="H1519" s="140" t="e">
        <f ca="1">mif(C1519="","",B1519=リスト!$C$5,SUMIF(INDEX(B:B,MATCH(I1519-1,I:I,0)+1,1):INDEX(B:B,MATCH(I1519,I:I,0)-1,1),リスト!$C$7,INDEX(G:G,MATCH(I1519-1,I:I,0)+1,1):INDEX(G:G,MATCH(I1519,I:I,0)-1,1)),"")</f>
        <v>#NAME?</v>
      </c>
      <c r="I1519" s="200" t="str">
        <f>IF(OR(B1519=リスト!$C$5,B1519=リスト!$C$6),COUNTIF($B$9:B1519,リスト!$C$5)+COUNTIF($B$9:B1519,リスト!$C$6),"")</f>
        <v/>
      </c>
    </row>
    <row r="1520" spans="2:9" x14ac:dyDescent="0.2">
      <c r="B1520" s="196"/>
      <c r="C1520" s="197"/>
      <c r="D1520" s="197"/>
      <c r="E1520" s="198" t="e">
        <f ca="1">mif(OR(C1520="",B1520=リスト!$C$7),"",B1520="","RF",OR(B1520=リスト!$C$5,B1520=リスト!$C$6),COUNTBLANK(INDEX(B:B,MATCH(I1520-1,I:I,0)+1,1):INDEX(B:B,MATCH(I1520,I:I,0)-1,1)),"")</f>
        <v>#NAME?</v>
      </c>
      <c r="F1520" s="199" t="s">
        <v>189</v>
      </c>
      <c r="G1520" s="140" t="e">
        <f ca="1">mif(C1520="","",OR(B1520=リスト!$C$5,B1520=リスト!$C$6),SUM(INDEX(G:G,MATCH(I1520-1,I:I,0)+1,1):INDEX(G:G,MATCH(I1520,I:I,0)-1,1)),D1520-C1520)</f>
        <v>#NAME?</v>
      </c>
      <c r="H1520" s="140" t="e">
        <f ca="1">mif(C1520="","",B1520=リスト!$C$5,SUMIF(INDEX(B:B,MATCH(I1520-1,I:I,0)+1,1):INDEX(B:B,MATCH(I1520,I:I,0)-1,1),リスト!$C$7,INDEX(G:G,MATCH(I1520-1,I:I,0)+1,1):INDEX(G:G,MATCH(I1520,I:I,0)-1,1)),"")</f>
        <v>#NAME?</v>
      </c>
      <c r="I1520" s="200" t="str">
        <f>IF(OR(B1520=リスト!$C$5,B1520=リスト!$C$6),COUNTIF($B$9:B1520,リスト!$C$5)+COUNTIF($B$9:B1520,リスト!$C$6),"")</f>
        <v/>
      </c>
    </row>
    <row r="1521" spans="2:9" x14ac:dyDescent="0.2">
      <c r="B1521" s="196"/>
      <c r="C1521" s="197"/>
      <c r="D1521" s="197"/>
      <c r="E1521" s="198" t="e">
        <f ca="1">mif(OR(C1521="",B1521=リスト!$C$7),"",B1521="","RF",OR(B1521=リスト!$C$5,B1521=リスト!$C$6),COUNTBLANK(INDEX(B:B,MATCH(I1521-1,I:I,0)+1,1):INDEX(B:B,MATCH(I1521,I:I,0)-1,1)),"")</f>
        <v>#NAME?</v>
      </c>
      <c r="F1521" s="199" t="s">
        <v>189</v>
      </c>
      <c r="G1521" s="140" t="e">
        <f ca="1">mif(C1521="","",OR(B1521=リスト!$C$5,B1521=リスト!$C$6),SUM(INDEX(G:G,MATCH(I1521-1,I:I,0)+1,1):INDEX(G:G,MATCH(I1521,I:I,0)-1,1)),D1521-C1521)</f>
        <v>#NAME?</v>
      </c>
      <c r="H1521" s="140" t="e">
        <f ca="1">mif(C1521="","",B1521=リスト!$C$5,SUMIF(INDEX(B:B,MATCH(I1521-1,I:I,0)+1,1):INDEX(B:B,MATCH(I1521,I:I,0)-1,1),リスト!$C$7,INDEX(G:G,MATCH(I1521-1,I:I,0)+1,1):INDEX(G:G,MATCH(I1521,I:I,0)-1,1)),"")</f>
        <v>#NAME?</v>
      </c>
      <c r="I1521" s="200" t="str">
        <f>IF(OR(B1521=リスト!$C$5,B1521=リスト!$C$6),COUNTIF($B$9:B1521,リスト!$C$5)+COUNTIF($B$9:B1521,リスト!$C$6),"")</f>
        <v/>
      </c>
    </row>
    <row r="1522" spans="2:9" x14ac:dyDescent="0.2">
      <c r="B1522" s="196"/>
      <c r="C1522" s="197"/>
      <c r="D1522" s="197"/>
      <c r="E1522" s="198" t="e">
        <f ca="1">mif(OR(C1522="",B1522=リスト!$C$7),"",B1522="","RF",OR(B1522=リスト!$C$5,B1522=リスト!$C$6),COUNTBLANK(INDEX(B:B,MATCH(I1522-1,I:I,0)+1,1):INDEX(B:B,MATCH(I1522,I:I,0)-1,1)),"")</f>
        <v>#NAME?</v>
      </c>
      <c r="F1522" s="199" t="s">
        <v>189</v>
      </c>
      <c r="G1522" s="140" t="e">
        <f ca="1">mif(C1522="","",OR(B1522=リスト!$C$5,B1522=リスト!$C$6),SUM(INDEX(G:G,MATCH(I1522-1,I:I,0)+1,1):INDEX(G:G,MATCH(I1522,I:I,0)-1,1)),D1522-C1522)</f>
        <v>#NAME?</v>
      </c>
      <c r="H1522" s="140" t="e">
        <f ca="1">mif(C1522="","",B1522=リスト!$C$5,SUMIF(INDEX(B:B,MATCH(I1522-1,I:I,0)+1,1):INDEX(B:B,MATCH(I1522,I:I,0)-1,1),リスト!$C$7,INDEX(G:G,MATCH(I1522-1,I:I,0)+1,1):INDEX(G:G,MATCH(I1522,I:I,0)-1,1)),"")</f>
        <v>#NAME?</v>
      </c>
      <c r="I1522" s="200" t="str">
        <f>IF(OR(B1522=リスト!$C$5,B1522=リスト!$C$6),COUNTIF($B$9:B1522,リスト!$C$5)+COUNTIF($B$9:B1522,リスト!$C$6),"")</f>
        <v/>
      </c>
    </row>
    <row r="1523" spans="2:9" x14ac:dyDescent="0.2">
      <c r="B1523" s="196"/>
      <c r="C1523" s="197"/>
      <c r="D1523" s="197"/>
      <c r="E1523" s="198" t="e">
        <f ca="1">mif(OR(C1523="",B1523=リスト!$C$7),"",B1523="","RF",OR(B1523=リスト!$C$5,B1523=リスト!$C$6),COUNTBLANK(INDEX(B:B,MATCH(I1523-1,I:I,0)+1,1):INDEX(B:B,MATCH(I1523,I:I,0)-1,1)),"")</f>
        <v>#NAME?</v>
      </c>
      <c r="F1523" s="199" t="s">
        <v>189</v>
      </c>
      <c r="G1523" s="140" t="e">
        <f ca="1">mif(C1523="","",OR(B1523=リスト!$C$5,B1523=リスト!$C$6),SUM(INDEX(G:G,MATCH(I1523-1,I:I,0)+1,1):INDEX(G:G,MATCH(I1523,I:I,0)-1,1)),D1523-C1523)</f>
        <v>#NAME?</v>
      </c>
      <c r="H1523" s="140" t="e">
        <f ca="1">mif(C1523="","",B1523=リスト!$C$5,SUMIF(INDEX(B:B,MATCH(I1523-1,I:I,0)+1,1):INDEX(B:B,MATCH(I1523,I:I,0)-1,1),リスト!$C$7,INDEX(G:G,MATCH(I1523-1,I:I,0)+1,1):INDEX(G:G,MATCH(I1523,I:I,0)-1,1)),"")</f>
        <v>#NAME?</v>
      </c>
      <c r="I1523" s="200" t="str">
        <f>IF(OR(B1523=リスト!$C$5,B1523=リスト!$C$6),COUNTIF($B$9:B1523,リスト!$C$5)+COUNTIF($B$9:B1523,リスト!$C$6),"")</f>
        <v/>
      </c>
    </row>
    <row r="1524" spans="2:9" x14ac:dyDescent="0.2">
      <c r="B1524" s="196"/>
      <c r="C1524" s="197"/>
      <c r="D1524" s="197"/>
      <c r="E1524" s="198" t="e">
        <f ca="1">mif(OR(C1524="",B1524=リスト!$C$7),"",B1524="","RF",OR(B1524=リスト!$C$5,B1524=リスト!$C$6),COUNTBLANK(INDEX(B:B,MATCH(I1524-1,I:I,0)+1,1):INDEX(B:B,MATCH(I1524,I:I,0)-1,1)),"")</f>
        <v>#NAME?</v>
      </c>
      <c r="F1524" s="199" t="s">
        <v>189</v>
      </c>
      <c r="G1524" s="140" t="e">
        <f ca="1">mif(C1524="","",OR(B1524=リスト!$C$5,B1524=リスト!$C$6),SUM(INDEX(G:G,MATCH(I1524-1,I:I,0)+1,1):INDEX(G:G,MATCH(I1524,I:I,0)-1,1)),D1524-C1524)</f>
        <v>#NAME?</v>
      </c>
      <c r="H1524" s="140" t="e">
        <f ca="1">mif(C1524="","",B1524=リスト!$C$5,SUMIF(INDEX(B:B,MATCH(I1524-1,I:I,0)+1,1):INDEX(B:B,MATCH(I1524,I:I,0)-1,1),リスト!$C$7,INDEX(G:G,MATCH(I1524-1,I:I,0)+1,1):INDEX(G:G,MATCH(I1524,I:I,0)-1,1)),"")</f>
        <v>#NAME?</v>
      </c>
      <c r="I1524" s="200" t="str">
        <f>IF(OR(B1524=リスト!$C$5,B1524=リスト!$C$6),COUNTIF($B$9:B1524,リスト!$C$5)+COUNTIF($B$9:B1524,リスト!$C$6),"")</f>
        <v/>
      </c>
    </row>
    <row r="1525" spans="2:9" x14ac:dyDescent="0.2">
      <c r="B1525" s="196"/>
      <c r="C1525" s="197"/>
      <c r="D1525" s="197"/>
      <c r="E1525" s="198" t="e">
        <f ca="1">mif(OR(C1525="",B1525=リスト!$C$7),"",B1525="","RF",OR(B1525=リスト!$C$5,B1525=リスト!$C$6),COUNTBLANK(INDEX(B:B,MATCH(I1525-1,I:I,0)+1,1):INDEX(B:B,MATCH(I1525,I:I,0)-1,1)),"")</f>
        <v>#NAME?</v>
      </c>
      <c r="F1525" s="199" t="s">
        <v>189</v>
      </c>
      <c r="G1525" s="140" t="e">
        <f ca="1">mif(C1525="","",OR(B1525=リスト!$C$5,B1525=リスト!$C$6),SUM(INDEX(G:G,MATCH(I1525-1,I:I,0)+1,1):INDEX(G:G,MATCH(I1525,I:I,0)-1,1)),D1525-C1525)</f>
        <v>#NAME?</v>
      </c>
      <c r="H1525" s="140" t="e">
        <f ca="1">mif(C1525="","",B1525=リスト!$C$5,SUMIF(INDEX(B:B,MATCH(I1525-1,I:I,0)+1,1):INDEX(B:B,MATCH(I1525,I:I,0)-1,1),リスト!$C$7,INDEX(G:G,MATCH(I1525-1,I:I,0)+1,1):INDEX(G:G,MATCH(I1525,I:I,0)-1,1)),"")</f>
        <v>#NAME?</v>
      </c>
      <c r="I1525" s="200" t="str">
        <f>IF(OR(B1525=リスト!$C$5,B1525=リスト!$C$6),COUNTIF($B$9:B1525,リスト!$C$5)+COUNTIF($B$9:B1525,リスト!$C$6),"")</f>
        <v/>
      </c>
    </row>
    <row r="1526" spans="2:9" x14ac:dyDescent="0.2">
      <c r="B1526" s="196"/>
      <c r="C1526" s="197"/>
      <c r="D1526" s="197"/>
      <c r="E1526" s="198" t="e">
        <f ca="1">mif(OR(C1526="",B1526=リスト!$C$7),"",B1526="","RF",OR(B1526=リスト!$C$5,B1526=リスト!$C$6),COUNTBLANK(INDEX(B:B,MATCH(I1526-1,I:I,0)+1,1):INDEX(B:B,MATCH(I1526,I:I,0)-1,1)),"")</f>
        <v>#NAME?</v>
      </c>
      <c r="F1526" s="199" t="s">
        <v>189</v>
      </c>
      <c r="G1526" s="140" t="e">
        <f ca="1">mif(C1526="","",OR(B1526=リスト!$C$5,B1526=リスト!$C$6),SUM(INDEX(G:G,MATCH(I1526-1,I:I,0)+1,1):INDEX(G:G,MATCH(I1526,I:I,0)-1,1)),D1526-C1526)</f>
        <v>#NAME?</v>
      </c>
      <c r="H1526" s="140" t="e">
        <f ca="1">mif(C1526="","",B1526=リスト!$C$5,SUMIF(INDEX(B:B,MATCH(I1526-1,I:I,0)+1,1):INDEX(B:B,MATCH(I1526,I:I,0)-1,1),リスト!$C$7,INDEX(G:G,MATCH(I1526-1,I:I,0)+1,1):INDEX(G:G,MATCH(I1526,I:I,0)-1,1)),"")</f>
        <v>#NAME?</v>
      </c>
      <c r="I1526" s="200" t="str">
        <f>IF(OR(B1526=リスト!$C$5,B1526=リスト!$C$6),COUNTIF($B$9:B1526,リスト!$C$5)+COUNTIF($B$9:B1526,リスト!$C$6),"")</f>
        <v/>
      </c>
    </row>
    <row r="1527" spans="2:9" x14ac:dyDescent="0.2">
      <c r="B1527" s="196"/>
      <c r="C1527" s="197"/>
      <c r="D1527" s="197"/>
      <c r="E1527" s="198" t="e">
        <f ca="1">mif(OR(C1527="",B1527=リスト!$C$7),"",B1527="","RF",OR(B1527=リスト!$C$5,B1527=リスト!$C$6),COUNTBLANK(INDEX(B:B,MATCH(I1527-1,I:I,0)+1,1):INDEX(B:B,MATCH(I1527,I:I,0)-1,1)),"")</f>
        <v>#NAME?</v>
      </c>
      <c r="F1527" s="199" t="s">
        <v>189</v>
      </c>
      <c r="G1527" s="140" t="e">
        <f ca="1">mif(C1527="","",OR(B1527=リスト!$C$5,B1527=リスト!$C$6),SUM(INDEX(G:G,MATCH(I1527-1,I:I,0)+1,1):INDEX(G:G,MATCH(I1527,I:I,0)-1,1)),D1527-C1527)</f>
        <v>#NAME?</v>
      </c>
      <c r="H1527" s="140" t="e">
        <f ca="1">mif(C1527="","",B1527=リスト!$C$5,SUMIF(INDEX(B:B,MATCH(I1527-1,I:I,0)+1,1):INDEX(B:B,MATCH(I1527,I:I,0)-1,1),リスト!$C$7,INDEX(G:G,MATCH(I1527-1,I:I,0)+1,1):INDEX(G:G,MATCH(I1527,I:I,0)-1,1)),"")</f>
        <v>#NAME?</v>
      </c>
      <c r="I1527" s="200" t="str">
        <f>IF(OR(B1527=リスト!$C$5,B1527=リスト!$C$6),COUNTIF($B$9:B1527,リスト!$C$5)+COUNTIF($B$9:B1527,リスト!$C$6),"")</f>
        <v/>
      </c>
    </row>
    <row r="1528" spans="2:9" x14ac:dyDescent="0.2">
      <c r="B1528" s="196"/>
      <c r="C1528" s="197"/>
      <c r="D1528" s="197"/>
      <c r="E1528" s="198" t="e">
        <f ca="1">mif(OR(C1528="",B1528=リスト!$C$7),"",B1528="","RF",OR(B1528=リスト!$C$5,B1528=リスト!$C$6),COUNTBLANK(INDEX(B:B,MATCH(I1528-1,I:I,0)+1,1):INDEX(B:B,MATCH(I1528,I:I,0)-1,1)),"")</f>
        <v>#NAME?</v>
      </c>
      <c r="F1528" s="199" t="s">
        <v>189</v>
      </c>
      <c r="G1528" s="140" t="e">
        <f ca="1">mif(C1528="","",OR(B1528=リスト!$C$5,B1528=リスト!$C$6),SUM(INDEX(G:G,MATCH(I1528-1,I:I,0)+1,1):INDEX(G:G,MATCH(I1528,I:I,0)-1,1)),D1528-C1528)</f>
        <v>#NAME?</v>
      </c>
      <c r="H1528" s="140" t="e">
        <f ca="1">mif(C1528="","",B1528=リスト!$C$5,SUMIF(INDEX(B:B,MATCH(I1528-1,I:I,0)+1,1):INDEX(B:B,MATCH(I1528,I:I,0)-1,1),リスト!$C$7,INDEX(G:G,MATCH(I1528-1,I:I,0)+1,1):INDEX(G:G,MATCH(I1528,I:I,0)-1,1)),"")</f>
        <v>#NAME?</v>
      </c>
      <c r="I1528" s="200" t="str">
        <f>IF(OR(B1528=リスト!$C$5,B1528=リスト!$C$6),COUNTIF($B$9:B1528,リスト!$C$5)+COUNTIF($B$9:B1528,リスト!$C$6),"")</f>
        <v/>
      </c>
    </row>
    <row r="1529" spans="2:9" x14ac:dyDescent="0.2">
      <c r="B1529" s="196"/>
      <c r="C1529" s="197"/>
      <c r="D1529" s="197"/>
      <c r="E1529" s="198" t="e">
        <f ca="1">mif(OR(C1529="",B1529=リスト!$C$7),"",B1529="","RF",OR(B1529=リスト!$C$5,B1529=リスト!$C$6),COUNTBLANK(INDEX(B:B,MATCH(I1529-1,I:I,0)+1,1):INDEX(B:B,MATCH(I1529,I:I,0)-1,1)),"")</f>
        <v>#NAME?</v>
      </c>
      <c r="F1529" s="199" t="s">
        <v>189</v>
      </c>
      <c r="G1529" s="140" t="e">
        <f ca="1">mif(C1529="","",OR(B1529=リスト!$C$5,B1529=リスト!$C$6),SUM(INDEX(G:G,MATCH(I1529-1,I:I,0)+1,1):INDEX(G:G,MATCH(I1529,I:I,0)-1,1)),D1529-C1529)</f>
        <v>#NAME?</v>
      </c>
      <c r="H1529" s="140" t="e">
        <f ca="1">mif(C1529="","",B1529=リスト!$C$5,SUMIF(INDEX(B:B,MATCH(I1529-1,I:I,0)+1,1):INDEX(B:B,MATCH(I1529,I:I,0)-1,1),リスト!$C$7,INDEX(G:G,MATCH(I1529-1,I:I,0)+1,1):INDEX(G:G,MATCH(I1529,I:I,0)-1,1)),"")</f>
        <v>#NAME?</v>
      </c>
      <c r="I1529" s="200" t="str">
        <f>IF(OR(B1529=リスト!$C$5,B1529=リスト!$C$6),COUNTIF($B$9:B1529,リスト!$C$5)+COUNTIF($B$9:B1529,リスト!$C$6),"")</f>
        <v/>
      </c>
    </row>
    <row r="1530" spans="2:9" x14ac:dyDescent="0.2">
      <c r="B1530" s="196"/>
      <c r="C1530" s="197"/>
      <c r="D1530" s="197"/>
      <c r="E1530" s="198" t="e">
        <f ca="1">mif(OR(C1530="",B1530=リスト!$C$7),"",B1530="","RF",OR(B1530=リスト!$C$5,B1530=リスト!$C$6),COUNTBLANK(INDEX(B:B,MATCH(I1530-1,I:I,0)+1,1):INDEX(B:B,MATCH(I1530,I:I,0)-1,1)),"")</f>
        <v>#NAME?</v>
      </c>
      <c r="F1530" s="199" t="s">
        <v>189</v>
      </c>
      <c r="G1530" s="140" t="e">
        <f ca="1">mif(C1530="","",OR(B1530=リスト!$C$5,B1530=リスト!$C$6),SUM(INDEX(G:G,MATCH(I1530-1,I:I,0)+1,1):INDEX(G:G,MATCH(I1530,I:I,0)-1,1)),D1530-C1530)</f>
        <v>#NAME?</v>
      </c>
      <c r="H1530" s="140" t="e">
        <f ca="1">mif(C1530="","",B1530=リスト!$C$5,SUMIF(INDEX(B:B,MATCH(I1530-1,I:I,0)+1,1):INDEX(B:B,MATCH(I1530,I:I,0)-1,1),リスト!$C$7,INDEX(G:G,MATCH(I1530-1,I:I,0)+1,1):INDEX(G:G,MATCH(I1530,I:I,0)-1,1)),"")</f>
        <v>#NAME?</v>
      </c>
      <c r="I1530" s="200" t="str">
        <f>IF(OR(B1530=リスト!$C$5,B1530=リスト!$C$6),COUNTIF($B$9:B1530,リスト!$C$5)+COUNTIF($B$9:B1530,リスト!$C$6),"")</f>
        <v/>
      </c>
    </row>
    <row r="1531" spans="2:9" x14ac:dyDescent="0.2">
      <c r="B1531" s="196"/>
      <c r="C1531" s="197"/>
      <c r="D1531" s="197"/>
      <c r="E1531" s="198" t="e">
        <f ca="1">mif(OR(C1531="",B1531=リスト!$C$7),"",B1531="","RF",OR(B1531=リスト!$C$5,B1531=リスト!$C$6),COUNTBLANK(INDEX(B:B,MATCH(I1531-1,I:I,0)+1,1):INDEX(B:B,MATCH(I1531,I:I,0)-1,1)),"")</f>
        <v>#NAME?</v>
      </c>
      <c r="F1531" s="199" t="s">
        <v>189</v>
      </c>
      <c r="G1531" s="140" t="e">
        <f ca="1">mif(C1531="","",OR(B1531=リスト!$C$5,B1531=リスト!$C$6),SUM(INDEX(G:G,MATCH(I1531-1,I:I,0)+1,1):INDEX(G:G,MATCH(I1531,I:I,0)-1,1)),D1531-C1531)</f>
        <v>#NAME?</v>
      </c>
      <c r="H1531" s="140" t="e">
        <f ca="1">mif(C1531="","",B1531=リスト!$C$5,SUMIF(INDEX(B:B,MATCH(I1531-1,I:I,0)+1,1):INDEX(B:B,MATCH(I1531,I:I,0)-1,1),リスト!$C$7,INDEX(G:G,MATCH(I1531-1,I:I,0)+1,1):INDEX(G:G,MATCH(I1531,I:I,0)-1,1)),"")</f>
        <v>#NAME?</v>
      </c>
      <c r="I1531" s="200" t="str">
        <f>IF(OR(B1531=リスト!$C$5,B1531=リスト!$C$6),COUNTIF($B$9:B1531,リスト!$C$5)+COUNTIF($B$9:B1531,リスト!$C$6),"")</f>
        <v/>
      </c>
    </row>
    <row r="1532" spans="2:9" x14ac:dyDescent="0.2">
      <c r="B1532" s="196"/>
      <c r="C1532" s="197"/>
      <c r="D1532" s="197"/>
      <c r="E1532" s="198" t="e">
        <f ca="1">mif(OR(C1532="",B1532=リスト!$C$7),"",B1532="","RF",OR(B1532=リスト!$C$5,B1532=リスト!$C$6),COUNTBLANK(INDEX(B:B,MATCH(I1532-1,I:I,0)+1,1):INDEX(B:B,MATCH(I1532,I:I,0)-1,1)),"")</f>
        <v>#NAME?</v>
      </c>
      <c r="F1532" s="199" t="s">
        <v>189</v>
      </c>
      <c r="G1532" s="140" t="e">
        <f ca="1">mif(C1532="","",OR(B1532=リスト!$C$5,B1532=リスト!$C$6),SUM(INDEX(G:G,MATCH(I1532-1,I:I,0)+1,1):INDEX(G:G,MATCH(I1532,I:I,0)-1,1)),D1532-C1532)</f>
        <v>#NAME?</v>
      </c>
      <c r="H1532" s="140" t="e">
        <f ca="1">mif(C1532="","",B1532=リスト!$C$5,SUMIF(INDEX(B:B,MATCH(I1532-1,I:I,0)+1,1):INDEX(B:B,MATCH(I1532,I:I,0)-1,1),リスト!$C$7,INDEX(G:G,MATCH(I1532-1,I:I,0)+1,1):INDEX(G:G,MATCH(I1532,I:I,0)-1,1)),"")</f>
        <v>#NAME?</v>
      </c>
      <c r="I1532" s="200" t="str">
        <f>IF(OR(B1532=リスト!$C$5,B1532=リスト!$C$6),COUNTIF($B$9:B1532,リスト!$C$5)+COUNTIF($B$9:B1532,リスト!$C$6),"")</f>
        <v/>
      </c>
    </row>
    <row r="1533" spans="2:9" x14ac:dyDescent="0.2">
      <c r="B1533" s="196"/>
      <c r="C1533" s="197"/>
      <c r="D1533" s="197"/>
      <c r="E1533" s="198" t="e">
        <f ca="1">mif(OR(C1533="",B1533=リスト!$C$7),"",B1533="","RF",OR(B1533=リスト!$C$5,B1533=リスト!$C$6),COUNTBLANK(INDEX(B:B,MATCH(I1533-1,I:I,0)+1,1):INDEX(B:B,MATCH(I1533,I:I,0)-1,1)),"")</f>
        <v>#NAME?</v>
      </c>
      <c r="F1533" s="199" t="s">
        <v>189</v>
      </c>
      <c r="G1533" s="140" t="e">
        <f ca="1">mif(C1533="","",OR(B1533=リスト!$C$5,B1533=リスト!$C$6),SUM(INDEX(G:G,MATCH(I1533-1,I:I,0)+1,1):INDEX(G:G,MATCH(I1533,I:I,0)-1,1)),D1533-C1533)</f>
        <v>#NAME?</v>
      </c>
      <c r="H1533" s="140" t="e">
        <f ca="1">mif(C1533="","",B1533=リスト!$C$5,SUMIF(INDEX(B:B,MATCH(I1533-1,I:I,0)+1,1):INDEX(B:B,MATCH(I1533,I:I,0)-1,1),リスト!$C$7,INDEX(G:G,MATCH(I1533-1,I:I,0)+1,1):INDEX(G:G,MATCH(I1533,I:I,0)-1,1)),"")</f>
        <v>#NAME?</v>
      </c>
      <c r="I1533" s="200" t="str">
        <f>IF(OR(B1533=リスト!$C$5,B1533=リスト!$C$6),COUNTIF($B$9:B1533,リスト!$C$5)+COUNTIF($B$9:B1533,リスト!$C$6),"")</f>
        <v/>
      </c>
    </row>
    <row r="1534" spans="2:9" x14ac:dyDescent="0.2">
      <c r="B1534" s="196"/>
      <c r="C1534" s="197"/>
      <c r="D1534" s="197"/>
      <c r="E1534" s="198" t="e">
        <f ca="1">mif(OR(C1534="",B1534=リスト!$C$7),"",B1534="","RF",OR(B1534=リスト!$C$5,B1534=リスト!$C$6),COUNTBLANK(INDEX(B:B,MATCH(I1534-1,I:I,0)+1,1):INDEX(B:B,MATCH(I1534,I:I,0)-1,1)),"")</f>
        <v>#NAME?</v>
      </c>
      <c r="F1534" s="199" t="s">
        <v>189</v>
      </c>
      <c r="G1534" s="140" t="e">
        <f ca="1">mif(C1534="","",OR(B1534=リスト!$C$5,B1534=リスト!$C$6),SUM(INDEX(G:G,MATCH(I1534-1,I:I,0)+1,1):INDEX(G:G,MATCH(I1534,I:I,0)-1,1)),D1534-C1534)</f>
        <v>#NAME?</v>
      </c>
      <c r="H1534" s="140" t="e">
        <f ca="1">mif(C1534="","",B1534=リスト!$C$5,SUMIF(INDEX(B:B,MATCH(I1534-1,I:I,0)+1,1):INDEX(B:B,MATCH(I1534,I:I,0)-1,1),リスト!$C$7,INDEX(G:G,MATCH(I1534-1,I:I,0)+1,1):INDEX(G:G,MATCH(I1534,I:I,0)-1,1)),"")</f>
        <v>#NAME?</v>
      </c>
      <c r="I1534" s="200" t="str">
        <f>IF(OR(B1534=リスト!$C$5,B1534=リスト!$C$6),COUNTIF($B$9:B1534,リスト!$C$5)+COUNTIF($B$9:B1534,リスト!$C$6),"")</f>
        <v/>
      </c>
    </row>
    <row r="1535" spans="2:9" x14ac:dyDescent="0.2">
      <c r="B1535" s="196"/>
      <c r="C1535" s="197"/>
      <c r="D1535" s="197"/>
      <c r="E1535" s="198" t="e">
        <f ca="1">mif(OR(C1535="",B1535=リスト!$C$7),"",B1535="","RF",OR(B1535=リスト!$C$5,B1535=リスト!$C$6),COUNTBLANK(INDEX(B:B,MATCH(I1535-1,I:I,0)+1,1):INDEX(B:B,MATCH(I1535,I:I,0)-1,1)),"")</f>
        <v>#NAME?</v>
      </c>
      <c r="F1535" s="199" t="s">
        <v>189</v>
      </c>
      <c r="G1535" s="140" t="e">
        <f ca="1">mif(C1535="","",OR(B1535=リスト!$C$5,B1535=リスト!$C$6),SUM(INDEX(G:G,MATCH(I1535-1,I:I,0)+1,1):INDEX(G:G,MATCH(I1535,I:I,0)-1,1)),D1535-C1535)</f>
        <v>#NAME?</v>
      </c>
      <c r="H1535" s="140" t="e">
        <f ca="1">mif(C1535="","",B1535=リスト!$C$5,SUMIF(INDEX(B:B,MATCH(I1535-1,I:I,0)+1,1):INDEX(B:B,MATCH(I1535,I:I,0)-1,1),リスト!$C$7,INDEX(G:G,MATCH(I1535-1,I:I,0)+1,1):INDEX(G:G,MATCH(I1535,I:I,0)-1,1)),"")</f>
        <v>#NAME?</v>
      </c>
      <c r="I1535" s="200" t="str">
        <f>IF(OR(B1535=リスト!$C$5,B1535=リスト!$C$6),COUNTIF($B$9:B1535,リスト!$C$5)+COUNTIF($B$9:B1535,リスト!$C$6),"")</f>
        <v/>
      </c>
    </row>
    <row r="1536" spans="2:9" x14ac:dyDescent="0.2">
      <c r="B1536" s="196"/>
      <c r="C1536" s="197"/>
      <c r="D1536" s="197"/>
      <c r="E1536" s="198" t="e">
        <f ca="1">mif(OR(C1536="",B1536=リスト!$C$7),"",B1536="","RF",OR(B1536=リスト!$C$5,B1536=リスト!$C$6),COUNTBLANK(INDEX(B:B,MATCH(I1536-1,I:I,0)+1,1):INDEX(B:B,MATCH(I1536,I:I,0)-1,1)),"")</f>
        <v>#NAME?</v>
      </c>
      <c r="F1536" s="199" t="s">
        <v>189</v>
      </c>
      <c r="G1536" s="140" t="e">
        <f ca="1">mif(C1536="","",OR(B1536=リスト!$C$5,B1536=リスト!$C$6),SUM(INDEX(G:G,MATCH(I1536-1,I:I,0)+1,1):INDEX(G:G,MATCH(I1536,I:I,0)-1,1)),D1536-C1536)</f>
        <v>#NAME?</v>
      </c>
      <c r="H1536" s="140" t="e">
        <f ca="1">mif(C1536="","",B1536=リスト!$C$5,SUMIF(INDEX(B:B,MATCH(I1536-1,I:I,0)+1,1):INDEX(B:B,MATCH(I1536,I:I,0)-1,1),リスト!$C$7,INDEX(G:G,MATCH(I1536-1,I:I,0)+1,1):INDEX(G:G,MATCH(I1536,I:I,0)-1,1)),"")</f>
        <v>#NAME?</v>
      </c>
      <c r="I1536" s="200" t="str">
        <f>IF(OR(B1536=リスト!$C$5,B1536=リスト!$C$6),COUNTIF($B$9:B1536,リスト!$C$5)+COUNTIF($B$9:B1536,リスト!$C$6),"")</f>
        <v/>
      </c>
    </row>
    <row r="1537" spans="2:9" x14ac:dyDescent="0.2">
      <c r="B1537" s="196"/>
      <c r="C1537" s="197"/>
      <c r="D1537" s="197"/>
      <c r="E1537" s="198" t="e">
        <f ca="1">mif(OR(C1537="",B1537=リスト!$C$7),"",B1537="","RF",OR(B1537=リスト!$C$5,B1537=リスト!$C$6),COUNTBLANK(INDEX(B:B,MATCH(I1537-1,I:I,0)+1,1):INDEX(B:B,MATCH(I1537,I:I,0)-1,1)),"")</f>
        <v>#NAME?</v>
      </c>
      <c r="F1537" s="199" t="s">
        <v>189</v>
      </c>
      <c r="G1537" s="140" t="e">
        <f ca="1">mif(C1537="","",OR(B1537=リスト!$C$5,B1537=リスト!$C$6),SUM(INDEX(G:G,MATCH(I1537-1,I:I,0)+1,1):INDEX(G:G,MATCH(I1537,I:I,0)-1,1)),D1537-C1537)</f>
        <v>#NAME?</v>
      </c>
      <c r="H1537" s="140" t="e">
        <f ca="1">mif(C1537="","",B1537=リスト!$C$5,SUMIF(INDEX(B:B,MATCH(I1537-1,I:I,0)+1,1):INDEX(B:B,MATCH(I1537,I:I,0)-1,1),リスト!$C$7,INDEX(G:G,MATCH(I1537-1,I:I,0)+1,1):INDEX(G:G,MATCH(I1537,I:I,0)-1,1)),"")</f>
        <v>#NAME?</v>
      </c>
      <c r="I1537" s="200" t="str">
        <f>IF(OR(B1537=リスト!$C$5,B1537=リスト!$C$6),COUNTIF($B$9:B1537,リスト!$C$5)+COUNTIF($B$9:B1537,リスト!$C$6),"")</f>
        <v/>
      </c>
    </row>
    <row r="1538" spans="2:9" x14ac:dyDescent="0.2">
      <c r="B1538" s="196"/>
      <c r="C1538" s="197"/>
      <c r="D1538" s="197"/>
      <c r="E1538" s="198" t="e">
        <f ca="1">mif(OR(C1538="",B1538=リスト!$C$7),"",B1538="","RF",OR(B1538=リスト!$C$5,B1538=リスト!$C$6),COUNTBLANK(INDEX(B:B,MATCH(I1538-1,I:I,0)+1,1):INDEX(B:B,MATCH(I1538,I:I,0)-1,1)),"")</f>
        <v>#NAME?</v>
      </c>
      <c r="F1538" s="199" t="s">
        <v>189</v>
      </c>
      <c r="G1538" s="140" t="e">
        <f ca="1">mif(C1538="","",OR(B1538=リスト!$C$5,B1538=リスト!$C$6),SUM(INDEX(G:G,MATCH(I1538-1,I:I,0)+1,1):INDEX(G:G,MATCH(I1538,I:I,0)-1,1)),D1538-C1538)</f>
        <v>#NAME?</v>
      </c>
      <c r="H1538" s="140" t="e">
        <f ca="1">mif(C1538="","",B1538=リスト!$C$5,SUMIF(INDEX(B:B,MATCH(I1538-1,I:I,0)+1,1):INDEX(B:B,MATCH(I1538,I:I,0)-1,1),リスト!$C$7,INDEX(G:G,MATCH(I1538-1,I:I,0)+1,1):INDEX(G:G,MATCH(I1538,I:I,0)-1,1)),"")</f>
        <v>#NAME?</v>
      </c>
      <c r="I1538" s="200" t="str">
        <f>IF(OR(B1538=リスト!$C$5,B1538=リスト!$C$6),COUNTIF($B$9:B1538,リスト!$C$5)+COUNTIF($B$9:B1538,リスト!$C$6),"")</f>
        <v/>
      </c>
    </row>
    <row r="1539" spans="2:9" x14ac:dyDescent="0.2">
      <c r="B1539" s="196"/>
      <c r="C1539" s="197"/>
      <c r="D1539" s="197"/>
      <c r="E1539" s="198" t="e">
        <f ca="1">mif(OR(C1539="",B1539=リスト!$C$7),"",B1539="","RF",OR(B1539=リスト!$C$5,B1539=リスト!$C$6),COUNTBLANK(INDEX(B:B,MATCH(I1539-1,I:I,0)+1,1):INDEX(B:B,MATCH(I1539,I:I,0)-1,1)),"")</f>
        <v>#NAME?</v>
      </c>
      <c r="F1539" s="199" t="s">
        <v>189</v>
      </c>
      <c r="G1539" s="140" t="e">
        <f ca="1">mif(C1539="","",OR(B1539=リスト!$C$5,B1539=リスト!$C$6),SUM(INDEX(G:G,MATCH(I1539-1,I:I,0)+1,1):INDEX(G:G,MATCH(I1539,I:I,0)-1,1)),D1539-C1539)</f>
        <v>#NAME?</v>
      </c>
      <c r="H1539" s="140" t="e">
        <f ca="1">mif(C1539="","",B1539=リスト!$C$5,SUMIF(INDEX(B:B,MATCH(I1539-1,I:I,0)+1,1):INDEX(B:B,MATCH(I1539,I:I,0)-1,1),リスト!$C$7,INDEX(G:G,MATCH(I1539-1,I:I,0)+1,1):INDEX(G:G,MATCH(I1539,I:I,0)-1,1)),"")</f>
        <v>#NAME?</v>
      </c>
      <c r="I1539" s="200" t="str">
        <f>IF(OR(B1539=リスト!$C$5,B1539=リスト!$C$6),COUNTIF($B$9:B1539,リスト!$C$5)+COUNTIF($B$9:B1539,リスト!$C$6),"")</f>
        <v/>
      </c>
    </row>
    <row r="1540" spans="2:9" x14ac:dyDescent="0.2">
      <c r="B1540" s="196"/>
      <c r="C1540" s="197"/>
      <c r="D1540" s="197"/>
      <c r="E1540" s="198" t="e">
        <f ca="1">mif(OR(C1540="",B1540=リスト!$C$7),"",B1540="","RF",OR(B1540=リスト!$C$5,B1540=リスト!$C$6),COUNTBLANK(INDEX(B:B,MATCH(I1540-1,I:I,0)+1,1):INDEX(B:B,MATCH(I1540,I:I,0)-1,1)),"")</f>
        <v>#NAME?</v>
      </c>
      <c r="F1540" s="199" t="s">
        <v>189</v>
      </c>
      <c r="G1540" s="140" t="e">
        <f ca="1">mif(C1540="","",OR(B1540=リスト!$C$5,B1540=リスト!$C$6),SUM(INDEX(G:G,MATCH(I1540-1,I:I,0)+1,1):INDEX(G:G,MATCH(I1540,I:I,0)-1,1)),D1540-C1540)</f>
        <v>#NAME?</v>
      </c>
      <c r="H1540" s="140" t="e">
        <f ca="1">mif(C1540="","",B1540=リスト!$C$5,SUMIF(INDEX(B:B,MATCH(I1540-1,I:I,0)+1,1):INDEX(B:B,MATCH(I1540,I:I,0)-1,1),リスト!$C$7,INDEX(G:G,MATCH(I1540-1,I:I,0)+1,1):INDEX(G:G,MATCH(I1540,I:I,0)-1,1)),"")</f>
        <v>#NAME?</v>
      </c>
      <c r="I1540" s="200" t="str">
        <f>IF(OR(B1540=リスト!$C$5,B1540=リスト!$C$6),COUNTIF($B$9:B1540,リスト!$C$5)+COUNTIF($B$9:B1540,リスト!$C$6),"")</f>
        <v/>
      </c>
    </row>
    <row r="1541" spans="2:9" x14ac:dyDescent="0.2">
      <c r="B1541" s="196"/>
      <c r="C1541" s="197"/>
      <c r="D1541" s="197"/>
      <c r="E1541" s="198" t="e">
        <f ca="1">mif(OR(C1541="",B1541=リスト!$C$7),"",B1541="","RF",OR(B1541=リスト!$C$5,B1541=リスト!$C$6),COUNTBLANK(INDEX(B:B,MATCH(I1541-1,I:I,0)+1,1):INDEX(B:B,MATCH(I1541,I:I,0)-1,1)),"")</f>
        <v>#NAME?</v>
      </c>
      <c r="F1541" s="199" t="s">
        <v>189</v>
      </c>
      <c r="G1541" s="140" t="e">
        <f ca="1">mif(C1541="","",OR(B1541=リスト!$C$5,B1541=リスト!$C$6),SUM(INDEX(G:G,MATCH(I1541-1,I:I,0)+1,1):INDEX(G:G,MATCH(I1541,I:I,0)-1,1)),D1541-C1541)</f>
        <v>#NAME?</v>
      </c>
      <c r="H1541" s="140" t="e">
        <f ca="1">mif(C1541="","",B1541=リスト!$C$5,SUMIF(INDEX(B:B,MATCH(I1541-1,I:I,0)+1,1):INDEX(B:B,MATCH(I1541,I:I,0)-1,1),リスト!$C$7,INDEX(G:G,MATCH(I1541-1,I:I,0)+1,1):INDEX(G:G,MATCH(I1541,I:I,0)-1,1)),"")</f>
        <v>#NAME?</v>
      </c>
      <c r="I1541" s="200" t="str">
        <f>IF(OR(B1541=リスト!$C$5,B1541=リスト!$C$6),COUNTIF($B$9:B1541,リスト!$C$5)+COUNTIF($B$9:B1541,リスト!$C$6),"")</f>
        <v/>
      </c>
    </row>
    <row r="1542" spans="2:9" x14ac:dyDescent="0.2">
      <c r="B1542" s="196"/>
      <c r="C1542" s="197"/>
      <c r="D1542" s="197"/>
      <c r="E1542" s="198" t="e">
        <f ca="1">mif(OR(C1542="",B1542=リスト!$C$7),"",B1542="","RF",OR(B1542=リスト!$C$5,B1542=リスト!$C$6),COUNTBLANK(INDEX(B:B,MATCH(I1542-1,I:I,0)+1,1):INDEX(B:B,MATCH(I1542,I:I,0)-1,1)),"")</f>
        <v>#NAME?</v>
      </c>
      <c r="F1542" s="199" t="s">
        <v>189</v>
      </c>
      <c r="G1542" s="140" t="e">
        <f ca="1">mif(C1542="","",OR(B1542=リスト!$C$5,B1542=リスト!$C$6),SUM(INDEX(G:G,MATCH(I1542-1,I:I,0)+1,1):INDEX(G:G,MATCH(I1542,I:I,0)-1,1)),D1542-C1542)</f>
        <v>#NAME?</v>
      </c>
      <c r="H1542" s="140" t="e">
        <f ca="1">mif(C1542="","",B1542=リスト!$C$5,SUMIF(INDEX(B:B,MATCH(I1542-1,I:I,0)+1,1):INDEX(B:B,MATCH(I1542,I:I,0)-1,1),リスト!$C$7,INDEX(G:G,MATCH(I1542-1,I:I,0)+1,1):INDEX(G:G,MATCH(I1542,I:I,0)-1,1)),"")</f>
        <v>#NAME?</v>
      </c>
      <c r="I1542" s="200" t="str">
        <f>IF(OR(B1542=リスト!$C$5,B1542=リスト!$C$6),COUNTIF($B$9:B1542,リスト!$C$5)+COUNTIF($B$9:B1542,リスト!$C$6),"")</f>
        <v/>
      </c>
    </row>
    <row r="1543" spans="2:9" x14ac:dyDescent="0.2">
      <c r="B1543" s="196"/>
      <c r="C1543" s="197"/>
      <c r="D1543" s="197"/>
      <c r="E1543" s="198" t="e">
        <f ca="1">mif(OR(C1543="",B1543=リスト!$C$7),"",B1543="","RF",OR(B1543=リスト!$C$5,B1543=リスト!$C$6),COUNTBLANK(INDEX(B:B,MATCH(I1543-1,I:I,0)+1,1):INDEX(B:B,MATCH(I1543,I:I,0)-1,1)),"")</f>
        <v>#NAME?</v>
      </c>
      <c r="F1543" s="199" t="s">
        <v>189</v>
      </c>
      <c r="G1543" s="140" t="e">
        <f ca="1">mif(C1543="","",OR(B1543=リスト!$C$5,B1543=リスト!$C$6),SUM(INDEX(G:G,MATCH(I1543-1,I:I,0)+1,1):INDEX(G:G,MATCH(I1543,I:I,0)-1,1)),D1543-C1543)</f>
        <v>#NAME?</v>
      </c>
      <c r="H1543" s="140" t="e">
        <f ca="1">mif(C1543="","",B1543=リスト!$C$5,SUMIF(INDEX(B:B,MATCH(I1543-1,I:I,0)+1,1):INDEX(B:B,MATCH(I1543,I:I,0)-1,1),リスト!$C$7,INDEX(G:G,MATCH(I1543-1,I:I,0)+1,1):INDEX(G:G,MATCH(I1543,I:I,0)-1,1)),"")</f>
        <v>#NAME?</v>
      </c>
      <c r="I1543" s="200" t="str">
        <f>IF(OR(B1543=リスト!$C$5,B1543=リスト!$C$6),COUNTIF($B$9:B1543,リスト!$C$5)+COUNTIF($B$9:B1543,リスト!$C$6),"")</f>
        <v/>
      </c>
    </row>
    <row r="1544" spans="2:9" x14ac:dyDescent="0.2">
      <c r="B1544" s="196"/>
      <c r="C1544" s="197"/>
      <c r="D1544" s="197"/>
      <c r="E1544" s="198" t="e">
        <f ca="1">mif(OR(C1544="",B1544=リスト!$C$7),"",B1544="","RF",OR(B1544=リスト!$C$5,B1544=リスト!$C$6),COUNTBLANK(INDEX(B:B,MATCH(I1544-1,I:I,0)+1,1):INDEX(B:B,MATCH(I1544,I:I,0)-1,1)),"")</f>
        <v>#NAME?</v>
      </c>
      <c r="F1544" s="199" t="s">
        <v>189</v>
      </c>
      <c r="G1544" s="140" t="e">
        <f ca="1">mif(C1544="","",OR(B1544=リスト!$C$5,B1544=リスト!$C$6),SUM(INDEX(G:G,MATCH(I1544-1,I:I,0)+1,1):INDEX(G:G,MATCH(I1544,I:I,0)-1,1)),D1544-C1544)</f>
        <v>#NAME?</v>
      </c>
      <c r="H1544" s="140" t="e">
        <f ca="1">mif(C1544="","",B1544=リスト!$C$5,SUMIF(INDEX(B:B,MATCH(I1544-1,I:I,0)+1,1):INDEX(B:B,MATCH(I1544,I:I,0)-1,1),リスト!$C$7,INDEX(G:G,MATCH(I1544-1,I:I,0)+1,1):INDEX(G:G,MATCH(I1544,I:I,0)-1,1)),"")</f>
        <v>#NAME?</v>
      </c>
      <c r="I1544" s="200" t="str">
        <f>IF(OR(B1544=リスト!$C$5,B1544=リスト!$C$6),COUNTIF($B$9:B1544,リスト!$C$5)+COUNTIF($B$9:B1544,リスト!$C$6),"")</f>
        <v/>
      </c>
    </row>
    <row r="1545" spans="2:9" x14ac:dyDescent="0.2">
      <c r="B1545" s="196"/>
      <c r="C1545" s="197"/>
      <c r="D1545" s="197"/>
      <c r="E1545" s="198" t="e">
        <f ca="1">mif(OR(C1545="",B1545=リスト!$C$7),"",B1545="","RF",OR(B1545=リスト!$C$5,B1545=リスト!$C$6),COUNTBLANK(INDEX(B:B,MATCH(I1545-1,I:I,0)+1,1):INDEX(B:B,MATCH(I1545,I:I,0)-1,1)),"")</f>
        <v>#NAME?</v>
      </c>
      <c r="F1545" s="199" t="s">
        <v>189</v>
      </c>
      <c r="G1545" s="140" t="e">
        <f ca="1">mif(C1545="","",OR(B1545=リスト!$C$5,B1545=リスト!$C$6),SUM(INDEX(G:G,MATCH(I1545-1,I:I,0)+1,1):INDEX(G:G,MATCH(I1545,I:I,0)-1,1)),D1545-C1545)</f>
        <v>#NAME?</v>
      </c>
      <c r="H1545" s="140" t="e">
        <f ca="1">mif(C1545="","",B1545=リスト!$C$5,SUMIF(INDEX(B:B,MATCH(I1545-1,I:I,0)+1,1):INDEX(B:B,MATCH(I1545,I:I,0)-1,1),リスト!$C$7,INDEX(G:G,MATCH(I1545-1,I:I,0)+1,1):INDEX(G:G,MATCH(I1545,I:I,0)-1,1)),"")</f>
        <v>#NAME?</v>
      </c>
      <c r="I1545" s="200" t="str">
        <f>IF(OR(B1545=リスト!$C$5,B1545=リスト!$C$6),COUNTIF($B$9:B1545,リスト!$C$5)+COUNTIF($B$9:B1545,リスト!$C$6),"")</f>
        <v/>
      </c>
    </row>
    <row r="1546" spans="2:9" x14ac:dyDescent="0.2">
      <c r="B1546" s="196"/>
      <c r="C1546" s="197"/>
      <c r="D1546" s="197"/>
      <c r="E1546" s="198" t="e">
        <f ca="1">mif(OR(C1546="",B1546=リスト!$C$7),"",B1546="","RF",OR(B1546=リスト!$C$5,B1546=リスト!$C$6),COUNTBLANK(INDEX(B:B,MATCH(I1546-1,I:I,0)+1,1):INDEX(B:B,MATCH(I1546,I:I,0)-1,1)),"")</f>
        <v>#NAME?</v>
      </c>
      <c r="F1546" s="199" t="s">
        <v>189</v>
      </c>
      <c r="G1546" s="140" t="e">
        <f ca="1">mif(C1546="","",OR(B1546=リスト!$C$5,B1546=リスト!$C$6),SUM(INDEX(G:G,MATCH(I1546-1,I:I,0)+1,1):INDEX(G:G,MATCH(I1546,I:I,0)-1,1)),D1546-C1546)</f>
        <v>#NAME?</v>
      </c>
      <c r="H1546" s="140" t="e">
        <f ca="1">mif(C1546="","",B1546=リスト!$C$5,SUMIF(INDEX(B:B,MATCH(I1546-1,I:I,0)+1,1):INDEX(B:B,MATCH(I1546,I:I,0)-1,1),リスト!$C$7,INDEX(G:G,MATCH(I1546-1,I:I,0)+1,1):INDEX(G:G,MATCH(I1546,I:I,0)-1,1)),"")</f>
        <v>#NAME?</v>
      </c>
      <c r="I1546" s="200" t="str">
        <f>IF(OR(B1546=リスト!$C$5,B1546=リスト!$C$6),COUNTIF($B$9:B1546,リスト!$C$5)+COUNTIF($B$9:B1546,リスト!$C$6),"")</f>
        <v/>
      </c>
    </row>
    <row r="1547" spans="2:9" x14ac:dyDescent="0.2">
      <c r="B1547" s="196"/>
      <c r="C1547" s="197"/>
      <c r="D1547" s="197"/>
      <c r="E1547" s="198" t="e">
        <f ca="1">mif(OR(C1547="",B1547=リスト!$C$7),"",B1547="","RF",OR(B1547=リスト!$C$5,B1547=リスト!$C$6),COUNTBLANK(INDEX(B:B,MATCH(I1547-1,I:I,0)+1,1):INDEX(B:B,MATCH(I1547,I:I,0)-1,1)),"")</f>
        <v>#NAME?</v>
      </c>
      <c r="F1547" s="199" t="s">
        <v>189</v>
      </c>
      <c r="G1547" s="140" t="e">
        <f ca="1">mif(C1547="","",OR(B1547=リスト!$C$5,B1547=リスト!$C$6),SUM(INDEX(G:G,MATCH(I1547-1,I:I,0)+1,1):INDEX(G:G,MATCH(I1547,I:I,0)-1,1)),D1547-C1547)</f>
        <v>#NAME?</v>
      </c>
      <c r="H1547" s="140" t="e">
        <f ca="1">mif(C1547="","",B1547=リスト!$C$5,SUMIF(INDEX(B:B,MATCH(I1547-1,I:I,0)+1,1):INDEX(B:B,MATCH(I1547,I:I,0)-1,1),リスト!$C$7,INDEX(G:G,MATCH(I1547-1,I:I,0)+1,1):INDEX(G:G,MATCH(I1547,I:I,0)-1,1)),"")</f>
        <v>#NAME?</v>
      </c>
      <c r="I1547" s="200" t="str">
        <f>IF(OR(B1547=リスト!$C$5,B1547=リスト!$C$6),COUNTIF($B$9:B1547,リスト!$C$5)+COUNTIF($B$9:B1547,リスト!$C$6),"")</f>
        <v/>
      </c>
    </row>
    <row r="1548" spans="2:9" x14ac:dyDescent="0.2">
      <c r="B1548" s="196"/>
      <c r="C1548" s="197"/>
      <c r="D1548" s="197"/>
      <c r="E1548" s="198" t="e">
        <f ca="1">mif(OR(C1548="",B1548=リスト!$C$7),"",B1548="","RF",OR(B1548=リスト!$C$5,B1548=リスト!$C$6),COUNTBLANK(INDEX(B:B,MATCH(I1548-1,I:I,0)+1,1):INDEX(B:B,MATCH(I1548,I:I,0)-1,1)),"")</f>
        <v>#NAME?</v>
      </c>
      <c r="F1548" s="199" t="s">
        <v>189</v>
      </c>
      <c r="G1548" s="140" t="e">
        <f ca="1">mif(C1548="","",OR(B1548=リスト!$C$5,B1548=リスト!$C$6),SUM(INDEX(G:G,MATCH(I1548-1,I:I,0)+1,1):INDEX(G:G,MATCH(I1548,I:I,0)-1,1)),D1548-C1548)</f>
        <v>#NAME?</v>
      </c>
      <c r="H1548" s="140" t="e">
        <f ca="1">mif(C1548="","",B1548=リスト!$C$5,SUMIF(INDEX(B:B,MATCH(I1548-1,I:I,0)+1,1):INDEX(B:B,MATCH(I1548,I:I,0)-1,1),リスト!$C$7,INDEX(G:G,MATCH(I1548-1,I:I,0)+1,1):INDEX(G:G,MATCH(I1548,I:I,0)-1,1)),"")</f>
        <v>#NAME?</v>
      </c>
      <c r="I1548" s="200" t="str">
        <f>IF(OR(B1548=リスト!$C$5,B1548=リスト!$C$6),COUNTIF($B$9:B1548,リスト!$C$5)+COUNTIF($B$9:B1548,リスト!$C$6),"")</f>
        <v/>
      </c>
    </row>
    <row r="1549" spans="2:9" x14ac:dyDescent="0.2">
      <c r="B1549" s="196"/>
      <c r="C1549" s="197"/>
      <c r="D1549" s="197"/>
      <c r="E1549" s="198" t="e">
        <f ca="1">mif(OR(C1549="",B1549=リスト!$C$7),"",B1549="","RF",OR(B1549=リスト!$C$5,B1549=リスト!$C$6),COUNTBLANK(INDEX(B:B,MATCH(I1549-1,I:I,0)+1,1):INDEX(B:B,MATCH(I1549,I:I,0)-1,1)),"")</f>
        <v>#NAME?</v>
      </c>
      <c r="F1549" s="199" t="s">
        <v>189</v>
      </c>
      <c r="G1549" s="140" t="e">
        <f ca="1">mif(C1549="","",OR(B1549=リスト!$C$5,B1549=リスト!$C$6),SUM(INDEX(G:G,MATCH(I1549-1,I:I,0)+1,1):INDEX(G:G,MATCH(I1549,I:I,0)-1,1)),D1549-C1549)</f>
        <v>#NAME?</v>
      </c>
      <c r="H1549" s="140" t="e">
        <f ca="1">mif(C1549="","",B1549=リスト!$C$5,SUMIF(INDEX(B:B,MATCH(I1549-1,I:I,0)+1,1):INDEX(B:B,MATCH(I1549,I:I,0)-1,1),リスト!$C$7,INDEX(G:G,MATCH(I1549-1,I:I,0)+1,1):INDEX(G:G,MATCH(I1549,I:I,0)-1,1)),"")</f>
        <v>#NAME?</v>
      </c>
      <c r="I1549" s="200" t="str">
        <f>IF(OR(B1549=リスト!$C$5,B1549=リスト!$C$6),COUNTIF($B$9:B1549,リスト!$C$5)+COUNTIF($B$9:B1549,リスト!$C$6),"")</f>
        <v/>
      </c>
    </row>
    <row r="1550" spans="2:9" x14ac:dyDescent="0.2">
      <c r="B1550" s="196"/>
      <c r="C1550" s="197"/>
      <c r="D1550" s="197"/>
      <c r="E1550" s="198" t="e">
        <f ca="1">mif(OR(C1550="",B1550=リスト!$C$7),"",B1550="","RF",OR(B1550=リスト!$C$5,B1550=リスト!$C$6),COUNTBLANK(INDEX(B:B,MATCH(I1550-1,I:I,0)+1,1):INDEX(B:B,MATCH(I1550,I:I,0)-1,1)),"")</f>
        <v>#NAME?</v>
      </c>
      <c r="F1550" s="199" t="s">
        <v>189</v>
      </c>
      <c r="G1550" s="140" t="e">
        <f ca="1">mif(C1550="","",OR(B1550=リスト!$C$5,B1550=リスト!$C$6),SUM(INDEX(G:G,MATCH(I1550-1,I:I,0)+1,1):INDEX(G:G,MATCH(I1550,I:I,0)-1,1)),D1550-C1550)</f>
        <v>#NAME?</v>
      </c>
      <c r="H1550" s="140" t="e">
        <f ca="1">mif(C1550="","",B1550=リスト!$C$5,SUMIF(INDEX(B:B,MATCH(I1550-1,I:I,0)+1,1):INDEX(B:B,MATCH(I1550,I:I,0)-1,1),リスト!$C$7,INDEX(G:G,MATCH(I1550-1,I:I,0)+1,1):INDEX(G:G,MATCH(I1550,I:I,0)-1,1)),"")</f>
        <v>#NAME?</v>
      </c>
      <c r="I1550" s="200" t="str">
        <f>IF(OR(B1550=リスト!$C$5,B1550=リスト!$C$6),COUNTIF($B$9:B1550,リスト!$C$5)+COUNTIF($B$9:B1550,リスト!$C$6),"")</f>
        <v/>
      </c>
    </row>
    <row r="1551" spans="2:9" x14ac:dyDescent="0.2">
      <c r="B1551" s="196"/>
      <c r="C1551" s="197"/>
      <c r="D1551" s="197"/>
      <c r="E1551" s="198" t="e">
        <f ca="1">mif(OR(C1551="",B1551=リスト!$C$7),"",B1551="","RF",OR(B1551=リスト!$C$5,B1551=リスト!$C$6),COUNTBLANK(INDEX(B:B,MATCH(I1551-1,I:I,0)+1,1):INDEX(B:B,MATCH(I1551,I:I,0)-1,1)),"")</f>
        <v>#NAME?</v>
      </c>
      <c r="F1551" s="199" t="s">
        <v>189</v>
      </c>
      <c r="G1551" s="140" t="e">
        <f ca="1">mif(C1551="","",OR(B1551=リスト!$C$5,B1551=リスト!$C$6),SUM(INDEX(G:G,MATCH(I1551-1,I:I,0)+1,1):INDEX(G:G,MATCH(I1551,I:I,0)-1,1)),D1551-C1551)</f>
        <v>#NAME?</v>
      </c>
      <c r="H1551" s="140" t="e">
        <f ca="1">mif(C1551="","",B1551=リスト!$C$5,SUMIF(INDEX(B:B,MATCH(I1551-1,I:I,0)+1,1):INDEX(B:B,MATCH(I1551,I:I,0)-1,1),リスト!$C$7,INDEX(G:G,MATCH(I1551-1,I:I,0)+1,1):INDEX(G:G,MATCH(I1551,I:I,0)-1,1)),"")</f>
        <v>#NAME?</v>
      </c>
      <c r="I1551" s="200" t="str">
        <f>IF(OR(B1551=リスト!$C$5,B1551=リスト!$C$6),COUNTIF($B$9:B1551,リスト!$C$5)+COUNTIF($B$9:B1551,リスト!$C$6),"")</f>
        <v/>
      </c>
    </row>
    <row r="1552" spans="2:9" x14ac:dyDescent="0.2">
      <c r="B1552" s="196"/>
      <c r="C1552" s="197"/>
      <c r="D1552" s="197"/>
      <c r="E1552" s="198" t="e">
        <f ca="1">mif(OR(C1552="",B1552=リスト!$C$7),"",B1552="","RF",OR(B1552=リスト!$C$5,B1552=リスト!$C$6),COUNTBLANK(INDEX(B:B,MATCH(I1552-1,I:I,0)+1,1):INDEX(B:B,MATCH(I1552,I:I,0)-1,1)),"")</f>
        <v>#NAME?</v>
      </c>
      <c r="F1552" s="199" t="s">
        <v>189</v>
      </c>
      <c r="G1552" s="140" t="e">
        <f ca="1">mif(C1552="","",OR(B1552=リスト!$C$5,B1552=リスト!$C$6),SUM(INDEX(G:G,MATCH(I1552-1,I:I,0)+1,1):INDEX(G:G,MATCH(I1552,I:I,0)-1,1)),D1552-C1552)</f>
        <v>#NAME?</v>
      </c>
      <c r="H1552" s="140" t="e">
        <f ca="1">mif(C1552="","",B1552=リスト!$C$5,SUMIF(INDEX(B:B,MATCH(I1552-1,I:I,0)+1,1):INDEX(B:B,MATCH(I1552,I:I,0)-1,1),リスト!$C$7,INDEX(G:G,MATCH(I1552-1,I:I,0)+1,1):INDEX(G:G,MATCH(I1552,I:I,0)-1,1)),"")</f>
        <v>#NAME?</v>
      </c>
      <c r="I1552" s="200" t="str">
        <f>IF(OR(B1552=リスト!$C$5,B1552=リスト!$C$6),COUNTIF($B$9:B1552,リスト!$C$5)+COUNTIF($B$9:B1552,リスト!$C$6),"")</f>
        <v/>
      </c>
    </row>
    <row r="1553" spans="2:9" x14ac:dyDescent="0.2">
      <c r="B1553" s="196"/>
      <c r="C1553" s="197"/>
      <c r="D1553" s="197"/>
      <c r="E1553" s="198" t="e">
        <f ca="1">mif(OR(C1553="",B1553=リスト!$C$7),"",B1553="","RF",OR(B1553=リスト!$C$5,B1553=リスト!$C$6),COUNTBLANK(INDEX(B:B,MATCH(I1553-1,I:I,0)+1,1):INDEX(B:B,MATCH(I1553,I:I,0)-1,1)),"")</f>
        <v>#NAME?</v>
      </c>
      <c r="F1553" s="199" t="s">
        <v>189</v>
      </c>
      <c r="G1553" s="140" t="e">
        <f ca="1">mif(C1553="","",OR(B1553=リスト!$C$5,B1553=リスト!$C$6),SUM(INDEX(G:G,MATCH(I1553-1,I:I,0)+1,1):INDEX(G:G,MATCH(I1553,I:I,0)-1,1)),D1553-C1553)</f>
        <v>#NAME?</v>
      </c>
      <c r="H1553" s="140" t="e">
        <f ca="1">mif(C1553="","",B1553=リスト!$C$5,SUMIF(INDEX(B:B,MATCH(I1553-1,I:I,0)+1,1):INDEX(B:B,MATCH(I1553,I:I,0)-1,1),リスト!$C$7,INDEX(G:G,MATCH(I1553-1,I:I,0)+1,1):INDEX(G:G,MATCH(I1553,I:I,0)-1,1)),"")</f>
        <v>#NAME?</v>
      </c>
      <c r="I1553" s="200" t="str">
        <f>IF(OR(B1553=リスト!$C$5,B1553=リスト!$C$6),COUNTIF($B$9:B1553,リスト!$C$5)+COUNTIF($B$9:B1553,リスト!$C$6),"")</f>
        <v/>
      </c>
    </row>
    <row r="1554" spans="2:9" x14ac:dyDescent="0.2">
      <c r="B1554" s="196"/>
      <c r="C1554" s="197"/>
      <c r="D1554" s="197"/>
      <c r="E1554" s="198" t="e">
        <f ca="1">mif(OR(C1554="",B1554=リスト!$C$7),"",B1554="","RF",OR(B1554=リスト!$C$5,B1554=リスト!$C$6),COUNTBLANK(INDEX(B:B,MATCH(I1554-1,I:I,0)+1,1):INDEX(B:B,MATCH(I1554,I:I,0)-1,1)),"")</f>
        <v>#NAME?</v>
      </c>
      <c r="F1554" s="199" t="s">
        <v>189</v>
      </c>
      <c r="G1554" s="140" t="e">
        <f ca="1">mif(C1554="","",OR(B1554=リスト!$C$5,B1554=リスト!$C$6),SUM(INDEX(G:G,MATCH(I1554-1,I:I,0)+1,1):INDEX(G:G,MATCH(I1554,I:I,0)-1,1)),D1554-C1554)</f>
        <v>#NAME?</v>
      </c>
      <c r="H1554" s="140" t="e">
        <f ca="1">mif(C1554="","",B1554=リスト!$C$5,SUMIF(INDEX(B:B,MATCH(I1554-1,I:I,0)+1,1):INDEX(B:B,MATCH(I1554,I:I,0)-1,1),リスト!$C$7,INDEX(G:G,MATCH(I1554-1,I:I,0)+1,1):INDEX(G:G,MATCH(I1554,I:I,0)-1,1)),"")</f>
        <v>#NAME?</v>
      </c>
      <c r="I1554" s="200" t="str">
        <f>IF(OR(B1554=リスト!$C$5,B1554=リスト!$C$6),COUNTIF($B$9:B1554,リスト!$C$5)+COUNTIF($B$9:B1554,リスト!$C$6),"")</f>
        <v/>
      </c>
    </row>
    <row r="1555" spans="2:9" x14ac:dyDescent="0.2">
      <c r="B1555" s="196"/>
      <c r="C1555" s="197"/>
      <c r="D1555" s="197"/>
      <c r="E1555" s="198" t="e">
        <f ca="1">mif(OR(C1555="",B1555=リスト!$C$7),"",B1555="","RF",OR(B1555=リスト!$C$5,B1555=リスト!$C$6),COUNTBLANK(INDEX(B:B,MATCH(I1555-1,I:I,0)+1,1):INDEX(B:B,MATCH(I1555,I:I,0)-1,1)),"")</f>
        <v>#NAME?</v>
      </c>
      <c r="F1555" s="199" t="s">
        <v>189</v>
      </c>
      <c r="G1555" s="140" t="e">
        <f ca="1">mif(C1555="","",OR(B1555=リスト!$C$5,B1555=リスト!$C$6),SUM(INDEX(G:G,MATCH(I1555-1,I:I,0)+1,1):INDEX(G:G,MATCH(I1555,I:I,0)-1,1)),D1555-C1555)</f>
        <v>#NAME?</v>
      </c>
      <c r="H1555" s="140" t="e">
        <f ca="1">mif(C1555="","",B1555=リスト!$C$5,SUMIF(INDEX(B:B,MATCH(I1555-1,I:I,0)+1,1):INDEX(B:B,MATCH(I1555,I:I,0)-1,1),リスト!$C$7,INDEX(G:G,MATCH(I1555-1,I:I,0)+1,1):INDEX(G:G,MATCH(I1555,I:I,0)-1,1)),"")</f>
        <v>#NAME?</v>
      </c>
      <c r="I1555" s="200" t="str">
        <f>IF(OR(B1555=リスト!$C$5,B1555=リスト!$C$6),COUNTIF($B$9:B1555,リスト!$C$5)+COUNTIF($B$9:B1555,リスト!$C$6),"")</f>
        <v/>
      </c>
    </row>
    <row r="1556" spans="2:9" x14ac:dyDescent="0.2">
      <c r="B1556" s="196"/>
      <c r="C1556" s="197"/>
      <c r="D1556" s="197"/>
      <c r="E1556" s="198" t="e">
        <f ca="1">mif(OR(C1556="",B1556=リスト!$C$7),"",B1556="","RF",OR(B1556=リスト!$C$5,B1556=リスト!$C$6),COUNTBLANK(INDEX(B:B,MATCH(I1556-1,I:I,0)+1,1):INDEX(B:B,MATCH(I1556,I:I,0)-1,1)),"")</f>
        <v>#NAME?</v>
      </c>
      <c r="F1556" s="199" t="s">
        <v>189</v>
      </c>
      <c r="G1556" s="140" t="e">
        <f ca="1">mif(C1556="","",OR(B1556=リスト!$C$5,B1556=リスト!$C$6),SUM(INDEX(G:G,MATCH(I1556-1,I:I,0)+1,1):INDEX(G:G,MATCH(I1556,I:I,0)-1,1)),D1556-C1556)</f>
        <v>#NAME?</v>
      </c>
      <c r="H1556" s="140" t="e">
        <f ca="1">mif(C1556="","",B1556=リスト!$C$5,SUMIF(INDEX(B:B,MATCH(I1556-1,I:I,0)+1,1):INDEX(B:B,MATCH(I1556,I:I,0)-1,1),リスト!$C$7,INDEX(G:G,MATCH(I1556-1,I:I,0)+1,1):INDEX(G:G,MATCH(I1556,I:I,0)-1,1)),"")</f>
        <v>#NAME?</v>
      </c>
      <c r="I1556" s="200" t="str">
        <f>IF(OR(B1556=リスト!$C$5,B1556=リスト!$C$6),COUNTIF($B$9:B1556,リスト!$C$5)+COUNTIF($B$9:B1556,リスト!$C$6),"")</f>
        <v/>
      </c>
    </row>
    <row r="1557" spans="2:9" x14ac:dyDescent="0.2">
      <c r="B1557" s="196"/>
      <c r="C1557" s="197"/>
      <c r="D1557" s="197"/>
      <c r="E1557" s="198" t="e">
        <f ca="1">mif(OR(C1557="",B1557=リスト!$C$7),"",B1557="","RF",OR(B1557=リスト!$C$5,B1557=リスト!$C$6),COUNTBLANK(INDEX(B:B,MATCH(I1557-1,I:I,0)+1,1):INDEX(B:B,MATCH(I1557,I:I,0)-1,1)),"")</f>
        <v>#NAME?</v>
      </c>
      <c r="F1557" s="199" t="s">
        <v>189</v>
      </c>
      <c r="G1557" s="140" t="e">
        <f ca="1">mif(C1557="","",OR(B1557=リスト!$C$5,B1557=リスト!$C$6),SUM(INDEX(G:G,MATCH(I1557-1,I:I,0)+1,1):INDEX(G:G,MATCH(I1557,I:I,0)-1,1)),D1557-C1557)</f>
        <v>#NAME?</v>
      </c>
      <c r="H1557" s="140" t="e">
        <f ca="1">mif(C1557="","",B1557=リスト!$C$5,SUMIF(INDEX(B:B,MATCH(I1557-1,I:I,0)+1,1):INDEX(B:B,MATCH(I1557,I:I,0)-1,1),リスト!$C$7,INDEX(G:G,MATCH(I1557-1,I:I,0)+1,1):INDEX(G:G,MATCH(I1557,I:I,0)-1,1)),"")</f>
        <v>#NAME?</v>
      </c>
      <c r="I1557" s="200" t="str">
        <f>IF(OR(B1557=リスト!$C$5,B1557=リスト!$C$6),COUNTIF($B$9:B1557,リスト!$C$5)+COUNTIF($B$9:B1557,リスト!$C$6),"")</f>
        <v/>
      </c>
    </row>
    <row r="1558" spans="2:9" x14ac:dyDescent="0.2">
      <c r="B1558" s="196"/>
      <c r="C1558" s="197"/>
      <c r="D1558" s="197"/>
      <c r="E1558" s="198" t="e">
        <f ca="1">mif(OR(C1558="",B1558=リスト!$C$7),"",B1558="","RF",OR(B1558=リスト!$C$5,B1558=リスト!$C$6),COUNTBLANK(INDEX(B:B,MATCH(I1558-1,I:I,0)+1,1):INDEX(B:B,MATCH(I1558,I:I,0)-1,1)),"")</f>
        <v>#NAME?</v>
      </c>
      <c r="F1558" s="199" t="s">
        <v>189</v>
      </c>
      <c r="G1558" s="140" t="e">
        <f ca="1">mif(C1558="","",OR(B1558=リスト!$C$5,B1558=リスト!$C$6),SUM(INDEX(G:G,MATCH(I1558-1,I:I,0)+1,1):INDEX(G:G,MATCH(I1558,I:I,0)-1,1)),D1558-C1558)</f>
        <v>#NAME?</v>
      </c>
      <c r="H1558" s="140" t="e">
        <f ca="1">mif(C1558="","",B1558=リスト!$C$5,SUMIF(INDEX(B:B,MATCH(I1558-1,I:I,0)+1,1):INDEX(B:B,MATCH(I1558,I:I,0)-1,1),リスト!$C$7,INDEX(G:G,MATCH(I1558-1,I:I,0)+1,1):INDEX(G:G,MATCH(I1558,I:I,0)-1,1)),"")</f>
        <v>#NAME?</v>
      </c>
      <c r="I1558" s="200" t="str">
        <f>IF(OR(B1558=リスト!$C$5,B1558=リスト!$C$6),COUNTIF($B$9:B1558,リスト!$C$5)+COUNTIF($B$9:B1558,リスト!$C$6),"")</f>
        <v/>
      </c>
    </row>
    <row r="1559" spans="2:9" x14ac:dyDescent="0.2">
      <c r="B1559" s="196"/>
      <c r="C1559" s="197"/>
      <c r="D1559" s="197"/>
      <c r="E1559" s="198" t="e">
        <f ca="1">mif(OR(C1559="",B1559=リスト!$C$7),"",B1559="","RF",OR(B1559=リスト!$C$5,B1559=リスト!$C$6),COUNTBLANK(INDEX(B:B,MATCH(I1559-1,I:I,0)+1,1):INDEX(B:B,MATCH(I1559,I:I,0)-1,1)),"")</f>
        <v>#NAME?</v>
      </c>
      <c r="F1559" s="199" t="s">
        <v>189</v>
      </c>
      <c r="G1559" s="140" t="e">
        <f ca="1">mif(C1559="","",OR(B1559=リスト!$C$5,B1559=リスト!$C$6),SUM(INDEX(G:G,MATCH(I1559-1,I:I,0)+1,1):INDEX(G:G,MATCH(I1559,I:I,0)-1,1)),D1559-C1559)</f>
        <v>#NAME?</v>
      </c>
      <c r="H1559" s="140" t="e">
        <f ca="1">mif(C1559="","",B1559=リスト!$C$5,SUMIF(INDEX(B:B,MATCH(I1559-1,I:I,0)+1,1):INDEX(B:B,MATCH(I1559,I:I,0)-1,1),リスト!$C$7,INDEX(G:G,MATCH(I1559-1,I:I,0)+1,1):INDEX(G:G,MATCH(I1559,I:I,0)-1,1)),"")</f>
        <v>#NAME?</v>
      </c>
      <c r="I1559" s="200" t="str">
        <f>IF(OR(B1559=リスト!$C$5,B1559=リスト!$C$6),COUNTIF($B$9:B1559,リスト!$C$5)+COUNTIF($B$9:B1559,リスト!$C$6),"")</f>
        <v/>
      </c>
    </row>
    <row r="1560" spans="2:9" x14ac:dyDescent="0.2">
      <c r="B1560" s="196"/>
      <c r="C1560" s="197"/>
      <c r="D1560" s="197"/>
      <c r="E1560" s="198" t="e">
        <f ca="1">mif(OR(C1560="",B1560=リスト!$C$7),"",B1560="","RF",OR(B1560=リスト!$C$5,B1560=リスト!$C$6),COUNTBLANK(INDEX(B:B,MATCH(I1560-1,I:I,0)+1,1):INDEX(B:B,MATCH(I1560,I:I,0)-1,1)),"")</f>
        <v>#NAME?</v>
      </c>
      <c r="F1560" s="199" t="s">
        <v>189</v>
      </c>
      <c r="G1560" s="140" t="e">
        <f ca="1">mif(C1560="","",OR(B1560=リスト!$C$5,B1560=リスト!$C$6),SUM(INDEX(G:G,MATCH(I1560-1,I:I,0)+1,1):INDEX(G:G,MATCH(I1560,I:I,0)-1,1)),D1560-C1560)</f>
        <v>#NAME?</v>
      </c>
      <c r="H1560" s="140" t="e">
        <f ca="1">mif(C1560="","",B1560=リスト!$C$5,SUMIF(INDEX(B:B,MATCH(I1560-1,I:I,0)+1,1):INDEX(B:B,MATCH(I1560,I:I,0)-1,1),リスト!$C$7,INDEX(G:G,MATCH(I1560-1,I:I,0)+1,1):INDEX(G:G,MATCH(I1560,I:I,0)-1,1)),"")</f>
        <v>#NAME?</v>
      </c>
      <c r="I1560" s="200" t="str">
        <f>IF(OR(B1560=リスト!$C$5,B1560=リスト!$C$6),COUNTIF($B$9:B1560,リスト!$C$5)+COUNTIF($B$9:B1560,リスト!$C$6),"")</f>
        <v/>
      </c>
    </row>
    <row r="1561" spans="2:9" x14ac:dyDescent="0.2">
      <c r="B1561" s="196"/>
      <c r="C1561" s="197"/>
      <c r="D1561" s="197"/>
      <c r="E1561" s="198" t="e">
        <f ca="1">mif(OR(C1561="",B1561=リスト!$C$7),"",B1561="","RF",OR(B1561=リスト!$C$5,B1561=リスト!$C$6),COUNTBLANK(INDEX(B:B,MATCH(I1561-1,I:I,0)+1,1):INDEX(B:B,MATCH(I1561,I:I,0)-1,1)),"")</f>
        <v>#NAME?</v>
      </c>
      <c r="F1561" s="199" t="s">
        <v>189</v>
      </c>
      <c r="G1561" s="140" t="e">
        <f ca="1">mif(C1561="","",OR(B1561=リスト!$C$5,B1561=リスト!$C$6),SUM(INDEX(G:G,MATCH(I1561-1,I:I,0)+1,1):INDEX(G:G,MATCH(I1561,I:I,0)-1,1)),D1561-C1561)</f>
        <v>#NAME?</v>
      </c>
      <c r="H1561" s="140" t="e">
        <f ca="1">mif(C1561="","",B1561=リスト!$C$5,SUMIF(INDEX(B:B,MATCH(I1561-1,I:I,0)+1,1):INDEX(B:B,MATCH(I1561,I:I,0)-1,1),リスト!$C$7,INDEX(G:G,MATCH(I1561-1,I:I,0)+1,1):INDEX(G:G,MATCH(I1561,I:I,0)-1,1)),"")</f>
        <v>#NAME?</v>
      </c>
      <c r="I1561" s="200" t="str">
        <f>IF(OR(B1561=リスト!$C$5,B1561=リスト!$C$6),COUNTIF($B$9:B1561,リスト!$C$5)+COUNTIF($B$9:B1561,リスト!$C$6),"")</f>
        <v/>
      </c>
    </row>
    <row r="1562" spans="2:9" x14ac:dyDescent="0.2">
      <c r="B1562" s="196"/>
      <c r="C1562" s="197"/>
      <c r="D1562" s="197"/>
      <c r="E1562" s="198" t="e">
        <f ca="1">mif(OR(C1562="",B1562=リスト!$C$7),"",B1562="","RF",OR(B1562=リスト!$C$5,B1562=リスト!$C$6),COUNTBLANK(INDEX(B:B,MATCH(I1562-1,I:I,0)+1,1):INDEX(B:B,MATCH(I1562,I:I,0)-1,1)),"")</f>
        <v>#NAME?</v>
      </c>
      <c r="F1562" s="199" t="s">
        <v>189</v>
      </c>
      <c r="G1562" s="140" t="e">
        <f ca="1">mif(C1562="","",OR(B1562=リスト!$C$5,B1562=リスト!$C$6),SUM(INDEX(G:G,MATCH(I1562-1,I:I,0)+1,1):INDEX(G:G,MATCH(I1562,I:I,0)-1,1)),D1562-C1562)</f>
        <v>#NAME?</v>
      </c>
      <c r="H1562" s="140" t="e">
        <f ca="1">mif(C1562="","",B1562=リスト!$C$5,SUMIF(INDEX(B:B,MATCH(I1562-1,I:I,0)+1,1):INDEX(B:B,MATCH(I1562,I:I,0)-1,1),リスト!$C$7,INDEX(G:G,MATCH(I1562-1,I:I,0)+1,1):INDEX(G:G,MATCH(I1562,I:I,0)-1,1)),"")</f>
        <v>#NAME?</v>
      </c>
      <c r="I1562" s="200" t="str">
        <f>IF(OR(B1562=リスト!$C$5,B1562=リスト!$C$6),COUNTIF($B$9:B1562,リスト!$C$5)+COUNTIF($B$9:B1562,リスト!$C$6),"")</f>
        <v/>
      </c>
    </row>
    <row r="1563" spans="2:9" x14ac:dyDescent="0.2">
      <c r="B1563" s="196"/>
      <c r="C1563" s="197"/>
      <c r="D1563" s="197"/>
      <c r="E1563" s="198" t="e">
        <f ca="1">mif(OR(C1563="",B1563=リスト!$C$7),"",B1563="","RF",OR(B1563=リスト!$C$5,B1563=リスト!$C$6),COUNTBLANK(INDEX(B:B,MATCH(I1563-1,I:I,0)+1,1):INDEX(B:B,MATCH(I1563,I:I,0)-1,1)),"")</f>
        <v>#NAME?</v>
      </c>
      <c r="F1563" s="199" t="s">
        <v>189</v>
      </c>
      <c r="G1563" s="140" t="e">
        <f ca="1">mif(C1563="","",OR(B1563=リスト!$C$5,B1563=リスト!$C$6),SUM(INDEX(G:G,MATCH(I1563-1,I:I,0)+1,1):INDEX(G:G,MATCH(I1563,I:I,0)-1,1)),D1563-C1563)</f>
        <v>#NAME?</v>
      </c>
      <c r="H1563" s="140" t="e">
        <f ca="1">mif(C1563="","",B1563=リスト!$C$5,SUMIF(INDEX(B:B,MATCH(I1563-1,I:I,0)+1,1):INDEX(B:B,MATCH(I1563,I:I,0)-1,1),リスト!$C$7,INDEX(G:G,MATCH(I1563-1,I:I,0)+1,1):INDEX(G:G,MATCH(I1563,I:I,0)-1,1)),"")</f>
        <v>#NAME?</v>
      </c>
      <c r="I1563" s="200" t="str">
        <f>IF(OR(B1563=リスト!$C$5,B1563=リスト!$C$6),COUNTIF($B$9:B1563,リスト!$C$5)+COUNTIF($B$9:B1563,リスト!$C$6),"")</f>
        <v/>
      </c>
    </row>
    <row r="1564" spans="2:9" x14ac:dyDescent="0.2">
      <c r="B1564" s="196"/>
      <c r="C1564" s="197"/>
      <c r="D1564" s="197"/>
      <c r="E1564" s="198" t="e">
        <f ca="1">mif(OR(C1564="",B1564=リスト!$C$7),"",B1564="","RF",OR(B1564=リスト!$C$5,B1564=リスト!$C$6),COUNTBLANK(INDEX(B:B,MATCH(I1564-1,I:I,0)+1,1):INDEX(B:B,MATCH(I1564,I:I,0)-1,1)),"")</f>
        <v>#NAME?</v>
      </c>
      <c r="F1564" s="199" t="s">
        <v>189</v>
      </c>
      <c r="G1564" s="140" t="e">
        <f ca="1">mif(C1564="","",OR(B1564=リスト!$C$5,B1564=リスト!$C$6),SUM(INDEX(G:G,MATCH(I1564-1,I:I,0)+1,1):INDEX(G:G,MATCH(I1564,I:I,0)-1,1)),D1564-C1564)</f>
        <v>#NAME?</v>
      </c>
      <c r="H1564" s="140" t="e">
        <f ca="1">mif(C1564="","",B1564=リスト!$C$5,SUMIF(INDEX(B:B,MATCH(I1564-1,I:I,0)+1,1):INDEX(B:B,MATCH(I1564,I:I,0)-1,1),リスト!$C$7,INDEX(G:G,MATCH(I1564-1,I:I,0)+1,1):INDEX(G:G,MATCH(I1564,I:I,0)-1,1)),"")</f>
        <v>#NAME?</v>
      </c>
      <c r="I1564" s="200" t="str">
        <f>IF(OR(B1564=リスト!$C$5,B1564=リスト!$C$6),COUNTIF($B$9:B1564,リスト!$C$5)+COUNTIF($B$9:B1564,リスト!$C$6),"")</f>
        <v/>
      </c>
    </row>
    <row r="1565" spans="2:9" x14ac:dyDescent="0.2">
      <c r="B1565" s="196"/>
      <c r="C1565" s="197"/>
      <c r="D1565" s="197"/>
      <c r="E1565" s="198" t="e">
        <f ca="1">mif(OR(C1565="",B1565=リスト!$C$7),"",B1565="","RF",OR(B1565=リスト!$C$5,B1565=リスト!$C$6),COUNTBLANK(INDEX(B:B,MATCH(I1565-1,I:I,0)+1,1):INDEX(B:B,MATCH(I1565,I:I,0)-1,1)),"")</f>
        <v>#NAME?</v>
      </c>
      <c r="F1565" s="199" t="s">
        <v>189</v>
      </c>
      <c r="G1565" s="140" t="e">
        <f ca="1">mif(C1565="","",OR(B1565=リスト!$C$5,B1565=リスト!$C$6),SUM(INDEX(G:G,MATCH(I1565-1,I:I,0)+1,1):INDEX(G:G,MATCH(I1565,I:I,0)-1,1)),D1565-C1565)</f>
        <v>#NAME?</v>
      </c>
      <c r="H1565" s="140" t="e">
        <f ca="1">mif(C1565="","",B1565=リスト!$C$5,SUMIF(INDEX(B:B,MATCH(I1565-1,I:I,0)+1,1):INDEX(B:B,MATCH(I1565,I:I,0)-1,1),リスト!$C$7,INDEX(G:G,MATCH(I1565-1,I:I,0)+1,1):INDEX(G:G,MATCH(I1565,I:I,0)-1,1)),"")</f>
        <v>#NAME?</v>
      </c>
      <c r="I1565" s="200" t="str">
        <f>IF(OR(B1565=リスト!$C$5,B1565=リスト!$C$6),COUNTIF($B$9:B1565,リスト!$C$5)+COUNTIF($B$9:B1565,リスト!$C$6),"")</f>
        <v/>
      </c>
    </row>
    <row r="1566" spans="2:9" x14ac:dyDescent="0.2">
      <c r="B1566" s="196"/>
      <c r="C1566" s="197"/>
      <c r="D1566" s="197"/>
      <c r="E1566" s="198" t="e">
        <f ca="1">mif(OR(C1566="",B1566=リスト!$C$7),"",B1566="","RF",OR(B1566=リスト!$C$5,B1566=リスト!$C$6),COUNTBLANK(INDEX(B:B,MATCH(I1566-1,I:I,0)+1,1):INDEX(B:B,MATCH(I1566,I:I,0)-1,1)),"")</f>
        <v>#NAME?</v>
      </c>
      <c r="F1566" s="199" t="s">
        <v>189</v>
      </c>
      <c r="G1566" s="140" t="e">
        <f ca="1">mif(C1566="","",OR(B1566=リスト!$C$5,B1566=リスト!$C$6),SUM(INDEX(G:G,MATCH(I1566-1,I:I,0)+1,1):INDEX(G:G,MATCH(I1566,I:I,0)-1,1)),D1566-C1566)</f>
        <v>#NAME?</v>
      </c>
      <c r="H1566" s="140" t="e">
        <f ca="1">mif(C1566="","",B1566=リスト!$C$5,SUMIF(INDEX(B:B,MATCH(I1566-1,I:I,0)+1,1):INDEX(B:B,MATCH(I1566,I:I,0)-1,1),リスト!$C$7,INDEX(G:G,MATCH(I1566-1,I:I,0)+1,1):INDEX(G:G,MATCH(I1566,I:I,0)-1,1)),"")</f>
        <v>#NAME?</v>
      </c>
      <c r="I1566" s="200" t="str">
        <f>IF(OR(B1566=リスト!$C$5,B1566=リスト!$C$6),COUNTIF($B$9:B1566,リスト!$C$5)+COUNTIF($B$9:B1566,リスト!$C$6),"")</f>
        <v/>
      </c>
    </row>
    <row r="1567" spans="2:9" x14ac:dyDescent="0.2">
      <c r="B1567" s="196"/>
      <c r="C1567" s="197"/>
      <c r="D1567" s="197"/>
      <c r="E1567" s="198" t="e">
        <f ca="1">mif(OR(C1567="",B1567=リスト!$C$7),"",B1567="","RF",OR(B1567=リスト!$C$5,B1567=リスト!$C$6),COUNTBLANK(INDEX(B:B,MATCH(I1567-1,I:I,0)+1,1):INDEX(B:B,MATCH(I1567,I:I,0)-1,1)),"")</f>
        <v>#NAME?</v>
      </c>
      <c r="F1567" s="199" t="s">
        <v>189</v>
      </c>
      <c r="G1567" s="140" t="e">
        <f ca="1">mif(C1567="","",OR(B1567=リスト!$C$5,B1567=リスト!$C$6),SUM(INDEX(G:G,MATCH(I1567-1,I:I,0)+1,1):INDEX(G:G,MATCH(I1567,I:I,0)-1,1)),D1567-C1567)</f>
        <v>#NAME?</v>
      </c>
      <c r="H1567" s="140" t="e">
        <f ca="1">mif(C1567="","",B1567=リスト!$C$5,SUMIF(INDEX(B:B,MATCH(I1567-1,I:I,0)+1,1):INDEX(B:B,MATCH(I1567,I:I,0)-1,1),リスト!$C$7,INDEX(G:G,MATCH(I1567-1,I:I,0)+1,1):INDEX(G:G,MATCH(I1567,I:I,0)-1,1)),"")</f>
        <v>#NAME?</v>
      </c>
      <c r="I1567" s="200" t="str">
        <f>IF(OR(B1567=リスト!$C$5,B1567=リスト!$C$6),COUNTIF($B$9:B1567,リスト!$C$5)+COUNTIF($B$9:B1567,リスト!$C$6),"")</f>
        <v/>
      </c>
    </row>
    <row r="1568" spans="2:9" x14ac:dyDescent="0.2">
      <c r="B1568" s="196"/>
      <c r="C1568" s="197"/>
      <c r="D1568" s="197"/>
      <c r="E1568" s="198" t="e">
        <f ca="1">mif(OR(C1568="",B1568=リスト!$C$7),"",B1568="","RF",OR(B1568=リスト!$C$5,B1568=リスト!$C$6),COUNTBLANK(INDEX(B:B,MATCH(I1568-1,I:I,0)+1,1):INDEX(B:B,MATCH(I1568,I:I,0)-1,1)),"")</f>
        <v>#NAME?</v>
      </c>
      <c r="F1568" s="199" t="s">
        <v>189</v>
      </c>
      <c r="G1568" s="140" t="e">
        <f ca="1">mif(C1568="","",OR(B1568=リスト!$C$5,B1568=リスト!$C$6),SUM(INDEX(G:G,MATCH(I1568-1,I:I,0)+1,1):INDEX(G:G,MATCH(I1568,I:I,0)-1,1)),D1568-C1568)</f>
        <v>#NAME?</v>
      </c>
      <c r="H1568" s="140" t="e">
        <f ca="1">mif(C1568="","",B1568=リスト!$C$5,SUMIF(INDEX(B:B,MATCH(I1568-1,I:I,0)+1,1):INDEX(B:B,MATCH(I1568,I:I,0)-1,1),リスト!$C$7,INDEX(G:G,MATCH(I1568-1,I:I,0)+1,1):INDEX(G:G,MATCH(I1568,I:I,0)-1,1)),"")</f>
        <v>#NAME?</v>
      </c>
      <c r="I1568" s="200" t="str">
        <f>IF(OR(B1568=リスト!$C$5,B1568=リスト!$C$6),COUNTIF($B$9:B1568,リスト!$C$5)+COUNTIF($B$9:B1568,リスト!$C$6),"")</f>
        <v/>
      </c>
    </row>
    <row r="1569" spans="2:9" x14ac:dyDescent="0.2">
      <c r="B1569" s="196"/>
      <c r="C1569" s="197"/>
      <c r="D1569" s="197"/>
      <c r="E1569" s="198" t="e">
        <f ca="1">mif(OR(C1569="",B1569=リスト!$C$7),"",B1569="","RF",OR(B1569=リスト!$C$5,B1569=リスト!$C$6),COUNTBLANK(INDEX(B:B,MATCH(I1569-1,I:I,0)+1,1):INDEX(B:B,MATCH(I1569,I:I,0)-1,1)),"")</f>
        <v>#NAME?</v>
      </c>
      <c r="F1569" s="199" t="s">
        <v>189</v>
      </c>
      <c r="G1569" s="140" t="e">
        <f ca="1">mif(C1569="","",OR(B1569=リスト!$C$5,B1569=リスト!$C$6),SUM(INDEX(G:G,MATCH(I1569-1,I:I,0)+1,1):INDEX(G:G,MATCH(I1569,I:I,0)-1,1)),D1569-C1569)</f>
        <v>#NAME?</v>
      </c>
      <c r="H1569" s="140" t="e">
        <f ca="1">mif(C1569="","",B1569=リスト!$C$5,SUMIF(INDEX(B:B,MATCH(I1569-1,I:I,0)+1,1):INDEX(B:B,MATCH(I1569,I:I,0)-1,1),リスト!$C$7,INDEX(G:G,MATCH(I1569-1,I:I,0)+1,1):INDEX(G:G,MATCH(I1569,I:I,0)-1,1)),"")</f>
        <v>#NAME?</v>
      </c>
      <c r="I1569" s="200" t="str">
        <f>IF(OR(B1569=リスト!$C$5,B1569=リスト!$C$6),COUNTIF($B$9:B1569,リスト!$C$5)+COUNTIF($B$9:B1569,リスト!$C$6),"")</f>
        <v/>
      </c>
    </row>
    <row r="1570" spans="2:9" x14ac:dyDescent="0.2">
      <c r="B1570" s="196"/>
      <c r="C1570" s="197"/>
      <c r="D1570" s="197"/>
      <c r="E1570" s="198" t="e">
        <f ca="1">mif(OR(C1570="",B1570=リスト!$C$7),"",B1570="","RF",OR(B1570=リスト!$C$5,B1570=リスト!$C$6),COUNTBLANK(INDEX(B:B,MATCH(I1570-1,I:I,0)+1,1):INDEX(B:B,MATCH(I1570,I:I,0)-1,1)),"")</f>
        <v>#NAME?</v>
      </c>
      <c r="F1570" s="199" t="s">
        <v>189</v>
      </c>
      <c r="G1570" s="140" t="e">
        <f ca="1">mif(C1570="","",OR(B1570=リスト!$C$5,B1570=リスト!$C$6),SUM(INDEX(G:G,MATCH(I1570-1,I:I,0)+1,1):INDEX(G:G,MATCH(I1570,I:I,0)-1,1)),D1570-C1570)</f>
        <v>#NAME?</v>
      </c>
      <c r="H1570" s="140" t="e">
        <f ca="1">mif(C1570="","",B1570=リスト!$C$5,SUMIF(INDEX(B:B,MATCH(I1570-1,I:I,0)+1,1):INDEX(B:B,MATCH(I1570,I:I,0)-1,1),リスト!$C$7,INDEX(G:G,MATCH(I1570-1,I:I,0)+1,1):INDEX(G:G,MATCH(I1570,I:I,0)-1,1)),"")</f>
        <v>#NAME?</v>
      </c>
      <c r="I1570" s="200" t="str">
        <f>IF(OR(B1570=リスト!$C$5,B1570=リスト!$C$6),COUNTIF($B$9:B1570,リスト!$C$5)+COUNTIF($B$9:B1570,リスト!$C$6),"")</f>
        <v/>
      </c>
    </row>
    <row r="1571" spans="2:9" x14ac:dyDescent="0.2">
      <c r="B1571" s="196"/>
      <c r="C1571" s="197"/>
      <c r="D1571" s="197"/>
      <c r="E1571" s="198" t="e">
        <f ca="1">mif(OR(C1571="",B1571=リスト!$C$7),"",B1571="","RF",OR(B1571=リスト!$C$5,B1571=リスト!$C$6),COUNTBLANK(INDEX(B:B,MATCH(I1571-1,I:I,0)+1,1):INDEX(B:B,MATCH(I1571,I:I,0)-1,1)),"")</f>
        <v>#NAME?</v>
      </c>
      <c r="F1571" s="199" t="s">
        <v>189</v>
      </c>
      <c r="G1571" s="140" t="e">
        <f ca="1">mif(C1571="","",OR(B1571=リスト!$C$5,B1571=リスト!$C$6),SUM(INDEX(G:G,MATCH(I1571-1,I:I,0)+1,1):INDEX(G:G,MATCH(I1571,I:I,0)-1,1)),D1571-C1571)</f>
        <v>#NAME?</v>
      </c>
      <c r="H1571" s="140" t="e">
        <f ca="1">mif(C1571="","",B1571=リスト!$C$5,SUMIF(INDEX(B:B,MATCH(I1571-1,I:I,0)+1,1):INDEX(B:B,MATCH(I1571,I:I,0)-1,1),リスト!$C$7,INDEX(G:G,MATCH(I1571-1,I:I,0)+1,1):INDEX(G:G,MATCH(I1571,I:I,0)-1,1)),"")</f>
        <v>#NAME?</v>
      </c>
      <c r="I1571" s="200" t="str">
        <f>IF(OR(B1571=リスト!$C$5,B1571=リスト!$C$6),COUNTIF($B$9:B1571,リスト!$C$5)+COUNTIF($B$9:B1571,リスト!$C$6),"")</f>
        <v/>
      </c>
    </row>
    <row r="1572" spans="2:9" x14ac:dyDescent="0.2">
      <c r="B1572" s="196"/>
      <c r="C1572" s="197"/>
      <c r="D1572" s="197"/>
      <c r="E1572" s="198" t="e">
        <f ca="1">mif(OR(C1572="",B1572=リスト!$C$7),"",B1572="","RF",OR(B1572=リスト!$C$5,B1572=リスト!$C$6),COUNTBLANK(INDEX(B:B,MATCH(I1572-1,I:I,0)+1,1):INDEX(B:B,MATCH(I1572,I:I,0)-1,1)),"")</f>
        <v>#NAME?</v>
      </c>
      <c r="F1572" s="199" t="s">
        <v>189</v>
      </c>
      <c r="G1572" s="140" t="e">
        <f ca="1">mif(C1572="","",OR(B1572=リスト!$C$5,B1572=リスト!$C$6),SUM(INDEX(G:G,MATCH(I1572-1,I:I,0)+1,1):INDEX(G:G,MATCH(I1572,I:I,0)-1,1)),D1572-C1572)</f>
        <v>#NAME?</v>
      </c>
      <c r="H1572" s="140" t="e">
        <f ca="1">mif(C1572="","",B1572=リスト!$C$5,SUMIF(INDEX(B:B,MATCH(I1572-1,I:I,0)+1,1):INDEX(B:B,MATCH(I1572,I:I,0)-1,1),リスト!$C$7,INDEX(G:G,MATCH(I1572-1,I:I,0)+1,1):INDEX(G:G,MATCH(I1572,I:I,0)-1,1)),"")</f>
        <v>#NAME?</v>
      </c>
      <c r="I1572" s="200" t="str">
        <f>IF(OR(B1572=リスト!$C$5,B1572=リスト!$C$6),COUNTIF($B$9:B1572,リスト!$C$5)+COUNTIF($B$9:B1572,リスト!$C$6),"")</f>
        <v/>
      </c>
    </row>
    <row r="1573" spans="2:9" x14ac:dyDescent="0.2">
      <c r="B1573" s="196"/>
      <c r="C1573" s="197"/>
      <c r="D1573" s="197"/>
      <c r="E1573" s="198" t="e">
        <f ca="1">mif(OR(C1573="",B1573=リスト!$C$7),"",B1573="","RF",OR(B1573=リスト!$C$5,B1573=リスト!$C$6),COUNTBLANK(INDEX(B:B,MATCH(I1573-1,I:I,0)+1,1):INDEX(B:B,MATCH(I1573,I:I,0)-1,1)),"")</f>
        <v>#NAME?</v>
      </c>
      <c r="F1573" s="199" t="s">
        <v>189</v>
      </c>
      <c r="G1573" s="140" t="e">
        <f ca="1">mif(C1573="","",OR(B1573=リスト!$C$5,B1573=リスト!$C$6),SUM(INDEX(G:G,MATCH(I1573-1,I:I,0)+1,1):INDEX(G:G,MATCH(I1573,I:I,0)-1,1)),D1573-C1573)</f>
        <v>#NAME?</v>
      </c>
      <c r="H1573" s="140" t="e">
        <f ca="1">mif(C1573="","",B1573=リスト!$C$5,SUMIF(INDEX(B:B,MATCH(I1573-1,I:I,0)+1,1):INDEX(B:B,MATCH(I1573,I:I,0)-1,1),リスト!$C$7,INDEX(G:G,MATCH(I1573-1,I:I,0)+1,1):INDEX(G:G,MATCH(I1573,I:I,0)-1,1)),"")</f>
        <v>#NAME?</v>
      </c>
      <c r="I1573" s="200" t="str">
        <f>IF(OR(B1573=リスト!$C$5,B1573=リスト!$C$6),COUNTIF($B$9:B1573,リスト!$C$5)+COUNTIF($B$9:B1573,リスト!$C$6),"")</f>
        <v/>
      </c>
    </row>
    <row r="1574" spans="2:9" x14ac:dyDescent="0.2">
      <c r="B1574" s="196"/>
      <c r="C1574" s="197"/>
      <c r="D1574" s="197"/>
      <c r="E1574" s="198" t="e">
        <f ca="1">mif(OR(C1574="",B1574=リスト!$C$7),"",B1574="","RF",OR(B1574=リスト!$C$5,B1574=リスト!$C$6),COUNTBLANK(INDEX(B:B,MATCH(I1574-1,I:I,0)+1,1):INDEX(B:B,MATCH(I1574,I:I,0)-1,1)),"")</f>
        <v>#NAME?</v>
      </c>
      <c r="F1574" s="199" t="s">
        <v>189</v>
      </c>
      <c r="G1574" s="140" t="e">
        <f ca="1">mif(C1574="","",OR(B1574=リスト!$C$5,B1574=リスト!$C$6),SUM(INDEX(G:G,MATCH(I1574-1,I:I,0)+1,1):INDEX(G:G,MATCH(I1574,I:I,0)-1,1)),D1574-C1574)</f>
        <v>#NAME?</v>
      </c>
      <c r="H1574" s="140" t="e">
        <f ca="1">mif(C1574="","",B1574=リスト!$C$5,SUMIF(INDEX(B:B,MATCH(I1574-1,I:I,0)+1,1):INDEX(B:B,MATCH(I1574,I:I,0)-1,1),リスト!$C$7,INDEX(G:G,MATCH(I1574-1,I:I,0)+1,1):INDEX(G:G,MATCH(I1574,I:I,0)-1,1)),"")</f>
        <v>#NAME?</v>
      </c>
      <c r="I1574" s="200" t="str">
        <f>IF(OR(B1574=リスト!$C$5,B1574=リスト!$C$6),COUNTIF($B$9:B1574,リスト!$C$5)+COUNTIF($B$9:B1574,リスト!$C$6),"")</f>
        <v/>
      </c>
    </row>
    <row r="1575" spans="2:9" x14ac:dyDescent="0.2">
      <c r="B1575" s="196"/>
      <c r="C1575" s="197"/>
      <c r="D1575" s="197"/>
      <c r="E1575" s="198" t="e">
        <f ca="1">mif(OR(C1575="",B1575=リスト!$C$7),"",B1575="","RF",OR(B1575=リスト!$C$5,B1575=リスト!$C$6),COUNTBLANK(INDEX(B:B,MATCH(I1575-1,I:I,0)+1,1):INDEX(B:B,MATCH(I1575,I:I,0)-1,1)),"")</f>
        <v>#NAME?</v>
      </c>
      <c r="F1575" s="199" t="s">
        <v>189</v>
      </c>
      <c r="G1575" s="140" t="e">
        <f ca="1">mif(C1575="","",OR(B1575=リスト!$C$5,B1575=リスト!$C$6),SUM(INDEX(G:G,MATCH(I1575-1,I:I,0)+1,1):INDEX(G:G,MATCH(I1575,I:I,0)-1,1)),D1575-C1575)</f>
        <v>#NAME?</v>
      </c>
      <c r="H1575" s="140" t="e">
        <f ca="1">mif(C1575="","",B1575=リスト!$C$5,SUMIF(INDEX(B:B,MATCH(I1575-1,I:I,0)+1,1):INDEX(B:B,MATCH(I1575,I:I,0)-1,1),リスト!$C$7,INDEX(G:G,MATCH(I1575-1,I:I,0)+1,1):INDEX(G:G,MATCH(I1575,I:I,0)-1,1)),"")</f>
        <v>#NAME?</v>
      </c>
      <c r="I1575" s="200" t="str">
        <f>IF(OR(B1575=リスト!$C$5,B1575=リスト!$C$6),COUNTIF($B$9:B1575,リスト!$C$5)+COUNTIF($B$9:B1575,リスト!$C$6),"")</f>
        <v/>
      </c>
    </row>
    <row r="1576" spans="2:9" x14ac:dyDescent="0.2">
      <c r="B1576" s="196"/>
      <c r="C1576" s="197"/>
      <c r="D1576" s="197"/>
      <c r="E1576" s="198" t="e">
        <f ca="1">mif(OR(C1576="",B1576=リスト!$C$7),"",B1576="","RF",OR(B1576=リスト!$C$5,B1576=リスト!$C$6),COUNTBLANK(INDEX(B:B,MATCH(I1576-1,I:I,0)+1,1):INDEX(B:B,MATCH(I1576,I:I,0)-1,1)),"")</f>
        <v>#NAME?</v>
      </c>
      <c r="F1576" s="199" t="s">
        <v>189</v>
      </c>
      <c r="G1576" s="140" t="e">
        <f ca="1">mif(C1576="","",OR(B1576=リスト!$C$5,B1576=リスト!$C$6),SUM(INDEX(G:G,MATCH(I1576-1,I:I,0)+1,1):INDEX(G:G,MATCH(I1576,I:I,0)-1,1)),D1576-C1576)</f>
        <v>#NAME?</v>
      </c>
      <c r="H1576" s="140" t="e">
        <f ca="1">mif(C1576="","",B1576=リスト!$C$5,SUMIF(INDEX(B:B,MATCH(I1576-1,I:I,0)+1,1):INDEX(B:B,MATCH(I1576,I:I,0)-1,1),リスト!$C$7,INDEX(G:G,MATCH(I1576-1,I:I,0)+1,1):INDEX(G:G,MATCH(I1576,I:I,0)-1,1)),"")</f>
        <v>#NAME?</v>
      </c>
      <c r="I1576" s="200" t="str">
        <f>IF(OR(B1576=リスト!$C$5,B1576=リスト!$C$6),COUNTIF($B$9:B1576,リスト!$C$5)+COUNTIF($B$9:B1576,リスト!$C$6),"")</f>
        <v/>
      </c>
    </row>
    <row r="1577" spans="2:9" x14ac:dyDescent="0.2">
      <c r="B1577" s="196"/>
      <c r="C1577" s="197"/>
      <c r="D1577" s="197"/>
      <c r="E1577" s="198" t="e">
        <f ca="1">mif(OR(C1577="",B1577=リスト!$C$7),"",B1577="","RF",OR(B1577=リスト!$C$5,B1577=リスト!$C$6),COUNTBLANK(INDEX(B:B,MATCH(I1577-1,I:I,0)+1,1):INDEX(B:B,MATCH(I1577,I:I,0)-1,1)),"")</f>
        <v>#NAME?</v>
      </c>
      <c r="F1577" s="199" t="s">
        <v>189</v>
      </c>
      <c r="G1577" s="140" t="e">
        <f ca="1">mif(C1577="","",OR(B1577=リスト!$C$5,B1577=リスト!$C$6),SUM(INDEX(G:G,MATCH(I1577-1,I:I,0)+1,1):INDEX(G:G,MATCH(I1577,I:I,0)-1,1)),D1577-C1577)</f>
        <v>#NAME?</v>
      </c>
      <c r="H1577" s="140" t="e">
        <f ca="1">mif(C1577="","",B1577=リスト!$C$5,SUMIF(INDEX(B:B,MATCH(I1577-1,I:I,0)+1,1):INDEX(B:B,MATCH(I1577,I:I,0)-1,1),リスト!$C$7,INDEX(G:G,MATCH(I1577-1,I:I,0)+1,1):INDEX(G:G,MATCH(I1577,I:I,0)-1,1)),"")</f>
        <v>#NAME?</v>
      </c>
      <c r="I1577" s="200" t="str">
        <f>IF(OR(B1577=リスト!$C$5,B1577=リスト!$C$6),COUNTIF($B$9:B1577,リスト!$C$5)+COUNTIF($B$9:B1577,リスト!$C$6),"")</f>
        <v/>
      </c>
    </row>
    <row r="1578" spans="2:9" x14ac:dyDescent="0.2">
      <c r="B1578" s="196"/>
      <c r="C1578" s="197"/>
      <c r="D1578" s="197"/>
      <c r="E1578" s="198" t="e">
        <f ca="1">mif(OR(C1578="",B1578=リスト!$C$7),"",B1578="","RF",OR(B1578=リスト!$C$5,B1578=リスト!$C$6),COUNTBLANK(INDEX(B:B,MATCH(I1578-1,I:I,0)+1,1):INDEX(B:B,MATCH(I1578,I:I,0)-1,1)),"")</f>
        <v>#NAME?</v>
      </c>
      <c r="F1578" s="199" t="s">
        <v>189</v>
      </c>
      <c r="G1578" s="140" t="e">
        <f ca="1">mif(C1578="","",OR(B1578=リスト!$C$5,B1578=リスト!$C$6),SUM(INDEX(G:G,MATCH(I1578-1,I:I,0)+1,1):INDEX(G:G,MATCH(I1578,I:I,0)-1,1)),D1578-C1578)</f>
        <v>#NAME?</v>
      </c>
      <c r="H1578" s="140" t="e">
        <f ca="1">mif(C1578="","",B1578=リスト!$C$5,SUMIF(INDEX(B:B,MATCH(I1578-1,I:I,0)+1,1):INDEX(B:B,MATCH(I1578,I:I,0)-1,1),リスト!$C$7,INDEX(G:G,MATCH(I1578-1,I:I,0)+1,1):INDEX(G:G,MATCH(I1578,I:I,0)-1,1)),"")</f>
        <v>#NAME?</v>
      </c>
      <c r="I1578" s="200" t="str">
        <f>IF(OR(B1578=リスト!$C$5,B1578=リスト!$C$6),COUNTIF($B$9:B1578,リスト!$C$5)+COUNTIF($B$9:B1578,リスト!$C$6),"")</f>
        <v/>
      </c>
    </row>
    <row r="1579" spans="2:9" x14ac:dyDescent="0.2">
      <c r="B1579" s="196"/>
      <c r="C1579" s="197"/>
      <c r="D1579" s="197"/>
      <c r="E1579" s="198" t="e">
        <f ca="1">mif(OR(C1579="",B1579=リスト!$C$7),"",B1579="","RF",OR(B1579=リスト!$C$5,B1579=リスト!$C$6),COUNTBLANK(INDEX(B:B,MATCH(I1579-1,I:I,0)+1,1):INDEX(B:B,MATCH(I1579,I:I,0)-1,1)),"")</f>
        <v>#NAME?</v>
      </c>
      <c r="F1579" s="199" t="s">
        <v>189</v>
      </c>
      <c r="G1579" s="140" t="e">
        <f ca="1">mif(C1579="","",OR(B1579=リスト!$C$5,B1579=リスト!$C$6),SUM(INDEX(G:G,MATCH(I1579-1,I:I,0)+1,1):INDEX(G:G,MATCH(I1579,I:I,0)-1,1)),D1579-C1579)</f>
        <v>#NAME?</v>
      </c>
      <c r="H1579" s="140" t="e">
        <f ca="1">mif(C1579="","",B1579=リスト!$C$5,SUMIF(INDEX(B:B,MATCH(I1579-1,I:I,0)+1,1):INDEX(B:B,MATCH(I1579,I:I,0)-1,1),リスト!$C$7,INDEX(G:G,MATCH(I1579-1,I:I,0)+1,1):INDEX(G:G,MATCH(I1579,I:I,0)-1,1)),"")</f>
        <v>#NAME?</v>
      </c>
      <c r="I1579" s="200" t="str">
        <f>IF(OR(B1579=リスト!$C$5,B1579=リスト!$C$6),COUNTIF($B$9:B1579,リスト!$C$5)+COUNTIF($B$9:B1579,リスト!$C$6),"")</f>
        <v/>
      </c>
    </row>
    <row r="1580" spans="2:9" x14ac:dyDescent="0.2">
      <c r="B1580" s="196"/>
      <c r="C1580" s="197"/>
      <c r="D1580" s="197"/>
      <c r="E1580" s="198" t="e">
        <f ca="1">mif(OR(C1580="",B1580=リスト!$C$7),"",B1580="","RF",OR(B1580=リスト!$C$5,B1580=リスト!$C$6),COUNTBLANK(INDEX(B:B,MATCH(I1580-1,I:I,0)+1,1):INDEX(B:B,MATCH(I1580,I:I,0)-1,1)),"")</f>
        <v>#NAME?</v>
      </c>
      <c r="F1580" s="199" t="s">
        <v>189</v>
      </c>
      <c r="G1580" s="140" t="e">
        <f ca="1">mif(C1580="","",OR(B1580=リスト!$C$5,B1580=リスト!$C$6),SUM(INDEX(G:G,MATCH(I1580-1,I:I,0)+1,1):INDEX(G:G,MATCH(I1580,I:I,0)-1,1)),D1580-C1580)</f>
        <v>#NAME?</v>
      </c>
      <c r="H1580" s="140" t="e">
        <f ca="1">mif(C1580="","",B1580=リスト!$C$5,SUMIF(INDEX(B:B,MATCH(I1580-1,I:I,0)+1,1):INDEX(B:B,MATCH(I1580,I:I,0)-1,1),リスト!$C$7,INDEX(G:G,MATCH(I1580-1,I:I,0)+1,1):INDEX(G:G,MATCH(I1580,I:I,0)-1,1)),"")</f>
        <v>#NAME?</v>
      </c>
      <c r="I1580" s="200" t="str">
        <f>IF(OR(B1580=リスト!$C$5,B1580=リスト!$C$6),COUNTIF($B$9:B1580,リスト!$C$5)+COUNTIF($B$9:B1580,リスト!$C$6),"")</f>
        <v/>
      </c>
    </row>
    <row r="1581" spans="2:9" x14ac:dyDescent="0.2">
      <c r="B1581" s="196"/>
      <c r="C1581" s="197"/>
      <c r="D1581" s="197"/>
      <c r="E1581" s="198" t="e">
        <f ca="1">mif(OR(C1581="",B1581=リスト!$C$7),"",B1581="","RF",OR(B1581=リスト!$C$5,B1581=リスト!$C$6),COUNTBLANK(INDEX(B:B,MATCH(I1581-1,I:I,0)+1,1):INDEX(B:B,MATCH(I1581,I:I,0)-1,1)),"")</f>
        <v>#NAME?</v>
      </c>
      <c r="F1581" s="199" t="s">
        <v>189</v>
      </c>
      <c r="G1581" s="140" t="e">
        <f ca="1">mif(C1581="","",OR(B1581=リスト!$C$5,B1581=リスト!$C$6),SUM(INDEX(G:G,MATCH(I1581-1,I:I,0)+1,1):INDEX(G:G,MATCH(I1581,I:I,0)-1,1)),D1581-C1581)</f>
        <v>#NAME?</v>
      </c>
      <c r="H1581" s="140" t="e">
        <f ca="1">mif(C1581="","",B1581=リスト!$C$5,SUMIF(INDEX(B:B,MATCH(I1581-1,I:I,0)+1,1):INDEX(B:B,MATCH(I1581,I:I,0)-1,1),リスト!$C$7,INDEX(G:G,MATCH(I1581-1,I:I,0)+1,1):INDEX(G:G,MATCH(I1581,I:I,0)-1,1)),"")</f>
        <v>#NAME?</v>
      </c>
      <c r="I1581" s="200" t="str">
        <f>IF(OR(B1581=リスト!$C$5,B1581=リスト!$C$6),COUNTIF($B$9:B1581,リスト!$C$5)+COUNTIF($B$9:B1581,リスト!$C$6),"")</f>
        <v/>
      </c>
    </row>
    <row r="1582" spans="2:9" x14ac:dyDescent="0.2">
      <c r="B1582" s="196"/>
      <c r="C1582" s="197"/>
      <c r="D1582" s="197"/>
      <c r="E1582" s="198" t="e">
        <f ca="1">mif(OR(C1582="",B1582=リスト!$C$7),"",B1582="","RF",OR(B1582=リスト!$C$5,B1582=リスト!$C$6),COUNTBLANK(INDEX(B:B,MATCH(I1582-1,I:I,0)+1,1):INDEX(B:B,MATCH(I1582,I:I,0)-1,1)),"")</f>
        <v>#NAME?</v>
      </c>
      <c r="F1582" s="199" t="s">
        <v>189</v>
      </c>
      <c r="G1582" s="140" t="e">
        <f ca="1">mif(C1582="","",OR(B1582=リスト!$C$5,B1582=リスト!$C$6),SUM(INDEX(G:G,MATCH(I1582-1,I:I,0)+1,1):INDEX(G:G,MATCH(I1582,I:I,0)-1,1)),D1582-C1582)</f>
        <v>#NAME?</v>
      </c>
      <c r="H1582" s="140" t="e">
        <f ca="1">mif(C1582="","",B1582=リスト!$C$5,SUMIF(INDEX(B:B,MATCH(I1582-1,I:I,0)+1,1):INDEX(B:B,MATCH(I1582,I:I,0)-1,1),リスト!$C$7,INDEX(G:G,MATCH(I1582-1,I:I,0)+1,1):INDEX(G:G,MATCH(I1582,I:I,0)-1,1)),"")</f>
        <v>#NAME?</v>
      </c>
      <c r="I1582" s="200" t="str">
        <f>IF(OR(B1582=リスト!$C$5,B1582=リスト!$C$6),COUNTIF($B$9:B1582,リスト!$C$5)+COUNTIF($B$9:B1582,リスト!$C$6),"")</f>
        <v/>
      </c>
    </row>
    <row r="1583" spans="2:9" x14ac:dyDescent="0.2">
      <c r="B1583" s="196"/>
      <c r="C1583" s="197"/>
      <c r="D1583" s="197"/>
      <c r="E1583" s="198" t="e">
        <f ca="1">mif(OR(C1583="",B1583=リスト!$C$7),"",B1583="","RF",OR(B1583=リスト!$C$5,B1583=リスト!$C$6),COUNTBLANK(INDEX(B:B,MATCH(I1583-1,I:I,0)+1,1):INDEX(B:B,MATCH(I1583,I:I,0)-1,1)),"")</f>
        <v>#NAME?</v>
      </c>
      <c r="F1583" s="199" t="s">
        <v>189</v>
      </c>
      <c r="G1583" s="140" t="e">
        <f ca="1">mif(C1583="","",OR(B1583=リスト!$C$5,B1583=リスト!$C$6),SUM(INDEX(G:G,MATCH(I1583-1,I:I,0)+1,1):INDEX(G:G,MATCH(I1583,I:I,0)-1,1)),D1583-C1583)</f>
        <v>#NAME?</v>
      </c>
      <c r="H1583" s="140" t="e">
        <f ca="1">mif(C1583="","",B1583=リスト!$C$5,SUMIF(INDEX(B:B,MATCH(I1583-1,I:I,0)+1,1):INDEX(B:B,MATCH(I1583,I:I,0)-1,1),リスト!$C$7,INDEX(G:G,MATCH(I1583-1,I:I,0)+1,1):INDEX(G:G,MATCH(I1583,I:I,0)-1,1)),"")</f>
        <v>#NAME?</v>
      </c>
      <c r="I1583" s="200" t="str">
        <f>IF(OR(B1583=リスト!$C$5,B1583=リスト!$C$6),COUNTIF($B$9:B1583,リスト!$C$5)+COUNTIF($B$9:B1583,リスト!$C$6),"")</f>
        <v/>
      </c>
    </row>
    <row r="1584" spans="2:9" x14ac:dyDescent="0.2">
      <c r="B1584" s="196"/>
      <c r="C1584" s="197"/>
      <c r="D1584" s="197"/>
      <c r="E1584" s="198" t="e">
        <f ca="1">mif(OR(C1584="",B1584=リスト!$C$7),"",B1584="","RF",OR(B1584=リスト!$C$5,B1584=リスト!$C$6),COUNTBLANK(INDEX(B:B,MATCH(I1584-1,I:I,0)+1,1):INDEX(B:B,MATCH(I1584,I:I,0)-1,1)),"")</f>
        <v>#NAME?</v>
      </c>
      <c r="F1584" s="199" t="s">
        <v>189</v>
      </c>
      <c r="G1584" s="140" t="e">
        <f ca="1">mif(C1584="","",OR(B1584=リスト!$C$5,B1584=リスト!$C$6),SUM(INDEX(G:G,MATCH(I1584-1,I:I,0)+1,1):INDEX(G:G,MATCH(I1584,I:I,0)-1,1)),D1584-C1584)</f>
        <v>#NAME?</v>
      </c>
      <c r="H1584" s="140" t="e">
        <f ca="1">mif(C1584="","",B1584=リスト!$C$5,SUMIF(INDEX(B:B,MATCH(I1584-1,I:I,0)+1,1):INDEX(B:B,MATCH(I1584,I:I,0)-1,1),リスト!$C$7,INDEX(G:G,MATCH(I1584-1,I:I,0)+1,1):INDEX(G:G,MATCH(I1584,I:I,0)-1,1)),"")</f>
        <v>#NAME?</v>
      </c>
      <c r="I1584" s="200" t="str">
        <f>IF(OR(B1584=リスト!$C$5,B1584=リスト!$C$6),COUNTIF($B$9:B1584,リスト!$C$5)+COUNTIF($B$9:B1584,リスト!$C$6),"")</f>
        <v/>
      </c>
    </row>
    <row r="1585" spans="2:9" x14ac:dyDescent="0.2">
      <c r="B1585" s="196"/>
      <c r="C1585" s="197"/>
      <c r="D1585" s="197"/>
      <c r="E1585" s="198" t="e">
        <f ca="1">mif(OR(C1585="",B1585=リスト!$C$7),"",B1585="","RF",OR(B1585=リスト!$C$5,B1585=リスト!$C$6),COUNTBLANK(INDEX(B:B,MATCH(I1585-1,I:I,0)+1,1):INDEX(B:B,MATCH(I1585,I:I,0)-1,1)),"")</f>
        <v>#NAME?</v>
      </c>
      <c r="F1585" s="199" t="s">
        <v>189</v>
      </c>
      <c r="G1585" s="140" t="e">
        <f ca="1">mif(C1585="","",OR(B1585=リスト!$C$5,B1585=リスト!$C$6),SUM(INDEX(G:G,MATCH(I1585-1,I:I,0)+1,1):INDEX(G:G,MATCH(I1585,I:I,0)-1,1)),D1585-C1585)</f>
        <v>#NAME?</v>
      </c>
      <c r="H1585" s="140" t="e">
        <f ca="1">mif(C1585="","",B1585=リスト!$C$5,SUMIF(INDEX(B:B,MATCH(I1585-1,I:I,0)+1,1):INDEX(B:B,MATCH(I1585,I:I,0)-1,1),リスト!$C$7,INDEX(G:G,MATCH(I1585-1,I:I,0)+1,1):INDEX(G:G,MATCH(I1585,I:I,0)-1,1)),"")</f>
        <v>#NAME?</v>
      </c>
      <c r="I1585" s="200" t="str">
        <f>IF(OR(B1585=リスト!$C$5,B1585=リスト!$C$6),COUNTIF($B$9:B1585,リスト!$C$5)+COUNTIF($B$9:B1585,リスト!$C$6),"")</f>
        <v/>
      </c>
    </row>
    <row r="1586" spans="2:9" x14ac:dyDescent="0.2">
      <c r="B1586" s="196"/>
      <c r="C1586" s="197"/>
      <c r="D1586" s="197"/>
      <c r="E1586" s="198" t="e">
        <f ca="1">mif(OR(C1586="",B1586=リスト!$C$7),"",B1586="","RF",OR(B1586=リスト!$C$5,B1586=リスト!$C$6),COUNTBLANK(INDEX(B:B,MATCH(I1586-1,I:I,0)+1,1):INDEX(B:B,MATCH(I1586,I:I,0)-1,1)),"")</f>
        <v>#NAME?</v>
      </c>
      <c r="F1586" s="199" t="s">
        <v>189</v>
      </c>
      <c r="G1586" s="140" t="e">
        <f ca="1">mif(C1586="","",OR(B1586=リスト!$C$5,B1586=リスト!$C$6),SUM(INDEX(G:G,MATCH(I1586-1,I:I,0)+1,1):INDEX(G:G,MATCH(I1586,I:I,0)-1,1)),D1586-C1586)</f>
        <v>#NAME?</v>
      </c>
      <c r="H1586" s="140" t="e">
        <f ca="1">mif(C1586="","",B1586=リスト!$C$5,SUMIF(INDEX(B:B,MATCH(I1586-1,I:I,0)+1,1):INDEX(B:B,MATCH(I1586,I:I,0)-1,1),リスト!$C$7,INDEX(G:G,MATCH(I1586-1,I:I,0)+1,1):INDEX(G:G,MATCH(I1586,I:I,0)-1,1)),"")</f>
        <v>#NAME?</v>
      </c>
      <c r="I1586" s="200" t="str">
        <f>IF(OR(B1586=リスト!$C$5,B1586=リスト!$C$6),COUNTIF($B$9:B1586,リスト!$C$5)+COUNTIF($B$9:B1586,リスト!$C$6),"")</f>
        <v/>
      </c>
    </row>
    <row r="1587" spans="2:9" x14ac:dyDescent="0.2">
      <c r="B1587" s="196"/>
      <c r="C1587" s="197"/>
      <c r="D1587" s="197"/>
      <c r="E1587" s="198" t="e">
        <f ca="1">mif(OR(C1587="",B1587=リスト!$C$7),"",B1587="","RF",OR(B1587=リスト!$C$5,B1587=リスト!$C$6),COUNTBLANK(INDEX(B:B,MATCH(I1587-1,I:I,0)+1,1):INDEX(B:B,MATCH(I1587,I:I,0)-1,1)),"")</f>
        <v>#NAME?</v>
      </c>
      <c r="F1587" s="199" t="s">
        <v>189</v>
      </c>
      <c r="G1587" s="140" t="e">
        <f ca="1">mif(C1587="","",OR(B1587=リスト!$C$5,B1587=リスト!$C$6),SUM(INDEX(G:G,MATCH(I1587-1,I:I,0)+1,1):INDEX(G:G,MATCH(I1587,I:I,0)-1,1)),D1587-C1587)</f>
        <v>#NAME?</v>
      </c>
      <c r="H1587" s="140" t="e">
        <f ca="1">mif(C1587="","",B1587=リスト!$C$5,SUMIF(INDEX(B:B,MATCH(I1587-1,I:I,0)+1,1):INDEX(B:B,MATCH(I1587,I:I,0)-1,1),リスト!$C$7,INDEX(G:G,MATCH(I1587-1,I:I,0)+1,1):INDEX(G:G,MATCH(I1587,I:I,0)-1,1)),"")</f>
        <v>#NAME?</v>
      </c>
      <c r="I1587" s="200" t="str">
        <f>IF(OR(B1587=リスト!$C$5,B1587=リスト!$C$6),COUNTIF($B$9:B1587,リスト!$C$5)+COUNTIF($B$9:B1587,リスト!$C$6),"")</f>
        <v/>
      </c>
    </row>
    <row r="1588" spans="2:9" x14ac:dyDescent="0.2">
      <c r="B1588" s="196"/>
      <c r="C1588" s="197"/>
      <c r="D1588" s="197"/>
      <c r="E1588" s="198" t="e">
        <f ca="1">mif(OR(C1588="",B1588=リスト!$C$7),"",B1588="","RF",OR(B1588=リスト!$C$5,B1588=リスト!$C$6),COUNTBLANK(INDEX(B:B,MATCH(I1588-1,I:I,0)+1,1):INDEX(B:B,MATCH(I1588,I:I,0)-1,1)),"")</f>
        <v>#NAME?</v>
      </c>
      <c r="F1588" s="199" t="s">
        <v>189</v>
      </c>
      <c r="G1588" s="140" t="e">
        <f ca="1">mif(C1588="","",OR(B1588=リスト!$C$5,B1588=リスト!$C$6),SUM(INDEX(G:G,MATCH(I1588-1,I:I,0)+1,1):INDEX(G:G,MATCH(I1588,I:I,0)-1,1)),D1588-C1588)</f>
        <v>#NAME?</v>
      </c>
      <c r="H1588" s="140" t="e">
        <f ca="1">mif(C1588="","",B1588=リスト!$C$5,SUMIF(INDEX(B:B,MATCH(I1588-1,I:I,0)+1,1):INDEX(B:B,MATCH(I1588,I:I,0)-1,1),リスト!$C$7,INDEX(G:G,MATCH(I1588-1,I:I,0)+1,1):INDEX(G:G,MATCH(I1588,I:I,0)-1,1)),"")</f>
        <v>#NAME?</v>
      </c>
      <c r="I1588" s="200" t="str">
        <f>IF(OR(B1588=リスト!$C$5,B1588=リスト!$C$6),COUNTIF($B$9:B1588,リスト!$C$5)+COUNTIF($B$9:B1588,リスト!$C$6),"")</f>
        <v/>
      </c>
    </row>
    <row r="1589" spans="2:9" x14ac:dyDescent="0.2">
      <c r="B1589" s="196"/>
      <c r="C1589" s="197"/>
      <c r="D1589" s="197"/>
      <c r="E1589" s="198" t="e">
        <f ca="1">mif(OR(C1589="",B1589=リスト!$C$7),"",B1589="","RF",OR(B1589=リスト!$C$5,B1589=リスト!$C$6),COUNTBLANK(INDEX(B:B,MATCH(I1589-1,I:I,0)+1,1):INDEX(B:B,MATCH(I1589,I:I,0)-1,1)),"")</f>
        <v>#NAME?</v>
      </c>
      <c r="F1589" s="199" t="s">
        <v>189</v>
      </c>
      <c r="G1589" s="140" t="e">
        <f ca="1">mif(C1589="","",OR(B1589=リスト!$C$5,B1589=リスト!$C$6),SUM(INDEX(G:G,MATCH(I1589-1,I:I,0)+1,1):INDEX(G:G,MATCH(I1589,I:I,0)-1,1)),D1589-C1589)</f>
        <v>#NAME?</v>
      </c>
      <c r="H1589" s="140" t="e">
        <f ca="1">mif(C1589="","",B1589=リスト!$C$5,SUMIF(INDEX(B:B,MATCH(I1589-1,I:I,0)+1,1):INDEX(B:B,MATCH(I1589,I:I,0)-1,1),リスト!$C$7,INDEX(G:G,MATCH(I1589-1,I:I,0)+1,1):INDEX(G:G,MATCH(I1589,I:I,0)-1,1)),"")</f>
        <v>#NAME?</v>
      </c>
      <c r="I1589" s="200" t="str">
        <f>IF(OR(B1589=リスト!$C$5,B1589=リスト!$C$6),COUNTIF($B$9:B1589,リスト!$C$5)+COUNTIF($B$9:B1589,リスト!$C$6),"")</f>
        <v/>
      </c>
    </row>
    <row r="1590" spans="2:9" x14ac:dyDescent="0.2">
      <c r="B1590" s="196"/>
      <c r="C1590" s="197"/>
      <c r="D1590" s="197"/>
      <c r="E1590" s="198" t="e">
        <f ca="1">mif(OR(C1590="",B1590=リスト!$C$7),"",B1590="","RF",OR(B1590=リスト!$C$5,B1590=リスト!$C$6),COUNTBLANK(INDEX(B:B,MATCH(I1590-1,I:I,0)+1,1):INDEX(B:B,MATCH(I1590,I:I,0)-1,1)),"")</f>
        <v>#NAME?</v>
      </c>
      <c r="F1590" s="199" t="s">
        <v>189</v>
      </c>
      <c r="G1590" s="140" t="e">
        <f ca="1">mif(C1590="","",OR(B1590=リスト!$C$5,B1590=リスト!$C$6),SUM(INDEX(G:G,MATCH(I1590-1,I:I,0)+1,1):INDEX(G:G,MATCH(I1590,I:I,0)-1,1)),D1590-C1590)</f>
        <v>#NAME?</v>
      </c>
      <c r="H1590" s="140" t="e">
        <f ca="1">mif(C1590="","",B1590=リスト!$C$5,SUMIF(INDEX(B:B,MATCH(I1590-1,I:I,0)+1,1):INDEX(B:B,MATCH(I1590,I:I,0)-1,1),リスト!$C$7,INDEX(G:G,MATCH(I1590-1,I:I,0)+1,1):INDEX(G:G,MATCH(I1590,I:I,0)-1,1)),"")</f>
        <v>#NAME?</v>
      </c>
      <c r="I1590" s="200" t="str">
        <f>IF(OR(B1590=リスト!$C$5,B1590=リスト!$C$6),COUNTIF($B$9:B1590,リスト!$C$5)+COUNTIF($B$9:B1590,リスト!$C$6),"")</f>
        <v/>
      </c>
    </row>
    <row r="1591" spans="2:9" x14ac:dyDescent="0.2">
      <c r="B1591" s="196"/>
      <c r="C1591" s="197"/>
      <c r="D1591" s="197"/>
      <c r="E1591" s="198" t="e">
        <f ca="1">mif(OR(C1591="",B1591=リスト!$C$7),"",B1591="","RF",OR(B1591=リスト!$C$5,B1591=リスト!$C$6),COUNTBLANK(INDEX(B:B,MATCH(I1591-1,I:I,0)+1,1):INDEX(B:B,MATCH(I1591,I:I,0)-1,1)),"")</f>
        <v>#NAME?</v>
      </c>
      <c r="F1591" s="199" t="s">
        <v>189</v>
      </c>
      <c r="G1591" s="140" t="e">
        <f ca="1">mif(C1591="","",OR(B1591=リスト!$C$5,B1591=リスト!$C$6),SUM(INDEX(G:G,MATCH(I1591-1,I:I,0)+1,1):INDEX(G:G,MATCH(I1591,I:I,0)-1,1)),D1591-C1591)</f>
        <v>#NAME?</v>
      </c>
      <c r="H1591" s="140" t="e">
        <f ca="1">mif(C1591="","",B1591=リスト!$C$5,SUMIF(INDEX(B:B,MATCH(I1591-1,I:I,0)+1,1):INDEX(B:B,MATCH(I1591,I:I,0)-1,1),リスト!$C$7,INDEX(G:G,MATCH(I1591-1,I:I,0)+1,1):INDEX(G:G,MATCH(I1591,I:I,0)-1,1)),"")</f>
        <v>#NAME?</v>
      </c>
      <c r="I1591" s="200" t="str">
        <f>IF(OR(B1591=リスト!$C$5,B1591=リスト!$C$6),COUNTIF($B$9:B1591,リスト!$C$5)+COUNTIF($B$9:B1591,リスト!$C$6),"")</f>
        <v/>
      </c>
    </row>
    <row r="1592" spans="2:9" x14ac:dyDescent="0.2">
      <c r="B1592" s="196"/>
      <c r="C1592" s="197"/>
      <c r="D1592" s="197"/>
      <c r="E1592" s="198" t="e">
        <f ca="1">mif(OR(C1592="",B1592=リスト!$C$7),"",B1592="","RF",OR(B1592=リスト!$C$5,B1592=リスト!$C$6),COUNTBLANK(INDEX(B:B,MATCH(I1592-1,I:I,0)+1,1):INDEX(B:B,MATCH(I1592,I:I,0)-1,1)),"")</f>
        <v>#NAME?</v>
      </c>
      <c r="F1592" s="199" t="s">
        <v>189</v>
      </c>
      <c r="G1592" s="140" t="e">
        <f ca="1">mif(C1592="","",OR(B1592=リスト!$C$5,B1592=リスト!$C$6),SUM(INDEX(G:G,MATCH(I1592-1,I:I,0)+1,1):INDEX(G:G,MATCH(I1592,I:I,0)-1,1)),D1592-C1592)</f>
        <v>#NAME?</v>
      </c>
      <c r="H1592" s="140" t="e">
        <f ca="1">mif(C1592="","",B1592=リスト!$C$5,SUMIF(INDEX(B:B,MATCH(I1592-1,I:I,0)+1,1):INDEX(B:B,MATCH(I1592,I:I,0)-1,1),リスト!$C$7,INDEX(G:G,MATCH(I1592-1,I:I,0)+1,1):INDEX(G:G,MATCH(I1592,I:I,0)-1,1)),"")</f>
        <v>#NAME?</v>
      </c>
      <c r="I1592" s="200" t="str">
        <f>IF(OR(B1592=リスト!$C$5,B1592=リスト!$C$6),COUNTIF($B$9:B1592,リスト!$C$5)+COUNTIF($B$9:B1592,リスト!$C$6),"")</f>
        <v/>
      </c>
    </row>
    <row r="1593" spans="2:9" x14ac:dyDescent="0.2">
      <c r="B1593" s="196"/>
      <c r="C1593" s="197"/>
      <c r="D1593" s="197"/>
      <c r="E1593" s="198" t="e">
        <f ca="1">mif(OR(C1593="",B1593=リスト!$C$7),"",B1593="","RF",OR(B1593=リスト!$C$5,B1593=リスト!$C$6),COUNTBLANK(INDEX(B:B,MATCH(I1593-1,I:I,0)+1,1):INDEX(B:B,MATCH(I1593,I:I,0)-1,1)),"")</f>
        <v>#NAME?</v>
      </c>
      <c r="F1593" s="199" t="s">
        <v>189</v>
      </c>
      <c r="G1593" s="140" t="e">
        <f ca="1">mif(C1593="","",OR(B1593=リスト!$C$5,B1593=リスト!$C$6),SUM(INDEX(G:G,MATCH(I1593-1,I:I,0)+1,1):INDEX(G:G,MATCH(I1593,I:I,0)-1,1)),D1593-C1593)</f>
        <v>#NAME?</v>
      </c>
      <c r="H1593" s="140" t="e">
        <f ca="1">mif(C1593="","",B1593=リスト!$C$5,SUMIF(INDEX(B:B,MATCH(I1593-1,I:I,0)+1,1):INDEX(B:B,MATCH(I1593,I:I,0)-1,1),リスト!$C$7,INDEX(G:G,MATCH(I1593-1,I:I,0)+1,1):INDEX(G:G,MATCH(I1593,I:I,0)-1,1)),"")</f>
        <v>#NAME?</v>
      </c>
      <c r="I1593" s="200" t="str">
        <f>IF(OR(B1593=リスト!$C$5,B1593=リスト!$C$6),COUNTIF($B$9:B1593,リスト!$C$5)+COUNTIF($B$9:B1593,リスト!$C$6),"")</f>
        <v/>
      </c>
    </row>
    <row r="1594" spans="2:9" x14ac:dyDescent="0.2">
      <c r="B1594" s="196"/>
      <c r="C1594" s="197"/>
      <c r="D1594" s="197"/>
      <c r="E1594" s="198" t="e">
        <f ca="1">mif(OR(C1594="",B1594=リスト!$C$7),"",B1594="","RF",OR(B1594=リスト!$C$5,B1594=リスト!$C$6),COUNTBLANK(INDEX(B:B,MATCH(I1594-1,I:I,0)+1,1):INDEX(B:B,MATCH(I1594,I:I,0)-1,1)),"")</f>
        <v>#NAME?</v>
      </c>
      <c r="F1594" s="199" t="s">
        <v>189</v>
      </c>
      <c r="G1594" s="140" t="e">
        <f ca="1">mif(C1594="","",OR(B1594=リスト!$C$5,B1594=リスト!$C$6),SUM(INDEX(G:G,MATCH(I1594-1,I:I,0)+1,1):INDEX(G:G,MATCH(I1594,I:I,0)-1,1)),D1594-C1594)</f>
        <v>#NAME?</v>
      </c>
      <c r="H1594" s="140" t="e">
        <f ca="1">mif(C1594="","",B1594=リスト!$C$5,SUMIF(INDEX(B:B,MATCH(I1594-1,I:I,0)+1,1):INDEX(B:B,MATCH(I1594,I:I,0)-1,1),リスト!$C$7,INDEX(G:G,MATCH(I1594-1,I:I,0)+1,1):INDEX(G:G,MATCH(I1594,I:I,0)-1,1)),"")</f>
        <v>#NAME?</v>
      </c>
      <c r="I1594" s="200" t="str">
        <f>IF(OR(B1594=リスト!$C$5,B1594=リスト!$C$6),COUNTIF($B$9:B1594,リスト!$C$5)+COUNTIF($B$9:B1594,リスト!$C$6),"")</f>
        <v/>
      </c>
    </row>
    <row r="1595" spans="2:9" x14ac:dyDescent="0.2">
      <c r="B1595" s="196"/>
      <c r="C1595" s="197"/>
      <c r="D1595" s="197"/>
      <c r="E1595" s="198" t="e">
        <f ca="1">mif(OR(C1595="",B1595=リスト!$C$7),"",B1595="","RF",OR(B1595=リスト!$C$5,B1595=リスト!$C$6),COUNTBLANK(INDEX(B:B,MATCH(I1595-1,I:I,0)+1,1):INDEX(B:B,MATCH(I1595,I:I,0)-1,1)),"")</f>
        <v>#NAME?</v>
      </c>
      <c r="F1595" s="199" t="s">
        <v>189</v>
      </c>
      <c r="G1595" s="140" t="e">
        <f ca="1">mif(C1595="","",OR(B1595=リスト!$C$5,B1595=リスト!$C$6),SUM(INDEX(G:G,MATCH(I1595-1,I:I,0)+1,1):INDEX(G:G,MATCH(I1595,I:I,0)-1,1)),D1595-C1595)</f>
        <v>#NAME?</v>
      </c>
      <c r="H1595" s="140" t="e">
        <f ca="1">mif(C1595="","",B1595=リスト!$C$5,SUMIF(INDEX(B:B,MATCH(I1595-1,I:I,0)+1,1):INDEX(B:B,MATCH(I1595,I:I,0)-1,1),リスト!$C$7,INDEX(G:G,MATCH(I1595-1,I:I,0)+1,1):INDEX(G:G,MATCH(I1595,I:I,0)-1,1)),"")</f>
        <v>#NAME?</v>
      </c>
      <c r="I1595" s="200" t="str">
        <f>IF(OR(B1595=リスト!$C$5,B1595=リスト!$C$6),COUNTIF($B$9:B1595,リスト!$C$5)+COUNTIF($B$9:B1595,リスト!$C$6),"")</f>
        <v/>
      </c>
    </row>
    <row r="1596" spans="2:9" x14ac:dyDescent="0.2">
      <c r="B1596" s="196"/>
      <c r="C1596" s="197"/>
      <c r="D1596" s="197"/>
      <c r="E1596" s="198" t="e">
        <f ca="1">mif(OR(C1596="",B1596=リスト!$C$7),"",B1596="","RF",OR(B1596=リスト!$C$5,B1596=リスト!$C$6),COUNTBLANK(INDEX(B:B,MATCH(I1596-1,I:I,0)+1,1):INDEX(B:B,MATCH(I1596,I:I,0)-1,1)),"")</f>
        <v>#NAME?</v>
      </c>
      <c r="F1596" s="199" t="s">
        <v>189</v>
      </c>
      <c r="G1596" s="140" t="e">
        <f ca="1">mif(C1596="","",OR(B1596=リスト!$C$5,B1596=リスト!$C$6),SUM(INDEX(G:G,MATCH(I1596-1,I:I,0)+1,1):INDEX(G:G,MATCH(I1596,I:I,0)-1,1)),D1596-C1596)</f>
        <v>#NAME?</v>
      </c>
      <c r="H1596" s="140" t="e">
        <f ca="1">mif(C1596="","",B1596=リスト!$C$5,SUMIF(INDEX(B:B,MATCH(I1596-1,I:I,0)+1,1):INDEX(B:B,MATCH(I1596,I:I,0)-1,1),リスト!$C$7,INDEX(G:G,MATCH(I1596-1,I:I,0)+1,1):INDEX(G:G,MATCH(I1596,I:I,0)-1,1)),"")</f>
        <v>#NAME?</v>
      </c>
      <c r="I1596" s="200" t="str">
        <f>IF(OR(B1596=リスト!$C$5,B1596=リスト!$C$6),COUNTIF($B$9:B1596,リスト!$C$5)+COUNTIF($B$9:B1596,リスト!$C$6),"")</f>
        <v/>
      </c>
    </row>
    <row r="1597" spans="2:9" x14ac:dyDescent="0.2">
      <c r="B1597" s="196"/>
      <c r="C1597" s="197"/>
      <c r="D1597" s="197"/>
      <c r="E1597" s="198" t="e">
        <f ca="1">mif(OR(C1597="",B1597=リスト!$C$7),"",B1597="","RF",OR(B1597=リスト!$C$5,B1597=リスト!$C$6),COUNTBLANK(INDEX(B:B,MATCH(I1597-1,I:I,0)+1,1):INDEX(B:B,MATCH(I1597,I:I,0)-1,1)),"")</f>
        <v>#NAME?</v>
      </c>
      <c r="F1597" s="199" t="s">
        <v>189</v>
      </c>
      <c r="G1597" s="140" t="e">
        <f ca="1">mif(C1597="","",OR(B1597=リスト!$C$5,B1597=リスト!$C$6),SUM(INDEX(G:G,MATCH(I1597-1,I:I,0)+1,1):INDEX(G:G,MATCH(I1597,I:I,0)-1,1)),D1597-C1597)</f>
        <v>#NAME?</v>
      </c>
      <c r="H1597" s="140" t="e">
        <f ca="1">mif(C1597="","",B1597=リスト!$C$5,SUMIF(INDEX(B:B,MATCH(I1597-1,I:I,0)+1,1):INDEX(B:B,MATCH(I1597,I:I,0)-1,1),リスト!$C$7,INDEX(G:G,MATCH(I1597-1,I:I,0)+1,1):INDEX(G:G,MATCH(I1597,I:I,0)-1,1)),"")</f>
        <v>#NAME?</v>
      </c>
      <c r="I1597" s="200" t="str">
        <f>IF(OR(B1597=リスト!$C$5,B1597=リスト!$C$6),COUNTIF($B$9:B1597,リスト!$C$5)+COUNTIF($B$9:B1597,リスト!$C$6),"")</f>
        <v/>
      </c>
    </row>
    <row r="1598" spans="2:9" x14ac:dyDescent="0.2">
      <c r="B1598" s="196"/>
      <c r="C1598" s="197"/>
      <c r="D1598" s="197"/>
      <c r="E1598" s="198" t="e">
        <f ca="1">mif(OR(C1598="",B1598=リスト!$C$7),"",B1598="","RF",OR(B1598=リスト!$C$5,B1598=リスト!$C$6),COUNTBLANK(INDEX(B:B,MATCH(I1598-1,I:I,0)+1,1):INDEX(B:B,MATCH(I1598,I:I,0)-1,1)),"")</f>
        <v>#NAME?</v>
      </c>
      <c r="F1598" s="199" t="s">
        <v>189</v>
      </c>
      <c r="G1598" s="140" t="e">
        <f ca="1">mif(C1598="","",OR(B1598=リスト!$C$5,B1598=リスト!$C$6),SUM(INDEX(G:G,MATCH(I1598-1,I:I,0)+1,1):INDEX(G:G,MATCH(I1598,I:I,0)-1,1)),D1598-C1598)</f>
        <v>#NAME?</v>
      </c>
      <c r="H1598" s="140" t="e">
        <f ca="1">mif(C1598="","",B1598=リスト!$C$5,SUMIF(INDEX(B:B,MATCH(I1598-1,I:I,0)+1,1):INDEX(B:B,MATCH(I1598,I:I,0)-1,1),リスト!$C$7,INDEX(G:G,MATCH(I1598-1,I:I,0)+1,1):INDEX(G:G,MATCH(I1598,I:I,0)-1,1)),"")</f>
        <v>#NAME?</v>
      </c>
      <c r="I1598" s="200" t="str">
        <f>IF(OR(B1598=リスト!$C$5,B1598=リスト!$C$6),COUNTIF($B$9:B1598,リスト!$C$5)+COUNTIF($B$9:B1598,リスト!$C$6),"")</f>
        <v/>
      </c>
    </row>
    <row r="1599" spans="2:9" x14ac:dyDescent="0.2">
      <c r="B1599" s="196"/>
      <c r="C1599" s="197"/>
      <c r="D1599" s="197"/>
      <c r="E1599" s="198" t="e">
        <f ca="1">mif(OR(C1599="",B1599=リスト!$C$7),"",B1599="","RF",OR(B1599=リスト!$C$5,B1599=リスト!$C$6),COUNTBLANK(INDEX(B:B,MATCH(I1599-1,I:I,0)+1,1):INDEX(B:B,MATCH(I1599,I:I,0)-1,1)),"")</f>
        <v>#NAME?</v>
      </c>
      <c r="F1599" s="199" t="s">
        <v>189</v>
      </c>
      <c r="G1599" s="140" t="e">
        <f ca="1">mif(C1599="","",OR(B1599=リスト!$C$5,B1599=リスト!$C$6),SUM(INDEX(G:G,MATCH(I1599-1,I:I,0)+1,1):INDEX(G:G,MATCH(I1599,I:I,0)-1,1)),D1599-C1599)</f>
        <v>#NAME?</v>
      </c>
      <c r="H1599" s="140" t="e">
        <f ca="1">mif(C1599="","",B1599=リスト!$C$5,SUMIF(INDEX(B:B,MATCH(I1599-1,I:I,0)+1,1):INDEX(B:B,MATCH(I1599,I:I,0)-1,1),リスト!$C$7,INDEX(G:G,MATCH(I1599-1,I:I,0)+1,1):INDEX(G:G,MATCH(I1599,I:I,0)-1,1)),"")</f>
        <v>#NAME?</v>
      </c>
      <c r="I1599" s="200" t="str">
        <f>IF(OR(B1599=リスト!$C$5,B1599=リスト!$C$6),COUNTIF($B$9:B1599,リスト!$C$5)+COUNTIF($B$9:B1599,リスト!$C$6),"")</f>
        <v/>
      </c>
    </row>
    <row r="1600" spans="2:9" x14ac:dyDescent="0.2">
      <c r="B1600" s="196"/>
      <c r="C1600" s="197"/>
      <c r="D1600" s="197"/>
      <c r="E1600" s="198" t="e">
        <f ca="1">mif(OR(C1600="",B1600=リスト!$C$7),"",B1600="","RF",OR(B1600=リスト!$C$5,B1600=リスト!$C$6),COUNTBLANK(INDEX(B:B,MATCH(I1600-1,I:I,0)+1,1):INDEX(B:B,MATCH(I1600,I:I,0)-1,1)),"")</f>
        <v>#NAME?</v>
      </c>
      <c r="F1600" s="199" t="s">
        <v>189</v>
      </c>
      <c r="G1600" s="140" t="e">
        <f ca="1">mif(C1600="","",OR(B1600=リスト!$C$5,B1600=リスト!$C$6),SUM(INDEX(G:G,MATCH(I1600-1,I:I,0)+1,1):INDEX(G:G,MATCH(I1600,I:I,0)-1,1)),D1600-C1600)</f>
        <v>#NAME?</v>
      </c>
      <c r="H1600" s="140" t="e">
        <f ca="1">mif(C1600="","",B1600=リスト!$C$5,SUMIF(INDEX(B:B,MATCH(I1600-1,I:I,0)+1,1):INDEX(B:B,MATCH(I1600,I:I,0)-1,1),リスト!$C$7,INDEX(G:G,MATCH(I1600-1,I:I,0)+1,1):INDEX(G:G,MATCH(I1600,I:I,0)-1,1)),"")</f>
        <v>#NAME?</v>
      </c>
      <c r="I1600" s="200" t="str">
        <f>IF(OR(B1600=リスト!$C$5,B1600=リスト!$C$6),COUNTIF($B$9:B1600,リスト!$C$5)+COUNTIF($B$9:B1600,リスト!$C$6),"")</f>
        <v/>
      </c>
    </row>
    <row r="1601" spans="2:9" x14ac:dyDescent="0.2">
      <c r="B1601" s="196"/>
      <c r="C1601" s="197"/>
      <c r="D1601" s="197"/>
      <c r="E1601" s="198" t="e">
        <f ca="1">mif(OR(C1601="",B1601=リスト!$C$7),"",B1601="","RF",OR(B1601=リスト!$C$5,B1601=リスト!$C$6),COUNTBLANK(INDEX(B:B,MATCH(I1601-1,I:I,0)+1,1):INDEX(B:B,MATCH(I1601,I:I,0)-1,1)),"")</f>
        <v>#NAME?</v>
      </c>
      <c r="F1601" s="199" t="s">
        <v>189</v>
      </c>
      <c r="G1601" s="140" t="e">
        <f ca="1">mif(C1601="","",OR(B1601=リスト!$C$5,B1601=リスト!$C$6),SUM(INDEX(G:G,MATCH(I1601-1,I:I,0)+1,1):INDEX(G:G,MATCH(I1601,I:I,0)-1,1)),D1601-C1601)</f>
        <v>#NAME?</v>
      </c>
      <c r="H1601" s="140" t="e">
        <f ca="1">mif(C1601="","",B1601=リスト!$C$5,SUMIF(INDEX(B:B,MATCH(I1601-1,I:I,0)+1,1):INDEX(B:B,MATCH(I1601,I:I,0)-1,1),リスト!$C$7,INDEX(G:G,MATCH(I1601-1,I:I,0)+1,1):INDEX(G:G,MATCH(I1601,I:I,0)-1,1)),"")</f>
        <v>#NAME?</v>
      </c>
      <c r="I1601" s="200" t="str">
        <f>IF(OR(B1601=リスト!$C$5,B1601=リスト!$C$6),COUNTIF($B$9:B1601,リスト!$C$5)+COUNTIF($B$9:B1601,リスト!$C$6),"")</f>
        <v/>
      </c>
    </row>
    <row r="1602" spans="2:9" x14ac:dyDescent="0.2">
      <c r="B1602" s="196"/>
      <c r="C1602" s="197"/>
      <c r="D1602" s="197"/>
      <c r="E1602" s="198" t="e">
        <f ca="1">mif(OR(C1602="",B1602=リスト!$C$7),"",B1602="","RF",OR(B1602=リスト!$C$5,B1602=リスト!$C$6),COUNTBLANK(INDEX(B:B,MATCH(I1602-1,I:I,0)+1,1):INDEX(B:B,MATCH(I1602,I:I,0)-1,1)),"")</f>
        <v>#NAME?</v>
      </c>
      <c r="F1602" s="199" t="s">
        <v>189</v>
      </c>
      <c r="G1602" s="140" t="e">
        <f ca="1">mif(C1602="","",OR(B1602=リスト!$C$5,B1602=リスト!$C$6),SUM(INDEX(G:G,MATCH(I1602-1,I:I,0)+1,1):INDEX(G:G,MATCH(I1602,I:I,0)-1,1)),D1602-C1602)</f>
        <v>#NAME?</v>
      </c>
      <c r="H1602" s="140" t="e">
        <f ca="1">mif(C1602="","",B1602=リスト!$C$5,SUMIF(INDEX(B:B,MATCH(I1602-1,I:I,0)+1,1):INDEX(B:B,MATCH(I1602,I:I,0)-1,1),リスト!$C$7,INDEX(G:G,MATCH(I1602-1,I:I,0)+1,1):INDEX(G:G,MATCH(I1602,I:I,0)-1,1)),"")</f>
        <v>#NAME?</v>
      </c>
      <c r="I1602" s="200" t="str">
        <f>IF(OR(B1602=リスト!$C$5,B1602=リスト!$C$6),COUNTIF($B$9:B1602,リスト!$C$5)+COUNTIF($B$9:B1602,リスト!$C$6),"")</f>
        <v/>
      </c>
    </row>
    <row r="1603" spans="2:9" x14ac:dyDescent="0.2">
      <c r="B1603" s="196"/>
      <c r="C1603" s="197"/>
      <c r="D1603" s="197"/>
      <c r="E1603" s="198" t="e">
        <f ca="1">mif(OR(C1603="",B1603=リスト!$C$7),"",B1603="","RF",OR(B1603=リスト!$C$5,B1603=リスト!$C$6),COUNTBLANK(INDEX(B:B,MATCH(I1603-1,I:I,0)+1,1):INDEX(B:B,MATCH(I1603,I:I,0)-1,1)),"")</f>
        <v>#NAME?</v>
      </c>
      <c r="F1603" s="199" t="s">
        <v>189</v>
      </c>
      <c r="G1603" s="140" t="e">
        <f ca="1">mif(C1603="","",OR(B1603=リスト!$C$5,B1603=リスト!$C$6),SUM(INDEX(G:G,MATCH(I1603-1,I:I,0)+1,1):INDEX(G:G,MATCH(I1603,I:I,0)-1,1)),D1603-C1603)</f>
        <v>#NAME?</v>
      </c>
      <c r="H1603" s="140" t="e">
        <f ca="1">mif(C1603="","",B1603=リスト!$C$5,SUMIF(INDEX(B:B,MATCH(I1603-1,I:I,0)+1,1):INDEX(B:B,MATCH(I1603,I:I,0)-1,1),リスト!$C$7,INDEX(G:G,MATCH(I1603-1,I:I,0)+1,1):INDEX(G:G,MATCH(I1603,I:I,0)-1,1)),"")</f>
        <v>#NAME?</v>
      </c>
      <c r="I1603" s="200" t="str">
        <f>IF(OR(B1603=リスト!$C$5,B1603=リスト!$C$6),COUNTIF($B$9:B1603,リスト!$C$5)+COUNTIF($B$9:B1603,リスト!$C$6),"")</f>
        <v/>
      </c>
    </row>
    <row r="1604" spans="2:9" x14ac:dyDescent="0.2">
      <c r="B1604" s="196"/>
      <c r="C1604" s="197"/>
      <c r="D1604" s="197"/>
      <c r="E1604" s="198" t="e">
        <f ca="1">mif(OR(C1604="",B1604=リスト!$C$7),"",B1604="","RF",OR(B1604=リスト!$C$5,B1604=リスト!$C$6),COUNTBLANK(INDEX(B:B,MATCH(I1604-1,I:I,0)+1,1):INDEX(B:B,MATCH(I1604,I:I,0)-1,1)),"")</f>
        <v>#NAME?</v>
      </c>
      <c r="F1604" s="199" t="s">
        <v>189</v>
      </c>
      <c r="G1604" s="140" t="e">
        <f ca="1">mif(C1604="","",OR(B1604=リスト!$C$5,B1604=リスト!$C$6),SUM(INDEX(G:G,MATCH(I1604-1,I:I,0)+1,1):INDEX(G:G,MATCH(I1604,I:I,0)-1,1)),D1604-C1604)</f>
        <v>#NAME?</v>
      </c>
      <c r="H1604" s="140" t="e">
        <f ca="1">mif(C1604="","",B1604=リスト!$C$5,SUMIF(INDEX(B:B,MATCH(I1604-1,I:I,0)+1,1):INDEX(B:B,MATCH(I1604,I:I,0)-1,1),リスト!$C$7,INDEX(G:G,MATCH(I1604-1,I:I,0)+1,1):INDEX(G:G,MATCH(I1604,I:I,0)-1,1)),"")</f>
        <v>#NAME?</v>
      </c>
      <c r="I1604" s="200" t="str">
        <f>IF(OR(B1604=リスト!$C$5,B1604=リスト!$C$6),COUNTIF($B$9:B1604,リスト!$C$5)+COUNTIF($B$9:B1604,リスト!$C$6),"")</f>
        <v/>
      </c>
    </row>
    <row r="1605" spans="2:9" x14ac:dyDescent="0.2">
      <c r="B1605" s="196"/>
      <c r="C1605" s="197"/>
      <c r="D1605" s="197"/>
      <c r="E1605" s="198" t="e">
        <f ca="1">mif(OR(C1605="",B1605=リスト!$C$7),"",B1605="","RF",OR(B1605=リスト!$C$5,B1605=リスト!$C$6),COUNTBLANK(INDEX(B:B,MATCH(I1605-1,I:I,0)+1,1):INDEX(B:B,MATCH(I1605,I:I,0)-1,1)),"")</f>
        <v>#NAME?</v>
      </c>
      <c r="F1605" s="199" t="s">
        <v>189</v>
      </c>
      <c r="G1605" s="140" t="e">
        <f ca="1">mif(C1605="","",OR(B1605=リスト!$C$5,B1605=リスト!$C$6),SUM(INDEX(G:G,MATCH(I1605-1,I:I,0)+1,1):INDEX(G:G,MATCH(I1605,I:I,0)-1,1)),D1605-C1605)</f>
        <v>#NAME?</v>
      </c>
      <c r="H1605" s="140" t="e">
        <f ca="1">mif(C1605="","",B1605=リスト!$C$5,SUMIF(INDEX(B:B,MATCH(I1605-1,I:I,0)+1,1):INDEX(B:B,MATCH(I1605,I:I,0)-1,1),リスト!$C$7,INDEX(G:G,MATCH(I1605-1,I:I,0)+1,1):INDEX(G:G,MATCH(I1605,I:I,0)-1,1)),"")</f>
        <v>#NAME?</v>
      </c>
      <c r="I1605" s="200" t="str">
        <f>IF(OR(B1605=リスト!$C$5,B1605=リスト!$C$6),COUNTIF($B$9:B1605,リスト!$C$5)+COUNTIF($B$9:B1605,リスト!$C$6),"")</f>
        <v/>
      </c>
    </row>
    <row r="1606" spans="2:9" x14ac:dyDescent="0.2">
      <c r="B1606" s="196"/>
      <c r="C1606" s="197"/>
      <c r="D1606" s="197"/>
      <c r="E1606" s="198" t="e">
        <f ca="1">mif(OR(C1606="",B1606=リスト!$C$7),"",B1606="","RF",OR(B1606=リスト!$C$5,B1606=リスト!$C$6),COUNTBLANK(INDEX(B:B,MATCH(I1606-1,I:I,0)+1,1):INDEX(B:B,MATCH(I1606,I:I,0)-1,1)),"")</f>
        <v>#NAME?</v>
      </c>
      <c r="F1606" s="199" t="s">
        <v>189</v>
      </c>
      <c r="G1606" s="140" t="e">
        <f ca="1">mif(C1606="","",OR(B1606=リスト!$C$5,B1606=リスト!$C$6),SUM(INDEX(G:G,MATCH(I1606-1,I:I,0)+1,1):INDEX(G:G,MATCH(I1606,I:I,0)-1,1)),D1606-C1606)</f>
        <v>#NAME?</v>
      </c>
      <c r="H1606" s="140" t="e">
        <f ca="1">mif(C1606="","",B1606=リスト!$C$5,SUMIF(INDEX(B:B,MATCH(I1606-1,I:I,0)+1,1):INDEX(B:B,MATCH(I1606,I:I,0)-1,1),リスト!$C$7,INDEX(G:G,MATCH(I1606-1,I:I,0)+1,1):INDEX(G:G,MATCH(I1606,I:I,0)-1,1)),"")</f>
        <v>#NAME?</v>
      </c>
      <c r="I1606" s="200" t="str">
        <f>IF(OR(B1606=リスト!$C$5,B1606=リスト!$C$6),COUNTIF($B$9:B1606,リスト!$C$5)+COUNTIF($B$9:B1606,リスト!$C$6),"")</f>
        <v/>
      </c>
    </row>
    <row r="1607" spans="2:9" x14ac:dyDescent="0.2">
      <c r="B1607" s="196"/>
      <c r="C1607" s="197"/>
      <c r="D1607" s="197"/>
      <c r="E1607" s="198" t="e">
        <f ca="1">mif(OR(C1607="",B1607=リスト!$C$7),"",B1607="","RF",OR(B1607=リスト!$C$5,B1607=リスト!$C$6),COUNTBLANK(INDEX(B:B,MATCH(I1607-1,I:I,0)+1,1):INDEX(B:B,MATCH(I1607,I:I,0)-1,1)),"")</f>
        <v>#NAME?</v>
      </c>
      <c r="F1607" s="199" t="s">
        <v>189</v>
      </c>
      <c r="G1607" s="140" t="e">
        <f ca="1">mif(C1607="","",OR(B1607=リスト!$C$5,B1607=リスト!$C$6),SUM(INDEX(G:G,MATCH(I1607-1,I:I,0)+1,1):INDEX(G:G,MATCH(I1607,I:I,0)-1,1)),D1607-C1607)</f>
        <v>#NAME?</v>
      </c>
      <c r="H1607" s="140" t="e">
        <f ca="1">mif(C1607="","",B1607=リスト!$C$5,SUMIF(INDEX(B:B,MATCH(I1607-1,I:I,0)+1,1):INDEX(B:B,MATCH(I1607,I:I,0)-1,1),リスト!$C$7,INDEX(G:G,MATCH(I1607-1,I:I,0)+1,1):INDEX(G:G,MATCH(I1607,I:I,0)-1,1)),"")</f>
        <v>#NAME?</v>
      </c>
      <c r="I1607" s="200" t="str">
        <f>IF(OR(B1607=リスト!$C$5,B1607=リスト!$C$6),COUNTIF($B$9:B1607,リスト!$C$5)+COUNTIF($B$9:B1607,リスト!$C$6),"")</f>
        <v/>
      </c>
    </row>
    <row r="1608" spans="2:9" x14ac:dyDescent="0.2">
      <c r="B1608" s="196"/>
      <c r="C1608" s="197"/>
      <c r="D1608" s="197"/>
      <c r="E1608" s="198" t="e">
        <f ca="1">mif(OR(C1608="",B1608=リスト!$C$7),"",B1608="","RF",OR(B1608=リスト!$C$5,B1608=リスト!$C$6),COUNTBLANK(INDEX(B:B,MATCH(I1608-1,I:I,0)+1,1):INDEX(B:B,MATCH(I1608,I:I,0)-1,1)),"")</f>
        <v>#NAME?</v>
      </c>
      <c r="F1608" s="199" t="s">
        <v>189</v>
      </c>
      <c r="G1608" s="140" t="e">
        <f ca="1">mif(C1608="","",OR(B1608=リスト!$C$5,B1608=リスト!$C$6),SUM(INDEX(G:G,MATCH(I1608-1,I:I,0)+1,1):INDEX(G:G,MATCH(I1608,I:I,0)-1,1)),D1608-C1608)</f>
        <v>#NAME?</v>
      </c>
      <c r="H1608" s="140" t="e">
        <f ca="1">mif(C1608="","",B1608=リスト!$C$5,SUMIF(INDEX(B:B,MATCH(I1608-1,I:I,0)+1,1):INDEX(B:B,MATCH(I1608,I:I,0)-1,1),リスト!$C$7,INDEX(G:G,MATCH(I1608-1,I:I,0)+1,1):INDEX(G:G,MATCH(I1608,I:I,0)-1,1)),"")</f>
        <v>#NAME?</v>
      </c>
      <c r="I1608" s="200" t="str">
        <f>IF(OR(B1608=リスト!$C$5,B1608=リスト!$C$6),COUNTIF($B$9:B1608,リスト!$C$5)+COUNTIF($B$9:B1608,リスト!$C$6),"")</f>
        <v/>
      </c>
    </row>
    <row r="1609" spans="2:9" x14ac:dyDescent="0.2">
      <c r="B1609" s="196"/>
      <c r="C1609" s="197"/>
      <c r="D1609" s="197"/>
      <c r="E1609" s="198" t="e">
        <f ca="1">mif(OR(C1609="",B1609=リスト!$C$7),"",B1609="","RF",OR(B1609=リスト!$C$5,B1609=リスト!$C$6),COUNTBLANK(INDEX(B:B,MATCH(I1609-1,I:I,0)+1,1):INDEX(B:B,MATCH(I1609,I:I,0)-1,1)),"")</f>
        <v>#NAME?</v>
      </c>
      <c r="F1609" s="199" t="s">
        <v>189</v>
      </c>
      <c r="G1609" s="140" t="e">
        <f ca="1">mif(C1609="","",OR(B1609=リスト!$C$5,B1609=リスト!$C$6),SUM(INDEX(G:G,MATCH(I1609-1,I:I,0)+1,1):INDEX(G:G,MATCH(I1609,I:I,0)-1,1)),D1609-C1609)</f>
        <v>#NAME?</v>
      </c>
      <c r="H1609" s="140" t="e">
        <f ca="1">mif(C1609="","",B1609=リスト!$C$5,SUMIF(INDEX(B:B,MATCH(I1609-1,I:I,0)+1,1):INDEX(B:B,MATCH(I1609,I:I,0)-1,1),リスト!$C$7,INDEX(G:G,MATCH(I1609-1,I:I,0)+1,1):INDEX(G:G,MATCH(I1609,I:I,0)-1,1)),"")</f>
        <v>#NAME?</v>
      </c>
      <c r="I1609" s="200" t="str">
        <f>IF(OR(B1609=リスト!$C$5,B1609=リスト!$C$6),COUNTIF($B$9:B1609,リスト!$C$5)+COUNTIF($B$9:B1609,リスト!$C$6),"")</f>
        <v/>
      </c>
    </row>
    <row r="1610" spans="2:9" x14ac:dyDescent="0.2">
      <c r="B1610" s="196"/>
      <c r="C1610" s="197"/>
      <c r="D1610" s="197"/>
      <c r="E1610" s="198" t="e">
        <f ca="1">mif(OR(C1610="",B1610=リスト!$C$7),"",B1610="","RF",OR(B1610=リスト!$C$5,B1610=リスト!$C$6),COUNTBLANK(INDEX(B:B,MATCH(I1610-1,I:I,0)+1,1):INDEX(B:B,MATCH(I1610,I:I,0)-1,1)),"")</f>
        <v>#NAME?</v>
      </c>
      <c r="F1610" s="199" t="s">
        <v>189</v>
      </c>
      <c r="G1610" s="140" t="e">
        <f ca="1">mif(C1610="","",OR(B1610=リスト!$C$5,B1610=リスト!$C$6),SUM(INDEX(G:G,MATCH(I1610-1,I:I,0)+1,1):INDEX(G:G,MATCH(I1610,I:I,0)-1,1)),D1610-C1610)</f>
        <v>#NAME?</v>
      </c>
      <c r="H1610" s="140" t="e">
        <f ca="1">mif(C1610="","",B1610=リスト!$C$5,SUMIF(INDEX(B:B,MATCH(I1610-1,I:I,0)+1,1):INDEX(B:B,MATCH(I1610,I:I,0)-1,1),リスト!$C$7,INDEX(G:G,MATCH(I1610-1,I:I,0)+1,1):INDEX(G:G,MATCH(I1610,I:I,0)-1,1)),"")</f>
        <v>#NAME?</v>
      </c>
      <c r="I1610" s="200" t="str">
        <f>IF(OR(B1610=リスト!$C$5,B1610=リスト!$C$6),COUNTIF($B$9:B1610,リスト!$C$5)+COUNTIF($B$9:B1610,リスト!$C$6),"")</f>
        <v/>
      </c>
    </row>
    <row r="1611" spans="2:9" x14ac:dyDescent="0.2">
      <c r="B1611" s="196"/>
      <c r="C1611" s="197"/>
      <c r="D1611" s="197"/>
      <c r="E1611" s="198" t="e">
        <f ca="1">mif(OR(C1611="",B1611=リスト!$C$7),"",B1611="","RF",OR(B1611=リスト!$C$5,B1611=リスト!$C$6),COUNTBLANK(INDEX(B:B,MATCH(I1611-1,I:I,0)+1,1):INDEX(B:B,MATCH(I1611,I:I,0)-1,1)),"")</f>
        <v>#NAME?</v>
      </c>
      <c r="F1611" s="199" t="s">
        <v>189</v>
      </c>
      <c r="G1611" s="140" t="e">
        <f ca="1">mif(C1611="","",OR(B1611=リスト!$C$5,B1611=リスト!$C$6),SUM(INDEX(G:G,MATCH(I1611-1,I:I,0)+1,1):INDEX(G:G,MATCH(I1611,I:I,0)-1,1)),D1611-C1611)</f>
        <v>#NAME?</v>
      </c>
      <c r="H1611" s="140" t="e">
        <f ca="1">mif(C1611="","",B1611=リスト!$C$5,SUMIF(INDEX(B:B,MATCH(I1611-1,I:I,0)+1,1):INDEX(B:B,MATCH(I1611,I:I,0)-1,1),リスト!$C$7,INDEX(G:G,MATCH(I1611-1,I:I,0)+1,1):INDEX(G:G,MATCH(I1611,I:I,0)-1,1)),"")</f>
        <v>#NAME?</v>
      </c>
      <c r="I1611" s="200" t="str">
        <f>IF(OR(B1611=リスト!$C$5,B1611=リスト!$C$6),COUNTIF($B$9:B1611,リスト!$C$5)+COUNTIF($B$9:B1611,リスト!$C$6),"")</f>
        <v/>
      </c>
    </row>
    <row r="1612" spans="2:9" x14ac:dyDescent="0.2">
      <c r="B1612" s="196"/>
      <c r="C1612" s="197"/>
      <c r="D1612" s="197"/>
      <c r="E1612" s="198" t="e">
        <f ca="1">mif(OR(C1612="",B1612=リスト!$C$7),"",B1612="","RF",OR(B1612=リスト!$C$5,B1612=リスト!$C$6),COUNTBLANK(INDEX(B:B,MATCH(I1612-1,I:I,0)+1,1):INDEX(B:B,MATCH(I1612,I:I,0)-1,1)),"")</f>
        <v>#NAME?</v>
      </c>
      <c r="F1612" s="199" t="s">
        <v>189</v>
      </c>
      <c r="G1612" s="140" t="e">
        <f ca="1">mif(C1612="","",OR(B1612=リスト!$C$5,B1612=リスト!$C$6),SUM(INDEX(G:G,MATCH(I1612-1,I:I,0)+1,1):INDEX(G:G,MATCH(I1612,I:I,0)-1,1)),D1612-C1612)</f>
        <v>#NAME?</v>
      </c>
      <c r="H1612" s="140" t="e">
        <f ca="1">mif(C1612="","",B1612=リスト!$C$5,SUMIF(INDEX(B:B,MATCH(I1612-1,I:I,0)+1,1):INDEX(B:B,MATCH(I1612,I:I,0)-1,1),リスト!$C$7,INDEX(G:G,MATCH(I1612-1,I:I,0)+1,1):INDEX(G:G,MATCH(I1612,I:I,0)-1,1)),"")</f>
        <v>#NAME?</v>
      </c>
      <c r="I1612" s="200" t="str">
        <f>IF(OR(B1612=リスト!$C$5,B1612=リスト!$C$6),COUNTIF($B$9:B1612,リスト!$C$5)+COUNTIF($B$9:B1612,リスト!$C$6),"")</f>
        <v/>
      </c>
    </row>
    <row r="1613" spans="2:9" x14ac:dyDescent="0.2">
      <c r="B1613" s="196"/>
      <c r="C1613" s="197"/>
      <c r="D1613" s="197"/>
      <c r="E1613" s="198" t="e">
        <f ca="1">mif(OR(C1613="",B1613=リスト!$C$7),"",B1613="","RF",OR(B1613=リスト!$C$5,B1613=リスト!$C$6),COUNTBLANK(INDEX(B:B,MATCH(I1613-1,I:I,0)+1,1):INDEX(B:B,MATCH(I1613,I:I,0)-1,1)),"")</f>
        <v>#NAME?</v>
      </c>
      <c r="F1613" s="199" t="s">
        <v>189</v>
      </c>
      <c r="G1613" s="140" t="e">
        <f ca="1">mif(C1613="","",OR(B1613=リスト!$C$5,B1613=リスト!$C$6),SUM(INDEX(G:G,MATCH(I1613-1,I:I,0)+1,1):INDEX(G:G,MATCH(I1613,I:I,0)-1,1)),D1613-C1613)</f>
        <v>#NAME?</v>
      </c>
      <c r="H1613" s="140" t="e">
        <f ca="1">mif(C1613="","",B1613=リスト!$C$5,SUMIF(INDEX(B:B,MATCH(I1613-1,I:I,0)+1,1):INDEX(B:B,MATCH(I1613,I:I,0)-1,1),リスト!$C$7,INDEX(G:G,MATCH(I1613-1,I:I,0)+1,1):INDEX(G:G,MATCH(I1613,I:I,0)-1,1)),"")</f>
        <v>#NAME?</v>
      </c>
      <c r="I1613" s="200" t="str">
        <f>IF(OR(B1613=リスト!$C$5,B1613=リスト!$C$6),COUNTIF($B$9:B1613,リスト!$C$5)+COUNTIF($B$9:B1613,リスト!$C$6),"")</f>
        <v/>
      </c>
    </row>
    <row r="1614" spans="2:9" x14ac:dyDescent="0.2">
      <c r="B1614" s="196"/>
      <c r="C1614" s="197"/>
      <c r="D1614" s="197"/>
      <c r="E1614" s="198" t="e">
        <f ca="1">mif(OR(C1614="",B1614=リスト!$C$7),"",B1614="","RF",OR(B1614=リスト!$C$5,B1614=リスト!$C$6),COUNTBLANK(INDEX(B:B,MATCH(I1614-1,I:I,0)+1,1):INDEX(B:B,MATCH(I1614,I:I,0)-1,1)),"")</f>
        <v>#NAME?</v>
      </c>
      <c r="F1614" s="199" t="s">
        <v>189</v>
      </c>
      <c r="G1614" s="140" t="e">
        <f ca="1">mif(C1614="","",OR(B1614=リスト!$C$5,B1614=リスト!$C$6),SUM(INDEX(G:G,MATCH(I1614-1,I:I,0)+1,1):INDEX(G:G,MATCH(I1614,I:I,0)-1,1)),D1614-C1614)</f>
        <v>#NAME?</v>
      </c>
      <c r="H1614" s="140" t="e">
        <f ca="1">mif(C1614="","",B1614=リスト!$C$5,SUMIF(INDEX(B:B,MATCH(I1614-1,I:I,0)+1,1):INDEX(B:B,MATCH(I1614,I:I,0)-1,1),リスト!$C$7,INDEX(G:G,MATCH(I1614-1,I:I,0)+1,1):INDEX(G:G,MATCH(I1614,I:I,0)-1,1)),"")</f>
        <v>#NAME?</v>
      </c>
      <c r="I1614" s="200" t="str">
        <f>IF(OR(B1614=リスト!$C$5,B1614=リスト!$C$6),COUNTIF($B$9:B1614,リスト!$C$5)+COUNTIF($B$9:B1614,リスト!$C$6),"")</f>
        <v/>
      </c>
    </row>
    <row r="1615" spans="2:9" x14ac:dyDescent="0.2">
      <c r="B1615" s="196"/>
      <c r="C1615" s="197"/>
      <c r="D1615" s="197"/>
      <c r="E1615" s="198" t="e">
        <f ca="1">mif(OR(C1615="",B1615=リスト!$C$7),"",B1615="","RF",OR(B1615=リスト!$C$5,B1615=リスト!$C$6),COUNTBLANK(INDEX(B:B,MATCH(I1615-1,I:I,0)+1,1):INDEX(B:B,MATCH(I1615,I:I,0)-1,1)),"")</f>
        <v>#NAME?</v>
      </c>
      <c r="F1615" s="199" t="s">
        <v>189</v>
      </c>
      <c r="G1615" s="140" t="e">
        <f ca="1">mif(C1615="","",OR(B1615=リスト!$C$5,B1615=リスト!$C$6),SUM(INDEX(G:G,MATCH(I1615-1,I:I,0)+1,1):INDEX(G:G,MATCH(I1615,I:I,0)-1,1)),D1615-C1615)</f>
        <v>#NAME?</v>
      </c>
      <c r="H1615" s="140" t="e">
        <f ca="1">mif(C1615="","",B1615=リスト!$C$5,SUMIF(INDEX(B:B,MATCH(I1615-1,I:I,0)+1,1):INDEX(B:B,MATCH(I1615,I:I,0)-1,1),リスト!$C$7,INDEX(G:G,MATCH(I1615-1,I:I,0)+1,1):INDEX(G:G,MATCH(I1615,I:I,0)-1,1)),"")</f>
        <v>#NAME?</v>
      </c>
      <c r="I1615" s="200" t="str">
        <f>IF(OR(B1615=リスト!$C$5,B1615=リスト!$C$6),COUNTIF($B$9:B1615,リスト!$C$5)+COUNTIF($B$9:B1615,リスト!$C$6),"")</f>
        <v/>
      </c>
    </row>
    <row r="1616" spans="2:9" x14ac:dyDescent="0.2">
      <c r="B1616" s="196"/>
      <c r="C1616" s="197"/>
      <c r="D1616" s="197"/>
      <c r="E1616" s="198" t="e">
        <f ca="1">mif(OR(C1616="",B1616=リスト!$C$7),"",B1616="","RF",OR(B1616=リスト!$C$5,B1616=リスト!$C$6),COUNTBLANK(INDEX(B:B,MATCH(I1616-1,I:I,0)+1,1):INDEX(B:B,MATCH(I1616,I:I,0)-1,1)),"")</f>
        <v>#NAME?</v>
      </c>
      <c r="F1616" s="199" t="s">
        <v>189</v>
      </c>
      <c r="G1616" s="140" t="e">
        <f ca="1">mif(C1616="","",OR(B1616=リスト!$C$5,B1616=リスト!$C$6),SUM(INDEX(G:G,MATCH(I1616-1,I:I,0)+1,1):INDEX(G:G,MATCH(I1616,I:I,0)-1,1)),D1616-C1616)</f>
        <v>#NAME?</v>
      </c>
      <c r="H1616" s="140" t="e">
        <f ca="1">mif(C1616="","",B1616=リスト!$C$5,SUMIF(INDEX(B:B,MATCH(I1616-1,I:I,0)+1,1):INDEX(B:B,MATCH(I1616,I:I,0)-1,1),リスト!$C$7,INDEX(G:G,MATCH(I1616-1,I:I,0)+1,1):INDEX(G:G,MATCH(I1616,I:I,0)-1,1)),"")</f>
        <v>#NAME?</v>
      </c>
      <c r="I1616" s="200" t="str">
        <f>IF(OR(B1616=リスト!$C$5,B1616=リスト!$C$6),COUNTIF($B$9:B1616,リスト!$C$5)+COUNTIF($B$9:B1616,リスト!$C$6),"")</f>
        <v/>
      </c>
    </row>
    <row r="1617" spans="2:9" x14ac:dyDescent="0.2">
      <c r="B1617" s="196"/>
      <c r="C1617" s="197"/>
      <c r="D1617" s="197"/>
      <c r="E1617" s="198" t="e">
        <f ca="1">mif(OR(C1617="",B1617=リスト!$C$7),"",B1617="","RF",OR(B1617=リスト!$C$5,B1617=リスト!$C$6),COUNTBLANK(INDEX(B:B,MATCH(I1617-1,I:I,0)+1,1):INDEX(B:B,MATCH(I1617,I:I,0)-1,1)),"")</f>
        <v>#NAME?</v>
      </c>
      <c r="F1617" s="199" t="s">
        <v>189</v>
      </c>
      <c r="G1617" s="140" t="e">
        <f ca="1">mif(C1617="","",OR(B1617=リスト!$C$5,B1617=リスト!$C$6),SUM(INDEX(G:G,MATCH(I1617-1,I:I,0)+1,1):INDEX(G:G,MATCH(I1617,I:I,0)-1,1)),D1617-C1617)</f>
        <v>#NAME?</v>
      </c>
      <c r="H1617" s="140" t="e">
        <f ca="1">mif(C1617="","",B1617=リスト!$C$5,SUMIF(INDEX(B:B,MATCH(I1617-1,I:I,0)+1,1):INDEX(B:B,MATCH(I1617,I:I,0)-1,1),リスト!$C$7,INDEX(G:G,MATCH(I1617-1,I:I,0)+1,1):INDEX(G:G,MATCH(I1617,I:I,0)-1,1)),"")</f>
        <v>#NAME?</v>
      </c>
      <c r="I1617" s="200" t="str">
        <f>IF(OR(B1617=リスト!$C$5,B1617=リスト!$C$6),COUNTIF($B$9:B1617,リスト!$C$5)+COUNTIF($B$9:B1617,リスト!$C$6),"")</f>
        <v/>
      </c>
    </row>
    <row r="1618" spans="2:9" x14ac:dyDescent="0.2">
      <c r="B1618" s="196"/>
      <c r="C1618" s="197"/>
      <c r="D1618" s="197"/>
      <c r="E1618" s="198" t="e">
        <f ca="1">mif(OR(C1618="",B1618=リスト!$C$7),"",B1618="","RF",OR(B1618=リスト!$C$5,B1618=リスト!$C$6),COUNTBLANK(INDEX(B:B,MATCH(I1618-1,I:I,0)+1,1):INDEX(B:B,MATCH(I1618,I:I,0)-1,1)),"")</f>
        <v>#NAME?</v>
      </c>
      <c r="F1618" s="199" t="s">
        <v>189</v>
      </c>
      <c r="G1618" s="140" t="e">
        <f ca="1">mif(C1618="","",OR(B1618=リスト!$C$5,B1618=リスト!$C$6),SUM(INDEX(G:G,MATCH(I1618-1,I:I,0)+1,1):INDEX(G:G,MATCH(I1618,I:I,0)-1,1)),D1618-C1618)</f>
        <v>#NAME?</v>
      </c>
      <c r="H1618" s="140" t="e">
        <f ca="1">mif(C1618="","",B1618=リスト!$C$5,SUMIF(INDEX(B:B,MATCH(I1618-1,I:I,0)+1,1):INDEX(B:B,MATCH(I1618,I:I,0)-1,1),リスト!$C$7,INDEX(G:G,MATCH(I1618-1,I:I,0)+1,1):INDEX(G:G,MATCH(I1618,I:I,0)-1,1)),"")</f>
        <v>#NAME?</v>
      </c>
      <c r="I1618" s="200" t="str">
        <f>IF(OR(B1618=リスト!$C$5,B1618=リスト!$C$6),COUNTIF($B$9:B1618,リスト!$C$5)+COUNTIF($B$9:B1618,リスト!$C$6),"")</f>
        <v/>
      </c>
    </row>
    <row r="1619" spans="2:9" x14ac:dyDescent="0.2">
      <c r="B1619" s="196"/>
      <c r="C1619" s="197"/>
      <c r="D1619" s="197"/>
      <c r="E1619" s="198" t="e">
        <f ca="1">mif(OR(C1619="",B1619=リスト!$C$7),"",B1619="","RF",OR(B1619=リスト!$C$5,B1619=リスト!$C$6),COUNTBLANK(INDEX(B:B,MATCH(I1619-1,I:I,0)+1,1):INDEX(B:B,MATCH(I1619,I:I,0)-1,1)),"")</f>
        <v>#NAME?</v>
      </c>
      <c r="F1619" s="199" t="s">
        <v>189</v>
      </c>
      <c r="G1619" s="140" t="e">
        <f ca="1">mif(C1619="","",OR(B1619=リスト!$C$5,B1619=リスト!$C$6),SUM(INDEX(G:G,MATCH(I1619-1,I:I,0)+1,1):INDEX(G:G,MATCH(I1619,I:I,0)-1,1)),D1619-C1619)</f>
        <v>#NAME?</v>
      </c>
      <c r="H1619" s="140" t="e">
        <f ca="1">mif(C1619="","",B1619=リスト!$C$5,SUMIF(INDEX(B:B,MATCH(I1619-1,I:I,0)+1,1):INDEX(B:B,MATCH(I1619,I:I,0)-1,1),リスト!$C$7,INDEX(G:G,MATCH(I1619-1,I:I,0)+1,1):INDEX(G:G,MATCH(I1619,I:I,0)-1,1)),"")</f>
        <v>#NAME?</v>
      </c>
      <c r="I1619" s="200" t="str">
        <f>IF(OR(B1619=リスト!$C$5,B1619=リスト!$C$6),COUNTIF($B$9:B1619,リスト!$C$5)+COUNTIF($B$9:B1619,リスト!$C$6),"")</f>
        <v/>
      </c>
    </row>
    <row r="1620" spans="2:9" x14ac:dyDescent="0.2">
      <c r="B1620" s="196"/>
      <c r="C1620" s="197"/>
      <c r="D1620" s="197"/>
      <c r="E1620" s="198" t="e">
        <f ca="1">mif(OR(C1620="",B1620=リスト!$C$7),"",B1620="","RF",OR(B1620=リスト!$C$5,B1620=リスト!$C$6),COUNTBLANK(INDEX(B:B,MATCH(I1620-1,I:I,0)+1,1):INDEX(B:B,MATCH(I1620,I:I,0)-1,1)),"")</f>
        <v>#NAME?</v>
      </c>
      <c r="F1620" s="199" t="s">
        <v>189</v>
      </c>
      <c r="G1620" s="140" t="e">
        <f ca="1">mif(C1620="","",OR(B1620=リスト!$C$5,B1620=リスト!$C$6),SUM(INDEX(G:G,MATCH(I1620-1,I:I,0)+1,1):INDEX(G:G,MATCH(I1620,I:I,0)-1,1)),D1620-C1620)</f>
        <v>#NAME?</v>
      </c>
      <c r="H1620" s="140" t="e">
        <f ca="1">mif(C1620="","",B1620=リスト!$C$5,SUMIF(INDEX(B:B,MATCH(I1620-1,I:I,0)+1,1):INDEX(B:B,MATCH(I1620,I:I,0)-1,1),リスト!$C$7,INDEX(G:G,MATCH(I1620-1,I:I,0)+1,1):INDEX(G:G,MATCH(I1620,I:I,0)-1,1)),"")</f>
        <v>#NAME?</v>
      </c>
      <c r="I1620" s="200" t="str">
        <f>IF(OR(B1620=リスト!$C$5,B1620=リスト!$C$6),COUNTIF($B$9:B1620,リスト!$C$5)+COUNTIF($B$9:B1620,リスト!$C$6),"")</f>
        <v/>
      </c>
    </row>
    <row r="1621" spans="2:9" x14ac:dyDescent="0.2">
      <c r="B1621" s="196"/>
      <c r="C1621" s="197"/>
      <c r="D1621" s="197"/>
      <c r="E1621" s="198" t="e">
        <f ca="1">mif(OR(C1621="",B1621=リスト!$C$7),"",B1621="","RF",OR(B1621=リスト!$C$5,B1621=リスト!$C$6),COUNTBLANK(INDEX(B:B,MATCH(I1621-1,I:I,0)+1,1):INDEX(B:B,MATCH(I1621,I:I,0)-1,1)),"")</f>
        <v>#NAME?</v>
      </c>
      <c r="F1621" s="199" t="s">
        <v>189</v>
      </c>
      <c r="G1621" s="140" t="e">
        <f ca="1">mif(C1621="","",OR(B1621=リスト!$C$5,B1621=リスト!$C$6),SUM(INDEX(G:G,MATCH(I1621-1,I:I,0)+1,1):INDEX(G:G,MATCH(I1621,I:I,0)-1,1)),D1621-C1621)</f>
        <v>#NAME?</v>
      </c>
      <c r="H1621" s="140" t="e">
        <f ca="1">mif(C1621="","",B1621=リスト!$C$5,SUMIF(INDEX(B:B,MATCH(I1621-1,I:I,0)+1,1):INDEX(B:B,MATCH(I1621,I:I,0)-1,1),リスト!$C$7,INDEX(G:G,MATCH(I1621-1,I:I,0)+1,1):INDEX(G:G,MATCH(I1621,I:I,0)-1,1)),"")</f>
        <v>#NAME?</v>
      </c>
      <c r="I1621" s="200" t="str">
        <f>IF(OR(B1621=リスト!$C$5,B1621=リスト!$C$6),COUNTIF($B$9:B1621,リスト!$C$5)+COUNTIF($B$9:B1621,リスト!$C$6),"")</f>
        <v/>
      </c>
    </row>
    <row r="1622" spans="2:9" x14ac:dyDescent="0.2">
      <c r="B1622" s="196"/>
      <c r="C1622" s="197"/>
      <c r="D1622" s="197"/>
      <c r="E1622" s="198" t="e">
        <f ca="1">mif(OR(C1622="",B1622=リスト!$C$7),"",B1622="","RF",OR(B1622=リスト!$C$5,B1622=リスト!$C$6),COUNTBLANK(INDEX(B:B,MATCH(I1622-1,I:I,0)+1,1):INDEX(B:B,MATCH(I1622,I:I,0)-1,1)),"")</f>
        <v>#NAME?</v>
      </c>
      <c r="F1622" s="199" t="s">
        <v>189</v>
      </c>
      <c r="G1622" s="140" t="e">
        <f ca="1">mif(C1622="","",OR(B1622=リスト!$C$5,B1622=リスト!$C$6),SUM(INDEX(G:G,MATCH(I1622-1,I:I,0)+1,1):INDEX(G:G,MATCH(I1622,I:I,0)-1,1)),D1622-C1622)</f>
        <v>#NAME?</v>
      </c>
      <c r="H1622" s="140" t="e">
        <f ca="1">mif(C1622="","",B1622=リスト!$C$5,SUMIF(INDEX(B:B,MATCH(I1622-1,I:I,0)+1,1):INDEX(B:B,MATCH(I1622,I:I,0)-1,1),リスト!$C$7,INDEX(G:G,MATCH(I1622-1,I:I,0)+1,1):INDEX(G:G,MATCH(I1622,I:I,0)-1,1)),"")</f>
        <v>#NAME?</v>
      </c>
      <c r="I1622" s="200" t="str">
        <f>IF(OR(B1622=リスト!$C$5,B1622=リスト!$C$6),COUNTIF($B$9:B1622,リスト!$C$5)+COUNTIF($B$9:B1622,リスト!$C$6),"")</f>
        <v/>
      </c>
    </row>
    <row r="1623" spans="2:9" x14ac:dyDescent="0.2">
      <c r="B1623" s="196"/>
      <c r="C1623" s="197"/>
      <c r="D1623" s="197"/>
      <c r="E1623" s="198" t="e">
        <f ca="1">mif(OR(C1623="",B1623=リスト!$C$7),"",B1623="","RF",OR(B1623=リスト!$C$5,B1623=リスト!$C$6),COUNTBLANK(INDEX(B:B,MATCH(I1623-1,I:I,0)+1,1):INDEX(B:B,MATCH(I1623,I:I,0)-1,1)),"")</f>
        <v>#NAME?</v>
      </c>
      <c r="F1623" s="199" t="s">
        <v>189</v>
      </c>
      <c r="G1623" s="140" t="e">
        <f ca="1">mif(C1623="","",OR(B1623=リスト!$C$5,B1623=リスト!$C$6),SUM(INDEX(G:G,MATCH(I1623-1,I:I,0)+1,1):INDEX(G:G,MATCH(I1623,I:I,0)-1,1)),D1623-C1623)</f>
        <v>#NAME?</v>
      </c>
      <c r="H1623" s="140" t="e">
        <f ca="1">mif(C1623="","",B1623=リスト!$C$5,SUMIF(INDEX(B:B,MATCH(I1623-1,I:I,0)+1,1):INDEX(B:B,MATCH(I1623,I:I,0)-1,1),リスト!$C$7,INDEX(G:G,MATCH(I1623-1,I:I,0)+1,1):INDEX(G:G,MATCH(I1623,I:I,0)-1,1)),"")</f>
        <v>#NAME?</v>
      </c>
      <c r="I1623" s="200" t="str">
        <f>IF(OR(B1623=リスト!$C$5,B1623=リスト!$C$6),COUNTIF($B$9:B1623,リスト!$C$5)+COUNTIF($B$9:B1623,リスト!$C$6),"")</f>
        <v/>
      </c>
    </row>
    <row r="1624" spans="2:9" x14ac:dyDescent="0.2">
      <c r="B1624" s="196"/>
      <c r="C1624" s="197"/>
      <c r="D1624" s="197"/>
      <c r="E1624" s="198" t="e">
        <f ca="1">mif(OR(C1624="",B1624=リスト!$C$7),"",B1624="","RF",OR(B1624=リスト!$C$5,B1624=リスト!$C$6),COUNTBLANK(INDEX(B:B,MATCH(I1624-1,I:I,0)+1,1):INDEX(B:B,MATCH(I1624,I:I,0)-1,1)),"")</f>
        <v>#NAME?</v>
      </c>
      <c r="F1624" s="199" t="s">
        <v>189</v>
      </c>
      <c r="G1624" s="140" t="e">
        <f ca="1">mif(C1624="","",OR(B1624=リスト!$C$5,B1624=リスト!$C$6),SUM(INDEX(G:G,MATCH(I1624-1,I:I,0)+1,1):INDEX(G:G,MATCH(I1624,I:I,0)-1,1)),D1624-C1624)</f>
        <v>#NAME?</v>
      </c>
      <c r="H1624" s="140" t="e">
        <f ca="1">mif(C1624="","",B1624=リスト!$C$5,SUMIF(INDEX(B:B,MATCH(I1624-1,I:I,0)+1,1):INDEX(B:B,MATCH(I1624,I:I,0)-1,1),リスト!$C$7,INDEX(G:G,MATCH(I1624-1,I:I,0)+1,1):INDEX(G:G,MATCH(I1624,I:I,0)-1,1)),"")</f>
        <v>#NAME?</v>
      </c>
      <c r="I1624" s="200" t="str">
        <f>IF(OR(B1624=リスト!$C$5,B1624=リスト!$C$6),COUNTIF($B$9:B1624,リスト!$C$5)+COUNTIF($B$9:B1624,リスト!$C$6),"")</f>
        <v/>
      </c>
    </row>
    <row r="1625" spans="2:9" x14ac:dyDescent="0.2">
      <c r="B1625" s="196"/>
      <c r="C1625" s="197"/>
      <c r="D1625" s="197"/>
      <c r="E1625" s="198" t="e">
        <f ca="1">mif(OR(C1625="",B1625=リスト!$C$7),"",B1625="","RF",OR(B1625=リスト!$C$5,B1625=リスト!$C$6),COUNTBLANK(INDEX(B:B,MATCH(I1625-1,I:I,0)+1,1):INDEX(B:B,MATCH(I1625,I:I,0)-1,1)),"")</f>
        <v>#NAME?</v>
      </c>
      <c r="F1625" s="199" t="s">
        <v>189</v>
      </c>
      <c r="G1625" s="140" t="e">
        <f ca="1">mif(C1625="","",OR(B1625=リスト!$C$5,B1625=リスト!$C$6),SUM(INDEX(G:G,MATCH(I1625-1,I:I,0)+1,1):INDEX(G:G,MATCH(I1625,I:I,0)-1,1)),D1625-C1625)</f>
        <v>#NAME?</v>
      </c>
      <c r="H1625" s="140" t="e">
        <f ca="1">mif(C1625="","",B1625=リスト!$C$5,SUMIF(INDEX(B:B,MATCH(I1625-1,I:I,0)+1,1):INDEX(B:B,MATCH(I1625,I:I,0)-1,1),リスト!$C$7,INDEX(G:G,MATCH(I1625-1,I:I,0)+1,1):INDEX(G:G,MATCH(I1625,I:I,0)-1,1)),"")</f>
        <v>#NAME?</v>
      </c>
      <c r="I1625" s="200" t="str">
        <f>IF(OR(B1625=リスト!$C$5,B1625=リスト!$C$6),COUNTIF($B$9:B1625,リスト!$C$5)+COUNTIF($B$9:B1625,リスト!$C$6),"")</f>
        <v/>
      </c>
    </row>
    <row r="1626" spans="2:9" x14ac:dyDescent="0.2">
      <c r="B1626" s="196"/>
      <c r="C1626" s="197"/>
      <c r="D1626" s="197"/>
      <c r="E1626" s="198" t="e">
        <f ca="1">mif(OR(C1626="",B1626=リスト!$C$7),"",B1626="","RF",OR(B1626=リスト!$C$5,B1626=リスト!$C$6),COUNTBLANK(INDEX(B:B,MATCH(I1626-1,I:I,0)+1,1):INDEX(B:B,MATCH(I1626,I:I,0)-1,1)),"")</f>
        <v>#NAME?</v>
      </c>
      <c r="F1626" s="199" t="s">
        <v>189</v>
      </c>
      <c r="G1626" s="140" t="e">
        <f ca="1">mif(C1626="","",OR(B1626=リスト!$C$5,B1626=リスト!$C$6),SUM(INDEX(G:G,MATCH(I1626-1,I:I,0)+1,1):INDEX(G:G,MATCH(I1626,I:I,0)-1,1)),D1626-C1626)</f>
        <v>#NAME?</v>
      </c>
      <c r="H1626" s="140" t="e">
        <f ca="1">mif(C1626="","",B1626=リスト!$C$5,SUMIF(INDEX(B:B,MATCH(I1626-1,I:I,0)+1,1):INDEX(B:B,MATCH(I1626,I:I,0)-1,1),リスト!$C$7,INDEX(G:G,MATCH(I1626-1,I:I,0)+1,1):INDEX(G:G,MATCH(I1626,I:I,0)-1,1)),"")</f>
        <v>#NAME?</v>
      </c>
      <c r="I1626" s="200" t="str">
        <f>IF(OR(B1626=リスト!$C$5,B1626=リスト!$C$6),COUNTIF($B$9:B1626,リスト!$C$5)+COUNTIF($B$9:B1626,リスト!$C$6),"")</f>
        <v/>
      </c>
    </row>
    <row r="1627" spans="2:9" x14ac:dyDescent="0.2">
      <c r="B1627" s="196"/>
      <c r="C1627" s="197"/>
      <c r="D1627" s="197"/>
      <c r="E1627" s="198" t="e">
        <f ca="1">mif(OR(C1627="",B1627=リスト!$C$7),"",B1627="","RF",OR(B1627=リスト!$C$5,B1627=リスト!$C$6),COUNTBLANK(INDEX(B:B,MATCH(I1627-1,I:I,0)+1,1):INDEX(B:B,MATCH(I1627,I:I,0)-1,1)),"")</f>
        <v>#NAME?</v>
      </c>
      <c r="F1627" s="199" t="s">
        <v>189</v>
      </c>
      <c r="G1627" s="140" t="e">
        <f ca="1">mif(C1627="","",OR(B1627=リスト!$C$5,B1627=リスト!$C$6),SUM(INDEX(G:G,MATCH(I1627-1,I:I,0)+1,1):INDEX(G:G,MATCH(I1627,I:I,0)-1,1)),D1627-C1627)</f>
        <v>#NAME?</v>
      </c>
      <c r="H1627" s="140" t="e">
        <f ca="1">mif(C1627="","",B1627=リスト!$C$5,SUMIF(INDEX(B:B,MATCH(I1627-1,I:I,0)+1,1):INDEX(B:B,MATCH(I1627,I:I,0)-1,1),リスト!$C$7,INDEX(G:G,MATCH(I1627-1,I:I,0)+1,1):INDEX(G:G,MATCH(I1627,I:I,0)-1,1)),"")</f>
        <v>#NAME?</v>
      </c>
      <c r="I1627" s="200" t="str">
        <f>IF(OR(B1627=リスト!$C$5,B1627=リスト!$C$6),COUNTIF($B$9:B1627,リスト!$C$5)+COUNTIF($B$9:B1627,リスト!$C$6),"")</f>
        <v/>
      </c>
    </row>
    <row r="1628" spans="2:9" x14ac:dyDescent="0.2">
      <c r="B1628" s="196"/>
      <c r="C1628" s="197"/>
      <c r="D1628" s="197"/>
      <c r="E1628" s="198" t="e">
        <f ca="1">mif(OR(C1628="",B1628=リスト!$C$7),"",B1628="","RF",OR(B1628=リスト!$C$5,B1628=リスト!$C$6),COUNTBLANK(INDEX(B:B,MATCH(I1628-1,I:I,0)+1,1):INDEX(B:B,MATCH(I1628,I:I,0)-1,1)),"")</f>
        <v>#NAME?</v>
      </c>
      <c r="F1628" s="199" t="s">
        <v>189</v>
      </c>
      <c r="G1628" s="140" t="e">
        <f ca="1">mif(C1628="","",OR(B1628=リスト!$C$5,B1628=リスト!$C$6),SUM(INDEX(G:G,MATCH(I1628-1,I:I,0)+1,1):INDEX(G:G,MATCH(I1628,I:I,0)-1,1)),D1628-C1628)</f>
        <v>#NAME?</v>
      </c>
      <c r="H1628" s="140" t="e">
        <f ca="1">mif(C1628="","",B1628=リスト!$C$5,SUMIF(INDEX(B:B,MATCH(I1628-1,I:I,0)+1,1):INDEX(B:B,MATCH(I1628,I:I,0)-1,1),リスト!$C$7,INDEX(G:G,MATCH(I1628-1,I:I,0)+1,1):INDEX(G:G,MATCH(I1628,I:I,0)-1,1)),"")</f>
        <v>#NAME?</v>
      </c>
      <c r="I1628" s="200" t="str">
        <f>IF(OR(B1628=リスト!$C$5,B1628=リスト!$C$6),COUNTIF($B$9:B1628,リスト!$C$5)+COUNTIF($B$9:B1628,リスト!$C$6),"")</f>
        <v/>
      </c>
    </row>
    <row r="1629" spans="2:9" x14ac:dyDescent="0.2">
      <c r="B1629" s="196"/>
      <c r="C1629" s="197"/>
      <c r="D1629" s="197"/>
      <c r="E1629" s="198" t="e">
        <f ca="1">mif(OR(C1629="",B1629=リスト!$C$7),"",B1629="","RF",OR(B1629=リスト!$C$5,B1629=リスト!$C$6),COUNTBLANK(INDEX(B:B,MATCH(I1629-1,I:I,0)+1,1):INDEX(B:B,MATCH(I1629,I:I,0)-1,1)),"")</f>
        <v>#NAME?</v>
      </c>
      <c r="F1629" s="199" t="s">
        <v>189</v>
      </c>
      <c r="G1629" s="140" t="e">
        <f ca="1">mif(C1629="","",OR(B1629=リスト!$C$5,B1629=リスト!$C$6),SUM(INDEX(G:G,MATCH(I1629-1,I:I,0)+1,1):INDEX(G:G,MATCH(I1629,I:I,0)-1,1)),D1629-C1629)</f>
        <v>#NAME?</v>
      </c>
      <c r="H1629" s="140" t="e">
        <f ca="1">mif(C1629="","",B1629=リスト!$C$5,SUMIF(INDEX(B:B,MATCH(I1629-1,I:I,0)+1,1):INDEX(B:B,MATCH(I1629,I:I,0)-1,1),リスト!$C$7,INDEX(G:G,MATCH(I1629-1,I:I,0)+1,1):INDEX(G:G,MATCH(I1629,I:I,0)-1,1)),"")</f>
        <v>#NAME?</v>
      </c>
      <c r="I1629" s="200" t="str">
        <f>IF(OR(B1629=リスト!$C$5,B1629=リスト!$C$6),COUNTIF($B$9:B1629,リスト!$C$5)+COUNTIF($B$9:B1629,リスト!$C$6),"")</f>
        <v/>
      </c>
    </row>
    <row r="1630" spans="2:9" x14ac:dyDescent="0.2">
      <c r="B1630" s="196"/>
      <c r="C1630" s="197"/>
      <c r="D1630" s="197"/>
      <c r="E1630" s="198" t="e">
        <f ca="1">mif(OR(C1630="",B1630=リスト!$C$7),"",B1630="","RF",OR(B1630=リスト!$C$5,B1630=リスト!$C$6),COUNTBLANK(INDEX(B:B,MATCH(I1630-1,I:I,0)+1,1):INDEX(B:B,MATCH(I1630,I:I,0)-1,1)),"")</f>
        <v>#NAME?</v>
      </c>
      <c r="F1630" s="199" t="s">
        <v>189</v>
      </c>
      <c r="G1630" s="140" t="e">
        <f ca="1">mif(C1630="","",OR(B1630=リスト!$C$5,B1630=リスト!$C$6),SUM(INDEX(G:G,MATCH(I1630-1,I:I,0)+1,1):INDEX(G:G,MATCH(I1630,I:I,0)-1,1)),D1630-C1630)</f>
        <v>#NAME?</v>
      </c>
      <c r="H1630" s="140" t="e">
        <f ca="1">mif(C1630="","",B1630=リスト!$C$5,SUMIF(INDEX(B:B,MATCH(I1630-1,I:I,0)+1,1):INDEX(B:B,MATCH(I1630,I:I,0)-1,1),リスト!$C$7,INDEX(G:G,MATCH(I1630-1,I:I,0)+1,1):INDEX(G:G,MATCH(I1630,I:I,0)-1,1)),"")</f>
        <v>#NAME?</v>
      </c>
      <c r="I1630" s="200" t="str">
        <f>IF(OR(B1630=リスト!$C$5,B1630=リスト!$C$6),COUNTIF($B$9:B1630,リスト!$C$5)+COUNTIF($B$9:B1630,リスト!$C$6),"")</f>
        <v/>
      </c>
    </row>
    <row r="1631" spans="2:9" x14ac:dyDescent="0.2">
      <c r="B1631" s="196"/>
      <c r="C1631" s="197"/>
      <c r="D1631" s="197"/>
      <c r="E1631" s="198" t="e">
        <f ca="1">mif(OR(C1631="",B1631=リスト!$C$7),"",B1631="","RF",OR(B1631=リスト!$C$5,B1631=リスト!$C$6),COUNTBLANK(INDEX(B:B,MATCH(I1631-1,I:I,0)+1,1):INDEX(B:B,MATCH(I1631,I:I,0)-1,1)),"")</f>
        <v>#NAME?</v>
      </c>
      <c r="F1631" s="199" t="s">
        <v>189</v>
      </c>
      <c r="G1631" s="140" t="e">
        <f ca="1">mif(C1631="","",OR(B1631=リスト!$C$5,B1631=リスト!$C$6),SUM(INDEX(G:G,MATCH(I1631-1,I:I,0)+1,1):INDEX(G:G,MATCH(I1631,I:I,0)-1,1)),D1631-C1631)</f>
        <v>#NAME?</v>
      </c>
      <c r="H1631" s="140" t="e">
        <f ca="1">mif(C1631="","",B1631=リスト!$C$5,SUMIF(INDEX(B:B,MATCH(I1631-1,I:I,0)+1,1):INDEX(B:B,MATCH(I1631,I:I,0)-1,1),リスト!$C$7,INDEX(G:G,MATCH(I1631-1,I:I,0)+1,1):INDEX(G:G,MATCH(I1631,I:I,0)-1,1)),"")</f>
        <v>#NAME?</v>
      </c>
      <c r="I1631" s="200" t="str">
        <f>IF(OR(B1631=リスト!$C$5,B1631=リスト!$C$6),COUNTIF($B$9:B1631,リスト!$C$5)+COUNTIF($B$9:B1631,リスト!$C$6),"")</f>
        <v/>
      </c>
    </row>
    <row r="1632" spans="2:9" x14ac:dyDescent="0.2">
      <c r="B1632" s="196"/>
      <c r="C1632" s="197"/>
      <c r="D1632" s="197"/>
      <c r="E1632" s="198" t="e">
        <f ca="1">mif(OR(C1632="",B1632=リスト!$C$7),"",B1632="","RF",OR(B1632=リスト!$C$5,B1632=リスト!$C$6),COUNTBLANK(INDEX(B:B,MATCH(I1632-1,I:I,0)+1,1):INDEX(B:B,MATCH(I1632,I:I,0)-1,1)),"")</f>
        <v>#NAME?</v>
      </c>
      <c r="F1632" s="199" t="s">
        <v>189</v>
      </c>
      <c r="G1632" s="140" t="e">
        <f ca="1">mif(C1632="","",OR(B1632=リスト!$C$5,B1632=リスト!$C$6),SUM(INDEX(G:G,MATCH(I1632-1,I:I,0)+1,1):INDEX(G:G,MATCH(I1632,I:I,0)-1,1)),D1632-C1632)</f>
        <v>#NAME?</v>
      </c>
      <c r="H1632" s="140" t="e">
        <f ca="1">mif(C1632="","",B1632=リスト!$C$5,SUMIF(INDEX(B:B,MATCH(I1632-1,I:I,0)+1,1):INDEX(B:B,MATCH(I1632,I:I,0)-1,1),リスト!$C$7,INDEX(G:G,MATCH(I1632-1,I:I,0)+1,1):INDEX(G:G,MATCH(I1632,I:I,0)-1,1)),"")</f>
        <v>#NAME?</v>
      </c>
      <c r="I1632" s="200" t="str">
        <f>IF(OR(B1632=リスト!$C$5,B1632=リスト!$C$6),COUNTIF($B$9:B1632,リスト!$C$5)+COUNTIF($B$9:B1632,リスト!$C$6),"")</f>
        <v/>
      </c>
    </row>
    <row r="1633" spans="2:9" x14ac:dyDescent="0.2">
      <c r="B1633" s="196"/>
      <c r="C1633" s="197"/>
      <c r="D1633" s="197"/>
      <c r="E1633" s="198" t="e">
        <f ca="1">mif(OR(C1633="",B1633=リスト!$C$7),"",B1633="","RF",OR(B1633=リスト!$C$5,B1633=リスト!$C$6),COUNTBLANK(INDEX(B:B,MATCH(I1633-1,I:I,0)+1,1):INDEX(B:B,MATCH(I1633,I:I,0)-1,1)),"")</f>
        <v>#NAME?</v>
      </c>
      <c r="F1633" s="199" t="s">
        <v>189</v>
      </c>
      <c r="G1633" s="140" t="e">
        <f ca="1">mif(C1633="","",OR(B1633=リスト!$C$5,B1633=リスト!$C$6),SUM(INDEX(G:G,MATCH(I1633-1,I:I,0)+1,1):INDEX(G:G,MATCH(I1633,I:I,0)-1,1)),D1633-C1633)</f>
        <v>#NAME?</v>
      </c>
      <c r="H1633" s="140" t="e">
        <f ca="1">mif(C1633="","",B1633=リスト!$C$5,SUMIF(INDEX(B:B,MATCH(I1633-1,I:I,0)+1,1):INDEX(B:B,MATCH(I1633,I:I,0)-1,1),リスト!$C$7,INDEX(G:G,MATCH(I1633-1,I:I,0)+1,1):INDEX(G:G,MATCH(I1633,I:I,0)-1,1)),"")</f>
        <v>#NAME?</v>
      </c>
      <c r="I1633" s="200" t="str">
        <f>IF(OR(B1633=リスト!$C$5,B1633=リスト!$C$6),COUNTIF($B$9:B1633,リスト!$C$5)+COUNTIF($B$9:B1633,リスト!$C$6),"")</f>
        <v/>
      </c>
    </row>
    <row r="1634" spans="2:9" x14ac:dyDescent="0.2">
      <c r="B1634" s="196"/>
      <c r="C1634" s="197"/>
      <c r="D1634" s="197"/>
      <c r="E1634" s="198" t="e">
        <f ca="1">mif(OR(C1634="",B1634=リスト!$C$7),"",B1634="","RF",OR(B1634=リスト!$C$5,B1634=リスト!$C$6),COUNTBLANK(INDEX(B:B,MATCH(I1634-1,I:I,0)+1,1):INDEX(B:B,MATCH(I1634,I:I,0)-1,1)),"")</f>
        <v>#NAME?</v>
      </c>
      <c r="F1634" s="199" t="s">
        <v>189</v>
      </c>
      <c r="G1634" s="140" t="e">
        <f ca="1">mif(C1634="","",OR(B1634=リスト!$C$5,B1634=リスト!$C$6),SUM(INDEX(G:G,MATCH(I1634-1,I:I,0)+1,1):INDEX(G:G,MATCH(I1634,I:I,0)-1,1)),D1634-C1634)</f>
        <v>#NAME?</v>
      </c>
      <c r="H1634" s="140" t="e">
        <f ca="1">mif(C1634="","",B1634=リスト!$C$5,SUMIF(INDEX(B:B,MATCH(I1634-1,I:I,0)+1,1):INDEX(B:B,MATCH(I1634,I:I,0)-1,1),リスト!$C$7,INDEX(G:G,MATCH(I1634-1,I:I,0)+1,1):INDEX(G:G,MATCH(I1634,I:I,0)-1,1)),"")</f>
        <v>#NAME?</v>
      </c>
      <c r="I1634" s="200" t="str">
        <f>IF(OR(B1634=リスト!$C$5,B1634=リスト!$C$6),COUNTIF($B$9:B1634,リスト!$C$5)+COUNTIF($B$9:B1634,リスト!$C$6),"")</f>
        <v/>
      </c>
    </row>
    <row r="1635" spans="2:9" x14ac:dyDescent="0.2">
      <c r="B1635" s="196"/>
      <c r="C1635" s="197"/>
      <c r="D1635" s="197"/>
      <c r="E1635" s="198" t="e">
        <f ca="1">mif(OR(C1635="",B1635=リスト!$C$7),"",B1635="","RF",OR(B1635=リスト!$C$5,B1635=リスト!$C$6),COUNTBLANK(INDEX(B:B,MATCH(I1635-1,I:I,0)+1,1):INDEX(B:B,MATCH(I1635,I:I,0)-1,1)),"")</f>
        <v>#NAME?</v>
      </c>
      <c r="F1635" s="199" t="s">
        <v>189</v>
      </c>
      <c r="G1635" s="140" t="e">
        <f ca="1">mif(C1635="","",OR(B1635=リスト!$C$5,B1635=リスト!$C$6),SUM(INDEX(G:G,MATCH(I1635-1,I:I,0)+1,1):INDEX(G:G,MATCH(I1635,I:I,0)-1,1)),D1635-C1635)</f>
        <v>#NAME?</v>
      </c>
      <c r="H1635" s="140" t="e">
        <f ca="1">mif(C1635="","",B1635=リスト!$C$5,SUMIF(INDEX(B:B,MATCH(I1635-1,I:I,0)+1,1):INDEX(B:B,MATCH(I1635,I:I,0)-1,1),リスト!$C$7,INDEX(G:G,MATCH(I1635-1,I:I,0)+1,1):INDEX(G:G,MATCH(I1635,I:I,0)-1,1)),"")</f>
        <v>#NAME?</v>
      </c>
      <c r="I1635" s="200" t="str">
        <f>IF(OR(B1635=リスト!$C$5,B1635=リスト!$C$6),COUNTIF($B$9:B1635,リスト!$C$5)+COUNTIF($B$9:B1635,リスト!$C$6),"")</f>
        <v/>
      </c>
    </row>
    <row r="1636" spans="2:9" x14ac:dyDescent="0.2">
      <c r="B1636" s="196"/>
      <c r="C1636" s="197"/>
      <c r="D1636" s="197"/>
      <c r="E1636" s="198" t="e">
        <f ca="1">mif(OR(C1636="",B1636=リスト!$C$7),"",B1636="","RF",OR(B1636=リスト!$C$5,B1636=リスト!$C$6),COUNTBLANK(INDEX(B:B,MATCH(I1636-1,I:I,0)+1,1):INDEX(B:B,MATCH(I1636,I:I,0)-1,1)),"")</f>
        <v>#NAME?</v>
      </c>
      <c r="F1636" s="199" t="s">
        <v>189</v>
      </c>
      <c r="G1636" s="140" t="e">
        <f ca="1">mif(C1636="","",OR(B1636=リスト!$C$5,B1636=リスト!$C$6),SUM(INDEX(G:G,MATCH(I1636-1,I:I,0)+1,1):INDEX(G:G,MATCH(I1636,I:I,0)-1,1)),D1636-C1636)</f>
        <v>#NAME?</v>
      </c>
      <c r="H1636" s="140" t="e">
        <f ca="1">mif(C1636="","",B1636=リスト!$C$5,SUMIF(INDEX(B:B,MATCH(I1636-1,I:I,0)+1,1):INDEX(B:B,MATCH(I1636,I:I,0)-1,1),リスト!$C$7,INDEX(G:G,MATCH(I1636-1,I:I,0)+1,1):INDEX(G:G,MATCH(I1636,I:I,0)-1,1)),"")</f>
        <v>#NAME?</v>
      </c>
      <c r="I1636" s="200" t="str">
        <f>IF(OR(B1636=リスト!$C$5,B1636=リスト!$C$6),COUNTIF($B$9:B1636,リスト!$C$5)+COUNTIF($B$9:B1636,リスト!$C$6),"")</f>
        <v/>
      </c>
    </row>
    <row r="1637" spans="2:9" x14ac:dyDescent="0.2">
      <c r="B1637" s="196"/>
      <c r="C1637" s="197"/>
      <c r="D1637" s="197"/>
      <c r="E1637" s="198" t="e">
        <f ca="1">mif(OR(C1637="",B1637=リスト!$C$7),"",B1637="","RF",OR(B1637=リスト!$C$5,B1637=リスト!$C$6),COUNTBLANK(INDEX(B:B,MATCH(I1637-1,I:I,0)+1,1):INDEX(B:B,MATCH(I1637,I:I,0)-1,1)),"")</f>
        <v>#NAME?</v>
      </c>
      <c r="F1637" s="199" t="s">
        <v>189</v>
      </c>
      <c r="G1637" s="140" t="e">
        <f ca="1">mif(C1637="","",OR(B1637=リスト!$C$5,B1637=リスト!$C$6),SUM(INDEX(G:G,MATCH(I1637-1,I:I,0)+1,1):INDEX(G:G,MATCH(I1637,I:I,0)-1,1)),D1637-C1637)</f>
        <v>#NAME?</v>
      </c>
      <c r="H1637" s="140" t="e">
        <f ca="1">mif(C1637="","",B1637=リスト!$C$5,SUMIF(INDEX(B:B,MATCH(I1637-1,I:I,0)+1,1):INDEX(B:B,MATCH(I1637,I:I,0)-1,1),リスト!$C$7,INDEX(G:G,MATCH(I1637-1,I:I,0)+1,1):INDEX(G:G,MATCH(I1637,I:I,0)-1,1)),"")</f>
        <v>#NAME?</v>
      </c>
      <c r="I1637" s="200" t="str">
        <f>IF(OR(B1637=リスト!$C$5,B1637=リスト!$C$6),COUNTIF($B$9:B1637,リスト!$C$5)+COUNTIF($B$9:B1637,リスト!$C$6),"")</f>
        <v/>
      </c>
    </row>
    <row r="1638" spans="2:9" x14ac:dyDescent="0.2">
      <c r="B1638" s="196"/>
      <c r="C1638" s="197"/>
      <c r="D1638" s="197"/>
      <c r="E1638" s="198" t="e">
        <f ca="1">mif(OR(C1638="",B1638=リスト!$C$7),"",B1638="","RF",OR(B1638=リスト!$C$5,B1638=リスト!$C$6),COUNTBLANK(INDEX(B:B,MATCH(I1638-1,I:I,0)+1,1):INDEX(B:B,MATCH(I1638,I:I,0)-1,1)),"")</f>
        <v>#NAME?</v>
      </c>
      <c r="F1638" s="199" t="s">
        <v>189</v>
      </c>
      <c r="G1638" s="140" t="e">
        <f ca="1">mif(C1638="","",OR(B1638=リスト!$C$5,B1638=リスト!$C$6),SUM(INDEX(G:G,MATCH(I1638-1,I:I,0)+1,1):INDEX(G:G,MATCH(I1638,I:I,0)-1,1)),D1638-C1638)</f>
        <v>#NAME?</v>
      </c>
      <c r="H1638" s="140" t="e">
        <f ca="1">mif(C1638="","",B1638=リスト!$C$5,SUMIF(INDEX(B:B,MATCH(I1638-1,I:I,0)+1,1):INDEX(B:B,MATCH(I1638,I:I,0)-1,1),リスト!$C$7,INDEX(G:G,MATCH(I1638-1,I:I,0)+1,1):INDEX(G:G,MATCH(I1638,I:I,0)-1,1)),"")</f>
        <v>#NAME?</v>
      </c>
      <c r="I1638" s="200" t="str">
        <f>IF(OR(B1638=リスト!$C$5,B1638=リスト!$C$6),COUNTIF($B$9:B1638,リスト!$C$5)+COUNTIF($B$9:B1638,リスト!$C$6),"")</f>
        <v/>
      </c>
    </row>
    <row r="1639" spans="2:9" x14ac:dyDescent="0.2">
      <c r="B1639" s="196"/>
      <c r="C1639" s="197"/>
      <c r="D1639" s="197"/>
      <c r="E1639" s="198" t="e">
        <f ca="1">mif(OR(C1639="",B1639=リスト!$C$7),"",B1639="","RF",OR(B1639=リスト!$C$5,B1639=リスト!$C$6),COUNTBLANK(INDEX(B:B,MATCH(I1639-1,I:I,0)+1,1):INDEX(B:B,MATCH(I1639,I:I,0)-1,1)),"")</f>
        <v>#NAME?</v>
      </c>
      <c r="F1639" s="199" t="s">
        <v>189</v>
      </c>
      <c r="G1639" s="140" t="e">
        <f ca="1">mif(C1639="","",OR(B1639=リスト!$C$5,B1639=リスト!$C$6),SUM(INDEX(G:G,MATCH(I1639-1,I:I,0)+1,1):INDEX(G:G,MATCH(I1639,I:I,0)-1,1)),D1639-C1639)</f>
        <v>#NAME?</v>
      </c>
      <c r="H1639" s="140" t="e">
        <f ca="1">mif(C1639="","",B1639=リスト!$C$5,SUMIF(INDEX(B:B,MATCH(I1639-1,I:I,0)+1,1):INDEX(B:B,MATCH(I1639,I:I,0)-1,1),リスト!$C$7,INDEX(G:G,MATCH(I1639-1,I:I,0)+1,1):INDEX(G:G,MATCH(I1639,I:I,0)-1,1)),"")</f>
        <v>#NAME?</v>
      </c>
      <c r="I1639" s="200" t="str">
        <f>IF(OR(B1639=リスト!$C$5,B1639=リスト!$C$6),COUNTIF($B$9:B1639,リスト!$C$5)+COUNTIF($B$9:B1639,リスト!$C$6),"")</f>
        <v/>
      </c>
    </row>
    <row r="1640" spans="2:9" x14ac:dyDescent="0.2">
      <c r="B1640" s="196"/>
      <c r="C1640" s="197"/>
      <c r="D1640" s="197"/>
      <c r="E1640" s="198" t="e">
        <f ca="1">mif(OR(C1640="",B1640=リスト!$C$7),"",B1640="","RF",OR(B1640=リスト!$C$5,B1640=リスト!$C$6),COUNTBLANK(INDEX(B:B,MATCH(I1640-1,I:I,0)+1,1):INDEX(B:B,MATCH(I1640,I:I,0)-1,1)),"")</f>
        <v>#NAME?</v>
      </c>
      <c r="F1640" s="199" t="s">
        <v>189</v>
      </c>
      <c r="G1640" s="140" t="e">
        <f ca="1">mif(C1640="","",OR(B1640=リスト!$C$5,B1640=リスト!$C$6),SUM(INDEX(G:G,MATCH(I1640-1,I:I,0)+1,1):INDEX(G:G,MATCH(I1640,I:I,0)-1,1)),D1640-C1640)</f>
        <v>#NAME?</v>
      </c>
      <c r="H1640" s="140" t="e">
        <f ca="1">mif(C1640="","",B1640=リスト!$C$5,SUMIF(INDEX(B:B,MATCH(I1640-1,I:I,0)+1,1):INDEX(B:B,MATCH(I1640,I:I,0)-1,1),リスト!$C$7,INDEX(G:G,MATCH(I1640-1,I:I,0)+1,1):INDEX(G:G,MATCH(I1640,I:I,0)-1,1)),"")</f>
        <v>#NAME?</v>
      </c>
      <c r="I1640" s="200" t="str">
        <f>IF(OR(B1640=リスト!$C$5,B1640=リスト!$C$6),COUNTIF($B$9:B1640,リスト!$C$5)+COUNTIF($B$9:B1640,リスト!$C$6),"")</f>
        <v/>
      </c>
    </row>
    <row r="1641" spans="2:9" x14ac:dyDescent="0.2">
      <c r="B1641" s="196"/>
      <c r="C1641" s="197"/>
      <c r="D1641" s="197"/>
      <c r="E1641" s="198" t="e">
        <f ca="1">mif(OR(C1641="",B1641=リスト!$C$7),"",B1641="","RF",OR(B1641=リスト!$C$5,B1641=リスト!$C$6),COUNTBLANK(INDEX(B:B,MATCH(I1641-1,I:I,0)+1,1):INDEX(B:B,MATCH(I1641,I:I,0)-1,1)),"")</f>
        <v>#NAME?</v>
      </c>
      <c r="F1641" s="199" t="s">
        <v>189</v>
      </c>
      <c r="G1641" s="140" t="e">
        <f ca="1">mif(C1641="","",OR(B1641=リスト!$C$5,B1641=リスト!$C$6),SUM(INDEX(G:G,MATCH(I1641-1,I:I,0)+1,1):INDEX(G:G,MATCH(I1641,I:I,0)-1,1)),D1641-C1641)</f>
        <v>#NAME?</v>
      </c>
      <c r="H1641" s="140" t="e">
        <f ca="1">mif(C1641="","",B1641=リスト!$C$5,SUMIF(INDEX(B:B,MATCH(I1641-1,I:I,0)+1,1):INDEX(B:B,MATCH(I1641,I:I,0)-1,1),リスト!$C$7,INDEX(G:G,MATCH(I1641-1,I:I,0)+1,1):INDEX(G:G,MATCH(I1641,I:I,0)-1,1)),"")</f>
        <v>#NAME?</v>
      </c>
      <c r="I1641" s="200" t="str">
        <f>IF(OR(B1641=リスト!$C$5,B1641=リスト!$C$6),COUNTIF($B$9:B1641,リスト!$C$5)+COUNTIF($B$9:B1641,リスト!$C$6),"")</f>
        <v/>
      </c>
    </row>
    <row r="1642" spans="2:9" x14ac:dyDescent="0.2">
      <c r="B1642" s="196"/>
      <c r="C1642" s="197"/>
      <c r="D1642" s="197"/>
      <c r="E1642" s="198" t="e">
        <f ca="1">mif(OR(C1642="",B1642=リスト!$C$7),"",B1642="","RF",OR(B1642=リスト!$C$5,B1642=リスト!$C$6),COUNTBLANK(INDEX(B:B,MATCH(I1642-1,I:I,0)+1,1):INDEX(B:B,MATCH(I1642,I:I,0)-1,1)),"")</f>
        <v>#NAME?</v>
      </c>
      <c r="F1642" s="199" t="s">
        <v>189</v>
      </c>
      <c r="G1642" s="140" t="e">
        <f ca="1">mif(C1642="","",OR(B1642=リスト!$C$5,B1642=リスト!$C$6),SUM(INDEX(G:G,MATCH(I1642-1,I:I,0)+1,1):INDEX(G:G,MATCH(I1642,I:I,0)-1,1)),D1642-C1642)</f>
        <v>#NAME?</v>
      </c>
      <c r="H1642" s="140" t="e">
        <f ca="1">mif(C1642="","",B1642=リスト!$C$5,SUMIF(INDEX(B:B,MATCH(I1642-1,I:I,0)+1,1):INDEX(B:B,MATCH(I1642,I:I,0)-1,1),リスト!$C$7,INDEX(G:G,MATCH(I1642-1,I:I,0)+1,1):INDEX(G:G,MATCH(I1642,I:I,0)-1,1)),"")</f>
        <v>#NAME?</v>
      </c>
      <c r="I1642" s="200" t="str">
        <f>IF(OR(B1642=リスト!$C$5,B1642=リスト!$C$6),COUNTIF($B$9:B1642,リスト!$C$5)+COUNTIF($B$9:B1642,リスト!$C$6),"")</f>
        <v/>
      </c>
    </row>
    <row r="1643" spans="2:9" x14ac:dyDescent="0.2">
      <c r="B1643" s="196"/>
      <c r="C1643" s="197"/>
      <c r="D1643" s="197"/>
      <c r="E1643" s="198" t="e">
        <f ca="1">mif(OR(C1643="",B1643=リスト!$C$7),"",B1643="","RF",OR(B1643=リスト!$C$5,B1643=リスト!$C$6),COUNTBLANK(INDEX(B:B,MATCH(I1643-1,I:I,0)+1,1):INDEX(B:B,MATCH(I1643,I:I,0)-1,1)),"")</f>
        <v>#NAME?</v>
      </c>
      <c r="F1643" s="199" t="s">
        <v>189</v>
      </c>
      <c r="G1643" s="140" t="e">
        <f ca="1">mif(C1643="","",OR(B1643=リスト!$C$5,B1643=リスト!$C$6),SUM(INDEX(G:G,MATCH(I1643-1,I:I,0)+1,1):INDEX(G:G,MATCH(I1643,I:I,0)-1,1)),D1643-C1643)</f>
        <v>#NAME?</v>
      </c>
      <c r="H1643" s="140" t="e">
        <f ca="1">mif(C1643="","",B1643=リスト!$C$5,SUMIF(INDEX(B:B,MATCH(I1643-1,I:I,0)+1,1):INDEX(B:B,MATCH(I1643,I:I,0)-1,1),リスト!$C$7,INDEX(G:G,MATCH(I1643-1,I:I,0)+1,1):INDEX(G:G,MATCH(I1643,I:I,0)-1,1)),"")</f>
        <v>#NAME?</v>
      </c>
      <c r="I1643" s="200" t="str">
        <f>IF(OR(B1643=リスト!$C$5,B1643=リスト!$C$6),COUNTIF($B$9:B1643,リスト!$C$5)+COUNTIF($B$9:B1643,リスト!$C$6),"")</f>
        <v/>
      </c>
    </row>
    <row r="1644" spans="2:9" x14ac:dyDescent="0.2">
      <c r="B1644" s="196"/>
      <c r="C1644" s="197"/>
      <c r="D1644" s="197"/>
      <c r="E1644" s="198" t="e">
        <f ca="1">mif(OR(C1644="",B1644=リスト!$C$7),"",B1644="","RF",OR(B1644=リスト!$C$5,B1644=リスト!$C$6),COUNTBLANK(INDEX(B:B,MATCH(I1644-1,I:I,0)+1,1):INDEX(B:B,MATCH(I1644,I:I,0)-1,1)),"")</f>
        <v>#NAME?</v>
      </c>
      <c r="F1644" s="199" t="s">
        <v>189</v>
      </c>
      <c r="G1644" s="140" t="e">
        <f ca="1">mif(C1644="","",OR(B1644=リスト!$C$5,B1644=リスト!$C$6),SUM(INDEX(G:G,MATCH(I1644-1,I:I,0)+1,1):INDEX(G:G,MATCH(I1644,I:I,0)-1,1)),D1644-C1644)</f>
        <v>#NAME?</v>
      </c>
      <c r="H1644" s="140" t="e">
        <f ca="1">mif(C1644="","",B1644=リスト!$C$5,SUMIF(INDEX(B:B,MATCH(I1644-1,I:I,0)+1,1):INDEX(B:B,MATCH(I1644,I:I,0)-1,1),リスト!$C$7,INDEX(G:G,MATCH(I1644-1,I:I,0)+1,1):INDEX(G:G,MATCH(I1644,I:I,0)-1,1)),"")</f>
        <v>#NAME?</v>
      </c>
      <c r="I1644" s="200" t="str">
        <f>IF(OR(B1644=リスト!$C$5,B1644=リスト!$C$6),COUNTIF($B$9:B1644,リスト!$C$5)+COUNTIF($B$9:B1644,リスト!$C$6),"")</f>
        <v/>
      </c>
    </row>
    <row r="1645" spans="2:9" x14ac:dyDescent="0.2">
      <c r="B1645" s="196"/>
      <c r="C1645" s="197"/>
      <c r="D1645" s="197"/>
      <c r="E1645" s="198" t="e">
        <f ca="1">mif(OR(C1645="",B1645=リスト!$C$7),"",B1645="","RF",OR(B1645=リスト!$C$5,B1645=リスト!$C$6),COUNTBLANK(INDEX(B:B,MATCH(I1645-1,I:I,0)+1,1):INDEX(B:B,MATCH(I1645,I:I,0)-1,1)),"")</f>
        <v>#NAME?</v>
      </c>
      <c r="F1645" s="199" t="s">
        <v>189</v>
      </c>
      <c r="G1645" s="140" t="e">
        <f ca="1">mif(C1645="","",OR(B1645=リスト!$C$5,B1645=リスト!$C$6),SUM(INDEX(G:G,MATCH(I1645-1,I:I,0)+1,1):INDEX(G:G,MATCH(I1645,I:I,0)-1,1)),D1645-C1645)</f>
        <v>#NAME?</v>
      </c>
      <c r="H1645" s="140" t="e">
        <f ca="1">mif(C1645="","",B1645=リスト!$C$5,SUMIF(INDEX(B:B,MATCH(I1645-1,I:I,0)+1,1):INDEX(B:B,MATCH(I1645,I:I,0)-1,1),リスト!$C$7,INDEX(G:G,MATCH(I1645-1,I:I,0)+1,1):INDEX(G:G,MATCH(I1645,I:I,0)-1,1)),"")</f>
        <v>#NAME?</v>
      </c>
      <c r="I1645" s="200" t="str">
        <f>IF(OR(B1645=リスト!$C$5,B1645=リスト!$C$6),COUNTIF($B$9:B1645,リスト!$C$5)+COUNTIF($B$9:B1645,リスト!$C$6),"")</f>
        <v/>
      </c>
    </row>
    <row r="1646" spans="2:9" x14ac:dyDescent="0.2">
      <c r="B1646" s="196"/>
      <c r="C1646" s="197"/>
      <c r="D1646" s="197"/>
      <c r="E1646" s="198" t="e">
        <f ca="1">mif(OR(C1646="",B1646=リスト!$C$7),"",B1646="","RF",OR(B1646=リスト!$C$5,B1646=リスト!$C$6),COUNTBLANK(INDEX(B:B,MATCH(I1646-1,I:I,0)+1,1):INDEX(B:B,MATCH(I1646,I:I,0)-1,1)),"")</f>
        <v>#NAME?</v>
      </c>
      <c r="F1646" s="199" t="s">
        <v>189</v>
      </c>
      <c r="G1646" s="140" t="e">
        <f ca="1">mif(C1646="","",OR(B1646=リスト!$C$5,B1646=リスト!$C$6),SUM(INDEX(G:G,MATCH(I1646-1,I:I,0)+1,1):INDEX(G:G,MATCH(I1646,I:I,0)-1,1)),D1646-C1646)</f>
        <v>#NAME?</v>
      </c>
      <c r="H1646" s="140" t="e">
        <f ca="1">mif(C1646="","",B1646=リスト!$C$5,SUMIF(INDEX(B:B,MATCH(I1646-1,I:I,0)+1,1):INDEX(B:B,MATCH(I1646,I:I,0)-1,1),リスト!$C$7,INDEX(G:G,MATCH(I1646-1,I:I,0)+1,1):INDEX(G:G,MATCH(I1646,I:I,0)-1,1)),"")</f>
        <v>#NAME?</v>
      </c>
      <c r="I1646" s="200" t="str">
        <f>IF(OR(B1646=リスト!$C$5,B1646=リスト!$C$6),COUNTIF($B$9:B1646,リスト!$C$5)+COUNTIF($B$9:B1646,リスト!$C$6),"")</f>
        <v/>
      </c>
    </row>
    <row r="1647" spans="2:9" x14ac:dyDescent="0.2">
      <c r="B1647" s="196"/>
      <c r="C1647" s="197"/>
      <c r="D1647" s="197"/>
      <c r="E1647" s="198" t="e">
        <f ca="1">mif(OR(C1647="",B1647=リスト!$C$7),"",B1647="","RF",OR(B1647=リスト!$C$5,B1647=リスト!$C$6),COUNTBLANK(INDEX(B:B,MATCH(I1647-1,I:I,0)+1,1):INDEX(B:B,MATCH(I1647,I:I,0)-1,1)),"")</f>
        <v>#NAME?</v>
      </c>
      <c r="F1647" s="199" t="s">
        <v>189</v>
      </c>
      <c r="G1647" s="140" t="e">
        <f ca="1">mif(C1647="","",OR(B1647=リスト!$C$5,B1647=リスト!$C$6),SUM(INDEX(G:G,MATCH(I1647-1,I:I,0)+1,1):INDEX(G:G,MATCH(I1647,I:I,0)-1,1)),D1647-C1647)</f>
        <v>#NAME?</v>
      </c>
      <c r="H1647" s="140" t="e">
        <f ca="1">mif(C1647="","",B1647=リスト!$C$5,SUMIF(INDEX(B:B,MATCH(I1647-1,I:I,0)+1,1):INDEX(B:B,MATCH(I1647,I:I,0)-1,1),リスト!$C$7,INDEX(G:G,MATCH(I1647-1,I:I,0)+1,1):INDEX(G:G,MATCH(I1647,I:I,0)-1,1)),"")</f>
        <v>#NAME?</v>
      </c>
      <c r="I1647" s="200" t="str">
        <f>IF(OR(B1647=リスト!$C$5,B1647=リスト!$C$6),COUNTIF($B$9:B1647,リスト!$C$5)+COUNTIF($B$9:B1647,リスト!$C$6),"")</f>
        <v/>
      </c>
    </row>
    <row r="1648" spans="2:9" x14ac:dyDescent="0.2">
      <c r="B1648" s="196"/>
      <c r="C1648" s="197"/>
      <c r="D1648" s="197"/>
      <c r="E1648" s="198" t="e">
        <f ca="1">mif(OR(C1648="",B1648=リスト!$C$7),"",B1648="","RF",OR(B1648=リスト!$C$5,B1648=リスト!$C$6),COUNTBLANK(INDEX(B:B,MATCH(I1648-1,I:I,0)+1,1):INDEX(B:B,MATCH(I1648,I:I,0)-1,1)),"")</f>
        <v>#NAME?</v>
      </c>
      <c r="F1648" s="199" t="s">
        <v>189</v>
      </c>
      <c r="G1648" s="140" t="e">
        <f ca="1">mif(C1648="","",OR(B1648=リスト!$C$5,B1648=リスト!$C$6),SUM(INDEX(G:G,MATCH(I1648-1,I:I,0)+1,1):INDEX(G:G,MATCH(I1648,I:I,0)-1,1)),D1648-C1648)</f>
        <v>#NAME?</v>
      </c>
      <c r="H1648" s="140" t="e">
        <f ca="1">mif(C1648="","",B1648=リスト!$C$5,SUMIF(INDEX(B:B,MATCH(I1648-1,I:I,0)+1,1):INDEX(B:B,MATCH(I1648,I:I,0)-1,1),リスト!$C$7,INDEX(G:G,MATCH(I1648-1,I:I,0)+1,1):INDEX(G:G,MATCH(I1648,I:I,0)-1,1)),"")</f>
        <v>#NAME?</v>
      </c>
      <c r="I1648" s="200" t="str">
        <f>IF(OR(B1648=リスト!$C$5,B1648=リスト!$C$6),COUNTIF($B$9:B1648,リスト!$C$5)+COUNTIF($B$9:B1648,リスト!$C$6),"")</f>
        <v/>
      </c>
    </row>
    <row r="1649" spans="2:9" x14ac:dyDescent="0.2">
      <c r="B1649" s="196"/>
      <c r="C1649" s="197"/>
      <c r="D1649" s="197"/>
      <c r="E1649" s="198" t="e">
        <f ca="1">mif(OR(C1649="",B1649=リスト!$C$7),"",B1649="","RF",OR(B1649=リスト!$C$5,B1649=リスト!$C$6),COUNTBLANK(INDEX(B:B,MATCH(I1649-1,I:I,0)+1,1):INDEX(B:B,MATCH(I1649,I:I,0)-1,1)),"")</f>
        <v>#NAME?</v>
      </c>
      <c r="F1649" s="199" t="s">
        <v>189</v>
      </c>
      <c r="G1649" s="140" t="e">
        <f ca="1">mif(C1649="","",OR(B1649=リスト!$C$5,B1649=リスト!$C$6),SUM(INDEX(G:G,MATCH(I1649-1,I:I,0)+1,1):INDEX(G:G,MATCH(I1649,I:I,0)-1,1)),D1649-C1649)</f>
        <v>#NAME?</v>
      </c>
      <c r="H1649" s="140" t="e">
        <f ca="1">mif(C1649="","",B1649=リスト!$C$5,SUMIF(INDEX(B:B,MATCH(I1649-1,I:I,0)+1,1):INDEX(B:B,MATCH(I1649,I:I,0)-1,1),リスト!$C$7,INDEX(G:G,MATCH(I1649-1,I:I,0)+1,1):INDEX(G:G,MATCH(I1649,I:I,0)-1,1)),"")</f>
        <v>#NAME?</v>
      </c>
      <c r="I1649" s="200" t="str">
        <f>IF(OR(B1649=リスト!$C$5,B1649=リスト!$C$6),COUNTIF($B$9:B1649,リスト!$C$5)+COUNTIF($B$9:B1649,リスト!$C$6),"")</f>
        <v/>
      </c>
    </row>
    <row r="1650" spans="2:9" x14ac:dyDescent="0.2">
      <c r="B1650" s="196"/>
      <c r="C1650" s="197"/>
      <c r="D1650" s="197"/>
      <c r="E1650" s="198" t="e">
        <f ca="1">mif(OR(C1650="",B1650=リスト!$C$7),"",B1650="","RF",OR(B1650=リスト!$C$5,B1650=リスト!$C$6),COUNTBLANK(INDEX(B:B,MATCH(I1650-1,I:I,0)+1,1):INDEX(B:B,MATCH(I1650,I:I,0)-1,1)),"")</f>
        <v>#NAME?</v>
      </c>
      <c r="F1650" s="199" t="s">
        <v>189</v>
      </c>
      <c r="G1650" s="140" t="e">
        <f ca="1">mif(C1650="","",OR(B1650=リスト!$C$5,B1650=リスト!$C$6),SUM(INDEX(G:G,MATCH(I1650-1,I:I,0)+1,1):INDEX(G:G,MATCH(I1650,I:I,0)-1,1)),D1650-C1650)</f>
        <v>#NAME?</v>
      </c>
      <c r="H1650" s="140" t="e">
        <f ca="1">mif(C1650="","",B1650=リスト!$C$5,SUMIF(INDEX(B:B,MATCH(I1650-1,I:I,0)+1,1):INDEX(B:B,MATCH(I1650,I:I,0)-1,1),リスト!$C$7,INDEX(G:G,MATCH(I1650-1,I:I,0)+1,1):INDEX(G:G,MATCH(I1650,I:I,0)-1,1)),"")</f>
        <v>#NAME?</v>
      </c>
      <c r="I1650" s="200" t="str">
        <f>IF(OR(B1650=リスト!$C$5,B1650=リスト!$C$6),COUNTIF($B$9:B1650,リスト!$C$5)+COUNTIF($B$9:B1650,リスト!$C$6),"")</f>
        <v/>
      </c>
    </row>
    <row r="1651" spans="2:9" x14ac:dyDescent="0.2">
      <c r="B1651" s="196"/>
      <c r="C1651" s="197"/>
      <c r="D1651" s="197"/>
      <c r="E1651" s="198" t="e">
        <f ca="1">mif(OR(C1651="",B1651=リスト!$C$7),"",B1651="","RF",OR(B1651=リスト!$C$5,B1651=リスト!$C$6),COUNTBLANK(INDEX(B:B,MATCH(I1651-1,I:I,0)+1,1):INDEX(B:B,MATCH(I1651,I:I,0)-1,1)),"")</f>
        <v>#NAME?</v>
      </c>
      <c r="F1651" s="199" t="s">
        <v>189</v>
      </c>
      <c r="G1651" s="140" t="e">
        <f ca="1">mif(C1651="","",OR(B1651=リスト!$C$5,B1651=リスト!$C$6),SUM(INDEX(G:G,MATCH(I1651-1,I:I,0)+1,1):INDEX(G:G,MATCH(I1651,I:I,0)-1,1)),D1651-C1651)</f>
        <v>#NAME?</v>
      </c>
      <c r="H1651" s="140" t="e">
        <f ca="1">mif(C1651="","",B1651=リスト!$C$5,SUMIF(INDEX(B:B,MATCH(I1651-1,I:I,0)+1,1):INDEX(B:B,MATCH(I1651,I:I,0)-1,1),リスト!$C$7,INDEX(G:G,MATCH(I1651-1,I:I,0)+1,1):INDEX(G:G,MATCH(I1651,I:I,0)-1,1)),"")</f>
        <v>#NAME?</v>
      </c>
      <c r="I1651" s="200" t="str">
        <f>IF(OR(B1651=リスト!$C$5,B1651=リスト!$C$6),COUNTIF($B$9:B1651,リスト!$C$5)+COUNTIF($B$9:B1651,リスト!$C$6),"")</f>
        <v/>
      </c>
    </row>
    <row r="1652" spans="2:9" x14ac:dyDescent="0.2">
      <c r="B1652" s="196"/>
      <c r="C1652" s="197"/>
      <c r="D1652" s="197"/>
      <c r="E1652" s="198" t="e">
        <f ca="1">mif(OR(C1652="",B1652=リスト!$C$7),"",B1652="","RF",OR(B1652=リスト!$C$5,B1652=リスト!$C$6),COUNTBLANK(INDEX(B:B,MATCH(I1652-1,I:I,0)+1,1):INDEX(B:B,MATCH(I1652,I:I,0)-1,1)),"")</f>
        <v>#NAME?</v>
      </c>
      <c r="F1652" s="199" t="s">
        <v>189</v>
      </c>
      <c r="G1652" s="140" t="e">
        <f ca="1">mif(C1652="","",OR(B1652=リスト!$C$5,B1652=リスト!$C$6),SUM(INDEX(G:G,MATCH(I1652-1,I:I,0)+1,1):INDEX(G:G,MATCH(I1652,I:I,0)-1,1)),D1652-C1652)</f>
        <v>#NAME?</v>
      </c>
      <c r="H1652" s="140" t="e">
        <f ca="1">mif(C1652="","",B1652=リスト!$C$5,SUMIF(INDEX(B:B,MATCH(I1652-1,I:I,0)+1,1):INDEX(B:B,MATCH(I1652,I:I,0)-1,1),リスト!$C$7,INDEX(G:G,MATCH(I1652-1,I:I,0)+1,1):INDEX(G:G,MATCH(I1652,I:I,0)-1,1)),"")</f>
        <v>#NAME?</v>
      </c>
      <c r="I1652" s="200" t="str">
        <f>IF(OR(B1652=リスト!$C$5,B1652=リスト!$C$6),COUNTIF($B$9:B1652,リスト!$C$5)+COUNTIF($B$9:B1652,リスト!$C$6),"")</f>
        <v/>
      </c>
    </row>
    <row r="1653" spans="2:9" x14ac:dyDescent="0.2">
      <c r="B1653" s="196"/>
      <c r="C1653" s="197"/>
      <c r="D1653" s="197"/>
      <c r="E1653" s="198" t="e">
        <f ca="1">mif(OR(C1653="",B1653=リスト!$C$7),"",B1653="","RF",OR(B1653=リスト!$C$5,B1653=リスト!$C$6),COUNTBLANK(INDEX(B:B,MATCH(I1653-1,I:I,0)+1,1):INDEX(B:B,MATCH(I1653,I:I,0)-1,1)),"")</f>
        <v>#NAME?</v>
      </c>
      <c r="F1653" s="199" t="s">
        <v>189</v>
      </c>
      <c r="G1653" s="140" t="e">
        <f ca="1">mif(C1653="","",OR(B1653=リスト!$C$5,B1653=リスト!$C$6),SUM(INDEX(G:G,MATCH(I1653-1,I:I,0)+1,1):INDEX(G:G,MATCH(I1653,I:I,0)-1,1)),D1653-C1653)</f>
        <v>#NAME?</v>
      </c>
      <c r="H1653" s="140" t="e">
        <f ca="1">mif(C1653="","",B1653=リスト!$C$5,SUMIF(INDEX(B:B,MATCH(I1653-1,I:I,0)+1,1):INDEX(B:B,MATCH(I1653,I:I,0)-1,1),リスト!$C$7,INDEX(G:G,MATCH(I1653-1,I:I,0)+1,1):INDEX(G:G,MATCH(I1653,I:I,0)-1,1)),"")</f>
        <v>#NAME?</v>
      </c>
      <c r="I1653" s="200" t="str">
        <f>IF(OR(B1653=リスト!$C$5,B1653=リスト!$C$6),COUNTIF($B$9:B1653,リスト!$C$5)+COUNTIF($B$9:B1653,リスト!$C$6),"")</f>
        <v/>
      </c>
    </row>
    <row r="1654" spans="2:9" x14ac:dyDescent="0.2">
      <c r="B1654" s="196"/>
      <c r="C1654" s="197"/>
      <c r="D1654" s="197"/>
      <c r="E1654" s="198" t="e">
        <f ca="1">mif(OR(C1654="",B1654=リスト!$C$7),"",B1654="","RF",OR(B1654=リスト!$C$5,B1654=リスト!$C$6),COUNTBLANK(INDEX(B:B,MATCH(I1654-1,I:I,0)+1,1):INDEX(B:B,MATCH(I1654,I:I,0)-1,1)),"")</f>
        <v>#NAME?</v>
      </c>
      <c r="F1654" s="199" t="s">
        <v>189</v>
      </c>
      <c r="G1654" s="140" t="e">
        <f ca="1">mif(C1654="","",OR(B1654=リスト!$C$5,B1654=リスト!$C$6),SUM(INDEX(G:G,MATCH(I1654-1,I:I,0)+1,1):INDEX(G:G,MATCH(I1654,I:I,0)-1,1)),D1654-C1654)</f>
        <v>#NAME?</v>
      </c>
      <c r="H1654" s="140" t="e">
        <f ca="1">mif(C1654="","",B1654=リスト!$C$5,SUMIF(INDEX(B:B,MATCH(I1654-1,I:I,0)+1,1):INDEX(B:B,MATCH(I1654,I:I,0)-1,1),リスト!$C$7,INDEX(G:G,MATCH(I1654-1,I:I,0)+1,1):INDEX(G:G,MATCH(I1654,I:I,0)-1,1)),"")</f>
        <v>#NAME?</v>
      </c>
      <c r="I1654" s="200" t="str">
        <f>IF(OR(B1654=リスト!$C$5,B1654=リスト!$C$6),COUNTIF($B$9:B1654,リスト!$C$5)+COUNTIF($B$9:B1654,リスト!$C$6),"")</f>
        <v/>
      </c>
    </row>
    <row r="1655" spans="2:9" x14ac:dyDescent="0.2">
      <c r="B1655" s="196"/>
      <c r="C1655" s="197"/>
      <c r="D1655" s="197"/>
      <c r="E1655" s="198" t="e">
        <f ca="1">mif(OR(C1655="",B1655=リスト!$C$7),"",B1655="","RF",OR(B1655=リスト!$C$5,B1655=リスト!$C$6),COUNTBLANK(INDEX(B:B,MATCH(I1655-1,I:I,0)+1,1):INDEX(B:B,MATCH(I1655,I:I,0)-1,1)),"")</f>
        <v>#NAME?</v>
      </c>
      <c r="F1655" s="199" t="s">
        <v>189</v>
      </c>
      <c r="G1655" s="140" t="e">
        <f ca="1">mif(C1655="","",OR(B1655=リスト!$C$5,B1655=リスト!$C$6),SUM(INDEX(G:G,MATCH(I1655-1,I:I,0)+1,1):INDEX(G:G,MATCH(I1655,I:I,0)-1,1)),D1655-C1655)</f>
        <v>#NAME?</v>
      </c>
      <c r="H1655" s="140" t="e">
        <f ca="1">mif(C1655="","",B1655=リスト!$C$5,SUMIF(INDEX(B:B,MATCH(I1655-1,I:I,0)+1,1):INDEX(B:B,MATCH(I1655,I:I,0)-1,1),リスト!$C$7,INDEX(G:G,MATCH(I1655-1,I:I,0)+1,1):INDEX(G:G,MATCH(I1655,I:I,0)-1,1)),"")</f>
        <v>#NAME?</v>
      </c>
      <c r="I1655" s="200" t="str">
        <f>IF(OR(B1655=リスト!$C$5,B1655=リスト!$C$6),COUNTIF($B$9:B1655,リスト!$C$5)+COUNTIF($B$9:B1655,リスト!$C$6),"")</f>
        <v/>
      </c>
    </row>
    <row r="1656" spans="2:9" x14ac:dyDescent="0.2">
      <c r="B1656" s="196"/>
      <c r="C1656" s="197"/>
      <c r="D1656" s="197"/>
      <c r="E1656" s="198" t="e">
        <f ca="1">mif(OR(C1656="",B1656=リスト!$C$7),"",B1656="","RF",OR(B1656=リスト!$C$5,B1656=リスト!$C$6),COUNTBLANK(INDEX(B:B,MATCH(I1656-1,I:I,0)+1,1):INDEX(B:B,MATCH(I1656,I:I,0)-1,1)),"")</f>
        <v>#NAME?</v>
      </c>
      <c r="F1656" s="199" t="s">
        <v>189</v>
      </c>
      <c r="G1656" s="140" t="e">
        <f ca="1">mif(C1656="","",OR(B1656=リスト!$C$5,B1656=リスト!$C$6),SUM(INDEX(G:G,MATCH(I1656-1,I:I,0)+1,1):INDEX(G:G,MATCH(I1656,I:I,0)-1,1)),D1656-C1656)</f>
        <v>#NAME?</v>
      </c>
      <c r="H1656" s="140" t="e">
        <f ca="1">mif(C1656="","",B1656=リスト!$C$5,SUMIF(INDEX(B:B,MATCH(I1656-1,I:I,0)+1,1):INDEX(B:B,MATCH(I1656,I:I,0)-1,1),リスト!$C$7,INDEX(G:G,MATCH(I1656-1,I:I,0)+1,1):INDEX(G:G,MATCH(I1656,I:I,0)-1,1)),"")</f>
        <v>#NAME?</v>
      </c>
      <c r="I1656" s="200" t="str">
        <f>IF(OR(B1656=リスト!$C$5,B1656=リスト!$C$6),COUNTIF($B$9:B1656,リスト!$C$5)+COUNTIF($B$9:B1656,リスト!$C$6),"")</f>
        <v/>
      </c>
    </row>
    <row r="1657" spans="2:9" x14ac:dyDescent="0.2">
      <c r="B1657" s="196"/>
      <c r="C1657" s="197"/>
      <c r="D1657" s="197"/>
      <c r="E1657" s="198" t="e">
        <f ca="1">mif(OR(C1657="",B1657=リスト!$C$7),"",B1657="","RF",OR(B1657=リスト!$C$5,B1657=リスト!$C$6),COUNTBLANK(INDEX(B:B,MATCH(I1657-1,I:I,0)+1,1):INDEX(B:B,MATCH(I1657,I:I,0)-1,1)),"")</f>
        <v>#NAME?</v>
      </c>
      <c r="F1657" s="199" t="s">
        <v>189</v>
      </c>
      <c r="G1657" s="140" t="e">
        <f ca="1">mif(C1657="","",OR(B1657=リスト!$C$5,B1657=リスト!$C$6),SUM(INDEX(G:G,MATCH(I1657-1,I:I,0)+1,1):INDEX(G:G,MATCH(I1657,I:I,0)-1,1)),D1657-C1657)</f>
        <v>#NAME?</v>
      </c>
      <c r="H1657" s="140" t="e">
        <f ca="1">mif(C1657="","",B1657=リスト!$C$5,SUMIF(INDEX(B:B,MATCH(I1657-1,I:I,0)+1,1):INDEX(B:B,MATCH(I1657,I:I,0)-1,1),リスト!$C$7,INDEX(G:G,MATCH(I1657-1,I:I,0)+1,1):INDEX(G:G,MATCH(I1657,I:I,0)-1,1)),"")</f>
        <v>#NAME?</v>
      </c>
      <c r="I1657" s="200" t="str">
        <f>IF(OR(B1657=リスト!$C$5,B1657=リスト!$C$6),COUNTIF($B$9:B1657,リスト!$C$5)+COUNTIF($B$9:B1657,リスト!$C$6),"")</f>
        <v/>
      </c>
    </row>
    <row r="1658" spans="2:9" x14ac:dyDescent="0.2">
      <c r="B1658" s="196"/>
      <c r="C1658" s="197"/>
      <c r="D1658" s="197"/>
      <c r="E1658" s="198" t="e">
        <f ca="1">mif(OR(C1658="",B1658=リスト!$C$7),"",B1658="","RF",OR(B1658=リスト!$C$5,B1658=リスト!$C$6),COUNTBLANK(INDEX(B:B,MATCH(I1658-1,I:I,0)+1,1):INDEX(B:B,MATCH(I1658,I:I,0)-1,1)),"")</f>
        <v>#NAME?</v>
      </c>
      <c r="F1658" s="199" t="s">
        <v>189</v>
      </c>
      <c r="G1658" s="140" t="e">
        <f ca="1">mif(C1658="","",OR(B1658=リスト!$C$5,B1658=リスト!$C$6),SUM(INDEX(G:G,MATCH(I1658-1,I:I,0)+1,1):INDEX(G:G,MATCH(I1658,I:I,0)-1,1)),D1658-C1658)</f>
        <v>#NAME?</v>
      </c>
      <c r="H1658" s="140" t="e">
        <f ca="1">mif(C1658="","",B1658=リスト!$C$5,SUMIF(INDEX(B:B,MATCH(I1658-1,I:I,0)+1,1):INDEX(B:B,MATCH(I1658,I:I,0)-1,1),リスト!$C$7,INDEX(G:G,MATCH(I1658-1,I:I,0)+1,1):INDEX(G:G,MATCH(I1658,I:I,0)-1,1)),"")</f>
        <v>#NAME?</v>
      </c>
      <c r="I1658" s="200" t="str">
        <f>IF(OR(B1658=リスト!$C$5,B1658=リスト!$C$6),COUNTIF($B$9:B1658,リスト!$C$5)+COUNTIF($B$9:B1658,リスト!$C$6),"")</f>
        <v/>
      </c>
    </row>
    <row r="1659" spans="2:9" x14ac:dyDescent="0.2">
      <c r="B1659" s="196"/>
      <c r="C1659" s="197"/>
      <c r="D1659" s="197"/>
      <c r="E1659" s="198" t="e">
        <f ca="1">mif(OR(C1659="",B1659=リスト!$C$7),"",B1659="","RF",OR(B1659=リスト!$C$5,B1659=リスト!$C$6),COUNTBLANK(INDEX(B:B,MATCH(I1659-1,I:I,0)+1,1):INDEX(B:B,MATCH(I1659,I:I,0)-1,1)),"")</f>
        <v>#NAME?</v>
      </c>
      <c r="F1659" s="199" t="s">
        <v>189</v>
      </c>
      <c r="G1659" s="140" t="e">
        <f ca="1">mif(C1659="","",OR(B1659=リスト!$C$5,B1659=リスト!$C$6),SUM(INDEX(G:G,MATCH(I1659-1,I:I,0)+1,1):INDEX(G:G,MATCH(I1659,I:I,0)-1,1)),D1659-C1659)</f>
        <v>#NAME?</v>
      </c>
      <c r="H1659" s="140" t="e">
        <f ca="1">mif(C1659="","",B1659=リスト!$C$5,SUMIF(INDEX(B:B,MATCH(I1659-1,I:I,0)+1,1):INDEX(B:B,MATCH(I1659,I:I,0)-1,1),リスト!$C$7,INDEX(G:G,MATCH(I1659-1,I:I,0)+1,1):INDEX(G:G,MATCH(I1659,I:I,0)-1,1)),"")</f>
        <v>#NAME?</v>
      </c>
      <c r="I1659" s="200" t="str">
        <f>IF(OR(B1659=リスト!$C$5,B1659=リスト!$C$6),COUNTIF($B$9:B1659,リスト!$C$5)+COUNTIF($B$9:B1659,リスト!$C$6),"")</f>
        <v/>
      </c>
    </row>
    <row r="1660" spans="2:9" x14ac:dyDescent="0.2">
      <c r="B1660" s="196"/>
      <c r="C1660" s="197"/>
      <c r="D1660" s="197"/>
      <c r="E1660" s="198" t="e">
        <f ca="1">mif(OR(C1660="",B1660=リスト!$C$7),"",B1660="","RF",OR(B1660=リスト!$C$5,B1660=リスト!$C$6),COUNTBLANK(INDEX(B:B,MATCH(I1660-1,I:I,0)+1,1):INDEX(B:B,MATCH(I1660,I:I,0)-1,1)),"")</f>
        <v>#NAME?</v>
      </c>
      <c r="F1660" s="199" t="s">
        <v>189</v>
      </c>
      <c r="G1660" s="140" t="e">
        <f ca="1">mif(C1660="","",OR(B1660=リスト!$C$5,B1660=リスト!$C$6),SUM(INDEX(G:G,MATCH(I1660-1,I:I,0)+1,1):INDEX(G:G,MATCH(I1660,I:I,0)-1,1)),D1660-C1660)</f>
        <v>#NAME?</v>
      </c>
      <c r="H1660" s="140" t="e">
        <f ca="1">mif(C1660="","",B1660=リスト!$C$5,SUMIF(INDEX(B:B,MATCH(I1660-1,I:I,0)+1,1):INDEX(B:B,MATCH(I1660,I:I,0)-1,1),リスト!$C$7,INDEX(G:G,MATCH(I1660-1,I:I,0)+1,1):INDEX(G:G,MATCH(I1660,I:I,0)-1,1)),"")</f>
        <v>#NAME?</v>
      </c>
      <c r="I1660" s="200" t="str">
        <f>IF(OR(B1660=リスト!$C$5,B1660=リスト!$C$6),COUNTIF($B$9:B1660,リスト!$C$5)+COUNTIF($B$9:B1660,リスト!$C$6),"")</f>
        <v/>
      </c>
    </row>
    <row r="1661" spans="2:9" x14ac:dyDescent="0.2">
      <c r="B1661" s="196"/>
      <c r="C1661" s="197"/>
      <c r="D1661" s="197"/>
      <c r="E1661" s="198" t="e">
        <f ca="1">mif(OR(C1661="",B1661=リスト!$C$7),"",B1661="","RF",OR(B1661=リスト!$C$5,B1661=リスト!$C$6),COUNTBLANK(INDEX(B:B,MATCH(I1661-1,I:I,0)+1,1):INDEX(B:B,MATCH(I1661,I:I,0)-1,1)),"")</f>
        <v>#NAME?</v>
      </c>
      <c r="F1661" s="199" t="s">
        <v>189</v>
      </c>
      <c r="G1661" s="140" t="e">
        <f ca="1">mif(C1661="","",OR(B1661=リスト!$C$5,B1661=リスト!$C$6),SUM(INDEX(G:G,MATCH(I1661-1,I:I,0)+1,1):INDEX(G:G,MATCH(I1661,I:I,0)-1,1)),D1661-C1661)</f>
        <v>#NAME?</v>
      </c>
      <c r="H1661" s="140" t="e">
        <f ca="1">mif(C1661="","",B1661=リスト!$C$5,SUMIF(INDEX(B:B,MATCH(I1661-1,I:I,0)+1,1):INDEX(B:B,MATCH(I1661,I:I,0)-1,1),リスト!$C$7,INDEX(G:G,MATCH(I1661-1,I:I,0)+1,1):INDEX(G:G,MATCH(I1661,I:I,0)-1,1)),"")</f>
        <v>#NAME?</v>
      </c>
      <c r="I1661" s="200" t="str">
        <f>IF(OR(B1661=リスト!$C$5,B1661=リスト!$C$6),COUNTIF($B$9:B1661,リスト!$C$5)+COUNTIF($B$9:B1661,リスト!$C$6),"")</f>
        <v/>
      </c>
    </row>
    <row r="1662" spans="2:9" x14ac:dyDescent="0.2">
      <c r="B1662" s="196"/>
      <c r="C1662" s="197"/>
      <c r="D1662" s="197"/>
      <c r="E1662" s="198" t="e">
        <f ca="1">mif(OR(C1662="",B1662=リスト!$C$7),"",B1662="","RF",OR(B1662=リスト!$C$5,B1662=リスト!$C$6),COUNTBLANK(INDEX(B:B,MATCH(I1662-1,I:I,0)+1,1):INDEX(B:B,MATCH(I1662,I:I,0)-1,1)),"")</f>
        <v>#NAME?</v>
      </c>
      <c r="F1662" s="199" t="s">
        <v>189</v>
      </c>
      <c r="G1662" s="140" t="e">
        <f ca="1">mif(C1662="","",OR(B1662=リスト!$C$5,B1662=リスト!$C$6),SUM(INDEX(G:G,MATCH(I1662-1,I:I,0)+1,1):INDEX(G:G,MATCH(I1662,I:I,0)-1,1)),D1662-C1662)</f>
        <v>#NAME?</v>
      </c>
      <c r="H1662" s="140" t="e">
        <f ca="1">mif(C1662="","",B1662=リスト!$C$5,SUMIF(INDEX(B:B,MATCH(I1662-1,I:I,0)+1,1):INDEX(B:B,MATCH(I1662,I:I,0)-1,1),リスト!$C$7,INDEX(G:G,MATCH(I1662-1,I:I,0)+1,1):INDEX(G:G,MATCH(I1662,I:I,0)-1,1)),"")</f>
        <v>#NAME?</v>
      </c>
      <c r="I1662" s="200" t="str">
        <f>IF(OR(B1662=リスト!$C$5,B1662=リスト!$C$6),COUNTIF($B$9:B1662,リスト!$C$5)+COUNTIF($B$9:B1662,リスト!$C$6),"")</f>
        <v/>
      </c>
    </row>
    <row r="1663" spans="2:9" x14ac:dyDescent="0.2">
      <c r="B1663" s="196"/>
      <c r="C1663" s="197"/>
      <c r="D1663" s="197"/>
      <c r="E1663" s="198" t="e">
        <f ca="1">mif(OR(C1663="",B1663=リスト!$C$7),"",B1663="","RF",OR(B1663=リスト!$C$5,B1663=リスト!$C$6),COUNTBLANK(INDEX(B:B,MATCH(I1663-1,I:I,0)+1,1):INDEX(B:B,MATCH(I1663,I:I,0)-1,1)),"")</f>
        <v>#NAME?</v>
      </c>
      <c r="F1663" s="199" t="s">
        <v>189</v>
      </c>
      <c r="G1663" s="140" t="e">
        <f ca="1">mif(C1663="","",OR(B1663=リスト!$C$5,B1663=リスト!$C$6),SUM(INDEX(G:G,MATCH(I1663-1,I:I,0)+1,1):INDEX(G:G,MATCH(I1663,I:I,0)-1,1)),D1663-C1663)</f>
        <v>#NAME?</v>
      </c>
      <c r="H1663" s="140" t="e">
        <f ca="1">mif(C1663="","",B1663=リスト!$C$5,SUMIF(INDEX(B:B,MATCH(I1663-1,I:I,0)+1,1):INDEX(B:B,MATCH(I1663,I:I,0)-1,1),リスト!$C$7,INDEX(G:G,MATCH(I1663-1,I:I,0)+1,1):INDEX(G:G,MATCH(I1663,I:I,0)-1,1)),"")</f>
        <v>#NAME?</v>
      </c>
      <c r="I1663" s="200" t="str">
        <f>IF(OR(B1663=リスト!$C$5,B1663=リスト!$C$6),COUNTIF($B$9:B1663,リスト!$C$5)+COUNTIF($B$9:B1663,リスト!$C$6),"")</f>
        <v/>
      </c>
    </row>
    <row r="1664" spans="2:9" x14ac:dyDescent="0.2">
      <c r="B1664" s="196"/>
      <c r="C1664" s="197"/>
      <c r="D1664" s="197"/>
      <c r="E1664" s="198" t="e">
        <f ca="1">mif(OR(C1664="",B1664=リスト!$C$7),"",B1664="","RF",OR(B1664=リスト!$C$5,B1664=リスト!$C$6),COUNTBLANK(INDEX(B:B,MATCH(I1664-1,I:I,0)+1,1):INDEX(B:B,MATCH(I1664,I:I,0)-1,1)),"")</f>
        <v>#NAME?</v>
      </c>
      <c r="F1664" s="199" t="s">
        <v>189</v>
      </c>
      <c r="G1664" s="140" t="e">
        <f ca="1">mif(C1664="","",OR(B1664=リスト!$C$5,B1664=リスト!$C$6),SUM(INDEX(G:G,MATCH(I1664-1,I:I,0)+1,1):INDEX(G:G,MATCH(I1664,I:I,0)-1,1)),D1664-C1664)</f>
        <v>#NAME?</v>
      </c>
      <c r="H1664" s="140" t="e">
        <f ca="1">mif(C1664="","",B1664=リスト!$C$5,SUMIF(INDEX(B:B,MATCH(I1664-1,I:I,0)+1,1):INDEX(B:B,MATCH(I1664,I:I,0)-1,1),リスト!$C$7,INDEX(G:G,MATCH(I1664-1,I:I,0)+1,1):INDEX(G:G,MATCH(I1664,I:I,0)-1,1)),"")</f>
        <v>#NAME?</v>
      </c>
      <c r="I1664" s="200" t="str">
        <f>IF(OR(B1664=リスト!$C$5,B1664=リスト!$C$6),COUNTIF($B$9:B1664,リスト!$C$5)+COUNTIF($B$9:B1664,リスト!$C$6),"")</f>
        <v/>
      </c>
    </row>
    <row r="1665" spans="2:9" x14ac:dyDescent="0.2">
      <c r="B1665" s="196"/>
      <c r="C1665" s="197"/>
      <c r="D1665" s="197"/>
      <c r="E1665" s="198" t="e">
        <f ca="1">mif(OR(C1665="",B1665=リスト!$C$7),"",B1665="","RF",OR(B1665=リスト!$C$5,B1665=リスト!$C$6),COUNTBLANK(INDEX(B:B,MATCH(I1665-1,I:I,0)+1,1):INDEX(B:B,MATCH(I1665,I:I,0)-1,1)),"")</f>
        <v>#NAME?</v>
      </c>
      <c r="F1665" s="199" t="s">
        <v>189</v>
      </c>
      <c r="G1665" s="140" t="e">
        <f ca="1">mif(C1665="","",OR(B1665=リスト!$C$5,B1665=リスト!$C$6),SUM(INDEX(G:G,MATCH(I1665-1,I:I,0)+1,1):INDEX(G:G,MATCH(I1665,I:I,0)-1,1)),D1665-C1665)</f>
        <v>#NAME?</v>
      </c>
      <c r="H1665" s="140" t="e">
        <f ca="1">mif(C1665="","",B1665=リスト!$C$5,SUMIF(INDEX(B:B,MATCH(I1665-1,I:I,0)+1,1):INDEX(B:B,MATCH(I1665,I:I,0)-1,1),リスト!$C$7,INDEX(G:G,MATCH(I1665-1,I:I,0)+1,1):INDEX(G:G,MATCH(I1665,I:I,0)-1,1)),"")</f>
        <v>#NAME?</v>
      </c>
      <c r="I1665" s="200" t="str">
        <f>IF(OR(B1665=リスト!$C$5,B1665=リスト!$C$6),COUNTIF($B$9:B1665,リスト!$C$5)+COUNTIF($B$9:B1665,リスト!$C$6),"")</f>
        <v/>
      </c>
    </row>
    <row r="1666" spans="2:9" x14ac:dyDescent="0.2">
      <c r="B1666" s="196"/>
      <c r="C1666" s="197"/>
      <c r="D1666" s="197"/>
      <c r="E1666" s="198" t="e">
        <f ca="1">mif(OR(C1666="",B1666=リスト!$C$7),"",B1666="","RF",OR(B1666=リスト!$C$5,B1666=リスト!$C$6),COUNTBLANK(INDEX(B:B,MATCH(I1666-1,I:I,0)+1,1):INDEX(B:B,MATCH(I1666,I:I,0)-1,1)),"")</f>
        <v>#NAME?</v>
      </c>
      <c r="F1666" s="199" t="s">
        <v>189</v>
      </c>
      <c r="G1666" s="140" t="e">
        <f ca="1">mif(C1666="","",OR(B1666=リスト!$C$5,B1666=リスト!$C$6),SUM(INDEX(G:G,MATCH(I1666-1,I:I,0)+1,1):INDEX(G:G,MATCH(I1666,I:I,0)-1,1)),D1666-C1666)</f>
        <v>#NAME?</v>
      </c>
      <c r="H1666" s="140" t="e">
        <f ca="1">mif(C1666="","",B1666=リスト!$C$5,SUMIF(INDEX(B:B,MATCH(I1666-1,I:I,0)+1,1):INDEX(B:B,MATCH(I1666,I:I,0)-1,1),リスト!$C$7,INDEX(G:G,MATCH(I1666-1,I:I,0)+1,1):INDEX(G:G,MATCH(I1666,I:I,0)-1,1)),"")</f>
        <v>#NAME?</v>
      </c>
      <c r="I1666" s="200" t="str">
        <f>IF(OR(B1666=リスト!$C$5,B1666=リスト!$C$6),COUNTIF($B$9:B1666,リスト!$C$5)+COUNTIF($B$9:B1666,リスト!$C$6),"")</f>
        <v/>
      </c>
    </row>
    <row r="1667" spans="2:9" x14ac:dyDescent="0.2">
      <c r="B1667" s="196"/>
      <c r="C1667" s="197"/>
      <c r="D1667" s="197"/>
      <c r="E1667" s="198" t="e">
        <f ca="1">mif(OR(C1667="",B1667=リスト!$C$7),"",B1667="","RF",OR(B1667=リスト!$C$5,B1667=リスト!$C$6),COUNTBLANK(INDEX(B:B,MATCH(I1667-1,I:I,0)+1,1):INDEX(B:B,MATCH(I1667,I:I,0)-1,1)),"")</f>
        <v>#NAME?</v>
      </c>
      <c r="F1667" s="199" t="s">
        <v>189</v>
      </c>
      <c r="G1667" s="140" t="e">
        <f ca="1">mif(C1667="","",OR(B1667=リスト!$C$5,B1667=リスト!$C$6),SUM(INDEX(G:G,MATCH(I1667-1,I:I,0)+1,1):INDEX(G:G,MATCH(I1667,I:I,0)-1,1)),D1667-C1667)</f>
        <v>#NAME?</v>
      </c>
      <c r="H1667" s="140" t="e">
        <f ca="1">mif(C1667="","",B1667=リスト!$C$5,SUMIF(INDEX(B:B,MATCH(I1667-1,I:I,0)+1,1):INDEX(B:B,MATCH(I1667,I:I,0)-1,1),リスト!$C$7,INDEX(G:G,MATCH(I1667-1,I:I,0)+1,1):INDEX(G:G,MATCH(I1667,I:I,0)-1,1)),"")</f>
        <v>#NAME?</v>
      </c>
      <c r="I1667" s="200" t="str">
        <f>IF(OR(B1667=リスト!$C$5,B1667=リスト!$C$6),COUNTIF($B$9:B1667,リスト!$C$5)+COUNTIF($B$9:B1667,リスト!$C$6),"")</f>
        <v/>
      </c>
    </row>
    <row r="1668" spans="2:9" x14ac:dyDescent="0.2">
      <c r="B1668" s="196"/>
      <c r="C1668" s="197"/>
      <c r="D1668" s="197"/>
      <c r="E1668" s="198" t="e">
        <f ca="1">mif(OR(C1668="",B1668=リスト!$C$7),"",B1668="","RF",OR(B1668=リスト!$C$5,B1668=リスト!$C$6),COUNTBLANK(INDEX(B:B,MATCH(I1668-1,I:I,0)+1,1):INDEX(B:B,MATCH(I1668,I:I,0)-1,1)),"")</f>
        <v>#NAME?</v>
      </c>
      <c r="F1668" s="199" t="s">
        <v>189</v>
      </c>
      <c r="G1668" s="140" t="e">
        <f ca="1">mif(C1668="","",OR(B1668=リスト!$C$5,B1668=リスト!$C$6),SUM(INDEX(G:G,MATCH(I1668-1,I:I,0)+1,1):INDEX(G:G,MATCH(I1668,I:I,0)-1,1)),D1668-C1668)</f>
        <v>#NAME?</v>
      </c>
      <c r="H1668" s="140" t="e">
        <f ca="1">mif(C1668="","",B1668=リスト!$C$5,SUMIF(INDEX(B:B,MATCH(I1668-1,I:I,0)+1,1):INDEX(B:B,MATCH(I1668,I:I,0)-1,1),リスト!$C$7,INDEX(G:G,MATCH(I1668-1,I:I,0)+1,1):INDEX(G:G,MATCH(I1668,I:I,0)-1,1)),"")</f>
        <v>#NAME?</v>
      </c>
      <c r="I1668" s="200" t="str">
        <f>IF(OR(B1668=リスト!$C$5,B1668=リスト!$C$6),COUNTIF($B$9:B1668,リスト!$C$5)+COUNTIF($B$9:B1668,リスト!$C$6),"")</f>
        <v/>
      </c>
    </row>
    <row r="1669" spans="2:9" x14ac:dyDescent="0.2">
      <c r="B1669" s="196"/>
      <c r="C1669" s="197"/>
      <c r="D1669" s="197"/>
      <c r="E1669" s="198" t="e">
        <f ca="1">mif(OR(C1669="",B1669=リスト!$C$7),"",B1669="","RF",OR(B1669=リスト!$C$5,B1669=リスト!$C$6),COUNTBLANK(INDEX(B:B,MATCH(I1669-1,I:I,0)+1,1):INDEX(B:B,MATCH(I1669,I:I,0)-1,1)),"")</f>
        <v>#NAME?</v>
      </c>
      <c r="F1669" s="199" t="s">
        <v>189</v>
      </c>
      <c r="G1669" s="140" t="e">
        <f ca="1">mif(C1669="","",OR(B1669=リスト!$C$5,B1669=リスト!$C$6),SUM(INDEX(G:G,MATCH(I1669-1,I:I,0)+1,1):INDEX(G:G,MATCH(I1669,I:I,0)-1,1)),D1669-C1669)</f>
        <v>#NAME?</v>
      </c>
      <c r="H1669" s="140" t="e">
        <f ca="1">mif(C1669="","",B1669=リスト!$C$5,SUMIF(INDEX(B:B,MATCH(I1669-1,I:I,0)+1,1):INDEX(B:B,MATCH(I1669,I:I,0)-1,1),リスト!$C$7,INDEX(G:G,MATCH(I1669-1,I:I,0)+1,1):INDEX(G:G,MATCH(I1669,I:I,0)-1,1)),"")</f>
        <v>#NAME?</v>
      </c>
      <c r="I1669" s="200" t="str">
        <f>IF(OR(B1669=リスト!$C$5,B1669=リスト!$C$6),COUNTIF($B$9:B1669,リスト!$C$5)+COUNTIF($B$9:B1669,リスト!$C$6),"")</f>
        <v/>
      </c>
    </row>
    <row r="1670" spans="2:9" x14ac:dyDescent="0.2">
      <c r="B1670" s="196"/>
      <c r="C1670" s="197"/>
      <c r="D1670" s="197"/>
      <c r="E1670" s="198" t="e">
        <f ca="1">mif(OR(C1670="",B1670=リスト!$C$7),"",B1670="","RF",OR(B1670=リスト!$C$5,B1670=リスト!$C$6),COUNTBLANK(INDEX(B:B,MATCH(I1670-1,I:I,0)+1,1):INDEX(B:B,MATCH(I1670,I:I,0)-1,1)),"")</f>
        <v>#NAME?</v>
      </c>
      <c r="F1670" s="199" t="s">
        <v>189</v>
      </c>
      <c r="G1670" s="140" t="e">
        <f ca="1">mif(C1670="","",OR(B1670=リスト!$C$5,B1670=リスト!$C$6),SUM(INDEX(G:G,MATCH(I1670-1,I:I,0)+1,1):INDEX(G:G,MATCH(I1670,I:I,0)-1,1)),D1670-C1670)</f>
        <v>#NAME?</v>
      </c>
      <c r="H1670" s="140" t="e">
        <f ca="1">mif(C1670="","",B1670=リスト!$C$5,SUMIF(INDEX(B:B,MATCH(I1670-1,I:I,0)+1,1):INDEX(B:B,MATCH(I1670,I:I,0)-1,1),リスト!$C$7,INDEX(G:G,MATCH(I1670-1,I:I,0)+1,1):INDEX(G:G,MATCH(I1670,I:I,0)-1,1)),"")</f>
        <v>#NAME?</v>
      </c>
      <c r="I1670" s="200" t="str">
        <f>IF(OR(B1670=リスト!$C$5,B1670=リスト!$C$6),COUNTIF($B$9:B1670,リスト!$C$5)+COUNTIF($B$9:B1670,リスト!$C$6),"")</f>
        <v/>
      </c>
    </row>
    <row r="1671" spans="2:9" x14ac:dyDescent="0.2">
      <c r="B1671" s="196"/>
      <c r="C1671" s="197"/>
      <c r="D1671" s="197"/>
      <c r="E1671" s="198" t="e">
        <f ca="1">mif(OR(C1671="",B1671=リスト!$C$7),"",B1671="","RF",OR(B1671=リスト!$C$5,B1671=リスト!$C$6),COUNTBLANK(INDEX(B:B,MATCH(I1671-1,I:I,0)+1,1):INDEX(B:B,MATCH(I1671,I:I,0)-1,1)),"")</f>
        <v>#NAME?</v>
      </c>
      <c r="F1671" s="199" t="s">
        <v>189</v>
      </c>
      <c r="G1671" s="140" t="e">
        <f ca="1">mif(C1671="","",OR(B1671=リスト!$C$5,B1671=リスト!$C$6),SUM(INDEX(G:G,MATCH(I1671-1,I:I,0)+1,1):INDEX(G:G,MATCH(I1671,I:I,0)-1,1)),D1671-C1671)</f>
        <v>#NAME?</v>
      </c>
      <c r="H1671" s="140" t="e">
        <f ca="1">mif(C1671="","",B1671=リスト!$C$5,SUMIF(INDEX(B:B,MATCH(I1671-1,I:I,0)+1,1):INDEX(B:B,MATCH(I1671,I:I,0)-1,1),リスト!$C$7,INDEX(G:G,MATCH(I1671-1,I:I,0)+1,1):INDEX(G:G,MATCH(I1671,I:I,0)-1,1)),"")</f>
        <v>#NAME?</v>
      </c>
      <c r="I1671" s="200" t="str">
        <f>IF(OR(B1671=リスト!$C$5,B1671=リスト!$C$6),COUNTIF($B$9:B1671,リスト!$C$5)+COUNTIF($B$9:B1671,リスト!$C$6),"")</f>
        <v/>
      </c>
    </row>
    <row r="1672" spans="2:9" x14ac:dyDescent="0.2">
      <c r="B1672" s="196"/>
      <c r="C1672" s="197"/>
      <c r="D1672" s="197"/>
      <c r="E1672" s="198" t="e">
        <f ca="1">mif(OR(C1672="",B1672=リスト!$C$7),"",B1672="","RF",OR(B1672=リスト!$C$5,B1672=リスト!$C$6),COUNTBLANK(INDEX(B:B,MATCH(I1672-1,I:I,0)+1,1):INDEX(B:B,MATCH(I1672,I:I,0)-1,1)),"")</f>
        <v>#NAME?</v>
      </c>
      <c r="F1672" s="199" t="s">
        <v>189</v>
      </c>
      <c r="G1672" s="140" t="e">
        <f ca="1">mif(C1672="","",OR(B1672=リスト!$C$5,B1672=リスト!$C$6),SUM(INDEX(G:G,MATCH(I1672-1,I:I,0)+1,1):INDEX(G:G,MATCH(I1672,I:I,0)-1,1)),D1672-C1672)</f>
        <v>#NAME?</v>
      </c>
      <c r="H1672" s="140" t="e">
        <f ca="1">mif(C1672="","",B1672=リスト!$C$5,SUMIF(INDEX(B:B,MATCH(I1672-1,I:I,0)+1,1):INDEX(B:B,MATCH(I1672,I:I,0)-1,1),リスト!$C$7,INDEX(G:G,MATCH(I1672-1,I:I,0)+1,1):INDEX(G:G,MATCH(I1672,I:I,0)-1,1)),"")</f>
        <v>#NAME?</v>
      </c>
      <c r="I1672" s="200" t="str">
        <f>IF(OR(B1672=リスト!$C$5,B1672=リスト!$C$6),COUNTIF($B$9:B1672,リスト!$C$5)+COUNTIF($B$9:B1672,リスト!$C$6),"")</f>
        <v/>
      </c>
    </row>
    <row r="1673" spans="2:9" x14ac:dyDescent="0.2">
      <c r="B1673" s="196"/>
      <c r="C1673" s="197"/>
      <c r="D1673" s="197"/>
      <c r="E1673" s="198" t="e">
        <f ca="1">mif(OR(C1673="",B1673=リスト!$C$7),"",B1673="","RF",OR(B1673=リスト!$C$5,B1673=リスト!$C$6),COUNTBLANK(INDEX(B:B,MATCH(I1673-1,I:I,0)+1,1):INDEX(B:B,MATCH(I1673,I:I,0)-1,1)),"")</f>
        <v>#NAME?</v>
      </c>
      <c r="F1673" s="199" t="s">
        <v>189</v>
      </c>
      <c r="G1673" s="140" t="e">
        <f ca="1">mif(C1673="","",OR(B1673=リスト!$C$5,B1673=リスト!$C$6),SUM(INDEX(G:G,MATCH(I1673-1,I:I,0)+1,1):INDEX(G:G,MATCH(I1673,I:I,0)-1,1)),D1673-C1673)</f>
        <v>#NAME?</v>
      </c>
      <c r="H1673" s="140" t="e">
        <f ca="1">mif(C1673="","",B1673=リスト!$C$5,SUMIF(INDEX(B:B,MATCH(I1673-1,I:I,0)+1,1):INDEX(B:B,MATCH(I1673,I:I,0)-1,1),リスト!$C$7,INDEX(G:G,MATCH(I1673-1,I:I,0)+1,1):INDEX(G:G,MATCH(I1673,I:I,0)-1,1)),"")</f>
        <v>#NAME?</v>
      </c>
      <c r="I1673" s="200" t="str">
        <f>IF(OR(B1673=リスト!$C$5,B1673=リスト!$C$6),COUNTIF($B$9:B1673,リスト!$C$5)+COUNTIF($B$9:B1673,リスト!$C$6),"")</f>
        <v/>
      </c>
    </row>
    <row r="1674" spans="2:9" x14ac:dyDescent="0.2">
      <c r="B1674" s="196"/>
      <c r="C1674" s="197"/>
      <c r="D1674" s="197"/>
      <c r="E1674" s="198" t="e">
        <f ca="1">mif(OR(C1674="",B1674=リスト!$C$7),"",B1674="","RF",OR(B1674=リスト!$C$5,B1674=リスト!$C$6),COUNTBLANK(INDEX(B:B,MATCH(I1674-1,I:I,0)+1,1):INDEX(B:B,MATCH(I1674,I:I,0)-1,1)),"")</f>
        <v>#NAME?</v>
      </c>
      <c r="F1674" s="199" t="s">
        <v>189</v>
      </c>
      <c r="G1674" s="140" t="e">
        <f ca="1">mif(C1674="","",OR(B1674=リスト!$C$5,B1674=リスト!$C$6),SUM(INDEX(G:G,MATCH(I1674-1,I:I,0)+1,1):INDEX(G:G,MATCH(I1674,I:I,0)-1,1)),D1674-C1674)</f>
        <v>#NAME?</v>
      </c>
      <c r="H1674" s="140" t="e">
        <f ca="1">mif(C1674="","",B1674=リスト!$C$5,SUMIF(INDEX(B:B,MATCH(I1674-1,I:I,0)+1,1):INDEX(B:B,MATCH(I1674,I:I,0)-1,1),リスト!$C$7,INDEX(G:G,MATCH(I1674-1,I:I,0)+1,1):INDEX(G:G,MATCH(I1674,I:I,0)-1,1)),"")</f>
        <v>#NAME?</v>
      </c>
      <c r="I1674" s="200" t="str">
        <f>IF(OR(B1674=リスト!$C$5,B1674=リスト!$C$6),COUNTIF($B$9:B1674,リスト!$C$5)+COUNTIF($B$9:B1674,リスト!$C$6),"")</f>
        <v/>
      </c>
    </row>
    <row r="1675" spans="2:9" x14ac:dyDescent="0.2">
      <c r="B1675" s="196"/>
      <c r="C1675" s="197"/>
      <c r="D1675" s="197"/>
      <c r="E1675" s="198" t="e">
        <f ca="1">mif(OR(C1675="",B1675=リスト!$C$7),"",B1675="","RF",OR(B1675=リスト!$C$5,B1675=リスト!$C$6),COUNTBLANK(INDEX(B:B,MATCH(I1675-1,I:I,0)+1,1):INDEX(B:B,MATCH(I1675,I:I,0)-1,1)),"")</f>
        <v>#NAME?</v>
      </c>
      <c r="F1675" s="199" t="s">
        <v>189</v>
      </c>
      <c r="G1675" s="140" t="e">
        <f ca="1">mif(C1675="","",OR(B1675=リスト!$C$5,B1675=リスト!$C$6),SUM(INDEX(G:G,MATCH(I1675-1,I:I,0)+1,1):INDEX(G:G,MATCH(I1675,I:I,0)-1,1)),D1675-C1675)</f>
        <v>#NAME?</v>
      </c>
      <c r="H1675" s="140" t="e">
        <f ca="1">mif(C1675="","",B1675=リスト!$C$5,SUMIF(INDEX(B:B,MATCH(I1675-1,I:I,0)+1,1):INDEX(B:B,MATCH(I1675,I:I,0)-1,1),リスト!$C$7,INDEX(G:G,MATCH(I1675-1,I:I,0)+1,1):INDEX(G:G,MATCH(I1675,I:I,0)-1,1)),"")</f>
        <v>#NAME?</v>
      </c>
      <c r="I1675" s="200" t="str">
        <f>IF(OR(B1675=リスト!$C$5,B1675=リスト!$C$6),COUNTIF($B$9:B1675,リスト!$C$5)+COUNTIF($B$9:B1675,リスト!$C$6),"")</f>
        <v/>
      </c>
    </row>
    <row r="1676" spans="2:9" x14ac:dyDescent="0.2">
      <c r="B1676" s="196"/>
      <c r="C1676" s="197"/>
      <c r="D1676" s="197"/>
      <c r="E1676" s="198" t="e">
        <f ca="1">mif(OR(C1676="",B1676=リスト!$C$7),"",B1676="","RF",OR(B1676=リスト!$C$5,B1676=リスト!$C$6),COUNTBLANK(INDEX(B:B,MATCH(I1676-1,I:I,0)+1,1):INDEX(B:B,MATCH(I1676,I:I,0)-1,1)),"")</f>
        <v>#NAME?</v>
      </c>
      <c r="F1676" s="199" t="s">
        <v>189</v>
      </c>
      <c r="G1676" s="140" t="e">
        <f ca="1">mif(C1676="","",OR(B1676=リスト!$C$5,B1676=リスト!$C$6),SUM(INDEX(G:G,MATCH(I1676-1,I:I,0)+1,1):INDEX(G:G,MATCH(I1676,I:I,0)-1,1)),D1676-C1676)</f>
        <v>#NAME?</v>
      </c>
      <c r="H1676" s="140" t="e">
        <f ca="1">mif(C1676="","",B1676=リスト!$C$5,SUMIF(INDEX(B:B,MATCH(I1676-1,I:I,0)+1,1):INDEX(B:B,MATCH(I1676,I:I,0)-1,1),リスト!$C$7,INDEX(G:G,MATCH(I1676-1,I:I,0)+1,1):INDEX(G:G,MATCH(I1676,I:I,0)-1,1)),"")</f>
        <v>#NAME?</v>
      </c>
      <c r="I1676" s="200" t="str">
        <f>IF(OR(B1676=リスト!$C$5,B1676=リスト!$C$6),COUNTIF($B$9:B1676,リスト!$C$5)+COUNTIF($B$9:B1676,リスト!$C$6),"")</f>
        <v/>
      </c>
    </row>
    <row r="1677" spans="2:9" x14ac:dyDescent="0.2">
      <c r="B1677" s="196"/>
      <c r="C1677" s="197"/>
      <c r="D1677" s="197"/>
      <c r="E1677" s="198" t="e">
        <f ca="1">mif(OR(C1677="",B1677=リスト!$C$7),"",B1677="","RF",OR(B1677=リスト!$C$5,B1677=リスト!$C$6),COUNTBLANK(INDEX(B:B,MATCH(I1677-1,I:I,0)+1,1):INDEX(B:B,MATCH(I1677,I:I,0)-1,1)),"")</f>
        <v>#NAME?</v>
      </c>
      <c r="F1677" s="199" t="s">
        <v>189</v>
      </c>
      <c r="G1677" s="140" t="e">
        <f ca="1">mif(C1677="","",OR(B1677=リスト!$C$5,B1677=リスト!$C$6),SUM(INDEX(G:G,MATCH(I1677-1,I:I,0)+1,1):INDEX(G:G,MATCH(I1677,I:I,0)-1,1)),D1677-C1677)</f>
        <v>#NAME?</v>
      </c>
      <c r="H1677" s="140" t="e">
        <f ca="1">mif(C1677="","",B1677=リスト!$C$5,SUMIF(INDEX(B:B,MATCH(I1677-1,I:I,0)+1,1):INDEX(B:B,MATCH(I1677,I:I,0)-1,1),リスト!$C$7,INDEX(G:G,MATCH(I1677-1,I:I,0)+1,1):INDEX(G:G,MATCH(I1677,I:I,0)-1,1)),"")</f>
        <v>#NAME?</v>
      </c>
      <c r="I1677" s="200" t="str">
        <f>IF(OR(B1677=リスト!$C$5,B1677=リスト!$C$6),COUNTIF($B$9:B1677,リスト!$C$5)+COUNTIF($B$9:B1677,リスト!$C$6),"")</f>
        <v/>
      </c>
    </row>
    <row r="1678" spans="2:9" x14ac:dyDescent="0.2">
      <c r="B1678" s="196"/>
      <c r="C1678" s="197"/>
      <c r="D1678" s="197"/>
      <c r="E1678" s="198" t="e">
        <f ca="1">mif(OR(C1678="",B1678=リスト!$C$7),"",B1678="","RF",OR(B1678=リスト!$C$5,B1678=リスト!$C$6),COUNTBLANK(INDEX(B:B,MATCH(I1678-1,I:I,0)+1,1):INDEX(B:B,MATCH(I1678,I:I,0)-1,1)),"")</f>
        <v>#NAME?</v>
      </c>
      <c r="F1678" s="199" t="s">
        <v>189</v>
      </c>
      <c r="G1678" s="140" t="e">
        <f ca="1">mif(C1678="","",OR(B1678=リスト!$C$5,B1678=リスト!$C$6),SUM(INDEX(G:G,MATCH(I1678-1,I:I,0)+1,1):INDEX(G:G,MATCH(I1678,I:I,0)-1,1)),D1678-C1678)</f>
        <v>#NAME?</v>
      </c>
      <c r="H1678" s="140" t="e">
        <f ca="1">mif(C1678="","",B1678=リスト!$C$5,SUMIF(INDEX(B:B,MATCH(I1678-1,I:I,0)+1,1):INDEX(B:B,MATCH(I1678,I:I,0)-1,1),リスト!$C$7,INDEX(G:G,MATCH(I1678-1,I:I,0)+1,1):INDEX(G:G,MATCH(I1678,I:I,0)-1,1)),"")</f>
        <v>#NAME?</v>
      </c>
      <c r="I1678" s="200" t="str">
        <f>IF(OR(B1678=リスト!$C$5,B1678=リスト!$C$6),COUNTIF($B$9:B1678,リスト!$C$5)+COUNTIF($B$9:B1678,リスト!$C$6),"")</f>
        <v/>
      </c>
    </row>
    <row r="1679" spans="2:9" x14ac:dyDescent="0.2">
      <c r="B1679" s="196"/>
      <c r="C1679" s="197"/>
      <c r="D1679" s="197"/>
      <c r="E1679" s="198" t="e">
        <f ca="1">mif(OR(C1679="",B1679=リスト!$C$7),"",B1679="","RF",OR(B1679=リスト!$C$5,B1679=リスト!$C$6),COUNTBLANK(INDEX(B:B,MATCH(I1679-1,I:I,0)+1,1):INDEX(B:B,MATCH(I1679,I:I,0)-1,1)),"")</f>
        <v>#NAME?</v>
      </c>
      <c r="F1679" s="199" t="s">
        <v>189</v>
      </c>
      <c r="G1679" s="140" t="e">
        <f ca="1">mif(C1679="","",OR(B1679=リスト!$C$5,B1679=リスト!$C$6),SUM(INDEX(G:G,MATCH(I1679-1,I:I,0)+1,1):INDEX(G:G,MATCH(I1679,I:I,0)-1,1)),D1679-C1679)</f>
        <v>#NAME?</v>
      </c>
      <c r="H1679" s="140" t="e">
        <f ca="1">mif(C1679="","",B1679=リスト!$C$5,SUMIF(INDEX(B:B,MATCH(I1679-1,I:I,0)+1,1):INDEX(B:B,MATCH(I1679,I:I,0)-1,1),リスト!$C$7,INDEX(G:G,MATCH(I1679-1,I:I,0)+1,1):INDEX(G:G,MATCH(I1679,I:I,0)-1,1)),"")</f>
        <v>#NAME?</v>
      </c>
      <c r="I1679" s="200" t="str">
        <f>IF(OR(B1679=リスト!$C$5,B1679=リスト!$C$6),COUNTIF($B$9:B1679,リスト!$C$5)+COUNTIF($B$9:B1679,リスト!$C$6),"")</f>
        <v/>
      </c>
    </row>
    <row r="1680" spans="2:9" x14ac:dyDescent="0.2">
      <c r="B1680" s="196"/>
      <c r="C1680" s="197"/>
      <c r="D1680" s="197"/>
      <c r="E1680" s="198" t="e">
        <f ca="1">mif(OR(C1680="",B1680=リスト!$C$7),"",B1680="","RF",OR(B1680=リスト!$C$5,B1680=リスト!$C$6),COUNTBLANK(INDEX(B:B,MATCH(I1680-1,I:I,0)+1,1):INDEX(B:B,MATCH(I1680,I:I,0)-1,1)),"")</f>
        <v>#NAME?</v>
      </c>
      <c r="F1680" s="199" t="s">
        <v>189</v>
      </c>
      <c r="G1680" s="140" t="e">
        <f ca="1">mif(C1680="","",OR(B1680=リスト!$C$5,B1680=リスト!$C$6),SUM(INDEX(G:G,MATCH(I1680-1,I:I,0)+1,1):INDEX(G:G,MATCH(I1680,I:I,0)-1,1)),D1680-C1680)</f>
        <v>#NAME?</v>
      </c>
      <c r="H1680" s="140" t="e">
        <f ca="1">mif(C1680="","",B1680=リスト!$C$5,SUMIF(INDEX(B:B,MATCH(I1680-1,I:I,0)+1,1):INDEX(B:B,MATCH(I1680,I:I,0)-1,1),リスト!$C$7,INDEX(G:G,MATCH(I1680-1,I:I,0)+1,1):INDEX(G:G,MATCH(I1680,I:I,0)-1,1)),"")</f>
        <v>#NAME?</v>
      </c>
      <c r="I1680" s="200" t="str">
        <f>IF(OR(B1680=リスト!$C$5,B1680=リスト!$C$6),COUNTIF($B$9:B1680,リスト!$C$5)+COUNTIF($B$9:B1680,リスト!$C$6),"")</f>
        <v/>
      </c>
    </row>
    <row r="1681" spans="2:9" x14ac:dyDescent="0.2">
      <c r="B1681" s="196"/>
      <c r="C1681" s="197"/>
      <c r="D1681" s="197"/>
      <c r="E1681" s="198" t="e">
        <f ca="1">mif(OR(C1681="",B1681=リスト!$C$7),"",B1681="","RF",OR(B1681=リスト!$C$5,B1681=リスト!$C$6),COUNTBLANK(INDEX(B:B,MATCH(I1681-1,I:I,0)+1,1):INDEX(B:B,MATCH(I1681,I:I,0)-1,1)),"")</f>
        <v>#NAME?</v>
      </c>
      <c r="F1681" s="199" t="s">
        <v>189</v>
      </c>
      <c r="G1681" s="140" t="e">
        <f ca="1">mif(C1681="","",OR(B1681=リスト!$C$5,B1681=リスト!$C$6),SUM(INDEX(G:G,MATCH(I1681-1,I:I,0)+1,1):INDEX(G:G,MATCH(I1681,I:I,0)-1,1)),D1681-C1681)</f>
        <v>#NAME?</v>
      </c>
      <c r="H1681" s="140" t="e">
        <f ca="1">mif(C1681="","",B1681=リスト!$C$5,SUMIF(INDEX(B:B,MATCH(I1681-1,I:I,0)+1,1):INDEX(B:B,MATCH(I1681,I:I,0)-1,1),リスト!$C$7,INDEX(G:G,MATCH(I1681-1,I:I,0)+1,1):INDEX(G:G,MATCH(I1681,I:I,0)-1,1)),"")</f>
        <v>#NAME?</v>
      </c>
      <c r="I1681" s="200" t="str">
        <f>IF(OR(B1681=リスト!$C$5,B1681=リスト!$C$6),COUNTIF($B$9:B1681,リスト!$C$5)+COUNTIF($B$9:B1681,リスト!$C$6),"")</f>
        <v/>
      </c>
    </row>
    <row r="1682" spans="2:9" x14ac:dyDescent="0.2">
      <c r="B1682" s="196"/>
      <c r="C1682" s="197"/>
      <c r="D1682" s="197"/>
      <c r="E1682" s="198" t="e">
        <f ca="1">mif(OR(C1682="",B1682=リスト!$C$7),"",B1682="","RF",OR(B1682=リスト!$C$5,B1682=リスト!$C$6),COUNTBLANK(INDEX(B:B,MATCH(I1682-1,I:I,0)+1,1):INDEX(B:B,MATCH(I1682,I:I,0)-1,1)),"")</f>
        <v>#NAME?</v>
      </c>
      <c r="F1682" s="199" t="s">
        <v>189</v>
      </c>
      <c r="G1682" s="140" t="e">
        <f ca="1">mif(C1682="","",OR(B1682=リスト!$C$5,B1682=リスト!$C$6),SUM(INDEX(G:G,MATCH(I1682-1,I:I,0)+1,1):INDEX(G:G,MATCH(I1682,I:I,0)-1,1)),D1682-C1682)</f>
        <v>#NAME?</v>
      </c>
      <c r="H1682" s="140" t="e">
        <f ca="1">mif(C1682="","",B1682=リスト!$C$5,SUMIF(INDEX(B:B,MATCH(I1682-1,I:I,0)+1,1):INDEX(B:B,MATCH(I1682,I:I,0)-1,1),リスト!$C$7,INDEX(G:G,MATCH(I1682-1,I:I,0)+1,1):INDEX(G:G,MATCH(I1682,I:I,0)-1,1)),"")</f>
        <v>#NAME?</v>
      </c>
      <c r="I1682" s="200" t="str">
        <f>IF(OR(B1682=リスト!$C$5,B1682=リスト!$C$6),COUNTIF($B$9:B1682,リスト!$C$5)+COUNTIF($B$9:B1682,リスト!$C$6),"")</f>
        <v/>
      </c>
    </row>
    <row r="1683" spans="2:9" x14ac:dyDescent="0.2">
      <c r="B1683" s="196"/>
      <c r="C1683" s="197"/>
      <c r="D1683" s="197"/>
      <c r="E1683" s="198" t="e">
        <f ca="1">mif(OR(C1683="",B1683=リスト!$C$7),"",B1683="","RF",OR(B1683=リスト!$C$5,B1683=リスト!$C$6),COUNTBLANK(INDEX(B:B,MATCH(I1683-1,I:I,0)+1,1):INDEX(B:B,MATCH(I1683,I:I,0)-1,1)),"")</f>
        <v>#NAME?</v>
      </c>
      <c r="F1683" s="199" t="s">
        <v>189</v>
      </c>
      <c r="G1683" s="140" t="e">
        <f ca="1">mif(C1683="","",OR(B1683=リスト!$C$5,B1683=リスト!$C$6),SUM(INDEX(G:G,MATCH(I1683-1,I:I,0)+1,1):INDEX(G:G,MATCH(I1683,I:I,0)-1,1)),D1683-C1683)</f>
        <v>#NAME?</v>
      </c>
      <c r="H1683" s="140" t="e">
        <f ca="1">mif(C1683="","",B1683=リスト!$C$5,SUMIF(INDEX(B:B,MATCH(I1683-1,I:I,0)+1,1):INDEX(B:B,MATCH(I1683,I:I,0)-1,1),リスト!$C$7,INDEX(G:G,MATCH(I1683-1,I:I,0)+1,1):INDEX(G:G,MATCH(I1683,I:I,0)-1,1)),"")</f>
        <v>#NAME?</v>
      </c>
      <c r="I1683" s="200" t="str">
        <f>IF(OR(B1683=リスト!$C$5,B1683=リスト!$C$6),COUNTIF($B$9:B1683,リスト!$C$5)+COUNTIF($B$9:B1683,リスト!$C$6),"")</f>
        <v/>
      </c>
    </row>
    <row r="1684" spans="2:9" x14ac:dyDescent="0.2">
      <c r="B1684" s="196"/>
      <c r="C1684" s="197"/>
      <c r="D1684" s="197"/>
      <c r="E1684" s="198" t="e">
        <f ca="1">mif(OR(C1684="",B1684=リスト!$C$7),"",B1684="","RF",OR(B1684=リスト!$C$5,B1684=リスト!$C$6),COUNTBLANK(INDEX(B:B,MATCH(I1684-1,I:I,0)+1,1):INDEX(B:B,MATCH(I1684,I:I,0)-1,1)),"")</f>
        <v>#NAME?</v>
      </c>
      <c r="F1684" s="199" t="s">
        <v>189</v>
      </c>
      <c r="G1684" s="140" t="e">
        <f ca="1">mif(C1684="","",OR(B1684=リスト!$C$5,B1684=リスト!$C$6),SUM(INDEX(G:G,MATCH(I1684-1,I:I,0)+1,1):INDEX(G:G,MATCH(I1684,I:I,0)-1,1)),D1684-C1684)</f>
        <v>#NAME?</v>
      </c>
      <c r="H1684" s="140" t="e">
        <f ca="1">mif(C1684="","",B1684=リスト!$C$5,SUMIF(INDEX(B:B,MATCH(I1684-1,I:I,0)+1,1):INDEX(B:B,MATCH(I1684,I:I,0)-1,1),リスト!$C$7,INDEX(G:G,MATCH(I1684-1,I:I,0)+1,1):INDEX(G:G,MATCH(I1684,I:I,0)-1,1)),"")</f>
        <v>#NAME?</v>
      </c>
      <c r="I1684" s="200" t="str">
        <f>IF(OR(B1684=リスト!$C$5,B1684=リスト!$C$6),COUNTIF($B$9:B1684,リスト!$C$5)+COUNTIF($B$9:B1684,リスト!$C$6),"")</f>
        <v/>
      </c>
    </row>
    <row r="1685" spans="2:9" x14ac:dyDescent="0.2">
      <c r="B1685" s="196"/>
      <c r="C1685" s="197"/>
      <c r="D1685" s="197"/>
      <c r="E1685" s="198" t="e">
        <f ca="1">mif(OR(C1685="",B1685=リスト!$C$7),"",B1685="","RF",OR(B1685=リスト!$C$5,B1685=リスト!$C$6),COUNTBLANK(INDEX(B:B,MATCH(I1685-1,I:I,0)+1,1):INDEX(B:B,MATCH(I1685,I:I,0)-1,1)),"")</f>
        <v>#NAME?</v>
      </c>
      <c r="F1685" s="199" t="s">
        <v>189</v>
      </c>
      <c r="G1685" s="140" t="e">
        <f ca="1">mif(C1685="","",OR(B1685=リスト!$C$5,B1685=リスト!$C$6),SUM(INDEX(G:G,MATCH(I1685-1,I:I,0)+1,1):INDEX(G:G,MATCH(I1685,I:I,0)-1,1)),D1685-C1685)</f>
        <v>#NAME?</v>
      </c>
      <c r="H1685" s="140" t="e">
        <f ca="1">mif(C1685="","",B1685=リスト!$C$5,SUMIF(INDEX(B:B,MATCH(I1685-1,I:I,0)+1,1):INDEX(B:B,MATCH(I1685,I:I,0)-1,1),リスト!$C$7,INDEX(G:G,MATCH(I1685-1,I:I,0)+1,1):INDEX(G:G,MATCH(I1685,I:I,0)-1,1)),"")</f>
        <v>#NAME?</v>
      </c>
      <c r="I1685" s="200" t="str">
        <f>IF(OR(B1685=リスト!$C$5,B1685=リスト!$C$6),COUNTIF($B$9:B1685,リスト!$C$5)+COUNTIF($B$9:B1685,リスト!$C$6),"")</f>
        <v/>
      </c>
    </row>
    <row r="1686" spans="2:9" x14ac:dyDescent="0.2">
      <c r="B1686" s="196"/>
      <c r="C1686" s="197"/>
      <c r="D1686" s="197"/>
      <c r="E1686" s="198" t="e">
        <f ca="1">mif(OR(C1686="",B1686=リスト!$C$7),"",B1686="","RF",OR(B1686=リスト!$C$5,B1686=リスト!$C$6),COUNTBLANK(INDEX(B:B,MATCH(I1686-1,I:I,0)+1,1):INDEX(B:B,MATCH(I1686,I:I,0)-1,1)),"")</f>
        <v>#NAME?</v>
      </c>
      <c r="F1686" s="199" t="s">
        <v>189</v>
      </c>
      <c r="G1686" s="140" t="e">
        <f ca="1">mif(C1686="","",OR(B1686=リスト!$C$5,B1686=リスト!$C$6),SUM(INDEX(G:G,MATCH(I1686-1,I:I,0)+1,1):INDEX(G:G,MATCH(I1686,I:I,0)-1,1)),D1686-C1686)</f>
        <v>#NAME?</v>
      </c>
      <c r="H1686" s="140" t="e">
        <f ca="1">mif(C1686="","",B1686=リスト!$C$5,SUMIF(INDEX(B:B,MATCH(I1686-1,I:I,0)+1,1):INDEX(B:B,MATCH(I1686,I:I,0)-1,1),リスト!$C$7,INDEX(G:G,MATCH(I1686-1,I:I,0)+1,1):INDEX(G:G,MATCH(I1686,I:I,0)-1,1)),"")</f>
        <v>#NAME?</v>
      </c>
      <c r="I1686" s="200" t="str">
        <f>IF(OR(B1686=リスト!$C$5,B1686=リスト!$C$6),COUNTIF($B$9:B1686,リスト!$C$5)+COUNTIF($B$9:B1686,リスト!$C$6),"")</f>
        <v/>
      </c>
    </row>
    <row r="1687" spans="2:9" x14ac:dyDescent="0.2">
      <c r="B1687" s="196"/>
      <c r="C1687" s="197"/>
      <c r="D1687" s="197"/>
      <c r="E1687" s="198" t="e">
        <f ca="1">mif(OR(C1687="",B1687=リスト!$C$7),"",B1687="","RF",OR(B1687=リスト!$C$5,B1687=リスト!$C$6),COUNTBLANK(INDEX(B:B,MATCH(I1687-1,I:I,0)+1,1):INDEX(B:B,MATCH(I1687,I:I,0)-1,1)),"")</f>
        <v>#NAME?</v>
      </c>
      <c r="F1687" s="199" t="s">
        <v>189</v>
      </c>
      <c r="G1687" s="140" t="e">
        <f ca="1">mif(C1687="","",OR(B1687=リスト!$C$5,B1687=リスト!$C$6),SUM(INDEX(G:G,MATCH(I1687-1,I:I,0)+1,1):INDEX(G:G,MATCH(I1687,I:I,0)-1,1)),D1687-C1687)</f>
        <v>#NAME?</v>
      </c>
      <c r="H1687" s="140" t="e">
        <f ca="1">mif(C1687="","",B1687=リスト!$C$5,SUMIF(INDEX(B:B,MATCH(I1687-1,I:I,0)+1,1):INDEX(B:B,MATCH(I1687,I:I,0)-1,1),リスト!$C$7,INDEX(G:G,MATCH(I1687-1,I:I,0)+1,1):INDEX(G:G,MATCH(I1687,I:I,0)-1,1)),"")</f>
        <v>#NAME?</v>
      </c>
      <c r="I1687" s="200" t="str">
        <f>IF(OR(B1687=リスト!$C$5,B1687=リスト!$C$6),COUNTIF($B$9:B1687,リスト!$C$5)+COUNTIF($B$9:B1687,リスト!$C$6),"")</f>
        <v/>
      </c>
    </row>
    <row r="1688" spans="2:9" x14ac:dyDescent="0.2">
      <c r="B1688" s="196"/>
      <c r="C1688" s="197"/>
      <c r="D1688" s="197"/>
      <c r="E1688" s="198" t="e">
        <f ca="1">mif(OR(C1688="",B1688=リスト!$C$7),"",B1688="","RF",OR(B1688=リスト!$C$5,B1688=リスト!$C$6),COUNTBLANK(INDEX(B:B,MATCH(I1688-1,I:I,0)+1,1):INDEX(B:B,MATCH(I1688,I:I,0)-1,1)),"")</f>
        <v>#NAME?</v>
      </c>
      <c r="F1688" s="199" t="s">
        <v>189</v>
      </c>
      <c r="G1688" s="140" t="e">
        <f ca="1">mif(C1688="","",OR(B1688=リスト!$C$5,B1688=リスト!$C$6),SUM(INDEX(G:G,MATCH(I1688-1,I:I,0)+1,1):INDEX(G:G,MATCH(I1688,I:I,0)-1,1)),D1688-C1688)</f>
        <v>#NAME?</v>
      </c>
      <c r="H1688" s="140" t="e">
        <f ca="1">mif(C1688="","",B1688=リスト!$C$5,SUMIF(INDEX(B:B,MATCH(I1688-1,I:I,0)+1,1):INDEX(B:B,MATCH(I1688,I:I,0)-1,1),リスト!$C$7,INDEX(G:G,MATCH(I1688-1,I:I,0)+1,1):INDEX(G:G,MATCH(I1688,I:I,0)-1,1)),"")</f>
        <v>#NAME?</v>
      </c>
      <c r="I1688" s="200" t="str">
        <f>IF(OR(B1688=リスト!$C$5,B1688=リスト!$C$6),COUNTIF($B$9:B1688,リスト!$C$5)+COUNTIF($B$9:B1688,リスト!$C$6),"")</f>
        <v/>
      </c>
    </row>
    <row r="1689" spans="2:9" x14ac:dyDescent="0.2">
      <c r="B1689" s="196"/>
      <c r="C1689" s="197"/>
      <c r="D1689" s="197"/>
      <c r="E1689" s="198" t="e">
        <f ca="1">mif(OR(C1689="",B1689=リスト!$C$7),"",B1689="","RF",OR(B1689=リスト!$C$5,B1689=リスト!$C$6),COUNTBLANK(INDEX(B:B,MATCH(I1689-1,I:I,0)+1,1):INDEX(B:B,MATCH(I1689,I:I,0)-1,1)),"")</f>
        <v>#NAME?</v>
      </c>
      <c r="F1689" s="199" t="s">
        <v>189</v>
      </c>
      <c r="G1689" s="140" t="e">
        <f ca="1">mif(C1689="","",OR(B1689=リスト!$C$5,B1689=リスト!$C$6),SUM(INDEX(G:G,MATCH(I1689-1,I:I,0)+1,1):INDEX(G:G,MATCH(I1689,I:I,0)-1,1)),D1689-C1689)</f>
        <v>#NAME?</v>
      </c>
      <c r="H1689" s="140" t="e">
        <f ca="1">mif(C1689="","",B1689=リスト!$C$5,SUMIF(INDEX(B:B,MATCH(I1689-1,I:I,0)+1,1):INDEX(B:B,MATCH(I1689,I:I,0)-1,1),リスト!$C$7,INDEX(G:G,MATCH(I1689-1,I:I,0)+1,1):INDEX(G:G,MATCH(I1689,I:I,0)-1,1)),"")</f>
        <v>#NAME?</v>
      </c>
      <c r="I1689" s="200" t="str">
        <f>IF(OR(B1689=リスト!$C$5,B1689=リスト!$C$6),COUNTIF($B$9:B1689,リスト!$C$5)+COUNTIF($B$9:B1689,リスト!$C$6),"")</f>
        <v/>
      </c>
    </row>
    <row r="1690" spans="2:9" x14ac:dyDescent="0.2">
      <c r="B1690" s="196"/>
      <c r="C1690" s="197"/>
      <c r="D1690" s="197"/>
      <c r="E1690" s="198" t="e">
        <f ca="1">mif(OR(C1690="",B1690=リスト!$C$7),"",B1690="","RF",OR(B1690=リスト!$C$5,B1690=リスト!$C$6),COUNTBLANK(INDEX(B:B,MATCH(I1690-1,I:I,0)+1,1):INDEX(B:B,MATCH(I1690,I:I,0)-1,1)),"")</f>
        <v>#NAME?</v>
      </c>
      <c r="F1690" s="199" t="s">
        <v>189</v>
      </c>
      <c r="G1690" s="140" t="e">
        <f ca="1">mif(C1690="","",OR(B1690=リスト!$C$5,B1690=リスト!$C$6),SUM(INDEX(G:G,MATCH(I1690-1,I:I,0)+1,1):INDEX(G:G,MATCH(I1690,I:I,0)-1,1)),D1690-C1690)</f>
        <v>#NAME?</v>
      </c>
      <c r="H1690" s="140" t="e">
        <f ca="1">mif(C1690="","",B1690=リスト!$C$5,SUMIF(INDEX(B:B,MATCH(I1690-1,I:I,0)+1,1):INDEX(B:B,MATCH(I1690,I:I,0)-1,1),リスト!$C$7,INDEX(G:G,MATCH(I1690-1,I:I,0)+1,1):INDEX(G:G,MATCH(I1690,I:I,0)-1,1)),"")</f>
        <v>#NAME?</v>
      </c>
      <c r="I1690" s="200" t="str">
        <f>IF(OR(B1690=リスト!$C$5,B1690=リスト!$C$6),COUNTIF($B$9:B1690,リスト!$C$5)+COUNTIF($B$9:B1690,リスト!$C$6),"")</f>
        <v/>
      </c>
    </row>
    <row r="1691" spans="2:9" x14ac:dyDescent="0.2">
      <c r="B1691" s="196"/>
      <c r="C1691" s="197"/>
      <c r="D1691" s="197"/>
      <c r="E1691" s="198" t="e">
        <f ca="1">mif(OR(C1691="",B1691=リスト!$C$7),"",B1691="","RF",OR(B1691=リスト!$C$5,B1691=リスト!$C$6),COUNTBLANK(INDEX(B:B,MATCH(I1691-1,I:I,0)+1,1):INDEX(B:B,MATCH(I1691,I:I,0)-1,1)),"")</f>
        <v>#NAME?</v>
      </c>
      <c r="F1691" s="199" t="s">
        <v>189</v>
      </c>
      <c r="G1691" s="140" t="e">
        <f ca="1">mif(C1691="","",OR(B1691=リスト!$C$5,B1691=リスト!$C$6),SUM(INDEX(G:G,MATCH(I1691-1,I:I,0)+1,1):INDEX(G:G,MATCH(I1691,I:I,0)-1,1)),D1691-C1691)</f>
        <v>#NAME?</v>
      </c>
      <c r="H1691" s="140" t="e">
        <f ca="1">mif(C1691="","",B1691=リスト!$C$5,SUMIF(INDEX(B:B,MATCH(I1691-1,I:I,0)+1,1):INDEX(B:B,MATCH(I1691,I:I,0)-1,1),リスト!$C$7,INDEX(G:G,MATCH(I1691-1,I:I,0)+1,1):INDEX(G:G,MATCH(I1691,I:I,0)-1,1)),"")</f>
        <v>#NAME?</v>
      </c>
      <c r="I1691" s="200" t="str">
        <f>IF(OR(B1691=リスト!$C$5,B1691=リスト!$C$6),COUNTIF($B$9:B1691,リスト!$C$5)+COUNTIF($B$9:B1691,リスト!$C$6),"")</f>
        <v/>
      </c>
    </row>
    <row r="1692" spans="2:9" x14ac:dyDescent="0.2">
      <c r="B1692" s="196"/>
      <c r="C1692" s="197"/>
      <c r="D1692" s="197"/>
      <c r="E1692" s="198" t="e">
        <f ca="1">mif(OR(C1692="",B1692=リスト!$C$7),"",B1692="","RF",OR(B1692=リスト!$C$5,B1692=リスト!$C$6),COUNTBLANK(INDEX(B:B,MATCH(I1692-1,I:I,0)+1,1):INDEX(B:B,MATCH(I1692,I:I,0)-1,1)),"")</f>
        <v>#NAME?</v>
      </c>
      <c r="F1692" s="199" t="s">
        <v>189</v>
      </c>
      <c r="G1692" s="140" t="e">
        <f ca="1">mif(C1692="","",OR(B1692=リスト!$C$5,B1692=リスト!$C$6),SUM(INDEX(G:G,MATCH(I1692-1,I:I,0)+1,1):INDEX(G:G,MATCH(I1692,I:I,0)-1,1)),D1692-C1692)</f>
        <v>#NAME?</v>
      </c>
      <c r="H1692" s="140" t="e">
        <f ca="1">mif(C1692="","",B1692=リスト!$C$5,SUMIF(INDEX(B:B,MATCH(I1692-1,I:I,0)+1,1):INDEX(B:B,MATCH(I1692,I:I,0)-1,1),リスト!$C$7,INDEX(G:G,MATCH(I1692-1,I:I,0)+1,1):INDEX(G:G,MATCH(I1692,I:I,0)-1,1)),"")</f>
        <v>#NAME?</v>
      </c>
      <c r="I1692" s="200" t="str">
        <f>IF(OR(B1692=リスト!$C$5,B1692=リスト!$C$6),COUNTIF($B$9:B1692,リスト!$C$5)+COUNTIF($B$9:B1692,リスト!$C$6),"")</f>
        <v/>
      </c>
    </row>
    <row r="1693" spans="2:9" x14ac:dyDescent="0.2">
      <c r="B1693" s="196"/>
      <c r="C1693" s="197"/>
      <c r="D1693" s="197"/>
      <c r="E1693" s="198" t="e">
        <f ca="1">mif(OR(C1693="",B1693=リスト!$C$7),"",B1693="","RF",OR(B1693=リスト!$C$5,B1693=リスト!$C$6),COUNTBLANK(INDEX(B:B,MATCH(I1693-1,I:I,0)+1,1):INDEX(B:B,MATCH(I1693,I:I,0)-1,1)),"")</f>
        <v>#NAME?</v>
      </c>
      <c r="F1693" s="199" t="s">
        <v>189</v>
      </c>
      <c r="G1693" s="140" t="e">
        <f ca="1">mif(C1693="","",OR(B1693=リスト!$C$5,B1693=リスト!$C$6),SUM(INDEX(G:G,MATCH(I1693-1,I:I,0)+1,1):INDEX(G:G,MATCH(I1693,I:I,0)-1,1)),D1693-C1693)</f>
        <v>#NAME?</v>
      </c>
      <c r="H1693" s="140" t="e">
        <f ca="1">mif(C1693="","",B1693=リスト!$C$5,SUMIF(INDEX(B:B,MATCH(I1693-1,I:I,0)+1,1):INDEX(B:B,MATCH(I1693,I:I,0)-1,1),リスト!$C$7,INDEX(G:G,MATCH(I1693-1,I:I,0)+1,1):INDEX(G:G,MATCH(I1693,I:I,0)-1,1)),"")</f>
        <v>#NAME?</v>
      </c>
      <c r="I1693" s="200" t="str">
        <f>IF(OR(B1693=リスト!$C$5,B1693=リスト!$C$6),COUNTIF($B$9:B1693,リスト!$C$5)+COUNTIF($B$9:B1693,リスト!$C$6),"")</f>
        <v/>
      </c>
    </row>
    <row r="1694" spans="2:9" x14ac:dyDescent="0.2">
      <c r="B1694" s="196"/>
      <c r="C1694" s="197"/>
      <c r="D1694" s="197"/>
      <c r="E1694" s="198" t="e">
        <f ca="1">mif(OR(C1694="",B1694=リスト!$C$7),"",B1694="","RF",OR(B1694=リスト!$C$5,B1694=リスト!$C$6),COUNTBLANK(INDEX(B:B,MATCH(I1694-1,I:I,0)+1,1):INDEX(B:B,MATCH(I1694,I:I,0)-1,1)),"")</f>
        <v>#NAME?</v>
      </c>
      <c r="F1694" s="199" t="s">
        <v>189</v>
      </c>
      <c r="G1694" s="140" t="e">
        <f ca="1">mif(C1694="","",OR(B1694=リスト!$C$5,B1694=リスト!$C$6),SUM(INDEX(G:G,MATCH(I1694-1,I:I,0)+1,1):INDEX(G:G,MATCH(I1694,I:I,0)-1,1)),D1694-C1694)</f>
        <v>#NAME?</v>
      </c>
      <c r="H1694" s="140" t="e">
        <f ca="1">mif(C1694="","",B1694=リスト!$C$5,SUMIF(INDEX(B:B,MATCH(I1694-1,I:I,0)+1,1):INDEX(B:B,MATCH(I1694,I:I,0)-1,1),リスト!$C$7,INDEX(G:G,MATCH(I1694-1,I:I,0)+1,1):INDEX(G:G,MATCH(I1694,I:I,0)-1,1)),"")</f>
        <v>#NAME?</v>
      </c>
      <c r="I1694" s="200" t="str">
        <f>IF(OR(B1694=リスト!$C$5,B1694=リスト!$C$6),COUNTIF($B$9:B1694,リスト!$C$5)+COUNTIF($B$9:B1694,リスト!$C$6),"")</f>
        <v/>
      </c>
    </row>
    <row r="1695" spans="2:9" x14ac:dyDescent="0.2">
      <c r="B1695" s="196"/>
      <c r="C1695" s="197"/>
      <c r="D1695" s="197"/>
      <c r="E1695" s="198" t="e">
        <f ca="1">mif(OR(C1695="",B1695=リスト!$C$7),"",B1695="","RF",OR(B1695=リスト!$C$5,B1695=リスト!$C$6),COUNTBLANK(INDEX(B:B,MATCH(I1695-1,I:I,0)+1,1):INDEX(B:B,MATCH(I1695,I:I,0)-1,1)),"")</f>
        <v>#NAME?</v>
      </c>
      <c r="F1695" s="199" t="s">
        <v>189</v>
      </c>
      <c r="G1695" s="140" t="e">
        <f ca="1">mif(C1695="","",OR(B1695=リスト!$C$5,B1695=リスト!$C$6),SUM(INDEX(G:G,MATCH(I1695-1,I:I,0)+1,1):INDEX(G:G,MATCH(I1695,I:I,0)-1,1)),D1695-C1695)</f>
        <v>#NAME?</v>
      </c>
      <c r="H1695" s="140" t="e">
        <f ca="1">mif(C1695="","",B1695=リスト!$C$5,SUMIF(INDEX(B:B,MATCH(I1695-1,I:I,0)+1,1):INDEX(B:B,MATCH(I1695,I:I,0)-1,1),リスト!$C$7,INDEX(G:G,MATCH(I1695-1,I:I,0)+1,1):INDEX(G:G,MATCH(I1695,I:I,0)-1,1)),"")</f>
        <v>#NAME?</v>
      </c>
      <c r="I1695" s="200" t="str">
        <f>IF(OR(B1695=リスト!$C$5,B1695=リスト!$C$6),COUNTIF($B$9:B1695,リスト!$C$5)+COUNTIF($B$9:B1695,リスト!$C$6),"")</f>
        <v/>
      </c>
    </row>
    <row r="1696" spans="2:9" x14ac:dyDescent="0.2">
      <c r="B1696" s="196"/>
      <c r="C1696" s="197"/>
      <c r="D1696" s="197"/>
      <c r="E1696" s="198" t="e">
        <f ca="1">mif(OR(C1696="",B1696=リスト!$C$7),"",B1696="","RF",OR(B1696=リスト!$C$5,B1696=リスト!$C$6),COUNTBLANK(INDEX(B:B,MATCH(I1696-1,I:I,0)+1,1):INDEX(B:B,MATCH(I1696,I:I,0)-1,1)),"")</f>
        <v>#NAME?</v>
      </c>
      <c r="F1696" s="199" t="s">
        <v>189</v>
      </c>
      <c r="G1696" s="140" t="e">
        <f ca="1">mif(C1696="","",OR(B1696=リスト!$C$5,B1696=リスト!$C$6),SUM(INDEX(G:G,MATCH(I1696-1,I:I,0)+1,1):INDEX(G:G,MATCH(I1696,I:I,0)-1,1)),D1696-C1696)</f>
        <v>#NAME?</v>
      </c>
      <c r="H1696" s="140" t="e">
        <f ca="1">mif(C1696="","",B1696=リスト!$C$5,SUMIF(INDEX(B:B,MATCH(I1696-1,I:I,0)+1,1):INDEX(B:B,MATCH(I1696,I:I,0)-1,1),リスト!$C$7,INDEX(G:G,MATCH(I1696-1,I:I,0)+1,1):INDEX(G:G,MATCH(I1696,I:I,0)-1,1)),"")</f>
        <v>#NAME?</v>
      </c>
      <c r="I1696" s="200" t="str">
        <f>IF(OR(B1696=リスト!$C$5,B1696=リスト!$C$6),COUNTIF($B$9:B1696,リスト!$C$5)+COUNTIF($B$9:B1696,リスト!$C$6),"")</f>
        <v/>
      </c>
    </row>
    <row r="1697" spans="2:9" x14ac:dyDescent="0.2">
      <c r="B1697" s="196"/>
      <c r="C1697" s="197"/>
      <c r="D1697" s="197"/>
      <c r="E1697" s="198" t="e">
        <f ca="1">mif(OR(C1697="",B1697=リスト!$C$7),"",B1697="","RF",OR(B1697=リスト!$C$5,B1697=リスト!$C$6),COUNTBLANK(INDEX(B:B,MATCH(I1697-1,I:I,0)+1,1):INDEX(B:B,MATCH(I1697,I:I,0)-1,1)),"")</f>
        <v>#NAME?</v>
      </c>
      <c r="F1697" s="199" t="s">
        <v>189</v>
      </c>
      <c r="G1697" s="140" t="e">
        <f ca="1">mif(C1697="","",OR(B1697=リスト!$C$5,B1697=リスト!$C$6),SUM(INDEX(G:G,MATCH(I1697-1,I:I,0)+1,1):INDEX(G:G,MATCH(I1697,I:I,0)-1,1)),D1697-C1697)</f>
        <v>#NAME?</v>
      </c>
      <c r="H1697" s="140" t="e">
        <f ca="1">mif(C1697="","",B1697=リスト!$C$5,SUMIF(INDEX(B:B,MATCH(I1697-1,I:I,0)+1,1):INDEX(B:B,MATCH(I1697,I:I,0)-1,1),リスト!$C$7,INDEX(G:G,MATCH(I1697-1,I:I,0)+1,1):INDEX(G:G,MATCH(I1697,I:I,0)-1,1)),"")</f>
        <v>#NAME?</v>
      </c>
      <c r="I1697" s="200" t="str">
        <f>IF(OR(B1697=リスト!$C$5,B1697=リスト!$C$6),COUNTIF($B$9:B1697,リスト!$C$5)+COUNTIF($B$9:B1697,リスト!$C$6),"")</f>
        <v/>
      </c>
    </row>
    <row r="1698" spans="2:9" x14ac:dyDescent="0.2">
      <c r="B1698" s="196"/>
      <c r="C1698" s="197"/>
      <c r="D1698" s="197"/>
      <c r="E1698" s="198" t="e">
        <f ca="1">mif(OR(C1698="",B1698=リスト!$C$7),"",B1698="","RF",OR(B1698=リスト!$C$5,B1698=リスト!$C$6),COUNTBLANK(INDEX(B:B,MATCH(I1698-1,I:I,0)+1,1):INDEX(B:B,MATCH(I1698,I:I,0)-1,1)),"")</f>
        <v>#NAME?</v>
      </c>
      <c r="F1698" s="199" t="s">
        <v>189</v>
      </c>
      <c r="G1698" s="140" t="e">
        <f ca="1">mif(C1698="","",OR(B1698=リスト!$C$5,B1698=リスト!$C$6),SUM(INDEX(G:G,MATCH(I1698-1,I:I,0)+1,1):INDEX(G:G,MATCH(I1698,I:I,0)-1,1)),D1698-C1698)</f>
        <v>#NAME?</v>
      </c>
      <c r="H1698" s="140" t="e">
        <f ca="1">mif(C1698="","",B1698=リスト!$C$5,SUMIF(INDEX(B:B,MATCH(I1698-1,I:I,0)+1,1):INDEX(B:B,MATCH(I1698,I:I,0)-1,1),リスト!$C$7,INDEX(G:G,MATCH(I1698-1,I:I,0)+1,1):INDEX(G:G,MATCH(I1698,I:I,0)-1,1)),"")</f>
        <v>#NAME?</v>
      </c>
      <c r="I1698" s="200" t="str">
        <f>IF(OR(B1698=リスト!$C$5,B1698=リスト!$C$6),COUNTIF($B$9:B1698,リスト!$C$5)+COUNTIF($B$9:B1698,リスト!$C$6),"")</f>
        <v/>
      </c>
    </row>
    <row r="1699" spans="2:9" x14ac:dyDescent="0.2">
      <c r="B1699" s="196"/>
      <c r="C1699" s="197"/>
      <c r="D1699" s="197"/>
      <c r="E1699" s="198" t="e">
        <f ca="1">mif(OR(C1699="",B1699=リスト!$C$7),"",B1699="","RF",OR(B1699=リスト!$C$5,B1699=リスト!$C$6),COUNTBLANK(INDEX(B:B,MATCH(I1699-1,I:I,0)+1,1):INDEX(B:B,MATCH(I1699,I:I,0)-1,1)),"")</f>
        <v>#NAME?</v>
      </c>
      <c r="F1699" s="199" t="s">
        <v>189</v>
      </c>
      <c r="G1699" s="140" t="e">
        <f ca="1">mif(C1699="","",OR(B1699=リスト!$C$5,B1699=リスト!$C$6),SUM(INDEX(G:G,MATCH(I1699-1,I:I,0)+1,1):INDEX(G:G,MATCH(I1699,I:I,0)-1,1)),D1699-C1699)</f>
        <v>#NAME?</v>
      </c>
      <c r="H1699" s="140" t="e">
        <f ca="1">mif(C1699="","",B1699=リスト!$C$5,SUMIF(INDEX(B:B,MATCH(I1699-1,I:I,0)+1,1):INDEX(B:B,MATCH(I1699,I:I,0)-1,1),リスト!$C$7,INDEX(G:G,MATCH(I1699-1,I:I,0)+1,1):INDEX(G:G,MATCH(I1699,I:I,0)-1,1)),"")</f>
        <v>#NAME?</v>
      </c>
      <c r="I1699" s="200" t="str">
        <f>IF(OR(B1699=リスト!$C$5,B1699=リスト!$C$6),COUNTIF($B$9:B1699,リスト!$C$5)+COUNTIF($B$9:B1699,リスト!$C$6),"")</f>
        <v/>
      </c>
    </row>
    <row r="1700" spans="2:9" x14ac:dyDescent="0.2">
      <c r="B1700" s="196"/>
      <c r="C1700" s="197"/>
      <c r="D1700" s="197"/>
      <c r="E1700" s="198" t="e">
        <f ca="1">mif(OR(C1700="",B1700=リスト!$C$7),"",B1700="","RF",OR(B1700=リスト!$C$5,B1700=リスト!$C$6),COUNTBLANK(INDEX(B:B,MATCH(I1700-1,I:I,0)+1,1):INDEX(B:B,MATCH(I1700,I:I,0)-1,1)),"")</f>
        <v>#NAME?</v>
      </c>
      <c r="F1700" s="199" t="s">
        <v>189</v>
      </c>
      <c r="G1700" s="140" t="e">
        <f ca="1">mif(C1700="","",OR(B1700=リスト!$C$5,B1700=リスト!$C$6),SUM(INDEX(G:G,MATCH(I1700-1,I:I,0)+1,1):INDEX(G:G,MATCH(I1700,I:I,0)-1,1)),D1700-C1700)</f>
        <v>#NAME?</v>
      </c>
      <c r="H1700" s="140" t="e">
        <f ca="1">mif(C1700="","",B1700=リスト!$C$5,SUMIF(INDEX(B:B,MATCH(I1700-1,I:I,0)+1,1):INDEX(B:B,MATCH(I1700,I:I,0)-1,1),リスト!$C$7,INDEX(G:G,MATCH(I1700-1,I:I,0)+1,1):INDEX(G:G,MATCH(I1700,I:I,0)-1,1)),"")</f>
        <v>#NAME?</v>
      </c>
      <c r="I1700" s="200" t="str">
        <f>IF(OR(B1700=リスト!$C$5,B1700=リスト!$C$6),COUNTIF($B$9:B1700,リスト!$C$5)+COUNTIF($B$9:B1700,リスト!$C$6),"")</f>
        <v/>
      </c>
    </row>
    <row r="1701" spans="2:9" x14ac:dyDescent="0.2">
      <c r="B1701" s="196"/>
      <c r="C1701" s="197"/>
      <c r="D1701" s="197"/>
      <c r="E1701" s="198" t="e">
        <f ca="1">mif(OR(C1701="",B1701=リスト!$C$7),"",B1701="","RF",OR(B1701=リスト!$C$5,B1701=リスト!$C$6),COUNTBLANK(INDEX(B:B,MATCH(I1701-1,I:I,0)+1,1):INDEX(B:B,MATCH(I1701,I:I,0)-1,1)),"")</f>
        <v>#NAME?</v>
      </c>
      <c r="F1701" s="199" t="s">
        <v>189</v>
      </c>
      <c r="G1701" s="140" t="e">
        <f ca="1">mif(C1701="","",OR(B1701=リスト!$C$5,B1701=リスト!$C$6),SUM(INDEX(G:G,MATCH(I1701-1,I:I,0)+1,1):INDEX(G:G,MATCH(I1701,I:I,0)-1,1)),D1701-C1701)</f>
        <v>#NAME?</v>
      </c>
      <c r="H1701" s="140" t="e">
        <f ca="1">mif(C1701="","",B1701=リスト!$C$5,SUMIF(INDEX(B:B,MATCH(I1701-1,I:I,0)+1,1):INDEX(B:B,MATCH(I1701,I:I,0)-1,1),リスト!$C$7,INDEX(G:G,MATCH(I1701-1,I:I,0)+1,1):INDEX(G:G,MATCH(I1701,I:I,0)-1,1)),"")</f>
        <v>#NAME?</v>
      </c>
      <c r="I1701" s="200" t="str">
        <f>IF(OR(B1701=リスト!$C$5,B1701=リスト!$C$6),COUNTIF($B$9:B1701,リスト!$C$5)+COUNTIF($B$9:B1701,リスト!$C$6),"")</f>
        <v/>
      </c>
    </row>
    <row r="1702" spans="2:9" x14ac:dyDescent="0.2">
      <c r="B1702" s="196"/>
      <c r="C1702" s="197"/>
      <c r="D1702" s="197"/>
      <c r="E1702" s="198" t="e">
        <f ca="1">mif(OR(C1702="",B1702=リスト!$C$7),"",B1702="","RF",OR(B1702=リスト!$C$5,B1702=リスト!$C$6),COUNTBLANK(INDEX(B:B,MATCH(I1702-1,I:I,0)+1,1):INDEX(B:B,MATCH(I1702,I:I,0)-1,1)),"")</f>
        <v>#NAME?</v>
      </c>
      <c r="F1702" s="199" t="s">
        <v>189</v>
      </c>
      <c r="G1702" s="140" t="e">
        <f ca="1">mif(C1702="","",OR(B1702=リスト!$C$5,B1702=リスト!$C$6),SUM(INDEX(G:G,MATCH(I1702-1,I:I,0)+1,1):INDEX(G:G,MATCH(I1702,I:I,0)-1,1)),D1702-C1702)</f>
        <v>#NAME?</v>
      </c>
      <c r="H1702" s="140" t="e">
        <f ca="1">mif(C1702="","",B1702=リスト!$C$5,SUMIF(INDEX(B:B,MATCH(I1702-1,I:I,0)+1,1):INDEX(B:B,MATCH(I1702,I:I,0)-1,1),リスト!$C$7,INDEX(G:G,MATCH(I1702-1,I:I,0)+1,1):INDEX(G:G,MATCH(I1702,I:I,0)-1,1)),"")</f>
        <v>#NAME?</v>
      </c>
      <c r="I1702" s="200" t="str">
        <f>IF(OR(B1702=リスト!$C$5,B1702=リスト!$C$6),COUNTIF($B$9:B1702,リスト!$C$5)+COUNTIF($B$9:B1702,リスト!$C$6),"")</f>
        <v/>
      </c>
    </row>
    <row r="1703" spans="2:9" x14ac:dyDescent="0.2">
      <c r="B1703" s="196"/>
      <c r="C1703" s="197"/>
      <c r="D1703" s="197"/>
      <c r="E1703" s="198" t="e">
        <f ca="1">mif(OR(C1703="",B1703=リスト!$C$7),"",B1703="","RF",OR(B1703=リスト!$C$5,B1703=リスト!$C$6),COUNTBLANK(INDEX(B:B,MATCH(I1703-1,I:I,0)+1,1):INDEX(B:B,MATCH(I1703,I:I,0)-1,1)),"")</f>
        <v>#NAME?</v>
      </c>
      <c r="F1703" s="199" t="s">
        <v>189</v>
      </c>
      <c r="G1703" s="140" t="e">
        <f ca="1">mif(C1703="","",OR(B1703=リスト!$C$5,B1703=リスト!$C$6),SUM(INDEX(G:G,MATCH(I1703-1,I:I,0)+1,1):INDEX(G:G,MATCH(I1703,I:I,0)-1,1)),D1703-C1703)</f>
        <v>#NAME?</v>
      </c>
      <c r="H1703" s="140" t="e">
        <f ca="1">mif(C1703="","",B1703=リスト!$C$5,SUMIF(INDEX(B:B,MATCH(I1703-1,I:I,0)+1,1):INDEX(B:B,MATCH(I1703,I:I,0)-1,1),リスト!$C$7,INDEX(G:G,MATCH(I1703-1,I:I,0)+1,1):INDEX(G:G,MATCH(I1703,I:I,0)-1,1)),"")</f>
        <v>#NAME?</v>
      </c>
      <c r="I1703" s="200" t="str">
        <f>IF(OR(B1703=リスト!$C$5,B1703=リスト!$C$6),COUNTIF($B$9:B1703,リスト!$C$5)+COUNTIF($B$9:B1703,リスト!$C$6),"")</f>
        <v/>
      </c>
    </row>
    <row r="1704" spans="2:9" x14ac:dyDescent="0.2">
      <c r="B1704" s="196"/>
      <c r="C1704" s="197"/>
      <c r="D1704" s="197"/>
      <c r="E1704" s="198" t="e">
        <f ca="1">mif(OR(C1704="",B1704=リスト!$C$7),"",B1704="","RF",OR(B1704=リスト!$C$5,B1704=リスト!$C$6),COUNTBLANK(INDEX(B:B,MATCH(I1704-1,I:I,0)+1,1):INDEX(B:B,MATCH(I1704,I:I,0)-1,1)),"")</f>
        <v>#NAME?</v>
      </c>
      <c r="F1704" s="199" t="s">
        <v>189</v>
      </c>
      <c r="G1704" s="140" t="e">
        <f ca="1">mif(C1704="","",OR(B1704=リスト!$C$5,B1704=リスト!$C$6),SUM(INDEX(G:G,MATCH(I1704-1,I:I,0)+1,1):INDEX(G:G,MATCH(I1704,I:I,0)-1,1)),D1704-C1704)</f>
        <v>#NAME?</v>
      </c>
      <c r="H1704" s="140" t="e">
        <f ca="1">mif(C1704="","",B1704=リスト!$C$5,SUMIF(INDEX(B:B,MATCH(I1704-1,I:I,0)+1,1):INDEX(B:B,MATCH(I1704,I:I,0)-1,1),リスト!$C$7,INDEX(G:G,MATCH(I1704-1,I:I,0)+1,1):INDEX(G:G,MATCH(I1704,I:I,0)-1,1)),"")</f>
        <v>#NAME?</v>
      </c>
      <c r="I1704" s="200" t="str">
        <f>IF(OR(B1704=リスト!$C$5,B1704=リスト!$C$6),COUNTIF($B$9:B1704,リスト!$C$5)+COUNTIF($B$9:B1704,リスト!$C$6),"")</f>
        <v/>
      </c>
    </row>
    <row r="1705" spans="2:9" x14ac:dyDescent="0.2">
      <c r="B1705" s="196"/>
      <c r="C1705" s="197"/>
      <c r="D1705" s="197"/>
      <c r="E1705" s="198" t="e">
        <f ca="1">mif(OR(C1705="",B1705=リスト!$C$7),"",B1705="","RF",OR(B1705=リスト!$C$5,B1705=リスト!$C$6),COUNTBLANK(INDEX(B:B,MATCH(I1705-1,I:I,0)+1,1):INDEX(B:B,MATCH(I1705,I:I,0)-1,1)),"")</f>
        <v>#NAME?</v>
      </c>
      <c r="F1705" s="199" t="s">
        <v>189</v>
      </c>
      <c r="G1705" s="140" t="e">
        <f ca="1">mif(C1705="","",OR(B1705=リスト!$C$5,B1705=リスト!$C$6),SUM(INDEX(G:G,MATCH(I1705-1,I:I,0)+1,1):INDEX(G:G,MATCH(I1705,I:I,0)-1,1)),D1705-C1705)</f>
        <v>#NAME?</v>
      </c>
      <c r="H1705" s="140" t="e">
        <f ca="1">mif(C1705="","",B1705=リスト!$C$5,SUMIF(INDEX(B:B,MATCH(I1705-1,I:I,0)+1,1):INDEX(B:B,MATCH(I1705,I:I,0)-1,1),リスト!$C$7,INDEX(G:G,MATCH(I1705-1,I:I,0)+1,1):INDEX(G:G,MATCH(I1705,I:I,0)-1,1)),"")</f>
        <v>#NAME?</v>
      </c>
      <c r="I1705" s="200" t="str">
        <f>IF(OR(B1705=リスト!$C$5,B1705=リスト!$C$6),COUNTIF($B$9:B1705,リスト!$C$5)+COUNTIF($B$9:B1705,リスト!$C$6),"")</f>
        <v/>
      </c>
    </row>
    <row r="1706" spans="2:9" x14ac:dyDescent="0.2">
      <c r="B1706" s="196"/>
      <c r="C1706" s="197"/>
      <c r="D1706" s="197"/>
      <c r="E1706" s="198" t="e">
        <f ca="1">mif(OR(C1706="",B1706=リスト!$C$7),"",B1706="","RF",OR(B1706=リスト!$C$5,B1706=リスト!$C$6),COUNTBLANK(INDEX(B:B,MATCH(I1706-1,I:I,0)+1,1):INDEX(B:B,MATCH(I1706,I:I,0)-1,1)),"")</f>
        <v>#NAME?</v>
      </c>
      <c r="F1706" s="199" t="s">
        <v>189</v>
      </c>
      <c r="G1706" s="140" t="e">
        <f ca="1">mif(C1706="","",OR(B1706=リスト!$C$5,B1706=リスト!$C$6),SUM(INDEX(G:G,MATCH(I1706-1,I:I,0)+1,1):INDEX(G:G,MATCH(I1706,I:I,0)-1,1)),D1706-C1706)</f>
        <v>#NAME?</v>
      </c>
      <c r="H1706" s="140" t="e">
        <f ca="1">mif(C1706="","",B1706=リスト!$C$5,SUMIF(INDEX(B:B,MATCH(I1706-1,I:I,0)+1,1):INDEX(B:B,MATCH(I1706,I:I,0)-1,1),リスト!$C$7,INDEX(G:G,MATCH(I1706-1,I:I,0)+1,1):INDEX(G:G,MATCH(I1706,I:I,0)-1,1)),"")</f>
        <v>#NAME?</v>
      </c>
      <c r="I1706" s="200" t="str">
        <f>IF(OR(B1706=リスト!$C$5,B1706=リスト!$C$6),COUNTIF($B$9:B1706,リスト!$C$5)+COUNTIF($B$9:B1706,リスト!$C$6),"")</f>
        <v/>
      </c>
    </row>
    <row r="1707" spans="2:9" x14ac:dyDescent="0.2">
      <c r="B1707" s="196"/>
      <c r="C1707" s="197"/>
      <c r="D1707" s="197"/>
      <c r="E1707" s="198" t="e">
        <f ca="1">mif(OR(C1707="",B1707=リスト!$C$7),"",B1707="","RF",OR(B1707=リスト!$C$5,B1707=リスト!$C$6),COUNTBLANK(INDEX(B:B,MATCH(I1707-1,I:I,0)+1,1):INDEX(B:B,MATCH(I1707,I:I,0)-1,1)),"")</f>
        <v>#NAME?</v>
      </c>
      <c r="F1707" s="199" t="s">
        <v>189</v>
      </c>
      <c r="G1707" s="140" t="e">
        <f ca="1">mif(C1707="","",OR(B1707=リスト!$C$5,B1707=リスト!$C$6),SUM(INDEX(G:G,MATCH(I1707-1,I:I,0)+1,1):INDEX(G:G,MATCH(I1707,I:I,0)-1,1)),D1707-C1707)</f>
        <v>#NAME?</v>
      </c>
      <c r="H1707" s="140" t="e">
        <f ca="1">mif(C1707="","",B1707=リスト!$C$5,SUMIF(INDEX(B:B,MATCH(I1707-1,I:I,0)+1,1):INDEX(B:B,MATCH(I1707,I:I,0)-1,1),リスト!$C$7,INDEX(G:G,MATCH(I1707-1,I:I,0)+1,1):INDEX(G:G,MATCH(I1707,I:I,0)-1,1)),"")</f>
        <v>#NAME?</v>
      </c>
      <c r="I1707" s="200" t="str">
        <f>IF(OR(B1707=リスト!$C$5,B1707=リスト!$C$6),COUNTIF($B$9:B1707,リスト!$C$5)+COUNTIF($B$9:B1707,リスト!$C$6),"")</f>
        <v/>
      </c>
    </row>
    <row r="1708" spans="2:9" x14ac:dyDescent="0.2">
      <c r="B1708" s="196"/>
      <c r="C1708" s="197"/>
      <c r="D1708" s="197"/>
      <c r="E1708" s="198" t="e">
        <f ca="1">mif(OR(C1708="",B1708=リスト!$C$7),"",B1708="","RF",OR(B1708=リスト!$C$5,B1708=リスト!$C$6),COUNTBLANK(INDEX(B:B,MATCH(I1708-1,I:I,0)+1,1):INDEX(B:B,MATCH(I1708,I:I,0)-1,1)),"")</f>
        <v>#NAME?</v>
      </c>
      <c r="F1708" s="199" t="s">
        <v>189</v>
      </c>
      <c r="G1708" s="140" t="e">
        <f ca="1">mif(C1708="","",OR(B1708=リスト!$C$5,B1708=リスト!$C$6),SUM(INDEX(G:G,MATCH(I1708-1,I:I,0)+1,1):INDEX(G:G,MATCH(I1708,I:I,0)-1,1)),D1708-C1708)</f>
        <v>#NAME?</v>
      </c>
      <c r="H1708" s="140" t="e">
        <f ca="1">mif(C1708="","",B1708=リスト!$C$5,SUMIF(INDEX(B:B,MATCH(I1708-1,I:I,0)+1,1):INDEX(B:B,MATCH(I1708,I:I,0)-1,1),リスト!$C$7,INDEX(G:G,MATCH(I1708-1,I:I,0)+1,1):INDEX(G:G,MATCH(I1708,I:I,0)-1,1)),"")</f>
        <v>#NAME?</v>
      </c>
      <c r="I1708" s="200" t="str">
        <f>IF(OR(B1708=リスト!$C$5,B1708=リスト!$C$6),COUNTIF($B$9:B1708,リスト!$C$5)+COUNTIF($B$9:B1708,リスト!$C$6),"")</f>
        <v/>
      </c>
    </row>
    <row r="1709" spans="2:9" x14ac:dyDescent="0.2">
      <c r="B1709" s="196"/>
      <c r="C1709" s="197"/>
      <c r="D1709" s="197"/>
      <c r="E1709" s="198" t="e">
        <f ca="1">mif(OR(C1709="",B1709=リスト!$C$7),"",B1709="","RF",OR(B1709=リスト!$C$5,B1709=リスト!$C$6),COUNTBLANK(INDEX(B:B,MATCH(I1709-1,I:I,0)+1,1):INDEX(B:B,MATCH(I1709,I:I,0)-1,1)),"")</f>
        <v>#NAME?</v>
      </c>
      <c r="F1709" s="199" t="s">
        <v>189</v>
      </c>
      <c r="G1709" s="140" t="e">
        <f ca="1">mif(C1709="","",OR(B1709=リスト!$C$5,B1709=リスト!$C$6),SUM(INDEX(G:G,MATCH(I1709-1,I:I,0)+1,1):INDEX(G:G,MATCH(I1709,I:I,0)-1,1)),D1709-C1709)</f>
        <v>#NAME?</v>
      </c>
      <c r="H1709" s="140" t="e">
        <f ca="1">mif(C1709="","",B1709=リスト!$C$5,SUMIF(INDEX(B:B,MATCH(I1709-1,I:I,0)+1,1):INDEX(B:B,MATCH(I1709,I:I,0)-1,1),リスト!$C$7,INDEX(G:G,MATCH(I1709-1,I:I,0)+1,1):INDEX(G:G,MATCH(I1709,I:I,0)-1,1)),"")</f>
        <v>#NAME?</v>
      </c>
      <c r="I1709" s="200" t="str">
        <f>IF(OR(B1709=リスト!$C$5,B1709=リスト!$C$6),COUNTIF($B$9:B1709,リスト!$C$5)+COUNTIF($B$9:B1709,リスト!$C$6),"")</f>
        <v/>
      </c>
    </row>
    <row r="1710" spans="2:9" x14ac:dyDescent="0.2">
      <c r="B1710" s="196"/>
      <c r="C1710" s="197"/>
      <c r="D1710" s="197"/>
      <c r="E1710" s="198" t="e">
        <f ca="1">mif(OR(C1710="",B1710=リスト!$C$7),"",B1710="","RF",OR(B1710=リスト!$C$5,B1710=リスト!$C$6),COUNTBLANK(INDEX(B:B,MATCH(I1710-1,I:I,0)+1,1):INDEX(B:B,MATCH(I1710,I:I,0)-1,1)),"")</f>
        <v>#NAME?</v>
      </c>
      <c r="F1710" s="199" t="s">
        <v>189</v>
      </c>
      <c r="G1710" s="140" t="e">
        <f ca="1">mif(C1710="","",OR(B1710=リスト!$C$5,B1710=リスト!$C$6),SUM(INDEX(G:G,MATCH(I1710-1,I:I,0)+1,1):INDEX(G:G,MATCH(I1710,I:I,0)-1,1)),D1710-C1710)</f>
        <v>#NAME?</v>
      </c>
      <c r="H1710" s="140" t="e">
        <f ca="1">mif(C1710="","",B1710=リスト!$C$5,SUMIF(INDEX(B:B,MATCH(I1710-1,I:I,0)+1,1):INDEX(B:B,MATCH(I1710,I:I,0)-1,1),リスト!$C$7,INDEX(G:G,MATCH(I1710-1,I:I,0)+1,1):INDEX(G:G,MATCH(I1710,I:I,0)-1,1)),"")</f>
        <v>#NAME?</v>
      </c>
      <c r="I1710" s="200" t="str">
        <f>IF(OR(B1710=リスト!$C$5,B1710=リスト!$C$6),COUNTIF($B$9:B1710,リスト!$C$5)+COUNTIF($B$9:B1710,リスト!$C$6),"")</f>
        <v/>
      </c>
    </row>
    <row r="1711" spans="2:9" x14ac:dyDescent="0.2">
      <c r="B1711" s="196"/>
      <c r="C1711" s="197"/>
      <c r="D1711" s="197"/>
      <c r="E1711" s="198" t="e">
        <f ca="1">mif(OR(C1711="",B1711=リスト!$C$7),"",B1711="","RF",OR(B1711=リスト!$C$5,B1711=リスト!$C$6),COUNTBLANK(INDEX(B:B,MATCH(I1711-1,I:I,0)+1,1):INDEX(B:B,MATCH(I1711,I:I,0)-1,1)),"")</f>
        <v>#NAME?</v>
      </c>
      <c r="F1711" s="199" t="s">
        <v>189</v>
      </c>
      <c r="G1711" s="140" t="e">
        <f ca="1">mif(C1711="","",OR(B1711=リスト!$C$5,B1711=リスト!$C$6),SUM(INDEX(G:G,MATCH(I1711-1,I:I,0)+1,1):INDEX(G:G,MATCH(I1711,I:I,0)-1,1)),D1711-C1711)</f>
        <v>#NAME?</v>
      </c>
      <c r="H1711" s="140" t="e">
        <f ca="1">mif(C1711="","",B1711=リスト!$C$5,SUMIF(INDEX(B:B,MATCH(I1711-1,I:I,0)+1,1):INDEX(B:B,MATCH(I1711,I:I,0)-1,1),リスト!$C$7,INDEX(G:G,MATCH(I1711-1,I:I,0)+1,1):INDEX(G:G,MATCH(I1711,I:I,0)-1,1)),"")</f>
        <v>#NAME?</v>
      </c>
      <c r="I1711" s="200" t="str">
        <f>IF(OR(B1711=リスト!$C$5,B1711=リスト!$C$6),COUNTIF($B$9:B1711,リスト!$C$5)+COUNTIF($B$9:B1711,リスト!$C$6),"")</f>
        <v/>
      </c>
    </row>
    <row r="1712" spans="2:9" x14ac:dyDescent="0.2">
      <c r="B1712" s="196"/>
      <c r="C1712" s="197"/>
      <c r="D1712" s="197"/>
      <c r="E1712" s="198" t="e">
        <f ca="1">mif(OR(C1712="",B1712=リスト!$C$7),"",B1712="","RF",OR(B1712=リスト!$C$5,B1712=リスト!$C$6),COUNTBLANK(INDEX(B:B,MATCH(I1712-1,I:I,0)+1,1):INDEX(B:B,MATCH(I1712,I:I,0)-1,1)),"")</f>
        <v>#NAME?</v>
      </c>
      <c r="F1712" s="199" t="s">
        <v>189</v>
      </c>
      <c r="G1712" s="140" t="e">
        <f ca="1">mif(C1712="","",OR(B1712=リスト!$C$5,B1712=リスト!$C$6),SUM(INDEX(G:G,MATCH(I1712-1,I:I,0)+1,1):INDEX(G:G,MATCH(I1712,I:I,0)-1,1)),D1712-C1712)</f>
        <v>#NAME?</v>
      </c>
      <c r="H1712" s="140" t="e">
        <f ca="1">mif(C1712="","",B1712=リスト!$C$5,SUMIF(INDEX(B:B,MATCH(I1712-1,I:I,0)+1,1):INDEX(B:B,MATCH(I1712,I:I,0)-1,1),リスト!$C$7,INDEX(G:G,MATCH(I1712-1,I:I,0)+1,1):INDEX(G:G,MATCH(I1712,I:I,0)-1,1)),"")</f>
        <v>#NAME?</v>
      </c>
      <c r="I1712" s="200" t="str">
        <f>IF(OR(B1712=リスト!$C$5,B1712=リスト!$C$6),COUNTIF($B$9:B1712,リスト!$C$5)+COUNTIF($B$9:B1712,リスト!$C$6),"")</f>
        <v/>
      </c>
    </row>
    <row r="1713" spans="2:9" x14ac:dyDescent="0.2">
      <c r="B1713" s="196"/>
      <c r="C1713" s="197"/>
      <c r="D1713" s="197"/>
      <c r="E1713" s="198" t="e">
        <f ca="1">mif(OR(C1713="",B1713=リスト!$C$7),"",B1713="","RF",OR(B1713=リスト!$C$5,B1713=リスト!$C$6),COUNTBLANK(INDEX(B:B,MATCH(I1713-1,I:I,0)+1,1):INDEX(B:B,MATCH(I1713,I:I,0)-1,1)),"")</f>
        <v>#NAME?</v>
      </c>
      <c r="F1713" s="199" t="s">
        <v>189</v>
      </c>
      <c r="G1713" s="140" t="e">
        <f ca="1">mif(C1713="","",OR(B1713=リスト!$C$5,B1713=リスト!$C$6),SUM(INDEX(G:G,MATCH(I1713-1,I:I,0)+1,1):INDEX(G:G,MATCH(I1713,I:I,0)-1,1)),D1713-C1713)</f>
        <v>#NAME?</v>
      </c>
      <c r="H1713" s="140" t="e">
        <f ca="1">mif(C1713="","",B1713=リスト!$C$5,SUMIF(INDEX(B:B,MATCH(I1713-1,I:I,0)+1,1):INDEX(B:B,MATCH(I1713,I:I,0)-1,1),リスト!$C$7,INDEX(G:G,MATCH(I1713-1,I:I,0)+1,1):INDEX(G:G,MATCH(I1713,I:I,0)-1,1)),"")</f>
        <v>#NAME?</v>
      </c>
      <c r="I1713" s="200" t="str">
        <f>IF(OR(B1713=リスト!$C$5,B1713=リスト!$C$6),COUNTIF($B$9:B1713,リスト!$C$5)+COUNTIF($B$9:B1713,リスト!$C$6),"")</f>
        <v/>
      </c>
    </row>
    <row r="1714" spans="2:9" x14ac:dyDescent="0.2">
      <c r="B1714" s="196"/>
      <c r="C1714" s="197"/>
      <c r="D1714" s="197"/>
      <c r="E1714" s="198" t="e">
        <f ca="1">mif(OR(C1714="",B1714=リスト!$C$7),"",B1714="","RF",OR(B1714=リスト!$C$5,B1714=リスト!$C$6),COUNTBLANK(INDEX(B:B,MATCH(I1714-1,I:I,0)+1,1):INDEX(B:B,MATCH(I1714,I:I,0)-1,1)),"")</f>
        <v>#NAME?</v>
      </c>
      <c r="F1714" s="199" t="s">
        <v>189</v>
      </c>
      <c r="G1714" s="140" t="e">
        <f ca="1">mif(C1714="","",OR(B1714=リスト!$C$5,B1714=リスト!$C$6),SUM(INDEX(G:G,MATCH(I1714-1,I:I,0)+1,1):INDEX(G:G,MATCH(I1714,I:I,0)-1,1)),D1714-C1714)</f>
        <v>#NAME?</v>
      </c>
      <c r="H1714" s="140" t="e">
        <f ca="1">mif(C1714="","",B1714=リスト!$C$5,SUMIF(INDEX(B:B,MATCH(I1714-1,I:I,0)+1,1):INDEX(B:B,MATCH(I1714,I:I,0)-1,1),リスト!$C$7,INDEX(G:G,MATCH(I1714-1,I:I,0)+1,1):INDEX(G:G,MATCH(I1714,I:I,0)-1,1)),"")</f>
        <v>#NAME?</v>
      </c>
      <c r="I1714" s="200" t="str">
        <f>IF(OR(B1714=リスト!$C$5,B1714=リスト!$C$6),COUNTIF($B$9:B1714,リスト!$C$5)+COUNTIF($B$9:B1714,リスト!$C$6),"")</f>
        <v/>
      </c>
    </row>
    <row r="1715" spans="2:9" x14ac:dyDescent="0.2">
      <c r="B1715" s="196"/>
      <c r="C1715" s="197"/>
      <c r="D1715" s="197"/>
      <c r="E1715" s="198" t="e">
        <f ca="1">mif(OR(C1715="",B1715=リスト!$C$7),"",B1715="","RF",OR(B1715=リスト!$C$5,B1715=リスト!$C$6),COUNTBLANK(INDEX(B:B,MATCH(I1715-1,I:I,0)+1,1):INDEX(B:B,MATCH(I1715,I:I,0)-1,1)),"")</f>
        <v>#NAME?</v>
      </c>
      <c r="F1715" s="199" t="s">
        <v>189</v>
      </c>
      <c r="G1715" s="140" t="e">
        <f ca="1">mif(C1715="","",OR(B1715=リスト!$C$5,B1715=リスト!$C$6),SUM(INDEX(G:G,MATCH(I1715-1,I:I,0)+1,1):INDEX(G:G,MATCH(I1715,I:I,0)-1,1)),D1715-C1715)</f>
        <v>#NAME?</v>
      </c>
      <c r="H1715" s="140" t="e">
        <f ca="1">mif(C1715="","",B1715=リスト!$C$5,SUMIF(INDEX(B:B,MATCH(I1715-1,I:I,0)+1,1):INDEX(B:B,MATCH(I1715,I:I,0)-1,1),リスト!$C$7,INDEX(G:G,MATCH(I1715-1,I:I,0)+1,1):INDEX(G:G,MATCH(I1715,I:I,0)-1,1)),"")</f>
        <v>#NAME?</v>
      </c>
      <c r="I1715" s="200" t="str">
        <f>IF(OR(B1715=リスト!$C$5,B1715=リスト!$C$6),COUNTIF($B$9:B1715,リスト!$C$5)+COUNTIF($B$9:B1715,リスト!$C$6),"")</f>
        <v/>
      </c>
    </row>
    <row r="1716" spans="2:9" x14ac:dyDescent="0.2">
      <c r="B1716" s="196"/>
      <c r="C1716" s="197"/>
      <c r="D1716" s="197"/>
      <c r="E1716" s="198" t="e">
        <f ca="1">mif(OR(C1716="",B1716=リスト!$C$7),"",B1716="","RF",OR(B1716=リスト!$C$5,B1716=リスト!$C$6),COUNTBLANK(INDEX(B:B,MATCH(I1716-1,I:I,0)+1,1):INDEX(B:B,MATCH(I1716,I:I,0)-1,1)),"")</f>
        <v>#NAME?</v>
      </c>
      <c r="F1716" s="199" t="s">
        <v>189</v>
      </c>
      <c r="G1716" s="140" t="e">
        <f ca="1">mif(C1716="","",OR(B1716=リスト!$C$5,B1716=リスト!$C$6),SUM(INDEX(G:G,MATCH(I1716-1,I:I,0)+1,1):INDEX(G:G,MATCH(I1716,I:I,0)-1,1)),D1716-C1716)</f>
        <v>#NAME?</v>
      </c>
      <c r="H1716" s="140" t="e">
        <f ca="1">mif(C1716="","",B1716=リスト!$C$5,SUMIF(INDEX(B:B,MATCH(I1716-1,I:I,0)+1,1):INDEX(B:B,MATCH(I1716,I:I,0)-1,1),リスト!$C$7,INDEX(G:G,MATCH(I1716-1,I:I,0)+1,1):INDEX(G:G,MATCH(I1716,I:I,0)-1,1)),"")</f>
        <v>#NAME?</v>
      </c>
      <c r="I1716" s="200" t="str">
        <f>IF(OR(B1716=リスト!$C$5,B1716=リスト!$C$6),COUNTIF($B$9:B1716,リスト!$C$5)+COUNTIF($B$9:B1716,リスト!$C$6),"")</f>
        <v/>
      </c>
    </row>
    <row r="1717" spans="2:9" x14ac:dyDescent="0.2">
      <c r="B1717" s="196"/>
      <c r="C1717" s="197"/>
      <c r="D1717" s="197"/>
      <c r="E1717" s="198" t="e">
        <f ca="1">mif(OR(C1717="",B1717=リスト!$C$7),"",B1717="","RF",OR(B1717=リスト!$C$5,B1717=リスト!$C$6),COUNTBLANK(INDEX(B:B,MATCH(I1717-1,I:I,0)+1,1):INDEX(B:B,MATCH(I1717,I:I,0)-1,1)),"")</f>
        <v>#NAME?</v>
      </c>
      <c r="F1717" s="199" t="s">
        <v>189</v>
      </c>
      <c r="G1717" s="140" t="e">
        <f ca="1">mif(C1717="","",OR(B1717=リスト!$C$5,B1717=リスト!$C$6),SUM(INDEX(G:G,MATCH(I1717-1,I:I,0)+1,1):INDEX(G:G,MATCH(I1717,I:I,0)-1,1)),D1717-C1717)</f>
        <v>#NAME?</v>
      </c>
      <c r="H1717" s="140" t="e">
        <f ca="1">mif(C1717="","",B1717=リスト!$C$5,SUMIF(INDEX(B:B,MATCH(I1717-1,I:I,0)+1,1):INDEX(B:B,MATCH(I1717,I:I,0)-1,1),リスト!$C$7,INDEX(G:G,MATCH(I1717-1,I:I,0)+1,1):INDEX(G:G,MATCH(I1717,I:I,0)-1,1)),"")</f>
        <v>#NAME?</v>
      </c>
      <c r="I1717" s="200" t="str">
        <f>IF(OR(B1717=リスト!$C$5,B1717=リスト!$C$6),COUNTIF($B$9:B1717,リスト!$C$5)+COUNTIF($B$9:B1717,リスト!$C$6),"")</f>
        <v/>
      </c>
    </row>
    <row r="1718" spans="2:9" x14ac:dyDescent="0.2">
      <c r="B1718" s="196"/>
      <c r="C1718" s="197"/>
      <c r="D1718" s="197"/>
      <c r="E1718" s="198" t="e">
        <f ca="1">mif(OR(C1718="",B1718=リスト!$C$7),"",B1718="","RF",OR(B1718=リスト!$C$5,B1718=リスト!$C$6),COUNTBLANK(INDEX(B:B,MATCH(I1718-1,I:I,0)+1,1):INDEX(B:B,MATCH(I1718,I:I,0)-1,1)),"")</f>
        <v>#NAME?</v>
      </c>
      <c r="F1718" s="199" t="s">
        <v>189</v>
      </c>
      <c r="G1718" s="140" t="e">
        <f ca="1">mif(C1718="","",OR(B1718=リスト!$C$5,B1718=リスト!$C$6),SUM(INDEX(G:G,MATCH(I1718-1,I:I,0)+1,1):INDEX(G:G,MATCH(I1718,I:I,0)-1,1)),D1718-C1718)</f>
        <v>#NAME?</v>
      </c>
      <c r="H1718" s="140" t="e">
        <f ca="1">mif(C1718="","",B1718=リスト!$C$5,SUMIF(INDEX(B:B,MATCH(I1718-1,I:I,0)+1,1):INDEX(B:B,MATCH(I1718,I:I,0)-1,1),リスト!$C$7,INDEX(G:G,MATCH(I1718-1,I:I,0)+1,1):INDEX(G:G,MATCH(I1718,I:I,0)-1,1)),"")</f>
        <v>#NAME?</v>
      </c>
      <c r="I1718" s="200" t="str">
        <f>IF(OR(B1718=リスト!$C$5,B1718=リスト!$C$6),COUNTIF($B$9:B1718,リスト!$C$5)+COUNTIF($B$9:B1718,リスト!$C$6),"")</f>
        <v/>
      </c>
    </row>
    <row r="1719" spans="2:9" x14ac:dyDescent="0.2">
      <c r="B1719" s="196"/>
      <c r="C1719" s="197"/>
      <c r="D1719" s="197"/>
      <c r="E1719" s="198" t="e">
        <f ca="1">mif(OR(C1719="",B1719=リスト!$C$7),"",B1719="","RF",OR(B1719=リスト!$C$5,B1719=リスト!$C$6),COUNTBLANK(INDEX(B:B,MATCH(I1719-1,I:I,0)+1,1):INDEX(B:B,MATCH(I1719,I:I,0)-1,1)),"")</f>
        <v>#NAME?</v>
      </c>
      <c r="F1719" s="199" t="s">
        <v>189</v>
      </c>
      <c r="G1719" s="140" t="e">
        <f ca="1">mif(C1719="","",OR(B1719=リスト!$C$5,B1719=リスト!$C$6),SUM(INDEX(G:G,MATCH(I1719-1,I:I,0)+1,1):INDEX(G:G,MATCH(I1719,I:I,0)-1,1)),D1719-C1719)</f>
        <v>#NAME?</v>
      </c>
      <c r="H1719" s="140" t="e">
        <f ca="1">mif(C1719="","",B1719=リスト!$C$5,SUMIF(INDEX(B:B,MATCH(I1719-1,I:I,0)+1,1):INDEX(B:B,MATCH(I1719,I:I,0)-1,1),リスト!$C$7,INDEX(G:G,MATCH(I1719-1,I:I,0)+1,1):INDEX(G:G,MATCH(I1719,I:I,0)-1,1)),"")</f>
        <v>#NAME?</v>
      </c>
      <c r="I1719" s="200" t="str">
        <f>IF(OR(B1719=リスト!$C$5,B1719=リスト!$C$6),COUNTIF($B$9:B1719,リスト!$C$5)+COUNTIF($B$9:B1719,リスト!$C$6),"")</f>
        <v/>
      </c>
    </row>
    <row r="1720" spans="2:9" x14ac:dyDescent="0.2">
      <c r="B1720" s="196"/>
      <c r="C1720" s="197"/>
      <c r="D1720" s="197"/>
      <c r="E1720" s="198" t="e">
        <f ca="1">mif(OR(C1720="",B1720=リスト!$C$7),"",B1720="","RF",OR(B1720=リスト!$C$5,B1720=リスト!$C$6),COUNTBLANK(INDEX(B:B,MATCH(I1720-1,I:I,0)+1,1):INDEX(B:B,MATCH(I1720,I:I,0)-1,1)),"")</f>
        <v>#NAME?</v>
      </c>
      <c r="F1720" s="199" t="s">
        <v>189</v>
      </c>
      <c r="G1720" s="140" t="e">
        <f ca="1">mif(C1720="","",OR(B1720=リスト!$C$5,B1720=リスト!$C$6),SUM(INDEX(G:G,MATCH(I1720-1,I:I,0)+1,1):INDEX(G:G,MATCH(I1720,I:I,0)-1,1)),D1720-C1720)</f>
        <v>#NAME?</v>
      </c>
      <c r="H1720" s="140" t="e">
        <f ca="1">mif(C1720="","",B1720=リスト!$C$5,SUMIF(INDEX(B:B,MATCH(I1720-1,I:I,0)+1,1):INDEX(B:B,MATCH(I1720,I:I,0)-1,1),リスト!$C$7,INDEX(G:G,MATCH(I1720-1,I:I,0)+1,1):INDEX(G:G,MATCH(I1720,I:I,0)-1,1)),"")</f>
        <v>#NAME?</v>
      </c>
      <c r="I1720" s="200" t="str">
        <f>IF(OR(B1720=リスト!$C$5,B1720=リスト!$C$6),COUNTIF($B$9:B1720,リスト!$C$5)+COUNTIF($B$9:B1720,リスト!$C$6),"")</f>
        <v/>
      </c>
    </row>
    <row r="1721" spans="2:9" x14ac:dyDescent="0.2">
      <c r="B1721" s="196"/>
      <c r="C1721" s="197"/>
      <c r="D1721" s="197"/>
      <c r="E1721" s="198" t="e">
        <f ca="1">mif(OR(C1721="",B1721=リスト!$C$7),"",B1721="","RF",OR(B1721=リスト!$C$5,B1721=リスト!$C$6),COUNTBLANK(INDEX(B:B,MATCH(I1721-1,I:I,0)+1,1):INDEX(B:B,MATCH(I1721,I:I,0)-1,1)),"")</f>
        <v>#NAME?</v>
      </c>
      <c r="F1721" s="199" t="s">
        <v>189</v>
      </c>
      <c r="G1721" s="140" t="e">
        <f ca="1">mif(C1721="","",OR(B1721=リスト!$C$5,B1721=リスト!$C$6),SUM(INDEX(G:G,MATCH(I1721-1,I:I,0)+1,1):INDEX(G:G,MATCH(I1721,I:I,0)-1,1)),D1721-C1721)</f>
        <v>#NAME?</v>
      </c>
      <c r="H1721" s="140" t="e">
        <f ca="1">mif(C1721="","",B1721=リスト!$C$5,SUMIF(INDEX(B:B,MATCH(I1721-1,I:I,0)+1,1):INDEX(B:B,MATCH(I1721,I:I,0)-1,1),リスト!$C$7,INDEX(G:G,MATCH(I1721-1,I:I,0)+1,1):INDEX(G:G,MATCH(I1721,I:I,0)-1,1)),"")</f>
        <v>#NAME?</v>
      </c>
      <c r="I1721" s="200" t="str">
        <f>IF(OR(B1721=リスト!$C$5,B1721=リスト!$C$6),COUNTIF($B$9:B1721,リスト!$C$5)+COUNTIF($B$9:B1721,リスト!$C$6),"")</f>
        <v/>
      </c>
    </row>
    <row r="1722" spans="2:9" x14ac:dyDescent="0.2">
      <c r="B1722" s="196"/>
      <c r="C1722" s="197"/>
      <c r="D1722" s="197"/>
      <c r="E1722" s="198" t="e">
        <f ca="1">mif(OR(C1722="",B1722=リスト!$C$7),"",B1722="","RF",OR(B1722=リスト!$C$5,B1722=リスト!$C$6),COUNTBLANK(INDEX(B:B,MATCH(I1722-1,I:I,0)+1,1):INDEX(B:B,MATCH(I1722,I:I,0)-1,1)),"")</f>
        <v>#NAME?</v>
      </c>
      <c r="F1722" s="199" t="s">
        <v>189</v>
      </c>
      <c r="G1722" s="140" t="e">
        <f ca="1">mif(C1722="","",OR(B1722=リスト!$C$5,B1722=リスト!$C$6),SUM(INDEX(G:G,MATCH(I1722-1,I:I,0)+1,1):INDEX(G:G,MATCH(I1722,I:I,0)-1,1)),D1722-C1722)</f>
        <v>#NAME?</v>
      </c>
      <c r="H1722" s="140" t="e">
        <f ca="1">mif(C1722="","",B1722=リスト!$C$5,SUMIF(INDEX(B:B,MATCH(I1722-1,I:I,0)+1,1):INDEX(B:B,MATCH(I1722,I:I,0)-1,1),リスト!$C$7,INDEX(G:G,MATCH(I1722-1,I:I,0)+1,1):INDEX(G:G,MATCH(I1722,I:I,0)-1,1)),"")</f>
        <v>#NAME?</v>
      </c>
      <c r="I1722" s="200" t="str">
        <f>IF(OR(B1722=リスト!$C$5,B1722=リスト!$C$6),COUNTIF($B$9:B1722,リスト!$C$5)+COUNTIF($B$9:B1722,リスト!$C$6),"")</f>
        <v/>
      </c>
    </row>
    <row r="1723" spans="2:9" x14ac:dyDescent="0.2">
      <c r="B1723" s="196"/>
      <c r="C1723" s="197"/>
      <c r="D1723" s="197"/>
      <c r="E1723" s="198" t="e">
        <f ca="1">mif(OR(C1723="",B1723=リスト!$C$7),"",B1723="","RF",OR(B1723=リスト!$C$5,B1723=リスト!$C$6),COUNTBLANK(INDEX(B:B,MATCH(I1723-1,I:I,0)+1,1):INDEX(B:B,MATCH(I1723,I:I,0)-1,1)),"")</f>
        <v>#NAME?</v>
      </c>
      <c r="F1723" s="199" t="s">
        <v>189</v>
      </c>
      <c r="G1723" s="140" t="e">
        <f ca="1">mif(C1723="","",OR(B1723=リスト!$C$5,B1723=リスト!$C$6),SUM(INDEX(G:G,MATCH(I1723-1,I:I,0)+1,1):INDEX(G:G,MATCH(I1723,I:I,0)-1,1)),D1723-C1723)</f>
        <v>#NAME?</v>
      </c>
      <c r="H1723" s="140" t="e">
        <f ca="1">mif(C1723="","",B1723=リスト!$C$5,SUMIF(INDEX(B:B,MATCH(I1723-1,I:I,0)+1,1):INDEX(B:B,MATCH(I1723,I:I,0)-1,1),リスト!$C$7,INDEX(G:G,MATCH(I1723-1,I:I,0)+1,1):INDEX(G:G,MATCH(I1723,I:I,0)-1,1)),"")</f>
        <v>#NAME?</v>
      </c>
      <c r="I1723" s="200" t="str">
        <f>IF(OR(B1723=リスト!$C$5,B1723=リスト!$C$6),COUNTIF($B$9:B1723,リスト!$C$5)+COUNTIF($B$9:B1723,リスト!$C$6),"")</f>
        <v/>
      </c>
    </row>
    <row r="1724" spans="2:9" x14ac:dyDescent="0.2">
      <c r="B1724" s="196"/>
      <c r="C1724" s="197"/>
      <c r="D1724" s="197"/>
      <c r="E1724" s="198" t="e">
        <f ca="1">mif(OR(C1724="",B1724=リスト!$C$7),"",B1724="","RF",OR(B1724=リスト!$C$5,B1724=リスト!$C$6),COUNTBLANK(INDEX(B:B,MATCH(I1724-1,I:I,0)+1,1):INDEX(B:B,MATCH(I1724,I:I,0)-1,1)),"")</f>
        <v>#NAME?</v>
      </c>
      <c r="F1724" s="199" t="s">
        <v>189</v>
      </c>
      <c r="G1724" s="140" t="e">
        <f ca="1">mif(C1724="","",OR(B1724=リスト!$C$5,B1724=リスト!$C$6),SUM(INDEX(G:G,MATCH(I1724-1,I:I,0)+1,1):INDEX(G:G,MATCH(I1724,I:I,0)-1,1)),D1724-C1724)</f>
        <v>#NAME?</v>
      </c>
      <c r="H1724" s="140" t="e">
        <f ca="1">mif(C1724="","",B1724=リスト!$C$5,SUMIF(INDEX(B:B,MATCH(I1724-1,I:I,0)+1,1):INDEX(B:B,MATCH(I1724,I:I,0)-1,1),リスト!$C$7,INDEX(G:G,MATCH(I1724-1,I:I,0)+1,1):INDEX(G:G,MATCH(I1724,I:I,0)-1,1)),"")</f>
        <v>#NAME?</v>
      </c>
      <c r="I1724" s="200" t="str">
        <f>IF(OR(B1724=リスト!$C$5,B1724=リスト!$C$6),COUNTIF($B$9:B1724,リスト!$C$5)+COUNTIF($B$9:B1724,リスト!$C$6),"")</f>
        <v/>
      </c>
    </row>
    <row r="1725" spans="2:9" x14ac:dyDescent="0.2">
      <c r="B1725" s="196"/>
      <c r="C1725" s="197"/>
      <c r="D1725" s="197"/>
      <c r="E1725" s="198" t="e">
        <f ca="1">mif(OR(C1725="",B1725=リスト!$C$7),"",B1725="","RF",OR(B1725=リスト!$C$5,B1725=リスト!$C$6),COUNTBLANK(INDEX(B:B,MATCH(I1725-1,I:I,0)+1,1):INDEX(B:B,MATCH(I1725,I:I,0)-1,1)),"")</f>
        <v>#NAME?</v>
      </c>
      <c r="F1725" s="199" t="s">
        <v>189</v>
      </c>
      <c r="G1725" s="140" t="e">
        <f ca="1">mif(C1725="","",OR(B1725=リスト!$C$5,B1725=リスト!$C$6),SUM(INDEX(G:G,MATCH(I1725-1,I:I,0)+1,1):INDEX(G:G,MATCH(I1725,I:I,0)-1,1)),D1725-C1725)</f>
        <v>#NAME?</v>
      </c>
      <c r="H1725" s="140" t="e">
        <f ca="1">mif(C1725="","",B1725=リスト!$C$5,SUMIF(INDEX(B:B,MATCH(I1725-1,I:I,0)+1,1):INDEX(B:B,MATCH(I1725,I:I,0)-1,1),リスト!$C$7,INDEX(G:G,MATCH(I1725-1,I:I,0)+1,1):INDEX(G:G,MATCH(I1725,I:I,0)-1,1)),"")</f>
        <v>#NAME?</v>
      </c>
      <c r="I1725" s="200" t="str">
        <f>IF(OR(B1725=リスト!$C$5,B1725=リスト!$C$6),COUNTIF($B$9:B1725,リスト!$C$5)+COUNTIF($B$9:B1725,リスト!$C$6),"")</f>
        <v/>
      </c>
    </row>
    <row r="1726" spans="2:9" x14ac:dyDescent="0.2">
      <c r="B1726" s="196"/>
      <c r="C1726" s="197"/>
      <c r="D1726" s="197"/>
      <c r="E1726" s="198" t="e">
        <f ca="1">mif(OR(C1726="",B1726=リスト!$C$7),"",B1726="","RF",OR(B1726=リスト!$C$5,B1726=リスト!$C$6),COUNTBLANK(INDEX(B:B,MATCH(I1726-1,I:I,0)+1,1):INDEX(B:B,MATCH(I1726,I:I,0)-1,1)),"")</f>
        <v>#NAME?</v>
      </c>
      <c r="F1726" s="199" t="s">
        <v>189</v>
      </c>
      <c r="G1726" s="140" t="e">
        <f ca="1">mif(C1726="","",OR(B1726=リスト!$C$5,B1726=リスト!$C$6),SUM(INDEX(G:G,MATCH(I1726-1,I:I,0)+1,1):INDEX(G:G,MATCH(I1726,I:I,0)-1,1)),D1726-C1726)</f>
        <v>#NAME?</v>
      </c>
      <c r="H1726" s="140" t="e">
        <f ca="1">mif(C1726="","",B1726=リスト!$C$5,SUMIF(INDEX(B:B,MATCH(I1726-1,I:I,0)+1,1):INDEX(B:B,MATCH(I1726,I:I,0)-1,1),リスト!$C$7,INDEX(G:G,MATCH(I1726-1,I:I,0)+1,1):INDEX(G:G,MATCH(I1726,I:I,0)-1,1)),"")</f>
        <v>#NAME?</v>
      </c>
      <c r="I1726" s="200" t="str">
        <f>IF(OR(B1726=リスト!$C$5,B1726=リスト!$C$6),COUNTIF($B$9:B1726,リスト!$C$5)+COUNTIF($B$9:B1726,リスト!$C$6),"")</f>
        <v/>
      </c>
    </row>
    <row r="1727" spans="2:9" x14ac:dyDescent="0.2">
      <c r="B1727" s="196"/>
      <c r="C1727" s="197"/>
      <c r="D1727" s="197"/>
      <c r="E1727" s="198" t="e">
        <f ca="1">mif(OR(C1727="",B1727=リスト!$C$7),"",B1727="","RF",OR(B1727=リスト!$C$5,B1727=リスト!$C$6),COUNTBLANK(INDEX(B:B,MATCH(I1727-1,I:I,0)+1,1):INDEX(B:B,MATCH(I1727,I:I,0)-1,1)),"")</f>
        <v>#NAME?</v>
      </c>
      <c r="F1727" s="199" t="s">
        <v>189</v>
      </c>
      <c r="G1727" s="140" t="e">
        <f ca="1">mif(C1727="","",OR(B1727=リスト!$C$5,B1727=リスト!$C$6),SUM(INDEX(G:G,MATCH(I1727-1,I:I,0)+1,1):INDEX(G:G,MATCH(I1727,I:I,0)-1,1)),D1727-C1727)</f>
        <v>#NAME?</v>
      </c>
      <c r="H1727" s="140" t="e">
        <f ca="1">mif(C1727="","",B1727=リスト!$C$5,SUMIF(INDEX(B:B,MATCH(I1727-1,I:I,0)+1,1):INDEX(B:B,MATCH(I1727,I:I,0)-1,1),リスト!$C$7,INDEX(G:G,MATCH(I1727-1,I:I,0)+1,1):INDEX(G:G,MATCH(I1727,I:I,0)-1,1)),"")</f>
        <v>#NAME?</v>
      </c>
      <c r="I1727" s="200" t="str">
        <f>IF(OR(B1727=リスト!$C$5,B1727=リスト!$C$6),COUNTIF($B$9:B1727,リスト!$C$5)+COUNTIF($B$9:B1727,リスト!$C$6),"")</f>
        <v/>
      </c>
    </row>
    <row r="1728" spans="2:9" x14ac:dyDescent="0.2">
      <c r="B1728" s="196"/>
      <c r="C1728" s="197"/>
      <c r="D1728" s="197"/>
      <c r="E1728" s="198" t="e">
        <f ca="1">mif(OR(C1728="",B1728=リスト!$C$7),"",B1728="","RF",OR(B1728=リスト!$C$5,B1728=リスト!$C$6),COUNTBLANK(INDEX(B:B,MATCH(I1728-1,I:I,0)+1,1):INDEX(B:B,MATCH(I1728,I:I,0)-1,1)),"")</f>
        <v>#NAME?</v>
      </c>
      <c r="F1728" s="199" t="s">
        <v>189</v>
      </c>
      <c r="G1728" s="140" t="e">
        <f ca="1">mif(C1728="","",OR(B1728=リスト!$C$5,B1728=リスト!$C$6),SUM(INDEX(G:G,MATCH(I1728-1,I:I,0)+1,1):INDEX(G:G,MATCH(I1728,I:I,0)-1,1)),D1728-C1728)</f>
        <v>#NAME?</v>
      </c>
      <c r="H1728" s="140" t="e">
        <f ca="1">mif(C1728="","",B1728=リスト!$C$5,SUMIF(INDEX(B:B,MATCH(I1728-1,I:I,0)+1,1):INDEX(B:B,MATCH(I1728,I:I,0)-1,1),リスト!$C$7,INDEX(G:G,MATCH(I1728-1,I:I,0)+1,1):INDEX(G:G,MATCH(I1728,I:I,0)-1,1)),"")</f>
        <v>#NAME?</v>
      </c>
      <c r="I1728" s="200" t="str">
        <f>IF(OR(B1728=リスト!$C$5,B1728=リスト!$C$6),COUNTIF($B$9:B1728,リスト!$C$5)+COUNTIF($B$9:B1728,リスト!$C$6),"")</f>
        <v/>
      </c>
    </row>
    <row r="1729" spans="2:9" x14ac:dyDescent="0.2">
      <c r="B1729" s="196"/>
      <c r="C1729" s="197"/>
      <c r="D1729" s="197"/>
      <c r="E1729" s="198" t="e">
        <f ca="1">mif(OR(C1729="",B1729=リスト!$C$7),"",B1729="","RF",OR(B1729=リスト!$C$5,B1729=リスト!$C$6),COUNTBLANK(INDEX(B:B,MATCH(I1729-1,I:I,0)+1,1):INDEX(B:B,MATCH(I1729,I:I,0)-1,1)),"")</f>
        <v>#NAME?</v>
      </c>
      <c r="F1729" s="199" t="s">
        <v>189</v>
      </c>
      <c r="G1729" s="140" t="e">
        <f ca="1">mif(C1729="","",OR(B1729=リスト!$C$5,B1729=リスト!$C$6),SUM(INDEX(G:G,MATCH(I1729-1,I:I,0)+1,1):INDEX(G:G,MATCH(I1729,I:I,0)-1,1)),D1729-C1729)</f>
        <v>#NAME?</v>
      </c>
      <c r="H1729" s="140" t="e">
        <f ca="1">mif(C1729="","",B1729=リスト!$C$5,SUMIF(INDEX(B:B,MATCH(I1729-1,I:I,0)+1,1):INDEX(B:B,MATCH(I1729,I:I,0)-1,1),リスト!$C$7,INDEX(G:G,MATCH(I1729-1,I:I,0)+1,1):INDEX(G:G,MATCH(I1729,I:I,0)-1,1)),"")</f>
        <v>#NAME?</v>
      </c>
      <c r="I1729" s="200" t="str">
        <f>IF(OR(B1729=リスト!$C$5,B1729=リスト!$C$6),COUNTIF($B$9:B1729,リスト!$C$5)+COUNTIF($B$9:B1729,リスト!$C$6),"")</f>
        <v/>
      </c>
    </row>
    <row r="1730" spans="2:9" x14ac:dyDescent="0.2">
      <c r="B1730" s="196"/>
      <c r="C1730" s="197"/>
      <c r="D1730" s="197"/>
      <c r="E1730" s="198" t="e">
        <f ca="1">mif(OR(C1730="",B1730=リスト!$C$7),"",B1730="","RF",OR(B1730=リスト!$C$5,B1730=リスト!$C$6),COUNTBLANK(INDEX(B:B,MATCH(I1730-1,I:I,0)+1,1):INDEX(B:B,MATCH(I1730,I:I,0)-1,1)),"")</f>
        <v>#NAME?</v>
      </c>
      <c r="F1730" s="199" t="s">
        <v>189</v>
      </c>
      <c r="G1730" s="140" t="e">
        <f ca="1">mif(C1730="","",OR(B1730=リスト!$C$5,B1730=リスト!$C$6),SUM(INDEX(G:G,MATCH(I1730-1,I:I,0)+1,1):INDEX(G:G,MATCH(I1730,I:I,0)-1,1)),D1730-C1730)</f>
        <v>#NAME?</v>
      </c>
      <c r="H1730" s="140" t="e">
        <f ca="1">mif(C1730="","",B1730=リスト!$C$5,SUMIF(INDEX(B:B,MATCH(I1730-1,I:I,0)+1,1):INDEX(B:B,MATCH(I1730,I:I,0)-1,1),リスト!$C$7,INDEX(G:G,MATCH(I1730-1,I:I,0)+1,1):INDEX(G:G,MATCH(I1730,I:I,0)-1,1)),"")</f>
        <v>#NAME?</v>
      </c>
      <c r="I1730" s="200" t="str">
        <f>IF(OR(B1730=リスト!$C$5,B1730=リスト!$C$6),COUNTIF($B$9:B1730,リスト!$C$5)+COUNTIF($B$9:B1730,リスト!$C$6),"")</f>
        <v/>
      </c>
    </row>
    <row r="1731" spans="2:9" x14ac:dyDescent="0.2">
      <c r="B1731" s="196"/>
      <c r="C1731" s="197"/>
      <c r="D1731" s="197"/>
      <c r="E1731" s="198" t="e">
        <f ca="1">mif(OR(C1731="",B1731=リスト!$C$7),"",B1731="","RF",OR(B1731=リスト!$C$5,B1731=リスト!$C$6),COUNTBLANK(INDEX(B:B,MATCH(I1731-1,I:I,0)+1,1):INDEX(B:B,MATCH(I1731,I:I,0)-1,1)),"")</f>
        <v>#NAME?</v>
      </c>
      <c r="F1731" s="199" t="s">
        <v>189</v>
      </c>
      <c r="G1731" s="140" t="e">
        <f ca="1">mif(C1731="","",OR(B1731=リスト!$C$5,B1731=リスト!$C$6),SUM(INDEX(G:G,MATCH(I1731-1,I:I,0)+1,1):INDEX(G:G,MATCH(I1731,I:I,0)-1,1)),D1731-C1731)</f>
        <v>#NAME?</v>
      </c>
      <c r="H1731" s="140" t="e">
        <f ca="1">mif(C1731="","",B1731=リスト!$C$5,SUMIF(INDEX(B:B,MATCH(I1731-1,I:I,0)+1,1):INDEX(B:B,MATCH(I1731,I:I,0)-1,1),リスト!$C$7,INDEX(G:G,MATCH(I1731-1,I:I,0)+1,1):INDEX(G:G,MATCH(I1731,I:I,0)-1,1)),"")</f>
        <v>#NAME?</v>
      </c>
      <c r="I1731" s="200" t="str">
        <f>IF(OR(B1731=リスト!$C$5,B1731=リスト!$C$6),COUNTIF($B$9:B1731,リスト!$C$5)+COUNTIF($B$9:B1731,リスト!$C$6),"")</f>
        <v/>
      </c>
    </row>
    <row r="1732" spans="2:9" x14ac:dyDescent="0.2">
      <c r="B1732" s="196"/>
      <c r="C1732" s="197"/>
      <c r="D1732" s="197"/>
      <c r="E1732" s="198" t="e">
        <f ca="1">mif(OR(C1732="",B1732=リスト!$C$7),"",B1732="","RF",OR(B1732=リスト!$C$5,B1732=リスト!$C$6),COUNTBLANK(INDEX(B:B,MATCH(I1732-1,I:I,0)+1,1):INDEX(B:B,MATCH(I1732,I:I,0)-1,1)),"")</f>
        <v>#NAME?</v>
      </c>
      <c r="F1732" s="199" t="s">
        <v>189</v>
      </c>
      <c r="G1732" s="140" t="e">
        <f ca="1">mif(C1732="","",OR(B1732=リスト!$C$5,B1732=リスト!$C$6),SUM(INDEX(G:G,MATCH(I1732-1,I:I,0)+1,1):INDEX(G:G,MATCH(I1732,I:I,0)-1,1)),D1732-C1732)</f>
        <v>#NAME?</v>
      </c>
      <c r="H1732" s="140" t="e">
        <f ca="1">mif(C1732="","",B1732=リスト!$C$5,SUMIF(INDEX(B:B,MATCH(I1732-1,I:I,0)+1,1):INDEX(B:B,MATCH(I1732,I:I,0)-1,1),リスト!$C$7,INDEX(G:G,MATCH(I1732-1,I:I,0)+1,1):INDEX(G:G,MATCH(I1732,I:I,0)-1,1)),"")</f>
        <v>#NAME?</v>
      </c>
      <c r="I1732" s="200" t="str">
        <f>IF(OR(B1732=リスト!$C$5,B1732=リスト!$C$6),COUNTIF($B$9:B1732,リスト!$C$5)+COUNTIF($B$9:B1732,リスト!$C$6),"")</f>
        <v/>
      </c>
    </row>
    <row r="1733" spans="2:9" x14ac:dyDescent="0.2">
      <c r="B1733" s="196"/>
      <c r="C1733" s="197"/>
      <c r="D1733" s="197"/>
      <c r="E1733" s="198" t="e">
        <f ca="1">mif(OR(C1733="",B1733=リスト!$C$7),"",B1733="","RF",OR(B1733=リスト!$C$5,B1733=リスト!$C$6),COUNTBLANK(INDEX(B:B,MATCH(I1733-1,I:I,0)+1,1):INDEX(B:B,MATCH(I1733,I:I,0)-1,1)),"")</f>
        <v>#NAME?</v>
      </c>
      <c r="F1733" s="199" t="s">
        <v>189</v>
      </c>
      <c r="G1733" s="140" t="e">
        <f ca="1">mif(C1733="","",OR(B1733=リスト!$C$5,B1733=リスト!$C$6),SUM(INDEX(G:G,MATCH(I1733-1,I:I,0)+1,1):INDEX(G:G,MATCH(I1733,I:I,0)-1,1)),D1733-C1733)</f>
        <v>#NAME?</v>
      </c>
      <c r="H1733" s="140" t="e">
        <f ca="1">mif(C1733="","",B1733=リスト!$C$5,SUMIF(INDEX(B:B,MATCH(I1733-1,I:I,0)+1,1):INDEX(B:B,MATCH(I1733,I:I,0)-1,1),リスト!$C$7,INDEX(G:G,MATCH(I1733-1,I:I,0)+1,1):INDEX(G:G,MATCH(I1733,I:I,0)-1,1)),"")</f>
        <v>#NAME?</v>
      </c>
      <c r="I1733" s="200" t="str">
        <f>IF(OR(B1733=リスト!$C$5,B1733=リスト!$C$6),COUNTIF($B$9:B1733,リスト!$C$5)+COUNTIF($B$9:B1733,リスト!$C$6),"")</f>
        <v/>
      </c>
    </row>
    <row r="1734" spans="2:9" x14ac:dyDescent="0.2">
      <c r="B1734" s="196"/>
      <c r="C1734" s="197"/>
      <c r="D1734" s="197"/>
      <c r="E1734" s="198" t="e">
        <f ca="1">mif(OR(C1734="",B1734=リスト!$C$7),"",B1734="","RF",OR(B1734=リスト!$C$5,B1734=リスト!$C$6),COUNTBLANK(INDEX(B:B,MATCH(I1734-1,I:I,0)+1,1):INDEX(B:B,MATCH(I1734,I:I,0)-1,1)),"")</f>
        <v>#NAME?</v>
      </c>
      <c r="F1734" s="199" t="s">
        <v>189</v>
      </c>
      <c r="G1734" s="140" t="e">
        <f ca="1">mif(C1734="","",OR(B1734=リスト!$C$5,B1734=リスト!$C$6),SUM(INDEX(G:G,MATCH(I1734-1,I:I,0)+1,1):INDEX(G:G,MATCH(I1734,I:I,0)-1,1)),D1734-C1734)</f>
        <v>#NAME?</v>
      </c>
      <c r="H1734" s="140" t="e">
        <f ca="1">mif(C1734="","",B1734=リスト!$C$5,SUMIF(INDEX(B:B,MATCH(I1734-1,I:I,0)+1,1):INDEX(B:B,MATCH(I1734,I:I,0)-1,1),リスト!$C$7,INDEX(G:G,MATCH(I1734-1,I:I,0)+1,1):INDEX(G:G,MATCH(I1734,I:I,0)-1,1)),"")</f>
        <v>#NAME?</v>
      </c>
      <c r="I1734" s="200" t="str">
        <f>IF(OR(B1734=リスト!$C$5,B1734=リスト!$C$6),COUNTIF($B$9:B1734,リスト!$C$5)+COUNTIF($B$9:B1734,リスト!$C$6),"")</f>
        <v/>
      </c>
    </row>
    <row r="1735" spans="2:9" x14ac:dyDescent="0.2">
      <c r="B1735" s="196"/>
      <c r="C1735" s="197"/>
      <c r="D1735" s="197"/>
      <c r="E1735" s="198" t="e">
        <f ca="1">mif(OR(C1735="",B1735=リスト!$C$7),"",B1735="","RF",OR(B1735=リスト!$C$5,B1735=リスト!$C$6),COUNTBLANK(INDEX(B:B,MATCH(I1735-1,I:I,0)+1,1):INDEX(B:B,MATCH(I1735,I:I,0)-1,1)),"")</f>
        <v>#NAME?</v>
      </c>
      <c r="F1735" s="199" t="s">
        <v>189</v>
      </c>
      <c r="G1735" s="140" t="e">
        <f ca="1">mif(C1735="","",OR(B1735=リスト!$C$5,B1735=リスト!$C$6),SUM(INDEX(G:G,MATCH(I1735-1,I:I,0)+1,1):INDEX(G:G,MATCH(I1735,I:I,0)-1,1)),D1735-C1735)</f>
        <v>#NAME?</v>
      </c>
      <c r="H1735" s="140" t="e">
        <f ca="1">mif(C1735="","",B1735=リスト!$C$5,SUMIF(INDEX(B:B,MATCH(I1735-1,I:I,0)+1,1):INDEX(B:B,MATCH(I1735,I:I,0)-1,1),リスト!$C$7,INDEX(G:G,MATCH(I1735-1,I:I,0)+1,1):INDEX(G:G,MATCH(I1735,I:I,0)-1,1)),"")</f>
        <v>#NAME?</v>
      </c>
      <c r="I1735" s="200" t="str">
        <f>IF(OR(B1735=リスト!$C$5,B1735=リスト!$C$6),COUNTIF($B$9:B1735,リスト!$C$5)+COUNTIF($B$9:B1735,リスト!$C$6),"")</f>
        <v/>
      </c>
    </row>
    <row r="1736" spans="2:9" x14ac:dyDescent="0.2">
      <c r="B1736" s="196"/>
      <c r="C1736" s="197"/>
      <c r="D1736" s="197"/>
      <c r="E1736" s="198" t="e">
        <f ca="1">mif(OR(C1736="",B1736=リスト!$C$7),"",B1736="","RF",OR(B1736=リスト!$C$5,B1736=リスト!$C$6),COUNTBLANK(INDEX(B:B,MATCH(I1736-1,I:I,0)+1,1):INDEX(B:B,MATCH(I1736,I:I,0)-1,1)),"")</f>
        <v>#NAME?</v>
      </c>
      <c r="F1736" s="199" t="s">
        <v>189</v>
      </c>
      <c r="G1736" s="140" t="e">
        <f ca="1">mif(C1736="","",OR(B1736=リスト!$C$5,B1736=リスト!$C$6),SUM(INDEX(G:G,MATCH(I1736-1,I:I,0)+1,1):INDEX(G:G,MATCH(I1736,I:I,0)-1,1)),D1736-C1736)</f>
        <v>#NAME?</v>
      </c>
      <c r="H1736" s="140" t="e">
        <f ca="1">mif(C1736="","",B1736=リスト!$C$5,SUMIF(INDEX(B:B,MATCH(I1736-1,I:I,0)+1,1):INDEX(B:B,MATCH(I1736,I:I,0)-1,1),リスト!$C$7,INDEX(G:G,MATCH(I1736-1,I:I,0)+1,1):INDEX(G:G,MATCH(I1736,I:I,0)-1,1)),"")</f>
        <v>#NAME?</v>
      </c>
      <c r="I1736" s="200" t="str">
        <f>IF(OR(B1736=リスト!$C$5,B1736=リスト!$C$6),COUNTIF($B$9:B1736,リスト!$C$5)+COUNTIF($B$9:B1736,リスト!$C$6),"")</f>
        <v/>
      </c>
    </row>
    <row r="1737" spans="2:9" x14ac:dyDescent="0.2">
      <c r="B1737" s="196"/>
      <c r="C1737" s="197"/>
      <c r="D1737" s="197"/>
      <c r="E1737" s="198" t="e">
        <f ca="1">mif(OR(C1737="",B1737=リスト!$C$7),"",B1737="","RF",OR(B1737=リスト!$C$5,B1737=リスト!$C$6),COUNTBLANK(INDEX(B:B,MATCH(I1737-1,I:I,0)+1,1):INDEX(B:B,MATCH(I1737,I:I,0)-1,1)),"")</f>
        <v>#NAME?</v>
      </c>
      <c r="F1737" s="199" t="s">
        <v>189</v>
      </c>
      <c r="G1737" s="140" t="e">
        <f ca="1">mif(C1737="","",OR(B1737=リスト!$C$5,B1737=リスト!$C$6),SUM(INDEX(G:G,MATCH(I1737-1,I:I,0)+1,1):INDEX(G:G,MATCH(I1737,I:I,0)-1,1)),D1737-C1737)</f>
        <v>#NAME?</v>
      </c>
      <c r="H1737" s="140" t="e">
        <f ca="1">mif(C1737="","",B1737=リスト!$C$5,SUMIF(INDEX(B:B,MATCH(I1737-1,I:I,0)+1,1):INDEX(B:B,MATCH(I1737,I:I,0)-1,1),リスト!$C$7,INDEX(G:G,MATCH(I1737-1,I:I,0)+1,1):INDEX(G:G,MATCH(I1737,I:I,0)-1,1)),"")</f>
        <v>#NAME?</v>
      </c>
      <c r="I1737" s="200" t="str">
        <f>IF(OR(B1737=リスト!$C$5,B1737=リスト!$C$6),COUNTIF($B$9:B1737,リスト!$C$5)+COUNTIF($B$9:B1737,リスト!$C$6),"")</f>
        <v/>
      </c>
    </row>
    <row r="1738" spans="2:9" x14ac:dyDescent="0.2">
      <c r="B1738" s="196"/>
      <c r="C1738" s="197"/>
      <c r="D1738" s="197"/>
      <c r="E1738" s="198" t="e">
        <f ca="1">mif(OR(C1738="",B1738=リスト!$C$7),"",B1738="","RF",OR(B1738=リスト!$C$5,B1738=リスト!$C$6),COUNTBLANK(INDEX(B:B,MATCH(I1738-1,I:I,0)+1,1):INDEX(B:B,MATCH(I1738,I:I,0)-1,1)),"")</f>
        <v>#NAME?</v>
      </c>
      <c r="F1738" s="199" t="s">
        <v>189</v>
      </c>
      <c r="G1738" s="140" t="e">
        <f ca="1">mif(C1738="","",OR(B1738=リスト!$C$5,B1738=リスト!$C$6),SUM(INDEX(G:G,MATCH(I1738-1,I:I,0)+1,1):INDEX(G:G,MATCH(I1738,I:I,0)-1,1)),D1738-C1738)</f>
        <v>#NAME?</v>
      </c>
      <c r="H1738" s="140" t="e">
        <f ca="1">mif(C1738="","",B1738=リスト!$C$5,SUMIF(INDEX(B:B,MATCH(I1738-1,I:I,0)+1,1):INDEX(B:B,MATCH(I1738,I:I,0)-1,1),リスト!$C$7,INDEX(G:G,MATCH(I1738-1,I:I,0)+1,1):INDEX(G:G,MATCH(I1738,I:I,0)-1,1)),"")</f>
        <v>#NAME?</v>
      </c>
      <c r="I1738" s="200" t="str">
        <f>IF(OR(B1738=リスト!$C$5,B1738=リスト!$C$6),COUNTIF($B$9:B1738,リスト!$C$5)+COUNTIF($B$9:B1738,リスト!$C$6),"")</f>
        <v/>
      </c>
    </row>
    <row r="1739" spans="2:9" x14ac:dyDescent="0.2">
      <c r="B1739" s="196"/>
      <c r="C1739" s="197"/>
      <c r="D1739" s="197"/>
      <c r="E1739" s="198" t="e">
        <f ca="1">mif(OR(C1739="",B1739=リスト!$C$7),"",B1739="","RF",OR(B1739=リスト!$C$5,B1739=リスト!$C$6),COUNTBLANK(INDEX(B:B,MATCH(I1739-1,I:I,0)+1,1):INDEX(B:B,MATCH(I1739,I:I,0)-1,1)),"")</f>
        <v>#NAME?</v>
      </c>
      <c r="F1739" s="199" t="s">
        <v>189</v>
      </c>
      <c r="G1739" s="140" t="e">
        <f ca="1">mif(C1739="","",OR(B1739=リスト!$C$5,B1739=リスト!$C$6),SUM(INDEX(G:G,MATCH(I1739-1,I:I,0)+1,1):INDEX(G:G,MATCH(I1739,I:I,0)-1,1)),D1739-C1739)</f>
        <v>#NAME?</v>
      </c>
      <c r="H1739" s="140" t="e">
        <f ca="1">mif(C1739="","",B1739=リスト!$C$5,SUMIF(INDEX(B:B,MATCH(I1739-1,I:I,0)+1,1):INDEX(B:B,MATCH(I1739,I:I,0)-1,1),リスト!$C$7,INDEX(G:G,MATCH(I1739-1,I:I,0)+1,1):INDEX(G:G,MATCH(I1739,I:I,0)-1,1)),"")</f>
        <v>#NAME?</v>
      </c>
      <c r="I1739" s="200" t="str">
        <f>IF(OR(B1739=リスト!$C$5,B1739=リスト!$C$6),COUNTIF($B$9:B1739,リスト!$C$5)+COUNTIF($B$9:B1739,リスト!$C$6),"")</f>
        <v/>
      </c>
    </row>
    <row r="1740" spans="2:9" x14ac:dyDescent="0.2">
      <c r="B1740" s="196"/>
      <c r="C1740" s="197"/>
      <c r="D1740" s="197"/>
      <c r="E1740" s="198" t="e">
        <f ca="1">mif(OR(C1740="",B1740=リスト!$C$7),"",B1740="","RF",OR(B1740=リスト!$C$5,B1740=リスト!$C$6),COUNTBLANK(INDEX(B:B,MATCH(I1740-1,I:I,0)+1,1):INDEX(B:B,MATCH(I1740,I:I,0)-1,1)),"")</f>
        <v>#NAME?</v>
      </c>
      <c r="F1740" s="199" t="s">
        <v>189</v>
      </c>
      <c r="G1740" s="140" t="e">
        <f ca="1">mif(C1740="","",OR(B1740=リスト!$C$5,B1740=リスト!$C$6),SUM(INDEX(G:G,MATCH(I1740-1,I:I,0)+1,1):INDEX(G:G,MATCH(I1740,I:I,0)-1,1)),D1740-C1740)</f>
        <v>#NAME?</v>
      </c>
      <c r="H1740" s="140" t="e">
        <f ca="1">mif(C1740="","",B1740=リスト!$C$5,SUMIF(INDEX(B:B,MATCH(I1740-1,I:I,0)+1,1):INDEX(B:B,MATCH(I1740,I:I,0)-1,1),リスト!$C$7,INDEX(G:G,MATCH(I1740-1,I:I,0)+1,1):INDEX(G:G,MATCH(I1740,I:I,0)-1,1)),"")</f>
        <v>#NAME?</v>
      </c>
      <c r="I1740" s="200" t="str">
        <f>IF(OR(B1740=リスト!$C$5,B1740=リスト!$C$6),COUNTIF($B$9:B1740,リスト!$C$5)+COUNTIF($B$9:B1740,リスト!$C$6),"")</f>
        <v/>
      </c>
    </row>
    <row r="1741" spans="2:9" x14ac:dyDescent="0.2">
      <c r="B1741" s="196"/>
      <c r="C1741" s="197"/>
      <c r="D1741" s="197"/>
      <c r="E1741" s="198" t="e">
        <f ca="1">mif(OR(C1741="",B1741=リスト!$C$7),"",B1741="","RF",OR(B1741=リスト!$C$5,B1741=リスト!$C$6),COUNTBLANK(INDEX(B:B,MATCH(I1741-1,I:I,0)+1,1):INDEX(B:B,MATCH(I1741,I:I,0)-1,1)),"")</f>
        <v>#NAME?</v>
      </c>
      <c r="F1741" s="199" t="s">
        <v>189</v>
      </c>
      <c r="G1741" s="140" t="e">
        <f ca="1">mif(C1741="","",OR(B1741=リスト!$C$5,B1741=リスト!$C$6),SUM(INDEX(G:G,MATCH(I1741-1,I:I,0)+1,1):INDEX(G:G,MATCH(I1741,I:I,0)-1,1)),D1741-C1741)</f>
        <v>#NAME?</v>
      </c>
      <c r="H1741" s="140" t="e">
        <f ca="1">mif(C1741="","",B1741=リスト!$C$5,SUMIF(INDEX(B:B,MATCH(I1741-1,I:I,0)+1,1):INDEX(B:B,MATCH(I1741,I:I,0)-1,1),リスト!$C$7,INDEX(G:G,MATCH(I1741-1,I:I,0)+1,1):INDEX(G:G,MATCH(I1741,I:I,0)-1,1)),"")</f>
        <v>#NAME?</v>
      </c>
      <c r="I1741" s="200" t="str">
        <f>IF(OR(B1741=リスト!$C$5,B1741=リスト!$C$6),COUNTIF($B$9:B1741,リスト!$C$5)+COUNTIF($B$9:B1741,リスト!$C$6),"")</f>
        <v/>
      </c>
    </row>
    <row r="1742" spans="2:9" x14ac:dyDescent="0.2">
      <c r="B1742" s="196"/>
      <c r="C1742" s="197"/>
      <c r="D1742" s="197"/>
      <c r="E1742" s="198" t="e">
        <f ca="1">mif(OR(C1742="",B1742=リスト!$C$7),"",B1742="","RF",OR(B1742=リスト!$C$5,B1742=リスト!$C$6),COUNTBLANK(INDEX(B:B,MATCH(I1742-1,I:I,0)+1,1):INDEX(B:B,MATCH(I1742,I:I,0)-1,1)),"")</f>
        <v>#NAME?</v>
      </c>
      <c r="F1742" s="199" t="s">
        <v>189</v>
      </c>
      <c r="G1742" s="140" t="e">
        <f ca="1">mif(C1742="","",OR(B1742=リスト!$C$5,B1742=リスト!$C$6),SUM(INDEX(G:G,MATCH(I1742-1,I:I,0)+1,1):INDEX(G:G,MATCH(I1742,I:I,0)-1,1)),D1742-C1742)</f>
        <v>#NAME?</v>
      </c>
      <c r="H1742" s="140" t="e">
        <f ca="1">mif(C1742="","",B1742=リスト!$C$5,SUMIF(INDEX(B:B,MATCH(I1742-1,I:I,0)+1,1):INDEX(B:B,MATCH(I1742,I:I,0)-1,1),リスト!$C$7,INDEX(G:G,MATCH(I1742-1,I:I,0)+1,1):INDEX(G:G,MATCH(I1742,I:I,0)-1,1)),"")</f>
        <v>#NAME?</v>
      </c>
      <c r="I1742" s="200" t="str">
        <f>IF(OR(B1742=リスト!$C$5,B1742=リスト!$C$6),COUNTIF($B$9:B1742,リスト!$C$5)+COUNTIF($B$9:B1742,リスト!$C$6),"")</f>
        <v/>
      </c>
    </row>
    <row r="1743" spans="2:9" x14ac:dyDescent="0.2">
      <c r="B1743" s="196"/>
      <c r="C1743" s="197"/>
      <c r="D1743" s="197"/>
      <c r="E1743" s="198" t="e">
        <f ca="1">mif(OR(C1743="",B1743=リスト!$C$7),"",B1743="","RF",OR(B1743=リスト!$C$5,B1743=リスト!$C$6),COUNTBLANK(INDEX(B:B,MATCH(I1743-1,I:I,0)+1,1):INDEX(B:B,MATCH(I1743,I:I,0)-1,1)),"")</f>
        <v>#NAME?</v>
      </c>
      <c r="F1743" s="199" t="s">
        <v>189</v>
      </c>
      <c r="G1743" s="140" t="e">
        <f ca="1">mif(C1743="","",OR(B1743=リスト!$C$5,B1743=リスト!$C$6),SUM(INDEX(G:G,MATCH(I1743-1,I:I,0)+1,1):INDEX(G:G,MATCH(I1743,I:I,0)-1,1)),D1743-C1743)</f>
        <v>#NAME?</v>
      </c>
      <c r="H1743" s="140" t="e">
        <f ca="1">mif(C1743="","",B1743=リスト!$C$5,SUMIF(INDEX(B:B,MATCH(I1743-1,I:I,0)+1,1):INDEX(B:B,MATCH(I1743,I:I,0)-1,1),リスト!$C$7,INDEX(G:G,MATCH(I1743-1,I:I,0)+1,1):INDEX(G:G,MATCH(I1743,I:I,0)-1,1)),"")</f>
        <v>#NAME?</v>
      </c>
      <c r="I1743" s="200" t="str">
        <f>IF(OR(B1743=リスト!$C$5,B1743=リスト!$C$6),COUNTIF($B$9:B1743,リスト!$C$5)+COUNTIF($B$9:B1743,リスト!$C$6),"")</f>
        <v/>
      </c>
    </row>
    <row r="1744" spans="2:9" x14ac:dyDescent="0.2">
      <c r="B1744" s="196"/>
      <c r="C1744" s="197"/>
      <c r="D1744" s="197"/>
      <c r="E1744" s="198" t="e">
        <f ca="1">mif(OR(C1744="",B1744=リスト!$C$7),"",B1744="","RF",OR(B1744=リスト!$C$5,B1744=リスト!$C$6),COUNTBLANK(INDEX(B:B,MATCH(I1744-1,I:I,0)+1,1):INDEX(B:B,MATCH(I1744,I:I,0)-1,1)),"")</f>
        <v>#NAME?</v>
      </c>
      <c r="F1744" s="199" t="s">
        <v>189</v>
      </c>
      <c r="G1744" s="140" t="e">
        <f ca="1">mif(C1744="","",OR(B1744=リスト!$C$5,B1744=リスト!$C$6),SUM(INDEX(G:G,MATCH(I1744-1,I:I,0)+1,1):INDEX(G:G,MATCH(I1744,I:I,0)-1,1)),D1744-C1744)</f>
        <v>#NAME?</v>
      </c>
      <c r="H1744" s="140" t="e">
        <f ca="1">mif(C1744="","",B1744=リスト!$C$5,SUMIF(INDEX(B:B,MATCH(I1744-1,I:I,0)+1,1):INDEX(B:B,MATCH(I1744,I:I,0)-1,1),リスト!$C$7,INDEX(G:G,MATCH(I1744-1,I:I,0)+1,1):INDEX(G:G,MATCH(I1744,I:I,0)-1,1)),"")</f>
        <v>#NAME?</v>
      </c>
      <c r="I1744" s="200" t="str">
        <f>IF(OR(B1744=リスト!$C$5,B1744=リスト!$C$6),COUNTIF($B$9:B1744,リスト!$C$5)+COUNTIF($B$9:B1744,リスト!$C$6),"")</f>
        <v/>
      </c>
    </row>
    <row r="1745" spans="2:9" x14ac:dyDescent="0.2">
      <c r="B1745" s="196"/>
      <c r="C1745" s="197"/>
      <c r="D1745" s="197"/>
      <c r="E1745" s="198" t="e">
        <f ca="1">mif(OR(C1745="",B1745=リスト!$C$7),"",B1745="","RF",OR(B1745=リスト!$C$5,B1745=リスト!$C$6),COUNTBLANK(INDEX(B:B,MATCH(I1745-1,I:I,0)+1,1):INDEX(B:B,MATCH(I1745,I:I,0)-1,1)),"")</f>
        <v>#NAME?</v>
      </c>
      <c r="F1745" s="199" t="s">
        <v>189</v>
      </c>
      <c r="G1745" s="140" t="e">
        <f ca="1">mif(C1745="","",OR(B1745=リスト!$C$5,B1745=リスト!$C$6),SUM(INDEX(G:G,MATCH(I1745-1,I:I,0)+1,1):INDEX(G:G,MATCH(I1745,I:I,0)-1,1)),D1745-C1745)</f>
        <v>#NAME?</v>
      </c>
      <c r="H1745" s="140" t="e">
        <f ca="1">mif(C1745="","",B1745=リスト!$C$5,SUMIF(INDEX(B:B,MATCH(I1745-1,I:I,0)+1,1):INDEX(B:B,MATCH(I1745,I:I,0)-1,1),リスト!$C$7,INDEX(G:G,MATCH(I1745-1,I:I,0)+1,1):INDEX(G:G,MATCH(I1745,I:I,0)-1,1)),"")</f>
        <v>#NAME?</v>
      </c>
      <c r="I1745" s="200" t="str">
        <f>IF(OR(B1745=リスト!$C$5,B1745=リスト!$C$6),COUNTIF($B$9:B1745,リスト!$C$5)+COUNTIF($B$9:B1745,リスト!$C$6),"")</f>
        <v/>
      </c>
    </row>
    <row r="1746" spans="2:9" x14ac:dyDescent="0.2">
      <c r="B1746" s="196"/>
      <c r="C1746" s="197"/>
      <c r="D1746" s="197"/>
      <c r="E1746" s="198" t="e">
        <f ca="1">mif(OR(C1746="",B1746=リスト!$C$7),"",B1746="","RF",OR(B1746=リスト!$C$5,B1746=リスト!$C$6),COUNTBLANK(INDEX(B:B,MATCH(I1746-1,I:I,0)+1,1):INDEX(B:B,MATCH(I1746,I:I,0)-1,1)),"")</f>
        <v>#NAME?</v>
      </c>
      <c r="F1746" s="199" t="s">
        <v>189</v>
      </c>
      <c r="G1746" s="140" t="e">
        <f ca="1">mif(C1746="","",OR(B1746=リスト!$C$5,B1746=リスト!$C$6),SUM(INDEX(G:G,MATCH(I1746-1,I:I,0)+1,1):INDEX(G:G,MATCH(I1746,I:I,0)-1,1)),D1746-C1746)</f>
        <v>#NAME?</v>
      </c>
      <c r="H1746" s="140" t="e">
        <f ca="1">mif(C1746="","",B1746=リスト!$C$5,SUMIF(INDEX(B:B,MATCH(I1746-1,I:I,0)+1,1):INDEX(B:B,MATCH(I1746,I:I,0)-1,1),リスト!$C$7,INDEX(G:G,MATCH(I1746-1,I:I,0)+1,1):INDEX(G:G,MATCH(I1746,I:I,0)-1,1)),"")</f>
        <v>#NAME?</v>
      </c>
      <c r="I1746" s="200" t="str">
        <f>IF(OR(B1746=リスト!$C$5,B1746=リスト!$C$6),COUNTIF($B$9:B1746,リスト!$C$5)+COUNTIF($B$9:B1746,リスト!$C$6),"")</f>
        <v/>
      </c>
    </row>
    <row r="1747" spans="2:9" x14ac:dyDescent="0.2">
      <c r="B1747" s="196"/>
      <c r="C1747" s="197"/>
      <c r="D1747" s="197"/>
      <c r="E1747" s="198" t="e">
        <f ca="1">mif(OR(C1747="",B1747=リスト!$C$7),"",B1747="","RF",OR(B1747=リスト!$C$5,B1747=リスト!$C$6),COUNTBLANK(INDEX(B:B,MATCH(I1747-1,I:I,0)+1,1):INDEX(B:B,MATCH(I1747,I:I,0)-1,1)),"")</f>
        <v>#NAME?</v>
      </c>
      <c r="F1747" s="199" t="s">
        <v>189</v>
      </c>
      <c r="G1747" s="140" t="e">
        <f ca="1">mif(C1747="","",OR(B1747=リスト!$C$5,B1747=リスト!$C$6),SUM(INDEX(G:G,MATCH(I1747-1,I:I,0)+1,1):INDEX(G:G,MATCH(I1747,I:I,0)-1,1)),D1747-C1747)</f>
        <v>#NAME?</v>
      </c>
      <c r="H1747" s="140" t="e">
        <f ca="1">mif(C1747="","",B1747=リスト!$C$5,SUMIF(INDEX(B:B,MATCH(I1747-1,I:I,0)+1,1):INDEX(B:B,MATCH(I1747,I:I,0)-1,1),リスト!$C$7,INDEX(G:G,MATCH(I1747-1,I:I,0)+1,1):INDEX(G:G,MATCH(I1747,I:I,0)-1,1)),"")</f>
        <v>#NAME?</v>
      </c>
      <c r="I1747" s="200" t="str">
        <f>IF(OR(B1747=リスト!$C$5,B1747=リスト!$C$6),COUNTIF($B$9:B1747,リスト!$C$5)+COUNTIF($B$9:B1747,リスト!$C$6),"")</f>
        <v/>
      </c>
    </row>
    <row r="1748" spans="2:9" x14ac:dyDescent="0.2">
      <c r="B1748" s="196"/>
      <c r="C1748" s="197"/>
      <c r="D1748" s="197"/>
      <c r="E1748" s="198" t="e">
        <f ca="1">mif(OR(C1748="",B1748=リスト!$C$7),"",B1748="","RF",OR(B1748=リスト!$C$5,B1748=リスト!$C$6),COUNTBLANK(INDEX(B:B,MATCH(I1748-1,I:I,0)+1,1):INDEX(B:B,MATCH(I1748,I:I,0)-1,1)),"")</f>
        <v>#NAME?</v>
      </c>
      <c r="F1748" s="199" t="s">
        <v>189</v>
      </c>
      <c r="G1748" s="140" t="e">
        <f ca="1">mif(C1748="","",OR(B1748=リスト!$C$5,B1748=リスト!$C$6),SUM(INDEX(G:G,MATCH(I1748-1,I:I,0)+1,1):INDEX(G:G,MATCH(I1748,I:I,0)-1,1)),D1748-C1748)</f>
        <v>#NAME?</v>
      </c>
      <c r="H1748" s="140" t="e">
        <f ca="1">mif(C1748="","",B1748=リスト!$C$5,SUMIF(INDEX(B:B,MATCH(I1748-1,I:I,0)+1,1):INDEX(B:B,MATCH(I1748,I:I,0)-1,1),リスト!$C$7,INDEX(G:G,MATCH(I1748-1,I:I,0)+1,1):INDEX(G:G,MATCH(I1748,I:I,0)-1,1)),"")</f>
        <v>#NAME?</v>
      </c>
      <c r="I1748" s="200" t="str">
        <f>IF(OR(B1748=リスト!$C$5,B1748=リスト!$C$6),COUNTIF($B$9:B1748,リスト!$C$5)+COUNTIF($B$9:B1748,リスト!$C$6),"")</f>
        <v/>
      </c>
    </row>
    <row r="1749" spans="2:9" x14ac:dyDescent="0.2">
      <c r="B1749" s="196"/>
      <c r="C1749" s="197"/>
      <c r="D1749" s="197"/>
      <c r="E1749" s="198" t="e">
        <f ca="1">mif(OR(C1749="",B1749=リスト!$C$7),"",B1749="","RF",OR(B1749=リスト!$C$5,B1749=リスト!$C$6),COUNTBLANK(INDEX(B:B,MATCH(I1749-1,I:I,0)+1,1):INDEX(B:B,MATCH(I1749,I:I,0)-1,1)),"")</f>
        <v>#NAME?</v>
      </c>
      <c r="F1749" s="199" t="s">
        <v>189</v>
      </c>
      <c r="G1749" s="140" t="e">
        <f ca="1">mif(C1749="","",OR(B1749=リスト!$C$5,B1749=リスト!$C$6),SUM(INDEX(G:G,MATCH(I1749-1,I:I,0)+1,1):INDEX(G:G,MATCH(I1749,I:I,0)-1,1)),D1749-C1749)</f>
        <v>#NAME?</v>
      </c>
      <c r="H1749" s="140" t="e">
        <f ca="1">mif(C1749="","",B1749=リスト!$C$5,SUMIF(INDEX(B:B,MATCH(I1749-1,I:I,0)+1,1):INDEX(B:B,MATCH(I1749,I:I,0)-1,1),リスト!$C$7,INDEX(G:G,MATCH(I1749-1,I:I,0)+1,1):INDEX(G:G,MATCH(I1749,I:I,0)-1,1)),"")</f>
        <v>#NAME?</v>
      </c>
      <c r="I1749" s="200" t="str">
        <f>IF(OR(B1749=リスト!$C$5,B1749=リスト!$C$6),COUNTIF($B$9:B1749,リスト!$C$5)+COUNTIF($B$9:B1749,リスト!$C$6),"")</f>
        <v/>
      </c>
    </row>
    <row r="1750" spans="2:9" x14ac:dyDescent="0.2">
      <c r="B1750" s="196"/>
      <c r="C1750" s="197"/>
      <c r="D1750" s="197"/>
      <c r="E1750" s="198" t="e">
        <f ca="1">mif(OR(C1750="",B1750=リスト!$C$7),"",B1750="","RF",OR(B1750=リスト!$C$5,B1750=リスト!$C$6),COUNTBLANK(INDEX(B:B,MATCH(I1750-1,I:I,0)+1,1):INDEX(B:B,MATCH(I1750,I:I,0)-1,1)),"")</f>
        <v>#NAME?</v>
      </c>
      <c r="F1750" s="199" t="s">
        <v>189</v>
      </c>
      <c r="G1750" s="140" t="e">
        <f ca="1">mif(C1750="","",OR(B1750=リスト!$C$5,B1750=リスト!$C$6),SUM(INDEX(G:G,MATCH(I1750-1,I:I,0)+1,1):INDEX(G:G,MATCH(I1750,I:I,0)-1,1)),D1750-C1750)</f>
        <v>#NAME?</v>
      </c>
      <c r="H1750" s="140" t="e">
        <f ca="1">mif(C1750="","",B1750=リスト!$C$5,SUMIF(INDEX(B:B,MATCH(I1750-1,I:I,0)+1,1):INDEX(B:B,MATCH(I1750,I:I,0)-1,1),リスト!$C$7,INDEX(G:G,MATCH(I1750-1,I:I,0)+1,1):INDEX(G:G,MATCH(I1750,I:I,0)-1,1)),"")</f>
        <v>#NAME?</v>
      </c>
      <c r="I1750" s="200" t="str">
        <f>IF(OR(B1750=リスト!$C$5,B1750=リスト!$C$6),COUNTIF($B$9:B1750,リスト!$C$5)+COUNTIF($B$9:B1750,リスト!$C$6),"")</f>
        <v/>
      </c>
    </row>
    <row r="1751" spans="2:9" x14ac:dyDescent="0.2">
      <c r="B1751" s="196"/>
      <c r="C1751" s="197"/>
      <c r="D1751" s="197"/>
      <c r="E1751" s="198" t="e">
        <f ca="1">mif(OR(C1751="",B1751=リスト!$C$7),"",B1751="","RF",OR(B1751=リスト!$C$5,B1751=リスト!$C$6),COUNTBLANK(INDEX(B:B,MATCH(I1751-1,I:I,0)+1,1):INDEX(B:B,MATCH(I1751,I:I,0)-1,1)),"")</f>
        <v>#NAME?</v>
      </c>
      <c r="F1751" s="199" t="s">
        <v>189</v>
      </c>
      <c r="G1751" s="140" t="e">
        <f ca="1">mif(C1751="","",OR(B1751=リスト!$C$5,B1751=リスト!$C$6),SUM(INDEX(G:G,MATCH(I1751-1,I:I,0)+1,1):INDEX(G:G,MATCH(I1751,I:I,0)-1,1)),D1751-C1751)</f>
        <v>#NAME?</v>
      </c>
      <c r="H1751" s="140" t="e">
        <f ca="1">mif(C1751="","",B1751=リスト!$C$5,SUMIF(INDEX(B:B,MATCH(I1751-1,I:I,0)+1,1):INDEX(B:B,MATCH(I1751,I:I,0)-1,1),リスト!$C$7,INDEX(G:G,MATCH(I1751-1,I:I,0)+1,1):INDEX(G:G,MATCH(I1751,I:I,0)-1,1)),"")</f>
        <v>#NAME?</v>
      </c>
      <c r="I1751" s="200" t="str">
        <f>IF(OR(B1751=リスト!$C$5,B1751=リスト!$C$6),COUNTIF($B$9:B1751,リスト!$C$5)+COUNTIF($B$9:B1751,リスト!$C$6),"")</f>
        <v/>
      </c>
    </row>
    <row r="1752" spans="2:9" x14ac:dyDescent="0.2">
      <c r="B1752" s="196"/>
      <c r="C1752" s="197"/>
      <c r="D1752" s="197"/>
      <c r="E1752" s="198" t="e">
        <f ca="1">mif(OR(C1752="",B1752=リスト!$C$7),"",B1752="","RF",OR(B1752=リスト!$C$5,B1752=リスト!$C$6),COUNTBLANK(INDEX(B:B,MATCH(I1752-1,I:I,0)+1,1):INDEX(B:B,MATCH(I1752,I:I,0)-1,1)),"")</f>
        <v>#NAME?</v>
      </c>
      <c r="F1752" s="199" t="s">
        <v>189</v>
      </c>
      <c r="G1752" s="140" t="e">
        <f ca="1">mif(C1752="","",OR(B1752=リスト!$C$5,B1752=リスト!$C$6),SUM(INDEX(G:G,MATCH(I1752-1,I:I,0)+1,1):INDEX(G:G,MATCH(I1752,I:I,0)-1,1)),D1752-C1752)</f>
        <v>#NAME?</v>
      </c>
      <c r="H1752" s="140" t="e">
        <f ca="1">mif(C1752="","",B1752=リスト!$C$5,SUMIF(INDEX(B:B,MATCH(I1752-1,I:I,0)+1,1):INDEX(B:B,MATCH(I1752,I:I,0)-1,1),リスト!$C$7,INDEX(G:G,MATCH(I1752-1,I:I,0)+1,1):INDEX(G:G,MATCH(I1752,I:I,0)-1,1)),"")</f>
        <v>#NAME?</v>
      </c>
      <c r="I1752" s="200" t="str">
        <f>IF(OR(B1752=リスト!$C$5,B1752=リスト!$C$6),COUNTIF($B$9:B1752,リスト!$C$5)+COUNTIF($B$9:B1752,リスト!$C$6),"")</f>
        <v/>
      </c>
    </row>
    <row r="1753" spans="2:9" x14ac:dyDescent="0.2">
      <c r="B1753" s="196"/>
      <c r="C1753" s="197"/>
      <c r="D1753" s="197"/>
      <c r="E1753" s="198" t="e">
        <f ca="1">mif(OR(C1753="",B1753=リスト!$C$7),"",B1753="","RF",OR(B1753=リスト!$C$5,B1753=リスト!$C$6),COUNTBLANK(INDEX(B:B,MATCH(I1753-1,I:I,0)+1,1):INDEX(B:B,MATCH(I1753,I:I,0)-1,1)),"")</f>
        <v>#NAME?</v>
      </c>
      <c r="F1753" s="199" t="s">
        <v>189</v>
      </c>
      <c r="G1753" s="140" t="e">
        <f ca="1">mif(C1753="","",OR(B1753=リスト!$C$5,B1753=リスト!$C$6),SUM(INDEX(G:G,MATCH(I1753-1,I:I,0)+1,1):INDEX(G:G,MATCH(I1753,I:I,0)-1,1)),D1753-C1753)</f>
        <v>#NAME?</v>
      </c>
      <c r="H1753" s="140" t="e">
        <f ca="1">mif(C1753="","",B1753=リスト!$C$5,SUMIF(INDEX(B:B,MATCH(I1753-1,I:I,0)+1,1):INDEX(B:B,MATCH(I1753,I:I,0)-1,1),リスト!$C$7,INDEX(G:G,MATCH(I1753-1,I:I,0)+1,1):INDEX(G:G,MATCH(I1753,I:I,0)-1,1)),"")</f>
        <v>#NAME?</v>
      </c>
      <c r="I1753" s="200" t="str">
        <f>IF(OR(B1753=リスト!$C$5,B1753=リスト!$C$6),COUNTIF($B$9:B1753,リスト!$C$5)+COUNTIF($B$9:B1753,リスト!$C$6),"")</f>
        <v/>
      </c>
    </row>
    <row r="1754" spans="2:9" x14ac:dyDescent="0.2">
      <c r="B1754" s="196"/>
      <c r="C1754" s="197"/>
      <c r="D1754" s="197"/>
      <c r="E1754" s="198" t="e">
        <f ca="1">mif(OR(C1754="",B1754=リスト!$C$7),"",B1754="","RF",OR(B1754=リスト!$C$5,B1754=リスト!$C$6),COUNTBLANK(INDEX(B:B,MATCH(I1754-1,I:I,0)+1,1):INDEX(B:B,MATCH(I1754,I:I,0)-1,1)),"")</f>
        <v>#NAME?</v>
      </c>
      <c r="F1754" s="199" t="s">
        <v>189</v>
      </c>
      <c r="G1754" s="140" t="e">
        <f ca="1">mif(C1754="","",OR(B1754=リスト!$C$5,B1754=リスト!$C$6),SUM(INDEX(G:G,MATCH(I1754-1,I:I,0)+1,1):INDEX(G:G,MATCH(I1754,I:I,0)-1,1)),D1754-C1754)</f>
        <v>#NAME?</v>
      </c>
      <c r="H1754" s="140" t="e">
        <f ca="1">mif(C1754="","",B1754=リスト!$C$5,SUMIF(INDEX(B:B,MATCH(I1754-1,I:I,0)+1,1):INDEX(B:B,MATCH(I1754,I:I,0)-1,1),リスト!$C$7,INDEX(G:G,MATCH(I1754-1,I:I,0)+1,1):INDEX(G:G,MATCH(I1754,I:I,0)-1,1)),"")</f>
        <v>#NAME?</v>
      </c>
      <c r="I1754" s="200" t="str">
        <f>IF(OR(B1754=リスト!$C$5,B1754=リスト!$C$6),COUNTIF($B$9:B1754,リスト!$C$5)+COUNTIF($B$9:B1754,リスト!$C$6),"")</f>
        <v/>
      </c>
    </row>
    <row r="1755" spans="2:9" x14ac:dyDescent="0.2">
      <c r="B1755" s="196"/>
      <c r="C1755" s="197"/>
      <c r="D1755" s="197"/>
      <c r="E1755" s="198" t="e">
        <f ca="1">mif(OR(C1755="",B1755=リスト!$C$7),"",B1755="","RF",OR(B1755=リスト!$C$5,B1755=リスト!$C$6),COUNTBLANK(INDEX(B:B,MATCH(I1755-1,I:I,0)+1,1):INDEX(B:B,MATCH(I1755,I:I,0)-1,1)),"")</f>
        <v>#NAME?</v>
      </c>
      <c r="F1755" s="199" t="s">
        <v>189</v>
      </c>
      <c r="G1755" s="140" t="e">
        <f ca="1">mif(C1755="","",OR(B1755=リスト!$C$5,B1755=リスト!$C$6),SUM(INDEX(G:G,MATCH(I1755-1,I:I,0)+1,1):INDEX(G:G,MATCH(I1755,I:I,0)-1,1)),D1755-C1755)</f>
        <v>#NAME?</v>
      </c>
      <c r="H1755" s="140" t="e">
        <f ca="1">mif(C1755="","",B1755=リスト!$C$5,SUMIF(INDEX(B:B,MATCH(I1755-1,I:I,0)+1,1):INDEX(B:B,MATCH(I1755,I:I,0)-1,1),リスト!$C$7,INDEX(G:G,MATCH(I1755-1,I:I,0)+1,1):INDEX(G:G,MATCH(I1755,I:I,0)-1,1)),"")</f>
        <v>#NAME?</v>
      </c>
      <c r="I1755" s="200" t="str">
        <f>IF(OR(B1755=リスト!$C$5,B1755=リスト!$C$6),COUNTIF($B$9:B1755,リスト!$C$5)+COUNTIF($B$9:B1755,リスト!$C$6),"")</f>
        <v/>
      </c>
    </row>
    <row r="1756" spans="2:9" x14ac:dyDescent="0.2">
      <c r="B1756" s="196"/>
      <c r="C1756" s="197"/>
      <c r="D1756" s="197"/>
      <c r="E1756" s="198" t="e">
        <f ca="1">mif(OR(C1756="",B1756=リスト!$C$7),"",B1756="","RF",OR(B1756=リスト!$C$5,B1756=リスト!$C$6),COUNTBLANK(INDEX(B:B,MATCH(I1756-1,I:I,0)+1,1):INDEX(B:B,MATCH(I1756,I:I,0)-1,1)),"")</f>
        <v>#NAME?</v>
      </c>
      <c r="F1756" s="199" t="s">
        <v>189</v>
      </c>
      <c r="G1756" s="140" t="e">
        <f ca="1">mif(C1756="","",OR(B1756=リスト!$C$5,B1756=リスト!$C$6),SUM(INDEX(G:G,MATCH(I1756-1,I:I,0)+1,1):INDEX(G:G,MATCH(I1756,I:I,0)-1,1)),D1756-C1756)</f>
        <v>#NAME?</v>
      </c>
      <c r="H1756" s="140" t="e">
        <f ca="1">mif(C1756="","",B1756=リスト!$C$5,SUMIF(INDEX(B:B,MATCH(I1756-1,I:I,0)+1,1):INDEX(B:B,MATCH(I1756,I:I,0)-1,1),リスト!$C$7,INDEX(G:G,MATCH(I1756-1,I:I,0)+1,1):INDEX(G:G,MATCH(I1756,I:I,0)-1,1)),"")</f>
        <v>#NAME?</v>
      </c>
      <c r="I1756" s="200" t="str">
        <f>IF(OR(B1756=リスト!$C$5,B1756=リスト!$C$6),COUNTIF($B$9:B1756,リスト!$C$5)+COUNTIF($B$9:B1756,リスト!$C$6),"")</f>
        <v/>
      </c>
    </row>
    <row r="1757" spans="2:9" x14ac:dyDescent="0.2">
      <c r="B1757" s="196"/>
      <c r="C1757" s="197"/>
      <c r="D1757" s="197"/>
      <c r="E1757" s="198" t="e">
        <f ca="1">mif(OR(C1757="",B1757=リスト!$C$7),"",B1757="","RF",OR(B1757=リスト!$C$5,B1757=リスト!$C$6),COUNTBLANK(INDEX(B:B,MATCH(I1757-1,I:I,0)+1,1):INDEX(B:B,MATCH(I1757,I:I,0)-1,1)),"")</f>
        <v>#NAME?</v>
      </c>
      <c r="F1757" s="199" t="s">
        <v>189</v>
      </c>
      <c r="G1757" s="140" t="e">
        <f ca="1">mif(C1757="","",OR(B1757=リスト!$C$5,B1757=リスト!$C$6),SUM(INDEX(G:G,MATCH(I1757-1,I:I,0)+1,1):INDEX(G:G,MATCH(I1757,I:I,0)-1,1)),D1757-C1757)</f>
        <v>#NAME?</v>
      </c>
      <c r="H1757" s="140" t="e">
        <f ca="1">mif(C1757="","",B1757=リスト!$C$5,SUMIF(INDEX(B:B,MATCH(I1757-1,I:I,0)+1,1):INDEX(B:B,MATCH(I1757,I:I,0)-1,1),リスト!$C$7,INDEX(G:G,MATCH(I1757-1,I:I,0)+1,1):INDEX(G:G,MATCH(I1757,I:I,0)-1,1)),"")</f>
        <v>#NAME?</v>
      </c>
      <c r="I1757" s="200" t="str">
        <f>IF(OR(B1757=リスト!$C$5,B1757=リスト!$C$6),COUNTIF($B$9:B1757,リスト!$C$5)+COUNTIF($B$9:B1757,リスト!$C$6),"")</f>
        <v/>
      </c>
    </row>
    <row r="1758" spans="2:9" x14ac:dyDescent="0.2">
      <c r="B1758" s="196"/>
      <c r="C1758" s="197"/>
      <c r="D1758" s="197"/>
      <c r="E1758" s="198" t="e">
        <f ca="1">mif(OR(C1758="",B1758=リスト!$C$7),"",B1758="","RF",OR(B1758=リスト!$C$5,B1758=リスト!$C$6),COUNTBLANK(INDEX(B:B,MATCH(I1758-1,I:I,0)+1,1):INDEX(B:B,MATCH(I1758,I:I,0)-1,1)),"")</f>
        <v>#NAME?</v>
      </c>
      <c r="F1758" s="199" t="s">
        <v>189</v>
      </c>
      <c r="G1758" s="140" t="e">
        <f ca="1">mif(C1758="","",OR(B1758=リスト!$C$5,B1758=リスト!$C$6),SUM(INDEX(G:G,MATCH(I1758-1,I:I,0)+1,1):INDEX(G:G,MATCH(I1758,I:I,0)-1,1)),D1758-C1758)</f>
        <v>#NAME?</v>
      </c>
      <c r="H1758" s="140" t="e">
        <f ca="1">mif(C1758="","",B1758=リスト!$C$5,SUMIF(INDEX(B:B,MATCH(I1758-1,I:I,0)+1,1):INDEX(B:B,MATCH(I1758,I:I,0)-1,1),リスト!$C$7,INDEX(G:G,MATCH(I1758-1,I:I,0)+1,1):INDEX(G:G,MATCH(I1758,I:I,0)-1,1)),"")</f>
        <v>#NAME?</v>
      </c>
      <c r="I1758" s="200" t="str">
        <f>IF(OR(B1758=リスト!$C$5,B1758=リスト!$C$6),COUNTIF($B$9:B1758,リスト!$C$5)+COUNTIF($B$9:B1758,リスト!$C$6),"")</f>
        <v/>
      </c>
    </row>
    <row r="1759" spans="2:9" x14ac:dyDescent="0.2">
      <c r="B1759" s="196"/>
      <c r="C1759" s="197"/>
      <c r="D1759" s="197"/>
      <c r="E1759" s="198" t="e">
        <f ca="1">mif(OR(C1759="",B1759=リスト!$C$7),"",B1759="","RF",OR(B1759=リスト!$C$5,B1759=リスト!$C$6),COUNTBLANK(INDEX(B:B,MATCH(I1759-1,I:I,0)+1,1):INDEX(B:B,MATCH(I1759,I:I,0)-1,1)),"")</f>
        <v>#NAME?</v>
      </c>
      <c r="F1759" s="199" t="s">
        <v>189</v>
      </c>
      <c r="G1759" s="140" t="e">
        <f ca="1">mif(C1759="","",OR(B1759=リスト!$C$5,B1759=リスト!$C$6),SUM(INDEX(G:G,MATCH(I1759-1,I:I,0)+1,1):INDEX(G:G,MATCH(I1759,I:I,0)-1,1)),D1759-C1759)</f>
        <v>#NAME?</v>
      </c>
      <c r="H1759" s="140" t="e">
        <f ca="1">mif(C1759="","",B1759=リスト!$C$5,SUMIF(INDEX(B:B,MATCH(I1759-1,I:I,0)+1,1):INDEX(B:B,MATCH(I1759,I:I,0)-1,1),リスト!$C$7,INDEX(G:G,MATCH(I1759-1,I:I,0)+1,1):INDEX(G:G,MATCH(I1759,I:I,0)-1,1)),"")</f>
        <v>#NAME?</v>
      </c>
      <c r="I1759" s="200" t="str">
        <f>IF(OR(B1759=リスト!$C$5,B1759=リスト!$C$6),COUNTIF($B$9:B1759,リスト!$C$5)+COUNTIF($B$9:B1759,リスト!$C$6),"")</f>
        <v/>
      </c>
    </row>
    <row r="1760" spans="2:9" x14ac:dyDescent="0.2">
      <c r="B1760" s="196"/>
      <c r="C1760" s="197"/>
      <c r="D1760" s="197"/>
      <c r="E1760" s="198" t="e">
        <f ca="1">mif(OR(C1760="",B1760=リスト!$C$7),"",B1760="","RF",OR(B1760=リスト!$C$5,B1760=リスト!$C$6),COUNTBLANK(INDEX(B:B,MATCH(I1760-1,I:I,0)+1,1):INDEX(B:B,MATCH(I1760,I:I,0)-1,1)),"")</f>
        <v>#NAME?</v>
      </c>
      <c r="F1760" s="199" t="s">
        <v>189</v>
      </c>
      <c r="G1760" s="140" t="e">
        <f ca="1">mif(C1760="","",OR(B1760=リスト!$C$5,B1760=リスト!$C$6),SUM(INDEX(G:G,MATCH(I1760-1,I:I,0)+1,1):INDEX(G:G,MATCH(I1760,I:I,0)-1,1)),D1760-C1760)</f>
        <v>#NAME?</v>
      </c>
      <c r="H1760" s="140" t="e">
        <f ca="1">mif(C1760="","",B1760=リスト!$C$5,SUMIF(INDEX(B:B,MATCH(I1760-1,I:I,0)+1,1):INDEX(B:B,MATCH(I1760,I:I,0)-1,1),リスト!$C$7,INDEX(G:G,MATCH(I1760-1,I:I,0)+1,1):INDEX(G:G,MATCH(I1760,I:I,0)-1,1)),"")</f>
        <v>#NAME?</v>
      </c>
      <c r="I1760" s="200" t="str">
        <f>IF(OR(B1760=リスト!$C$5,B1760=リスト!$C$6),COUNTIF($B$9:B1760,リスト!$C$5)+COUNTIF($B$9:B1760,リスト!$C$6),"")</f>
        <v/>
      </c>
    </row>
    <row r="1761" spans="2:9" x14ac:dyDescent="0.2">
      <c r="B1761" s="196"/>
      <c r="C1761" s="197"/>
      <c r="D1761" s="197"/>
      <c r="E1761" s="198" t="e">
        <f ca="1">mif(OR(C1761="",B1761=リスト!$C$7),"",B1761="","RF",OR(B1761=リスト!$C$5,B1761=リスト!$C$6),COUNTBLANK(INDEX(B:B,MATCH(I1761-1,I:I,0)+1,1):INDEX(B:B,MATCH(I1761,I:I,0)-1,1)),"")</f>
        <v>#NAME?</v>
      </c>
      <c r="F1761" s="199" t="s">
        <v>189</v>
      </c>
      <c r="G1761" s="140" t="e">
        <f ca="1">mif(C1761="","",OR(B1761=リスト!$C$5,B1761=リスト!$C$6),SUM(INDEX(G:G,MATCH(I1761-1,I:I,0)+1,1):INDEX(G:G,MATCH(I1761,I:I,0)-1,1)),D1761-C1761)</f>
        <v>#NAME?</v>
      </c>
      <c r="H1761" s="140" t="e">
        <f ca="1">mif(C1761="","",B1761=リスト!$C$5,SUMIF(INDEX(B:B,MATCH(I1761-1,I:I,0)+1,1):INDEX(B:B,MATCH(I1761,I:I,0)-1,1),リスト!$C$7,INDEX(G:G,MATCH(I1761-1,I:I,0)+1,1):INDEX(G:G,MATCH(I1761,I:I,0)-1,1)),"")</f>
        <v>#NAME?</v>
      </c>
      <c r="I1761" s="200" t="str">
        <f>IF(OR(B1761=リスト!$C$5,B1761=リスト!$C$6),COUNTIF($B$9:B1761,リスト!$C$5)+COUNTIF($B$9:B1761,リスト!$C$6),"")</f>
        <v/>
      </c>
    </row>
    <row r="1762" spans="2:9" x14ac:dyDescent="0.2">
      <c r="B1762" s="196"/>
      <c r="C1762" s="197"/>
      <c r="D1762" s="197"/>
      <c r="E1762" s="198" t="e">
        <f ca="1">mif(OR(C1762="",B1762=リスト!$C$7),"",B1762="","RF",OR(B1762=リスト!$C$5,B1762=リスト!$C$6),COUNTBLANK(INDEX(B:B,MATCH(I1762-1,I:I,0)+1,1):INDEX(B:B,MATCH(I1762,I:I,0)-1,1)),"")</f>
        <v>#NAME?</v>
      </c>
      <c r="F1762" s="199" t="s">
        <v>189</v>
      </c>
      <c r="G1762" s="140" t="e">
        <f ca="1">mif(C1762="","",OR(B1762=リスト!$C$5,B1762=リスト!$C$6),SUM(INDEX(G:G,MATCH(I1762-1,I:I,0)+1,1):INDEX(G:G,MATCH(I1762,I:I,0)-1,1)),D1762-C1762)</f>
        <v>#NAME?</v>
      </c>
      <c r="H1762" s="140" t="e">
        <f ca="1">mif(C1762="","",B1762=リスト!$C$5,SUMIF(INDEX(B:B,MATCH(I1762-1,I:I,0)+1,1):INDEX(B:B,MATCH(I1762,I:I,0)-1,1),リスト!$C$7,INDEX(G:G,MATCH(I1762-1,I:I,0)+1,1):INDEX(G:G,MATCH(I1762,I:I,0)-1,1)),"")</f>
        <v>#NAME?</v>
      </c>
      <c r="I1762" s="200" t="str">
        <f>IF(OR(B1762=リスト!$C$5,B1762=リスト!$C$6),COUNTIF($B$9:B1762,リスト!$C$5)+COUNTIF($B$9:B1762,リスト!$C$6),"")</f>
        <v/>
      </c>
    </row>
    <row r="1763" spans="2:9" x14ac:dyDescent="0.2">
      <c r="B1763" s="196"/>
      <c r="C1763" s="197"/>
      <c r="D1763" s="197"/>
      <c r="E1763" s="198" t="e">
        <f ca="1">mif(OR(C1763="",B1763=リスト!$C$7),"",B1763="","RF",OR(B1763=リスト!$C$5,B1763=リスト!$C$6),COUNTBLANK(INDEX(B:B,MATCH(I1763-1,I:I,0)+1,1):INDEX(B:B,MATCH(I1763,I:I,0)-1,1)),"")</f>
        <v>#NAME?</v>
      </c>
      <c r="F1763" s="199" t="s">
        <v>189</v>
      </c>
      <c r="G1763" s="140" t="e">
        <f ca="1">mif(C1763="","",OR(B1763=リスト!$C$5,B1763=リスト!$C$6),SUM(INDEX(G:G,MATCH(I1763-1,I:I,0)+1,1):INDEX(G:G,MATCH(I1763,I:I,0)-1,1)),D1763-C1763)</f>
        <v>#NAME?</v>
      </c>
      <c r="H1763" s="140" t="e">
        <f ca="1">mif(C1763="","",B1763=リスト!$C$5,SUMIF(INDEX(B:B,MATCH(I1763-1,I:I,0)+1,1):INDEX(B:B,MATCH(I1763,I:I,0)-1,1),リスト!$C$7,INDEX(G:G,MATCH(I1763-1,I:I,0)+1,1):INDEX(G:G,MATCH(I1763,I:I,0)-1,1)),"")</f>
        <v>#NAME?</v>
      </c>
      <c r="I1763" s="200" t="str">
        <f>IF(OR(B1763=リスト!$C$5,B1763=リスト!$C$6),COUNTIF($B$9:B1763,リスト!$C$5)+COUNTIF($B$9:B1763,リスト!$C$6),"")</f>
        <v/>
      </c>
    </row>
    <row r="1764" spans="2:9" x14ac:dyDescent="0.2">
      <c r="B1764" s="196"/>
      <c r="C1764" s="197"/>
      <c r="D1764" s="197"/>
      <c r="E1764" s="198" t="e">
        <f ca="1">mif(OR(C1764="",B1764=リスト!$C$7),"",B1764="","RF",OR(B1764=リスト!$C$5,B1764=リスト!$C$6),COUNTBLANK(INDEX(B:B,MATCH(I1764-1,I:I,0)+1,1):INDEX(B:B,MATCH(I1764,I:I,0)-1,1)),"")</f>
        <v>#NAME?</v>
      </c>
      <c r="F1764" s="199" t="s">
        <v>189</v>
      </c>
      <c r="G1764" s="140" t="e">
        <f ca="1">mif(C1764="","",OR(B1764=リスト!$C$5,B1764=リスト!$C$6),SUM(INDEX(G:G,MATCH(I1764-1,I:I,0)+1,1):INDEX(G:G,MATCH(I1764,I:I,0)-1,1)),D1764-C1764)</f>
        <v>#NAME?</v>
      </c>
      <c r="H1764" s="140" t="e">
        <f ca="1">mif(C1764="","",B1764=リスト!$C$5,SUMIF(INDEX(B:B,MATCH(I1764-1,I:I,0)+1,1):INDEX(B:B,MATCH(I1764,I:I,0)-1,1),リスト!$C$7,INDEX(G:G,MATCH(I1764-1,I:I,0)+1,1):INDEX(G:G,MATCH(I1764,I:I,0)-1,1)),"")</f>
        <v>#NAME?</v>
      </c>
      <c r="I1764" s="200" t="str">
        <f>IF(OR(B1764=リスト!$C$5,B1764=リスト!$C$6),COUNTIF($B$9:B1764,リスト!$C$5)+COUNTIF($B$9:B1764,リスト!$C$6),"")</f>
        <v/>
      </c>
    </row>
    <row r="1765" spans="2:9" x14ac:dyDescent="0.2">
      <c r="B1765" s="196"/>
      <c r="C1765" s="197"/>
      <c r="D1765" s="197"/>
      <c r="E1765" s="198" t="e">
        <f ca="1">mif(OR(C1765="",B1765=リスト!$C$7),"",B1765="","RF",OR(B1765=リスト!$C$5,B1765=リスト!$C$6),COUNTBLANK(INDEX(B:B,MATCH(I1765-1,I:I,0)+1,1):INDEX(B:B,MATCH(I1765,I:I,0)-1,1)),"")</f>
        <v>#NAME?</v>
      </c>
      <c r="F1765" s="199" t="s">
        <v>189</v>
      </c>
      <c r="G1765" s="140" t="e">
        <f ca="1">mif(C1765="","",OR(B1765=リスト!$C$5,B1765=リスト!$C$6),SUM(INDEX(G:G,MATCH(I1765-1,I:I,0)+1,1):INDEX(G:G,MATCH(I1765,I:I,0)-1,1)),D1765-C1765)</f>
        <v>#NAME?</v>
      </c>
      <c r="H1765" s="140" t="e">
        <f ca="1">mif(C1765="","",B1765=リスト!$C$5,SUMIF(INDEX(B:B,MATCH(I1765-1,I:I,0)+1,1):INDEX(B:B,MATCH(I1765,I:I,0)-1,1),リスト!$C$7,INDEX(G:G,MATCH(I1765-1,I:I,0)+1,1):INDEX(G:G,MATCH(I1765,I:I,0)-1,1)),"")</f>
        <v>#NAME?</v>
      </c>
      <c r="I1765" s="200" t="str">
        <f>IF(OR(B1765=リスト!$C$5,B1765=リスト!$C$6),COUNTIF($B$9:B1765,リスト!$C$5)+COUNTIF($B$9:B1765,リスト!$C$6),"")</f>
        <v/>
      </c>
    </row>
    <row r="1766" spans="2:9" x14ac:dyDescent="0.2">
      <c r="B1766" s="196"/>
      <c r="C1766" s="197"/>
      <c r="D1766" s="197"/>
      <c r="E1766" s="198" t="e">
        <f ca="1">mif(OR(C1766="",B1766=リスト!$C$7),"",B1766="","RF",OR(B1766=リスト!$C$5,B1766=リスト!$C$6),COUNTBLANK(INDEX(B:B,MATCH(I1766-1,I:I,0)+1,1):INDEX(B:B,MATCH(I1766,I:I,0)-1,1)),"")</f>
        <v>#NAME?</v>
      </c>
      <c r="F1766" s="199" t="s">
        <v>189</v>
      </c>
      <c r="G1766" s="140" t="e">
        <f ca="1">mif(C1766="","",OR(B1766=リスト!$C$5,B1766=リスト!$C$6),SUM(INDEX(G:G,MATCH(I1766-1,I:I,0)+1,1):INDEX(G:G,MATCH(I1766,I:I,0)-1,1)),D1766-C1766)</f>
        <v>#NAME?</v>
      </c>
      <c r="H1766" s="140" t="e">
        <f ca="1">mif(C1766="","",B1766=リスト!$C$5,SUMIF(INDEX(B:B,MATCH(I1766-1,I:I,0)+1,1):INDEX(B:B,MATCH(I1766,I:I,0)-1,1),リスト!$C$7,INDEX(G:G,MATCH(I1766-1,I:I,0)+1,1):INDEX(G:G,MATCH(I1766,I:I,0)-1,1)),"")</f>
        <v>#NAME?</v>
      </c>
      <c r="I1766" s="200" t="str">
        <f>IF(OR(B1766=リスト!$C$5,B1766=リスト!$C$6),COUNTIF($B$9:B1766,リスト!$C$5)+COUNTIF($B$9:B1766,リスト!$C$6),"")</f>
        <v/>
      </c>
    </row>
    <row r="1767" spans="2:9" x14ac:dyDescent="0.2">
      <c r="B1767" s="196"/>
      <c r="C1767" s="197"/>
      <c r="D1767" s="197"/>
      <c r="E1767" s="198" t="e">
        <f ca="1">mif(OR(C1767="",B1767=リスト!$C$7),"",B1767="","RF",OR(B1767=リスト!$C$5,B1767=リスト!$C$6),COUNTBLANK(INDEX(B:B,MATCH(I1767-1,I:I,0)+1,1):INDEX(B:B,MATCH(I1767,I:I,0)-1,1)),"")</f>
        <v>#NAME?</v>
      </c>
      <c r="F1767" s="199" t="s">
        <v>189</v>
      </c>
      <c r="G1767" s="140" t="e">
        <f ca="1">mif(C1767="","",OR(B1767=リスト!$C$5,B1767=リスト!$C$6),SUM(INDEX(G:G,MATCH(I1767-1,I:I,0)+1,1):INDEX(G:G,MATCH(I1767,I:I,0)-1,1)),D1767-C1767)</f>
        <v>#NAME?</v>
      </c>
      <c r="H1767" s="140" t="e">
        <f ca="1">mif(C1767="","",B1767=リスト!$C$5,SUMIF(INDEX(B:B,MATCH(I1767-1,I:I,0)+1,1):INDEX(B:B,MATCH(I1767,I:I,0)-1,1),リスト!$C$7,INDEX(G:G,MATCH(I1767-1,I:I,0)+1,1):INDEX(G:G,MATCH(I1767,I:I,0)-1,1)),"")</f>
        <v>#NAME?</v>
      </c>
      <c r="I1767" s="200" t="str">
        <f>IF(OR(B1767=リスト!$C$5,B1767=リスト!$C$6),COUNTIF($B$9:B1767,リスト!$C$5)+COUNTIF($B$9:B1767,リスト!$C$6),"")</f>
        <v/>
      </c>
    </row>
    <row r="1768" spans="2:9" x14ac:dyDescent="0.2">
      <c r="B1768" s="196"/>
      <c r="C1768" s="197"/>
      <c r="D1768" s="197"/>
      <c r="E1768" s="198" t="e">
        <f ca="1">mif(OR(C1768="",B1768=リスト!$C$7),"",B1768="","RF",OR(B1768=リスト!$C$5,B1768=リスト!$C$6),COUNTBLANK(INDEX(B:B,MATCH(I1768-1,I:I,0)+1,1):INDEX(B:B,MATCH(I1768,I:I,0)-1,1)),"")</f>
        <v>#NAME?</v>
      </c>
      <c r="F1768" s="199" t="s">
        <v>189</v>
      </c>
      <c r="G1768" s="140" t="e">
        <f ca="1">mif(C1768="","",OR(B1768=リスト!$C$5,B1768=リスト!$C$6),SUM(INDEX(G:G,MATCH(I1768-1,I:I,0)+1,1):INDEX(G:G,MATCH(I1768,I:I,0)-1,1)),D1768-C1768)</f>
        <v>#NAME?</v>
      </c>
      <c r="H1768" s="140" t="e">
        <f ca="1">mif(C1768="","",B1768=リスト!$C$5,SUMIF(INDEX(B:B,MATCH(I1768-1,I:I,0)+1,1):INDEX(B:B,MATCH(I1768,I:I,0)-1,1),リスト!$C$7,INDEX(G:G,MATCH(I1768-1,I:I,0)+1,1):INDEX(G:G,MATCH(I1768,I:I,0)-1,1)),"")</f>
        <v>#NAME?</v>
      </c>
      <c r="I1768" s="200" t="str">
        <f>IF(OR(B1768=リスト!$C$5,B1768=リスト!$C$6),COUNTIF($B$9:B1768,リスト!$C$5)+COUNTIF($B$9:B1768,リスト!$C$6),"")</f>
        <v/>
      </c>
    </row>
    <row r="1769" spans="2:9" x14ac:dyDescent="0.2">
      <c r="B1769" s="196"/>
      <c r="C1769" s="197"/>
      <c r="D1769" s="197"/>
      <c r="E1769" s="198" t="e">
        <f ca="1">mif(OR(C1769="",B1769=リスト!$C$7),"",B1769="","RF",OR(B1769=リスト!$C$5,B1769=リスト!$C$6),COUNTBLANK(INDEX(B:B,MATCH(I1769-1,I:I,0)+1,1):INDEX(B:B,MATCH(I1769,I:I,0)-1,1)),"")</f>
        <v>#NAME?</v>
      </c>
      <c r="F1769" s="199" t="s">
        <v>189</v>
      </c>
      <c r="G1769" s="140" t="e">
        <f ca="1">mif(C1769="","",OR(B1769=リスト!$C$5,B1769=リスト!$C$6),SUM(INDEX(G:G,MATCH(I1769-1,I:I,0)+1,1):INDEX(G:G,MATCH(I1769,I:I,0)-1,1)),D1769-C1769)</f>
        <v>#NAME?</v>
      </c>
      <c r="H1769" s="140" t="e">
        <f ca="1">mif(C1769="","",B1769=リスト!$C$5,SUMIF(INDEX(B:B,MATCH(I1769-1,I:I,0)+1,1):INDEX(B:B,MATCH(I1769,I:I,0)-1,1),リスト!$C$7,INDEX(G:G,MATCH(I1769-1,I:I,0)+1,1):INDEX(G:G,MATCH(I1769,I:I,0)-1,1)),"")</f>
        <v>#NAME?</v>
      </c>
      <c r="I1769" s="200" t="str">
        <f>IF(OR(B1769=リスト!$C$5,B1769=リスト!$C$6),COUNTIF($B$9:B1769,リスト!$C$5)+COUNTIF($B$9:B1769,リスト!$C$6),"")</f>
        <v/>
      </c>
    </row>
    <row r="1770" spans="2:9" x14ac:dyDescent="0.2">
      <c r="B1770" s="196"/>
      <c r="C1770" s="197"/>
      <c r="D1770" s="197"/>
      <c r="E1770" s="198" t="e">
        <f ca="1">mif(OR(C1770="",B1770=リスト!$C$7),"",B1770="","RF",OR(B1770=リスト!$C$5,B1770=リスト!$C$6),COUNTBLANK(INDEX(B:B,MATCH(I1770-1,I:I,0)+1,1):INDEX(B:B,MATCH(I1770,I:I,0)-1,1)),"")</f>
        <v>#NAME?</v>
      </c>
      <c r="F1770" s="199" t="s">
        <v>189</v>
      </c>
      <c r="G1770" s="140" t="e">
        <f ca="1">mif(C1770="","",OR(B1770=リスト!$C$5,B1770=リスト!$C$6),SUM(INDEX(G:G,MATCH(I1770-1,I:I,0)+1,1):INDEX(G:G,MATCH(I1770,I:I,0)-1,1)),D1770-C1770)</f>
        <v>#NAME?</v>
      </c>
      <c r="H1770" s="140" t="e">
        <f ca="1">mif(C1770="","",B1770=リスト!$C$5,SUMIF(INDEX(B:B,MATCH(I1770-1,I:I,0)+1,1):INDEX(B:B,MATCH(I1770,I:I,0)-1,1),リスト!$C$7,INDEX(G:G,MATCH(I1770-1,I:I,0)+1,1):INDEX(G:G,MATCH(I1770,I:I,0)-1,1)),"")</f>
        <v>#NAME?</v>
      </c>
      <c r="I1770" s="200" t="str">
        <f>IF(OR(B1770=リスト!$C$5,B1770=リスト!$C$6),COUNTIF($B$9:B1770,リスト!$C$5)+COUNTIF($B$9:B1770,リスト!$C$6),"")</f>
        <v/>
      </c>
    </row>
    <row r="1771" spans="2:9" x14ac:dyDescent="0.2">
      <c r="B1771" s="196"/>
      <c r="C1771" s="197"/>
      <c r="D1771" s="197"/>
      <c r="E1771" s="198" t="e">
        <f ca="1">mif(OR(C1771="",B1771=リスト!$C$7),"",B1771="","RF",OR(B1771=リスト!$C$5,B1771=リスト!$C$6),COUNTBLANK(INDEX(B:B,MATCH(I1771-1,I:I,0)+1,1):INDEX(B:B,MATCH(I1771,I:I,0)-1,1)),"")</f>
        <v>#NAME?</v>
      </c>
      <c r="F1771" s="199" t="s">
        <v>189</v>
      </c>
      <c r="G1771" s="140" t="e">
        <f ca="1">mif(C1771="","",OR(B1771=リスト!$C$5,B1771=リスト!$C$6),SUM(INDEX(G:G,MATCH(I1771-1,I:I,0)+1,1):INDEX(G:G,MATCH(I1771,I:I,0)-1,1)),D1771-C1771)</f>
        <v>#NAME?</v>
      </c>
      <c r="H1771" s="140" t="e">
        <f ca="1">mif(C1771="","",B1771=リスト!$C$5,SUMIF(INDEX(B:B,MATCH(I1771-1,I:I,0)+1,1):INDEX(B:B,MATCH(I1771,I:I,0)-1,1),リスト!$C$7,INDEX(G:G,MATCH(I1771-1,I:I,0)+1,1):INDEX(G:G,MATCH(I1771,I:I,0)-1,1)),"")</f>
        <v>#NAME?</v>
      </c>
      <c r="I1771" s="200" t="str">
        <f>IF(OR(B1771=リスト!$C$5,B1771=リスト!$C$6),COUNTIF($B$9:B1771,リスト!$C$5)+COUNTIF($B$9:B1771,リスト!$C$6),"")</f>
        <v/>
      </c>
    </row>
    <row r="1772" spans="2:9" x14ac:dyDescent="0.2">
      <c r="B1772" s="196"/>
      <c r="C1772" s="197"/>
      <c r="D1772" s="197"/>
      <c r="E1772" s="198" t="e">
        <f ca="1">mif(OR(C1772="",B1772=リスト!$C$7),"",B1772="","RF",OR(B1772=リスト!$C$5,B1772=リスト!$C$6),COUNTBLANK(INDEX(B:B,MATCH(I1772-1,I:I,0)+1,1):INDEX(B:B,MATCH(I1772,I:I,0)-1,1)),"")</f>
        <v>#NAME?</v>
      </c>
      <c r="F1772" s="199" t="s">
        <v>189</v>
      </c>
      <c r="G1772" s="140" t="e">
        <f ca="1">mif(C1772="","",OR(B1772=リスト!$C$5,B1772=リスト!$C$6),SUM(INDEX(G:G,MATCH(I1772-1,I:I,0)+1,1):INDEX(G:G,MATCH(I1772,I:I,0)-1,1)),D1772-C1772)</f>
        <v>#NAME?</v>
      </c>
      <c r="H1772" s="140" t="e">
        <f ca="1">mif(C1772="","",B1772=リスト!$C$5,SUMIF(INDEX(B:B,MATCH(I1772-1,I:I,0)+1,1):INDEX(B:B,MATCH(I1772,I:I,0)-1,1),リスト!$C$7,INDEX(G:G,MATCH(I1772-1,I:I,0)+1,1):INDEX(G:G,MATCH(I1772,I:I,0)-1,1)),"")</f>
        <v>#NAME?</v>
      </c>
      <c r="I1772" s="200" t="str">
        <f>IF(OR(B1772=リスト!$C$5,B1772=リスト!$C$6),COUNTIF($B$9:B1772,リスト!$C$5)+COUNTIF($B$9:B1772,リスト!$C$6),"")</f>
        <v/>
      </c>
    </row>
    <row r="1773" spans="2:9" x14ac:dyDescent="0.2">
      <c r="B1773" s="196"/>
      <c r="C1773" s="197"/>
      <c r="D1773" s="197"/>
      <c r="E1773" s="198" t="e">
        <f ca="1">mif(OR(C1773="",B1773=リスト!$C$7),"",B1773="","RF",OR(B1773=リスト!$C$5,B1773=リスト!$C$6),COUNTBLANK(INDEX(B:B,MATCH(I1773-1,I:I,0)+1,1):INDEX(B:B,MATCH(I1773,I:I,0)-1,1)),"")</f>
        <v>#NAME?</v>
      </c>
      <c r="F1773" s="199" t="s">
        <v>189</v>
      </c>
      <c r="G1773" s="140" t="e">
        <f ca="1">mif(C1773="","",OR(B1773=リスト!$C$5,B1773=リスト!$C$6),SUM(INDEX(G:G,MATCH(I1773-1,I:I,0)+1,1):INDEX(G:G,MATCH(I1773,I:I,0)-1,1)),D1773-C1773)</f>
        <v>#NAME?</v>
      </c>
      <c r="H1773" s="140" t="e">
        <f ca="1">mif(C1773="","",B1773=リスト!$C$5,SUMIF(INDEX(B:B,MATCH(I1773-1,I:I,0)+1,1):INDEX(B:B,MATCH(I1773,I:I,0)-1,1),リスト!$C$7,INDEX(G:G,MATCH(I1773-1,I:I,0)+1,1):INDEX(G:G,MATCH(I1773,I:I,0)-1,1)),"")</f>
        <v>#NAME?</v>
      </c>
      <c r="I1773" s="200" t="str">
        <f>IF(OR(B1773=リスト!$C$5,B1773=リスト!$C$6),COUNTIF($B$9:B1773,リスト!$C$5)+COUNTIF($B$9:B1773,リスト!$C$6),"")</f>
        <v/>
      </c>
    </row>
    <row r="1774" spans="2:9" x14ac:dyDescent="0.2">
      <c r="B1774" s="196"/>
      <c r="C1774" s="197"/>
      <c r="D1774" s="197"/>
      <c r="E1774" s="198" t="e">
        <f ca="1">mif(OR(C1774="",B1774=リスト!$C$7),"",B1774="","RF",OR(B1774=リスト!$C$5,B1774=リスト!$C$6),COUNTBLANK(INDEX(B:B,MATCH(I1774-1,I:I,0)+1,1):INDEX(B:B,MATCH(I1774,I:I,0)-1,1)),"")</f>
        <v>#NAME?</v>
      </c>
      <c r="F1774" s="199" t="s">
        <v>189</v>
      </c>
      <c r="G1774" s="140" t="e">
        <f ca="1">mif(C1774="","",OR(B1774=リスト!$C$5,B1774=リスト!$C$6),SUM(INDEX(G:G,MATCH(I1774-1,I:I,0)+1,1):INDEX(G:G,MATCH(I1774,I:I,0)-1,1)),D1774-C1774)</f>
        <v>#NAME?</v>
      </c>
      <c r="H1774" s="140" t="e">
        <f ca="1">mif(C1774="","",B1774=リスト!$C$5,SUMIF(INDEX(B:B,MATCH(I1774-1,I:I,0)+1,1):INDEX(B:B,MATCH(I1774,I:I,0)-1,1),リスト!$C$7,INDEX(G:G,MATCH(I1774-1,I:I,0)+1,1):INDEX(G:G,MATCH(I1774,I:I,0)-1,1)),"")</f>
        <v>#NAME?</v>
      </c>
      <c r="I1774" s="200" t="str">
        <f>IF(OR(B1774=リスト!$C$5,B1774=リスト!$C$6),COUNTIF($B$9:B1774,リスト!$C$5)+COUNTIF($B$9:B1774,リスト!$C$6),"")</f>
        <v/>
      </c>
    </row>
    <row r="1775" spans="2:9" x14ac:dyDescent="0.2">
      <c r="B1775" s="196"/>
      <c r="C1775" s="197"/>
      <c r="D1775" s="197"/>
      <c r="E1775" s="198" t="e">
        <f ca="1">mif(OR(C1775="",B1775=リスト!$C$7),"",B1775="","RF",OR(B1775=リスト!$C$5,B1775=リスト!$C$6),COUNTBLANK(INDEX(B:B,MATCH(I1775-1,I:I,0)+1,1):INDEX(B:B,MATCH(I1775,I:I,0)-1,1)),"")</f>
        <v>#NAME?</v>
      </c>
      <c r="F1775" s="199" t="s">
        <v>189</v>
      </c>
      <c r="G1775" s="140" t="e">
        <f ca="1">mif(C1775="","",OR(B1775=リスト!$C$5,B1775=リスト!$C$6),SUM(INDEX(G:G,MATCH(I1775-1,I:I,0)+1,1):INDEX(G:G,MATCH(I1775,I:I,0)-1,1)),D1775-C1775)</f>
        <v>#NAME?</v>
      </c>
      <c r="H1775" s="140" t="e">
        <f ca="1">mif(C1775="","",B1775=リスト!$C$5,SUMIF(INDEX(B:B,MATCH(I1775-1,I:I,0)+1,1):INDEX(B:B,MATCH(I1775,I:I,0)-1,1),リスト!$C$7,INDEX(G:G,MATCH(I1775-1,I:I,0)+1,1):INDEX(G:G,MATCH(I1775,I:I,0)-1,1)),"")</f>
        <v>#NAME?</v>
      </c>
      <c r="I1775" s="200" t="str">
        <f>IF(OR(B1775=リスト!$C$5,B1775=リスト!$C$6),COUNTIF($B$9:B1775,リスト!$C$5)+COUNTIF($B$9:B1775,リスト!$C$6),"")</f>
        <v/>
      </c>
    </row>
    <row r="1776" spans="2:9" x14ac:dyDescent="0.2">
      <c r="B1776" s="196"/>
      <c r="C1776" s="197"/>
      <c r="D1776" s="197"/>
      <c r="E1776" s="198" t="e">
        <f ca="1">mif(OR(C1776="",B1776=リスト!$C$7),"",B1776="","RF",OR(B1776=リスト!$C$5,B1776=リスト!$C$6),COUNTBLANK(INDEX(B:B,MATCH(I1776-1,I:I,0)+1,1):INDEX(B:B,MATCH(I1776,I:I,0)-1,1)),"")</f>
        <v>#NAME?</v>
      </c>
      <c r="F1776" s="199" t="s">
        <v>189</v>
      </c>
      <c r="G1776" s="140" t="e">
        <f ca="1">mif(C1776="","",OR(B1776=リスト!$C$5,B1776=リスト!$C$6),SUM(INDEX(G:G,MATCH(I1776-1,I:I,0)+1,1):INDEX(G:G,MATCH(I1776,I:I,0)-1,1)),D1776-C1776)</f>
        <v>#NAME?</v>
      </c>
      <c r="H1776" s="140" t="e">
        <f ca="1">mif(C1776="","",B1776=リスト!$C$5,SUMIF(INDEX(B:B,MATCH(I1776-1,I:I,0)+1,1):INDEX(B:B,MATCH(I1776,I:I,0)-1,1),リスト!$C$7,INDEX(G:G,MATCH(I1776-1,I:I,0)+1,1):INDEX(G:G,MATCH(I1776,I:I,0)-1,1)),"")</f>
        <v>#NAME?</v>
      </c>
      <c r="I1776" s="200" t="str">
        <f>IF(OR(B1776=リスト!$C$5,B1776=リスト!$C$6),COUNTIF($B$9:B1776,リスト!$C$5)+COUNTIF($B$9:B1776,リスト!$C$6),"")</f>
        <v/>
      </c>
    </row>
    <row r="1777" spans="2:9" x14ac:dyDescent="0.2">
      <c r="B1777" s="196"/>
      <c r="C1777" s="197"/>
      <c r="D1777" s="197"/>
      <c r="E1777" s="198" t="e">
        <f ca="1">mif(OR(C1777="",B1777=リスト!$C$7),"",B1777="","RF",OR(B1777=リスト!$C$5,B1777=リスト!$C$6),COUNTBLANK(INDEX(B:B,MATCH(I1777-1,I:I,0)+1,1):INDEX(B:B,MATCH(I1777,I:I,0)-1,1)),"")</f>
        <v>#NAME?</v>
      </c>
      <c r="F1777" s="199" t="s">
        <v>189</v>
      </c>
      <c r="G1777" s="140" t="e">
        <f ca="1">mif(C1777="","",OR(B1777=リスト!$C$5,B1777=リスト!$C$6),SUM(INDEX(G:G,MATCH(I1777-1,I:I,0)+1,1):INDEX(G:G,MATCH(I1777,I:I,0)-1,1)),D1777-C1777)</f>
        <v>#NAME?</v>
      </c>
      <c r="H1777" s="140" t="e">
        <f ca="1">mif(C1777="","",B1777=リスト!$C$5,SUMIF(INDEX(B:B,MATCH(I1777-1,I:I,0)+1,1):INDEX(B:B,MATCH(I1777,I:I,0)-1,1),リスト!$C$7,INDEX(G:G,MATCH(I1777-1,I:I,0)+1,1):INDEX(G:G,MATCH(I1777,I:I,0)-1,1)),"")</f>
        <v>#NAME?</v>
      </c>
      <c r="I1777" s="200" t="str">
        <f>IF(OR(B1777=リスト!$C$5,B1777=リスト!$C$6),COUNTIF($B$9:B1777,リスト!$C$5)+COUNTIF($B$9:B1777,リスト!$C$6),"")</f>
        <v/>
      </c>
    </row>
    <row r="1778" spans="2:9" x14ac:dyDescent="0.2">
      <c r="B1778" s="196"/>
      <c r="C1778" s="197"/>
      <c r="D1778" s="197"/>
      <c r="E1778" s="198" t="e">
        <f ca="1">mif(OR(C1778="",B1778=リスト!$C$7),"",B1778="","RF",OR(B1778=リスト!$C$5,B1778=リスト!$C$6),COUNTBLANK(INDEX(B:B,MATCH(I1778-1,I:I,0)+1,1):INDEX(B:B,MATCH(I1778,I:I,0)-1,1)),"")</f>
        <v>#NAME?</v>
      </c>
      <c r="F1778" s="199" t="s">
        <v>189</v>
      </c>
      <c r="G1778" s="140" t="e">
        <f ca="1">mif(C1778="","",OR(B1778=リスト!$C$5,B1778=リスト!$C$6),SUM(INDEX(G:G,MATCH(I1778-1,I:I,0)+1,1):INDEX(G:G,MATCH(I1778,I:I,0)-1,1)),D1778-C1778)</f>
        <v>#NAME?</v>
      </c>
      <c r="H1778" s="140" t="e">
        <f ca="1">mif(C1778="","",B1778=リスト!$C$5,SUMIF(INDEX(B:B,MATCH(I1778-1,I:I,0)+1,1):INDEX(B:B,MATCH(I1778,I:I,0)-1,1),リスト!$C$7,INDEX(G:G,MATCH(I1778-1,I:I,0)+1,1):INDEX(G:G,MATCH(I1778,I:I,0)-1,1)),"")</f>
        <v>#NAME?</v>
      </c>
      <c r="I1778" s="200" t="str">
        <f>IF(OR(B1778=リスト!$C$5,B1778=リスト!$C$6),COUNTIF($B$9:B1778,リスト!$C$5)+COUNTIF($B$9:B1778,リスト!$C$6),"")</f>
        <v/>
      </c>
    </row>
    <row r="1779" spans="2:9" x14ac:dyDescent="0.2">
      <c r="B1779" s="196"/>
      <c r="C1779" s="197"/>
      <c r="D1779" s="197"/>
      <c r="E1779" s="198" t="e">
        <f ca="1">mif(OR(C1779="",B1779=リスト!$C$7),"",B1779="","RF",OR(B1779=リスト!$C$5,B1779=リスト!$C$6),COUNTBLANK(INDEX(B:B,MATCH(I1779-1,I:I,0)+1,1):INDEX(B:B,MATCH(I1779,I:I,0)-1,1)),"")</f>
        <v>#NAME?</v>
      </c>
      <c r="F1779" s="199" t="s">
        <v>189</v>
      </c>
      <c r="G1779" s="140" t="e">
        <f ca="1">mif(C1779="","",OR(B1779=リスト!$C$5,B1779=リスト!$C$6),SUM(INDEX(G:G,MATCH(I1779-1,I:I,0)+1,1):INDEX(G:G,MATCH(I1779,I:I,0)-1,1)),D1779-C1779)</f>
        <v>#NAME?</v>
      </c>
      <c r="H1779" s="140" t="e">
        <f ca="1">mif(C1779="","",B1779=リスト!$C$5,SUMIF(INDEX(B:B,MATCH(I1779-1,I:I,0)+1,1):INDEX(B:B,MATCH(I1779,I:I,0)-1,1),リスト!$C$7,INDEX(G:G,MATCH(I1779-1,I:I,0)+1,1):INDEX(G:G,MATCH(I1779,I:I,0)-1,1)),"")</f>
        <v>#NAME?</v>
      </c>
      <c r="I1779" s="200" t="str">
        <f>IF(OR(B1779=リスト!$C$5,B1779=リスト!$C$6),COUNTIF($B$9:B1779,リスト!$C$5)+COUNTIF($B$9:B1779,リスト!$C$6),"")</f>
        <v/>
      </c>
    </row>
    <row r="1780" spans="2:9" x14ac:dyDescent="0.2">
      <c r="B1780" s="196"/>
      <c r="C1780" s="197"/>
      <c r="D1780" s="197"/>
      <c r="E1780" s="198" t="e">
        <f ca="1">mif(OR(C1780="",B1780=リスト!$C$7),"",B1780="","RF",OR(B1780=リスト!$C$5,B1780=リスト!$C$6),COUNTBLANK(INDEX(B:B,MATCH(I1780-1,I:I,0)+1,1):INDEX(B:B,MATCH(I1780,I:I,0)-1,1)),"")</f>
        <v>#NAME?</v>
      </c>
      <c r="F1780" s="199" t="s">
        <v>189</v>
      </c>
      <c r="G1780" s="140" t="e">
        <f ca="1">mif(C1780="","",OR(B1780=リスト!$C$5,B1780=リスト!$C$6),SUM(INDEX(G:G,MATCH(I1780-1,I:I,0)+1,1):INDEX(G:G,MATCH(I1780,I:I,0)-1,1)),D1780-C1780)</f>
        <v>#NAME?</v>
      </c>
      <c r="H1780" s="140" t="e">
        <f ca="1">mif(C1780="","",B1780=リスト!$C$5,SUMIF(INDEX(B:B,MATCH(I1780-1,I:I,0)+1,1):INDEX(B:B,MATCH(I1780,I:I,0)-1,1),リスト!$C$7,INDEX(G:G,MATCH(I1780-1,I:I,0)+1,1):INDEX(G:G,MATCH(I1780,I:I,0)-1,1)),"")</f>
        <v>#NAME?</v>
      </c>
      <c r="I1780" s="200" t="str">
        <f>IF(OR(B1780=リスト!$C$5,B1780=リスト!$C$6),COUNTIF($B$9:B1780,リスト!$C$5)+COUNTIF($B$9:B1780,リスト!$C$6),"")</f>
        <v/>
      </c>
    </row>
    <row r="1781" spans="2:9" x14ac:dyDescent="0.2">
      <c r="B1781" s="196"/>
      <c r="C1781" s="197"/>
      <c r="D1781" s="197"/>
      <c r="E1781" s="198" t="e">
        <f ca="1">mif(OR(C1781="",B1781=リスト!$C$7),"",B1781="","RF",OR(B1781=リスト!$C$5,B1781=リスト!$C$6),COUNTBLANK(INDEX(B:B,MATCH(I1781-1,I:I,0)+1,1):INDEX(B:B,MATCH(I1781,I:I,0)-1,1)),"")</f>
        <v>#NAME?</v>
      </c>
      <c r="F1781" s="199" t="s">
        <v>189</v>
      </c>
      <c r="G1781" s="140" t="e">
        <f ca="1">mif(C1781="","",OR(B1781=リスト!$C$5,B1781=リスト!$C$6),SUM(INDEX(G:G,MATCH(I1781-1,I:I,0)+1,1):INDEX(G:G,MATCH(I1781,I:I,0)-1,1)),D1781-C1781)</f>
        <v>#NAME?</v>
      </c>
      <c r="H1781" s="140" t="e">
        <f ca="1">mif(C1781="","",B1781=リスト!$C$5,SUMIF(INDEX(B:B,MATCH(I1781-1,I:I,0)+1,1):INDEX(B:B,MATCH(I1781,I:I,0)-1,1),リスト!$C$7,INDEX(G:G,MATCH(I1781-1,I:I,0)+1,1):INDEX(G:G,MATCH(I1781,I:I,0)-1,1)),"")</f>
        <v>#NAME?</v>
      </c>
      <c r="I1781" s="200" t="str">
        <f>IF(OR(B1781=リスト!$C$5,B1781=リスト!$C$6),COUNTIF($B$9:B1781,リスト!$C$5)+COUNTIF($B$9:B1781,リスト!$C$6),"")</f>
        <v/>
      </c>
    </row>
    <row r="1782" spans="2:9" x14ac:dyDescent="0.2">
      <c r="B1782" s="196"/>
      <c r="C1782" s="197"/>
      <c r="D1782" s="197"/>
      <c r="E1782" s="198" t="e">
        <f ca="1">mif(OR(C1782="",B1782=リスト!$C$7),"",B1782="","RF",OR(B1782=リスト!$C$5,B1782=リスト!$C$6),COUNTBLANK(INDEX(B:B,MATCH(I1782-1,I:I,0)+1,1):INDEX(B:B,MATCH(I1782,I:I,0)-1,1)),"")</f>
        <v>#NAME?</v>
      </c>
      <c r="F1782" s="199" t="s">
        <v>189</v>
      </c>
      <c r="G1782" s="140" t="e">
        <f ca="1">mif(C1782="","",OR(B1782=リスト!$C$5,B1782=リスト!$C$6),SUM(INDEX(G:G,MATCH(I1782-1,I:I,0)+1,1):INDEX(G:G,MATCH(I1782,I:I,0)-1,1)),D1782-C1782)</f>
        <v>#NAME?</v>
      </c>
      <c r="H1782" s="140" t="e">
        <f ca="1">mif(C1782="","",B1782=リスト!$C$5,SUMIF(INDEX(B:B,MATCH(I1782-1,I:I,0)+1,1):INDEX(B:B,MATCH(I1782,I:I,0)-1,1),リスト!$C$7,INDEX(G:G,MATCH(I1782-1,I:I,0)+1,1):INDEX(G:G,MATCH(I1782,I:I,0)-1,1)),"")</f>
        <v>#NAME?</v>
      </c>
      <c r="I1782" s="200" t="str">
        <f>IF(OR(B1782=リスト!$C$5,B1782=リスト!$C$6),COUNTIF($B$9:B1782,リスト!$C$5)+COUNTIF($B$9:B1782,リスト!$C$6),"")</f>
        <v/>
      </c>
    </row>
    <row r="1783" spans="2:9" x14ac:dyDescent="0.2">
      <c r="B1783" s="196"/>
      <c r="C1783" s="197"/>
      <c r="D1783" s="197"/>
      <c r="E1783" s="198" t="e">
        <f ca="1">mif(OR(C1783="",B1783=リスト!$C$7),"",B1783="","RF",OR(B1783=リスト!$C$5,B1783=リスト!$C$6),COUNTBLANK(INDEX(B:B,MATCH(I1783-1,I:I,0)+1,1):INDEX(B:B,MATCH(I1783,I:I,0)-1,1)),"")</f>
        <v>#NAME?</v>
      </c>
      <c r="F1783" s="199" t="s">
        <v>189</v>
      </c>
      <c r="G1783" s="140" t="e">
        <f ca="1">mif(C1783="","",OR(B1783=リスト!$C$5,B1783=リスト!$C$6),SUM(INDEX(G:G,MATCH(I1783-1,I:I,0)+1,1):INDEX(G:G,MATCH(I1783,I:I,0)-1,1)),D1783-C1783)</f>
        <v>#NAME?</v>
      </c>
      <c r="H1783" s="140" t="e">
        <f ca="1">mif(C1783="","",B1783=リスト!$C$5,SUMIF(INDEX(B:B,MATCH(I1783-1,I:I,0)+1,1):INDEX(B:B,MATCH(I1783,I:I,0)-1,1),リスト!$C$7,INDEX(G:G,MATCH(I1783-1,I:I,0)+1,1):INDEX(G:G,MATCH(I1783,I:I,0)-1,1)),"")</f>
        <v>#NAME?</v>
      </c>
      <c r="I1783" s="200" t="str">
        <f>IF(OR(B1783=リスト!$C$5,B1783=リスト!$C$6),COUNTIF($B$9:B1783,リスト!$C$5)+COUNTIF($B$9:B1783,リスト!$C$6),"")</f>
        <v/>
      </c>
    </row>
    <row r="1784" spans="2:9" x14ac:dyDescent="0.2">
      <c r="B1784" s="196"/>
      <c r="C1784" s="197"/>
      <c r="D1784" s="197"/>
      <c r="E1784" s="198" t="e">
        <f ca="1">mif(OR(C1784="",B1784=リスト!$C$7),"",B1784="","RF",OR(B1784=リスト!$C$5,B1784=リスト!$C$6),COUNTBLANK(INDEX(B:B,MATCH(I1784-1,I:I,0)+1,1):INDEX(B:B,MATCH(I1784,I:I,0)-1,1)),"")</f>
        <v>#NAME?</v>
      </c>
      <c r="F1784" s="199" t="s">
        <v>189</v>
      </c>
      <c r="G1784" s="140" t="e">
        <f ca="1">mif(C1784="","",OR(B1784=リスト!$C$5,B1784=リスト!$C$6),SUM(INDEX(G:G,MATCH(I1784-1,I:I,0)+1,1):INDEX(G:G,MATCH(I1784,I:I,0)-1,1)),D1784-C1784)</f>
        <v>#NAME?</v>
      </c>
      <c r="H1784" s="140" t="e">
        <f ca="1">mif(C1784="","",B1784=リスト!$C$5,SUMIF(INDEX(B:B,MATCH(I1784-1,I:I,0)+1,1):INDEX(B:B,MATCH(I1784,I:I,0)-1,1),リスト!$C$7,INDEX(G:G,MATCH(I1784-1,I:I,0)+1,1):INDEX(G:G,MATCH(I1784,I:I,0)-1,1)),"")</f>
        <v>#NAME?</v>
      </c>
      <c r="I1784" s="200" t="str">
        <f>IF(OR(B1784=リスト!$C$5,B1784=リスト!$C$6),COUNTIF($B$9:B1784,リスト!$C$5)+COUNTIF($B$9:B1784,リスト!$C$6),"")</f>
        <v/>
      </c>
    </row>
    <row r="1785" spans="2:9" x14ac:dyDescent="0.2">
      <c r="B1785" s="196"/>
      <c r="C1785" s="197"/>
      <c r="D1785" s="197"/>
      <c r="E1785" s="198" t="e">
        <f ca="1">mif(OR(C1785="",B1785=リスト!$C$7),"",B1785="","RF",OR(B1785=リスト!$C$5,B1785=リスト!$C$6),COUNTBLANK(INDEX(B:B,MATCH(I1785-1,I:I,0)+1,1):INDEX(B:B,MATCH(I1785,I:I,0)-1,1)),"")</f>
        <v>#NAME?</v>
      </c>
      <c r="F1785" s="199" t="s">
        <v>189</v>
      </c>
      <c r="G1785" s="140" t="e">
        <f ca="1">mif(C1785="","",OR(B1785=リスト!$C$5,B1785=リスト!$C$6),SUM(INDEX(G:G,MATCH(I1785-1,I:I,0)+1,1):INDEX(G:G,MATCH(I1785,I:I,0)-1,1)),D1785-C1785)</f>
        <v>#NAME?</v>
      </c>
      <c r="H1785" s="140" t="e">
        <f ca="1">mif(C1785="","",B1785=リスト!$C$5,SUMIF(INDEX(B:B,MATCH(I1785-1,I:I,0)+1,1):INDEX(B:B,MATCH(I1785,I:I,0)-1,1),リスト!$C$7,INDEX(G:G,MATCH(I1785-1,I:I,0)+1,1):INDEX(G:G,MATCH(I1785,I:I,0)-1,1)),"")</f>
        <v>#NAME?</v>
      </c>
      <c r="I1785" s="200" t="str">
        <f>IF(OR(B1785=リスト!$C$5,B1785=リスト!$C$6),COUNTIF($B$9:B1785,リスト!$C$5)+COUNTIF($B$9:B1785,リスト!$C$6),"")</f>
        <v/>
      </c>
    </row>
    <row r="1786" spans="2:9" x14ac:dyDescent="0.2">
      <c r="B1786" s="196"/>
      <c r="C1786" s="197"/>
      <c r="D1786" s="197"/>
      <c r="E1786" s="198" t="e">
        <f ca="1">mif(OR(C1786="",B1786=リスト!$C$7),"",B1786="","RF",OR(B1786=リスト!$C$5,B1786=リスト!$C$6),COUNTBLANK(INDEX(B:B,MATCH(I1786-1,I:I,0)+1,1):INDEX(B:B,MATCH(I1786,I:I,0)-1,1)),"")</f>
        <v>#NAME?</v>
      </c>
      <c r="F1786" s="199" t="s">
        <v>189</v>
      </c>
      <c r="G1786" s="140" t="e">
        <f ca="1">mif(C1786="","",OR(B1786=リスト!$C$5,B1786=リスト!$C$6),SUM(INDEX(G:G,MATCH(I1786-1,I:I,0)+1,1):INDEX(G:G,MATCH(I1786,I:I,0)-1,1)),D1786-C1786)</f>
        <v>#NAME?</v>
      </c>
      <c r="H1786" s="140" t="e">
        <f ca="1">mif(C1786="","",B1786=リスト!$C$5,SUMIF(INDEX(B:B,MATCH(I1786-1,I:I,0)+1,1):INDEX(B:B,MATCH(I1786,I:I,0)-1,1),リスト!$C$7,INDEX(G:G,MATCH(I1786-1,I:I,0)+1,1):INDEX(G:G,MATCH(I1786,I:I,0)-1,1)),"")</f>
        <v>#NAME?</v>
      </c>
      <c r="I1786" s="200" t="str">
        <f>IF(OR(B1786=リスト!$C$5,B1786=リスト!$C$6),COUNTIF($B$9:B1786,リスト!$C$5)+COUNTIF($B$9:B1786,リスト!$C$6),"")</f>
        <v/>
      </c>
    </row>
    <row r="1787" spans="2:9" x14ac:dyDescent="0.2">
      <c r="B1787" s="196"/>
      <c r="C1787" s="197"/>
      <c r="D1787" s="197"/>
      <c r="E1787" s="198" t="e">
        <f ca="1">mif(OR(C1787="",B1787=リスト!$C$7),"",B1787="","RF",OR(B1787=リスト!$C$5,B1787=リスト!$C$6),COUNTBLANK(INDEX(B:B,MATCH(I1787-1,I:I,0)+1,1):INDEX(B:B,MATCH(I1787,I:I,0)-1,1)),"")</f>
        <v>#NAME?</v>
      </c>
      <c r="F1787" s="199" t="s">
        <v>189</v>
      </c>
      <c r="G1787" s="140" t="e">
        <f ca="1">mif(C1787="","",OR(B1787=リスト!$C$5,B1787=リスト!$C$6),SUM(INDEX(G:G,MATCH(I1787-1,I:I,0)+1,1):INDEX(G:G,MATCH(I1787,I:I,0)-1,1)),D1787-C1787)</f>
        <v>#NAME?</v>
      </c>
      <c r="H1787" s="140" t="e">
        <f ca="1">mif(C1787="","",B1787=リスト!$C$5,SUMIF(INDEX(B:B,MATCH(I1787-1,I:I,0)+1,1):INDEX(B:B,MATCH(I1787,I:I,0)-1,1),リスト!$C$7,INDEX(G:G,MATCH(I1787-1,I:I,0)+1,1):INDEX(G:G,MATCH(I1787,I:I,0)-1,1)),"")</f>
        <v>#NAME?</v>
      </c>
      <c r="I1787" s="200" t="str">
        <f>IF(OR(B1787=リスト!$C$5,B1787=リスト!$C$6),COUNTIF($B$9:B1787,リスト!$C$5)+COUNTIF($B$9:B1787,リスト!$C$6),"")</f>
        <v/>
      </c>
    </row>
    <row r="1788" spans="2:9" x14ac:dyDescent="0.2">
      <c r="B1788" s="196"/>
      <c r="C1788" s="197"/>
      <c r="D1788" s="197"/>
      <c r="E1788" s="198" t="e">
        <f ca="1">mif(OR(C1788="",B1788=リスト!$C$7),"",B1788="","RF",OR(B1788=リスト!$C$5,B1788=リスト!$C$6),COUNTBLANK(INDEX(B:B,MATCH(I1788-1,I:I,0)+1,1):INDEX(B:B,MATCH(I1788,I:I,0)-1,1)),"")</f>
        <v>#NAME?</v>
      </c>
      <c r="F1788" s="199" t="s">
        <v>189</v>
      </c>
      <c r="G1788" s="140" t="e">
        <f ca="1">mif(C1788="","",OR(B1788=リスト!$C$5,B1788=リスト!$C$6),SUM(INDEX(G:G,MATCH(I1788-1,I:I,0)+1,1):INDEX(G:G,MATCH(I1788,I:I,0)-1,1)),D1788-C1788)</f>
        <v>#NAME?</v>
      </c>
      <c r="H1788" s="140" t="e">
        <f ca="1">mif(C1788="","",B1788=リスト!$C$5,SUMIF(INDEX(B:B,MATCH(I1788-1,I:I,0)+1,1):INDEX(B:B,MATCH(I1788,I:I,0)-1,1),リスト!$C$7,INDEX(G:G,MATCH(I1788-1,I:I,0)+1,1):INDEX(G:G,MATCH(I1788,I:I,0)-1,1)),"")</f>
        <v>#NAME?</v>
      </c>
      <c r="I1788" s="200" t="str">
        <f>IF(OR(B1788=リスト!$C$5,B1788=リスト!$C$6),COUNTIF($B$9:B1788,リスト!$C$5)+COUNTIF($B$9:B1788,リスト!$C$6),"")</f>
        <v/>
      </c>
    </row>
    <row r="1789" spans="2:9" x14ac:dyDescent="0.2">
      <c r="B1789" s="196"/>
      <c r="C1789" s="197"/>
      <c r="D1789" s="197"/>
      <c r="E1789" s="198" t="e">
        <f ca="1">mif(OR(C1789="",B1789=リスト!$C$7),"",B1789="","RF",OR(B1789=リスト!$C$5,B1789=リスト!$C$6),COUNTBLANK(INDEX(B:B,MATCH(I1789-1,I:I,0)+1,1):INDEX(B:B,MATCH(I1789,I:I,0)-1,1)),"")</f>
        <v>#NAME?</v>
      </c>
      <c r="F1789" s="199" t="s">
        <v>189</v>
      </c>
      <c r="G1789" s="140" t="e">
        <f ca="1">mif(C1789="","",OR(B1789=リスト!$C$5,B1789=リスト!$C$6),SUM(INDEX(G:G,MATCH(I1789-1,I:I,0)+1,1):INDEX(G:G,MATCH(I1789,I:I,0)-1,1)),D1789-C1789)</f>
        <v>#NAME?</v>
      </c>
      <c r="H1789" s="140" t="e">
        <f ca="1">mif(C1789="","",B1789=リスト!$C$5,SUMIF(INDEX(B:B,MATCH(I1789-1,I:I,0)+1,1):INDEX(B:B,MATCH(I1789,I:I,0)-1,1),リスト!$C$7,INDEX(G:G,MATCH(I1789-1,I:I,0)+1,1):INDEX(G:G,MATCH(I1789,I:I,0)-1,1)),"")</f>
        <v>#NAME?</v>
      </c>
      <c r="I1789" s="200" t="str">
        <f>IF(OR(B1789=リスト!$C$5,B1789=リスト!$C$6),COUNTIF($B$9:B1789,リスト!$C$5)+COUNTIF($B$9:B1789,リスト!$C$6),"")</f>
        <v/>
      </c>
    </row>
    <row r="1790" spans="2:9" x14ac:dyDescent="0.2">
      <c r="B1790" s="196"/>
      <c r="C1790" s="197"/>
      <c r="D1790" s="197"/>
      <c r="E1790" s="198" t="e">
        <f ca="1">mif(OR(C1790="",B1790=リスト!$C$7),"",B1790="","RF",OR(B1790=リスト!$C$5,B1790=リスト!$C$6),COUNTBLANK(INDEX(B:B,MATCH(I1790-1,I:I,0)+1,1):INDEX(B:B,MATCH(I1790,I:I,0)-1,1)),"")</f>
        <v>#NAME?</v>
      </c>
      <c r="F1790" s="199" t="s">
        <v>189</v>
      </c>
      <c r="G1790" s="140" t="e">
        <f ca="1">mif(C1790="","",OR(B1790=リスト!$C$5,B1790=リスト!$C$6),SUM(INDEX(G:G,MATCH(I1790-1,I:I,0)+1,1):INDEX(G:G,MATCH(I1790,I:I,0)-1,1)),D1790-C1790)</f>
        <v>#NAME?</v>
      </c>
      <c r="H1790" s="140" t="e">
        <f ca="1">mif(C1790="","",B1790=リスト!$C$5,SUMIF(INDEX(B:B,MATCH(I1790-1,I:I,0)+1,1):INDEX(B:B,MATCH(I1790,I:I,0)-1,1),リスト!$C$7,INDEX(G:G,MATCH(I1790-1,I:I,0)+1,1):INDEX(G:G,MATCH(I1790,I:I,0)-1,1)),"")</f>
        <v>#NAME?</v>
      </c>
      <c r="I1790" s="200" t="str">
        <f>IF(OR(B1790=リスト!$C$5,B1790=リスト!$C$6),COUNTIF($B$9:B1790,リスト!$C$5)+COUNTIF($B$9:B1790,リスト!$C$6),"")</f>
        <v/>
      </c>
    </row>
    <row r="1791" spans="2:9" x14ac:dyDescent="0.2">
      <c r="B1791" s="196"/>
      <c r="C1791" s="197"/>
      <c r="D1791" s="197"/>
      <c r="E1791" s="198" t="e">
        <f ca="1">mif(OR(C1791="",B1791=リスト!$C$7),"",B1791="","RF",OR(B1791=リスト!$C$5,B1791=リスト!$C$6),COUNTBLANK(INDEX(B:B,MATCH(I1791-1,I:I,0)+1,1):INDEX(B:B,MATCH(I1791,I:I,0)-1,1)),"")</f>
        <v>#NAME?</v>
      </c>
      <c r="F1791" s="199" t="s">
        <v>189</v>
      </c>
      <c r="G1791" s="140" t="e">
        <f ca="1">mif(C1791="","",OR(B1791=リスト!$C$5,B1791=リスト!$C$6),SUM(INDEX(G:G,MATCH(I1791-1,I:I,0)+1,1):INDEX(G:G,MATCH(I1791,I:I,0)-1,1)),D1791-C1791)</f>
        <v>#NAME?</v>
      </c>
      <c r="H1791" s="140" t="e">
        <f ca="1">mif(C1791="","",B1791=リスト!$C$5,SUMIF(INDEX(B:B,MATCH(I1791-1,I:I,0)+1,1):INDEX(B:B,MATCH(I1791,I:I,0)-1,1),リスト!$C$7,INDEX(G:G,MATCH(I1791-1,I:I,0)+1,1):INDEX(G:G,MATCH(I1791,I:I,0)-1,1)),"")</f>
        <v>#NAME?</v>
      </c>
      <c r="I1791" s="200" t="str">
        <f>IF(OR(B1791=リスト!$C$5,B1791=リスト!$C$6),COUNTIF($B$9:B1791,リスト!$C$5)+COUNTIF($B$9:B1791,リスト!$C$6),"")</f>
        <v/>
      </c>
    </row>
    <row r="1792" spans="2:9" x14ac:dyDescent="0.2">
      <c r="B1792" s="196"/>
      <c r="C1792" s="197"/>
      <c r="D1792" s="197"/>
      <c r="E1792" s="198" t="e">
        <f ca="1">mif(OR(C1792="",B1792=リスト!$C$7),"",B1792="","RF",OR(B1792=リスト!$C$5,B1792=リスト!$C$6),COUNTBLANK(INDEX(B:B,MATCH(I1792-1,I:I,0)+1,1):INDEX(B:B,MATCH(I1792,I:I,0)-1,1)),"")</f>
        <v>#NAME?</v>
      </c>
      <c r="F1792" s="199" t="s">
        <v>189</v>
      </c>
      <c r="G1792" s="140" t="e">
        <f ca="1">mif(C1792="","",OR(B1792=リスト!$C$5,B1792=リスト!$C$6),SUM(INDEX(G:G,MATCH(I1792-1,I:I,0)+1,1):INDEX(G:G,MATCH(I1792,I:I,0)-1,1)),D1792-C1792)</f>
        <v>#NAME?</v>
      </c>
      <c r="H1792" s="140" t="e">
        <f ca="1">mif(C1792="","",B1792=リスト!$C$5,SUMIF(INDEX(B:B,MATCH(I1792-1,I:I,0)+1,1):INDEX(B:B,MATCH(I1792,I:I,0)-1,1),リスト!$C$7,INDEX(G:G,MATCH(I1792-1,I:I,0)+1,1):INDEX(G:G,MATCH(I1792,I:I,0)-1,1)),"")</f>
        <v>#NAME?</v>
      </c>
      <c r="I1792" s="200" t="str">
        <f>IF(OR(B1792=リスト!$C$5,B1792=リスト!$C$6),COUNTIF($B$9:B1792,リスト!$C$5)+COUNTIF($B$9:B1792,リスト!$C$6),"")</f>
        <v/>
      </c>
    </row>
    <row r="1793" spans="2:9" x14ac:dyDescent="0.2">
      <c r="B1793" s="196"/>
      <c r="C1793" s="197"/>
      <c r="D1793" s="197"/>
      <c r="E1793" s="198" t="e">
        <f ca="1">mif(OR(C1793="",B1793=リスト!$C$7),"",B1793="","RF",OR(B1793=リスト!$C$5,B1793=リスト!$C$6),COUNTBLANK(INDEX(B:B,MATCH(I1793-1,I:I,0)+1,1):INDEX(B:B,MATCH(I1793,I:I,0)-1,1)),"")</f>
        <v>#NAME?</v>
      </c>
      <c r="F1793" s="199" t="s">
        <v>189</v>
      </c>
      <c r="G1793" s="140" t="e">
        <f ca="1">mif(C1793="","",OR(B1793=リスト!$C$5,B1793=リスト!$C$6),SUM(INDEX(G:G,MATCH(I1793-1,I:I,0)+1,1):INDEX(G:G,MATCH(I1793,I:I,0)-1,1)),D1793-C1793)</f>
        <v>#NAME?</v>
      </c>
      <c r="H1793" s="140" t="e">
        <f ca="1">mif(C1793="","",B1793=リスト!$C$5,SUMIF(INDEX(B:B,MATCH(I1793-1,I:I,0)+1,1):INDEX(B:B,MATCH(I1793,I:I,0)-1,1),リスト!$C$7,INDEX(G:G,MATCH(I1793-1,I:I,0)+1,1):INDEX(G:G,MATCH(I1793,I:I,0)-1,1)),"")</f>
        <v>#NAME?</v>
      </c>
      <c r="I1793" s="200" t="str">
        <f>IF(OR(B1793=リスト!$C$5,B1793=リスト!$C$6),COUNTIF($B$9:B1793,リスト!$C$5)+COUNTIF($B$9:B1793,リスト!$C$6),"")</f>
        <v/>
      </c>
    </row>
    <row r="1794" spans="2:9" x14ac:dyDescent="0.2">
      <c r="B1794" s="196"/>
      <c r="C1794" s="197"/>
      <c r="D1794" s="197"/>
      <c r="E1794" s="198" t="e">
        <f ca="1">mif(OR(C1794="",B1794=リスト!$C$7),"",B1794="","RF",OR(B1794=リスト!$C$5,B1794=リスト!$C$6),COUNTBLANK(INDEX(B:B,MATCH(I1794-1,I:I,0)+1,1):INDEX(B:B,MATCH(I1794,I:I,0)-1,1)),"")</f>
        <v>#NAME?</v>
      </c>
      <c r="F1794" s="199" t="s">
        <v>189</v>
      </c>
      <c r="G1794" s="140" t="e">
        <f ca="1">mif(C1794="","",OR(B1794=リスト!$C$5,B1794=リスト!$C$6),SUM(INDEX(G:G,MATCH(I1794-1,I:I,0)+1,1):INDEX(G:G,MATCH(I1794,I:I,0)-1,1)),D1794-C1794)</f>
        <v>#NAME?</v>
      </c>
      <c r="H1794" s="140" t="e">
        <f ca="1">mif(C1794="","",B1794=リスト!$C$5,SUMIF(INDEX(B:B,MATCH(I1794-1,I:I,0)+1,1):INDEX(B:B,MATCH(I1794,I:I,0)-1,1),リスト!$C$7,INDEX(G:G,MATCH(I1794-1,I:I,0)+1,1):INDEX(G:G,MATCH(I1794,I:I,0)-1,1)),"")</f>
        <v>#NAME?</v>
      </c>
      <c r="I1794" s="200" t="str">
        <f>IF(OR(B1794=リスト!$C$5,B1794=リスト!$C$6),COUNTIF($B$9:B1794,リスト!$C$5)+COUNTIF($B$9:B1794,リスト!$C$6),"")</f>
        <v/>
      </c>
    </row>
    <row r="1795" spans="2:9" x14ac:dyDescent="0.2">
      <c r="B1795" s="196"/>
      <c r="C1795" s="197"/>
      <c r="D1795" s="197"/>
      <c r="E1795" s="198" t="e">
        <f ca="1">mif(OR(C1795="",B1795=リスト!$C$7),"",B1795="","RF",OR(B1795=リスト!$C$5,B1795=リスト!$C$6),COUNTBLANK(INDEX(B:B,MATCH(I1795-1,I:I,0)+1,1):INDEX(B:B,MATCH(I1795,I:I,0)-1,1)),"")</f>
        <v>#NAME?</v>
      </c>
      <c r="F1795" s="199" t="s">
        <v>189</v>
      </c>
      <c r="G1795" s="140" t="e">
        <f ca="1">mif(C1795="","",OR(B1795=リスト!$C$5,B1795=リスト!$C$6),SUM(INDEX(G:G,MATCH(I1795-1,I:I,0)+1,1):INDEX(G:G,MATCH(I1795,I:I,0)-1,1)),D1795-C1795)</f>
        <v>#NAME?</v>
      </c>
      <c r="H1795" s="140" t="e">
        <f ca="1">mif(C1795="","",B1795=リスト!$C$5,SUMIF(INDEX(B:B,MATCH(I1795-1,I:I,0)+1,1):INDEX(B:B,MATCH(I1795,I:I,0)-1,1),リスト!$C$7,INDEX(G:G,MATCH(I1795-1,I:I,0)+1,1):INDEX(G:G,MATCH(I1795,I:I,0)-1,1)),"")</f>
        <v>#NAME?</v>
      </c>
      <c r="I1795" s="200" t="str">
        <f>IF(OR(B1795=リスト!$C$5,B1795=リスト!$C$6),COUNTIF($B$9:B1795,リスト!$C$5)+COUNTIF($B$9:B1795,リスト!$C$6),"")</f>
        <v/>
      </c>
    </row>
    <row r="1796" spans="2:9" x14ac:dyDescent="0.2">
      <c r="B1796" s="196"/>
      <c r="C1796" s="197"/>
      <c r="D1796" s="197"/>
      <c r="E1796" s="198" t="e">
        <f ca="1">mif(OR(C1796="",B1796=リスト!$C$7),"",B1796="","RF",OR(B1796=リスト!$C$5,B1796=リスト!$C$6),COUNTBLANK(INDEX(B:B,MATCH(I1796-1,I:I,0)+1,1):INDEX(B:B,MATCH(I1796,I:I,0)-1,1)),"")</f>
        <v>#NAME?</v>
      </c>
      <c r="F1796" s="199" t="s">
        <v>189</v>
      </c>
      <c r="G1796" s="140" t="e">
        <f ca="1">mif(C1796="","",OR(B1796=リスト!$C$5,B1796=リスト!$C$6),SUM(INDEX(G:G,MATCH(I1796-1,I:I,0)+1,1):INDEX(G:G,MATCH(I1796,I:I,0)-1,1)),D1796-C1796)</f>
        <v>#NAME?</v>
      </c>
      <c r="H1796" s="140" t="e">
        <f ca="1">mif(C1796="","",B1796=リスト!$C$5,SUMIF(INDEX(B:B,MATCH(I1796-1,I:I,0)+1,1):INDEX(B:B,MATCH(I1796,I:I,0)-1,1),リスト!$C$7,INDEX(G:G,MATCH(I1796-1,I:I,0)+1,1):INDEX(G:G,MATCH(I1796,I:I,0)-1,1)),"")</f>
        <v>#NAME?</v>
      </c>
      <c r="I1796" s="200" t="str">
        <f>IF(OR(B1796=リスト!$C$5,B1796=リスト!$C$6),COUNTIF($B$9:B1796,リスト!$C$5)+COUNTIF($B$9:B1796,リスト!$C$6),"")</f>
        <v/>
      </c>
    </row>
    <row r="1797" spans="2:9" x14ac:dyDescent="0.2">
      <c r="B1797" s="196"/>
      <c r="C1797" s="197"/>
      <c r="D1797" s="197"/>
      <c r="E1797" s="198" t="e">
        <f ca="1">mif(OR(C1797="",B1797=リスト!$C$7),"",B1797="","RF",OR(B1797=リスト!$C$5,B1797=リスト!$C$6),COUNTBLANK(INDEX(B:B,MATCH(I1797-1,I:I,0)+1,1):INDEX(B:B,MATCH(I1797,I:I,0)-1,1)),"")</f>
        <v>#NAME?</v>
      </c>
      <c r="F1797" s="199" t="s">
        <v>189</v>
      </c>
      <c r="G1797" s="140" t="e">
        <f ca="1">mif(C1797="","",OR(B1797=リスト!$C$5,B1797=リスト!$C$6),SUM(INDEX(G:G,MATCH(I1797-1,I:I,0)+1,1):INDEX(G:G,MATCH(I1797,I:I,0)-1,1)),D1797-C1797)</f>
        <v>#NAME?</v>
      </c>
      <c r="H1797" s="140" t="e">
        <f ca="1">mif(C1797="","",B1797=リスト!$C$5,SUMIF(INDEX(B:B,MATCH(I1797-1,I:I,0)+1,1):INDEX(B:B,MATCH(I1797,I:I,0)-1,1),リスト!$C$7,INDEX(G:G,MATCH(I1797-1,I:I,0)+1,1):INDEX(G:G,MATCH(I1797,I:I,0)-1,1)),"")</f>
        <v>#NAME?</v>
      </c>
      <c r="I1797" s="200" t="str">
        <f>IF(OR(B1797=リスト!$C$5,B1797=リスト!$C$6),COUNTIF($B$9:B1797,リスト!$C$5)+COUNTIF($B$9:B1797,リスト!$C$6),"")</f>
        <v/>
      </c>
    </row>
    <row r="1798" spans="2:9" x14ac:dyDescent="0.2">
      <c r="B1798" s="196"/>
      <c r="C1798" s="197"/>
      <c r="D1798" s="197"/>
      <c r="E1798" s="198" t="e">
        <f ca="1">mif(OR(C1798="",B1798=リスト!$C$7),"",B1798="","RF",OR(B1798=リスト!$C$5,B1798=リスト!$C$6),COUNTBLANK(INDEX(B:B,MATCH(I1798-1,I:I,0)+1,1):INDEX(B:B,MATCH(I1798,I:I,0)-1,1)),"")</f>
        <v>#NAME?</v>
      </c>
      <c r="F1798" s="199" t="s">
        <v>189</v>
      </c>
      <c r="G1798" s="140" t="e">
        <f ca="1">mif(C1798="","",OR(B1798=リスト!$C$5,B1798=リスト!$C$6),SUM(INDEX(G:G,MATCH(I1798-1,I:I,0)+1,1):INDEX(G:G,MATCH(I1798,I:I,0)-1,1)),D1798-C1798)</f>
        <v>#NAME?</v>
      </c>
      <c r="H1798" s="140" t="e">
        <f ca="1">mif(C1798="","",B1798=リスト!$C$5,SUMIF(INDEX(B:B,MATCH(I1798-1,I:I,0)+1,1):INDEX(B:B,MATCH(I1798,I:I,0)-1,1),リスト!$C$7,INDEX(G:G,MATCH(I1798-1,I:I,0)+1,1):INDEX(G:G,MATCH(I1798,I:I,0)-1,1)),"")</f>
        <v>#NAME?</v>
      </c>
      <c r="I1798" s="200" t="str">
        <f>IF(OR(B1798=リスト!$C$5,B1798=リスト!$C$6),COUNTIF($B$9:B1798,リスト!$C$5)+COUNTIF($B$9:B1798,リスト!$C$6),"")</f>
        <v/>
      </c>
    </row>
    <row r="1799" spans="2:9" x14ac:dyDescent="0.2">
      <c r="B1799" s="196"/>
      <c r="C1799" s="197"/>
      <c r="D1799" s="197"/>
      <c r="E1799" s="198" t="e">
        <f ca="1">mif(OR(C1799="",B1799=リスト!$C$7),"",B1799="","RF",OR(B1799=リスト!$C$5,B1799=リスト!$C$6),COUNTBLANK(INDEX(B:B,MATCH(I1799-1,I:I,0)+1,1):INDEX(B:B,MATCH(I1799,I:I,0)-1,1)),"")</f>
        <v>#NAME?</v>
      </c>
      <c r="F1799" s="199" t="s">
        <v>189</v>
      </c>
      <c r="G1799" s="140" t="e">
        <f ca="1">mif(C1799="","",OR(B1799=リスト!$C$5,B1799=リスト!$C$6),SUM(INDEX(G:G,MATCH(I1799-1,I:I,0)+1,1):INDEX(G:G,MATCH(I1799,I:I,0)-1,1)),D1799-C1799)</f>
        <v>#NAME?</v>
      </c>
      <c r="H1799" s="140" t="e">
        <f ca="1">mif(C1799="","",B1799=リスト!$C$5,SUMIF(INDEX(B:B,MATCH(I1799-1,I:I,0)+1,1):INDEX(B:B,MATCH(I1799,I:I,0)-1,1),リスト!$C$7,INDEX(G:G,MATCH(I1799-1,I:I,0)+1,1):INDEX(G:G,MATCH(I1799,I:I,0)-1,1)),"")</f>
        <v>#NAME?</v>
      </c>
      <c r="I1799" s="200" t="str">
        <f>IF(OR(B1799=リスト!$C$5,B1799=リスト!$C$6),COUNTIF($B$9:B1799,リスト!$C$5)+COUNTIF($B$9:B1799,リスト!$C$6),"")</f>
        <v/>
      </c>
    </row>
    <row r="1800" spans="2:9" x14ac:dyDescent="0.2">
      <c r="B1800" s="196"/>
      <c r="C1800" s="197"/>
      <c r="D1800" s="197"/>
      <c r="E1800" s="198" t="e">
        <f ca="1">mif(OR(C1800="",B1800=リスト!$C$7),"",B1800="","RF",OR(B1800=リスト!$C$5,B1800=リスト!$C$6),COUNTBLANK(INDEX(B:B,MATCH(I1800-1,I:I,0)+1,1):INDEX(B:B,MATCH(I1800,I:I,0)-1,1)),"")</f>
        <v>#NAME?</v>
      </c>
      <c r="F1800" s="199" t="s">
        <v>189</v>
      </c>
      <c r="G1800" s="140" t="e">
        <f ca="1">mif(C1800="","",OR(B1800=リスト!$C$5,B1800=リスト!$C$6),SUM(INDEX(G:G,MATCH(I1800-1,I:I,0)+1,1):INDEX(G:G,MATCH(I1800,I:I,0)-1,1)),D1800-C1800)</f>
        <v>#NAME?</v>
      </c>
      <c r="H1800" s="140" t="e">
        <f ca="1">mif(C1800="","",B1800=リスト!$C$5,SUMIF(INDEX(B:B,MATCH(I1800-1,I:I,0)+1,1):INDEX(B:B,MATCH(I1800,I:I,0)-1,1),リスト!$C$7,INDEX(G:G,MATCH(I1800-1,I:I,0)+1,1):INDEX(G:G,MATCH(I1800,I:I,0)-1,1)),"")</f>
        <v>#NAME?</v>
      </c>
      <c r="I1800" s="200" t="str">
        <f>IF(OR(B1800=リスト!$C$5,B1800=リスト!$C$6),COUNTIF($B$9:B1800,リスト!$C$5)+COUNTIF($B$9:B1800,リスト!$C$6),"")</f>
        <v/>
      </c>
    </row>
    <row r="1801" spans="2:9" x14ac:dyDescent="0.2">
      <c r="B1801" s="196"/>
      <c r="C1801" s="197"/>
      <c r="D1801" s="197"/>
      <c r="E1801" s="198" t="e">
        <f ca="1">mif(OR(C1801="",B1801=リスト!$C$7),"",B1801="","RF",OR(B1801=リスト!$C$5,B1801=リスト!$C$6),COUNTBLANK(INDEX(B:B,MATCH(I1801-1,I:I,0)+1,1):INDEX(B:B,MATCH(I1801,I:I,0)-1,1)),"")</f>
        <v>#NAME?</v>
      </c>
      <c r="F1801" s="199" t="s">
        <v>189</v>
      </c>
      <c r="G1801" s="140" t="e">
        <f ca="1">mif(C1801="","",OR(B1801=リスト!$C$5,B1801=リスト!$C$6),SUM(INDEX(G:G,MATCH(I1801-1,I:I,0)+1,1):INDEX(G:G,MATCH(I1801,I:I,0)-1,1)),D1801-C1801)</f>
        <v>#NAME?</v>
      </c>
      <c r="H1801" s="140" t="e">
        <f ca="1">mif(C1801="","",B1801=リスト!$C$5,SUMIF(INDEX(B:B,MATCH(I1801-1,I:I,0)+1,1):INDEX(B:B,MATCH(I1801,I:I,0)-1,1),リスト!$C$7,INDEX(G:G,MATCH(I1801-1,I:I,0)+1,1):INDEX(G:G,MATCH(I1801,I:I,0)-1,1)),"")</f>
        <v>#NAME?</v>
      </c>
      <c r="I1801" s="200" t="str">
        <f>IF(OR(B1801=リスト!$C$5,B1801=リスト!$C$6),COUNTIF($B$9:B1801,リスト!$C$5)+COUNTIF($B$9:B1801,リスト!$C$6),"")</f>
        <v/>
      </c>
    </row>
    <row r="1802" spans="2:9" x14ac:dyDescent="0.2">
      <c r="B1802" s="196"/>
      <c r="C1802" s="197"/>
      <c r="D1802" s="197"/>
      <c r="E1802" s="198" t="e">
        <f ca="1">mif(OR(C1802="",B1802=リスト!$C$7),"",B1802="","RF",OR(B1802=リスト!$C$5,B1802=リスト!$C$6),COUNTBLANK(INDEX(B:B,MATCH(I1802-1,I:I,0)+1,1):INDEX(B:B,MATCH(I1802,I:I,0)-1,1)),"")</f>
        <v>#NAME?</v>
      </c>
      <c r="F1802" s="199" t="s">
        <v>189</v>
      </c>
      <c r="G1802" s="140" t="e">
        <f ca="1">mif(C1802="","",OR(B1802=リスト!$C$5,B1802=リスト!$C$6),SUM(INDEX(G:G,MATCH(I1802-1,I:I,0)+1,1):INDEX(G:G,MATCH(I1802,I:I,0)-1,1)),D1802-C1802)</f>
        <v>#NAME?</v>
      </c>
      <c r="H1802" s="140" t="e">
        <f ca="1">mif(C1802="","",B1802=リスト!$C$5,SUMIF(INDEX(B:B,MATCH(I1802-1,I:I,0)+1,1):INDEX(B:B,MATCH(I1802,I:I,0)-1,1),リスト!$C$7,INDEX(G:G,MATCH(I1802-1,I:I,0)+1,1):INDEX(G:G,MATCH(I1802,I:I,0)-1,1)),"")</f>
        <v>#NAME?</v>
      </c>
      <c r="I1802" s="200" t="str">
        <f>IF(OR(B1802=リスト!$C$5,B1802=リスト!$C$6),COUNTIF($B$9:B1802,リスト!$C$5)+COUNTIF($B$9:B1802,リスト!$C$6),"")</f>
        <v/>
      </c>
    </row>
    <row r="1803" spans="2:9" x14ac:dyDescent="0.2">
      <c r="B1803" s="196"/>
      <c r="C1803" s="197"/>
      <c r="D1803" s="197"/>
      <c r="E1803" s="198" t="e">
        <f ca="1">mif(OR(C1803="",B1803=リスト!$C$7),"",B1803="","RF",OR(B1803=リスト!$C$5,B1803=リスト!$C$6),COUNTBLANK(INDEX(B:B,MATCH(I1803-1,I:I,0)+1,1):INDEX(B:B,MATCH(I1803,I:I,0)-1,1)),"")</f>
        <v>#NAME?</v>
      </c>
      <c r="F1803" s="199" t="s">
        <v>189</v>
      </c>
      <c r="G1803" s="140" t="e">
        <f ca="1">mif(C1803="","",OR(B1803=リスト!$C$5,B1803=リスト!$C$6),SUM(INDEX(G:G,MATCH(I1803-1,I:I,0)+1,1):INDEX(G:G,MATCH(I1803,I:I,0)-1,1)),D1803-C1803)</f>
        <v>#NAME?</v>
      </c>
      <c r="H1803" s="140" t="e">
        <f ca="1">mif(C1803="","",B1803=リスト!$C$5,SUMIF(INDEX(B:B,MATCH(I1803-1,I:I,0)+1,1):INDEX(B:B,MATCH(I1803,I:I,0)-1,1),リスト!$C$7,INDEX(G:G,MATCH(I1803-1,I:I,0)+1,1):INDEX(G:G,MATCH(I1803,I:I,0)-1,1)),"")</f>
        <v>#NAME?</v>
      </c>
      <c r="I1803" s="200" t="str">
        <f>IF(OR(B1803=リスト!$C$5,B1803=リスト!$C$6),COUNTIF($B$9:B1803,リスト!$C$5)+COUNTIF($B$9:B1803,リスト!$C$6),"")</f>
        <v/>
      </c>
    </row>
    <row r="1804" spans="2:9" x14ac:dyDescent="0.2">
      <c r="B1804" s="196"/>
      <c r="C1804" s="197"/>
      <c r="D1804" s="197"/>
      <c r="E1804" s="198" t="e">
        <f ca="1">mif(OR(C1804="",B1804=リスト!$C$7),"",B1804="","RF",OR(B1804=リスト!$C$5,B1804=リスト!$C$6),COUNTBLANK(INDEX(B:B,MATCH(I1804-1,I:I,0)+1,1):INDEX(B:B,MATCH(I1804,I:I,0)-1,1)),"")</f>
        <v>#NAME?</v>
      </c>
      <c r="F1804" s="199" t="s">
        <v>189</v>
      </c>
      <c r="G1804" s="140" t="e">
        <f ca="1">mif(C1804="","",OR(B1804=リスト!$C$5,B1804=リスト!$C$6),SUM(INDEX(G:G,MATCH(I1804-1,I:I,0)+1,1):INDEX(G:G,MATCH(I1804,I:I,0)-1,1)),D1804-C1804)</f>
        <v>#NAME?</v>
      </c>
      <c r="H1804" s="140" t="e">
        <f ca="1">mif(C1804="","",B1804=リスト!$C$5,SUMIF(INDEX(B:B,MATCH(I1804-1,I:I,0)+1,1):INDEX(B:B,MATCH(I1804,I:I,0)-1,1),リスト!$C$7,INDEX(G:G,MATCH(I1804-1,I:I,0)+1,1):INDEX(G:G,MATCH(I1804,I:I,0)-1,1)),"")</f>
        <v>#NAME?</v>
      </c>
      <c r="I1804" s="200" t="str">
        <f>IF(OR(B1804=リスト!$C$5,B1804=リスト!$C$6),COUNTIF($B$9:B1804,リスト!$C$5)+COUNTIF($B$9:B1804,リスト!$C$6),"")</f>
        <v/>
      </c>
    </row>
    <row r="1805" spans="2:9" x14ac:dyDescent="0.2">
      <c r="B1805" s="196"/>
      <c r="C1805" s="197"/>
      <c r="D1805" s="197"/>
      <c r="E1805" s="198" t="e">
        <f ca="1">mif(OR(C1805="",B1805=リスト!$C$7),"",B1805="","RF",OR(B1805=リスト!$C$5,B1805=リスト!$C$6),COUNTBLANK(INDEX(B:B,MATCH(I1805-1,I:I,0)+1,1):INDEX(B:B,MATCH(I1805,I:I,0)-1,1)),"")</f>
        <v>#NAME?</v>
      </c>
      <c r="F1805" s="199" t="s">
        <v>189</v>
      </c>
      <c r="G1805" s="140" t="e">
        <f ca="1">mif(C1805="","",OR(B1805=リスト!$C$5,B1805=リスト!$C$6),SUM(INDEX(G:G,MATCH(I1805-1,I:I,0)+1,1):INDEX(G:G,MATCH(I1805,I:I,0)-1,1)),D1805-C1805)</f>
        <v>#NAME?</v>
      </c>
      <c r="H1805" s="140" t="e">
        <f ca="1">mif(C1805="","",B1805=リスト!$C$5,SUMIF(INDEX(B:B,MATCH(I1805-1,I:I,0)+1,1):INDEX(B:B,MATCH(I1805,I:I,0)-1,1),リスト!$C$7,INDEX(G:G,MATCH(I1805-1,I:I,0)+1,1):INDEX(G:G,MATCH(I1805,I:I,0)-1,1)),"")</f>
        <v>#NAME?</v>
      </c>
      <c r="I1805" s="200" t="str">
        <f>IF(OR(B1805=リスト!$C$5,B1805=リスト!$C$6),COUNTIF($B$9:B1805,リスト!$C$5)+COUNTIF($B$9:B1805,リスト!$C$6),"")</f>
        <v/>
      </c>
    </row>
    <row r="1806" spans="2:9" x14ac:dyDescent="0.2">
      <c r="B1806" s="196"/>
      <c r="C1806" s="197"/>
      <c r="D1806" s="197"/>
      <c r="E1806" s="198" t="e">
        <f ca="1">mif(OR(C1806="",B1806=リスト!$C$7),"",B1806="","RF",OR(B1806=リスト!$C$5,B1806=リスト!$C$6),COUNTBLANK(INDEX(B:B,MATCH(I1806-1,I:I,0)+1,1):INDEX(B:B,MATCH(I1806,I:I,0)-1,1)),"")</f>
        <v>#NAME?</v>
      </c>
      <c r="F1806" s="199" t="s">
        <v>189</v>
      </c>
      <c r="G1806" s="140" t="e">
        <f ca="1">mif(C1806="","",OR(B1806=リスト!$C$5,B1806=リスト!$C$6),SUM(INDEX(G:G,MATCH(I1806-1,I:I,0)+1,1):INDEX(G:G,MATCH(I1806,I:I,0)-1,1)),D1806-C1806)</f>
        <v>#NAME?</v>
      </c>
      <c r="H1806" s="140" t="e">
        <f ca="1">mif(C1806="","",B1806=リスト!$C$5,SUMIF(INDEX(B:B,MATCH(I1806-1,I:I,0)+1,1):INDEX(B:B,MATCH(I1806,I:I,0)-1,1),リスト!$C$7,INDEX(G:G,MATCH(I1806-1,I:I,0)+1,1):INDEX(G:G,MATCH(I1806,I:I,0)-1,1)),"")</f>
        <v>#NAME?</v>
      </c>
      <c r="I1806" s="200" t="str">
        <f>IF(OR(B1806=リスト!$C$5,B1806=リスト!$C$6),COUNTIF($B$9:B1806,リスト!$C$5)+COUNTIF($B$9:B1806,リスト!$C$6),"")</f>
        <v/>
      </c>
    </row>
    <row r="1807" spans="2:9" x14ac:dyDescent="0.2">
      <c r="B1807" s="196"/>
      <c r="C1807" s="197"/>
      <c r="D1807" s="197"/>
      <c r="E1807" s="198" t="e">
        <f ca="1">mif(OR(C1807="",B1807=リスト!$C$7),"",B1807="","RF",OR(B1807=リスト!$C$5,B1807=リスト!$C$6),COUNTBLANK(INDEX(B:B,MATCH(I1807-1,I:I,0)+1,1):INDEX(B:B,MATCH(I1807,I:I,0)-1,1)),"")</f>
        <v>#NAME?</v>
      </c>
      <c r="F1807" s="199" t="s">
        <v>189</v>
      </c>
      <c r="G1807" s="140" t="e">
        <f ca="1">mif(C1807="","",OR(B1807=リスト!$C$5,B1807=リスト!$C$6),SUM(INDEX(G:G,MATCH(I1807-1,I:I,0)+1,1):INDEX(G:G,MATCH(I1807,I:I,0)-1,1)),D1807-C1807)</f>
        <v>#NAME?</v>
      </c>
      <c r="H1807" s="140" t="e">
        <f ca="1">mif(C1807="","",B1807=リスト!$C$5,SUMIF(INDEX(B:B,MATCH(I1807-1,I:I,0)+1,1):INDEX(B:B,MATCH(I1807,I:I,0)-1,1),リスト!$C$7,INDEX(G:G,MATCH(I1807-1,I:I,0)+1,1):INDEX(G:G,MATCH(I1807,I:I,0)-1,1)),"")</f>
        <v>#NAME?</v>
      </c>
      <c r="I1807" s="200" t="str">
        <f>IF(OR(B1807=リスト!$C$5,B1807=リスト!$C$6),COUNTIF($B$9:B1807,リスト!$C$5)+COUNTIF($B$9:B1807,リスト!$C$6),"")</f>
        <v/>
      </c>
    </row>
    <row r="1808" spans="2:9" x14ac:dyDescent="0.2">
      <c r="B1808" s="196"/>
      <c r="C1808" s="197"/>
      <c r="D1808" s="197"/>
      <c r="E1808" s="198" t="e">
        <f ca="1">mif(OR(C1808="",B1808=リスト!$C$7),"",B1808="","RF",OR(B1808=リスト!$C$5,B1808=リスト!$C$6),COUNTBLANK(INDEX(B:B,MATCH(I1808-1,I:I,0)+1,1):INDEX(B:B,MATCH(I1808,I:I,0)-1,1)),"")</f>
        <v>#NAME?</v>
      </c>
      <c r="F1808" s="199" t="s">
        <v>189</v>
      </c>
      <c r="G1808" s="140" t="e">
        <f ca="1">mif(C1808="","",OR(B1808=リスト!$C$5,B1808=リスト!$C$6),SUM(INDEX(G:G,MATCH(I1808-1,I:I,0)+1,1):INDEX(G:G,MATCH(I1808,I:I,0)-1,1)),D1808-C1808)</f>
        <v>#NAME?</v>
      </c>
      <c r="H1808" s="140" t="e">
        <f ca="1">mif(C1808="","",B1808=リスト!$C$5,SUMIF(INDEX(B:B,MATCH(I1808-1,I:I,0)+1,1):INDEX(B:B,MATCH(I1808,I:I,0)-1,1),リスト!$C$7,INDEX(G:G,MATCH(I1808-1,I:I,0)+1,1):INDEX(G:G,MATCH(I1808,I:I,0)-1,1)),"")</f>
        <v>#NAME?</v>
      </c>
      <c r="I1808" s="200" t="str">
        <f>IF(OR(B1808=リスト!$C$5,B1808=リスト!$C$6),COUNTIF($B$9:B1808,リスト!$C$5)+COUNTIF($B$9:B1808,リスト!$C$6),"")</f>
        <v/>
      </c>
    </row>
    <row r="1809" spans="2:9" x14ac:dyDescent="0.2">
      <c r="B1809" s="196"/>
      <c r="C1809" s="197"/>
      <c r="D1809" s="197"/>
      <c r="E1809" s="198" t="e">
        <f ca="1">mif(OR(C1809="",B1809=リスト!$C$7),"",B1809="","RF",OR(B1809=リスト!$C$5,B1809=リスト!$C$6),COUNTBLANK(INDEX(B:B,MATCH(I1809-1,I:I,0)+1,1):INDEX(B:B,MATCH(I1809,I:I,0)-1,1)),"")</f>
        <v>#NAME?</v>
      </c>
      <c r="F1809" s="199" t="s">
        <v>189</v>
      </c>
      <c r="G1809" s="140" t="e">
        <f ca="1">mif(C1809="","",OR(B1809=リスト!$C$5,B1809=リスト!$C$6),SUM(INDEX(G:G,MATCH(I1809-1,I:I,0)+1,1):INDEX(G:G,MATCH(I1809,I:I,0)-1,1)),D1809-C1809)</f>
        <v>#NAME?</v>
      </c>
      <c r="H1809" s="140" t="e">
        <f ca="1">mif(C1809="","",B1809=リスト!$C$5,SUMIF(INDEX(B:B,MATCH(I1809-1,I:I,0)+1,1):INDEX(B:B,MATCH(I1809,I:I,0)-1,1),リスト!$C$7,INDEX(G:G,MATCH(I1809-1,I:I,0)+1,1):INDEX(G:G,MATCH(I1809,I:I,0)-1,1)),"")</f>
        <v>#NAME?</v>
      </c>
      <c r="I1809" s="200" t="str">
        <f>IF(OR(B1809=リスト!$C$5,B1809=リスト!$C$6),COUNTIF($B$9:B1809,リスト!$C$5)+COUNTIF($B$9:B1809,リスト!$C$6),"")</f>
        <v/>
      </c>
    </row>
    <row r="1810" spans="2:9" x14ac:dyDescent="0.2">
      <c r="B1810" s="196"/>
      <c r="C1810" s="197"/>
      <c r="D1810" s="197"/>
      <c r="E1810" s="198" t="e">
        <f ca="1">mif(OR(C1810="",B1810=リスト!$C$7),"",B1810="","RF",OR(B1810=リスト!$C$5,B1810=リスト!$C$6),COUNTBLANK(INDEX(B:B,MATCH(I1810-1,I:I,0)+1,1):INDEX(B:B,MATCH(I1810,I:I,0)-1,1)),"")</f>
        <v>#NAME?</v>
      </c>
      <c r="F1810" s="199" t="s">
        <v>189</v>
      </c>
      <c r="G1810" s="140" t="e">
        <f ca="1">mif(C1810="","",OR(B1810=リスト!$C$5,B1810=リスト!$C$6),SUM(INDEX(G:G,MATCH(I1810-1,I:I,0)+1,1):INDEX(G:G,MATCH(I1810,I:I,0)-1,1)),D1810-C1810)</f>
        <v>#NAME?</v>
      </c>
      <c r="H1810" s="140" t="e">
        <f ca="1">mif(C1810="","",B1810=リスト!$C$5,SUMIF(INDEX(B:B,MATCH(I1810-1,I:I,0)+1,1):INDEX(B:B,MATCH(I1810,I:I,0)-1,1),リスト!$C$7,INDEX(G:G,MATCH(I1810-1,I:I,0)+1,1):INDEX(G:G,MATCH(I1810,I:I,0)-1,1)),"")</f>
        <v>#NAME?</v>
      </c>
      <c r="I1810" s="200" t="str">
        <f>IF(OR(B1810=リスト!$C$5,B1810=リスト!$C$6),COUNTIF($B$9:B1810,リスト!$C$5)+COUNTIF($B$9:B1810,リスト!$C$6),"")</f>
        <v/>
      </c>
    </row>
    <row r="1811" spans="2:9" x14ac:dyDescent="0.2">
      <c r="B1811" s="196"/>
      <c r="C1811" s="197"/>
      <c r="D1811" s="197"/>
      <c r="E1811" s="198" t="e">
        <f ca="1">mif(OR(C1811="",B1811=リスト!$C$7),"",B1811="","RF",OR(B1811=リスト!$C$5,B1811=リスト!$C$6),COUNTBLANK(INDEX(B:B,MATCH(I1811-1,I:I,0)+1,1):INDEX(B:B,MATCH(I1811,I:I,0)-1,1)),"")</f>
        <v>#NAME?</v>
      </c>
      <c r="F1811" s="199" t="s">
        <v>189</v>
      </c>
      <c r="G1811" s="140" t="e">
        <f ca="1">mif(C1811="","",OR(B1811=リスト!$C$5,B1811=リスト!$C$6),SUM(INDEX(G:G,MATCH(I1811-1,I:I,0)+1,1):INDEX(G:G,MATCH(I1811,I:I,0)-1,1)),D1811-C1811)</f>
        <v>#NAME?</v>
      </c>
      <c r="H1811" s="140" t="e">
        <f ca="1">mif(C1811="","",B1811=リスト!$C$5,SUMIF(INDEX(B:B,MATCH(I1811-1,I:I,0)+1,1):INDEX(B:B,MATCH(I1811,I:I,0)-1,1),リスト!$C$7,INDEX(G:G,MATCH(I1811-1,I:I,0)+1,1):INDEX(G:G,MATCH(I1811,I:I,0)-1,1)),"")</f>
        <v>#NAME?</v>
      </c>
      <c r="I1811" s="200" t="str">
        <f>IF(OR(B1811=リスト!$C$5,B1811=リスト!$C$6),COUNTIF($B$9:B1811,リスト!$C$5)+COUNTIF($B$9:B1811,リスト!$C$6),"")</f>
        <v/>
      </c>
    </row>
    <row r="1812" spans="2:9" x14ac:dyDescent="0.2">
      <c r="B1812" s="196"/>
      <c r="C1812" s="197"/>
      <c r="D1812" s="197"/>
      <c r="E1812" s="198" t="e">
        <f ca="1">mif(OR(C1812="",B1812=リスト!$C$7),"",B1812="","RF",OR(B1812=リスト!$C$5,B1812=リスト!$C$6),COUNTBLANK(INDEX(B:B,MATCH(I1812-1,I:I,0)+1,1):INDEX(B:B,MATCH(I1812,I:I,0)-1,1)),"")</f>
        <v>#NAME?</v>
      </c>
      <c r="F1812" s="199" t="s">
        <v>189</v>
      </c>
      <c r="G1812" s="140" t="e">
        <f ca="1">mif(C1812="","",OR(B1812=リスト!$C$5,B1812=リスト!$C$6),SUM(INDEX(G:G,MATCH(I1812-1,I:I,0)+1,1):INDEX(G:G,MATCH(I1812,I:I,0)-1,1)),D1812-C1812)</f>
        <v>#NAME?</v>
      </c>
      <c r="H1812" s="140" t="e">
        <f ca="1">mif(C1812="","",B1812=リスト!$C$5,SUMIF(INDEX(B:B,MATCH(I1812-1,I:I,0)+1,1):INDEX(B:B,MATCH(I1812,I:I,0)-1,1),リスト!$C$7,INDEX(G:G,MATCH(I1812-1,I:I,0)+1,1):INDEX(G:G,MATCH(I1812,I:I,0)-1,1)),"")</f>
        <v>#NAME?</v>
      </c>
      <c r="I1812" s="200" t="str">
        <f>IF(OR(B1812=リスト!$C$5,B1812=リスト!$C$6),COUNTIF($B$9:B1812,リスト!$C$5)+COUNTIF($B$9:B1812,リスト!$C$6),"")</f>
        <v/>
      </c>
    </row>
    <row r="1813" spans="2:9" x14ac:dyDescent="0.2">
      <c r="B1813" s="196"/>
      <c r="C1813" s="197"/>
      <c r="D1813" s="197"/>
      <c r="E1813" s="198" t="e">
        <f ca="1">mif(OR(C1813="",B1813=リスト!$C$7),"",B1813="","RF",OR(B1813=リスト!$C$5,B1813=リスト!$C$6),COUNTBLANK(INDEX(B:B,MATCH(I1813-1,I:I,0)+1,1):INDEX(B:B,MATCH(I1813,I:I,0)-1,1)),"")</f>
        <v>#NAME?</v>
      </c>
      <c r="F1813" s="199" t="s">
        <v>189</v>
      </c>
      <c r="G1813" s="140" t="e">
        <f ca="1">mif(C1813="","",OR(B1813=リスト!$C$5,B1813=リスト!$C$6),SUM(INDEX(G:G,MATCH(I1813-1,I:I,0)+1,1):INDEX(G:G,MATCH(I1813,I:I,0)-1,1)),D1813-C1813)</f>
        <v>#NAME?</v>
      </c>
      <c r="H1813" s="140" t="e">
        <f ca="1">mif(C1813="","",B1813=リスト!$C$5,SUMIF(INDEX(B:B,MATCH(I1813-1,I:I,0)+1,1):INDEX(B:B,MATCH(I1813,I:I,0)-1,1),リスト!$C$7,INDEX(G:G,MATCH(I1813-1,I:I,0)+1,1):INDEX(G:G,MATCH(I1813,I:I,0)-1,1)),"")</f>
        <v>#NAME?</v>
      </c>
      <c r="I1813" s="200" t="str">
        <f>IF(OR(B1813=リスト!$C$5,B1813=リスト!$C$6),COUNTIF($B$9:B1813,リスト!$C$5)+COUNTIF($B$9:B1813,リスト!$C$6),"")</f>
        <v/>
      </c>
    </row>
    <row r="1814" spans="2:9" x14ac:dyDescent="0.2">
      <c r="B1814" s="196"/>
      <c r="C1814" s="197"/>
      <c r="D1814" s="197"/>
      <c r="E1814" s="198" t="e">
        <f ca="1">mif(OR(C1814="",B1814=リスト!$C$7),"",B1814="","RF",OR(B1814=リスト!$C$5,B1814=リスト!$C$6),COUNTBLANK(INDEX(B:B,MATCH(I1814-1,I:I,0)+1,1):INDEX(B:B,MATCH(I1814,I:I,0)-1,1)),"")</f>
        <v>#NAME?</v>
      </c>
      <c r="F1814" s="199" t="s">
        <v>189</v>
      </c>
      <c r="G1814" s="140" t="e">
        <f ca="1">mif(C1814="","",OR(B1814=リスト!$C$5,B1814=リスト!$C$6),SUM(INDEX(G:G,MATCH(I1814-1,I:I,0)+1,1):INDEX(G:G,MATCH(I1814,I:I,0)-1,1)),D1814-C1814)</f>
        <v>#NAME?</v>
      </c>
      <c r="H1814" s="140" t="e">
        <f ca="1">mif(C1814="","",B1814=リスト!$C$5,SUMIF(INDEX(B:B,MATCH(I1814-1,I:I,0)+1,1):INDEX(B:B,MATCH(I1814,I:I,0)-1,1),リスト!$C$7,INDEX(G:G,MATCH(I1814-1,I:I,0)+1,1):INDEX(G:G,MATCH(I1814,I:I,0)-1,1)),"")</f>
        <v>#NAME?</v>
      </c>
      <c r="I1814" s="200" t="str">
        <f>IF(OR(B1814=リスト!$C$5,B1814=リスト!$C$6),COUNTIF($B$9:B1814,リスト!$C$5)+COUNTIF($B$9:B1814,リスト!$C$6),"")</f>
        <v/>
      </c>
    </row>
    <row r="1815" spans="2:9" x14ac:dyDescent="0.2">
      <c r="B1815" s="196"/>
      <c r="C1815" s="197"/>
      <c r="D1815" s="197"/>
      <c r="E1815" s="198" t="e">
        <f ca="1">mif(OR(C1815="",B1815=リスト!$C$7),"",B1815="","RF",OR(B1815=リスト!$C$5,B1815=リスト!$C$6),COUNTBLANK(INDEX(B:B,MATCH(I1815-1,I:I,0)+1,1):INDEX(B:B,MATCH(I1815,I:I,0)-1,1)),"")</f>
        <v>#NAME?</v>
      </c>
      <c r="F1815" s="199" t="s">
        <v>189</v>
      </c>
      <c r="G1815" s="140" t="e">
        <f ca="1">mif(C1815="","",OR(B1815=リスト!$C$5,B1815=リスト!$C$6),SUM(INDEX(G:G,MATCH(I1815-1,I:I,0)+1,1):INDEX(G:G,MATCH(I1815,I:I,0)-1,1)),D1815-C1815)</f>
        <v>#NAME?</v>
      </c>
      <c r="H1815" s="140" t="e">
        <f ca="1">mif(C1815="","",B1815=リスト!$C$5,SUMIF(INDEX(B:B,MATCH(I1815-1,I:I,0)+1,1):INDEX(B:B,MATCH(I1815,I:I,0)-1,1),リスト!$C$7,INDEX(G:G,MATCH(I1815-1,I:I,0)+1,1):INDEX(G:G,MATCH(I1815,I:I,0)-1,1)),"")</f>
        <v>#NAME?</v>
      </c>
      <c r="I1815" s="200" t="str">
        <f>IF(OR(B1815=リスト!$C$5,B1815=リスト!$C$6),COUNTIF($B$9:B1815,リスト!$C$5)+COUNTIF($B$9:B1815,リスト!$C$6),"")</f>
        <v/>
      </c>
    </row>
    <row r="1816" spans="2:9" x14ac:dyDescent="0.2">
      <c r="B1816" s="196"/>
      <c r="C1816" s="197"/>
      <c r="D1816" s="197"/>
      <c r="E1816" s="198" t="e">
        <f ca="1">mif(OR(C1816="",B1816=リスト!$C$7),"",B1816="","RF",OR(B1816=リスト!$C$5,B1816=リスト!$C$6),COUNTBLANK(INDEX(B:B,MATCH(I1816-1,I:I,0)+1,1):INDEX(B:B,MATCH(I1816,I:I,0)-1,1)),"")</f>
        <v>#NAME?</v>
      </c>
      <c r="F1816" s="199" t="s">
        <v>189</v>
      </c>
      <c r="G1816" s="140" t="e">
        <f ca="1">mif(C1816="","",OR(B1816=リスト!$C$5,B1816=リスト!$C$6),SUM(INDEX(G:G,MATCH(I1816-1,I:I,0)+1,1):INDEX(G:G,MATCH(I1816,I:I,0)-1,1)),D1816-C1816)</f>
        <v>#NAME?</v>
      </c>
      <c r="H1816" s="140" t="e">
        <f ca="1">mif(C1816="","",B1816=リスト!$C$5,SUMIF(INDEX(B:B,MATCH(I1816-1,I:I,0)+1,1):INDEX(B:B,MATCH(I1816,I:I,0)-1,1),リスト!$C$7,INDEX(G:G,MATCH(I1816-1,I:I,0)+1,1):INDEX(G:G,MATCH(I1816,I:I,0)-1,1)),"")</f>
        <v>#NAME?</v>
      </c>
      <c r="I1816" s="200" t="str">
        <f>IF(OR(B1816=リスト!$C$5,B1816=リスト!$C$6),COUNTIF($B$9:B1816,リスト!$C$5)+COUNTIF($B$9:B1816,リスト!$C$6),"")</f>
        <v/>
      </c>
    </row>
    <row r="1817" spans="2:9" x14ac:dyDescent="0.2">
      <c r="B1817" s="196"/>
      <c r="C1817" s="197"/>
      <c r="D1817" s="197"/>
      <c r="E1817" s="198" t="e">
        <f ca="1">mif(OR(C1817="",B1817=リスト!$C$7),"",B1817="","RF",OR(B1817=リスト!$C$5,B1817=リスト!$C$6),COUNTBLANK(INDEX(B:B,MATCH(I1817-1,I:I,0)+1,1):INDEX(B:B,MATCH(I1817,I:I,0)-1,1)),"")</f>
        <v>#NAME?</v>
      </c>
      <c r="F1817" s="199" t="s">
        <v>189</v>
      </c>
      <c r="G1817" s="140" t="e">
        <f ca="1">mif(C1817="","",OR(B1817=リスト!$C$5,B1817=リスト!$C$6),SUM(INDEX(G:G,MATCH(I1817-1,I:I,0)+1,1):INDEX(G:G,MATCH(I1817,I:I,0)-1,1)),D1817-C1817)</f>
        <v>#NAME?</v>
      </c>
      <c r="H1817" s="140" t="e">
        <f ca="1">mif(C1817="","",B1817=リスト!$C$5,SUMIF(INDEX(B:B,MATCH(I1817-1,I:I,0)+1,1):INDEX(B:B,MATCH(I1817,I:I,0)-1,1),リスト!$C$7,INDEX(G:G,MATCH(I1817-1,I:I,0)+1,1):INDEX(G:G,MATCH(I1817,I:I,0)-1,1)),"")</f>
        <v>#NAME?</v>
      </c>
      <c r="I1817" s="200" t="str">
        <f>IF(OR(B1817=リスト!$C$5,B1817=リスト!$C$6),COUNTIF($B$9:B1817,リスト!$C$5)+COUNTIF($B$9:B1817,リスト!$C$6),"")</f>
        <v/>
      </c>
    </row>
    <row r="1818" spans="2:9" x14ac:dyDescent="0.2">
      <c r="B1818" s="196"/>
      <c r="C1818" s="197"/>
      <c r="D1818" s="197"/>
      <c r="E1818" s="198" t="e">
        <f ca="1">mif(OR(C1818="",B1818=リスト!$C$7),"",B1818="","RF",OR(B1818=リスト!$C$5,B1818=リスト!$C$6),COUNTBLANK(INDEX(B:B,MATCH(I1818-1,I:I,0)+1,1):INDEX(B:B,MATCH(I1818,I:I,0)-1,1)),"")</f>
        <v>#NAME?</v>
      </c>
      <c r="F1818" s="199" t="s">
        <v>189</v>
      </c>
      <c r="G1818" s="140" t="e">
        <f ca="1">mif(C1818="","",OR(B1818=リスト!$C$5,B1818=リスト!$C$6),SUM(INDEX(G:G,MATCH(I1818-1,I:I,0)+1,1):INDEX(G:G,MATCH(I1818,I:I,0)-1,1)),D1818-C1818)</f>
        <v>#NAME?</v>
      </c>
      <c r="H1818" s="140" t="e">
        <f ca="1">mif(C1818="","",B1818=リスト!$C$5,SUMIF(INDEX(B:B,MATCH(I1818-1,I:I,0)+1,1):INDEX(B:B,MATCH(I1818,I:I,0)-1,1),リスト!$C$7,INDEX(G:G,MATCH(I1818-1,I:I,0)+1,1):INDEX(G:G,MATCH(I1818,I:I,0)-1,1)),"")</f>
        <v>#NAME?</v>
      </c>
      <c r="I1818" s="200" t="str">
        <f>IF(OR(B1818=リスト!$C$5,B1818=リスト!$C$6),COUNTIF($B$9:B1818,リスト!$C$5)+COUNTIF($B$9:B1818,リスト!$C$6),"")</f>
        <v/>
      </c>
    </row>
    <row r="1819" spans="2:9" x14ac:dyDescent="0.2">
      <c r="B1819" s="196"/>
      <c r="C1819" s="197"/>
      <c r="D1819" s="197"/>
      <c r="E1819" s="198" t="e">
        <f ca="1">mif(OR(C1819="",B1819=リスト!$C$7),"",B1819="","RF",OR(B1819=リスト!$C$5,B1819=リスト!$C$6),COUNTBLANK(INDEX(B:B,MATCH(I1819-1,I:I,0)+1,1):INDEX(B:B,MATCH(I1819,I:I,0)-1,1)),"")</f>
        <v>#NAME?</v>
      </c>
      <c r="F1819" s="199" t="s">
        <v>189</v>
      </c>
      <c r="G1819" s="140" t="e">
        <f ca="1">mif(C1819="","",OR(B1819=リスト!$C$5,B1819=リスト!$C$6),SUM(INDEX(G:G,MATCH(I1819-1,I:I,0)+1,1):INDEX(G:G,MATCH(I1819,I:I,0)-1,1)),D1819-C1819)</f>
        <v>#NAME?</v>
      </c>
      <c r="H1819" s="140" t="e">
        <f ca="1">mif(C1819="","",B1819=リスト!$C$5,SUMIF(INDEX(B:B,MATCH(I1819-1,I:I,0)+1,1):INDEX(B:B,MATCH(I1819,I:I,0)-1,1),リスト!$C$7,INDEX(G:G,MATCH(I1819-1,I:I,0)+1,1):INDEX(G:G,MATCH(I1819,I:I,0)-1,1)),"")</f>
        <v>#NAME?</v>
      </c>
      <c r="I1819" s="200" t="str">
        <f>IF(OR(B1819=リスト!$C$5,B1819=リスト!$C$6),COUNTIF($B$9:B1819,リスト!$C$5)+COUNTIF($B$9:B1819,リスト!$C$6),"")</f>
        <v/>
      </c>
    </row>
    <row r="1820" spans="2:9" x14ac:dyDescent="0.2">
      <c r="B1820" s="196"/>
      <c r="C1820" s="197"/>
      <c r="D1820" s="197"/>
      <c r="E1820" s="198" t="e">
        <f ca="1">mif(OR(C1820="",B1820=リスト!$C$7),"",B1820="","RF",OR(B1820=リスト!$C$5,B1820=リスト!$C$6),COUNTBLANK(INDEX(B:B,MATCH(I1820-1,I:I,0)+1,1):INDEX(B:B,MATCH(I1820,I:I,0)-1,1)),"")</f>
        <v>#NAME?</v>
      </c>
      <c r="F1820" s="199" t="s">
        <v>189</v>
      </c>
      <c r="G1820" s="140" t="e">
        <f ca="1">mif(C1820="","",OR(B1820=リスト!$C$5,B1820=リスト!$C$6),SUM(INDEX(G:G,MATCH(I1820-1,I:I,0)+1,1):INDEX(G:G,MATCH(I1820,I:I,0)-1,1)),D1820-C1820)</f>
        <v>#NAME?</v>
      </c>
      <c r="H1820" s="140" t="e">
        <f ca="1">mif(C1820="","",B1820=リスト!$C$5,SUMIF(INDEX(B:B,MATCH(I1820-1,I:I,0)+1,1):INDEX(B:B,MATCH(I1820,I:I,0)-1,1),リスト!$C$7,INDEX(G:G,MATCH(I1820-1,I:I,0)+1,1):INDEX(G:G,MATCH(I1820,I:I,0)-1,1)),"")</f>
        <v>#NAME?</v>
      </c>
      <c r="I1820" s="200" t="str">
        <f>IF(OR(B1820=リスト!$C$5,B1820=リスト!$C$6),COUNTIF($B$9:B1820,リスト!$C$5)+COUNTIF($B$9:B1820,リスト!$C$6),"")</f>
        <v/>
      </c>
    </row>
    <row r="1821" spans="2:9" x14ac:dyDescent="0.2">
      <c r="B1821" s="196"/>
      <c r="C1821" s="197"/>
      <c r="D1821" s="197"/>
      <c r="E1821" s="198" t="e">
        <f ca="1">mif(OR(C1821="",B1821=リスト!$C$7),"",B1821="","RF",OR(B1821=リスト!$C$5,B1821=リスト!$C$6),COUNTBLANK(INDEX(B:B,MATCH(I1821-1,I:I,0)+1,1):INDEX(B:B,MATCH(I1821,I:I,0)-1,1)),"")</f>
        <v>#NAME?</v>
      </c>
      <c r="F1821" s="199" t="s">
        <v>189</v>
      </c>
      <c r="G1821" s="140" t="e">
        <f ca="1">mif(C1821="","",OR(B1821=リスト!$C$5,B1821=リスト!$C$6),SUM(INDEX(G:G,MATCH(I1821-1,I:I,0)+1,1):INDEX(G:G,MATCH(I1821,I:I,0)-1,1)),D1821-C1821)</f>
        <v>#NAME?</v>
      </c>
      <c r="H1821" s="140" t="e">
        <f ca="1">mif(C1821="","",B1821=リスト!$C$5,SUMIF(INDEX(B:B,MATCH(I1821-1,I:I,0)+1,1):INDEX(B:B,MATCH(I1821,I:I,0)-1,1),リスト!$C$7,INDEX(G:G,MATCH(I1821-1,I:I,0)+1,1):INDEX(G:G,MATCH(I1821,I:I,0)-1,1)),"")</f>
        <v>#NAME?</v>
      </c>
      <c r="I1821" s="200" t="str">
        <f>IF(OR(B1821=リスト!$C$5,B1821=リスト!$C$6),COUNTIF($B$9:B1821,リスト!$C$5)+COUNTIF($B$9:B1821,リスト!$C$6),"")</f>
        <v/>
      </c>
    </row>
    <row r="1822" spans="2:9" x14ac:dyDescent="0.2">
      <c r="B1822" s="196"/>
      <c r="C1822" s="197"/>
      <c r="D1822" s="197"/>
      <c r="E1822" s="198" t="e">
        <f ca="1">mif(OR(C1822="",B1822=リスト!$C$7),"",B1822="","RF",OR(B1822=リスト!$C$5,B1822=リスト!$C$6),COUNTBLANK(INDEX(B:B,MATCH(I1822-1,I:I,0)+1,1):INDEX(B:B,MATCH(I1822,I:I,0)-1,1)),"")</f>
        <v>#NAME?</v>
      </c>
      <c r="F1822" s="199" t="s">
        <v>189</v>
      </c>
      <c r="G1822" s="140" t="e">
        <f ca="1">mif(C1822="","",OR(B1822=リスト!$C$5,B1822=リスト!$C$6),SUM(INDEX(G:G,MATCH(I1822-1,I:I,0)+1,1):INDEX(G:G,MATCH(I1822,I:I,0)-1,1)),D1822-C1822)</f>
        <v>#NAME?</v>
      </c>
      <c r="H1822" s="140" t="e">
        <f ca="1">mif(C1822="","",B1822=リスト!$C$5,SUMIF(INDEX(B:B,MATCH(I1822-1,I:I,0)+1,1):INDEX(B:B,MATCH(I1822,I:I,0)-1,1),リスト!$C$7,INDEX(G:G,MATCH(I1822-1,I:I,0)+1,1):INDEX(G:G,MATCH(I1822,I:I,0)-1,1)),"")</f>
        <v>#NAME?</v>
      </c>
      <c r="I1822" s="200" t="str">
        <f>IF(OR(B1822=リスト!$C$5,B1822=リスト!$C$6),COUNTIF($B$9:B1822,リスト!$C$5)+COUNTIF($B$9:B1822,リスト!$C$6),"")</f>
        <v/>
      </c>
    </row>
    <row r="1823" spans="2:9" x14ac:dyDescent="0.2">
      <c r="B1823" s="196"/>
      <c r="C1823" s="197"/>
      <c r="D1823" s="197"/>
      <c r="E1823" s="198" t="e">
        <f ca="1">mif(OR(C1823="",B1823=リスト!$C$7),"",B1823="","RF",OR(B1823=リスト!$C$5,B1823=リスト!$C$6),COUNTBLANK(INDEX(B:B,MATCH(I1823-1,I:I,0)+1,1):INDEX(B:B,MATCH(I1823,I:I,0)-1,1)),"")</f>
        <v>#NAME?</v>
      </c>
      <c r="F1823" s="199" t="s">
        <v>189</v>
      </c>
      <c r="G1823" s="140" t="e">
        <f ca="1">mif(C1823="","",OR(B1823=リスト!$C$5,B1823=リスト!$C$6),SUM(INDEX(G:G,MATCH(I1823-1,I:I,0)+1,1):INDEX(G:G,MATCH(I1823,I:I,0)-1,1)),D1823-C1823)</f>
        <v>#NAME?</v>
      </c>
      <c r="H1823" s="140" t="e">
        <f ca="1">mif(C1823="","",B1823=リスト!$C$5,SUMIF(INDEX(B:B,MATCH(I1823-1,I:I,0)+1,1):INDEX(B:B,MATCH(I1823,I:I,0)-1,1),リスト!$C$7,INDEX(G:G,MATCH(I1823-1,I:I,0)+1,1):INDEX(G:G,MATCH(I1823,I:I,0)-1,1)),"")</f>
        <v>#NAME?</v>
      </c>
      <c r="I1823" s="200" t="str">
        <f>IF(OR(B1823=リスト!$C$5,B1823=リスト!$C$6),COUNTIF($B$9:B1823,リスト!$C$5)+COUNTIF($B$9:B1823,リスト!$C$6),"")</f>
        <v/>
      </c>
    </row>
    <row r="1824" spans="2:9" x14ac:dyDescent="0.2">
      <c r="B1824" s="196"/>
      <c r="C1824" s="197"/>
      <c r="D1824" s="197"/>
      <c r="E1824" s="198" t="e">
        <f ca="1">mif(OR(C1824="",B1824=リスト!$C$7),"",B1824="","RF",OR(B1824=リスト!$C$5,B1824=リスト!$C$6),COUNTBLANK(INDEX(B:B,MATCH(I1824-1,I:I,0)+1,1):INDEX(B:B,MATCH(I1824,I:I,0)-1,1)),"")</f>
        <v>#NAME?</v>
      </c>
      <c r="F1824" s="199" t="s">
        <v>189</v>
      </c>
      <c r="G1824" s="140" t="e">
        <f ca="1">mif(C1824="","",OR(B1824=リスト!$C$5,B1824=リスト!$C$6),SUM(INDEX(G:G,MATCH(I1824-1,I:I,0)+1,1):INDEX(G:G,MATCH(I1824,I:I,0)-1,1)),D1824-C1824)</f>
        <v>#NAME?</v>
      </c>
      <c r="H1824" s="140" t="e">
        <f ca="1">mif(C1824="","",B1824=リスト!$C$5,SUMIF(INDEX(B:B,MATCH(I1824-1,I:I,0)+1,1):INDEX(B:B,MATCH(I1824,I:I,0)-1,1),リスト!$C$7,INDEX(G:G,MATCH(I1824-1,I:I,0)+1,1):INDEX(G:G,MATCH(I1824,I:I,0)-1,1)),"")</f>
        <v>#NAME?</v>
      </c>
      <c r="I1824" s="200" t="str">
        <f>IF(OR(B1824=リスト!$C$5,B1824=リスト!$C$6),COUNTIF($B$9:B1824,リスト!$C$5)+COUNTIF($B$9:B1824,リスト!$C$6),"")</f>
        <v/>
      </c>
    </row>
    <row r="1825" spans="2:9" x14ac:dyDescent="0.2">
      <c r="B1825" s="196"/>
      <c r="C1825" s="197"/>
      <c r="D1825" s="197"/>
      <c r="E1825" s="198" t="e">
        <f ca="1">mif(OR(C1825="",B1825=リスト!$C$7),"",B1825="","RF",OR(B1825=リスト!$C$5,B1825=リスト!$C$6),COUNTBLANK(INDEX(B:B,MATCH(I1825-1,I:I,0)+1,1):INDEX(B:B,MATCH(I1825,I:I,0)-1,1)),"")</f>
        <v>#NAME?</v>
      </c>
      <c r="F1825" s="199" t="s">
        <v>189</v>
      </c>
      <c r="G1825" s="140" t="e">
        <f ca="1">mif(C1825="","",OR(B1825=リスト!$C$5,B1825=リスト!$C$6),SUM(INDEX(G:G,MATCH(I1825-1,I:I,0)+1,1):INDEX(G:G,MATCH(I1825,I:I,0)-1,1)),D1825-C1825)</f>
        <v>#NAME?</v>
      </c>
      <c r="H1825" s="140" t="e">
        <f ca="1">mif(C1825="","",B1825=リスト!$C$5,SUMIF(INDEX(B:B,MATCH(I1825-1,I:I,0)+1,1):INDEX(B:B,MATCH(I1825,I:I,0)-1,1),リスト!$C$7,INDEX(G:G,MATCH(I1825-1,I:I,0)+1,1):INDEX(G:G,MATCH(I1825,I:I,0)-1,1)),"")</f>
        <v>#NAME?</v>
      </c>
      <c r="I1825" s="200" t="str">
        <f>IF(OR(B1825=リスト!$C$5,B1825=リスト!$C$6),COUNTIF($B$9:B1825,リスト!$C$5)+COUNTIF($B$9:B1825,リスト!$C$6),"")</f>
        <v/>
      </c>
    </row>
    <row r="1826" spans="2:9" x14ac:dyDescent="0.2">
      <c r="B1826" s="196"/>
      <c r="C1826" s="197"/>
      <c r="D1826" s="197"/>
      <c r="E1826" s="198" t="e">
        <f ca="1">mif(OR(C1826="",B1826=リスト!$C$7),"",B1826="","RF",OR(B1826=リスト!$C$5,B1826=リスト!$C$6),COUNTBLANK(INDEX(B:B,MATCH(I1826-1,I:I,0)+1,1):INDEX(B:B,MATCH(I1826,I:I,0)-1,1)),"")</f>
        <v>#NAME?</v>
      </c>
      <c r="F1826" s="199" t="s">
        <v>189</v>
      </c>
      <c r="G1826" s="140" t="e">
        <f ca="1">mif(C1826="","",OR(B1826=リスト!$C$5,B1826=リスト!$C$6),SUM(INDEX(G:G,MATCH(I1826-1,I:I,0)+1,1):INDEX(G:G,MATCH(I1826,I:I,0)-1,1)),D1826-C1826)</f>
        <v>#NAME?</v>
      </c>
      <c r="H1826" s="140" t="e">
        <f ca="1">mif(C1826="","",B1826=リスト!$C$5,SUMIF(INDEX(B:B,MATCH(I1826-1,I:I,0)+1,1):INDEX(B:B,MATCH(I1826,I:I,0)-1,1),リスト!$C$7,INDEX(G:G,MATCH(I1826-1,I:I,0)+1,1):INDEX(G:G,MATCH(I1826,I:I,0)-1,1)),"")</f>
        <v>#NAME?</v>
      </c>
      <c r="I1826" s="200" t="str">
        <f>IF(OR(B1826=リスト!$C$5,B1826=リスト!$C$6),COUNTIF($B$9:B1826,リスト!$C$5)+COUNTIF($B$9:B1826,リスト!$C$6),"")</f>
        <v/>
      </c>
    </row>
    <row r="1827" spans="2:9" x14ac:dyDescent="0.2">
      <c r="B1827" s="196"/>
      <c r="C1827" s="197"/>
      <c r="D1827" s="197"/>
      <c r="E1827" s="198" t="e">
        <f ca="1">mif(OR(C1827="",B1827=リスト!$C$7),"",B1827="","RF",OR(B1827=リスト!$C$5,B1827=リスト!$C$6),COUNTBLANK(INDEX(B:B,MATCH(I1827-1,I:I,0)+1,1):INDEX(B:B,MATCH(I1827,I:I,0)-1,1)),"")</f>
        <v>#NAME?</v>
      </c>
      <c r="F1827" s="199" t="s">
        <v>189</v>
      </c>
      <c r="G1827" s="140" t="e">
        <f ca="1">mif(C1827="","",OR(B1827=リスト!$C$5,B1827=リスト!$C$6),SUM(INDEX(G:G,MATCH(I1827-1,I:I,0)+1,1):INDEX(G:G,MATCH(I1827,I:I,0)-1,1)),D1827-C1827)</f>
        <v>#NAME?</v>
      </c>
      <c r="H1827" s="140" t="e">
        <f ca="1">mif(C1827="","",B1827=リスト!$C$5,SUMIF(INDEX(B:B,MATCH(I1827-1,I:I,0)+1,1):INDEX(B:B,MATCH(I1827,I:I,0)-1,1),リスト!$C$7,INDEX(G:G,MATCH(I1827-1,I:I,0)+1,1):INDEX(G:G,MATCH(I1827,I:I,0)-1,1)),"")</f>
        <v>#NAME?</v>
      </c>
      <c r="I1827" s="200" t="str">
        <f>IF(OR(B1827=リスト!$C$5,B1827=リスト!$C$6),COUNTIF($B$9:B1827,リスト!$C$5)+COUNTIF($B$9:B1827,リスト!$C$6),"")</f>
        <v/>
      </c>
    </row>
    <row r="1828" spans="2:9" x14ac:dyDescent="0.2">
      <c r="B1828" s="196"/>
      <c r="C1828" s="197"/>
      <c r="D1828" s="197"/>
      <c r="E1828" s="198" t="e">
        <f ca="1">mif(OR(C1828="",B1828=リスト!$C$7),"",B1828="","RF",OR(B1828=リスト!$C$5,B1828=リスト!$C$6),COUNTBLANK(INDEX(B:B,MATCH(I1828-1,I:I,0)+1,1):INDEX(B:B,MATCH(I1828,I:I,0)-1,1)),"")</f>
        <v>#NAME?</v>
      </c>
      <c r="F1828" s="199" t="s">
        <v>189</v>
      </c>
      <c r="G1828" s="140" t="e">
        <f ca="1">mif(C1828="","",OR(B1828=リスト!$C$5,B1828=リスト!$C$6),SUM(INDEX(G:G,MATCH(I1828-1,I:I,0)+1,1):INDEX(G:G,MATCH(I1828,I:I,0)-1,1)),D1828-C1828)</f>
        <v>#NAME?</v>
      </c>
      <c r="H1828" s="140" t="e">
        <f ca="1">mif(C1828="","",B1828=リスト!$C$5,SUMIF(INDEX(B:B,MATCH(I1828-1,I:I,0)+1,1):INDEX(B:B,MATCH(I1828,I:I,0)-1,1),リスト!$C$7,INDEX(G:G,MATCH(I1828-1,I:I,0)+1,1):INDEX(G:G,MATCH(I1828,I:I,0)-1,1)),"")</f>
        <v>#NAME?</v>
      </c>
      <c r="I1828" s="200" t="str">
        <f>IF(OR(B1828=リスト!$C$5,B1828=リスト!$C$6),COUNTIF($B$9:B1828,リスト!$C$5)+COUNTIF($B$9:B1828,リスト!$C$6),"")</f>
        <v/>
      </c>
    </row>
    <row r="1829" spans="2:9" x14ac:dyDescent="0.2">
      <c r="B1829" s="196"/>
      <c r="C1829" s="197"/>
      <c r="D1829" s="197"/>
      <c r="E1829" s="198" t="e">
        <f ca="1">mif(OR(C1829="",B1829=リスト!$C$7),"",B1829="","RF",OR(B1829=リスト!$C$5,B1829=リスト!$C$6),COUNTBLANK(INDEX(B:B,MATCH(I1829-1,I:I,0)+1,1):INDEX(B:B,MATCH(I1829,I:I,0)-1,1)),"")</f>
        <v>#NAME?</v>
      </c>
      <c r="F1829" s="199" t="s">
        <v>189</v>
      </c>
      <c r="G1829" s="140" t="e">
        <f ca="1">mif(C1829="","",OR(B1829=リスト!$C$5,B1829=リスト!$C$6),SUM(INDEX(G:G,MATCH(I1829-1,I:I,0)+1,1):INDEX(G:G,MATCH(I1829,I:I,0)-1,1)),D1829-C1829)</f>
        <v>#NAME?</v>
      </c>
      <c r="H1829" s="140" t="e">
        <f ca="1">mif(C1829="","",B1829=リスト!$C$5,SUMIF(INDEX(B:B,MATCH(I1829-1,I:I,0)+1,1):INDEX(B:B,MATCH(I1829,I:I,0)-1,1),リスト!$C$7,INDEX(G:G,MATCH(I1829-1,I:I,0)+1,1):INDEX(G:G,MATCH(I1829,I:I,0)-1,1)),"")</f>
        <v>#NAME?</v>
      </c>
      <c r="I1829" s="200" t="str">
        <f>IF(OR(B1829=リスト!$C$5,B1829=リスト!$C$6),COUNTIF($B$9:B1829,リスト!$C$5)+COUNTIF($B$9:B1829,リスト!$C$6),"")</f>
        <v/>
      </c>
    </row>
    <row r="1830" spans="2:9" x14ac:dyDescent="0.2">
      <c r="B1830" s="196"/>
      <c r="C1830" s="197"/>
      <c r="D1830" s="197"/>
      <c r="E1830" s="198" t="e">
        <f ca="1">mif(OR(C1830="",B1830=リスト!$C$7),"",B1830="","RF",OR(B1830=リスト!$C$5,B1830=リスト!$C$6),COUNTBLANK(INDEX(B:B,MATCH(I1830-1,I:I,0)+1,1):INDEX(B:B,MATCH(I1830,I:I,0)-1,1)),"")</f>
        <v>#NAME?</v>
      </c>
      <c r="F1830" s="199" t="s">
        <v>189</v>
      </c>
      <c r="G1830" s="140" t="e">
        <f ca="1">mif(C1830="","",OR(B1830=リスト!$C$5,B1830=リスト!$C$6),SUM(INDEX(G:G,MATCH(I1830-1,I:I,0)+1,1):INDEX(G:G,MATCH(I1830,I:I,0)-1,1)),D1830-C1830)</f>
        <v>#NAME?</v>
      </c>
      <c r="H1830" s="140" t="e">
        <f ca="1">mif(C1830="","",B1830=リスト!$C$5,SUMIF(INDEX(B:B,MATCH(I1830-1,I:I,0)+1,1):INDEX(B:B,MATCH(I1830,I:I,0)-1,1),リスト!$C$7,INDEX(G:G,MATCH(I1830-1,I:I,0)+1,1):INDEX(G:G,MATCH(I1830,I:I,0)-1,1)),"")</f>
        <v>#NAME?</v>
      </c>
      <c r="I1830" s="200" t="str">
        <f>IF(OR(B1830=リスト!$C$5,B1830=リスト!$C$6),COUNTIF($B$9:B1830,リスト!$C$5)+COUNTIF($B$9:B1830,リスト!$C$6),"")</f>
        <v/>
      </c>
    </row>
    <row r="1831" spans="2:9" x14ac:dyDescent="0.2">
      <c r="B1831" s="196"/>
      <c r="C1831" s="197"/>
      <c r="D1831" s="197"/>
      <c r="E1831" s="198" t="e">
        <f ca="1">mif(OR(C1831="",B1831=リスト!$C$7),"",B1831="","RF",OR(B1831=リスト!$C$5,B1831=リスト!$C$6),COUNTBLANK(INDEX(B:B,MATCH(I1831-1,I:I,0)+1,1):INDEX(B:B,MATCH(I1831,I:I,0)-1,1)),"")</f>
        <v>#NAME?</v>
      </c>
      <c r="F1831" s="199" t="s">
        <v>189</v>
      </c>
      <c r="G1831" s="140" t="e">
        <f ca="1">mif(C1831="","",OR(B1831=リスト!$C$5,B1831=リスト!$C$6),SUM(INDEX(G:G,MATCH(I1831-1,I:I,0)+1,1):INDEX(G:G,MATCH(I1831,I:I,0)-1,1)),D1831-C1831)</f>
        <v>#NAME?</v>
      </c>
      <c r="H1831" s="140" t="e">
        <f ca="1">mif(C1831="","",B1831=リスト!$C$5,SUMIF(INDEX(B:B,MATCH(I1831-1,I:I,0)+1,1):INDEX(B:B,MATCH(I1831,I:I,0)-1,1),リスト!$C$7,INDEX(G:G,MATCH(I1831-1,I:I,0)+1,1):INDEX(G:G,MATCH(I1831,I:I,0)-1,1)),"")</f>
        <v>#NAME?</v>
      </c>
      <c r="I1831" s="200" t="str">
        <f>IF(OR(B1831=リスト!$C$5,B1831=リスト!$C$6),COUNTIF($B$9:B1831,リスト!$C$5)+COUNTIF($B$9:B1831,リスト!$C$6),"")</f>
        <v/>
      </c>
    </row>
    <row r="1832" spans="2:9" x14ac:dyDescent="0.2">
      <c r="B1832" s="196"/>
      <c r="C1832" s="197"/>
      <c r="D1832" s="197"/>
      <c r="E1832" s="198" t="e">
        <f ca="1">mif(OR(C1832="",B1832=リスト!$C$7),"",B1832="","RF",OR(B1832=リスト!$C$5,B1832=リスト!$C$6),COUNTBLANK(INDEX(B:B,MATCH(I1832-1,I:I,0)+1,1):INDEX(B:B,MATCH(I1832,I:I,0)-1,1)),"")</f>
        <v>#NAME?</v>
      </c>
      <c r="F1832" s="199" t="s">
        <v>189</v>
      </c>
      <c r="G1832" s="140" t="e">
        <f ca="1">mif(C1832="","",OR(B1832=リスト!$C$5,B1832=リスト!$C$6),SUM(INDEX(G:G,MATCH(I1832-1,I:I,0)+1,1):INDEX(G:G,MATCH(I1832,I:I,0)-1,1)),D1832-C1832)</f>
        <v>#NAME?</v>
      </c>
      <c r="H1832" s="140" t="e">
        <f ca="1">mif(C1832="","",B1832=リスト!$C$5,SUMIF(INDEX(B:B,MATCH(I1832-1,I:I,0)+1,1):INDEX(B:B,MATCH(I1832,I:I,0)-1,1),リスト!$C$7,INDEX(G:G,MATCH(I1832-1,I:I,0)+1,1):INDEX(G:G,MATCH(I1832,I:I,0)-1,1)),"")</f>
        <v>#NAME?</v>
      </c>
      <c r="I1832" s="200" t="str">
        <f>IF(OR(B1832=リスト!$C$5,B1832=リスト!$C$6),COUNTIF($B$9:B1832,リスト!$C$5)+COUNTIF($B$9:B1832,リスト!$C$6),"")</f>
        <v/>
      </c>
    </row>
    <row r="1833" spans="2:9" x14ac:dyDescent="0.2">
      <c r="B1833" s="196"/>
      <c r="C1833" s="197"/>
      <c r="D1833" s="197"/>
      <c r="E1833" s="198" t="e">
        <f ca="1">mif(OR(C1833="",B1833=リスト!$C$7),"",B1833="","RF",OR(B1833=リスト!$C$5,B1833=リスト!$C$6),COUNTBLANK(INDEX(B:B,MATCH(I1833-1,I:I,0)+1,1):INDEX(B:B,MATCH(I1833,I:I,0)-1,1)),"")</f>
        <v>#NAME?</v>
      </c>
      <c r="F1833" s="199" t="s">
        <v>189</v>
      </c>
      <c r="G1833" s="140" t="e">
        <f ca="1">mif(C1833="","",OR(B1833=リスト!$C$5,B1833=リスト!$C$6),SUM(INDEX(G:G,MATCH(I1833-1,I:I,0)+1,1):INDEX(G:G,MATCH(I1833,I:I,0)-1,1)),D1833-C1833)</f>
        <v>#NAME?</v>
      </c>
      <c r="H1833" s="140" t="e">
        <f ca="1">mif(C1833="","",B1833=リスト!$C$5,SUMIF(INDEX(B:B,MATCH(I1833-1,I:I,0)+1,1):INDEX(B:B,MATCH(I1833,I:I,0)-1,1),リスト!$C$7,INDEX(G:G,MATCH(I1833-1,I:I,0)+1,1):INDEX(G:G,MATCH(I1833,I:I,0)-1,1)),"")</f>
        <v>#NAME?</v>
      </c>
      <c r="I1833" s="200" t="str">
        <f>IF(OR(B1833=リスト!$C$5,B1833=リスト!$C$6),COUNTIF($B$9:B1833,リスト!$C$5)+COUNTIF($B$9:B1833,リスト!$C$6),"")</f>
        <v/>
      </c>
    </row>
    <row r="1834" spans="2:9" x14ac:dyDescent="0.2">
      <c r="B1834" s="196"/>
      <c r="C1834" s="197"/>
      <c r="D1834" s="197"/>
      <c r="E1834" s="198" t="e">
        <f ca="1">mif(OR(C1834="",B1834=リスト!$C$7),"",B1834="","RF",OR(B1834=リスト!$C$5,B1834=リスト!$C$6),COUNTBLANK(INDEX(B:B,MATCH(I1834-1,I:I,0)+1,1):INDEX(B:B,MATCH(I1834,I:I,0)-1,1)),"")</f>
        <v>#NAME?</v>
      </c>
      <c r="F1834" s="199" t="s">
        <v>189</v>
      </c>
      <c r="G1834" s="140" t="e">
        <f ca="1">mif(C1834="","",OR(B1834=リスト!$C$5,B1834=リスト!$C$6),SUM(INDEX(G:G,MATCH(I1834-1,I:I,0)+1,1):INDEX(G:G,MATCH(I1834,I:I,0)-1,1)),D1834-C1834)</f>
        <v>#NAME?</v>
      </c>
      <c r="H1834" s="140" t="e">
        <f ca="1">mif(C1834="","",B1834=リスト!$C$5,SUMIF(INDEX(B:B,MATCH(I1834-1,I:I,0)+1,1):INDEX(B:B,MATCH(I1834,I:I,0)-1,1),リスト!$C$7,INDEX(G:G,MATCH(I1834-1,I:I,0)+1,1):INDEX(G:G,MATCH(I1834,I:I,0)-1,1)),"")</f>
        <v>#NAME?</v>
      </c>
      <c r="I1834" s="200" t="str">
        <f>IF(OR(B1834=リスト!$C$5,B1834=リスト!$C$6),COUNTIF($B$9:B1834,リスト!$C$5)+COUNTIF($B$9:B1834,リスト!$C$6),"")</f>
        <v/>
      </c>
    </row>
    <row r="1835" spans="2:9" x14ac:dyDescent="0.2">
      <c r="B1835" s="196"/>
      <c r="C1835" s="197"/>
      <c r="D1835" s="197"/>
      <c r="E1835" s="198" t="e">
        <f ca="1">mif(OR(C1835="",B1835=リスト!$C$7),"",B1835="","RF",OR(B1835=リスト!$C$5,B1835=リスト!$C$6),COUNTBLANK(INDEX(B:B,MATCH(I1835-1,I:I,0)+1,1):INDEX(B:B,MATCH(I1835,I:I,0)-1,1)),"")</f>
        <v>#NAME?</v>
      </c>
      <c r="F1835" s="199" t="s">
        <v>189</v>
      </c>
      <c r="G1835" s="140" t="e">
        <f ca="1">mif(C1835="","",OR(B1835=リスト!$C$5,B1835=リスト!$C$6),SUM(INDEX(G:G,MATCH(I1835-1,I:I,0)+1,1):INDEX(G:G,MATCH(I1835,I:I,0)-1,1)),D1835-C1835)</f>
        <v>#NAME?</v>
      </c>
      <c r="H1835" s="140" t="e">
        <f ca="1">mif(C1835="","",B1835=リスト!$C$5,SUMIF(INDEX(B:B,MATCH(I1835-1,I:I,0)+1,1):INDEX(B:B,MATCH(I1835,I:I,0)-1,1),リスト!$C$7,INDEX(G:G,MATCH(I1835-1,I:I,0)+1,1):INDEX(G:G,MATCH(I1835,I:I,0)-1,1)),"")</f>
        <v>#NAME?</v>
      </c>
      <c r="I1835" s="200" t="str">
        <f>IF(OR(B1835=リスト!$C$5,B1835=リスト!$C$6),COUNTIF($B$9:B1835,リスト!$C$5)+COUNTIF($B$9:B1835,リスト!$C$6),"")</f>
        <v/>
      </c>
    </row>
    <row r="1836" spans="2:9" x14ac:dyDescent="0.2">
      <c r="B1836" s="196"/>
      <c r="C1836" s="197"/>
      <c r="D1836" s="197"/>
      <c r="E1836" s="198" t="e">
        <f ca="1">mif(OR(C1836="",B1836=リスト!$C$7),"",B1836="","RF",OR(B1836=リスト!$C$5,B1836=リスト!$C$6),COUNTBLANK(INDEX(B:B,MATCH(I1836-1,I:I,0)+1,1):INDEX(B:B,MATCH(I1836,I:I,0)-1,1)),"")</f>
        <v>#NAME?</v>
      </c>
      <c r="F1836" s="199" t="s">
        <v>189</v>
      </c>
      <c r="G1836" s="140" t="e">
        <f ca="1">mif(C1836="","",OR(B1836=リスト!$C$5,B1836=リスト!$C$6),SUM(INDEX(G:G,MATCH(I1836-1,I:I,0)+1,1):INDEX(G:G,MATCH(I1836,I:I,0)-1,1)),D1836-C1836)</f>
        <v>#NAME?</v>
      </c>
      <c r="H1836" s="140" t="e">
        <f ca="1">mif(C1836="","",B1836=リスト!$C$5,SUMIF(INDEX(B:B,MATCH(I1836-1,I:I,0)+1,1):INDEX(B:B,MATCH(I1836,I:I,0)-1,1),リスト!$C$7,INDEX(G:G,MATCH(I1836-1,I:I,0)+1,1):INDEX(G:G,MATCH(I1836,I:I,0)-1,1)),"")</f>
        <v>#NAME?</v>
      </c>
      <c r="I1836" s="200" t="str">
        <f>IF(OR(B1836=リスト!$C$5,B1836=リスト!$C$6),COUNTIF($B$9:B1836,リスト!$C$5)+COUNTIF($B$9:B1836,リスト!$C$6),"")</f>
        <v/>
      </c>
    </row>
    <row r="1837" spans="2:9" x14ac:dyDescent="0.2">
      <c r="B1837" s="196"/>
      <c r="C1837" s="197"/>
      <c r="D1837" s="197"/>
      <c r="E1837" s="198" t="e">
        <f ca="1">mif(OR(C1837="",B1837=リスト!$C$7),"",B1837="","RF",OR(B1837=リスト!$C$5,B1837=リスト!$C$6),COUNTBLANK(INDEX(B:B,MATCH(I1837-1,I:I,0)+1,1):INDEX(B:B,MATCH(I1837,I:I,0)-1,1)),"")</f>
        <v>#NAME?</v>
      </c>
      <c r="F1837" s="199" t="s">
        <v>189</v>
      </c>
      <c r="G1837" s="140" t="e">
        <f ca="1">mif(C1837="","",OR(B1837=リスト!$C$5,B1837=リスト!$C$6),SUM(INDEX(G:G,MATCH(I1837-1,I:I,0)+1,1):INDEX(G:G,MATCH(I1837,I:I,0)-1,1)),D1837-C1837)</f>
        <v>#NAME?</v>
      </c>
      <c r="H1837" s="140" t="e">
        <f ca="1">mif(C1837="","",B1837=リスト!$C$5,SUMIF(INDEX(B:B,MATCH(I1837-1,I:I,0)+1,1):INDEX(B:B,MATCH(I1837,I:I,0)-1,1),リスト!$C$7,INDEX(G:G,MATCH(I1837-1,I:I,0)+1,1):INDEX(G:G,MATCH(I1837,I:I,0)-1,1)),"")</f>
        <v>#NAME?</v>
      </c>
      <c r="I1837" s="200" t="str">
        <f>IF(OR(B1837=リスト!$C$5,B1837=リスト!$C$6),COUNTIF($B$9:B1837,リスト!$C$5)+COUNTIF($B$9:B1837,リスト!$C$6),"")</f>
        <v/>
      </c>
    </row>
    <row r="1838" spans="2:9" x14ac:dyDescent="0.2">
      <c r="B1838" s="196"/>
      <c r="C1838" s="197"/>
      <c r="D1838" s="197"/>
      <c r="E1838" s="198" t="e">
        <f ca="1">mif(OR(C1838="",B1838=リスト!$C$7),"",B1838="","RF",OR(B1838=リスト!$C$5,B1838=リスト!$C$6),COUNTBLANK(INDEX(B:B,MATCH(I1838-1,I:I,0)+1,1):INDEX(B:B,MATCH(I1838,I:I,0)-1,1)),"")</f>
        <v>#NAME?</v>
      </c>
      <c r="F1838" s="199" t="s">
        <v>189</v>
      </c>
      <c r="G1838" s="140" t="e">
        <f ca="1">mif(C1838="","",OR(B1838=リスト!$C$5,B1838=リスト!$C$6),SUM(INDEX(G:G,MATCH(I1838-1,I:I,0)+1,1):INDEX(G:G,MATCH(I1838,I:I,0)-1,1)),D1838-C1838)</f>
        <v>#NAME?</v>
      </c>
      <c r="H1838" s="140" t="e">
        <f ca="1">mif(C1838="","",B1838=リスト!$C$5,SUMIF(INDEX(B:B,MATCH(I1838-1,I:I,0)+1,1):INDEX(B:B,MATCH(I1838,I:I,0)-1,1),リスト!$C$7,INDEX(G:G,MATCH(I1838-1,I:I,0)+1,1):INDEX(G:G,MATCH(I1838,I:I,0)-1,1)),"")</f>
        <v>#NAME?</v>
      </c>
      <c r="I1838" s="200" t="str">
        <f>IF(OR(B1838=リスト!$C$5,B1838=リスト!$C$6),COUNTIF($B$9:B1838,リスト!$C$5)+COUNTIF($B$9:B1838,リスト!$C$6),"")</f>
        <v/>
      </c>
    </row>
    <row r="1839" spans="2:9" x14ac:dyDescent="0.2">
      <c r="B1839" s="196"/>
      <c r="C1839" s="197"/>
      <c r="D1839" s="197"/>
      <c r="E1839" s="198" t="e">
        <f ca="1">mif(OR(C1839="",B1839=リスト!$C$7),"",B1839="","RF",OR(B1839=リスト!$C$5,B1839=リスト!$C$6),COUNTBLANK(INDEX(B:B,MATCH(I1839-1,I:I,0)+1,1):INDEX(B:B,MATCH(I1839,I:I,0)-1,1)),"")</f>
        <v>#NAME?</v>
      </c>
      <c r="F1839" s="199" t="s">
        <v>189</v>
      </c>
      <c r="G1839" s="140" t="e">
        <f ca="1">mif(C1839="","",OR(B1839=リスト!$C$5,B1839=リスト!$C$6),SUM(INDEX(G:G,MATCH(I1839-1,I:I,0)+1,1):INDEX(G:G,MATCH(I1839,I:I,0)-1,1)),D1839-C1839)</f>
        <v>#NAME?</v>
      </c>
      <c r="H1839" s="140" t="e">
        <f ca="1">mif(C1839="","",B1839=リスト!$C$5,SUMIF(INDEX(B:B,MATCH(I1839-1,I:I,0)+1,1):INDEX(B:B,MATCH(I1839,I:I,0)-1,1),リスト!$C$7,INDEX(G:G,MATCH(I1839-1,I:I,0)+1,1):INDEX(G:G,MATCH(I1839,I:I,0)-1,1)),"")</f>
        <v>#NAME?</v>
      </c>
      <c r="I1839" s="200" t="str">
        <f>IF(OR(B1839=リスト!$C$5,B1839=リスト!$C$6),COUNTIF($B$9:B1839,リスト!$C$5)+COUNTIF($B$9:B1839,リスト!$C$6),"")</f>
        <v/>
      </c>
    </row>
    <row r="1840" spans="2:9" x14ac:dyDescent="0.2">
      <c r="B1840" s="196"/>
      <c r="C1840" s="197"/>
      <c r="D1840" s="197"/>
      <c r="E1840" s="198" t="e">
        <f ca="1">mif(OR(C1840="",B1840=リスト!$C$7),"",B1840="","RF",OR(B1840=リスト!$C$5,B1840=リスト!$C$6),COUNTBLANK(INDEX(B:B,MATCH(I1840-1,I:I,0)+1,1):INDEX(B:B,MATCH(I1840,I:I,0)-1,1)),"")</f>
        <v>#NAME?</v>
      </c>
      <c r="F1840" s="199" t="s">
        <v>189</v>
      </c>
      <c r="G1840" s="140" t="e">
        <f ca="1">mif(C1840="","",OR(B1840=リスト!$C$5,B1840=リスト!$C$6),SUM(INDEX(G:G,MATCH(I1840-1,I:I,0)+1,1):INDEX(G:G,MATCH(I1840,I:I,0)-1,1)),D1840-C1840)</f>
        <v>#NAME?</v>
      </c>
      <c r="H1840" s="140" t="e">
        <f ca="1">mif(C1840="","",B1840=リスト!$C$5,SUMIF(INDEX(B:B,MATCH(I1840-1,I:I,0)+1,1):INDEX(B:B,MATCH(I1840,I:I,0)-1,1),リスト!$C$7,INDEX(G:G,MATCH(I1840-1,I:I,0)+1,1):INDEX(G:G,MATCH(I1840,I:I,0)-1,1)),"")</f>
        <v>#NAME?</v>
      </c>
      <c r="I1840" s="200" t="str">
        <f>IF(OR(B1840=リスト!$C$5,B1840=リスト!$C$6),COUNTIF($B$9:B1840,リスト!$C$5)+COUNTIF($B$9:B1840,リスト!$C$6),"")</f>
        <v/>
      </c>
    </row>
    <row r="1841" spans="2:9" x14ac:dyDescent="0.2">
      <c r="B1841" s="196"/>
      <c r="C1841" s="197"/>
      <c r="D1841" s="197"/>
      <c r="E1841" s="198" t="e">
        <f ca="1">mif(OR(C1841="",B1841=リスト!$C$7),"",B1841="","RF",OR(B1841=リスト!$C$5,B1841=リスト!$C$6),COUNTBLANK(INDEX(B:B,MATCH(I1841-1,I:I,0)+1,1):INDEX(B:B,MATCH(I1841,I:I,0)-1,1)),"")</f>
        <v>#NAME?</v>
      </c>
      <c r="F1841" s="199" t="s">
        <v>189</v>
      </c>
      <c r="G1841" s="140" t="e">
        <f ca="1">mif(C1841="","",OR(B1841=リスト!$C$5,B1841=リスト!$C$6),SUM(INDEX(G:G,MATCH(I1841-1,I:I,0)+1,1):INDEX(G:G,MATCH(I1841,I:I,0)-1,1)),D1841-C1841)</f>
        <v>#NAME?</v>
      </c>
      <c r="H1841" s="140" t="e">
        <f ca="1">mif(C1841="","",B1841=リスト!$C$5,SUMIF(INDEX(B:B,MATCH(I1841-1,I:I,0)+1,1):INDEX(B:B,MATCH(I1841,I:I,0)-1,1),リスト!$C$7,INDEX(G:G,MATCH(I1841-1,I:I,0)+1,1):INDEX(G:G,MATCH(I1841,I:I,0)-1,1)),"")</f>
        <v>#NAME?</v>
      </c>
      <c r="I1841" s="200" t="str">
        <f>IF(OR(B1841=リスト!$C$5,B1841=リスト!$C$6),COUNTIF($B$9:B1841,リスト!$C$5)+COUNTIF($B$9:B1841,リスト!$C$6),"")</f>
        <v/>
      </c>
    </row>
    <row r="1842" spans="2:9" x14ac:dyDescent="0.2">
      <c r="B1842" s="196"/>
      <c r="C1842" s="197"/>
      <c r="D1842" s="197"/>
      <c r="E1842" s="198" t="e">
        <f ca="1">mif(OR(C1842="",B1842=リスト!$C$7),"",B1842="","RF",OR(B1842=リスト!$C$5,B1842=リスト!$C$6),COUNTBLANK(INDEX(B:B,MATCH(I1842-1,I:I,0)+1,1):INDEX(B:B,MATCH(I1842,I:I,0)-1,1)),"")</f>
        <v>#NAME?</v>
      </c>
      <c r="F1842" s="199" t="s">
        <v>189</v>
      </c>
      <c r="G1842" s="140" t="e">
        <f ca="1">mif(C1842="","",OR(B1842=リスト!$C$5,B1842=リスト!$C$6),SUM(INDEX(G:G,MATCH(I1842-1,I:I,0)+1,1):INDEX(G:G,MATCH(I1842,I:I,0)-1,1)),D1842-C1842)</f>
        <v>#NAME?</v>
      </c>
      <c r="H1842" s="140" t="e">
        <f ca="1">mif(C1842="","",B1842=リスト!$C$5,SUMIF(INDEX(B:B,MATCH(I1842-1,I:I,0)+1,1):INDEX(B:B,MATCH(I1842,I:I,0)-1,1),リスト!$C$7,INDEX(G:G,MATCH(I1842-1,I:I,0)+1,1):INDEX(G:G,MATCH(I1842,I:I,0)-1,1)),"")</f>
        <v>#NAME?</v>
      </c>
      <c r="I1842" s="200" t="str">
        <f>IF(OR(B1842=リスト!$C$5,B1842=リスト!$C$6),COUNTIF($B$9:B1842,リスト!$C$5)+COUNTIF($B$9:B1842,リスト!$C$6),"")</f>
        <v/>
      </c>
    </row>
    <row r="1843" spans="2:9" x14ac:dyDescent="0.2">
      <c r="B1843" s="196"/>
      <c r="C1843" s="197"/>
      <c r="D1843" s="197"/>
      <c r="E1843" s="198" t="e">
        <f ca="1">mif(OR(C1843="",B1843=リスト!$C$7),"",B1843="","RF",OR(B1843=リスト!$C$5,B1843=リスト!$C$6),COUNTBLANK(INDEX(B:B,MATCH(I1843-1,I:I,0)+1,1):INDEX(B:B,MATCH(I1843,I:I,0)-1,1)),"")</f>
        <v>#NAME?</v>
      </c>
      <c r="F1843" s="199" t="s">
        <v>189</v>
      </c>
      <c r="G1843" s="140" t="e">
        <f ca="1">mif(C1843="","",OR(B1843=リスト!$C$5,B1843=リスト!$C$6),SUM(INDEX(G:G,MATCH(I1843-1,I:I,0)+1,1):INDEX(G:G,MATCH(I1843,I:I,0)-1,1)),D1843-C1843)</f>
        <v>#NAME?</v>
      </c>
      <c r="H1843" s="140" t="e">
        <f ca="1">mif(C1843="","",B1843=リスト!$C$5,SUMIF(INDEX(B:B,MATCH(I1843-1,I:I,0)+1,1):INDEX(B:B,MATCH(I1843,I:I,0)-1,1),リスト!$C$7,INDEX(G:G,MATCH(I1843-1,I:I,0)+1,1):INDEX(G:G,MATCH(I1843,I:I,0)-1,1)),"")</f>
        <v>#NAME?</v>
      </c>
      <c r="I1843" s="200" t="str">
        <f>IF(OR(B1843=リスト!$C$5,B1843=リスト!$C$6),COUNTIF($B$9:B1843,リスト!$C$5)+COUNTIF($B$9:B1843,リスト!$C$6),"")</f>
        <v/>
      </c>
    </row>
    <row r="1844" spans="2:9" x14ac:dyDescent="0.2">
      <c r="B1844" s="196"/>
      <c r="C1844" s="197"/>
      <c r="D1844" s="197"/>
      <c r="E1844" s="198" t="e">
        <f ca="1">mif(OR(C1844="",B1844=リスト!$C$7),"",B1844="","RF",OR(B1844=リスト!$C$5,B1844=リスト!$C$6),COUNTBLANK(INDEX(B:B,MATCH(I1844-1,I:I,0)+1,1):INDEX(B:B,MATCH(I1844,I:I,0)-1,1)),"")</f>
        <v>#NAME?</v>
      </c>
      <c r="F1844" s="199" t="s">
        <v>189</v>
      </c>
      <c r="G1844" s="140" t="e">
        <f ca="1">mif(C1844="","",OR(B1844=リスト!$C$5,B1844=リスト!$C$6),SUM(INDEX(G:G,MATCH(I1844-1,I:I,0)+1,1):INDEX(G:G,MATCH(I1844,I:I,0)-1,1)),D1844-C1844)</f>
        <v>#NAME?</v>
      </c>
      <c r="H1844" s="140" t="e">
        <f ca="1">mif(C1844="","",B1844=リスト!$C$5,SUMIF(INDEX(B:B,MATCH(I1844-1,I:I,0)+1,1):INDEX(B:B,MATCH(I1844,I:I,0)-1,1),リスト!$C$7,INDEX(G:G,MATCH(I1844-1,I:I,0)+1,1):INDEX(G:G,MATCH(I1844,I:I,0)-1,1)),"")</f>
        <v>#NAME?</v>
      </c>
      <c r="I1844" s="200" t="str">
        <f>IF(OR(B1844=リスト!$C$5,B1844=リスト!$C$6),COUNTIF($B$9:B1844,リスト!$C$5)+COUNTIF($B$9:B1844,リスト!$C$6),"")</f>
        <v/>
      </c>
    </row>
    <row r="1845" spans="2:9" x14ac:dyDescent="0.2">
      <c r="B1845" s="196"/>
      <c r="C1845" s="197"/>
      <c r="D1845" s="197"/>
      <c r="E1845" s="198" t="e">
        <f ca="1">mif(OR(C1845="",B1845=リスト!$C$7),"",B1845="","RF",OR(B1845=リスト!$C$5,B1845=リスト!$C$6),COUNTBLANK(INDEX(B:B,MATCH(I1845-1,I:I,0)+1,1):INDEX(B:B,MATCH(I1845,I:I,0)-1,1)),"")</f>
        <v>#NAME?</v>
      </c>
      <c r="F1845" s="199" t="s">
        <v>189</v>
      </c>
      <c r="G1845" s="140" t="e">
        <f ca="1">mif(C1845="","",OR(B1845=リスト!$C$5,B1845=リスト!$C$6),SUM(INDEX(G:G,MATCH(I1845-1,I:I,0)+1,1):INDEX(G:G,MATCH(I1845,I:I,0)-1,1)),D1845-C1845)</f>
        <v>#NAME?</v>
      </c>
      <c r="H1845" s="140" t="e">
        <f ca="1">mif(C1845="","",B1845=リスト!$C$5,SUMIF(INDEX(B:B,MATCH(I1845-1,I:I,0)+1,1):INDEX(B:B,MATCH(I1845,I:I,0)-1,1),リスト!$C$7,INDEX(G:G,MATCH(I1845-1,I:I,0)+1,1):INDEX(G:G,MATCH(I1845,I:I,0)-1,1)),"")</f>
        <v>#NAME?</v>
      </c>
      <c r="I1845" s="200" t="str">
        <f>IF(OR(B1845=リスト!$C$5,B1845=リスト!$C$6),COUNTIF($B$9:B1845,リスト!$C$5)+COUNTIF($B$9:B1845,リスト!$C$6),"")</f>
        <v/>
      </c>
    </row>
    <row r="1846" spans="2:9" x14ac:dyDescent="0.2">
      <c r="B1846" s="196"/>
      <c r="C1846" s="197"/>
      <c r="D1846" s="197"/>
      <c r="E1846" s="198" t="e">
        <f ca="1">mif(OR(C1846="",B1846=リスト!$C$7),"",B1846="","RF",OR(B1846=リスト!$C$5,B1846=リスト!$C$6),COUNTBLANK(INDEX(B:B,MATCH(I1846-1,I:I,0)+1,1):INDEX(B:B,MATCH(I1846,I:I,0)-1,1)),"")</f>
        <v>#NAME?</v>
      </c>
      <c r="F1846" s="199" t="s">
        <v>189</v>
      </c>
      <c r="G1846" s="140" t="e">
        <f ca="1">mif(C1846="","",OR(B1846=リスト!$C$5,B1846=リスト!$C$6),SUM(INDEX(G:G,MATCH(I1846-1,I:I,0)+1,1):INDEX(G:G,MATCH(I1846,I:I,0)-1,1)),D1846-C1846)</f>
        <v>#NAME?</v>
      </c>
      <c r="H1846" s="140" t="e">
        <f ca="1">mif(C1846="","",B1846=リスト!$C$5,SUMIF(INDEX(B:B,MATCH(I1846-1,I:I,0)+1,1):INDEX(B:B,MATCH(I1846,I:I,0)-1,1),リスト!$C$7,INDEX(G:G,MATCH(I1846-1,I:I,0)+1,1):INDEX(G:G,MATCH(I1846,I:I,0)-1,1)),"")</f>
        <v>#NAME?</v>
      </c>
      <c r="I1846" s="200" t="str">
        <f>IF(OR(B1846=リスト!$C$5,B1846=リスト!$C$6),COUNTIF($B$9:B1846,リスト!$C$5)+COUNTIF($B$9:B1846,リスト!$C$6),"")</f>
        <v/>
      </c>
    </row>
    <row r="1847" spans="2:9" x14ac:dyDescent="0.2">
      <c r="B1847" s="196"/>
      <c r="C1847" s="197"/>
      <c r="D1847" s="197"/>
      <c r="E1847" s="198" t="e">
        <f ca="1">mif(OR(C1847="",B1847=リスト!$C$7),"",B1847="","RF",OR(B1847=リスト!$C$5,B1847=リスト!$C$6),COUNTBLANK(INDEX(B:B,MATCH(I1847-1,I:I,0)+1,1):INDEX(B:B,MATCH(I1847,I:I,0)-1,1)),"")</f>
        <v>#NAME?</v>
      </c>
      <c r="F1847" s="199" t="s">
        <v>189</v>
      </c>
      <c r="G1847" s="140" t="e">
        <f ca="1">mif(C1847="","",OR(B1847=リスト!$C$5,B1847=リスト!$C$6),SUM(INDEX(G:G,MATCH(I1847-1,I:I,0)+1,1):INDEX(G:G,MATCH(I1847,I:I,0)-1,1)),D1847-C1847)</f>
        <v>#NAME?</v>
      </c>
      <c r="H1847" s="140" t="e">
        <f ca="1">mif(C1847="","",B1847=リスト!$C$5,SUMIF(INDEX(B:B,MATCH(I1847-1,I:I,0)+1,1):INDEX(B:B,MATCH(I1847,I:I,0)-1,1),リスト!$C$7,INDEX(G:G,MATCH(I1847-1,I:I,0)+1,1):INDEX(G:G,MATCH(I1847,I:I,0)-1,1)),"")</f>
        <v>#NAME?</v>
      </c>
      <c r="I1847" s="200" t="str">
        <f>IF(OR(B1847=リスト!$C$5,B1847=リスト!$C$6),COUNTIF($B$9:B1847,リスト!$C$5)+COUNTIF($B$9:B1847,リスト!$C$6),"")</f>
        <v/>
      </c>
    </row>
    <row r="1848" spans="2:9" x14ac:dyDescent="0.2">
      <c r="B1848" s="196"/>
      <c r="C1848" s="197"/>
      <c r="D1848" s="197"/>
      <c r="E1848" s="198" t="e">
        <f ca="1">mif(OR(C1848="",B1848=リスト!$C$7),"",B1848="","RF",OR(B1848=リスト!$C$5,B1848=リスト!$C$6),COUNTBLANK(INDEX(B:B,MATCH(I1848-1,I:I,0)+1,1):INDEX(B:B,MATCH(I1848,I:I,0)-1,1)),"")</f>
        <v>#NAME?</v>
      </c>
      <c r="F1848" s="199" t="s">
        <v>189</v>
      </c>
      <c r="G1848" s="140" t="e">
        <f ca="1">mif(C1848="","",OR(B1848=リスト!$C$5,B1848=リスト!$C$6),SUM(INDEX(G:G,MATCH(I1848-1,I:I,0)+1,1):INDEX(G:G,MATCH(I1848,I:I,0)-1,1)),D1848-C1848)</f>
        <v>#NAME?</v>
      </c>
      <c r="H1848" s="140" t="e">
        <f ca="1">mif(C1848="","",B1848=リスト!$C$5,SUMIF(INDEX(B:B,MATCH(I1848-1,I:I,0)+1,1):INDEX(B:B,MATCH(I1848,I:I,0)-1,1),リスト!$C$7,INDEX(G:G,MATCH(I1848-1,I:I,0)+1,1):INDEX(G:G,MATCH(I1848,I:I,0)-1,1)),"")</f>
        <v>#NAME?</v>
      </c>
      <c r="I1848" s="200" t="str">
        <f>IF(OR(B1848=リスト!$C$5,B1848=リスト!$C$6),COUNTIF($B$9:B1848,リスト!$C$5)+COUNTIF($B$9:B1848,リスト!$C$6),"")</f>
        <v/>
      </c>
    </row>
    <row r="1849" spans="2:9" x14ac:dyDescent="0.2">
      <c r="B1849" s="196"/>
      <c r="C1849" s="197"/>
      <c r="D1849" s="197"/>
      <c r="E1849" s="198" t="e">
        <f ca="1">mif(OR(C1849="",B1849=リスト!$C$7),"",B1849="","RF",OR(B1849=リスト!$C$5,B1849=リスト!$C$6),COUNTBLANK(INDEX(B:B,MATCH(I1849-1,I:I,0)+1,1):INDEX(B:B,MATCH(I1849,I:I,0)-1,1)),"")</f>
        <v>#NAME?</v>
      </c>
      <c r="F1849" s="199" t="s">
        <v>189</v>
      </c>
      <c r="G1849" s="140" t="e">
        <f ca="1">mif(C1849="","",OR(B1849=リスト!$C$5,B1849=リスト!$C$6),SUM(INDEX(G:G,MATCH(I1849-1,I:I,0)+1,1):INDEX(G:G,MATCH(I1849,I:I,0)-1,1)),D1849-C1849)</f>
        <v>#NAME?</v>
      </c>
      <c r="H1849" s="140" t="e">
        <f ca="1">mif(C1849="","",B1849=リスト!$C$5,SUMIF(INDEX(B:B,MATCH(I1849-1,I:I,0)+1,1):INDEX(B:B,MATCH(I1849,I:I,0)-1,1),リスト!$C$7,INDEX(G:G,MATCH(I1849-1,I:I,0)+1,1):INDEX(G:G,MATCH(I1849,I:I,0)-1,1)),"")</f>
        <v>#NAME?</v>
      </c>
      <c r="I1849" s="200" t="str">
        <f>IF(OR(B1849=リスト!$C$5,B1849=リスト!$C$6),COUNTIF($B$9:B1849,リスト!$C$5)+COUNTIF($B$9:B1849,リスト!$C$6),"")</f>
        <v/>
      </c>
    </row>
    <row r="1850" spans="2:9" x14ac:dyDescent="0.2">
      <c r="B1850" s="196"/>
      <c r="C1850" s="197"/>
      <c r="D1850" s="197"/>
      <c r="E1850" s="198" t="e">
        <f ca="1">mif(OR(C1850="",B1850=リスト!$C$7),"",B1850="","RF",OR(B1850=リスト!$C$5,B1850=リスト!$C$6),COUNTBLANK(INDEX(B:B,MATCH(I1850-1,I:I,0)+1,1):INDEX(B:B,MATCH(I1850,I:I,0)-1,1)),"")</f>
        <v>#NAME?</v>
      </c>
      <c r="F1850" s="199" t="s">
        <v>189</v>
      </c>
      <c r="G1850" s="140" t="e">
        <f ca="1">mif(C1850="","",OR(B1850=リスト!$C$5,B1850=リスト!$C$6),SUM(INDEX(G:G,MATCH(I1850-1,I:I,0)+1,1):INDEX(G:G,MATCH(I1850,I:I,0)-1,1)),D1850-C1850)</f>
        <v>#NAME?</v>
      </c>
      <c r="H1850" s="140" t="e">
        <f ca="1">mif(C1850="","",B1850=リスト!$C$5,SUMIF(INDEX(B:B,MATCH(I1850-1,I:I,0)+1,1):INDEX(B:B,MATCH(I1850,I:I,0)-1,1),リスト!$C$7,INDEX(G:G,MATCH(I1850-1,I:I,0)+1,1):INDEX(G:G,MATCH(I1850,I:I,0)-1,1)),"")</f>
        <v>#NAME?</v>
      </c>
      <c r="I1850" s="200" t="str">
        <f>IF(OR(B1850=リスト!$C$5,B1850=リスト!$C$6),COUNTIF($B$9:B1850,リスト!$C$5)+COUNTIF($B$9:B1850,リスト!$C$6),"")</f>
        <v/>
      </c>
    </row>
    <row r="1851" spans="2:9" x14ac:dyDescent="0.2">
      <c r="B1851" s="196"/>
      <c r="C1851" s="197"/>
      <c r="D1851" s="197"/>
      <c r="E1851" s="198" t="e">
        <f ca="1">mif(OR(C1851="",B1851=リスト!$C$7),"",B1851="","RF",OR(B1851=リスト!$C$5,B1851=リスト!$C$6),COUNTBLANK(INDEX(B:B,MATCH(I1851-1,I:I,0)+1,1):INDEX(B:B,MATCH(I1851,I:I,0)-1,1)),"")</f>
        <v>#NAME?</v>
      </c>
      <c r="F1851" s="199" t="s">
        <v>189</v>
      </c>
      <c r="G1851" s="140" t="e">
        <f ca="1">mif(C1851="","",OR(B1851=リスト!$C$5,B1851=リスト!$C$6),SUM(INDEX(G:G,MATCH(I1851-1,I:I,0)+1,1):INDEX(G:G,MATCH(I1851,I:I,0)-1,1)),D1851-C1851)</f>
        <v>#NAME?</v>
      </c>
      <c r="H1851" s="140" t="e">
        <f ca="1">mif(C1851="","",B1851=リスト!$C$5,SUMIF(INDEX(B:B,MATCH(I1851-1,I:I,0)+1,1):INDEX(B:B,MATCH(I1851,I:I,0)-1,1),リスト!$C$7,INDEX(G:G,MATCH(I1851-1,I:I,0)+1,1):INDEX(G:G,MATCH(I1851,I:I,0)-1,1)),"")</f>
        <v>#NAME?</v>
      </c>
      <c r="I1851" s="200" t="str">
        <f>IF(OR(B1851=リスト!$C$5,B1851=リスト!$C$6),COUNTIF($B$9:B1851,リスト!$C$5)+COUNTIF($B$9:B1851,リスト!$C$6),"")</f>
        <v/>
      </c>
    </row>
    <row r="1852" spans="2:9" x14ac:dyDescent="0.2">
      <c r="B1852" s="196"/>
      <c r="C1852" s="197"/>
      <c r="D1852" s="197"/>
      <c r="E1852" s="198" t="e">
        <f ca="1">mif(OR(C1852="",B1852=リスト!$C$7),"",B1852="","RF",OR(B1852=リスト!$C$5,B1852=リスト!$C$6),COUNTBLANK(INDEX(B:B,MATCH(I1852-1,I:I,0)+1,1):INDEX(B:B,MATCH(I1852,I:I,0)-1,1)),"")</f>
        <v>#NAME?</v>
      </c>
      <c r="F1852" s="199" t="s">
        <v>189</v>
      </c>
      <c r="G1852" s="140" t="e">
        <f ca="1">mif(C1852="","",OR(B1852=リスト!$C$5,B1852=リスト!$C$6),SUM(INDEX(G:G,MATCH(I1852-1,I:I,0)+1,1):INDEX(G:G,MATCH(I1852,I:I,0)-1,1)),D1852-C1852)</f>
        <v>#NAME?</v>
      </c>
      <c r="H1852" s="140" t="e">
        <f ca="1">mif(C1852="","",B1852=リスト!$C$5,SUMIF(INDEX(B:B,MATCH(I1852-1,I:I,0)+1,1):INDEX(B:B,MATCH(I1852,I:I,0)-1,1),リスト!$C$7,INDEX(G:G,MATCH(I1852-1,I:I,0)+1,1):INDEX(G:G,MATCH(I1852,I:I,0)-1,1)),"")</f>
        <v>#NAME?</v>
      </c>
      <c r="I1852" s="200" t="str">
        <f>IF(OR(B1852=リスト!$C$5,B1852=リスト!$C$6),COUNTIF($B$9:B1852,リスト!$C$5)+COUNTIF($B$9:B1852,リスト!$C$6),"")</f>
        <v/>
      </c>
    </row>
    <row r="1853" spans="2:9" x14ac:dyDescent="0.2">
      <c r="B1853" s="196"/>
      <c r="C1853" s="197"/>
      <c r="D1853" s="197"/>
      <c r="E1853" s="198" t="e">
        <f ca="1">mif(OR(C1853="",B1853=リスト!$C$7),"",B1853="","RF",OR(B1853=リスト!$C$5,B1853=リスト!$C$6),COUNTBLANK(INDEX(B:B,MATCH(I1853-1,I:I,0)+1,1):INDEX(B:B,MATCH(I1853,I:I,0)-1,1)),"")</f>
        <v>#NAME?</v>
      </c>
      <c r="F1853" s="199" t="s">
        <v>189</v>
      </c>
      <c r="G1853" s="140" t="e">
        <f ca="1">mif(C1853="","",OR(B1853=リスト!$C$5,B1853=リスト!$C$6),SUM(INDEX(G:G,MATCH(I1853-1,I:I,0)+1,1):INDEX(G:G,MATCH(I1853,I:I,0)-1,1)),D1853-C1853)</f>
        <v>#NAME?</v>
      </c>
      <c r="H1853" s="140" t="e">
        <f ca="1">mif(C1853="","",B1853=リスト!$C$5,SUMIF(INDEX(B:B,MATCH(I1853-1,I:I,0)+1,1):INDEX(B:B,MATCH(I1853,I:I,0)-1,1),リスト!$C$7,INDEX(G:G,MATCH(I1853-1,I:I,0)+1,1):INDEX(G:G,MATCH(I1853,I:I,0)-1,1)),"")</f>
        <v>#NAME?</v>
      </c>
      <c r="I1853" s="200" t="str">
        <f>IF(OR(B1853=リスト!$C$5,B1853=リスト!$C$6),COUNTIF($B$9:B1853,リスト!$C$5)+COUNTIF($B$9:B1853,リスト!$C$6),"")</f>
        <v/>
      </c>
    </row>
    <row r="1854" spans="2:9" x14ac:dyDescent="0.2">
      <c r="B1854" s="196"/>
      <c r="C1854" s="197"/>
      <c r="D1854" s="197"/>
      <c r="E1854" s="198" t="e">
        <f ca="1">mif(OR(C1854="",B1854=リスト!$C$7),"",B1854="","RF",OR(B1854=リスト!$C$5,B1854=リスト!$C$6),COUNTBLANK(INDEX(B:B,MATCH(I1854-1,I:I,0)+1,1):INDEX(B:B,MATCH(I1854,I:I,0)-1,1)),"")</f>
        <v>#NAME?</v>
      </c>
      <c r="F1854" s="199" t="s">
        <v>189</v>
      </c>
      <c r="G1854" s="140" t="e">
        <f ca="1">mif(C1854="","",OR(B1854=リスト!$C$5,B1854=リスト!$C$6),SUM(INDEX(G:G,MATCH(I1854-1,I:I,0)+1,1):INDEX(G:G,MATCH(I1854,I:I,0)-1,1)),D1854-C1854)</f>
        <v>#NAME?</v>
      </c>
      <c r="H1854" s="140" t="e">
        <f ca="1">mif(C1854="","",B1854=リスト!$C$5,SUMIF(INDEX(B:B,MATCH(I1854-1,I:I,0)+1,1):INDEX(B:B,MATCH(I1854,I:I,0)-1,1),リスト!$C$7,INDEX(G:G,MATCH(I1854-1,I:I,0)+1,1):INDEX(G:G,MATCH(I1854,I:I,0)-1,1)),"")</f>
        <v>#NAME?</v>
      </c>
      <c r="I1854" s="200" t="str">
        <f>IF(OR(B1854=リスト!$C$5,B1854=リスト!$C$6),COUNTIF($B$9:B1854,リスト!$C$5)+COUNTIF($B$9:B1854,リスト!$C$6),"")</f>
        <v/>
      </c>
    </row>
    <row r="1855" spans="2:9" x14ac:dyDescent="0.2">
      <c r="B1855" s="196"/>
      <c r="C1855" s="197"/>
      <c r="D1855" s="197"/>
      <c r="E1855" s="198" t="e">
        <f ca="1">mif(OR(C1855="",B1855=リスト!$C$7),"",B1855="","RF",OR(B1855=リスト!$C$5,B1855=リスト!$C$6),COUNTBLANK(INDEX(B:B,MATCH(I1855-1,I:I,0)+1,1):INDEX(B:B,MATCH(I1855,I:I,0)-1,1)),"")</f>
        <v>#NAME?</v>
      </c>
      <c r="F1855" s="199" t="s">
        <v>189</v>
      </c>
      <c r="G1855" s="140" t="e">
        <f ca="1">mif(C1855="","",OR(B1855=リスト!$C$5,B1855=リスト!$C$6),SUM(INDEX(G:G,MATCH(I1855-1,I:I,0)+1,1):INDEX(G:G,MATCH(I1855,I:I,0)-1,1)),D1855-C1855)</f>
        <v>#NAME?</v>
      </c>
      <c r="H1855" s="140" t="e">
        <f ca="1">mif(C1855="","",B1855=リスト!$C$5,SUMIF(INDEX(B:B,MATCH(I1855-1,I:I,0)+1,1):INDEX(B:B,MATCH(I1855,I:I,0)-1,1),リスト!$C$7,INDEX(G:G,MATCH(I1855-1,I:I,0)+1,1):INDEX(G:G,MATCH(I1855,I:I,0)-1,1)),"")</f>
        <v>#NAME?</v>
      </c>
      <c r="I1855" s="200" t="str">
        <f>IF(OR(B1855=リスト!$C$5,B1855=リスト!$C$6),COUNTIF($B$9:B1855,リスト!$C$5)+COUNTIF($B$9:B1855,リスト!$C$6),"")</f>
        <v/>
      </c>
    </row>
    <row r="1856" spans="2:9" x14ac:dyDescent="0.2">
      <c r="B1856" s="196"/>
      <c r="C1856" s="197"/>
      <c r="D1856" s="197"/>
      <c r="E1856" s="198" t="e">
        <f ca="1">mif(OR(C1856="",B1856=リスト!$C$7),"",B1856="","RF",OR(B1856=リスト!$C$5,B1856=リスト!$C$6),COUNTBLANK(INDEX(B:B,MATCH(I1856-1,I:I,0)+1,1):INDEX(B:B,MATCH(I1856,I:I,0)-1,1)),"")</f>
        <v>#NAME?</v>
      </c>
      <c r="F1856" s="199" t="s">
        <v>189</v>
      </c>
      <c r="G1856" s="140" t="e">
        <f ca="1">mif(C1856="","",OR(B1856=リスト!$C$5,B1856=リスト!$C$6),SUM(INDEX(G:G,MATCH(I1856-1,I:I,0)+1,1):INDEX(G:G,MATCH(I1856,I:I,0)-1,1)),D1856-C1856)</f>
        <v>#NAME?</v>
      </c>
      <c r="H1856" s="140" t="e">
        <f ca="1">mif(C1856="","",B1856=リスト!$C$5,SUMIF(INDEX(B:B,MATCH(I1856-1,I:I,0)+1,1):INDEX(B:B,MATCH(I1856,I:I,0)-1,1),リスト!$C$7,INDEX(G:G,MATCH(I1856-1,I:I,0)+1,1):INDEX(G:G,MATCH(I1856,I:I,0)-1,1)),"")</f>
        <v>#NAME?</v>
      </c>
      <c r="I1856" s="200" t="str">
        <f>IF(OR(B1856=リスト!$C$5,B1856=リスト!$C$6),COUNTIF($B$9:B1856,リスト!$C$5)+COUNTIF($B$9:B1856,リスト!$C$6),"")</f>
        <v/>
      </c>
    </row>
    <row r="1857" spans="2:9" x14ac:dyDescent="0.2">
      <c r="B1857" s="196"/>
      <c r="C1857" s="197"/>
      <c r="D1857" s="197"/>
      <c r="E1857" s="198" t="e">
        <f ca="1">mif(OR(C1857="",B1857=リスト!$C$7),"",B1857="","RF",OR(B1857=リスト!$C$5,B1857=リスト!$C$6),COUNTBLANK(INDEX(B:B,MATCH(I1857-1,I:I,0)+1,1):INDEX(B:B,MATCH(I1857,I:I,0)-1,1)),"")</f>
        <v>#NAME?</v>
      </c>
      <c r="F1857" s="199" t="s">
        <v>189</v>
      </c>
      <c r="G1857" s="140" t="e">
        <f ca="1">mif(C1857="","",OR(B1857=リスト!$C$5,B1857=リスト!$C$6),SUM(INDEX(G:G,MATCH(I1857-1,I:I,0)+1,1):INDEX(G:G,MATCH(I1857,I:I,0)-1,1)),D1857-C1857)</f>
        <v>#NAME?</v>
      </c>
      <c r="H1857" s="140" t="e">
        <f ca="1">mif(C1857="","",B1857=リスト!$C$5,SUMIF(INDEX(B:B,MATCH(I1857-1,I:I,0)+1,1):INDEX(B:B,MATCH(I1857,I:I,0)-1,1),リスト!$C$7,INDEX(G:G,MATCH(I1857-1,I:I,0)+1,1):INDEX(G:G,MATCH(I1857,I:I,0)-1,1)),"")</f>
        <v>#NAME?</v>
      </c>
      <c r="I1857" s="200" t="str">
        <f>IF(OR(B1857=リスト!$C$5,B1857=リスト!$C$6),COUNTIF($B$9:B1857,リスト!$C$5)+COUNTIF($B$9:B1857,リスト!$C$6),"")</f>
        <v/>
      </c>
    </row>
    <row r="1858" spans="2:9" x14ac:dyDescent="0.2">
      <c r="B1858" s="196"/>
      <c r="C1858" s="197"/>
      <c r="D1858" s="197"/>
      <c r="E1858" s="198" t="e">
        <f ca="1">mif(OR(C1858="",B1858=リスト!$C$7),"",B1858="","RF",OR(B1858=リスト!$C$5,B1858=リスト!$C$6),COUNTBLANK(INDEX(B:B,MATCH(I1858-1,I:I,0)+1,1):INDEX(B:B,MATCH(I1858,I:I,0)-1,1)),"")</f>
        <v>#NAME?</v>
      </c>
      <c r="F1858" s="199" t="s">
        <v>189</v>
      </c>
      <c r="G1858" s="140" t="e">
        <f ca="1">mif(C1858="","",OR(B1858=リスト!$C$5,B1858=リスト!$C$6),SUM(INDEX(G:G,MATCH(I1858-1,I:I,0)+1,1):INDEX(G:G,MATCH(I1858,I:I,0)-1,1)),D1858-C1858)</f>
        <v>#NAME?</v>
      </c>
      <c r="H1858" s="140" t="e">
        <f ca="1">mif(C1858="","",B1858=リスト!$C$5,SUMIF(INDEX(B:B,MATCH(I1858-1,I:I,0)+1,1):INDEX(B:B,MATCH(I1858,I:I,0)-1,1),リスト!$C$7,INDEX(G:G,MATCH(I1858-1,I:I,0)+1,1):INDEX(G:G,MATCH(I1858,I:I,0)-1,1)),"")</f>
        <v>#NAME?</v>
      </c>
      <c r="I1858" s="200" t="str">
        <f>IF(OR(B1858=リスト!$C$5,B1858=リスト!$C$6),COUNTIF($B$9:B1858,リスト!$C$5)+COUNTIF($B$9:B1858,リスト!$C$6),"")</f>
        <v/>
      </c>
    </row>
    <row r="1859" spans="2:9" x14ac:dyDescent="0.2">
      <c r="B1859" s="196"/>
      <c r="C1859" s="197"/>
      <c r="D1859" s="197"/>
      <c r="E1859" s="198" t="e">
        <f ca="1">mif(OR(C1859="",B1859=リスト!$C$7),"",B1859="","RF",OR(B1859=リスト!$C$5,B1859=リスト!$C$6),COUNTBLANK(INDEX(B:B,MATCH(I1859-1,I:I,0)+1,1):INDEX(B:B,MATCH(I1859,I:I,0)-1,1)),"")</f>
        <v>#NAME?</v>
      </c>
      <c r="F1859" s="199" t="s">
        <v>189</v>
      </c>
      <c r="G1859" s="140" t="e">
        <f ca="1">mif(C1859="","",OR(B1859=リスト!$C$5,B1859=リスト!$C$6),SUM(INDEX(G:G,MATCH(I1859-1,I:I,0)+1,1):INDEX(G:G,MATCH(I1859,I:I,0)-1,1)),D1859-C1859)</f>
        <v>#NAME?</v>
      </c>
      <c r="H1859" s="140" t="e">
        <f ca="1">mif(C1859="","",B1859=リスト!$C$5,SUMIF(INDEX(B:B,MATCH(I1859-1,I:I,0)+1,1):INDEX(B:B,MATCH(I1859,I:I,0)-1,1),リスト!$C$7,INDEX(G:G,MATCH(I1859-1,I:I,0)+1,1):INDEX(G:G,MATCH(I1859,I:I,0)-1,1)),"")</f>
        <v>#NAME?</v>
      </c>
      <c r="I1859" s="200" t="str">
        <f>IF(OR(B1859=リスト!$C$5,B1859=リスト!$C$6),COUNTIF($B$9:B1859,リスト!$C$5)+COUNTIF($B$9:B1859,リスト!$C$6),"")</f>
        <v/>
      </c>
    </row>
    <row r="1860" spans="2:9" x14ac:dyDescent="0.2">
      <c r="B1860" s="196"/>
      <c r="C1860" s="197"/>
      <c r="D1860" s="197"/>
      <c r="E1860" s="198" t="e">
        <f ca="1">mif(OR(C1860="",B1860=リスト!$C$7),"",B1860="","RF",OR(B1860=リスト!$C$5,B1860=リスト!$C$6),COUNTBLANK(INDEX(B:B,MATCH(I1860-1,I:I,0)+1,1):INDEX(B:B,MATCH(I1860,I:I,0)-1,1)),"")</f>
        <v>#NAME?</v>
      </c>
      <c r="F1860" s="199" t="s">
        <v>189</v>
      </c>
      <c r="G1860" s="140" t="e">
        <f ca="1">mif(C1860="","",OR(B1860=リスト!$C$5,B1860=リスト!$C$6),SUM(INDEX(G:G,MATCH(I1860-1,I:I,0)+1,1):INDEX(G:G,MATCH(I1860,I:I,0)-1,1)),D1860-C1860)</f>
        <v>#NAME?</v>
      </c>
      <c r="H1860" s="140" t="e">
        <f ca="1">mif(C1860="","",B1860=リスト!$C$5,SUMIF(INDEX(B:B,MATCH(I1860-1,I:I,0)+1,1):INDEX(B:B,MATCH(I1860,I:I,0)-1,1),リスト!$C$7,INDEX(G:G,MATCH(I1860-1,I:I,0)+1,1):INDEX(G:G,MATCH(I1860,I:I,0)-1,1)),"")</f>
        <v>#NAME?</v>
      </c>
      <c r="I1860" s="200" t="str">
        <f>IF(OR(B1860=リスト!$C$5,B1860=リスト!$C$6),COUNTIF($B$9:B1860,リスト!$C$5)+COUNTIF($B$9:B1860,リスト!$C$6),"")</f>
        <v/>
      </c>
    </row>
    <row r="1861" spans="2:9" x14ac:dyDescent="0.2">
      <c r="B1861" s="196"/>
      <c r="C1861" s="197"/>
      <c r="D1861" s="197"/>
      <c r="E1861" s="198" t="e">
        <f ca="1">mif(OR(C1861="",B1861=リスト!$C$7),"",B1861="","RF",OR(B1861=リスト!$C$5,B1861=リスト!$C$6),COUNTBLANK(INDEX(B:B,MATCH(I1861-1,I:I,0)+1,1):INDEX(B:B,MATCH(I1861,I:I,0)-1,1)),"")</f>
        <v>#NAME?</v>
      </c>
      <c r="F1861" s="199" t="s">
        <v>189</v>
      </c>
      <c r="G1861" s="140" t="e">
        <f ca="1">mif(C1861="","",OR(B1861=リスト!$C$5,B1861=リスト!$C$6),SUM(INDEX(G:G,MATCH(I1861-1,I:I,0)+1,1):INDEX(G:G,MATCH(I1861,I:I,0)-1,1)),D1861-C1861)</f>
        <v>#NAME?</v>
      </c>
      <c r="H1861" s="140" t="e">
        <f ca="1">mif(C1861="","",B1861=リスト!$C$5,SUMIF(INDEX(B:B,MATCH(I1861-1,I:I,0)+1,1):INDEX(B:B,MATCH(I1861,I:I,0)-1,1),リスト!$C$7,INDEX(G:G,MATCH(I1861-1,I:I,0)+1,1):INDEX(G:G,MATCH(I1861,I:I,0)-1,1)),"")</f>
        <v>#NAME?</v>
      </c>
      <c r="I1861" s="200" t="str">
        <f>IF(OR(B1861=リスト!$C$5,B1861=リスト!$C$6),COUNTIF($B$9:B1861,リスト!$C$5)+COUNTIF($B$9:B1861,リスト!$C$6),"")</f>
        <v/>
      </c>
    </row>
    <row r="1862" spans="2:9" x14ac:dyDescent="0.2">
      <c r="B1862" s="196"/>
      <c r="C1862" s="197"/>
      <c r="D1862" s="197"/>
      <c r="E1862" s="198" t="e">
        <f ca="1">mif(OR(C1862="",B1862=リスト!$C$7),"",B1862="","RF",OR(B1862=リスト!$C$5,B1862=リスト!$C$6),COUNTBLANK(INDEX(B:B,MATCH(I1862-1,I:I,0)+1,1):INDEX(B:B,MATCH(I1862,I:I,0)-1,1)),"")</f>
        <v>#NAME?</v>
      </c>
      <c r="F1862" s="199" t="s">
        <v>189</v>
      </c>
      <c r="G1862" s="140" t="e">
        <f ca="1">mif(C1862="","",OR(B1862=リスト!$C$5,B1862=リスト!$C$6),SUM(INDEX(G:G,MATCH(I1862-1,I:I,0)+1,1):INDEX(G:G,MATCH(I1862,I:I,0)-1,1)),D1862-C1862)</f>
        <v>#NAME?</v>
      </c>
      <c r="H1862" s="140" t="e">
        <f ca="1">mif(C1862="","",B1862=リスト!$C$5,SUMIF(INDEX(B:B,MATCH(I1862-1,I:I,0)+1,1):INDEX(B:B,MATCH(I1862,I:I,0)-1,1),リスト!$C$7,INDEX(G:G,MATCH(I1862-1,I:I,0)+1,1):INDEX(G:G,MATCH(I1862,I:I,0)-1,1)),"")</f>
        <v>#NAME?</v>
      </c>
      <c r="I1862" s="200" t="str">
        <f>IF(OR(B1862=リスト!$C$5,B1862=リスト!$C$6),COUNTIF($B$9:B1862,リスト!$C$5)+COUNTIF($B$9:B1862,リスト!$C$6),"")</f>
        <v/>
      </c>
    </row>
    <row r="1863" spans="2:9" x14ac:dyDescent="0.2">
      <c r="B1863" s="196"/>
      <c r="C1863" s="197"/>
      <c r="D1863" s="197"/>
      <c r="E1863" s="198" t="e">
        <f ca="1">mif(OR(C1863="",B1863=リスト!$C$7),"",B1863="","RF",OR(B1863=リスト!$C$5,B1863=リスト!$C$6),COUNTBLANK(INDEX(B:B,MATCH(I1863-1,I:I,0)+1,1):INDEX(B:B,MATCH(I1863,I:I,0)-1,1)),"")</f>
        <v>#NAME?</v>
      </c>
      <c r="F1863" s="199" t="s">
        <v>189</v>
      </c>
      <c r="G1863" s="140" t="e">
        <f ca="1">mif(C1863="","",OR(B1863=リスト!$C$5,B1863=リスト!$C$6),SUM(INDEX(G:G,MATCH(I1863-1,I:I,0)+1,1):INDEX(G:G,MATCH(I1863,I:I,0)-1,1)),D1863-C1863)</f>
        <v>#NAME?</v>
      </c>
      <c r="H1863" s="140" t="e">
        <f ca="1">mif(C1863="","",B1863=リスト!$C$5,SUMIF(INDEX(B:B,MATCH(I1863-1,I:I,0)+1,1):INDEX(B:B,MATCH(I1863,I:I,0)-1,1),リスト!$C$7,INDEX(G:G,MATCH(I1863-1,I:I,0)+1,1):INDEX(G:G,MATCH(I1863,I:I,0)-1,1)),"")</f>
        <v>#NAME?</v>
      </c>
      <c r="I1863" s="200" t="str">
        <f>IF(OR(B1863=リスト!$C$5,B1863=リスト!$C$6),COUNTIF($B$9:B1863,リスト!$C$5)+COUNTIF($B$9:B1863,リスト!$C$6),"")</f>
        <v/>
      </c>
    </row>
    <row r="1864" spans="2:9" x14ac:dyDescent="0.2">
      <c r="B1864" s="196"/>
      <c r="C1864" s="197"/>
      <c r="D1864" s="197"/>
      <c r="E1864" s="198" t="e">
        <f ca="1">mif(OR(C1864="",B1864=リスト!$C$7),"",B1864="","RF",OR(B1864=リスト!$C$5,B1864=リスト!$C$6),COUNTBLANK(INDEX(B:B,MATCH(I1864-1,I:I,0)+1,1):INDEX(B:B,MATCH(I1864,I:I,0)-1,1)),"")</f>
        <v>#NAME?</v>
      </c>
      <c r="F1864" s="199" t="s">
        <v>189</v>
      </c>
      <c r="G1864" s="140" t="e">
        <f ca="1">mif(C1864="","",OR(B1864=リスト!$C$5,B1864=リスト!$C$6),SUM(INDEX(G:G,MATCH(I1864-1,I:I,0)+1,1):INDEX(G:G,MATCH(I1864,I:I,0)-1,1)),D1864-C1864)</f>
        <v>#NAME?</v>
      </c>
      <c r="H1864" s="140" t="e">
        <f ca="1">mif(C1864="","",B1864=リスト!$C$5,SUMIF(INDEX(B:B,MATCH(I1864-1,I:I,0)+1,1):INDEX(B:B,MATCH(I1864,I:I,0)-1,1),リスト!$C$7,INDEX(G:G,MATCH(I1864-1,I:I,0)+1,1):INDEX(G:G,MATCH(I1864,I:I,0)-1,1)),"")</f>
        <v>#NAME?</v>
      </c>
      <c r="I1864" s="200" t="str">
        <f>IF(OR(B1864=リスト!$C$5,B1864=リスト!$C$6),COUNTIF($B$9:B1864,リスト!$C$5)+COUNTIF($B$9:B1864,リスト!$C$6),"")</f>
        <v/>
      </c>
    </row>
    <row r="1865" spans="2:9" x14ac:dyDescent="0.2">
      <c r="B1865" s="196"/>
      <c r="C1865" s="197"/>
      <c r="D1865" s="197"/>
      <c r="E1865" s="198" t="e">
        <f ca="1">mif(OR(C1865="",B1865=リスト!$C$7),"",B1865="","RF",OR(B1865=リスト!$C$5,B1865=リスト!$C$6),COUNTBLANK(INDEX(B:B,MATCH(I1865-1,I:I,0)+1,1):INDEX(B:B,MATCH(I1865,I:I,0)-1,1)),"")</f>
        <v>#NAME?</v>
      </c>
      <c r="F1865" s="199" t="s">
        <v>189</v>
      </c>
      <c r="G1865" s="140" t="e">
        <f ca="1">mif(C1865="","",OR(B1865=リスト!$C$5,B1865=リスト!$C$6),SUM(INDEX(G:G,MATCH(I1865-1,I:I,0)+1,1):INDEX(G:G,MATCH(I1865,I:I,0)-1,1)),D1865-C1865)</f>
        <v>#NAME?</v>
      </c>
      <c r="H1865" s="140" t="e">
        <f ca="1">mif(C1865="","",B1865=リスト!$C$5,SUMIF(INDEX(B:B,MATCH(I1865-1,I:I,0)+1,1):INDEX(B:B,MATCH(I1865,I:I,0)-1,1),リスト!$C$7,INDEX(G:G,MATCH(I1865-1,I:I,0)+1,1):INDEX(G:G,MATCH(I1865,I:I,0)-1,1)),"")</f>
        <v>#NAME?</v>
      </c>
      <c r="I1865" s="200" t="str">
        <f>IF(OR(B1865=リスト!$C$5,B1865=リスト!$C$6),COUNTIF($B$9:B1865,リスト!$C$5)+COUNTIF($B$9:B1865,リスト!$C$6),"")</f>
        <v/>
      </c>
    </row>
    <row r="1866" spans="2:9" x14ac:dyDescent="0.2">
      <c r="B1866" s="196"/>
      <c r="C1866" s="197"/>
      <c r="D1866" s="197"/>
      <c r="E1866" s="198" t="e">
        <f ca="1">mif(OR(C1866="",B1866=リスト!$C$7),"",B1866="","RF",OR(B1866=リスト!$C$5,B1866=リスト!$C$6),COUNTBLANK(INDEX(B:B,MATCH(I1866-1,I:I,0)+1,1):INDEX(B:B,MATCH(I1866,I:I,0)-1,1)),"")</f>
        <v>#NAME?</v>
      </c>
      <c r="F1866" s="199" t="s">
        <v>189</v>
      </c>
      <c r="G1866" s="140" t="e">
        <f ca="1">mif(C1866="","",OR(B1866=リスト!$C$5,B1866=リスト!$C$6),SUM(INDEX(G:G,MATCH(I1866-1,I:I,0)+1,1):INDEX(G:G,MATCH(I1866,I:I,0)-1,1)),D1866-C1866)</f>
        <v>#NAME?</v>
      </c>
      <c r="H1866" s="140" t="e">
        <f ca="1">mif(C1866="","",B1866=リスト!$C$5,SUMIF(INDEX(B:B,MATCH(I1866-1,I:I,0)+1,1):INDEX(B:B,MATCH(I1866,I:I,0)-1,1),リスト!$C$7,INDEX(G:G,MATCH(I1866-1,I:I,0)+1,1):INDEX(G:G,MATCH(I1866,I:I,0)-1,1)),"")</f>
        <v>#NAME?</v>
      </c>
      <c r="I1866" s="200" t="str">
        <f>IF(OR(B1866=リスト!$C$5,B1866=リスト!$C$6),COUNTIF($B$9:B1866,リスト!$C$5)+COUNTIF($B$9:B1866,リスト!$C$6),"")</f>
        <v/>
      </c>
    </row>
    <row r="1867" spans="2:9" x14ac:dyDescent="0.2">
      <c r="B1867" s="196"/>
      <c r="C1867" s="197"/>
      <c r="D1867" s="197"/>
      <c r="E1867" s="198" t="e">
        <f ca="1">mif(OR(C1867="",B1867=リスト!$C$7),"",B1867="","RF",OR(B1867=リスト!$C$5,B1867=リスト!$C$6),COUNTBLANK(INDEX(B:B,MATCH(I1867-1,I:I,0)+1,1):INDEX(B:B,MATCH(I1867,I:I,0)-1,1)),"")</f>
        <v>#NAME?</v>
      </c>
      <c r="F1867" s="199" t="s">
        <v>189</v>
      </c>
      <c r="G1867" s="140" t="e">
        <f ca="1">mif(C1867="","",OR(B1867=リスト!$C$5,B1867=リスト!$C$6),SUM(INDEX(G:G,MATCH(I1867-1,I:I,0)+1,1):INDEX(G:G,MATCH(I1867,I:I,0)-1,1)),D1867-C1867)</f>
        <v>#NAME?</v>
      </c>
      <c r="H1867" s="140" t="e">
        <f ca="1">mif(C1867="","",B1867=リスト!$C$5,SUMIF(INDEX(B:B,MATCH(I1867-1,I:I,0)+1,1):INDEX(B:B,MATCH(I1867,I:I,0)-1,1),リスト!$C$7,INDEX(G:G,MATCH(I1867-1,I:I,0)+1,1):INDEX(G:G,MATCH(I1867,I:I,0)-1,1)),"")</f>
        <v>#NAME?</v>
      </c>
      <c r="I1867" s="200" t="str">
        <f>IF(OR(B1867=リスト!$C$5,B1867=リスト!$C$6),COUNTIF($B$9:B1867,リスト!$C$5)+COUNTIF($B$9:B1867,リスト!$C$6),"")</f>
        <v/>
      </c>
    </row>
    <row r="1868" spans="2:9" x14ac:dyDescent="0.2">
      <c r="B1868" s="196"/>
      <c r="C1868" s="197"/>
      <c r="D1868" s="197"/>
      <c r="E1868" s="198" t="e">
        <f ca="1">mif(OR(C1868="",B1868=リスト!$C$7),"",B1868="","RF",OR(B1868=リスト!$C$5,B1868=リスト!$C$6),COUNTBLANK(INDEX(B:B,MATCH(I1868-1,I:I,0)+1,1):INDEX(B:B,MATCH(I1868,I:I,0)-1,1)),"")</f>
        <v>#NAME?</v>
      </c>
      <c r="F1868" s="199" t="s">
        <v>189</v>
      </c>
      <c r="G1868" s="140" t="e">
        <f ca="1">mif(C1868="","",OR(B1868=リスト!$C$5,B1868=リスト!$C$6),SUM(INDEX(G:G,MATCH(I1868-1,I:I,0)+1,1):INDEX(G:G,MATCH(I1868,I:I,0)-1,1)),D1868-C1868)</f>
        <v>#NAME?</v>
      </c>
      <c r="H1868" s="140" t="e">
        <f ca="1">mif(C1868="","",B1868=リスト!$C$5,SUMIF(INDEX(B:B,MATCH(I1868-1,I:I,0)+1,1):INDEX(B:B,MATCH(I1868,I:I,0)-1,1),リスト!$C$7,INDEX(G:G,MATCH(I1868-1,I:I,0)+1,1):INDEX(G:G,MATCH(I1868,I:I,0)-1,1)),"")</f>
        <v>#NAME?</v>
      </c>
      <c r="I1868" s="200" t="str">
        <f>IF(OR(B1868=リスト!$C$5,B1868=リスト!$C$6),COUNTIF($B$9:B1868,リスト!$C$5)+COUNTIF($B$9:B1868,リスト!$C$6),"")</f>
        <v/>
      </c>
    </row>
    <row r="1869" spans="2:9" x14ac:dyDescent="0.2">
      <c r="B1869" s="196"/>
      <c r="C1869" s="197"/>
      <c r="D1869" s="197"/>
      <c r="E1869" s="198" t="e">
        <f ca="1">mif(OR(C1869="",B1869=リスト!$C$7),"",B1869="","RF",OR(B1869=リスト!$C$5,B1869=リスト!$C$6),COUNTBLANK(INDEX(B:B,MATCH(I1869-1,I:I,0)+1,1):INDEX(B:B,MATCH(I1869,I:I,0)-1,1)),"")</f>
        <v>#NAME?</v>
      </c>
      <c r="F1869" s="199" t="s">
        <v>189</v>
      </c>
      <c r="G1869" s="140" t="e">
        <f ca="1">mif(C1869="","",OR(B1869=リスト!$C$5,B1869=リスト!$C$6),SUM(INDEX(G:G,MATCH(I1869-1,I:I,0)+1,1):INDEX(G:G,MATCH(I1869,I:I,0)-1,1)),D1869-C1869)</f>
        <v>#NAME?</v>
      </c>
      <c r="H1869" s="140" t="e">
        <f ca="1">mif(C1869="","",B1869=リスト!$C$5,SUMIF(INDEX(B:B,MATCH(I1869-1,I:I,0)+1,1):INDEX(B:B,MATCH(I1869,I:I,0)-1,1),リスト!$C$7,INDEX(G:G,MATCH(I1869-1,I:I,0)+1,1):INDEX(G:G,MATCH(I1869,I:I,0)-1,1)),"")</f>
        <v>#NAME?</v>
      </c>
      <c r="I1869" s="200" t="str">
        <f>IF(OR(B1869=リスト!$C$5,B1869=リスト!$C$6),COUNTIF($B$9:B1869,リスト!$C$5)+COUNTIF($B$9:B1869,リスト!$C$6),"")</f>
        <v/>
      </c>
    </row>
    <row r="1870" spans="2:9" x14ac:dyDescent="0.2">
      <c r="B1870" s="196"/>
      <c r="C1870" s="197"/>
      <c r="D1870" s="197"/>
      <c r="E1870" s="198" t="e">
        <f ca="1">mif(OR(C1870="",B1870=リスト!$C$7),"",B1870="","RF",OR(B1870=リスト!$C$5,B1870=リスト!$C$6),COUNTBLANK(INDEX(B:B,MATCH(I1870-1,I:I,0)+1,1):INDEX(B:B,MATCH(I1870,I:I,0)-1,1)),"")</f>
        <v>#NAME?</v>
      </c>
      <c r="F1870" s="199" t="s">
        <v>189</v>
      </c>
      <c r="G1870" s="140" t="e">
        <f ca="1">mif(C1870="","",OR(B1870=リスト!$C$5,B1870=リスト!$C$6),SUM(INDEX(G:G,MATCH(I1870-1,I:I,0)+1,1):INDEX(G:G,MATCH(I1870,I:I,0)-1,1)),D1870-C1870)</f>
        <v>#NAME?</v>
      </c>
      <c r="H1870" s="140" t="e">
        <f ca="1">mif(C1870="","",B1870=リスト!$C$5,SUMIF(INDEX(B:B,MATCH(I1870-1,I:I,0)+1,1):INDEX(B:B,MATCH(I1870,I:I,0)-1,1),リスト!$C$7,INDEX(G:G,MATCH(I1870-1,I:I,0)+1,1):INDEX(G:G,MATCH(I1870,I:I,0)-1,1)),"")</f>
        <v>#NAME?</v>
      </c>
      <c r="I1870" s="200" t="str">
        <f>IF(OR(B1870=リスト!$C$5,B1870=リスト!$C$6),COUNTIF($B$9:B1870,リスト!$C$5)+COUNTIF($B$9:B1870,リスト!$C$6),"")</f>
        <v/>
      </c>
    </row>
    <row r="1871" spans="2:9" x14ac:dyDescent="0.2">
      <c r="B1871" s="196"/>
      <c r="C1871" s="197"/>
      <c r="D1871" s="197"/>
      <c r="E1871" s="198" t="e">
        <f ca="1">mif(OR(C1871="",B1871=リスト!$C$7),"",B1871="","RF",OR(B1871=リスト!$C$5,B1871=リスト!$C$6),COUNTBLANK(INDEX(B:B,MATCH(I1871-1,I:I,0)+1,1):INDEX(B:B,MATCH(I1871,I:I,0)-1,1)),"")</f>
        <v>#NAME?</v>
      </c>
      <c r="F1871" s="199" t="s">
        <v>189</v>
      </c>
      <c r="G1871" s="140" t="e">
        <f ca="1">mif(C1871="","",OR(B1871=リスト!$C$5,B1871=リスト!$C$6),SUM(INDEX(G:G,MATCH(I1871-1,I:I,0)+1,1):INDEX(G:G,MATCH(I1871,I:I,0)-1,1)),D1871-C1871)</f>
        <v>#NAME?</v>
      </c>
      <c r="H1871" s="140" t="e">
        <f ca="1">mif(C1871="","",B1871=リスト!$C$5,SUMIF(INDEX(B:B,MATCH(I1871-1,I:I,0)+1,1):INDEX(B:B,MATCH(I1871,I:I,0)-1,1),リスト!$C$7,INDEX(G:G,MATCH(I1871-1,I:I,0)+1,1):INDEX(G:G,MATCH(I1871,I:I,0)-1,1)),"")</f>
        <v>#NAME?</v>
      </c>
      <c r="I1871" s="200" t="str">
        <f>IF(OR(B1871=リスト!$C$5,B1871=リスト!$C$6),COUNTIF($B$9:B1871,リスト!$C$5)+COUNTIF($B$9:B1871,リスト!$C$6),"")</f>
        <v/>
      </c>
    </row>
    <row r="1872" spans="2:9" x14ac:dyDescent="0.2">
      <c r="B1872" s="196"/>
      <c r="C1872" s="197"/>
      <c r="D1872" s="197"/>
      <c r="E1872" s="198" t="e">
        <f ca="1">mif(OR(C1872="",B1872=リスト!$C$7),"",B1872="","RF",OR(B1872=リスト!$C$5,B1872=リスト!$C$6),COUNTBLANK(INDEX(B:B,MATCH(I1872-1,I:I,0)+1,1):INDEX(B:B,MATCH(I1872,I:I,0)-1,1)),"")</f>
        <v>#NAME?</v>
      </c>
      <c r="F1872" s="199" t="s">
        <v>189</v>
      </c>
      <c r="G1872" s="140" t="e">
        <f ca="1">mif(C1872="","",OR(B1872=リスト!$C$5,B1872=リスト!$C$6),SUM(INDEX(G:G,MATCH(I1872-1,I:I,0)+1,1):INDEX(G:G,MATCH(I1872,I:I,0)-1,1)),D1872-C1872)</f>
        <v>#NAME?</v>
      </c>
      <c r="H1872" s="140" t="e">
        <f ca="1">mif(C1872="","",B1872=リスト!$C$5,SUMIF(INDEX(B:B,MATCH(I1872-1,I:I,0)+1,1):INDEX(B:B,MATCH(I1872,I:I,0)-1,1),リスト!$C$7,INDEX(G:G,MATCH(I1872-1,I:I,0)+1,1):INDEX(G:G,MATCH(I1872,I:I,0)-1,1)),"")</f>
        <v>#NAME?</v>
      </c>
      <c r="I1872" s="200" t="str">
        <f>IF(OR(B1872=リスト!$C$5,B1872=リスト!$C$6),COUNTIF($B$9:B1872,リスト!$C$5)+COUNTIF($B$9:B1872,リスト!$C$6),"")</f>
        <v/>
      </c>
    </row>
    <row r="1873" spans="2:9" x14ac:dyDescent="0.2">
      <c r="B1873" s="196"/>
      <c r="C1873" s="197"/>
      <c r="D1873" s="197"/>
      <c r="E1873" s="198" t="e">
        <f ca="1">mif(OR(C1873="",B1873=リスト!$C$7),"",B1873="","RF",OR(B1873=リスト!$C$5,B1873=リスト!$C$6),COUNTBLANK(INDEX(B:B,MATCH(I1873-1,I:I,0)+1,1):INDEX(B:B,MATCH(I1873,I:I,0)-1,1)),"")</f>
        <v>#NAME?</v>
      </c>
      <c r="F1873" s="199" t="s">
        <v>189</v>
      </c>
      <c r="G1873" s="140" t="e">
        <f ca="1">mif(C1873="","",OR(B1873=リスト!$C$5,B1873=リスト!$C$6),SUM(INDEX(G:G,MATCH(I1873-1,I:I,0)+1,1):INDEX(G:G,MATCH(I1873,I:I,0)-1,1)),D1873-C1873)</f>
        <v>#NAME?</v>
      </c>
      <c r="H1873" s="140" t="e">
        <f ca="1">mif(C1873="","",B1873=リスト!$C$5,SUMIF(INDEX(B:B,MATCH(I1873-1,I:I,0)+1,1):INDEX(B:B,MATCH(I1873,I:I,0)-1,1),リスト!$C$7,INDEX(G:G,MATCH(I1873-1,I:I,0)+1,1):INDEX(G:G,MATCH(I1873,I:I,0)-1,1)),"")</f>
        <v>#NAME?</v>
      </c>
      <c r="I1873" s="200" t="str">
        <f>IF(OR(B1873=リスト!$C$5,B1873=リスト!$C$6),COUNTIF($B$9:B1873,リスト!$C$5)+COUNTIF($B$9:B1873,リスト!$C$6),"")</f>
        <v/>
      </c>
    </row>
    <row r="1874" spans="2:9" x14ac:dyDescent="0.2">
      <c r="B1874" s="196"/>
      <c r="C1874" s="197"/>
      <c r="D1874" s="197"/>
      <c r="E1874" s="198" t="e">
        <f ca="1">mif(OR(C1874="",B1874=リスト!$C$7),"",B1874="","RF",OR(B1874=リスト!$C$5,B1874=リスト!$C$6),COUNTBLANK(INDEX(B:B,MATCH(I1874-1,I:I,0)+1,1):INDEX(B:B,MATCH(I1874,I:I,0)-1,1)),"")</f>
        <v>#NAME?</v>
      </c>
      <c r="F1874" s="199" t="s">
        <v>189</v>
      </c>
      <c r="G1874" s="140" t="e">
        <f ca="1">mif(C1874="","",OR(B1874=リスト!$C$5,B1874=リスト!$C$6),SUM(INDEX(G:G,MATCH(I1874-1,I:I,0)+1,1):INDEX(G:G,MATCH(I1874,I:I,0)-1,1)),D1874-C1874)</f>
        <v>#NAME?</v>
      </c>
      <c r="H1874" s="140" t="e">
        <f ca="1">mif(C1874="","",B1874=リスト!$C$5,SUMIF(INDEX(B:B,MATCH(I1874-1,I:I,0)+1,1):INDEX(B:B,MATCH(I1874,I:I,0)-1,1),リスト!$C$7,INDEX(G:G,MATCH(I1874-1,I:I,0)+1,1):INDEX(G:G,MATCH(I1874,I:I,0)-1,1)),"")</f>
        <v>#NAME?</v>
      </c>
      <c r="I1874" s="200" t="str">
        <f>IF(OR(B1874=リスト!$C$5,B1874=リスト!$C$6),COUNTIF($B$9:B1874,リスト!$C$5)+COUNTIF($B$9:B1874,リスト!$C$6),"")</f>
        <v/>
      </c>
    </row>
    <row r="1875" spans="2:9" x14ac:dyDescent="0.2">
      <c r="B1875" s="196"/>
      <c r="C1875" s="197"/>
      <c r="D1875" s="197"/>
      <c r="E1875" s="198" t="e">
        <f ca="1">mif(OR(C1875="",B1875=リスト!$C$7),"",B1875="","RF",OR(B1875=リスト!$C$5,B1875=リスト!$C$6),COUNTBLANK(INDEX(B:B,MATCH(I1875-1,I:I,0)+1,1):INDEX(B:B,MATCH(I1875,I:I,0)-1,1)),"")</f>
        <v>#NAME?</v>
      </c>
      <c r="F1875" s="199" t="s">
        <v>189</v>
      </c>
      <c r="G1875" s="140" t="e">
        <f ca="1">mif(C1875="","",OR(B1875=リスト!$C$5,B1875=リスト!$C$6),SUM(INDEX(G:G,MATCH(I1875-1,I:I,0)+1,1):INDEX(G:G,MATCH(I1875,I:I,0)-1,1)),D1875-C1875)</f>
        <v>#NAME?</v>
      </c>
      <c r="H1875" s="140" t="e">
        <f ca="1">mif(C1875="","",B1875=リスト!$C$5,SUMIF(INDEX(B:B,MATCH(I1875-1,I:I,0)+1,1):INDEX(B:B,MATCH(I1875,I:I,0)-1,1),リスト!$C$7,INDEX(G:G,MATCH(I1875-1,I:I,0)+1,1):INDEX(G:G,MATCH(I1875,I:I,0)-1,1)),"")</f>
        <v>#NAME?</v>
      </c>
      <c r="I1875" s="200" t="str">
        <f>IF(OR(B1875=リスト!$C$5,B1875=リスト!$C$6),COUNTIF($B$9:B1875,リスト!$C$5)+COUNTIF($B$9:B1875,リスト!$C$6),"")</f>
        <v/>
      </c>
    </row>
    <row r="1876" spans="2:9" x14ac:dyDescent="0.2">
      <c r="B1876" s="196"/>
      <c r="C1876" s="197"/>
      <c r="D1876" s="197"/>
      <c r="E1876" s="198" t="e">
        <f ca="1">mif(OR(C1876="",B1876=リスト!$C$7),"",B1876="","RF",OR(B1876=リスト!$C$5,B1876=リスト!$C$6),COUNTBLANK(INDEX(B:B,MATCH(I1876-1,I:I,0)+1,1):INDEX(B:B,MATCH(I1876,I:I,0)-1,1)),"")</f>
        <v>#NAME?</v>
      </c>
      <c r="F1876" s="199" t="s">
        <v>189</v>
      </c>
      <c r="G1876" s="140" t="e">
        <f ca="1">mif(C1876="","",OR(B1876=リスト!$C$5,B1876=リスト!$C$6),SUM(INDEX(G:G,MATCH(I1876-1,I:I,0)+1,1):INDEX(G:G,MATCH(I1876,I:I,0)-1,1)),D1876-C1876)</f>
        <v>#NAME?</v>
      </c>
      <c r="H1876" s="140" t="e">
        <f ca="1">mif(C1876="","",B1876=リスト!$C$5,SUMIF(INDEX(B:B,MATCH(I1876-1,I:I,0)+1,1):INDEX(B:B,MATCH(I1876,I:I,0)-1,1),リスト!$C$7,INDEX(G:G,MATCH(I1876-1,I:I,0)+1,1):INDEX(G:G,MATCH(I1876,I:I,0)-1,1)),"")</f>
        <v>#NAME?</v>
      </c>
      <c r="I1876" s="200" t="str">
        <f>IF(OR(B1876=リスト!$C$5,B1876=リスト!$C$6),COUNTIF($B$9:B1876,リスト!$C$5)+COUNTIF($B$9:B1876,リスト!$C$6),"")</f>
        <v/>
      </c>
    </row>
    <row r="1877" spans="2:9" x14ac:dyDescent="0.2">
      <c r="B1877" s="196"/>
      <c r="C1877" s="197"/>
      <c r="D1877" s="197"/>
      <c r="E1877" s="198" t="e">
        <f ca="1">mif(OR(C1877="",B1877=リスト!$C$7),"",B1877="","RF",OR(B1877=リスト!$C$5,B1877=リスト!$C$6),COUNTBLANK(INDEX(B:B,MATCH(I1877-1,I:I,0)+1,1):INDEX(B:B,MATCH(I1877,I:I,0)-1,1)),"")</f>
        <v>#NAME?</v>
      </c>
      <c r="F1877" s="199" t="s">
        <v>189</v>
      </c>
      <c r="G1877" s="140" t="e">
        <f ca="1">mif(C1877="","",OR(B1877=リスト!$C$5,B1877=リスト!$C$6),SUM(INDEX(G:G,MATCH(I1877-1,I:I,0)+1,1):INDEX(G:G,MATCH(I1877,I:I,0)-1,1)),D1877-C1877)</f>
        <v>#NAME?</v>
      </c>
      <c r="H1877" s="140" t="e">
        <f ca="1">mif(C1877="","",B1877=リスト!$C$5,SUMIF(INDEX(B:B,MATCH(I1877-1,I:I,0)+1,1):INDEX(B:B,MATCH(I1877,I:I,0)-1,1),リスト!$C$7,INDEX(G:G,MATCH(I1877-1,I:I,0)+1,1):INDEX(G:G,MATCH(I1877,I:I,0)-1,1)),"")</f>
        <v>#NAME?</v>
      </c>
      <c r="I1877" s="200" t="str">
        <f>IF(OR(B1877=リスト!$C$5,B1877=リスト!$C$6),COUNTIF($B$9:B1877,リスト!$C$5)+COUNTIF($B$9:B1877,リスト!$C$6),"")</f>
        <v/>
      </c>
    </row>
    <row r="1878" spans="2:9" x14ac:dyDescent="0.2">
      <c r="B1878" s="196"/>
      <c r="C1878" s="197"/>
      <c r="D1878" s="197"/>
      <c r="E1878" s="198" t="e">
        <f ca="1">mif(OR(C1878="",B1878=リスト!$C$7),"",B1878="","RF",OR(B1878=リスト!$C$5,B1878=リスト!$C$6),COUNTBLANK(INDEX(B:B,MATCH(I1878-1,I:I,0)+1,1):INDEX(B:B,MATCH(I1878,I:I,0)-1,1)),"")</f>
        <v>#NAME?</v>
      </c>
      <c r="F1878" s="199" t="s">
        <v>189</v>
      </c>
      <c r="G1878" s="140" t="e">
        <f ca="1">mif(C1878="","",OR(B1878=リスト!$C$5,B1878=リスト!$C$6),SUM(INDEX(G:G,MATCH(I1878-1,I:I,0)+1,1):INDEX(G:G,MATCH(I1878,I:I,0)-1,1)),D1878-C1878)</f>
        <v>#NAME?</v>
      </c>
      <c r="H1878" s="140" t="e">
        <f ca="1">mif(C1878="","",B1878=リスト!$C$5,SUMIF(INDEX(B:B,MATCH(I1878-1,I:I,0)+1,1):INDEX(B:B,MATCH(I1878,I:I,0)-1,1),リスト!$C$7,INDEX(G:G,MATCH(I1878-1,I:I,0)+1,1):INDEX(G:G,MATCH(I1878,I:I,0)-1,1)),"")</f>
        <v>#NAME?</v>
      </c>
      <c r="I1878" s="200" t="str">
        <f>IF(OR(B1878=リスト!$C$5,B1878=リスト!$C$6),COUNTIF($B$9:B1878,リスト!$C$5)+COUNTIF($B$9:B1878,リスト!$C$6),"")</f>
        <v/>
      </c>
    </row>
    <row r="1879" spans="2:9" x14ac:dyDescent="0.2">
      <c r="B1879" s="196"/>
      <c r="C1879" s="197"/>
      <c r="D1879" s="197"/>
      <c r="E1879" s="198" t="e">
        <f ca="1">mif(OR(C1879="",B1879=リスト!$C$7),"",B1879="","RF",OR(B1879=リスト!$C$5,B1879=リスト!$C$6),COUNTBLANK(INDEX(B:B,MATCH(I1879-1,I:I,0)+1,1):INDEX(B:B,MATCH(I1879,I:I,0)-1,1)),"")</f>
        <v>#NAME?</v>
      </c>
      <c r="F1879" s="199" t="s">
        <v>189</v>
      </c>
      <c r="G1879" s="140" t="e">
        <f ca="1">mif(C1879="","",OR(B1879=リスト!$C$5,B1879=リスト!$C$6),SUM(INDEX(G:G,MATCH(I1879-1,I:I,0)+1,1):INDEX(G:G,MATCH(I1879,I:I,0)-1,1)),D1879-C1879)</f>
        <v>#NAME?</v>
      </c>
      <c r="H1879" s="140" t="e">
        <f ca="1">mif(C1879="","",B1879=リスト!$C$5,SUMIF(INDEX(B:B,MATCH(I1879-1,I:I,0)+1,1):INDEX(B:B,MATCH(I1879,I:I,0)-1,1),リスト!$C$7,INDEX(G:G,MATCH(I1879-1,I:I,0)+1,1):INDEX(G:G,MATCH(I1879,I:I,0)-1,1)),"")</f>
        <v>#NAME?</v>
      </c>
      <c r="I1879" s="200" t="str">
        <f>IF(OR(B1879=リスト!$C$5,B1879=リスト!$C$6),COUNTIF($B$9:B1879,リスト!$C$5)+COUNTIF($B$9:B1879,リスト!$C$6),"")</f>
        <v/>
      </c>
    </row>
    <row r="1880" spans="2:9" x14ac:dyDescent="0.2">
      <c r="B1880" s="196"/>
      <c r="C1880" s="197"/>
      <c r="D1880" s="197"/>
      <c r="E1880" s="198" t="e">
        <f ca="1">mif(OR(C1880="",B1880=リスト!$C$7),"",B1880="","RF",OR(B1880=リスト!$C$5,B1880=リスト!$C$6),COUNTBLANK(INDEX(B:B,MATCH(I1880-1,I:I,0)+1,1):INDEX(B:B,MATCH(I1880,I:I,0)-1,1)),"")</f>
        <v>#NAME?</v>
      </c>
      <c r="F1880" s="199" t="s">
        <v>189</v>
      </c>
      <c r="G1880" s="140" t="e">
        <f ca="1">mif(C1880="","",OR(B1880=リスト!$C$5,B1880=リスト!$C$6),SUM(INDEX(G:G,MATCH(I1880-1,I:I,0)+1,1):INDEX(G:G,MATCH(I1880,I:I,0)-1,1)),D1880-C1880)</f>
        <v>#NAME?</v>
      </c>
      <c r="H1880" s="140" t="e">
        <f ca="1">mif(C1880="","",B1880=リスト!$C$5,SUMIF(INDEX(B:B,MATCH(I1880-1,I:I,0)+1,1):INDEX(B:B,MATCH(I1880,I:I,0)-1,1),リスト!$C$7,INDEX(G:G,MATCH(I1880-1,I:I,0)+1,1):INDEX(G:G,MATCH(I1880,I:I,0)-1,1)),"")</f>
        <v>#NAME?</v>
      </c>
      <c r="I1880" s="200" t="str">
        <f>IF(OR(B1880=リスト!$C$5,B1880=リスト!$C$6),COUNTIF($B$9:B1880,リスト!$C$5)+COUNTIF($B$9:B1880,リスト!$C$6),"")</f>
        <v/>
      </c>
    </row>
    <row r="1881" spans="2:9" x14ac:dyDescent="0.2">
      <c r="B1881" s="196"/>
      <c r="C1881" s="197"/>
      <c r="D1881" s="197"/>
      <c r="E1881" s="198" t="e">
        <f ca="1">mif(OR(C1881="",B1881=リスト!$C$7),"",B1881="","RF",OR(B1881=リスト!$C$5,B1881=リスト!$C$6),COUNTBLANK(INDEX(B:B,MATCH(I1881-1,I:I,0)+1,1):INDEX(B:B,MATCH(I1881,I:I,0)-1,1)),"")</f>
        <v>#NAME?</v>
      </c>
      <c r="F1881" s="199" t="s">
        <v>189</v>
      </c>
      <c r="G1881" s="140" t="e">
        <f ca="1">mif(C1881="","",OR(B1881=リスト!$C$5,B1881=リスト!$C$6),SUM(INDEX(G:G,MATCH(I1881-1,I:I,0)+1,1):INDEX(G:G,MATCH(I1881,I:I,0)-1,1)),D1881-C1881)</f>
        <v>#NAME?</v>
      </c>
      <c r="H1881" s="140" t="e">
        <f ca="1">mif(C1881="","",B1881=リスト!$C$5,SUMIF(INDEX(B:B,MATCH(I1881-1,I:I,0)+1,1):INDEX(B:B,MATCH(I1881,I:I,0)-1,1),リスト!$C$7,INDEX(G:G,MATCH(I1881-1,I:I,0)+1,1):INDEX(G:G,MATCH(I1881,I:I,0)-1,1)),"")</f>
        <v>#NAME?</v>
      </c>
      <c r="I1881" s="200" t="str">
        <f>IF(OR(B1881=リスト!$C$5,B1881=リスト!$C$6),COUNTIF($B$9:B1881,リスト!$C$5)+COUNTIF($B$9:B1881,リスト!$C$6),"")</f>
        <v/>
      </c>
    </row>
    <row r="1882" spans="2:9" x14ac:dyDescent="0.2">
      <c r="B1882" s="196"/>
      <c r="C1882" s="197"/>
      <c r="D1882" s="197"/>
      <c r="E1882" s="198" t="e">
        <f ca="1">mif(OR(C1882="",B1882=リスト!$C$7),"",B1882="","RF",OR(B1882=リスト!$C$5,B1882=リスト!$C$6),COUNTBLANK(INDEX(B:B,MATCH(I1882-1,I:I,0)+1,1):INDEX(B:B,MATCH(I1882,I:I,0)-1,1)),"")</f>
        <v>#NAME?</v>
      </c>
      <c r="F1882" s="199" t="s">
        <v>189</v>
      </c>
      <c r="G1882" s="140" t="e">
        <f ca="1">mif(C1882="","",OR(B1882=リスト!$C$5,B1882=リスト!$C$6),SUM(INDEX(G:G,MATCH(I1882-1,I:I,0)+1,1):INDEX(G:G,MATCH(I1882,I:I,0)-1,1)),D1882-C1882)</f>
        <v>#NAME?</v>
      </c>
      <c r="H1882" s="140" t="e">
        <f ca="1">mif(C1882="","",B1882=リスト!$C$5,SUMIF(INDEX(B:B,MATCH(I1882-1,I:I,0)+1,1):INDEX(B:B,MATCH(I1882,I:I,0)-1,1),リスト!$C$7,INDEX(G:G,MATCH(I1882-1,I:I,0)+1,1):INDEX(G:G,MATCH(I1882,I:I,0)-1,1)),"")</f>
        <v>#NAME?</v>
      </c>
      <c r="I1882" s="200" t="str">
        <f>IF(OR(B1882=リスト!$C$5,B1882=リスト!$C$6),COUNTIF($B$9:B1882,リスト!$C$5)+COUNTIF($B$9:B1882,リスト!$C$6),"")</f>
        <v/>
      </c>
    </row>
    <row r="1883" spans="2:9" x14ac:dyDescent="0.2">
      <c r="B1883" s="196"/>
      <c r="C1883" s="197"/>
      <c r="D1883" s="197"/>
      <c r="E1883" s="198" t="e">
        <f ca="1">mif(OR(C1883="",B1883=リスト!$C$7),"",B1883="","RF",OR(B1883=リスト!$C$5,B1883=リスト!$C$6),COUNTBLANK(INDEX(B:B,MATCH(I1883-1,I:I,0)+1,1):INDEX(B:B,MATCH(I1883,I:I,0)-1,1)),"")</f>
        <v>#NAME?</v>
      </c>
      <c r="F1883" s="199" t="s">
        <v>189</v>
      </c>
      <c r="G1883" s="140" t="e">
        <f ca="1">mif(C1883="","",OR(B1883=リスト!$C$5,B1883=リスト!$C$6),SUM(INDEX(G:G,MATCH(I1883-1,I:I,0)+1,1):INDEX(G:G,MATCH(I1883,I:I,0)-1,1)),D1883-C1883)</f>
        <v>#NAME?</v>
      </c>
      <c r="H1883" s="140" t="e">
        <f ca="1">mif(C1883="","",B1883=リスト!$C$5,SUMIF(INDEX(B:B,MATCH(I1883-1,I:I,0)+1,1):INDEX(B:B,MATCH(I1883,I:I,0)-1,1),リスト!$C$7,INDEX(G:G,MATCH(I1883-1,I:I,0)+1,1):INDEX(G:G,MATCH(I1883,I:I,0)-1,1)),"")</f>
        <v>#NAME?</v>
      </c>
      <c r="I1883" s="200" t="str">
        <f>IF(OR(B1883=リスト!$C$5,B1883=リスト!$C$6),COUNTIF($B$9:B1883,リスト!$C$5)+COUNTIF($B$9:B1883,リスト!$C$6),"")</f>
        <v/>
      </c>
    </row>
    <row r="1884" spans="2:9" x14ac:dyDescent="0.2">
      <c r="B1884" s="196"/>
      <c r="C1884" s="197"/>
      <c r="D1884" s="197"/>
      <c r="E1884" s="198" t="e">
        <f ca="1">mif(OR(C1884="",B1884=リスト!$C$7),"",B1884="","RF",OR(B1884=リスト!$C$5,B1884=リスト!$C$6),COUNTBLANK(INDEX(B:B,MATCH(I1884-1,I:I,0)+1,1):INDEX(B:B,MATCH(I1884,I:I,0)-1,1)),"")</f>
        <v>#NAME?</v>
      </c>
      <c r="F1884" s="199" t="s">
        <v>189</v>
      </c>
      <c r="G1884" s="140" t="e">
        <f ca="1">mif(C1884="","",OR(B1884=リスト!$C$5,B1884=リスト!$C$6),SUM(INDEX(G:G,MATCH(I1884-1,I:I,0)+1,1):INDEX(G:G,MATCH(I1884,I:I,0)-1,1)),D1884-C1884)</f>
        <v>#NAME?</v>
      </c>
      <c r="H1884" s="140" t="e">
        <f ca="1">mif(C1884="","",B1884=リスト!$C$5,SUMIF(INDEX(B:B,MATCH(I1884-1,I:I,0)+1,1):INDEX(B:B,MATCH(I1884,I:I,0)-1,1),リスト!$C$7,INDEX(G:G,MATCH(I1884-1,I:I,0)+1,1):INDEX(G:G,MATCH(I1884,I:I,0)-1,1)),"")</f>
        <v>#NAME?</v>
      </c>
      <c r="I1884" s="200" t="str">
        <f>IF(OR(B1884=リスト!$C$5,B1884=リスト!$C$6),COUNTIF($B$9:B1884,リスト!$C$5)+COUNTIF($B$9:B1884,リスト!$C$6),"")</f>
        <v/>
      </c>
    </row>
    <row r="1885" spans="2:9" x14ac:dyDescent="0.2">
      <c r="B1885" s="196"/>
      <c r="C1885" s="197"/>
      <c r="D1885" s="197"/>
      <c r="E1885" s="198" t="e">
        <f ca="1">mif(OR(C1885="",B1885=リスト!$C$7),"",B1885="","RF",OR(B1885=リスト!$C$5,B1885=リスト!$C$6),COUNTBLANK(INDEX(B:B,MATCH(I1885-1,I:I,0)+1,1):INDEX(B:B,MATCH(I1885,I:I,0)-1,1)),"")</f>
        <v>#NAME?</v>
      </c>
      <c r="F1885" s="199" t="s">
        <v>189</v>
      </c>
      <c r="G1885" s="140" t="e">
        <f ca="1">mif(C1885="","",OR(B1885=リスト!$C$5,B1885=リスト!$C$6),SUM(INDEX(G:G,MATCH(I1885-1,I:I,0)+1,1):INDEX(G:G,MATCH(I1885,I:I,0)-1,1)),D1885-C1885)</f>
        <v>#NAME?</v>
      </c>
      <c r="H1885" s="140" t="e">
        <f ca="1">mif(C1885="","",B1885=リスト!$C$5,SUMIF(INDEX(B:B,MATCH(I1885-1,I:I,0)+1,1):INDEX(B:B,MATCH(I1885,I:I,0)-1,1),リスト!$C$7,INDEX(G:G,MATCH(I1885-1,I:I,0)+1,1):INDEX(G:G,MATCH(I1885,I:I,0)-1,1)),"")</f>
        <v>#NAME?</v>
      </c>
      <c r="I1885" s="200" t="str">
        <f>IF(OR(B1885=リスト!$C$5,B1885=リスト!$C$6),COUNTIF($B$9:B1885,リスト!$C$5)+COUNTIF($B$9:B1885,リスト!$C$6),"")</f>
        <v/>
      </c>
    </row>
    <row r="1886" spans="2:9" x14ac:dyDescent="0.2">
      <c r="B1886" s="196"/>
      <c r="C1886" s="197"/>
      <c r="D1886" s="197"/>
      <c r="E1886" s="198" t="e">
        <f ca="1">mif(OR(C1886="",B1886=リスト!$C$7),"",B1886="","RF",OR(B1886=リスト!$C$5,B1886=リスト!$C$6),COUNTBLANK(INDEX(B:B,MATCH(I1886-1,I:I,0)+1,1):INDEX(B:B,MATCH(I1886,I:I,0)-1,1)),"")</f>
        <v>#NAME?</v>
      </c>
      <c r="F1886" s="199" t="s">
        <v>189</v>
      </c>
      <c r="G1886" s="140" t="e">
        <f ca="1">mif(C1886="","",OR(B1886=リスト!$C$5,B1886=リスト!$C$6),SUM(INDEX(G:G,MATCH(I1886-1,I:I,0)+1,1):INDEX(G:G,MATCH(I1886,I:I,0)-1,1)),D1886-C1886)</f>
        <v>#NAME?</v>
      </c>
      <c r="H1886" s="140" t="e">
        <f ca="1">mif(C1886="","",B1886=リスト!$C$5,SUMIF(INDEX(B:B,MATCH(I1886-1,I:I,0)+1,1):INDEX(B:B,MATCH(I1886,I:I,0)-1,1),リスト!$C$7,INDEX(G:G,MATCH(I1886-1,I:I,0)+1,1):INDEX(G:G,MATCH(I1886,I:I,0)-1,1)),"")</f>
        <v>#NAME?</v>
      </c>
      <c r="I1886" s="200" t="str">
        <f>IF(OR(B1886=リスト!$C$5,B1886=リスト!$C$6),COUNTIF($B$9:B1886,リスト!$C$5)+COUNTIF($B$9:B1886,リスト!$C$6),"")</f>
        <v/>
      </c>
    </row>
    <row r="1887" spans="2:9" x14ac:dyDescent="0.2">
      <c r="B1887" s="196"/>
      <c r="C1887" s="197"/>
      <c r="D1887" s="197"/>
      <c r="E1887" s="198" t="e">
        <f ca="1">mif(OR(C1887="",B1887=リスト!$C$7),"",B1887="","RF",OR(B1887=リスト!$C$5,B1887=リスト!$C$6),COUNTBLANK(INDEX(B:B,MATCH(I1887-1,I:I,0)+1,1):INDEX(B:B,MATCH(I1887,I:I,0)-1,1)),"")</f>
        <v>#NAME?</v>
      </c>
      <c r="F1887" s="199" t="s">
        <v>189</v>
      </c>
      <c r="G1887" s="140" t="e">
        <f ca="1">mif(C1887="","",OR(B1887=リスト!$C$5,B1887=リスト!$C$6),SUM(INDEX(G:G,MATCH(I1887-1,I:I,0)+1,1):INDEX(G:G,MATCH(I1887,I:I,0)-1,1)),D1887-C1887)</f>
        <v>#NAME?</v>
      </c>
      <c r="H1887" s="140" t="e">
        <f ca="1">mif(C1887="","",B1887=リスト!$C$5,SUMIF(INDEX(B:B,MATCH(I1887-1,I:I,0)+1,1):INDEX(B:B,MATCH(I1887,I:I,0)-1,1),リスト!$C$7,INDEX(G:G,MATCH(I1887-1,I:I,0)+1,1):INDEX(G:G,MATCH(I1887,I:I,0)-1,1)),"")</f>
        <v>#NAME?</v>
      </c>
      <c r="I1887" s="200" t="str">
        <f>IF(OR(B1887=リスト!$C$5,B1887=リスト!$C$6),COUNTIF($B$9:B1887,リスト!$C$5)+COUNTIF($B$9:B1887,リスト!$C$6),"")</f>
        <v/>
      </c>
    </row>
    <row r="1888" spans="2:9" x14ac:dyDescent="0.2">
      <c r="B1888" s="196"/>
      <c r="C1888" s="197"/>
      <c r="D1888" s="197"/>
      <c r="E1888" s="198" t="e">
        <f ca="1">mif(OR(C1888="",B1888=リスト!$C$7),"",B1888="","RF",OR(B1888=リスト!$C$5,B1888=リスト!$C$6),COUNTBLANK(INDEX(B:B,MATCH(I1888-1,I:I,0)+1,1):INDEX(B:B,MATCH(I1888,I:I,0)-1,1)),"")</f>
        <v>#NAME?</v>
      </c>
      <c r="F1888" s="199" t="s">
        <v>189</v>
      </c>
      <c r="G1888" s="140" t="e">
        <f ca="1">mif(C1888="","",OR(B1888=リスト!$C$5,B1888=リスト!$C$6),SUM(INDEX(G:G,MATCH(I1888-1,I:I,0)+1,1):INDEX(G:G,MATCH(I1888,I:I,0)-1,1)),D1888-C1888)</f>
        <v>#NAME?</v>
      </c>
      <c r="H1888" s="140" t="e">
        <f ca="1">mif(C1888="","",B1888=リスト!$C$5,SUMIF(INDEX(B:B,MATCH(I1888-1,I:I,0)+1,1):INDEX(B:B,MATCH(I1888,I:I,0)-1,1),リスト!$C$7,INDEX(G:G,MATCH(I1888-1,I:I,0)+1,1):INDEX(G:G,MATCH(I1888,I:I,0)-1,1)),"")</f>
        <v>#NAME?</v>
      </c>
      <c r="I1888" s="200" t="str">
        <f>IF(OR(B1888=リスト!$C$5,B1888=リスト!$C$6),COUNTIF($B$9:B1888,リスト!$C$5)+COUNTIF($B$9:B1888,リスト!$C$6),"")</f>
        <v/>
      </c>
    </row>
    <row r="1889" spans="2:9" x14ac:dyDescent="0.2">
      <c r="B1889" s="196"/>
      <c r="C1889" s="197"/>
      <c r="D1889" s="197"/>
      <c r="E1889" s="198" t="e">
        <f ca="1">mif(OR(C1889="",B1889=リスト!$C$7),"",B1889="","RF",OR(B1889=リスト!$C$5,B1889=リスト!$C$6),COUNTBLANK(INDEX(B:B,MATCH(I1889-1,I:I,0)+1,1):INDEX(B:B,MATCH(I1889,I:I,0)-1,1)),"")</f>
        <v>#NAME?</v>
      </c>
      <c r="F1889" s="199" t="s">
        <v>189</v>
      </c>
      <c r="G1889" s="140" t="e">
        <f ca="1">mif(C1889="","",OR(B1889=リスト!$C$5,B1889=リスト!$C$6),SUM(INDEX(G:G,MATCH(I1889-1,I:I,0)+1,1):INDEX(G:G,MATCH(I1889,I:I,0)-1,1)),D1889-C1889)</f>
        <v>#NAME?</v>
      </c>
      <c r="H1889" s="140" t="e">
        <f ca="1">mif(C1889="","",B1889=リスト!$C$5,SUMIF(INDEX(B:B,MATCH(I1889-1,I:I,0)+1,1):INDEX(B:B,MATCH(I1889,I:I,0)-1,1),リスト!$C$7,INDEX(G:G,MATCH(I1889-1,I:I,0)+1,1):INDEX(G:G,MATCH(I1889,I:I,0)-1,1)),"")</f>
        <v>#NAME?</v>
      </c>
      <c r="I1889" s="200" t="str">
        <f>IF(OR(B1889=リスト!$C$5,B1889=リスト!$C$6),COUNTIF($B$9:B1889,リスト!$C$5)+COUNTIF($B$9:B1889,リスト!$C$6),"")</f>
        <v/>
      </c>
    </row>
    <row r="1890" spans="2:9" x14ac:dyDescent="0.2">
      <c r="B1890" s="196"/>
      <c r="C1890" s="197"/>
      <c r="D1890" s="197"/>
      <c r="E1890" s="198" t="e">
        <f ca="1">mif(OR(C1890="",B1890=リスト!$C$7),"",B1890="","RF",OR(B1890=リスト!$C$5,B1890=リスト!$C$6),COUNTBLANK(INDEX(B:B,MATCH(I1890-1,I:I,0)+1,1):INDEX(B:B,MATCH(I1890,I:I,0)-1,1)),"")</f>
        <v>#NAME?</v>
      </c>
      <c r="F1890" s="199" t="s">
        <v>189</v>
      </c>
      <c r="G1890" s="140" t="e">
        <f ca="1">mif(C1890="","",OR(B1890=リスト!$C$5,B1890=リスト!$C$6),SUM(INDEX(G:G,MATCH(I1890-1,I:I,0)+1,1):INDEX(G:G,MATCH(I1890,I:I,0)-1,1)),D1890-C1890)</f>
        <v>#NAME?</v>
      </c>
      <c r="H1890" s="140" t="e">
        <f ca="1">mif(C1890="","",B1890=リスト!$C$5,SUMIF(INDEX(B:B,MATCH(I1890-1,I:I,0)+1,1):INDEX(B:B,MATCH(I1890,I:I,0)-1,1),リスト!$C$7,INDEX(G:G,MATCH(I1890-1,I:I,0)+1,1):INDEX(G:G,MATCH(I1890,I:I,0)-1,1)),"")</f>
        <v>#NAME?</v>
      </c>
      <c r="I1890" s="200" t="str">
        <f>IF(OR(B1890=リスト!$C$5,B1890=リスト!$C$6),COUNTIF($B$9:B1890,リスト!$C$5)+COUNTIF($B$9:B1890,リスト!$C$6),"")</f>
        <v/>
      </c>
    </row>
    <row r="1891" spans="2:9" x14ac:dyDescent="0.2">
      <c r="B1891" s="196"/>
      <c r="C1891" s="197"/>
      <c r="D1891" s="197"/>
      <c r="E1891" s="198" t="e">
        <f ca="1">mif(OR(C1891="",B1891=リスト!$C$7),"",B1891="","RF",OR(B1891=リスト!$C$5,B1891=リスト!$C$6),COUNTBLANK(INDEX(B:B,MATCH(I1891-1,I:I,0)+1,1):INDEX(B:B,MATCH(I1891,I:I,0)-1,1)),"")</f>
        <v>#NAME?</v>
      </c>
      <c r="F1891" s="199" t="s">
        <v>189</v>
      </c>
      <c r="G1891" s="140" t="e">
        <f ca="1">mif(C1891="","",OR(B1891=リスト!$C$5,B1891=リスト!$C$6),SUM(INDEX(G:G,MATCH(I1891-1,I:I,0)+1,1):INDEX(G:G,MATCH(I1891,I:I,0)-1,1)),D1891-C1891)</f>
        <v>#NAME?</v>
      </c>
      <c r="H1891" s="140" t="e">
        <f ca="1">mif(C1891="","",B1891=リスト!$C$5,SUMIF(INDEX(B:B,MATCH(I1891-1,I:I,0)+1,1):INDEX(B:B,MATCH(I1891,I:I,0)-1,1),リスト!$C$7,INDEX(G:G,MATCH(I1891-1,I:I,0)+1,1):INDEX(G:G,MATCH(I1891,I:I,0)-1,1)),"")</f>
        <v>#NAME?</v>
      </c>
      <c r="I1891" s="200" t="str">
        <f>IF(OR(B1891=リスト!$C$5,B1891=リスト!$C$6),COUNTIF($B$9:B1891,リスト!$C$5)+COUNTIF($B$9:B1891,リスト!$C$6),"")</f>
        <v/>
      </c>
    </row>
    <row r="1892" spans="2:9" x14ac:dyDescent="0.2">
      <c r="B1892" s="196"/>
      <c r="C1892" s="197"/>
      <c r="D1892" s="197"/>
      <c r="E1892" s="198" t="e">
        <f ca="1">mif(OR(C1892="",B1892=リスト!$C$7),"",B1892="","RF",OR(B1892=リスト!$C$5,B1892=リスト!$C$6),COUNTBLANK(INDEX(B:B,MATCH(I1892-1,I:I,0)+1,1):INDEX(B:B,MATCH(I1892,I:I,0)-1,1)),"")</f>
        <v>#NAME?</v>
      </c>
      <c r="F1892" s="199" t="s">
        <v>189</v>
      </c>
      <c r="G1892" s="140" t="e">
        <f ca="1">mif(C1892="","",OR(B1892=リスト!$C$5,B1892=リスト!$C$6),SUM(INDEX(G:G,MATCH(I1892-1,I:I,0)+1,1):INDEX(G:G,MATCH(I1892,I:I,0)-1,1)),D1892-C1892)</f>
        <v>#NAME?</v>
      </c>
      <c r="H1892" s="140" t="e">
        <f ca="1">mif(C1892="","",B1892=リスト!$C$5,SUMIF(INDEX(B:B,MATCH(I1892-1,I:I,0)+1,1):INDEX(B:B,MATCH(I1892,I:I,0)-1,1),リスト!$C$7,INDEX(G:G,MATCH(I1892-1,I:I,0)+1,1):INDEX(G:G,MATCH(I1892,I:I,0)-1,1)),"")</f>
        <v>#NAME?</v>
      </c>
      <c r="I1892" s="200" t="str">
        <f>IF(OR(B1892=リスト!$C$5,B1892=リスト!$C$6),COUNTIF($B$9:B1892,リスト!$C$5)+COUNTIF($B$9:B1892,リスト!$C$6),"")</f>
        <v/>
      </c>
    </row>
    <row r="1893" spans="2:9" x14ac:dyDescent="0.2">
      <c r="B1893" s="196"/>
      <c r="C1893" s="197"/>
      <c r="D1893" s="197"/>
      <c r="E1893" s="198" t="e">
        <f ca="1">mif(OR(C1893="",B1893=リスト!$C$7),"",B1893="","RF",OR(B1893=リスト!$C$5,B1893=リスト!$C$6),COUNTBLANK(INDEX(B:B,MATCH(I1893-1,I:I,0)+1,1):INDEX(B:B,MATCH(I1893,I:I,0)-1,1)),"")</f>
        <v>#NAME?</v>
      </c>
      <c r="F1893" s="199" t="s">
        <v>189</v>
      </c>
      <c r="G1893" s="140" t="e">
        <f ca="1">mif(C1893="","",OR(B1893=リスト!$C$5,B1893=リスト!$C$6),SUM(INDEX(G:G,MATCH(I1893-1,I:I,0)+1,1):INDEX(G:G,MATCH(I1893,I:I,0)-1,1)),D1893-C1893)</f>
        <v>#NAME?</v>
      </c>
      <c r="H1893" s="140" t="e">
        <f ca="1">mif(C1893="","",B1893=リスト!$C$5,SUMIF(INDEX(B:B,MATCH(I1893-1,I:I,0)+1,1):INDEX(B:B,MATCH(I1893,I:I,0)-1,1),リスト!$C$7,INDEX(G:G,MATCH(I1893-1,I:I,0)+1,1):INDEX(G:G,MATCH(I1893,I:I,0)-1,1)),"")</f>
        <v>#NAME?</v>
      </c>
      <c r="I1893" s="200" t="str">
        <f>IF(OR(B1893=リスト!$C$5,B1893=リスト!$C$6),COUNTIF($B$9:B1893,リスト!$C$5)+COUNTIF($B$9:B1893,リスト!$C$6),"")</f>
        <v/>
      </c>
    </row>
    <row r="1894" spans="2:9" x14ac:dyDescent="0.2">
      <c r="B1894" s="196"/>
      <c r="C1894" s="197"/>
      <c r="D1894" s="197"/>
      <c r="E1894" s="198" t="e">
        <f ca="1">mif(OR(C1894="",B1894=リスト!$C$7),"",B1894="","RF",OR(B1894=リスト!$C$5,B1894=リスト!$C$6),COUNTBLANK(INDEX(B:B,MATCH(I1894-1,I:I,0)+1,1):INDEX(B:B,MATCH(I1894,I:I,0)-1,1)),"")</f>
        <v>#NAME?</v>
      </c>
      <c r="F1894" s="199" t="s">
        <v>189</v>
      </c>
      <c r="G1894" s="140" t="e">
        <f ca="1">mif(C1894="","",OR(B1894=リスト!$C$5,B1894=リスト!$C$6),SUM(INDEX(G:G,MATCH(I1894-1,I:I,0)+1,1):INDEX(G:G,MATCH(I1894,I:I,0)-1,1)),D1894-C1894)</f>
        <v>#NAME?</v>
      </c>
      <c r="H1894" s="140" t="e">
        <f ca="1">mif(C1894="","",B1894=リスト!$C$5,SUMIF(INDEX(B:B,MATCH(I1894-1,I:I,0)+1,1):INDEX(B:B,MATCH(I1894,I:I,0)-1,1),リスト!$C$7,INDEX(G:G,MATCH(I1894-1,I:I,0)+1,1):INDEX(G:G,MATCH(I1894,I:I,0)-1,1)),"")</f>
        <v>#NAME?</v>
      </c>
      <c r="I1894" s="200" t="str">
        <f>IF(OR(B1894=リスト!$C$5,B1894=リスト!$C$6),COUNTIF($B$9:B1894,リスト!$C$5)+COUNTIF($B$9:B1894,リスト!$C$6),"")</f>
        <v/>
      </c>
    </row>
    <row r="1895" spans="2:9" x14ac:dyDescent="0.2">
      <c r="B1895" s="196"/>
      <c r="C1895" s="197"/>
      <c r="D1895" s="197"/>
      <c r="E1895" s="198" t="e">
        <f ca="1">mif(OR(C1895="",B1895=リスト!$C$7),"",B1895="","RF",OR(B1895=リスト!$C$5,B1895=リスト!$C$6),COUNTBLANK(INDEX(B:B,MATCH(I1895-1,I:I,0)+1,1):INDEX(B:B,MATCH(I1895,I:I,0)-1,1)),"")</f>
        <v>#NAME?</v>
      </c>
      <c r="F1895" s="199" t="s">
        <v>189</v>
      </c>
      <c r="G1895" s="140" t="e">
        <f ca="1">mif(C1895="","",OR(B1895=リスト!$C$5,B1895=リスト!$C$6),SUM(INDEX(G:G,MATCH(I1895-1,I:I,0)+1,1):INDEX(G:G,MATCH(I1895,I:I,0)-1,1)),D1895-C1895)</f>
        <v>#NAME?</v>
      </c>
      <c r="H1895" s="140" t="e">
        <f ca="1">mif(C1895="","",B1895=リスト!$C$5,SUMIF(INDEX(B:B,MATCH(I1895-1,I:I,0)+1,1):INDEX(B:B,MATCH(I1895,I:I,0)-1,1),リスト!$C$7,INDEX(G:G,MATCH(I1895-1,I:I,0)+1,1):INDEX(G:G,MATCH(I1895,I:I,0)-1,1)),"")</f>
        <v>#NAME?</v>
      </c>
      <c r="I1895" s="200" t="str">
        <f>IF(OR(B1895=リスト!$C$5,B1895=リスト!$C$6),COUNTIF($B$9:B1895,リスト!$C$5)+COUNTIF($B$9:B1895,リスト!$C$6),"")</f>
        <v/>
      </c>
    </row>
    <row r="1896" spans="2:9" x14ac:dyDescent="0.2">
      <c r="B1896" s="196"/>
      <c r="C1896" s="197"/>
      <c r="D1896" s="197"/>
      <c r="E1896" s="198" t="e">
        <f ca="1">mif(OR(C1896="",B1896=リスト!$C$7),"",B1896="","RF",OR(B1896=リスト!$C$5,B1896=リスト!$C$6),COUNTBLANK(INDEX(B:B,MATCH(I1896-1,I:I,0)+1,1):INDEX(B:B,MATCH(I1896,I:I,0)-1,1)),"")</f>
        <v>#NAME?</v>
      </c>
      <c r="F1896" s="199" t="s">
        <v>189</v>
      </c>
      <c r="G1896" s="140" t="e">
        <f ca="1">mif(C1896="","",OR(B1896=リスト!$C$5,B1896=リスト!$C$6),SUM(INDEX(G:G,MATCH(I1896-1,I:I,0)+1,1):INDEX(G:G,MATCH(I1896,I:I,0)-1,1)),D1896-C1896)</f>
        <v>#NAME?</v>
      </c>
      <c r="H1896" s="140" t="e">
        <f ca="1">mif(C1896="","",B1896=リスト!$C$5,SUMIF(INDEX(B:B,MATCH(I1896-1,I:I,0)+1,1):INDEX(B:B,MATCH(I1896,I:I,0)-1,1),リスト!$C$7,INDEX(G:G,MATCH(I1896-1,I:I,0)+1,1):INDEX(G:G,MATCH(I1896,I:I,0)-1,1)),"")</f>
        <v>#NAME?</v>
      </c>
      <c r="I1896" s="200" t="str">
        <f>IF(OR(B1896=リスト!$C$5,B1896=リスト!$C$6),COUNTIF($B$9:B1896,リスト!$C$5)+COUNTIF($B$9:B1896,リスト!$C$6),"")</f>
        <v/>
      </c>
    </row>
    <row r="1897" spans="2:9" x14ac:dyDescent="0.2">
      <c r="B1897" s="196"/>
      <c r="C1897" s="197"/>
      <c r="D1897" s="197"/>
      <c r="E1897" s="198" t="e">
        <f ca="1">mif(OR(C1897="",B1897=リスト!$C$7),"",B1897="","RF",OR(B1897=リスト!$C$5,B1897=リスト!$C$6),COUNTBLANK(INDEX(B:B,MATCH(I1897-1,I:I,0)+1,1):INDEX(B:B,MATCH(I1897,I:I,0)-1,1)),"")</f>
        <v>#NAME?</v>
      </c>
      <c r="F1897" s="199" t="s">
        <v>189</v>
      </c>
      <c r="G1897" s="140" t="e">
        <f ca="1">mif(C1897="","",OR(B1897=リスト!$C$5,B1897=リスト!$C$6),SUM(INDEX(G:G,MATCH(I1897-1,I:I,0)+1,1):INDEX(G:G,MATCH(I1897,I:I,0)-1,1)),D1897-C1897)</f>
        <v>#NAME?</v>
      </c>
      <c r="H1897" s="140" t="e">
        <f ca="1">mif(C1897="","",B1897=リスト!$C$5,SUMIF(INDEX(B:B,MATCH(I1897-1,I:I,0)+1,1):INDEX(B:B,MATCH(I1897,I:I,0)-1,1),リスト!$C$7,INDEX(G:G,MATCH(I1897-1,I:I,0)+1,1):INDEX(G:G,MATCH(I1897,I:I,0)-1,1)),"")</f>
        <v>#NAME?</v>
      </c>
      <c r="I1897" s="200" t="str">
        <f>IF(OR(B1897=リスト!$C$5,B1897=リスト!$C$6),COUNTIF($B$9:B1897,リスト!$C$5)+COUNTIF($B$9:B1897,リスト!$C$6),"")</f>
        <v/>
      </c>
    </row>
    <row r="1898" spans="2:9" x14ac:dyDescent="0.2">
      <c r="B1898" s="196"/>
      <c r="C1898" s="197"/>
      <c r="D1898" s="197"/>
      <c r="E1898" s="198" t="e">
        <f ca="1">mif(OR(C1898="",B1898=リスト!$C$7),"",B1898="","RF",OR(B1898=リスト!$C$5,B1898=リスト!$C$6),COUNTBLANK(INDEX(B:B,MATCH(I1898-1,I:I,0)+1,1):INDEX(B:B,MATCH(I1898,I:I,0)-1,1)),"")</f>
        <v>#NAME?</v>
      </c>
      <c r="F1898" s="199" t="s">
        <v>189</v>
      </c>
      <c r="G1898" s="140" t="e">
        <f ca="1">mif(C1898="","",OR(B1898=リスト!$C$5,B1898=リスト!$C$6),SUM(INDEX(G:G,MATCH(I1898-1,I:I,0)+1,1):INDEX(G:G,MATCH(I1898,I:I,0)-1,1)),D1898-C1898)</f>
        <v>#NAME?</v>
      </c>
      <c r="H1898" s="140" t="e">
        <f ca="1">mif(C1898="","",B1898=リスト!$C$5,SUMIF(INDEX(B:B,MATCH(I1898-1,I:I,0)+1,1):INDEX(B:B,MATCH(I1898,I:I,0)-1,1),リスト!$C$7,INDEX(G:G,MATCH(I1898-1,I:I,0)+1,1):INDEX(G:G,MATCH(I1898,I:I,0)-1,1)),"")</f>
        <v>#NAME?</v>
      </c>
      <c r="I1898" s="200" t="str">
        <f>IF(OR(B1898=リスト!$C$5,B1898=リスト!$C$6),COUNTIF($B$9:B1898,リスト!$C$5)+COUNTIF($B$9:B1898,リスト!$C$6),"")</f>
        <v/>
      </c>
    </row>
    <row r="1899" spans="2:9" x14ac:dyDescent="0.2">
      <c r="B1899" s="196"/>
      <c r="C1899" s="197"/>
      <c r="D1899" s="197"/>
      <c r="E1899" s="198" t="e">
        <f ca="1">mif(OR(C1899="",B1899=リスト!$C$7),"",B1899="","RF",OR(B1899=リスト!$C$5,B1899=リスト!$C$6),COUNTBLANK(INDEX(B:B,MATCH(I1899-1,I:I,0)+1,1):INDEX(B:B,MATCH(I1899,I:I,0)-1,1)),"")</f>
        <v>#NAME?</v>
      </c>
      <c r="F1899" s="199" t="s">
        <v>189</v>
      </c>
      <c r="G1899" s="140" t="e">
        <f ca="1">mif(C1899="","",OR(B1899=リスト!$C$5,B1899=リスト!$C$6),SUM(INDEX(G:G,MATCH(I1899-1,I:I,0)+1,1):INDEX(G:G,MATCH(I1899,I:I,0)-1,1)),D1899-C1899)</f>
        <v>#NAME?</v>
      </c>
      <c r="H1899" s="140" t="e">
        <f ca="1">mif(C1899="","",B1899=リスト!$C$5,SUMIF(INDEX(B:B,MATCH(I1899-1,I:I,0)+1,1):INDEX(B:B,MATCH(I1899,I:I,0)-1,1),リスト!$C$7,INDEX(G:G,MATCH(I1899-1,I:I,0)+1,1):INDEX(G:G,MATCH(I1899,I:I,0)-1,1)),"")</f>
        <v>#NAME?</v>
      </c>
      <c r="I1899" s="200" t="str">
        <f>IF(OR(B1899=リスト!$C$5,B1899=リスト!$C$6),COUNTIF($B$9:B1899,リスト!$C$5)+COUNTIF($B$9:B1899,リスト!$C$6),"")</f>
        <v/>
      </c>
    </row>
    <row r="1900" spans="2:9" x14ac:dyDescent="0.2">
      <c r="B1900" s="196"/>
      <c r="C1900" s="197"/>
      <c r="D1900" s="197"/>
      <c r="E1900" s="198" t="e">
        <f ca="1">mif(OR(C1900="",B1900=リスト!$C$7),"",B1900="","RF",OR(B1900=リスト!$C$5,B1900=リスト!$C$6),COUNTBLANK(INDEX(B:B,MATCH(I1900-1,I:I,0)+1,1):INDEX(B:B,MATCH(I1900,I:I,0)-1,1)),"")</f>
        <v>#NAME?</v>
      </c>
      <c r="F1900" s="199" t="s">
        <v>189</v>
      </c>
      <c r="G1900" s="140" t="e">
        <f ca="1">mif(C1900="","",OR(B1900=リスト!$C$5,B1900=リスト!$C$6),SUM(INDEX(G:G,MATCH(I1900-1,I:I,0)+1,1):INDEX(G:G,MATCH(I1900,I:I,0)-1,1)),D1900-C1900)</f>
        <v>#NAME?</v>
      </c>
      <c r="H1900" s="140" t="e">
        <f ca="1">mif(C1900="","",B1900=リスト!$C$5,SUMIF(INDEX(B:B,MATCH(I1900-1,I:I,0)+1,1):INDEX(B:B,MATCH(I1900,I:I,0)-1,1),リスト!$C$7,INDEX(G:G,MATCH(I1900-1,I:I,0)+1,1):INDEX(G:G,MATCH(I1900,I:I,0)-1,1)),"")</f>
        <v>#NAME?</v>
      </c>
      <c r="I1900" s="200" t="str">
        <f>IF(OR(B1900=リスト!$C$5,B1900=リスト!$C$6),COUNTIF($B$9:B1900,リスト!$C$5)+COUNTIF($B$9:B1900,リスト!$C$6),"")</f>
        <v/>
      </c>
    </row>
    <row r="1901" spans="2:9" x14ac:dyDescent="0.2">
      <c r="B1901" s="196"/>
      <c r="C1901" s="197"/>
      <c r="D1901" s="197"/>
      <c r="E1901" s="198" t="e">
        <f ca="1">mif(OR(C1901="",B1901=リスト!$C$7),"",B1901="","RF",OR(B1901=リスト!$C$5,B1901=リスト!$C$6),COUNTBLANK(INDEX(B:B,MATCH(I1901-1,I:I,0)+1,1):INDEX(B:B,MATCH(I1901,I:I,0)-1,1)),"")</f>
        <v>#NAME?</v>
      </c>
      <c r="F1901" s="199" t="s">
        <v>189</v>
      </c>
      <c r="G1901" s="140" t="e">
        <f ca="1">mif(C1901="","",OR(B1901=リスト!$C$5,B1901=リスト!$C$6),SUM(INDEX(G:G,MATCH(I1901-1,I:I,0)+1,1):INDEX(G:G,MATCH(I1901,I:I,0)-1,1)),D1901-C1901)</f>
        <v>#NAME?</v>
      </c>
      <c r="H1901" s="140" t="e">
        <f ca="1">mif(C1901="","",B1901=リスト!$C$5,SUMIF(INDEX(B:B,MATCH(I1901-1,I:I,0)+1,1):INDEX(B:B,MATCH(I1901,I:I,0)-1,1),リスト!$C$7,INDEX(G:G,MATCH(I1901-1,I:I,0)+1,1):INDEX(G:G,MATCH(I1901,I:I,0)-1,1)),"")</f>
        <v>#NAME?</v>
      </c>
      <c r="I1901" s="200" t="str">
        <f>IF(OR(B1901=リスト!$C$5,B1901=リスト!$C$6),COUNTIF($B$9:B1901,リスト!$C$5)+COUNTIF($B$9:B1901,リスト!$C$6),"")</f>
        <v/>
      </c>
    </row>
    <row r="1902" spans="2:9" x14ac:dyDescent="0.2">
      <c r="B1902" s="196"/>
      <c r="C1902" s="197"/>
      <c r="D1902" s="197"/>
      <c r="E1902" s="198" t="e">
        <f ca="1">mif(OR(C1902="",B1902=リスト!$C$7),"",B1902="","RF",OR(B1902=リスト!$C$5,B1902=リスト!$C$6),COUNTBLANK(INDEX(B:B,MATCH(I1902-1,I:I,0)+1,1):INDEX(B:B,MATCH(I1902,I:I,0)-1,1)),"")</f>
        <v>#NAME?</v>
      </c>
      <c r="F1902" s="199" t="s">
        <v>189</v>
      </c>
      <c r="G1902" s="140" t="e">
        <f ca="1">mif(C1902="","",OR(B1902=リスト!$C$5,B1902=リスト!$C$6),SUM(INDEX(G:G,MATCH(I1902-1,I:I,0)+1,1):INDEX(G:G,MATCH(I1902,I:I,0)-1,1)),D1902-C1902)</f>
        <v>#NAME?</v>
      </c>
      <c r="H1902" s="140" t="e">
        <f ca="1">mif(C1902="","",B1902=リスト!$C$5,SUMIF(INDEX(B:B,MATCH(I1902-1,I:I,0)+1,1):INDEX(B:B,MATCH(I1902,I:I,0)-1,1),リスト!$C$7,INDEX(G:G,MATCH(I1902-1,I:I,0)+1,1):INDEX(G:G,MATCH(I1902,I:I,0)-1,1)),"")</f>
        <v>#NAME?</v>
      </c>
      <c r="I1902" s="200" t="str">
        <f>IF(OR(B1902=リスト!$C$5,B1902=リスト!$C$6),COUNTIF($B$9:B1902,リスト!$C$5)+COUNTIF($B$9:B1902,リスト!$C$6),"")</f>
        <v/>
      </c>
    </row>
    <row r="1903" spans="2:9" x14ac:dyDescent="0.2">
      <c r="B1903" s="196"/>
      <c r="C1903" s="197"/>
      <c r="D1903" s="197"/>
      <c r="E1903" s="198" t="e">
        <f ca="1">mif(OR(C1903="",B1903=リスト!$C$7),"",B1903="","RF",OR(B1903=リスト!$C$5,B1903=リスト!$C$6),COUNTBLANK(INDEX(B:B,MATCH(I1903-1,I:I,0)+1,1):INDEX(B:B,MATCH(I1903,I:I,0)-1,1)),"")</f>
        <v>#NAME?</v>
      </c>
      <c r="F1903" s="199" t="s">
        <v>189</v>
      </c>
      <c r="G1903" s="140" t="e">
        <f ca="1">mif(C1903="","",OR(B1903=リスト!$C$5,B1903=リスト!$C$6),SUM(INDEX(G:G,MATCH(I1903-1,I:I,0)+1,1):INDEX(G:G,MATCH(I1903,I:I,0)-1,1)),D1903-C1903)</f>
        <v>#NAME?</v>
      </c>
      <c r="H1903" s="140" t="e">
        <f ca="1">mif(C1903="","",B1903=リスト!$C$5,SUMIF(INDEX(B:B,MATCH(I1903-1,I:I,0)+1,1):INDEX(B:B,MATCH(I1903,I:I,0)-1,1),リスト!$C$7,INDEX(G:G,MATCH(I1903-1,I:I,0)+1,1):INDEX(G:G,MATCH(I1903,I:I,0)-1,1)),"")</f>
        <v>#NAME?</v>
      </c>
      <c r="I1903" s="200" t="str">
        <f>IF(OR(B1903=リスト!$C$5,B1903=リスト!$C$6),COUNTIF($B$9:B1903,リスト!$C$5)+COUNTIF($B$9:B1903,リスト!$C$6),"")</f>
        <v/>
      </c>
    </row>
    <row r="1904" spans="2:9" x14ac:dyDescent="0.2">
      <c r="B1904" s="196"/>
      <c r="C1904" s="197"/>
      <c r="D1904" s="197"/>
      <c r="E1904" s="198" t="e">
        <f ca="1">mif(OR(C1904="",B1904=リスト!$C$7),"",B1904="","RF",OR(B1904=リスト!$C$5,B1904=リスト!$C$6),COUNTBLANK(INDEX(B:B,MATCH(I1904-1,I:I,0)+1,1):INDEX(B:B,MATCH(I1904,I:I,0)-1,1)),"")</f>
        <v>#NAME?</v>
      </c>
      <c r="F1904" s="199" t="s">
        <v>189</v>
      </c>
      <c r="G1904" s="140" t="e">
        <f ca="1">mif(C1904="","",OR(B1904=リスト!$C$5,B1904=リスト!$C$6),SUM(INDEX(G:G,MATCH(I1904-1,I:I,0)+1,1):INDEX(G:G,MATCH(I1904,I:I,0)-1,1)),D1904-C1904)</f>
        <v>#NAME?</v>
      </c>
      <c r="H1904" s="140" t="e">
        <f ca="1">mif(C1904="","",B1904=リスト!$C$5,SUMIF(INDEX(B:B,MATCH(I1904-1,I:I,0)+1,1):INDEX(B:B,MATCH(I1904,I:I,0)-1,1),リスト!$C$7,INDEX(G:G,MATCH(I1904-1,I:I,0)+1,1):INDEX(G:G,MATCH(I1904,I:I,0)-1,1)),"")</f>
        <v>#NAME?</v>
      </c>
      <c r="I1904" s="200" t="str">
        <f>IF(OR(B1904=リスト!$C$5,B1904=リスト!$C$6),COUNTIF($B$9:B1904,リスト!$C$5)+COUNTIF($B$9:B1904,リスト!$C$6),"")</f>
        <v/>
      </c>
    </row>
    <row r="1905" spans="2:9" x14ac:dyDescent="0.2">
      <c r="B1905" s="196"/>
      <c r="C1905" s="197"/>
      <c r="D1905" s="197"/>
      <c r="E1905" s="198" t="e">
        <f ca="1">mif(OR(C1905="",B1905=リスト!$C$7),"",B1905="","RF",OR(B1905=リスト!$C$5,B1905=リスト!$C$6),COUNTBLANK(INDEX(B:B,MATCH(I1905-1,I:I,0)+1,1):INDEX(B:B,MATCH(I1905,I:I,0)-1,1)),"")</f>
        <v>#NAME?</v>
      </c>
      <c r="F1905" s="199" t="s">
        <v>189</v>
      </c>
      <c r="G1905" s="140" t="e">
        <f ca="1">mif(C1905="","",OR(B1905=リスト!$C$5,B1905=リスト!$C$6),SUM(INDEX(G:G,MATCH(I1905-1,I:I,0)+1,1):INDEX(G:G,MATCH(I1905,I:I,0)-1,1)),D1905-C1905)</f>
        <v>#NAME?</v>
      </c>
      <c r="H1905" s="140" t="e">
        <f ca="1">mif(C1905="","",B1905=リスト!$C$5,SUMIF(INDEX(B:B,MATCH(I1905-1,I:I,0)+1,1):INDEX(B:B,MATCH(I1905,I:I,0)-1,1),リスト!$C$7,INDEX(G:G,MATCH(I1905-1,I:I,0)+1,1):INDEX(G:G,MATCH(I1905,I:I,0)-1,1)),"")</f>
        <v>#NAME?</v>
      </c>
      <c r="I1905" s="200" t="str">
        <f>IF(OR(B1905=リスト!$C$5,B1905=リスト!$C$6),COUNTIF($B$9:B1905,リスト!$C$5)+COUNTIF($B$9:B1905,リスト!$C$6),"")</f>
        <v/>
      </c>
    </row>
    <row r="1906" spans="2:9" x14ac:dyDescent="0.2">
      <c r="B1906" s="196"/>
      <c r="C1906" s="197"/>
      <c r="D1906" s="197"/>
      <c r="E1906" s="198" t="e">
        <f ca="1">mif(OR(C1906="",B1906=リスト!$C$7),"",B1906="","RF",OR(B1906=リスト!$C$5,B1906=リスト!$C$6),COUNTBLANK(INDEX(B:B,MATCH(I1906-1,I:I,0)+1,1):INDEX(B:B,MATCH(I1906,I:I,0)-1,1)),"")</f>
        <v>#NAME?</v>
      </c>
      <c r="F1906" s="199" t="s">
        <v>189</v>
      </c>
      <c r="G1906" s="140" t="e">
        <f ca="1">mif(C1906="","",OR(B1906=リスト!$C$5,B1906=リスト!$C$6),SUM(INDEX(G:G,MATCH(I1906-1,I:I,0)+1,1):INDEX(G:G,MATCH(I1906,I:I,0)-1,1)),D1906-C1906)</f>
        <v>#NAME?</v>
      </c>
      <c r="H1906" s="140" t="e">
        <f ca="1">mif(C1906="","",B1906=リスト!$C$5,SUMIF(INDEX(B:B,MATCH(I1906-1,I:I,0)+1,1):INDEX(B:B,MATCH(I1906,I:I,0)-1,1),リスト!$C$7,INDEX(G:G,MATCH(I1906-1,I:I,0)+1,1):INDEX(G:G,MATCH(I1906,I:I,0)-1,1)),"")</f>
        <v>#NAME?</v>
      </c>
      <c r="I1906" s="200" t="str">
        <f>IF(OR(B1906=リスト!$C$5,B1906=リスト!$C$6),COUNTIF($B$9:B1906,リスト!$C$5)+COUNTIF($B$9:B1906,リスト!$C$6),"")</f>
        <v/>
      </c>
    </row>
    <row r="1907" spans="2:9" x14ac:dyDescent="0.2">
      <c r="B1907" s="196"/>
      <c r="C1907" s="197"/>
      <c r="D1907" s="197"/>
      <c r="E1907" s="198" t="e">
        <f ca="1">mif(OR(C1907="",B1907=リスト!$C$7),"",B1907="","RF",OR(B1907=リスト!$C$5,B1907=リスト!$C$6),COUNTBLANK(INDEX(B:B,MATCH(I1907-1,I:I,0)+1,1):INDEX(B:B,MATCH(I1907,I:I,0)-1,1)),"")</f>
        <v>#NAME?</v>
      </c>
      <c r="F1907" s="199" t="s">
        <v>189</v>
      </c>
      <c r="G1907" s="140" t="e">
        <f ca="1">mif(C1907="","",OR(B1907=リスト!$C$5,B1907=リスト!$C$6),SUM(INDEX(G:G,MATCH(I1907-1,I:I,0)+1,1):INDEX(G:G,MATCH(I1907,I:I,0)-1,1)),D1907-C1907)</f>
        <v>#NAME?</v>
      </c>
      <c r="H1907" s="140" t="e">
        <f ca="1">mif(C1907="","",B1907=リスト!$C$5,SUMIF(INDEX(B:B,MATCH(I1907-1,I:I,0)+1,1):INDEX(B:B,MATCH(I1907,I:I,0)-1,1),リスト!$C$7,INDEX(G:G,MATCH(I1907-1,I:I,0)+1,1):INDEX(G:G,MATCH(I1907,I:I,0)-1,1)),"")</f>
        <v>#NAME?</v>
      </c>
      <c r="I1907" s="200" t="str">
        <f>IF(OR(B1907=リスト!$C$5,B1907=リスト!$C$6),COUNTIF($B$9:B1907,リスト!$C$5)+COUNTIF($B$9:B1907,リスト!$C$6),"")</f>
        <v/>
      </c>
    </row>
    <row r="1908" spans="2:9" x14ac:dyDescent="0.2">
      <c r="B1908" s="196"/>
      <c r="C1908" s="197"/>
      <c r="D1908" s="197"/>
      <c r="E1908" s="198" t="e">
        <f ca="1">mif(OR(C1908="",B1908=リスト!$C$7),"",B1908="","RF",OR(B1908=リスト!$C$5,B1908=リスト!$C$6),COUNTBLANK(INDEX(B:B,MATCH(I1908-1,I:I,0)+1,1):INDEX(B:B,MATCH(I1908,I:I,0)-1,1)),"")</f>
        <v>#NAME?</v>
      </c>
      <c r="F1908" s="199" t="s">
        <v>189</v>
      </c>
      <c r="G1908" s="140" t="e">
        <f ca="1">mif(C1908="","",OR(B1908=リスト!$C$5,B1908=リスト!$C$6),SUM(INDEX(G:G,MATCH(I1908-1,I:I,0)+1,1):INDEX(G:G,MATCH(I1908,I:I,0)-1,1)),D1908-C1908)</f>
        <v>#NAME?</v>
      </c>
      <c r="H1908" s="140" t="e">
        <f ca="1">mif(C1908="","",B1908=リスト!$C$5,SUMIF(INDEX(B:B,MATCH(I1908-1,I:I,0)+1,1):INDEX(B:B,MATCH(I1908,I:I,0)-1,1),リスト!$C$7,INDEX(G:G,MATCH(I1908-1,I:I,0)+1,1):INDEX(G:G,MATCH(I1908,I:I,0)-1,1)),"")</f>
        <v>#NAME?</v>
      </c>
      <c r="I1908" s="200" t="str">
        <f>IF(OR(B1908=リスト!$C$5,B1908=リスト!$C$6),COUNTIF($B$9:B1908,リスト!$C$5)+COUNTIF($B$9:B1908,リスト!$C$6),"")</f>
        <v/>
      </c>
    </row>
    <row r="1909" spans="2:9" x14ac:dyDescent="0.2">
      <c r="B1909" s="196"/>
      <c r="C1909" s="197"/>
      <c r="D1909" s="197"/>
      <c r="E1909" s="198" t="e">
        <f ca="1">mif(OR(C1909="",B1909=リスト!$C$7),"",B1909="","RF",OR(B1909=リスト!$C$5,B1909=リスト!$C$6),COUNTBLANK(INDEX(B:B,MATCH(I1909-1,I:I,0)+1,1):INDEX(B:B,MATCH(I1909,I:I,0)-1,1)),"")</f>
        <v>#NAME?</v>
      </c>
      <c r="F1909" s="199" t="s">
        <v>189</v>
      </c>
      <c r="G1909" s="140" t="e">
        <f ca="1">mif(C1909="","",OR(B1909=リスト!$C$5,B1909=リスト!$C$6),SUM(INDEX(G:G,MATCH(I1909-1,I:I,0)+1,1):INDEX(G:G,MATCH(I1909,I:I,0)-1,1)),D1909-C1909)</f>
        <v>#NAME?</v>
      </c>
      <c r="H1909" s="140" t="e">
        <f ca="1">mif(C1909="","",B1909=リスト!$C$5,SUMIF(INDEX(B:B,MATCH(I1909-1,I:I,0)+1,1):INDEX(B:B,MATCH(I1909,I:I,0)-1,1),リスト!$C$7,INDEX(G:G,MATCH(I1909-1,I:I,0)+1,1):INDEX(G:G,MATCH(I1909,I:I,0)-1,1)),"")</f>
        <v>#NAME?</v>
      </c>
      <c r="I1909" s="200" t="str">
        <f>IF(OR(B1909=リスト!$C$5,B1909=リスト!$C$6),COUNTIF($B$9:B1909,リスト!$C$5)+COUNTIF($B$9:B1909,リスト!$C$6),"")</f>
        <v/>
      </c>
    </row>
    <row r="1910" spans="2:9" x14ac:dyDescent="0.2">
      <c r="B1910" s="196"/>
      <c r="C1910" s="197"/>
      <c r="D1910" s="197"/>
      <c r="E1910" s="198" t="e">
        <f ca="1">mif(OR(C1910="",B1910=リスト!$C$7),"",B1910="","RF",OR(B1910=リスト!$C$5,B1910=リスト!$C$6),COUNTBLANK(INDEX(B:B,MATCH(I1910-1,I:I,0)+1,1):INDEX(B:B,MATCH(I1910,I:I,0)-1,1)),"")</f>
        <v>#NAME?</v>
      </c>
      <c r="F1910" s="199" t="s">
        <v>189</v>
      </c>
      <c r="G1910" s="140" t="e">
        <f ca="1">mif(C1910="","",OR(B1910=リスト!$C$5,B1910=リスト!$C$6),SUM(INDEX(G:G,MATCH(I1910-1,I:I,0)+1,1):INDEX(G:G,MATCH(I1910,I:I,0)-1,1)),D1910-C1910)</f>
        <v>#NAME?</v>
      </c>
      <c r="H1910" s="140" t="e">
        <f ca="1">mif(C1910="","",B1910=リスト!$C$5,SUMIF(INDEX(B:B,MATCH(I1910-1,I:I,0)+1,1):INDEX(B:B,MATCH(I1910,I:I,0)-1,1),リスト!$C$7,INDEX(G:G,MATCH(I1910-1,I:I,0)+1,1):INDEX(G:G,MATCH(I1910,I:I,0)-1,1)),"")</f>
        <v>#NAME?</v>
      </c>
      <c r="I1910" s="200" t="str">
        <f>IF(OR(B1910=リスト!$C$5,B1910=リスト!$C$6),COUNTIF($B$9:B1910,リスト!$C$5)+COUNTIF($B$9:B1910,リスト!$C$6),"")</f>
        <v/>
      </c>
    </row>
    <row r="1911" spans="2:9" x14ac:dyDescent="0.2">
      <c r="B1911" s="196"/>
      <c r="C1911" s="197"/>
      <c r="D1911" s="197"/>
      <c r="E1911" s="198" t="e">
        <f ca="1">mif(OR(C1911="",B1911=リスト!$C$7),"",B1911="","RF",OR(B1911=リスト!$C$5,B1911=リスト!$C$6),COUNTBLANK(INDEX(B:B,MATCH(I1911-1,I:I,0)+1,1):INDEX(B:B,MATCH(I1911,I:I,0)-1,1)),"")</f>
        <v>#NAME?</v>
      </c>
      <c r="F1911" s="199" t="s">
        <v>189</v>
      </c>
      <c r="G1911" s="140" t="e">
        <f ca="1">mif(C1911="","",OR(B1911=リスト!$C$5,B1911=リスト!$C$6),SUM(INDEX(G:G,MATCH(I1911-1,I:I,0)+1,1):INDEX(G:G,MATCH(I1911,I:I,0)-1,1)),D1911-C1911)</f>
        <v>#NAME?</v>
      </c>
      <c r="H1911" s="140" t="e">
        <f ca="1">mif(C1911="","",B1911=リスト!$C$5,SUMIF(INDEX(B:B,MATCH(I1911-1,I:I,0)+1,1):INDEX(B:B,MATCH(I1911,I:I,0)-1,1),リスト!$C$7,INDEX(G:G,MATCH(I1911-1,I:I,0)+1,1):INDEX(G:G,MATCH(I1911,I:I,0)-1,1)),"")</f>
        <v>#NAME?</v>
      </c>
      <c r="I1911" s="200" t="str">
        <f>IF(OR(B1911=リスト!$C$5,B1911=リスト!$C$6),COUNTIF($B$9:B1911,リスト!$C$5)+COUNTIF($B$9:B1911,リスト!$C$6),"")</f>
        <v/>
      </c>
    </row>
    <row r="1912" spans="2:9" x14ac:dyDescent="0.2">
      <c r="B1912" s="196"/>
      <c r="C1912" s="197"/>
      <c r="D1912" s="197"/>
      <c r="E1912" s="198" t="e">
        <f ca="1">mif(OR(C1912="",B1912=リスト!$C$7),"",B1912="","RF",OR(B1912=リスト!$C$5,B1912=リスト!$C$6),COUNTBLANK(INDEX(B:B,MATCH(I1912-1,I:I,0)+1,1):INDEX(B:B,MATCH(I1912,I:I,0)-1,1)),"")</f>
        <v>#NAME?</v>
      </c>
      <c r="F1912" s="199" t="s">
        <v>189</v>
      </c>
      <c r="G1912" s="140" t="e">
        <f ca="1">mif(C1912="","",OR(B1912=リスト!$C$5,B1912=リスト!$C$6),SUM(INDEX(G:G,MATCH(I1912-1,I:I,0)+1,1):INDEX(G:G,MATCH(I1912,I:I,0)-1,1)),D1912-C1912)</f>
        <v>#NAME?</v>
      </c>
      <c r="H1912" s="140" t="e">
        <f ca="1">mif(C1912="","",B1912=リスト!$C$5,SUMIF(INDEX(B:B,MATCH(I1912-1,I:I,0)+1,1):INDEX(B:B,MATCH(I1912,I:I,0)-1,1),リスト!$C$7,INDEX(G:G,MATCH(I1912-1,I:I,0)+1,1):INDEX(G:G,MATCH(I1912,I:I,0)-1,1)),"")</f>
        <v>#NAME?</v>
      </c>
      <c r="I1912" s="200" t="str">
        <f>IF(OR(B1912=リスト!$C$5,B1912=リスト!$C$6),COUNTIF($B$9:B1912,リスト!$C$5)+COUNTIF($B$9:B1912,リスト!$C$6),"")</f>
        <v/>
      </c>
    </row>
    <row r="1913" spans="2:9" x14ac:dyDescent="0.2">
      <c r="B1913" s="196"/>
      <c r="C1913" s="197"/>
      <c r="D1913" s="197"/>
      <c r="E1913" s="198" t="e">
        <f ca="1">mif(OR(C1913="",B1913=リスト!$C$7),"",B1913="","RF",OR(B1913=リスト!$C$5,B1913=リスト!$C$6),COUNTBLANK(INDEX(B:B,MATCH(I1913-1,I:I,0)+1,1):INDEX(B:B,MATCH(I1913,I:I,0)-1,1)),"")</f>
        <v>#NAME?</v>
      </c>
      <c r="F1913" s="199" t="s">
        <v>189</v>
      </c>
      <c r="G1913" s="140" t="e">
        <f ca="1">mif(C1913="","",OR(B1913=リスト!$C$5,B1913=リスト!$C$6),SUM(INDEX(G:G,MATCH(I1913-1,I:I,0)+1,1):INDEX(G:G,MATCH(I1913,I:I,0)-1,1)),D1913-C1913)</f>
        <v>#NAME?</v>
      </c>
      <c r="H1913" s="140" t="e">
        <f ca="1">mif(C1913="","",B1913=リスト!$C$5,SUMIF(INDEX(B:B,MATCH(I1913-1,I:I,0)+1,1):INDEX(B:B,MATCH(I1913,I:I,0)-1,1),リスト!$C$7,INDEX(G:G,MATCH(I1913-1,I:I,0)+1,1):INDEX(G:G,MATCH(I1913,I:I,0)-1,1)),"")</f>
        <v>#NAME?</v>
      </c>
      <c r="I1913" s="200" t="str">
        <f>IF(OR(B1913=リスト!$C$5,B1913=リスト!$C$6),COUNTIF($B$9:B1913,リスト!$C$5)+COUNTIF($B$9:B1913,リスト!$C$6),"")</f>
        <v/>
      </c>
    </row>
    <row r="1914" spans="2:9" x14ac:dyDescent="0.2">
      <c r="B1914" s="196"/>
      <c r="C1914" s="197"/>
      <c r="D1914" s="197"/>
      <c r="E1914" s="198" t="e">
        <f ca="1">mif(OR(C1914="",B1914=リスト!$C$7),"",B1914="","RF",OR(B1914=リスト!$C$5,B1914=リスト!$C$6),COUNTBLANK(INDEX(B:B,MATCH(I1914-1,I:I,0)+1,1):INDEX(B:B,MATCH(I1914,I:I,0)-1,1)),"")</f>
        <v>#NAME?</v>
      </c>
      <c r="F1914" s="199" t="s">
        <v>189</v>
      </c>
      <c r="G1914" s="140" t="e">
        <f ca="1">mif(C1914="","",OR(B1914=リスト!$C$5,B1914=リスト!$C$6),SUM(INDEX(G:G,MATCH(I1914-1,I:I,0)+1,1):INDEX(G:G,MATCH(I1914,I:I,0)-1,1)),D1914-C1914)</f>
        <v>#NAME?</v>
      </c>
      <c r="H1914" s="140" t="e">
        <f ca="1">mif(C1914="","",B1914=リスト!$C$5,SUMIF(INDEX(B:B,MATCH(I1914-1,I:I,0)+1,1):INDEX(B:B,MATCH(I1914,I:I,0)-1,1),リスト!$C$7,INDEX(G:G,MATCH(I1914-1,I:I,0)+1,1):INDEX(G:G,MATCH(I1914,I:I,0)-1,1)),"")</f>
        <v>#NAME?</v>
      </c>
      <c r="I1914" s="200" t="str">
        <f>IF(OR(B1914=リスト!$C$5,B1914=リスト!$C$6),COUNTIF($B$9:B1914,リスト!$C$5)+COUNTIF($B$9:B1914,リスト!$C$6),"")</f>
        <v/>
      </c>
    </row>
    <row r="1915" spans="2:9" x14ac:dyDescent="0.2">
      <c r="B1915" s="196"/>
      <c r="C1915" s="197"/>
      <c r="D1915" s="197"/>
      <c r="E1915" s="198" t="e">
        <f ca="1">mif(OR(C1915="",B1915=リスト!$C$7),"",B1915="","RF",OR(B1915=リスト!$C$5,B1915=リスト!$C$6),COUNTBLANK(INDEX(B:B,MATCH(I1915-1,I:I,0)+1,1):INDEX(B:B,MATCH(I1915,I:I,0)-1,1)),"")</f>
        <v>#NAME?</v>
      </c>
      <c r="F1915" s="199" t="s">
        <v>189</v>
      </c>
      <c r="G1915" s="140" t="e">
        <f ca="1">mif(C1915="","",OR(B1915=リスト!$C$5,B1915=リスト!$C$6),SUM(INDEX(G:G,MATCH(I1915-1,I:I,0)+1,1):INDEX(G:G,MATCH(I1915,I:I,0)-1,1)),D1915-C1915)</f>
        <v>#NAME?</v>
      </c>
      <c r="H1915" s="140" t="e">
        <f ca="1">mif(C1915="","",B1915=リスト!$C$5,SUMIF(INDEX(B:B,MATCH(I1915-1,I:I,0)+1,1):INDEX(B:B,MATCH(I1915,I:I,0)-1,1),リスト!$C$7,INDEX(G:G,MATCH(I1915-1,I:I,0)+1,1):INDEX(G:G,MATCH(I1915,I:I,0)-1,1)),"")</f>
        <v>#NAME?</v>
      </c>
      <c r="I1915" s="200" t="str">
        <f>IF(OR(B1915=リスト!$C$5,B1915=リスト!$C$6),COUNTIF($B$9:B1915,リスト!$C$5)+COUNTIF($B$9:B1915,リスト!$C$6),"")</f>
        <v/>
      </c>
    </row>
    <row r="1916" spans="2:9" x14ac:dyDescent="0.2">
      <c r="B1916" s="196"/>
      <c r="C1916" s="197"/>
      <c r="D1916" s="197"/>
      <c r="E1916" s="198" t="e">
        <f ca="1">mif(OR(C1916="",B1916=リスト!$C$7),"",B1916="","RF",OR(B1916=リスト!$C$5,B1916=リスト!$C$6),COUNTBLANK(INDEX(B:B,MATCH(I1916-1,I:I,0)+1,1):INDEX(B:B,MATCH(I1916,I:I,0)-1,1)),"")</f>
        <v>#NAME?</v>
      </c>
      <c r="F1916" s="199" t="s">
        <v>189</v>
      </c>
      <c r="G1916" s="140" t="e">
        <f ca="1">mif(C1916="","",OR(B1916=リスト!$C$5,B1916=リスト!$C$6),SUM(INDEX(G:G,MATCH(I1916-1,I:I,0)+1,1):INDEX(G:G,MATCH(I1916,I:I,0)-1,1)),D1916-C1916)</f>
        <v>#NAME?</v>
      </c>
      <c r="H1916" s="140" t="e">
        <f ca="1">mif(C1916="","",B1916=リスト!$C$5,SUMIF(INDEX(B:B,MATCH(I1916-1,I:I,0)+1,1):INDEX(B:B,MATCH(I1916,I:I,0)-1,1),リスト!$C$7,INDEX(G:G,MATCH(I1916-1,I:I,0)+1,1):INDEX(G:G,MATCH(I1916,I:I,0)-1,1)),"")</f>
        <v>#NAME?</v>
      </c>
      <c r="I1916" s="200" t="str">
        <f>IF(OR(B1916=リスト!$C$5,B1916=リスト!$C$6),COUNTIF($B$9:B1916,リスト!$C$5)+COUNTIF($B$9:B1916,リスト!$C$6),"")</f>
        <v/>
      </c>
    </row>
    <row r="1917" spans="2:9" x14ac:dyDescent="0.2">
      <c r="B1917" s="196"/>
      <c r="C1917" s="197"/>
      <c r="D1917" s="197"/>
      <c r="E1917" s="198" t="e">
        <f ca="1">mif(OR(C1917="",B1917=リスト!$C$7),"",B1917="","RF",OR(B1917=リスト!$C$5,B1917=リスト!$C$6),COUNTBLANK(INDEX(B:B,MATCH(I1917-1,I:I,0)+1,1):INDEX(B:B,MATCH(I1917,I:I,0)-1,1)),"")</f>
        <v>#NAME?</v>
      </c>
      <c r="F1917" s="199" t="s">
        <v>189</v>
      </c>
      <c r="G1917" s="140" t="e">
        <f ca="1">mif(C1917="","",OR(B1917=リスト!$C$5,B1917=リスト!$C$6),SUM(INDEX(G:G,MATCH(I1917-1,I:I,0)+1,1):INDEX(G:G,MATCH(I1917,I:I,0)-1,1)),D1917-C1917)</f>
        <v>#NAME?</v>
      </c>
      <c r="H1917" s="140" t="e">
        <f ca="1">mif(C1917="","",B1917=リスト!$C$5,SUMIF(INDEX(B:B,MATCH(I1917-1,I:I,0)+1,1):INDEX(B:B,MATCH(I1917,I:I,0)-1,1),リスト!$C$7,INDEX(G:G,MATCH(I1917-1,I:I,0)+1,1):INDEX(G:G,MATCH(I1917,I:I,0)-1,1)),"")</f>
        <v>#NAME?</v>
      </c>
      <c r="I1917" s="200" t="str">
        <f>IF(OR(B1917=リスト!$C$5,B1917=リスト!$C$6),COUNTIF($B$9:B1917,リスト!$C$5)+COUNTIF($B$9:B1917,リスト!$C$6),"")</f>
        <v/>
      </c>
    </row>
    <row r="1918" spans="2:9" x14ac:dyDescent="0.2">
      <c r="B1918" s="196"/>
      <c r="C1918" s="197"/>
      <c r="D1918" s="197"/>
      <c r="E1918" s="198" t="e">
        <f ca="1">mif(OR(C1918="",B1918=リスト!$C$7),"",B1918="","RF",OR(B1918=リスト!$C$5,B1918=リスト!$C$6),COUNTBLANK(INDEX(B:B,MATCH(I1918-1,I:I,0)+1,1):INDEX(B:B,MATCH(I1918,I:I,0)-1,1)),"")</f>
        <v>#NAME?</v>
      </c>
      <c r="F1918" s="199" t="s">
        <v>189</v>
      </c>
      <c r="G1918" s="140" t="e">
        <f ca="1">mif(C1918="","",OR(B1918=リスト!$C$5,B1918=リスト!$C$6),SUM(INDEX(G:G,MATCH(I1918-1,I:I,0)+1,1):INDEX(G:G,MATCH(I1918,I:I,0)-1,1)),D1918-C1918)</f>
        <v>#NAME?</v>
      </c>
      <c r="H1918" s="140" t="e">
        <f ca="1">mif(C1918="","",B1918=リスト!$C$5,SUMIF(INDEX(B:B,MATCH(I1918-1,I:I,0)+1,1):INDEX(B:B,MATCH(I1918,I:I,0)-1,1),リスト!$C$7,INDEX(G:G,MATCH(I1918-1,I:I,0)+1,1):INDEX(G:G,MATCH(I1918,I:I,0)-1,1)),"")</f>
        <v>#NAME?</v>
      </c>
      <c r="I1918" s="200" t="str">
        <f>IF(OR(B1918=リスト!$C$5,B1918=リスト!$C$6),COUNTIF($B$9:B1918,リスト!$C$5)+COUNTIF($B$9:B1918,リスト!$C$6),"")</f>
        <v/>
      </c>
    </row>
    <row r="1919" spans="2:9" x14ac:dyDescent="0.2">
      <c r="B1919" s="196"/>
      <c r="C1919" s="197"/>
      <c r="D1919" s="197"/>
      <c r="E1919" s="198" t="e">
        <f ca="1">mif(OR(C1919="",B1919=リスト!$C$7),"",B1919="","RF",OR(B1919=リスト!$C$5,B1919=リスト!$C$6),COUNTBLANK(INDEX(B:B,MATCH(I1919-1,I:I,0)+1,1):INDEX(B:B,MATCH(I1919,I:I,0)-1,1)),"")</f>
        <v>#NAME?</v>
      </c>
      <c r="F1919" s="199" t="s">
        <v>189</v>
      </c>
      <c r="G1919" s="140" t="e">
        <f ca="1">mif(C1919="","",OR(B1919=リスト!$C$5,B1919=リスト!$C$6),SUM(INDEX(G:G,MATCH(I1919-1,I:I,0)+1,1):INDEX(G:G,MATCH(I1919,I:I,0)-1,1)),D1919-C1919)</f>
        <v>#NAME?</v>
      </c>
      <c r="H1919" s="140" t="e">
        <f ca="1">mif(C1919="","",B1919=リスト!$C$5,SUMIF(INDEX(B:B,MATCH(I1919-1,I:I,0)+1,1):INDEX(B:B,MATCH(I1919,I:I,0)-1,1),リスト!$C$7,INDEX(G:G,MATCH(I1919-1,I:I,0)+1,1):INDEX(G:G,MATCH(I1919,I:I,0)-1,1)),"")</f>
        <v>#NAME?</v>
      </c>
      <c r="I1919" s="200" t="str">
        <f>IF(OR(B1919=リスト!$C$5,B1919=リスト!$C$6),COUNTIF($B$9:B1919,リスト!$C$5)+COUNTIF($B$9:B1919,リスト!$C$6),"")</f>
        <v/>
      </c>
    </row>
    <row r="1920" spans="2:9" x14ac:dyDescent="0.2">
      <c r="B1920" s="196"/>
      <c r="C1920" s="197"/>
      <c r="D1920" s="197"/>
      <c r="E1920" s="198" t="e">
        <f ca="1">mif(OR(C1920="",B1920=リスト!$C$7),"",B1920="","RF",OR(B1920=リスト!$C$5,B1920=リスト!$C$6),COUNTBLANK(INDEX(B:B,MATCH(I1920-1,I:I,0)+1,1):INDEX(B:B,MATCH(I1920,I:I,0)-1,1)),"")</f>
        <v>#NAME?</v>
      </c>
      <c r="F1920" s="199" t="s">
        <v>189</v>
      </c>
      <c r="G1920" s="140" t="e">
        <f ca="1">mif(C1920="","",OR(B1920=リスト!$C$5,B1920=リスト!$C$6),SUM(INDEX(G:G,MATCH(I1920-1,I:I,0)+1,1):INDEX(G:G,MATCH(I1920,I:I,0)-1,1)),D1920-C1920)</f>
        <v>#NAME?</v>
      </c>
      <c r="H1920" s="140" t="e">
        <f ca="1">mif(C1920="","",B1920=リスト!$C$5,SUMIF(INDEX(B:B,MATCH(I1920-1,I:I,0)+1,1):INDEX(B:B,MATCH(I1920,I:I,0)-1,1),リスト!$C$7,INDEX(G:G,MATCH(I1920-1,I:I,0)+1,1):INDEX(G:G,MATCH(I1920,I:I,0)-1,1)),"")</f>
        <v>#NAME?</v>
      </c>
      <c r="I1920" s="200" t="str">
        <f>IF(OR(B1920=リスト!$C$5,B1920=リスト!$C$6),COUNTIF($B$9:B1920,リスト!$C$5)+COUNTIF($B$9:B1920,リスト!$C$6),"")</f>
        <v/>
      </c>
    </row>
    <row r="1921" spans="2:9" x14ac:dyDescent="0.2">
      <c r="B1921" s="196"/>
      <c r="C1921" s="197"/>
      <c r="D1921" s="197"/>
      <c r="E1921" s="198" t="e">
        <f ca="1">mif(OR(C1921="",B1921=リスト!$C$7),"",B1921="","RF",OR(B1921=リスト!$C$5,B1921=リスト!$C$6),COUNTBLANK(INDEX(B:B,MATCH(I1921-1,I:I,0)+1,1):INDEX(B:B,MATCH(I1921,I:I,0)-1,1)),"")</f>
        <v>#NAME?</v>
      </c>
      <c r="F1921" s="199" t="s">
        <v>189</v>
      </c>
      <c r="G1921" s="140" t="e">
        <f ca="1">mif(C1921="","",OR(B1921=リスト!$C$5,B1921=リスト!$C$6),SUM(INDEX(G:G,MATCH(I1921-1,I:I,0)+1,1):INDEX(G:G,MATCH(I1921,I:I,0)-1,1)),D1921-C1921)</f>
        <v>#NAME?</v>
      </c>
      <c r="H1921" s="140" t="e">
        <f ca="1">mif(C1921="","",B1921=リスト!$C$5,SUMIF(INDEX(B:B,MATCH(I1921-1,I:I,0)+1,1):INDEX(B:B,MATCH(I1921,I:I,0)-1,1),リスト!$C$7,INDEX(G:G,MATCH(I1921-1,I:I,0)+1,1):INDEX(G:G,MATCH(I1921,I:I,0)-1,1)),"")</f>
        <v>#NAME?</v>
      </c>
      <c r="I1921" s="200" t="str">
        <f>IF(OR(B1921=リスト!$C$5,B1921=リスト!$C$6),COUNTIF($B$9:B1921,リスト!$C$5)+COUNTIF($B$9:B1921,リスト!$C$6),"")</f>
        <v/>
      </c>
    </row>
    <row r="1922" spans="2:9" x14ac:dyDescent="0.2">
      <c r="B1922" s="196"/>
      <c r="C1922" s="197"/>
      <c r="D1922" s="197"/>
      <c r="E1922" s="198" t="e">
        <f ca="1">mif(OR(C1922="",B1922=リスト!$C$7),"",B1922="","RF",OR(B1922=リスト!$C$5,B1922=リスト!$C$6),COUNTBLANK(INDEX(B:B,MATCH(I1922-1,I:I,0)+1,1):INDEX(B:B,MATCH(I1922,I:I,0)-1,1)),"")</f>
        <v>#NAME?</v>
      </c>
      <c r="F1922" s="199" t="s">
        <v>189</v>
      </c>
      <c r="G1922" s="140" t="e">
        <f ca="1">mif(C1922="","",OR(B1922=リスト!$C$5,B1922=リスト!$C$6),SUM(INDEX(G:G,MATCH(I1922-1,I:I,0)+1,1):INDEX(G:G,MATCH(I1922,I:I,0)-1,1)),D1922-C1922)</f>
        <v>#NAME?</v>
      </c>
      <c r="H1922" s="140" t="e">
        <f ca="1">mif(C1922="","",B1922=リスト!$C$5,SUMIF(INDEX(B:B,MATCH(I1922-1,I:I,0)+1,1):INDEX(B:B,MATCH(I1922,I:I,0)-1,1),リスト!$C$7,INDEX(G:G,MATCH(I1922-1,I:I,0)+1,1):INDEX(G:G,MATCH(I1922,I:I,0)-1,1)),"")</f>
        <v>#NAME?</v>
      </c>
      <c r="I1922" s="200" t="str">
        <f>IF(OR(B1922=リスト!$C$5,B1922=リスト!$C$6),COUNTIF($B$9:B1922,リスト!$C$5)+COUNTIF($B$9:B1922,リスト!$C$6),"")</f>
        <v/>
      </c>
    </row>
    <row r="1923" spans="2:9" x14ac:dyDescent="0.2">
      <c r="B1923" s="196"/>
      <c r="C1923" s="197"/>
      <c r="D1923" s="197"/>
      <c r="E1923" s="198" t="e">
        <f ca="1">mif(OR(C1923="",B1923=リスト!$C$7),"",B1923="","RF",OR(B1923=リスト!$C$5,B1923=リスト!$C$6),COUNTBLANK(INDEX(B:B,MATCH(I1923-1,I:I,0)+1,1):INDEX(B:B,MATCH(I1923,I:I,0)-1,1)),"")</f>
        <v>#NAME?</v>
      </c>
      <c r="F1923" s="199" t="s">
        <v>189</v>
      </c>
      <c r="G1923" s="140" t="e">
        <f ca="1">mif(C1923="","",OR(B1923=リスト!$C$5,B1923=リスト!$C$6),SUM(INDEX(G:G,MATCH(I1923-1,I:I,0)+1,1):INDEX(G:G,MATCH(I1923,I:I,0)-1,1)),D1923-C1923)</f>
        <v>#NAME?</v>
      </c>
      <c r="H1923" s="140" t="e">
        <f ca="1">mif(C1923="","",B1923=リスト!$C$5,SUMIF(INDEX(B:B,MATCH(I1923-1,I:I,0)+1,1):INDEX(B:B,MATCH(I1923,I:I,0)-1,1),リスト!$C$7,INDEX(G:G,MATCH(I1923-1,I:I,0)+1,1):INDEX(G:G,MATCH(I1923,I:I,0)-1,1)),"")</f>
        <v>#NAME?</v>
      </c>
      <c r="I1923" s="200" t="str">
        <f>IF(OR(B1923=リスト!$C$5,B1923=リスト!$C$6),COUNTIF($B$9:B1923,リスト!$C$5)+COUNTIF($B$9:B1923,リスト!$C$6),"")</f>
        <v/>
      </c>
    </row>
    <row r="1924" spans="2:9" x14ac:dyDescent="0.2">
      <c r="B1924" s="196"/>
      <c r="C1924" s="197"/>
      <c r="D1924" s="197"/>
      <c r="E1924" s="198" t="e">
        <f ca="1">mif(OR(C1924="",B1924=リスト!$C$7),"",B1924="","RF",OR(B1924=リスト!$C$5,B1924=リスト!$C$6),COUNTBLANK(INDEX(B:B,MATCH(I1924-1,I:I,0)+1,1):INDEX(B:B,MATCH(I1924,I:I,0)-1,1)),"")</f>
        <v>#NAME?</v>
      </c>
      <c r="F1924" s="199" t="s">
        <v>189</v>
      </c>
      <c r="G1924" s="140" t="e">
        <f ca="1">mif(C1924="","",OR(B1924=リスト!$C$5,B1924=リスト!$C$6),SUM(INDEX(G:G,MATCH(I1924-1,I:I,0)+1,1):INDEX(G:G,MATCH(I1924,I:I,0)-1,1)),D1924-C1924)</f>
        <v>#NAME?</v>
      </c>
      <c r="H1924" s="140" t="e">
        <f ca="1">mif(C1924="","",B1924=リスト!$C$5,SUMIF(INDEX(B:B,MATCH(I1924-1,I:I,0)+1,1):INDEX(B:B,MATCH(I1924,I:I,0)-1,1),リスト!$C$7,INDEX(G:G,MATCH(I1924-1,I:I,0)+1,1):INDEX(G:G,MATCH(I1924,I:I,0)-1,1)),"")</f>
        <v>#NAME?</v>
      </c>
      <c r="I1924" s="200" t="str">
        <f>IF(OR(B1924=リスト!$C$5,B1924=リスト!$C$6),COUNTIF($B$9:B1924,リスト!$C$5)+COUNTIF($B$9:B1924,リスト!$C$6),"")</f>
        <v/>
      </c>
    </row>
    <row r="1925" spans="2:9" x14ac:dyDescent="0.2">
      <c r="B1925" s="196"/>
      <c r="C1925" s="197"/>
      <c r="D1925" s="197"/>
      <c r="E1925" s="198" t="e">
        <f ca="1">mif(OR(C1925="",B1925=リスト!$C$7),"",B1925="","RF",OR(B1925=リスト!$C$5,B1925=リスト!$C$6),COUNTBLANK(INDEX(B:B,MATCH(I1925-1,I:I,0)+1,1):INDEX(B:B,MATCH(I1925,I:I,0)-1,1)),"")</f>
        <v>#NAME?</v>
      </c>
      <c r="F1925" s="199" t="s">
        <v>189</v>
      </c>
      <c r="G1925" s="140" t="e">
        <f ca="1">mif(C1925="","",OR(B1925=リスト!$C$5,B1925=リスト!$C$6),SUM(INDEX(G:G,MATCH(I1925-1,I:I,0)+1,1):INDEX(G:G,MATCH(I1925,I:I,0)-1,1)),D1925-C1925)</f>
        <v>#NAME?</v>
      </c>
      <c r="H1925" s="140" t="e">
        <f ca="1">mif(C1925="","",B1925=リスト!$C$5,SUMIF(INDEX(B:B,MATCH(I1925-1,I:I,0)+1,1):INDEX(B:B,MATCH(I1925,I:I,0)-1,1),リスト!$C$7,INDEX(G:G,MATCH(I1925-1,I:I,0)+1,1):INDEX(G:G,MATCH(I1925,I:I,0)-1,1)),"")</f>
        <v>#NAME?</v>
      </c>
      <c r="I1925" s="200" t="str">
        <f>IF(OR(B1925=リスト!$C$5,B1925=リスト!$C$6),COUNTIF($B$9:B1925,リスト!$C$5)+COUNTIF($B$9:B1925,リスト!$C$6),"")</f>
        <v/>
      </c>
    </row>
    <row r="1926" spans="2:9" x14ac:dyDescent="0.2">
      <c r="B1926" s="196"/>
      <c r="C1926" s="197"/>
      <c r="D1926" s="197"/>
      <c r="E1926" s="198" t="e">
        <f ca="1">mif(OR(C1926="",B1926=リスト!$C$7),"",B1926="","RF",OR(B1926=リスト!$C$5,B1926=リスト!$C$6),COUNTBLANK(INDEX(B:B,MATCH(I1926-1,I:I,0)+1,1):INDEX(B:B,MATCH(I1926,I:I,0)-1,1)),"")</f>
        <v>#NAME?</v>
      </c>
      <c r="F1926" s="199" t="s">
        <v>189</v>
      </c>
      <c r="G1926" s="140" t="e">
        <f ca="1">mif(C1926="","",OR(B1926=リスト!$C$5,B1926=リスト!$C$6),SUM(INDEX(G:G,MATCH(I1926-1,I:I,0)+1,1):INDEX(G:G,MATCH(I1926,I:I,0)-1,1)),D1926-C1926)</f>
        <v>#NAME?</v>
      </c>
      <c r="H1926" s="140" t="e">
        <f ca="1">mif(C1926="","",B1926=リスト!$C$5,SUMIF(INDEX(B:B,MATCH(I1926-1,I:I,0)+1,1):INDEX(B:B,MATCH(I1926,I:I,0)-1,1),リスト!$C$7,INDEX(G:G,MATCH(I1926-1,I:I,0)+1,1):INDEX(G:G,MATCH(I1926,I:I,0)-1,1)),"")</f>
        <v>#NAME?</v>
      </c>
      <c r="I1926" s="200" t="str">
        <f>IF(OR(B1926=リスト!$C$5,B1926=リスト!$C$6),COUNTIF($B$9:B1926,リスト!$C$5)+COUNTIF($B$9:B1926,リスト!$C$6),"")</f>
        <v/>
      </c>
    </row>
    <row r="1927" spans="2:9" x14ac:dyDescent="0.2">
      <c r="B1927" s="196"/>
      <c r="C1927" s="197"/>
      <c r="D1927" s="197"/>
      <c r="E1927" s="198" t="e">
        <f ca="1">mif(OR(C1927="",B1927=リスト!$C$7),"",B1927="","RF",OR(B1927=リスト!$C$5,B1927=リスト!$C$6),COUNTBLANK(INDEX(B:B,MATCH(I1927-1,I:I,0)+1,1):INDEX(B:B,MATCH(I1927,I:I,0)-1,1)),"")</f>
        <v>#NAME?</v>
      </c>
      <c r="F1927" s="199" t="s">
        <v>189</v>
      </c>
      <c r="G1927" s="140" t="e">
        <f ca="1">mif(C1927="","",OR(B1927=リスト!$C$5,B1927=リスト!$C$6),SUM(INDEX(G:G,MATCH(I1927-1,I:I,0)+1,1):INDEX(G:G,MATCH(I1927,I:I,0)-1,1)),D1927-C1927)</f>
        <v>#NAME?</v>
      </c>
      <c r="H1927" s="140" t="e">
        <f ca="1">mif(C1927="","",B1927=リスト!$C$5,SUMIF(INDEX(B:B,MATCH(I1927-1,I:I,0)+1,1):INDEX(B:B,MATCH(I1927,I:I,0)-1,1),リスト!$C$7,INDEX(G:G,MATCH(I1927-1,I:I,0)+1,1):INDEX(G:G,MATCH(I1927,I:I,0)-1,1)),"")</f>
        <v>#NAME?</v>
      </c>
      <c r="I1927" s="200" t="str">
        <f>IF(OR(B1927=リスト!$C$5,B1927=リスト!$C$6),COUNTIF($B$9:B1927,リスト!$C$5)+COUNTIF($B$9:B1927,リスト!$C$6),"")</f>
        <v/>
      </c>
    </row>
    <row r="1928" spans="2:9" x14ac:dyDescent="0.2">
      <c r="B1928" s="196"/>
      <c r="C1928" s="197"/>
      <c r="D1928" s="197"/>
      <c r="E1928" s="198" t="e">
        <f ca="1">mif(OR(C1928="",B1928=リスト!$C$7),"",B1928="","RF",OR(B1928=リスト!$C$5,B1928=リスト!$C$6),COUNTBLANK(INDEX(B:B,MATCH(I1928-1,I:I,0)+1,1):INDEX(B:B,MATCH(I1928,I:I,0)-1,1)),"")</f>
        <v>#NAME?</v>
      </c>
      <c r="F1928" s="199" t="s">
        <v>189</v>
      </c>
      <c r="G1928" s="140" t="e">
        <f ca="1">mif(C1928="","",OR(B1928=リスト!$C$5,B1928=リスト!$C$6),SUM(INDEX(G:G,MATCH(I1928-1,I:I,0)+1,1):INDEX(G:G,MATCH(I1928,I:I,0)-1,1)),D1928-C1928)</f>
        <v>#NAME?</v>
      </c>
      <c r="H1928" s="140" t="e">
        <f ca="1">mif(C1928="","",B1928=リスト!$C$5,SUMIF(INDEX(B:B,MATCH(I1928-1,I:I,0)+1,1):INDEX(B:B,MATCH(I1928,I:I,0)-1,1),リスト!$C$7,INDEX(G:G,MATCH(I1928-1,I:I,0)+1,1):INDEX(G:G,MATCH(I1928,I:I,0)-1,1)),"")</f>
        <v>#NAME?</v>
      </c>
      <c r="I1928" s="200" t="str">
        <f>IF(OR(B1928=リスト!$C$5,B1928=リスト!$C$6),COUNTIF($B$9:B1928,リスト!$C$5)+COUNTIF($B$9:B1928,リスト!$C$6),"")</f>
        <v/>
      </c>
    </row>
    <row r="1929" spans="2:9" x14ac:dyDescent="0.2">
      <c r="B1929" s="196"/>
      <c r="C1929" s="197"/>
      <c r="D1929" s="197"/>
      <c r="E1929" s="198" t="e">
        <f ca="1">mif(OR(C1929="",B1929=リスト!$C$7),"",B1929="","RF",OR(B1929=リスト!$C$5,B1929=リスト!$C$6),COUNTBLANK(INDEX(B:B,MATCH(I1929-1,I:I,0)+1,1):INDEX(B:B,MATCH(I1929,I:I,0)-1,1)),"")</f>
        <v>#NAME?</v>
      </c>
      <c r="F1929" s="199" t="s">
        <v>189</v>
      </c>
      <c r="G1929" s="140" t="e">
        <f ca="1">mif(C1929="","",OR(B1929=リスト!$C$5,B1929=リスト!$C$6),SUM(INDEX(G:G,MATCH(I1929-1,I:I,0)+1,1):INDEX(G:G,MATCH(I1929,I:I,0)-1,1)),D1929-C1929)</f>
        <v>#NAME?</v>
      </c>
      <c r="H1929" s="140" t="e">
        <f ca="1">mif(C1929="","",B1929=リスト!$C$5,SUMIF(INDEX(B:B,MATCH(I1929-1,I:I,0)+1,1):INDEX(B:B,MATCH(I1929,I:I,0)-1,1),リスト!$C$7,INDEX(G:G,MATCH(I1929-1,I:I,0)+1,1):INDEX(G:G,MATCH(I1929,I:I,0)-1,1)),"")</f>
        <v>#NAME?</v>
      </c>
      <c r="I1929" s="200" t="str">
        <f>IF(OR(B1929=リスト!$C$5,B1929=リスト!$C$6),COUNTIF($B$9:B1929,リスト!$C$5)+COUNTIF($B$9:B1929,リスト!$C$6),"")</f>
        <v/>
      </c>
    </row>
    <row r="1930" spans="2:9" x14ac:dyDescent="0.2">
      <c r="B1930" s="196"/>
      <c r="C1930" s="197"/>
      <c r="D1930" s="197"/>
      <c r="E1930" s="198" t="e">
        <f ca="1">mif(OR(C1930="",B1930=リスト!$C$7),"",B1930="","RF",OR(B1930=リスト!$C$5,B1930=リスト!$C$6),COUNTBLANK(INDEX(B:B,MATCH(I1930-1,I:I,0)+1,1):INDEX(B:B,MATCH(I1930,I:I,0)-1,1)),"")</f>
        <v>#NAME?</v>
      </c>
      <c r="F1930" s="199" t="s">
        <v>189</v>
      </c>
      <c r="G1930" s="140" t="e">
        <f ca="1">mif(C1930="","",OR(B1930=リスト!$C$5,B1930=リスト!$C$6),SUM(INDEX(G:G,MATCH(I1930-1,I:I,0)+1,1):INDEX(G:G,MATCH(I1930,I:I,0)-1,1)),D1930-C1930)</f>
        <v>#NAME?</v>
      </c>
      <c r="H1930" s="140" t="e">
        <f ca="1">mif(C1930="","",B1930=リスト!$C$5,SUMIF(INDEX(B:B,MATCH(I1930-1,I:I,0)+1,1):INDEX(B:B,MATCH(I1930,I:I,0)-1,1),リスト!$C$7,INDEX(G:G,MATCH(I1930-1,I:I,0)+1,1):INDEX(G:G,MATCH(I1930,I:I,0)-1,1)),"")</f>
        <v>#NAME?</v>
      </c>
      <c r="I1930" s="200" t="str">
        <f>IF(OR(B1930=リスト!$C$5,B1930=リスト!$C$6),COUNTIF($B$9:B1930,リスト!$C$5)+COUNTIF($B$9:B1930,リスト!$C$6),"")</f>
        <v/>
      </c>
    </row>
    <row r="1931" spans="2:9" x14ac:dyDescent="0.2">
      <c r="B1931" s="196"/>
      <c r="C1931" s="197"/>
      <c r="D1931" s="197"/>
      <c r="E1931" s="198" t="e">
        <f ca="1">mif(OR(C1931="",B1931=リスト!$C$7),"",B1931="","RF",OR(B1931=リスト!$C$5,B1931=リスト!$C$6),COUNTBLANK(INDEX(B:B,MATCH(I1931-1,I:I,0)+1,1):INDEX(B:B,MATCH(I1931,I:I,0)-1,1)),"")</f>
        <v>#NAME?</v>
      </c>
      <c r="F1931" s="199" t="s">
        <v>189</v>
      </c>
      <c r="G1931" s="140" t="e">
        <f ca="1">mif(C1931="","",OR(B1931=リスト!$C$5,B1931=リスト!$C$6),SUM(INDEX(G:G,MATCH(I1931-1,I:I,0)+1,1):INDEX(G:G,MATCH(I1931,I:I,0)-1,1)),D1931-C1931)</f>
        <v>#NAME?</v>
      </c>
      <c r="H1931" s="140" t="e">
        <f ca="1">mif(C1931="","",B1931=リスト!$C$5,SUMIF(INDEX(B:B,MATCH(I1931-1,I:I,0)+1,1):INDEX(B:B,MATCH(I1931,I:I,0)-1,1),リスト!$C$7,INDEX(G:G,MATCH(I1931-1,I:I,0)+1,1):INDEX(G:G,MATCH(I1931,I:I,0)-1,1)),"")</f>
        <v>#NAME?</v>
      </c>
      <c r="I1931" s="200" t="str">
        <f>IF(OR(B1931=リスト!$C$5,B1931=リスト!$C$6),COUNTIF($B$9:B1931,リスト!$C$5)+COUNTIF($B$9:B1931,リスト!$C$6),"")</f>
        <v/>
      </c>
    </row>
    <row r="1932" spans="2:9" x14ac:dyDescent="0.2">
      <c r="B1932" s="196"/>
      <c r="C1932" s="197"/>
      <c r="D1932" s="197"/>
      <c r="E1932" s="198" t="e">
        <f ca="1">mif(OR(C1932="",B1932=リスト!$C$7),"",B1932="","RF",OR(B1932=リスト!$C$5,B1932=リスト!$C$6),COUNTBLANK(INDEX(B:B,MATCH(I1932-1,I:I,0)+1,1):INDEX(B:B,MATCH(I1932,I:I,0)-1,1)),"")</f>
        <v>#NAME?</v>
      </c>
      <c r="F1932" s="199" t="s">
        <v>189</v>
      </c>
      <c r="G1932" s="140" t="e">
        <f ca="1">mif(C1932="","",OR(B1932=リスト!$C$5,B1932=リスト!$C$6),SUM(INDEX(G:G,MATCH(I1932-1,I:I,0)+1,1):INDEX(G:G,MATCH(I1932,I:I,0)-1,1)),D1932-C1932)</f>
        <v>#NAME?</v>
      </c>
      <c r="H1932" s="140" t="e">
        <f ca="1">mif(C1932="","",B1932=リスト!$C$5,SUMIF(INDEX(B:B,MATCH(I1932-1,I:I,0)+1,1):INDEX(B:B,MATCH(I1932,I:I,0)-1,1),リスト!$C$7,INDEX(G:G,MATCH(I1932-1,I:I,0)+1,1):INDEX(G:G,MATCH(I1932,I:I,0)-1,1)),"")</f>
        <v>#NAME?</v>
      </c>
      <c r="I1932" s="200" t="str">
        <f>IF(OR(B1932=リスト!$C$5,B1932=リスト!$C$6),COUNTIF($B$9:B1932,リスト!$C$5)+COUNTIF($B$9:B1932,リスト!$C$6),"")</f>
        <v/>
      </c>
    </row>
    <row r="1933" spans="2:9" x14ac:dyDescent="0.2">
      <c r="B1933" s="196"/>
      <c r="C1933" s="197"/>
      <c r="D1933" s="197"/>
      <c r="E1933" s="198" t="e">
        <f ca="1">mif(OR(C1933="",B1933=リスト!$C$7),"",B1933="","RF",OR(B1933=リスト!$C$5,B1933=リスト!$C$6),COUNTBLANK(INDEX(B:B,MATCH(I1933-1,I:I,0)+1,1):INDEX(B:B,MATCH(I1933,I:I,0)-1,1)),"")</f>
        <v>#NAME?</v>
      </c>
      <c r="F1933" s="199" t="s">
        <v>189</v>
      </c>
      <c r="G1933" s="140" t="e">
        <f ca="1">mif(C1933="","",OR(B1933=リスト!$C$5,B1933=リスト!$C$6),SUM(INDEX(G:G,MATCH(I1933-1,I:I,0)+1,1):INDEX(G:G,MATCH(I1933,I:I,0)-1,1)),D1933-C1933)</f>
        <v>#NAME?</v>
      </c>
      <c r="H1933" s="140" t="e">
        <f ca="1">mif(C1933="","",B1933=リスト!$C$5,SUMIF(INDEX(B:B,MATCH(I1933-1,I:I,0)+1,1):INDEX(B:B,MATCH(I1933,I:I,0)-1,1),リスト!$C$7,INDEX(G:G,MATCH(I1933-1,I:I,0)+1,1):INDEX(G:G,MATCH(I1933,I:I,0)-1,1)),"")</f>
        <v>#NAME?</v>
      </c>
      <c r="I1933" s="200" t="str">
        <f>IF(OR(B1933=リスト!$C$5,B1933=リスト!$C$6),COUNTIF($B$9:B1933,リスト!$C$5)+COUNTIF($B$9:B1933,リスト!$C$6),"")</f>
        <v/>
      </c>
    </row>
    <row r="1934" spans="2:9" x14ac:dyDescent="0.2">
      <c r="B1934" s="196"/>
      <c r="C1934" s="197"/>
      <c r="D1934" s="197"/>
      <c r="E1934" s="198" t="e">
        <f ca="1">mif(OR(C1934="",B1934=リスト!$C$7),"",B1934="","RF",OR(B1934=リスト!$C$5,B1934=リスト!$C$6),COUNTBLANK(INDEX(B:B,MATCH(I1934-1,I:I,0)+1,1):INDEX(B:B,MATCH(I1934,I:I,0)-1,1)),"")</f>
        <v>#NAME?</v>
      </c>
      <c r="F1934" s="199" t="s">
        <v>189</v>
      </c>
      <c r="G1934" s="140" t="e">
        <f ca="1">mif(C1934="","",OR(B1934=リスト!$C$5,B1934=リスト!$C$6),SUM(INDEX(G:G,MATCH(I1934-1,I:I,0)+1,1):INDEX(G:G,MATCH(I1934,I:I,0)-1,1)),D1934-C1934)</f>
        <v>#NAME?</v>
      </c>
      <c r="H1934" s="140" t="e">
        <f ca="1">mif(C1934="","",B1934=リスト!$C$5,SUMIF(INDEX(B:B,MATCH(I1934-1,I:I,0)+1,1):INDEX(B:B,MATCH(I1934,I:I,0)-1,1),リスト!$C$7,INDEX(G:G,MATCH(I1934-1,I:I,0)+1,1):INDEX(G:G,MATCH(I1934,I:I,0)-1,1)),"")</f>
        <v>#NAME?</v>
      </c>
      <c r="I1934" s="200" t="str">
        <f>IF(OR(B1934=リスト!$C$5,B1934=リスト!$C$6),COUNTIF($B$9:B1934,リスト!$C$5)+COUNTIF($B$9:B1934,リスト!$C$6),"")</f>
        <v/>
      </c>
    </row>
    <row r="1935" spans="2:9" x14ac:dyDescent="0.2">
      <c r="B1935" s="196"/>
      <c r="C1935" s="197"/>
      <c r="D1935" s="197"/>
      <c r="E1935" s="198" t="e">
        <f ca="1">mif(OR(C1935="",B1935=リスト!$C$7),"",B1935="","RF",OR(B1935=リスト!$C$5,B1935=リスト!$C$6),COUNTBLANK(INDEX(B:B,MATCH(I1935-1,I:I,0)+1,1):INDEX(B:B,MATCH(I1935,I:I,0)-1,1)),"")</f>
        <v>#NAME?</v>
      </c>
      <c r="F1935" s="199" t="s">
        <v>189</v>
      </c>
      <c r="G1935" s="140" t="e">
        <f ca="1">mif(C1935="","",OR(B1935=リスト!$C$5,B1935=リスト!$C$6),SUM(INDEX(G:G,MATCH(I1935-1,I:I,0)+1,1):INDEX(G:G,MATCH(I1935,I:I,0)-1,1)),D1935-C1935)</f>
        <v>#NAME?</v>
      </c>
      <c r="H1935" s="140" t="e">
        <f ca="1">mif(C1935="","",B1935=リスト!$C$5,SUMIF(INDEX(B:B,MATCH(I1935-1,I:I,0)+1,1):INDEX(B:B,MATCH(I1935,I:I,0)-1,1),リスト!$C$7,INDEX(G:G,MATCH(I1935-1,I:I,0)+1,1):INDEX(G:G,MATCH(I1935,I:I,0)-1,1)),"")</f>
        <v>#NAME?</v>
      </c>
      <c r="I1935" s="200" t="str">
        <f>IF(OR(B1935=リスト!$C$5,B1935=リスト!$C$6),COUNTIF($B$9:B1935,リスト!$C$5)+COUNTIF($B$9:B1935,リスト!$C$6),"")</f>
        <v/>
      </c>
    </row>
    <row r="1936" spans="2:9" x14ac:dyDescent="0.2">
      <c r="B1936" s="196"/>
      <c r="C1936" s="197"/>
      <c r="D1936" s="197"/>
      <c r="E1936" s="198" t="e">
        <f ca="1">mif(OR(C1936="",B1936=リスト!$C$7),"",B1936="","RF",OR(B1936=リスト!$C$5,B1936=リスト!$C$6),COUNTBLANK(INDEX(B:B,MATCH(I1936-1,I:I,0)+1,1):INDEX(B:B,MATCH(I1936,I:I,0)-1,1)),"")</f>
        <v>#NAME?</v>
      </c>
      <c r="F1936" s="199" t="s">
        <v>189</v>
      </c>
      <c r="G1936" s="140" t="e">
        <f ca="1">mif(C1936="","",OR(B1936=リスト!$C$5,B1936=リスト!$C$6),SUM(INDEX(G:G,MATCH(I1936-1,I:I,0)+1,1):INDEX(G:G,MATCH(I1936,I:I,0)-1,1)),D1936-C1936)</f>
        <v>#NAME?</v>
      </c>
      <c r="H1936" s="140" t="e">
        <f ca="1">mif(C1936="","",B1936=リスト!$C$5,SUMIF(INDEX(B:B,MATCH(I1936-1,I:I,0)+1,1):INDEX(B:B,MATCH(I1936,I:I,0)-1,1),リスト!$C$7,INDEX(G:G,MATCH(I1936-1,I:I,0)+1,1):INDEX(G:G,MATCH(I1936,I:I,0)-1,1)),"")</f>
        <v>#NAME?</v>
      </c>
      <c r="I1936" s="200" t="str">
        <f>IF(OR(B1936=リスト!$C$5,B1936=リスト!$C$6),COUNTIF($B$9:B1936,リスト!$C$5)+COUNTIF($B$9:B1936,リスト!$C$6),"")</f>
        <v/>
      </c>
    </row>
    <row r="1937" spans="2:9" x14ac:dyDescent="0.2">
      <c r="B1937" s="196"/>
      <c r="C1937" s="197"/>
      <c r="D1937" s="197"/>
      <c r="E1937" s="198" t="e">
        <f ca="1">mif(OR(C1937="",B1937=リスト!$C$7),"",B1937="","RF",OR(B1937=リスト!$C$5,B1937=リスト!$C$6),COUNTBLANK(INDEX(B:B,MATCH(I1937-1,I:I,0)+1,1):INDEX(B:B,MATCH(I1937,I:I,0)-1,1)),"")</f>
        <v>#NAME?</v>
      </c>
      <c r="F1937" s="199" t="s">
        <v>189</v>
      </c>
      <c r="G1937" s="140" t="e">
        <f ca="1">mif(C1937="","",OR(B1937=リスト!$C$5,B1937=リスト!$C$6),SUM(INDEX(G:G,MATCH(I1937-1,I:I,0)+1,1):INDEX(G:G,MATCH(I1937,I:I,0)-1,1)),D1937-C1937)</f>
        <v>#NAME?</v>
      </c>
      <c r="H1937" s="140" t="e">
        <f ca="1">mif(C1937="","",B1937=リスト!$C$5,SUMIF(INDEX(B:B,MATCH(I1937-1,I:I,0)+1,1):INDEX(B:B,MATCH(I1937,I:I,0)-1,1),リスト!$C$7,INDEX(G:G,MATCH(I1937-1,I:I,0)+1,1):INDEX(G:G,MATCH(I1937,I:I,0)-1,1)),"")</f>
        <v>#NAME?</v>
      </c>
      <c r="I1937" s="200" t="str">
        <f>IF(OR(B1937=リスト!$C$5,B1937=リスト!$C$6),COUNTIF($B$9:B1937,リスト!$C$5)+COUNTIF($B$9:B1937,リスト!$C$6),"")</f>
        <v/>
      </c>
    </row>
    <row r="1938" spans="2:9" x14ac:dyDescent="0.2">
      <c r="B1938" s="196"/>
      <c r="C1938" s="197"/>
      <c r="D1938" s="197"/>
      <c r="E1938" s="198" t="e">
        <f ca="1">mif(OR(C1938="",B1938=リスト!$C$7),"",B1938="","RF",OR(B1938=リスト!$C$5,B1938=リスト!$C$6),COUNTBLANK(INDEX(B:B,MATCH(I1938-1,I:I,0)+1,1):INDEX(B:B,MATCH(I1938,I:I,0)-1,1)),"")</f>
        <v>#NAME?</v>
      </c>
      <c r="F1938" s="199" t="s">
        <v>189</v>
      </c>
      <c r="G1938" s="140" t="e">
        <f ca="1">mif(C1938="","",OR(B1938=リスト!$C$5,B1938=リスト!$C$6),SUM(INDEX(G:G,MATCH(I1938-1,I:I,0)+1,1):INDEX(G:G,MATCH(I1938,I:I,0)-1,1)),D1938-C1938)</f>
        <v>#NAME?</v>
      </c>
      <c r="H1938" s="140" t="e">
        <f ca="1">mif(C1938="","",B1938=リスト!$C$5,SUMIF(INDEX(B:B,MATCH(I1938-1,I:I,0)+1,1):INDEX(B:B,MATCH(I1938,I:I,0)-1,1),リスト!$C$7,INDEX(G:G,MATCH(I1938-1,I:I,0)+1,1):INDEX(G:G,MATCH(I1938,I:I,0)-1,1)),"")</f>
        <v>#NAME?</v>
      </c>
      <c r="I1938" s="200" t="str">
        <f>IF(OR(B1938=リスト!$C$5,B1938=リスト!$C$6),COUNTIF($B$9:B1938,リスト!$C$5)+COUNTIF($B$9:B1938,リスト!$C$6),"")</f>
        <v/>
      </c>
    </row>
    <row r="1939" spans="2:9" x14ac:dyDescent="0.2">
      <c r="B1939" s="196"/>
      <c r="C1939" s="197"/>
      <c r="D1939" s="197"/>
      <c r="E1939" s="198" t="e">
        <f ca="1">mif(OR(C1939="",B1939=リスト!$C$7),"",B1939="","RF",OR(B1939=リスト!$C$5,B1939=リスト!$C$6),COUNTBLANK(INDEX(B:B,MATCH(I1939-1,I:I,0)+1,1):INDEX(B:B,MATCH(I1939,I:I,0)-1,1)),"")</f>
        <v>#NAME?</v>
      </c>
      <c r="F1939" s="199" t="s">
        <v>189</v>
      </c>
      <c r="G1939" s="140" t="e">
        <f ca="1">mif(C1939="","",OR(B1939=リスト!$C$5,B1939=リスト!$C$6),SUM(INDEX(G:G,MATCH(I1939-1,I:I,0)+1,1):INDEX(G:G,MATCH(I1939,I:I,0)-1,1)),D1939-C1939)</f>
        <v>#NAME?</v>
      </c>
      <c r="H1939" s="140" t="e">
        <f ca="1">mif(C1939="","",B1939=リスト!$C$5,SUMIF(INDEX(B:B,MATCH(I1939-1,I:I,0)+1,1):INDEX(B:B,MATCH(I1939,I:I,0)-1,1),リスト!$C$7,INDEX(G:G,MATCH(I1939-1,I:I,0)+1,1):INDEX(G:G,MATCH(I1939,I:I,0)-1,1)),"")</f>
        <v>#NAME?</v>
      </c>
      <c r="I1939" s="200" t="str">
        <f>IF(OR(B1939=リスト!$C$5,B1939=リスト!$C$6),COUNTIF($B$9:B1939,リスト!$C$5)+COUNTIF($B$9:B1939,リスト!$C$6),"")</f>
        <v/>
      </c>
    </row>
    <row r="1940" spans="2:9" x14ac:dyDescent="0.2">
      <c r="B1940" s="196"/>
      <c r="C1940" s="197"/>
      <c r="D1940" s="197"/>
      <c r="E1940" s="198" t="e">
        <f ca="1">mif(OR(C1940="",B1940=リスト!$C$7),"",B1940="","RF",OR(B1940=リスト!$C$5,B1940=リスト!$C$6),COUNTBLANK(INDEX(B:B,MATCH(I1940-1,I:I,0)+1,1):INDEX(B:B,MATCH(I1940,I:I,0)-1,1)),"")</f>
        <v>#NAME?</v>
      </c>
      <c r="F1940" s="199" t="s">
        <v>189</v>
      </c>
      <c r="G1940" s="140" t="e">
        <f ca="1">mif(C1940="","",OR(B1940=リスト!$C$5,B1940=リスト!$C$6),SUM(INDEX(G:G,MATCH(I1940-1,I:I,0)+1,1):INDEX(G:G,MATCH(I1940,I:I,0)-1,1)),D1940-C1940)</f>
        <v>#NAME?</v>
      </c>
      <c r="H1940" s="140" t="e">
        <f ca="1">mif(C1940="","",B1940=リスト!$C$5,SUMIF(INDEX(B:B,MATCH(I1940-1,I:I,0)+1,1):INDEX(B:B,MATCH(I1940,I:I,0)-1,1),リスト!$C$7,INDEX(G:G,MATCH(I1940-1,I:I,0)+1,1):INDEX(G:G,MATCH(I1940,I:I,0)-1,1)),"")</f>
        <v>#NAME?</v>
      </c>
      <c r="I1940" s="200" t="str">
        <f>IF(OR(B1940=リスト!$C$5,B1940=リスト!$C$6),COUNTIF($B$9:B1940,リスト!$C$5)+COUNTIF($B$9:B1940,リスト!$C$6),"")</f>
        <v/>
      </c>
    </row>
    <row r="1941" spans="2:9" x14ac:dyDescent="0.2">
      <c r="B1941" s="196"/>
      <c r="C1941" s="197"/>
      <c r="D1941" s="197"/>
      <c r="E1941" s="198" t="e">
        <f ca="1">mif(OR(C1941="",B1941=リスト!$C$7),"",B1941="","RF",OR(B1941=リスト!$C$5,B1941=リスト!$C$6),COUNTBLANK(INDEX(B:B,MATCH(I1941-1,I:I,0)+1,1):INDEX(B:B,MATCH(I1941,I:I,0)-1,1)),"")</f>
        <v>#NAME?</v>
      </c>
      <c r="F1941" s="199" t="s">
        <v>189</v>
      </c>
      <c r="G1941" s="140" t="e">
        <f ca="1">mif(C1941="","",OR(B1941=リスト!$C$5,B1941=リスト!$C$6),SUM(INDEX(G:G,MATCH(I1941-1,I:I,0)+1,1):INDEX(G:G,MATCH(I1941,I:I,0)-1,1)),D1941-C1941)</f>
        <v>#NAME?</v>
      </c>
      <c r="H1941" s="140" t="e">
        <f ca="1">mif(C1941="","",B1941=リスト!$C$5,SUMIF(INDEX(B:B,MATCH(I1941-1,I:I,0)+1,1):INDEX(B:B,MATCH(I1941,I:I,0)-1,1),リスト!$C$7,INDEX(G:G,MATCH(I1941-1,I:I,0)+1,1):INDEX(G:G,MATCH(I1941,I:I,0)-1,1)),"")</f>
        <v>#NAME?</v>
      </c>
      <c r="I1941" s="200" t="str">
        <f>IF(OR(B1941=リスト!$C$5,B1941=リスト!$C$6),COUNTIF($B$9:B1941,リスト!$C$5)+COUNTIF($B$9:B1941,リスト!$C$6),"")</f>
        <v/>
      </c>
    </row>
    <row r="1942" spans="2:9" x14ac:dyDescent="0.2">
      <c r="B1942" s="196"/>
      <c r="C1942" s="197"/>
      <c r="D1942" s="197"/>
      <c r="E1942" s="198" t="e">
        <f ca="1">mif(OR(C1942="",B1942=リスト!$C$7),"",B1942="","RF",OR(B1942=リスト!$C$5,B1942=リスト!$C$6),COUNTBLANK(INDEX(B:B,MATCH(I1942-1,I:I,0)+1,1):INDEX(B:B,MATCH(I1942,I:I,0)-1,1)),"")</f>
        <v>#NAME?</v>
      </c>
      <c r="F1942" s="199" t="s">
        <v>189</v>
      </c>
      <c r="G1942" s="140" t="e">
        <f ca="1">mif(C1942="","",OR(B1942=リスト!$C$5,B1942=リスト!$C$6),SUM(INDEX(G:G,MATCH(I1942-1,I:I,0)+1,1):INDEX(G:G,MATCH(I1942,I:I,0)-1,1)),D1942-C1942)</f>
        <v>#NAME?</v>
      </c>
      <c r="H1942" s="140" t="e">
        <f ca="1">mif(C1942="","",B1942=リスト!$C$5,SUMIF(INDEX(B:B,MATCH(I1942-1,I:I,0)+1,1):INDEX(B:B,MATCH(I1942,I:I,0)-1,1),リスト!$C$7,INDEX(G:G,MATCH(I1942-1,I:I,0)+1,1):INDEX(G:G,MATCH(I1942,I:I,0)-1,1)),"")</f>
        <v>#NAME?</v>
      </c>
      <c r="I1942" s="200" t="str">
        <f>IF(OR(B1942=リスト!$C$5,B1942=リスト!$C$6),COUNTIF($B$9:B1942,リスト!$C$5)+COUNTIF($B$9:B1942,リスト!$C$6),"")</f>
        <v/>
      </c>
    </row>
    <row r="1943" spans="2:9" x14ac:dyDescent="0.2">
      <c r="B1943" s="196"/>
      <c r="C1943" s="197"/>
      <c r="D1943" s="197"/>
      <c r="E1943" s="198" t="e">
        <f ca="1">mif(OR(C1943="",B1943=リスト!$C$7),"",B1943="","RF",OR(B1943=リスト!$C$5,B1943=リスト!$C$6),COUNTBLANK(INDEX(B:B,MATCH(I1943-1,I:I,0)+1,1):INDEX(B:B,MATCH(I1943,I:I,0)-1,1)),"")</f>
        <v>#NAME?</v>
      </c>
      <c r="F1943" s="199" t="s">
        <v>189</v>
      </c>
      <c r="G1943" s="140" t="e">
        <f ca="1">mif(C1943="","",OR(B1943=リスト!$C$5,B1943=リスト!$C$6),SUM(INDEX(G:G,MATCH(I1943-1,I:I,0)+1,1):INDEX(G:G,MATCH(I1943,I:I,0)-1,1)),D1943-C1943)</f>
        <v>#NAME?</v>
      </c>
      <c r="H1943" s="140" t="e">
        <f ca="1">mif(C1943="","",B1943=リスト!$C$5,SUMIF(INDEX(B:B,MATCH(I1943-1,I:I,0)+1,1):INDEX(B:B,MATCH(I1943,I:I,0)-1,1),リスト!$C$7,INDEX(G:G,MATCH(I1943-1,I:I,0)+1,1):INDEX(G:G,MATCH(I1943,I:I,0)-1,1)),"")</f>
        <v>#NAME?</v>
      </c>
      <c r="I1943" s="200" t="str">
        <f>IF(OR(B1943=リスト!$C$5,B1943=リスト!$C$6),COUNTIF($B$9:B1943,リスト!$C$5)+COUNTIF($B$9:B1943,リスト!$C$6),"")</f>
        <v/>
      </c>
    </row>
    <row r="1944" spans="2:9" x14ac:dyDescent="0.2">
      <c r="B1944" s="196"/>
      <c r="C1944" s="197"/>
      <c r="D1944" s="197"/>
      <c r="E1944" s="198" t="e">
        <f ca="1">mif(OR(C1944="",B1944=リスト!$C$7),"",B1944="","RF",OR(B1944=リスト!$C$5,B1944=リスト!$C$6),COUNTBLANK(INDEX(B:B,MATCH(I1944-1,I:I,0)+1,1):INDEX(B:B,MATCH(I1944,I:I,0)-1,1)),"")</f>
        <v>#NAME?</v>
      </c>
      <c r="F1944" s="199" t="s">
        <v>189</v>
      </c>
      <c r="G1944" s="140" t="e">
        <f ca="1">mif(C1944="","",OR(B1944=リスト!$C$5,B1944=リスト!$C$6),SUM(INDEX(G:G,MATCH(I1944-1,I:I,0)+1,1):INDEX(G:G,MATCH(I1944,I:I,0)-1,1)),D1944-C1944)</f>
        <v>#NAME?</v>
      </c>
      <c r="H1944" s="140" t="e">
        <f ca="1">mif(C1944="","",B1944=リスト!$C$5,SUMIF(INDEX(B:B,MATCH(I1944-1,I:I,0)+1,1):INDEX(B:B,MATCH(I1944,I:I,0)-1,1),リスト!$C$7,INDEX(G:G,MATCH(I1944-1,I:I,0)+1,1):INDEX(G:G,MATCH(I1944,I:I,0)-1,1)),"")</f>
        <v>#NAME?</v>
      </c>
      <c r="I1944" s="200" t="str">
        <f>IF(OR(B1944=リスト!$C$5,B1944=リスト!$C$6),COUNTIF($B$9:B1944,リスト!$C$5)+COUNTIF($B$9:B1944,リスト!$C$6),"")</f>
        <v/>
      </c>
    </row>
    <row r="1945" spans="2:9" x14ac:dyDescent="0.2">
      <c r="B1945" s="196"/>
      <c r="C1945" s="197"/>
      <c r="D1945" s="197"/>
      <c r="E1945" s="198" t="e">
        <f ca="1">mif(OR(C1945="",B1945=リスト!$C$7),"",B1945="","RF",OR(B1945=リスト!$C$5,B1945=リスト!$C$6),COUNTBLANK(INDEX(B:B,MATCH(I1945-1,I:I,0)+1,1):INDEX(B:B,MATCH(I1945,I:I,0)-1,1)),"")</f>
        <v>#NAME?</v>
      </c>
      <c r="F1945" s="199" t="s">
        <v>189</v>
      </c>
      <c r="G1945" s="140" t="e">
        <f ca="1">mif(C1945="","",OR(B1945=リスト!$C$5,B1945=リスト!$C$6),SUM(INDEX(G:G,MATCH(I1945-1,I:I,0)+1,1):INDEX(G:G,MATCH(I1945,I:I,0)-1,1)),D1945-C1945)</f>
        <v>#NAME?</v>
      </c>
      <c r="H1945" s="140" t="e">
        <f ca="1">mif(C1945="","",B1945=リスト!$C$5,SUMIF(INDEX(B:B,MATCH(I1945-1,I:I,0)+1,1):INDEX(B:B,MATCH(I1945,I:I,0)-1,1),リスト!$C$7,INDEX(G:G,MATCH(I1945-1,I:I,0)+1,1):INDEX(G:G,MATCH(I1945,I:I,0)-1,1)),"")</f>
        <v>#NAME?</v>
      </c>
      <c r="I1945" s="200" t="str">
        <f>IF(OR(B1945=リスト!$C$5,B1945=リスト!$C$6),COUNTIF($B$9:B1945,リスト!$C$5)+COUNTIF($B$9:B1945,リスト!$C$6),"")</f>
        <v/>
      </c>
    </row>
    <row r="1946" spans="2:9" x14ac:dyDescent="0.2">
      <c r="B1946" s="196"/>
      <c r="C1946" s="197"/>
      <c r="D1946" s="197"/>
      <c r="E1946" s="198" t="e">
        <f ca="1">mif(OR(C1946="",B1946=リスト!$C$7),"",B1946="","RF",OR(B1946=リスト!$C$5,B1946=リスト!$C$6),COUNTBLANK(INDEX(B:B,MATCH(I1946-1,I:I,0)+1,1):INDEX(B:B,MATCH(I1946,I:I,0)-1,1)),"")</f>
        <v>#NAME?</v>
      </c>
      <c r="F1946" s="199" t="s">
        <v>189</v>
      </c>
      <c r="G1946" s="140" t="e">
        <f ca="1">mif(C1946="","",OR(B1946=リスト!$C$5,B1946=リスト!$C$6),SUM(INDEX(G:G,MATCH(I1946-1,I:I,0)+1,1):INDEX(G:G,MATCH(I1946,I:I,0)-1,1)),D1946-C1946)</f>
        <v>#NAME?</v>
      </c>
      <c r="H1946" s="140" t="e">
        <f ca="1">mif(C1946="","",B1946=リスト!$C$5,SUMIF(INDEX(B:B,MATCH(I1946-1,I:I,0)+1,1):INDEX(B:B,MATCH(I1946,I:I,0)-1,1),リスト!$C$7,INDEX(G:G,MATCH(I1946-1,I:I,0)+1,1):INDEX(G:G,MATCH(I1946,I:I,0)-1,1)),"")</f>
        <v>#NAME?</v>
      </c>
      <c r="I1946" s="200" t="str">
        <f>IF(OR(B1946=リスト!$C$5,B1946=リスト!$C$6),COUNTIF($B$9:B1946,リスト!$C$5)+COUNTIF($B$9:B1946,リスト!$C$6),"")</f>
        <v/>
      </c>
    </row>
    <row r="1947" spans="2:9" x14ac:dyDescent="0.2">
      <c r="B1947" s="196"/>
      <c r="C1947" s="197"/>
      <c r="D1947" s="197"/>
      <c r="E1947" s="198" t="e">
        <f ca="1">mif(OR(C1947="",B1947=リスト!$C$7),"",B1947="","RF",OR(B1947=リスト!$C$5,B1947=リスト!$C$6),COUNTBLANK(INDEX(B:B,MATCH(I1947-1,I:I,0)+1,1):INDEX(B:B,MATCH(I1947,I:I,0)-1,1)),"")</f>
        <v>#NAME?</v>
      </c>
      <c r="F1947" s="199" t="s">
        <v>189</v>
      </c>
      <c r="G1947" s="140" t="e">
        <f ca="1">mif(C1947="","",OR(B1947=リスト!$C$5,B1947=リスト!$C$6),SUM(INDEX(G:G,MATCH(I1947-1,I:I,0)+1,1):INDEX(G:G,MATCH(I1947,I:I,0)-1,1)),D1947-C1947)</f>
        <v>#NAME?</v>
      </c>
      <c r="H1947" s="140" t="e">
        <f ca="1">mif(C1947="","",B1947=リスト!$C$5,SUMIF(INDEX(B:B,MATCH(I1947-1,I:I,0)+1,1):INDEX(B:B,MATCH(I1947,I:I,0)-1,1),リスト!$C$7,INDEX(G:G,MATCH(I1947-1,I:I,0)+1,1):INDEX(G:G,MATCH(I1947,I:I,0)-1,1)),"")</f>
        <v>#NAME?</v>
      </c>
      <c r="I1947" s="200" t="str">
        <f>IF(OR(B1947=リスト!$C$5,B1947=リスト!$C$6),COUNTIF($B$9:B1947,リスト!$C$5)+COUNTIF($B$9:B1947,リスト!$C$6),"")</f>
        <v/>
      </c>
    </row>
    <row r="1948" spans="2:9" x14ac:dyDescent="0.2">
      <c r="B1948" s="196"/>
      <c r="C1948" s="197"/>
      <c r="D1948" s="197"/>
      <c r="E1948" s="198" t="e">
        <f ca="1">mif(OR(C1948="",B1948=リスト!$C$7),"",B1948="","RF",OR(B1948=リスト!$C$5,B1948=リスト!$C$6),COUNTBLANK(INDEX(B:B,MATCH(I1948-1,I:I,0)+1,1):INDEX(B:B,MATCH(I1948,I:I,0)-1,1)),"")</f>
        <v>#NAME?</v>
      </c>
      <c r="F1948" s="199" t="s">
        <v>189</v>
      </c>
      <c r="G1948" s="140" t="e">
        <f ca="1">mif(C1948="","",OR(B1948=リスト!$C$5,B1948=リスト!$C$6),SUM(INDEX(G:G,MATCH(I1948-1,I:I,0)+1,1):INDEX(G:G,MATCH(I1948,I:I,0)-1,1)),D1948-C1948)</f>
        <v>#NAME?</v>
      </c>
      <c r="H1948" s="140" t="e">
        <f ca="1">mif(C1948="","",B1948=リスト!$C$5,SUMIF(INDEX(B:B,MATCH(I1948-1,I:I,0)+1,1):INDEX(B:B,MATCH(I1948,I:I,0)-1,1),リスト!$C$7,INDEX(G:G,MATCH(I1948-1,I:I,0)+1,1):INDEX(G:G,MATCH(I1948,I:I,0)-1,1)),"")</f>
        <v>#NAME?</v>
      </c>
      <c r="I1948" s="200" t="str">
        <f>IF(OR(B1948=リスト!$C$5,B1948=リスト!$C$6),COUNTIF($B$9:B1948,リスト!$C$5)+COUNTIF($B$9:B1948,リスト!$C$6),"")</f>
        <v/>
      </c>
    </row>
    <row r="1949" spans="2:9" x14ac:dyDescent="0.2">
      <c r="B1949" s="196"/>
      <c r="C1949" s="197"/>
      <c r="D1949" s="197"/>
      <c r="E1949" s="198" t="e">
        <f ca="1">mif(OR(C1949="",B1949=リスト!$C$7),"",B1949="","RF",OR(B1949=リスト!$C$5,B1949=リスト!$C$6),COUNTBLANK(INDEX(B:B,MATCH(I1949-1,I:I,0)+1,1):INDEX(B:B,MATCH(I1949,I:I,0)-1,1)),"")</f>
        <v>#NAME?</v>
      </c>
      <c r="F1949" s="199" t="s">
        <v>189</v>
      </c>
      <c r="G1949" s="140" t="e">
        <f ca="1">mif(C1949="","",OR(B1949=リスト!$C$5,B1949=リスト!$C$6),SUM(INDEX(G:G,MATCH(I1949-1,I:I,0)+1,1):INDEX(G:G,MATCH(I1949,I:I,0)-1,1)),D1949-C1949)</f>
        <v>#NAME?</v>
      </c>
      <c r="H1949" s="140" t="e">
        <f ca="1">mif(C1949="","",B1949=リスト!$C$5,SUMIF(INDEX(B:B,MATCH(I1949-1,I:I,0)+1,1):INDEX(B:B,MATCH(I1949,I:I,0)-1,1),リスト!$C$7,INDEX(G:G,MATCH(I1949-1,I:I,0)+1,1):INDEX(G:G,MATCH(I1949,I:I,0)-1,1)),"")</f>
        <v>#NAME?</v>
      </c>
      <c r="I1949" s="200" t="str">
        <f>IF(OR(B1949=リスト!$C$5,B1949=リスト!$C$6),COUNTIF($B$9:B1949,リスト!$C$5)+COUNTIF($B$9:B1949,リスト!$C$6),"")</f>
        <v/>
      </c>
    </row>
    <row r="1950" spans="2:9" x14ac:dyDescent="0.2">
      <c r="B1950" s="196"/>
      <c r="C1950" s="197"/>
      <c r="D1950" s="197"/>
      <c r="E1950" s="198" t="e">
        <f ca="1">mif(OR(C1950="",B1950=リスト!$C$7),"",B1950="","RF",OR(B1950=リスト!$C$5,B1950=リスト!$C$6),COUNTBLANK(INDEX(B:B,MATCH(I1950-1,I:I,0)+1,1):INDEX(B:B,MATCH(I1950,I:I,0)-1,1)),"")</f>
        <v>#NAME?</v>
      </c>
      <c r="F1950" s="199" t="s">
        <v>189</v>
      </c>
      <c r="G1950" s="140" t="e">
        <f ca="1">mif(C1950="","",OR(B1950=リスト!$C$5,B1950=リスト!$C$6),SUM(INDEX(G:G,MATCH(I1950-1,I:I,0)+1,1):INDEX(G:G,MATCH(I1950,I:I,0)-1,1)),D1950-C1950)</f>
        <v>#NAME?</v>
      </c>
      <c r="H1950" s="140" t="e">
        <f ca="1">mif(C1950="","",B1950=リスト!$C$5,SUMIF(INDEX(B:B,MATCH(I1950-1,I:I,0)+1,1):INDEX(B:B,MATCH(I1950,I:I,0)-1,1),リスト!$C$7,INDEX(G:G,MATCH(I1950-1,I:I,0)+1,1):INDEX(G:G,MATCH(I1950,I:I,0)-1,1)),"")</f>
        <v>#NAME?</v>
      </c>
      <c r="I1950" s="200" t="str">
        <f>IF(OR(B1950=リスト!$C$5,B1950=リスト!$C$6),COUNTIF($B$9:B1950,リスト!$C$5)+COUNTIF($B$9:B1950,リスト!$C$6),"")</f>
        <v/>
      </c>
    </row>
    <row r="1951" spans="2:9" x14ac:dyDescent="0.2">
      <c r="B1951" s="196"/>
      <c r="C1951" s="197"/>
      <c r="D1951" s="197"/>
      <c r="E1951" s="198" t="e">
        <f ca="1">mif(OR(C1951="",B1951=リスト!$C$7),"",B1951="","RF",OR(B1951=リスト!$C$5,B1951=リスト!$C$6),COUNTBLANK(INDEX(B:B,MATCH(I1951-1,I:I,0)+1,1):INDEX(B:B,MATCH(I1951,I:I,0)-1,1)),"")</f>
        <v>#NAME?</v>
      </c>
      <c r="F1951" s="199" t="s">
        <v>189</v>
      </c>
      <c r="G1951" s="140" t="e">
        <f ca="1">mif(C1951="","",OR(B1951=リスト!$C$5,B1951=リスト!$C$6),SUM(INDEX(G:G,MATCH(I1951-1,I:I,0)+1,1):INDEX(G:G,MATCH(I1951,I:I,0)-1,1)),D1951-C1951)</f>
        <v>#NAME?</v>
      </c>
      <c r="H1951" s="140" t="e">
        <f ca="1">mif(C1951="","",B1951=リスト!$C$5,SUMIF(INDEX(B:B,MATCH(I1951-1,I:I,0)+1,1):INDEX(B:B,MATCH(I1951,I:I,0)-1,1),リスト!$C$7,INDEX(G:G,MATCH(I1951-1,I:I,0)+1,1):INDEX(G:G,MATCH(I1951,I:I,0)-1,1)),"")</f>
        <v>#NAME?</v>
      </c>
      <c r="I1951" s="200" t="str">
        <f>IF(OR(B1951=リスト!$C$5,B1951=リスト!$C$6),COUNTIF($B$9:B1951,リスト!$C$5)+COUNTIF($B$9:B1951,リスト!$C$6),"")</f>
        <v/>
      </c>
    </row>
    <row r="1952" spans="2:9" x14ac:dyDescent="0.2">
      <c r="B1952" s="196"/>
      <c r="C1952" s="197"/>
      <c r="D1952" s="197"/>
      <c r="E1952" s="198" t="e">
        <f ca="1">mif(OR(C1952="",B1952=リスト!$C$7),"",B1952="","RF",OR(B1952=リスト!$C$5,B1952=リスト!$C$6),COUNTBLANK(INDEX(B:B,MATCH(I1952-1,I:I,0)+1,1):INDEX(B:B,MATCH(I1952,I:I,0)-1,1)),"")</f>
        <v>#NAME?</v>
      </c>
      <c r="F1952" s="199" t="s">
        <v>189</v>
      </c>
      <c r="G1952" s="140" t="e">
        <f ca="1">mif(C1952="","",OR(B1952=リスト!$C$5,B1952=リスト!$C$6),SUM(INDEX(G:G,MATCH(I1952-1,I:I,0)+1,1):INDEX(G:G,MATCH(I1952,I:I,0)-1,1)),D1952-C1952)</f>
        <v>#NAME?</v>
      </c>
      <c r="H1952" s="140" t="e">
        <f ca="1">mif(C1952="","",B1952=リスト!$C$5,SUMIF(INDEX(B:B,MATCH(I1952-1,I:I,0)+1,1):INDEX(B:B,MATCH(I1952,I:I,0)-1,1),リスト!$C$7,INDEX(G:G,MATCH(I1952-1,I:I,0)+1,1):INDEX(G:G,MATCH(I1952,I:I,0)-1,1)),"")</f>
        <v>#NAME?</v>
      </c>
      <c r="I1952" s="200" t="str">
        <f>IF(OR(B1952=リスト!$C$5,B1952=リスト!$C$6),COUNTIF($B$9:B1952,リスト!$C$5)+COUNTIF($B$9:B1952,リスト!$C$6),"")</f>
        <v/>
      </c>
    </row>
    <row r="1953" spans="2:9" x14ac:dyDescent="0.2">
      <c r="B1953" s="196"/>
      <c r="C1953" s="197"/>
      <c r="D1953" s="197"/>
      <c r="E1953" s="198" t="e">
        <f ca="1">mif(OR(C1953="",B1953=リスト!$C$7),"",B1953="","RF",OR(B1953=リスト!$C$5,B1953=リスト!$C$6),COUNTBLANK(INDEX(B:B,MATCH(I1953-1,I:I,0)+1,1):INDEX(B:B,MATCH(I1953,I:I,0)-1,1)),"")</f>
        <v>#NAME?</v>
      </c>
      <c r="F1953" s="199" t="s">
        <v>189</v>
      </c>
      <c r="G1953" s="140" t="e">
        <f ca="1">mif(C1953="","",OR(B1953=リスト!$C$5,B1953=リスト!$C$6),SUM(INDEX(G:G,MATCH(I1953-1,I:I,0)+1,1):INDEX(G:G,MATCH(I1953,I:I,0)-1,1)),D1953-C1953)</f>
        <v>#NAME?</v>
      </c>
      <c r="H1953" s="140" t="e">
        <f ca="1">mif(C1953="","",B1953=リスト!$C$5,SUMIF(INDEX(B:B,MATCH(I1953-1,I:I,0)+1,1):INDEX(B:B,MATCH(I1953,I:I,0)-1,1),リスト!$C$7,INDEX(G:G,MATCH(I1953-1,I:I,0)+1,1):INDEX(G:G,MATCH(I1953,I:I,0)-1,1)),"")</f>
        <v>#NAME?</v>
      </c>
      <c r="I1953" s="200" t="str">
        <f>IF(OR(B1953=リスト!$C$5,B1953=リスト!$C$6),COUNTIF($B$9:B1953,リスト!$C$5)+COUNTIF($B$9:B1953,リスト!$C$6),"")</f>
        <v/>
      </c>
    </row>
    <row r="1954" spans="2:9" x14ac:dyDescent="0.2">
      <c r="B1954" s="196"/>
      <c r="C1954" s="197"/>
      <c r="D1954" s="197"/>
      <c r="E1954" s="198" t="e">
        <f ca="1">mif(OR(C1954="",B1954=リスト!$C$7),"",B1954="","RF",OR(B1954=リスト!$C$5,B1954=リスト!$C$6),COUNTBLANK(INDEX(B:B,MATCH(I1954-1,I:I,0)+1,1):INDEX(B:B,MATCH(I1954,I:I,0)-1,1)),"")</f>
        <v>#NAME?</v>
      </c>
      <c r="F1954" s="199" t="s">
        <v>189</v>
      </c>
      <c r="G1954" s="140" t="e">
        <f ca="1">mif(C1954="","",OR(B1954=リスト!$C$5,B1954=リスト!$C$6),SUM(INDEX(G:G,MATCH(I1954-1,I:I,0)+1,1):INDEX(G:G,MATCH(I1954,I:I,0)-1,1)),D1954-C1954)</f>
        <v>#NAME?</v>
      </c>
      <c r="H1954" s="140" t="e">
        <f ca="1">mif(C1954="","",B1954=リスト!$C$5,SUMIF(INDEX(B:B,MATCH(I1954-1,I:I,0)+1,1):INDEX(B:B,MATCH(I1954,I:I,0)-1,1),リスト!$C$7,INDEX(G:G,MATCH(I1954-1,I:I,0)+1,1):INDEX(G:G,MATCH(I1954,I:I,0)-1,1)),"")</f>
        <v>#NAME?</v>
      </c>
      <c r="I1954" s="200" t="str">
        <f>IF(OR(B1954=リスト!$C$5,B1954=リスト!$C$6),COUNTIF($B$9:B1954,リスト!$C$5)+COUNTIF($B$9:B1954,リスト!$C$6),"")</f>
        <v/>
      </c>
    </row>
    <row r="1955" spans="2:9" x14ac:dyDescent="0.2">
      <c r="B1955" s="196"/>
      <c r="C1955" s="197"/>
      <c r="D1955" s="197"/>
      <c r="E1955" s="198" t="e">
        <f ca="1">mif(OR(C1955="",B1955=リスト!$C$7),"",B1955="","RF",OR(B1955=リスト!$C$5,B1955=リスト!$C$6),COUNTBLANK(INDEX(B:B,MATCH(I1955-1,I:I,0)+1,1):INDEX(B:B,MATCH(I1955,I:I,0)-1,1)),"")</f>
        <v>#NAME?</v>
      </c>
      <c r="F1955" s="199" t="s">
        <v>189</v>
      </c>
      <c r="G1955" s="140" t="e">
        <f ca="1">mif(C1955="","",OR(B1955=リスト!$C$5,B1955=リスト!$C$6),SUM(INDEX(G:G,MATCH(I1955-1,I:I,0)+1,1):INDEX(G:G,MATCH(I1955,I:I,0)-1,1)),D1955-C1955)</f>
        <v>#NAME?</v>
      </c>
      <c r="H1955" s="140" t="e">
        <f ca="1">mif(C1955="","",B1955=リスト!$C$5,SUMIF(INDEX(B:B,MATCH(I1955-1,I:I,0)+1,1):INDEX(B:B,MATCH(I1955,I:I,0)-1,1),リスト!$C$7,INDEX(G:G,MATCH(I1955-1,I:I,0)+1,1):INDEX(G:G,MATCH(I1955,I:I,0)-1,1)),"")</f>
        <v>#NAME?</v>
      </c>
      <c r="I1955" s="200" t="str">
        <f>IF(OR(B1955=リスト!$C$5,B1955=リスト!$C$6),COUNTIF($B$9:B1955,リスト!$C$5)+COUNTIF($B$9:B1955,リスト!$C$6),"")</f>
        <v/>
      </c>
    </row>
    <row r="1956" spans="2:9" x14ac:dyDescent="0.2">
      <c r="B1956" s="196"/>
      <c r="C1956" s="197"/>
      <c r="D1956" s="197"/>
      <c r="E1956" s="198" t="e">
        <f ca="1">mif(OR(C1956="",B1956=リスト!$C$7),"",B1956="","RF",OR(B1956=リスト!$C$5,B1956=リスト!$C$6),COUNTBLANK(INDEX(B:B,MATCH(I1956-1,I:I,0)+1,1):INDEX(B:B,MATCH(I1956,I:I,0)-1,1)),"")</f>
        <v>#NAME?</v>
      </c>
      <c r="F1956" s="199" t="s">
        <v>189</v>
      </c>
      <c r="G1956" s="140" t="e">
        <f ca="1">mif(C1956="","",OR(B1956=リスト!$C$5,B1956=リスト!$C$6),SUM(INDEX(G:G,MATCH(I1956-1,I:I,0)+1,1):INDEX(G:G,MATCH(I1956,I:I,0)-1,1)),D1956-C1956)</f>
        <v>#NAME?</v>
      </c>
      <c r="H1956" s="140" t="e">
        <f ca="1">mif(C1956="","",B1956=リスト!$C$5,SUMIF(INDEX(B:B,MATCH(I1956-1,I:I,0)+1,1):INDEX(B:B,MATCH(I1956,I:I,0)-1,1),リスト!$C$7,INDEX(G:G,MATCH(I1956-1,I:I,0)+1,1):INDEX(G:G,MATCH(I1956,I:I,0)-1,1)),"")</f>
        <v>#NAME?</v>
      </c>
      <c r="I1956" s="200" t="str">
        <f>IF(OR(B1956=リスト!$C$5,B1956=リスト!$C$6),COUNTIF($B$9:B1956,リスト!$C$5)+COUNTIF($B$9:B1956,リスト!$C$6),"")</f>
        <v/>
      </c>
    </row>
    <row r="1957" spans="2:9" x14ac:dyDescent="0.2">
      <c r="B1957" s="196"/>
      <c r="C1957" s="197"/>
      <c r="D1957" s="197"/>
      <c r="E1957" s="198" t="e">
        <f ca="1">mif(OR(C1957="",B1957=リスト!$C$7),"",B1957="","RF",OR(B1957=リスト!$C$5,B1957=リスト!$C$6),COUNTBLANK(INDEX(B:B,MATCH(I1957-1,I:I,0)+1,1):INDEX(B:B,MATCH(I1957,I:I,0)-1,1)),"")</f>
        <v>#NAME?</v>
      </c>
      <c r="F1957" s="199" t="s">
        <v>189</v>
      </c>
      <c r="G1957" s="140" t="e">
        <f ca="1">mif(C1957="","",OR(B1957=リスト!$C$5,B1957=リスト!$C$6),SUM(INDEX(G:G,MATCH(I1957-1,I:I,0)+1,1):INDEX(G:G,MATCH(I1957,I:I,0)-1,1)),D1957-C1957)</f>
        <v>#NAME?</v>
      </c>
      <c r="H1957" s="140" t="e">
        <f ca="1">mif(C1957="","",B1957=リスト!$C$5,SUMIF(INDEX(B:B,MATCH(I1957-1,I:I,0)+1,1):INDEX(B:B,MATCH(I1957,I:I,0)-1,1),リスト!$C$7,INDEX(G:G,MATCH(I1957-1,I:I,0)+1,1):INDEX(G:G,MATCH(I1957,I:I,0)-1,1)),"")</f>
        <v>#NAME?</v>
      </c>
      <c r="I1957" s="200" t="str">
        <f>IF(OR(B1957=リスト!$C$5,B1957=リスト!$C$6),COUNTIF($B$9:B1957,リスト!$C$5)+COUNTIF($B$9:B1957,リスト!$C$6),"")</f>
        <v/>
      </c>
    </row>
    <row r="1958" spans="2:9" x14ac:dyDescent="0.2">
      <c r="B1958" s="196"/>
      <c r="C1958" s="197"/>
      <c r="D1958" s="197"/>
      <c r="E1958" s="198" t="e">
        <f ca="1">mif(OR(C1958="",B1958=リスト!$C$7),"",B1958="","RF",OR(B1958=リスト!$C$5,B1958=リスト!$C$6),COUNTBLANK(INDEX(B:B,MATCH(I1958-1,I:I,0)+1,1):INDEX(B:B,MATCH(I1958,I:I,0)-1,1)),"")</f>
        <v>#NAME?</v>
      </c>
      <c r="F1958" s="199" t="s">
        <v>189</v>
      </c>
      <c r="G1958" s="140" t="e">
        <f ca="1">mif(C1958="","",OR(B1958=リスト!$C$5,B1958=リスト!$C$6),SUM(INDEX(G:G,MATCH(I1958-1,I:I,0)+1,1):INDEX(G:G,MATCH(I1958,I:I,0)-1,1)),D1958-C1958)</f>
        <v>#NAME?</v>
      </c>
      <c r="H1958" s="140" t="e">
        <f ca="1">mif(C1958="","",B1958=リスト!$C$5,SUMIF(INDEX(B:B,MATCH(I1958-1,I:I,0)+1,1):INDEX(B:B,MATCH(I1958,I:I,0)-1,1),リスト!$C$7,INDEX(G:G,MATCH(I1958-1,I:I,0)+1,1):INDEX(G:G,MATCH(I1958,I:I,0)-1,1)),"")</f>
        <v>#NAME?</v>
      </c>
      <c r="I1958" s="200" t="str">
        <f>IF(OR(B1958=リスト!$C$5,B1958=リスト!$C$6),COUNTIF($B$9:B1958,リスト!$C$5)+COUNTIF($B$9:B1958,リスト!$C$6),"")</f>
        <v/>
      </c>
    </row>
    <row r="1959" spans="2:9" x14ac:dyDescent="0.2">
      <c r="B1959" s="196"/>
      <c r="C1959" s="197"/>
      <c r="D1959" s="197"/>
      <c r="E1959" s="198" t="e">
        <f ca="1">mif(OR(C1959="",B1959=リスト!$C$7),"",B1959="","RF",OR(B1959=リスト!$C$5,B1959=リスト!$C$6),COUNTBLANK(INDEX(B:B,MATCH(I1959-1,I:I,0)+1,1):INDEX(B:B,MATCH(I1959,I:I,0)-1,1)),"")</f>
        <v>#NAME?</v>
      </c>
      <c r="F1959" s="199" t="s">
        <v>189</v>
      </c>
      <c r="G1959" s="140" t="e">
        <f ca="1">mif(C1959="","",OR(B1959=リスト!$C$5,B1959=リスト!$C$6),SUM(INDEX(G:G,MATCH(I1959-1,I:I,0)+1,1):INDEX(G:G,MATCH(I1959,I:I,0)-1,1)),D1959-C1959)</f>
        <v>#NAME?</v>
      </c>
      <c r="H1959" s="140" t="e">
        <f ca="1">mif(C1959="","",B1959=リスト!$C$5,SUMIF(INDEX(B:B,MATCH(I1959-1,I:I,0)+1,1):INDEX(B:B,MATCH(I1959,I:I,0)-1,1),リスト!$C$7,INDEX(G:G,MATCH(I1959-1,I:I,0)+1,1):INDEX(G:G,MATCH(I1959,I:I,0)-1,1)),"")</f>
        <v>#NAME?</v>
      </c>
      <c r="I1959" s="200" t="str">
        <f>IF(OR(B1959=リスト!$C$5,B1959=リスト!$C$6),COUNTIF($B$9:B1959,リスト!$C$5)+COUNTIF($B$9:B1959,リスト!$C$6),"")</f>
        <v/>
      </c>
    </row>
    <row r="1960" spans="2:9" x14ac:dyDescent="0.2">
      <c r="B1960" s="196"/>
      <c r="C1960" s="197"/>
      <c r="D1960" s="197"/>
      <c r="E1960" s="198" t="e">
        <f ca="1">mif(OR(C1960="",B1960=リスト!$C$7),"",B1960="","RF",OR(B1960=リスト!$C$5,B1960=リスト!$C$6),COUNTBLANK(INDEX(B:B,MATCH(I1960-1,I:I,0)+1,1):INDEX(B:B,MATCH(I1960,I:I,0)-1,1)),"")</f>
        <v>#NAME?</v>
      </c>
      <c r="F1960" s="199" t="s">
        <v>189</v>
      </c>
      <c r="G1960" s="140" t="e">
        <f ca="1">mif(C1960="","",OR(B1960=リスト!$C$5,B1960=リスト!$C$6),SUM(INDEX(G:G,MATCH(I1960-1,I:I,0)+1,1):INDEX(G:G,MATCH(I1960,I:I,0)-1,1)),D1960-C1960)</f>
        <v>#NAME?</v>
      </c>
      <c r="H1960" s="140" t="e">
        <f ca="1">mif(C1960="","",B1960=リスト!$C$5,SUMIF(INDEX(B:B,MATCH(I1960-1,I:I,0)+1,1):INDEX(B:B,MATCH(I1960,I:I,0)-1,1),リスト!$C$7,INDEX(G:G,MATCH(I1960-1,I:I,0)+1,1):INDEX(G:G,MATCH(I1960,I:I,0)-1,1)),"")</f>
        <v>#NAME?</v>
      </c>
      <c r="I1960" s="200" t="str">
        <f>IF(OR(B1960=リスト!$C$5,B1960=リスト!$C$6),COUNTIF($B$9:B1960,リスト!$C$5)+COUNTIF($B$9:B1960,リスト!$C$6),"")</f>
        <v/>
      </c>
    </row>
    <row r="1961" spans="2:9" x14ac:dyDescent="0.2">
      <c r="B1961" s="196"/>
      <c r="C1961" s="197"/>
      <c r="D1961" s="197"/>
      <c r="E1961" s="198" t="e">
        <f ca="1">mif(OR(C1961="",B1961=リスト!$C$7),"",B1961="","RF",OR(B1961=リスト!$C$5,B1961=リスト!$C$6),COUNTBLANK(INDEX(B:B,MATCH(I1961-1,I:I,0)+1,1):INDEX(B:B,MATCH(I1961,I:I,0)-1,1)),"")</f>
        <v>#NAME?</v>
      </c>
      <c r="F1961" s="199" t="s">
        <v>189</v>
      </c>
      <c r="G1961" s="140" t="e">
        <f ca="1">mif(C1961="","",OR(B1961=リスト!$C$5,B1961=リスト!$C$6),SUM(INDEX(G:G,MATCH(I1961-1,I:I,0)+1,1):INDEX(G:G,MATCH(I1961,I:I,0)-1,1)),D1961-C1961)</f>
        <v>#NAME?</v>
      </c>
      <c r="H1961" s="140" t="e">
        <f ca="1">mif(C1961="","",B1961=リスト!$C$5,SUMIF(INDEX(B:B,MATCH(I1961-1,I:I,0)+1,1):INDEX(B:B,MATCH(I1961,I:I,0)-1,1),リスト!$C$7,INDEX(G:G,MATCH(I1961-1,I:I,0)+1,1):INDEX(G:G,MATCH(I1961,I:I,0)-1,1)),"")</f>
        <v>#NAME?</v>
      </c>
      <c r="I1961" s="200" t="str">
        <f>IF(OR(B1961=リスト!$C$5,B1961=リスト!$C$6),COUNTIF($B$9:B1961,リスト!$C$5)+COUNTIF($B$9:B1961,リスト!$C$6),"")</f>
        <v/>
      </c>
    </row>
    <row r="1962" spans="2:9" x14ac:dyDescent="0.2">
      <c r="B1962" s="196"/>
      <c r="C1962" s="197"/>
      <c r="D1962" s="197"/>
      <c r="E1962" s="198" t="e">
        <f ca="1">mif(OR(C1962="",B1962=リスト!$C$7),"",B1962="","RF",OR(B1962=リスト!$C$5,B1962=リスト!$C$6),COUNTBLANK(INDEX(B:B,MATCH(I1962-1,I:I,0)+1,1):INDEX(B:B,MATCH(I1962,I:I,0)-1,1)),"")</f>
        <v>#NAME?</v>
      </c>
      <c r="F1962" s="199" t="s">
        <v>189</v>
      </c>
      <c r="G1962" s="140" t="e">
        <f ca="1">mif(C1962="","",OR(B1962=リスト!$C$5,B1962=リスト!$C$6),SUM(INDEX(G:G,MATCH(I1962-1,I:I,0)+1,1):INDEX(G:G,MATCH(I1962,I:I,0)-1,1)),D1962-C1962)</f>
        <v>#NAME?</v>
      </c>
      <c r="H1962" s="140" t="e">
        <f ca="1">mif(C1962="","",B1962=リスト!$C$5,SUMIF(INDEX(B:B,MATCH(I1962-1,I:I,0)+1,1):INDEX(B:B,MATCH(I1962,I:I,0)-1,1),リスト!$C$7,INDEX(G:G,MATCH(I1962-1,I:I,0)+1,1):INDEX(G:G,MATCH(I1962,I:I,0)-1,1)),"")</f>
        <v>#NAME?</v>
      </c>
      <c r="I1962" s="200" t="str">
        <f>IF(OR(B1962=リスト!$C$5,B1962=リスト!$C$6),COUNTIF($B$9:B1962,リスト!$C$5)+COUNTIF($B$9:B1962,リスト!$C$6),"")</f>
        <v/>
      </c>
    </row>
    <row r="1963" spans="2:9" x14ac:dyDescent="0.2">
      <c r="B1963" s="196"/>
      <c r="C1963" s="197"/>
      <c r="D1963" s="197"/>
      <c r="E1963" s="198" t="e">
        <f ca="1">mif(OR(C1963="",B1963=リスト!$C$7),"",B1963="","RF",OR(B1963=リスト!$C$5,B1963=リスト!$C$6),COUNTBLANK(INDEX(B:B,MATCH(I1963-1,I:I,0)+1,1):INDEX(B:B,MATCH(I1963,I:I,0)-1,1)),"")</f>
        <v>#NAME?</v>
      </c>
      <c r="F1963" s="199" t="s">
        <v>189</v>
      </c>
      <c r="G1963" s="140" t="e">
        <f ca="1">mif(C1963="","",OR(B1963=リスト!$C$5,B1963=リスト!$C$6),SUM(INDEX(G:G,MATCH(I1963-1,I:I,0)+1,1):INDEX(G:G,MATCH(I1963,I:I,0)-1,1)),D1963-C1963)</f>
        <v>#NAME?</v>
      </c>
      <c r="H1963" s="140" t="e">
        <f ca="1">mif(C1963="","",B1963=リスト!$C$5,SUMIF(INDEX(B:B,MATCH(I1963-1,I:I,0)+1,1):INDEX(B:B,MATCH(I1963,I:I,0)-1,1),リスト!$C$7,INDEX(G:G,MATCH(I1963-1,I:I,0)+1,1):INDEX(G:G,MATCH(I1963,I:I,0)-1,1)),"")</f>
        <v>#NAME?</v>
      </c>
      <c r="I1963" s="200" t="str">
        <f>IF(OR(B1963=リスト!$C$5,B1963=リスト!$C$6),COUNTIF($B$9:B1963,リスト!$C$5)+COUNTIF($B$9:B1963,リスト!$C$6),"")</f>
        <v/>
      </c>
    </row>
    <row r="1964" spans="2:9" x14ac:dyDescent="0.2">
      <c r="B1964" s="196"/>
      <c r="C1964" s="197"/>
      <c r="D1964" s="197"/>
      <c r="E1964" s="198" t="e">
        <f ca="1">mif(OR(C1964="",B1964=リスト!$C$7),"",B1964="","RF",OR(B1964=リスト!$C$5,B1964=リスト!$C$6),COUNTBLANK(INDEX(B:B,MATCH(I1964-1,I:I,0)+1,1):INDEX(B:B,MATCH(I1964,I:I,0)-1,1)),"")</f>
        <v>#NAME?</v>
      </c>
      <c r="F1964" s="199" t="s">
        <v>189</v>
      </c>
      <c r="G1964" s="140" t="e">
        <f ca="1">mif(C1964="","",OR(B1964=リスト!$C$5,B1964=リスト!$C$6),SUM(INDEX(G:G,MATCH(I1964-1,I:I,0)+1,1):INDEX(G:G,MATCH(I1964,I:I,0)-1,1)),D1964-C1964)</f>
        <v>#NAME?</v>
      </c>
      <c r="H1964" s="140" t="e">
        <f ca="1">mif(C1964="","",B1964=リスト!$C$5,SUMIF(INDEX(B:B,MATCH(I1964-1,I:I,0)+1,1):INDEX(B:B,MATCH(I1964,I:I,0)-1,1),リスト!$C$7,INDEX(G:G,MATCH(I1964-1,I:I,0)+1,1):INDEX(G:G,MATCH(I1964,I:I,0)-1,1)),"")</f>
        <v>#NAME?</v>
      </c>
      <c r="I1964" s="200" t="str">
        <f>IF(OR(B1964=リスト!$C$5,B1964=リスト!$C$6),COUNTIF($B$9:B1964,リスト!$C$5)+COUNTIF($B$9:B1964,リスト!$C$6),"")</f>
        <v/>
      </c>
    </row>
    <row r="1965" spans="2:9" x14ac:dyDescent="0.2">
      <c r="B1965" s="196"/>
      <c r="C1965" s="197"/>
      <c r="D1965" s="197"/>
      <c r="E1965" s="198" t="e">
        <f ca="1">mif(OR(C1965="",B1965=リスト!$C$7),"",B1965="","RF",OR(B1965=リスト!$C$5,B1965=リスト!$C$6),COUNTBLANK(INDEX(B:B,MATCH(I1965-1,I:I,0)+1,1):INDEX(B:B,MATCH(I1965,I:I,0)-1,1)),"")</f>
        <v>#NAME?</v>
      </c>
      <c r="F1965" s="199" t="s">
        <v>189</v>
      </c>
      <c r="G1965" s="140" t="e">
        <f ca="1">mif(C1965="","",OR(B1965=リスト!$C$5,B1965=リスト!$C$6),SUM(INDEX(G:G,MATCH(I1965-1,I:I,0)+1,1):INDEX(G:G,MATCH(I1965,I:I,0)-1,1)),D1965-C1965)</f>
        <v>#NAME?</v>
      </c>
      <c r="H1965" s="140" t="e">
        <f ca="1">mif(C1965="","",B1965=リスト!$C$5,SUMIF(INDEX(B:B,MATCH(I1965-1,I:I,0)+1,1):INDEX(B:B,MATCH(I1965,I:I,0)-1,1),リスト!$C$7,INDEX(G:G,MATCH(I1965-1,I:I,0)+1,1):INDEX(G:G,MATCH(I1965,I:I,0)-1,1)),"")</f>
        <v>#NAME?</v>
      </c>
      <c r="I1965" s="200" t="str">
        <f>IF(OR(B1965=リスト!$C$5,B1965=リスト!$C$6),COUNTIF($B$9:B1965,リスト!$C$5)+COUNTIF($B$9:B1965,リスト!$C$6),"")</f>
        <v/>
      </c>
    </row>
    <row r="1966" spans="2:9" x14ac:dyDescent="0.2">
      <c r="B1966" s="196"/>
      <c r="C1966" s="197"/>
      <c r="D1966" s="197"/>
      <c r="E1966" s="198" t="e">
        <f ca="1">mif(OR(C1966="",B1966=リスト!$C$7),"",B1966="","RF",OR(B1966=リスト!$C$5,B1966=リスト!$C$6),COUNTBLANK(INDEX(B:B,MATCH(I1966-1,I:I,0)+1,1):INDEX(B:B,MATCH(I1966,I:I,0)-1,1)),"")</f>
        <v>#NAME?</v>
      </c>
      <c r="F1966" s="199" t="s">
        <v>189</v>
      </c>
      <c r="G1966" s="140" t="e">
        <f ca="1">mif(C1966="","",OR(B1966=リスト!$C$5,B1966=リスト!$C$6),SUM(INDEX(G:G,MATCH(I1966-1,I:I,0)+1,1):INDEX(G:G,MATCH(I1966,I:I,0)-1,1)),D1966-C1966)</f>
        <v>#NAME?</v>
      </c>
      <c r="H1966" s="140" t="e">
        <f ca="1">mif(C1966="","",B1966=リスト!$C$5,SUMIF(INDEX(B:B,MATCH(I1966-1,I:I,0)+1,1):INDEX(B:B,MATCH(I1966,I:I,0)-1,1),リスト!$C$7,INDEX(G:G,MATCH(I1966-1,I:I,0)+1,1):INDEX(G:G,MATCH(I1966,I:I,0)-1,1)),"")</f>
        <v>#NAME?</v>
      </c>
      <c r="I1966" s="200" t="str">
        <f>IF(OR(B1966=リスト!$C$5,B1966=リスト!$C$6),COUNTIF($B$9:B1966,リスト!$C$5)+COUNTIF($B$9:B1966,リスト!$C$6),"")</f>
        <v/>
      </c>
    </row>
    <row r="1967" spans="2:9" x14ac:dyDescent="0.2">
      <c r="B1967" s="196"/>
      <c r="C1967" s="197"/>
      <c r="D1967" s="197"/>
      <c r="E1967" s="198" t="e">
        <f ca="1">mif(OR(C1967="",B1967=リスト!$C$7),"",B1967="","RF",OR(B1967=リスト!$C$5,B1967=リスト!$C$6),COUNTBLANK(INDEX(B:B,MATCH(I1967-1,I:I,0)+1,1):INDEX(B:B,MATCH(I1967,I:I,0)-1,1)),"")</f>
        <v>#NAME?</v>
      </c>
      <c r="F1967" s="199" t="s">
        <v>189</v>
      </c>
      <c r="G1967" s="140" t="e">
        <f ca="1">mif(C1967="","",OR(B1967=リスト!$C$5,B1967=リスト!$C$6),SUM(INDEX(G:G,MATCH(I1967-1,I:I,0)+1,1):INDEX(G:G,MATCH(I1967,I:I,0)-1,1)),D1967-C1967)</f>
        <v>#NAME?</v>
      </c>
      <c r="H1967" s="140" t="e">
        <f ca="1">mif(C1967="","",B1967=リスト!$C$5,SUMIF(INDEX(B:B,MATCH(I1967-1,I:I,0)+1,1):INDEX(B:B,MATCH(I1967,I:I,0)-1,1),リスト!$C$7,INDEX(G:G,MATCH(I1967-1,I:I,0)+1,1):INDEX(G:G,MATCH(I1967,I:I,0)-1,1)),"")</f>
        <v>#NAME?</v>
      </c>
      <c r="I1967" s="200" t="str">
        <f>IF(OR(B1967=リスト!$C$5,B1967=リスト!$C$6),COUNTIF($B$9:B1967,リスト!$C$5)+COUNTIF($B$9:B1967,リスト!$C$6),"")</f>
        <v/>
      </c>
    </row>
    <row r="1968" spans="2:9" x14ac:dyDescent="0.2">
      <c r="B1968" s="196"/>
      <c r="C1968" s="197"/>
      <c r="D1968" s="197"/>
      <c r="E1968" s="198" t="e">
        <f ca="1">mif(OR(C1968="",B1968=リスト!$C$7),"",B1968="","RF",OR(B1968=リスト!$C$5,B1968=リスト!$C$6),COUNTBLANK(INDEX(B:B,MATCH(I1968-1,I:I,0)+1,1):INDEX(B:B,MATCH(I1968,I:I,0)-1,1)),"")</f>
        <v>#NAME?</v>
      </c>
      <c r="F1968" s="199" t="s">
        <v>189</v>
      </c>
      <c r="G1968" s="140" t="e">
        <f ca="1">mif(C1968="","",OR(B1968=リスト!$C$5,B1968=リスト!$C$6),SUM(INDEX(G:G,MATCH(I1968-1,I:I,0)+1,1):INDEX(G:G,MATCH(I1968,I:I,0)-1,1)),D1968-C1968)</f>
        <v>#NAME?</v>
      </c>
      <c r="H1968" s="140" t="e">
        <f ca="1">mif(C1968="","",B1968=リスト!$C$5,SUMIF(INDEX(B:B,MATCH(I1968-1,I:I,0)+1,1):INDEX(B:B,MATCH(I1968,I:I,0)-1,1),リスト!$C$7,INDEX(G:G,MATCH(I1968-1,I:I,0)+1,1):INDEX(G:G,MATCH(I1968,I:I,0)-1,1)),"")</f>
        <v>#NAME?</v>
      </c>
      <c r="I1968" s="200" t="str">
        <f>IF(OR(B1968=リスト!$C$5,B1968=リスト!$C$6),COUNTIF($B$9:B1968,リスト!$C$5)+COUNTIF($B$9:B1968,リスト!$C$6),"")</f>
        <v/>
      </c>
    </row>
    <row r="1969" spans="2:9" x14ac:dyDescent="0.2">
      <c r="B1969" s="196"/>
      <c r="C1969" s="197"/>
      <c r="D1969" s="197"/>
      <c r="E1969" s="198" t="e">
        <f ca="1">mif(OR(C1969="",B1969=リスト!$C$7),"",B1969="","RF",OR(B1969=リスト!$C$5,B1969=リスト!$C$6),COUNTBLANK(INDEX(B:B,MATCH(I1969-1,I:I,0)+1,1):INDEX(B:B,MATCH(I1969,I:I,0)-1,1)),"")</f>
        <v>#NAME?</v>
      </c>
      <c r="F1969" s="199" t="s">
        <v>189</v>
      </c>
      <c r="G1969" s="140" t="e">
        <f ca="1">mif(C1969="","",OR(B1969=リスト!$C$5,B1969=リスト!$C$6),SUM(INDEX(G:G,MATCH(I1969-1,I:I,0)+1,1):INDEX(G:G,MATCH(I1969,I:I,0)-1,1)),D1969-C1969)</f>
        <v>#NAME?</v>
      </c>
      <c r="H1969" s="140" t="e">
        <f ca="1">mif(C1969="","",B1969=リスト!$C$5,SUMIF(INDEX(B:B,MATCH(I1969-1,I:I,0)+1,1):INDEX(B:B,MATCH(I1969,I:I,0)-1,1),リスト!$C$7,INDEX(G:G,MATCH(I1969-1,I:I,0)+1,1):INDEX(G:G,MATCH(I1969,I:I,0)-1,1)),"")</f>
        <v>#NAME?</v>
      </c>
      <c r="I1969" s="200" t="str">
        <f>IF(OR(B1969=リスト!$C$5,B1969=リスト!$C$6),COUNTIF($B$9:B1969,リスト!$C$5)+COUNTIF($B$9:B1969,リスト!$C$6),"")</f>
        <v/>
      </c>
    </row>
    <row r="1970" spans="2:9" x14ac:dyDescent="0.2">
      <c r="B1970" s="196"/>
      <c r="C1970" s="197"/>
      <c r="D1970" s="197"/>
      <c r="E1970" s="198" t="e">
        <f ca="1">mif(OR(C1970="",B1970=リスト!$C$7),"",B1970="","RF",OR(B1970=リスト!$C$5,B1970=リスト!$C$6),COUNTBLANK(INDEX(B:B,MATCH(I1970-1,I:I,0)+1,1):INDEX(B:B,MATCH(I1970,I:I,0)-1,1)),"")</f>
        <v>#NAME?</v>
      </c>
      <c r="F1970" s="199" t="s">
        <v>189</v>
      </c>
      <c r="G1970" s="140" t="e">
        <f ca="1">mif(C1970="","",OR(B1970=リスト!$C$5,B1970=リスト!$C$6),SUM(INDEX(G:G,MATCH(I1970-1,I:I,0)+1,1):INDEX(G:G,MATCH(I1970,I:I,0)-1,1)),D1970-C1970)</f>
        <v>#NAME?</v>
      </c>
      <c r="H1970" s="140" t="e">
        <f ca="1">mif(C1970="","",B1970=リスト!$C$5,SUMIF(INDEX(B:B,MATCH(I1970-1,I:I,0)+1,1):INDEX(B:B,MATCH(I1970,I:I,0)-1,1),リスト!$C$7,INDEX(G:G,MATCH(I1970-1,I:I,0)+1,1):INDEX(G:G,MATCH(I1970,I:I,0)-1,1)),"")</f>
        <v>#NAME?</v>
      </c>
      <c r="I1970" s="200" t="str">
        <f>IF(OR(B1970=リスト!$C$5,B1970=リスト!$C$6),COUNTIF($B$9:B1970,リスト!$C$5)+COUNTIF($B$9:B1970,リスト!$C$6),"")</f>
        <v/>
      </c>
    </row>
    <row r="1971" spans="2:9" x14ac:dyDescent="0.2">
      <c r="B1971" s="196"/>
      <c r="C1971" s="197"/>
      <c r="D1971" s="197"/>
      <c r="E1971" s="198" t="e">
        <f ca="1">mif(OR(C1971="",B1971=リスト!$C$7),"",B1971="","RF",OR(B1971=リスト!$C$5,B1971=リスト!$C$6),COUNTBLANK(INDEX(B:B,MATCH(I1971-1,I:I,0)+1,1):INDEX(B:B,MATCH(I1971,I:I,0)-1,1)),"")</f>
        <v>#NAME?</v>
      </c>
      <c r="F1971" s="199" t="s">
        <v>189</v>
      </c>
      <c r="G1971" s="140" t="e">
        <f ca="1">mif(C1971="","",OR(B1971=リスト!$C$5,B1971=リスト!$C$6),SUM(INDEX(G:G,MATCH(I1971-1,I:I,0)+1,1):INDEX(G:G,MATCH(I1971,I:I,0)-1,1)),D1971-C1971)</f>
        <v>#NAME?</v>
      </c>
      <c r="H1971" s="140" t="e">
        <f ca="1">mif(C1971="","",B1971=リスト!$C$5,SUMIF(INDEX(B:B,MATCH(I1971-1,I:I,0)+1,1):INDEX(B:B,MATCH(I1971,I:I,0)-1,1),リスト!$C$7,INDEX(G:G,MATCH(I1971-1,I:I,0)+1,1):INDEX(G:G,MATCH(I1971,I:I,0)-1,1)),"")</f>
        <v>#NAME?</v>
      </c>
      <c r="I1971" s="200" t="str">
        <f>IF(OR(B1971=リスト!$C$5,B1971=リスト!$C$6),COUNTIF($B$9:B1971,リスト!$C$5)+COUNTIF($B$9:B1971,リスト!$C$6),"")</f>
        <v/>
      </c>
    </row>
    <row r="1972" spans="2:9" x14ac:dyDescent="0.2">
      <c r="B1972" s="196"/>
      <c r="C1972" s="197"/>
      <c r="D1972" s="197"/>
      <c r="E1972" s="198" t="e">
        <f ca="1">mif(OR(C1972="",B1972=リスト!$C$7),"",B1972="","RF",OR(B1972=リスト!$C$5,B1972=リスト!$C$6),COUNTBLANK(INDEX(B:B,MATCH(I1972-1,I:I,0)+1,1):INDEX(B:B,MATCH(I1972,I:I,0)-1,1)),"")</f>
        <v>#NAME?</v>
      </c>
      <c r="F1972" s="199" t="s">
        <v>189</v>
      </c>
      <c r="G1972" s="140" t="e">
        <f ca="1">mif(C1972="","",OR(B1972=リスト!$C$5,B1972=リスト!$C$6),SUM(INDEX(G:G,MATCH(I1972-1,I:I,0)+1,1):INDEX(G:G,MATCH(I1972,I:I,0)-1,1)),D1972-C1972)</f>
        <v>#NAME?</v>
      </c>
      <c r="H1972" s="140" t="e">
        <f ca="1">mif(C1972="","",B1972=リスト!$C$5,SUMIF(INDEX(B:B,MATCH(I1972-1,I:I,0)+1,1):INDEX(B:B,MATCH(I1972,I:I,0)-1,1),リスト!$C$7,INDEX(G:G,MATCH(I1972-1,I:I,0)+1,1):INDEX(G:G,MATCH(I1972,I:I,0)-1,1)),"")</f>
        <v>#NAME?</v>
      </c>
      <c r="I1972" s="200" t="str">
        <f>IF(OR(B1972=リスト!$C$5,B1972=リスト!$C$6),COUNTIF($B$9:B1972,リスト!$C$5)+COUNTIF($B$9:B1972,リスト!$C$6),"")</f>
        <v/>
      </c>
    </row>
    <row r="1973" spans="2:9" x14ac:dyDescent="0.2">
      <c r="B1973" s="196"/>
      <c r="C1973" s="197"/>
      <c r="D1973" s="197"/>
      <c r="E1973" s="198" t="e">
        <f ca="1">mif(OR(C1973="",B1973=リスト!$C$7),"",B1973="","RF",OR(B1973=リスト!$C$5,B1973=リスト!$C$6),COUNTBLANK(INDEX(B:B,MATCH(I1973-1,I:I,0)+1,1):INDEX(B:B,MATCH(I1973,I:I,0)-1,1)),"")</f>
        <v>#NAME?</v>
      </c>
      <c r="F1973" s="199" t="s">
        <v>189</v>
      </c>
      <c r="G1973" s="140" t="e">
        <f ca="1">mif(C1973="","",OR(B1973=リスト!$C$5,B1973=リスト!$C$6),SUM(INDEX(G:G,MATCH(I1973-1,I:I,0)+1,1):INDEX(G:G,MATCH(I1973,I:I,0)-1,1)),D1973-C1973)</f>
        <v>#NAME?</v>
      </c>
      <c r="H1973" s="140" t="e">
        <f ca="1">mif(C1973="","",B1973=リスト!$C$5,SUMIF(INDEX(B:B,MATCH(I1973-1,I:I,0)+1,1):INDEX(B:B,MATCH(I1973,I:I,0)-1,1),リスト!$C$7,INDEX(G:G,MATCH(I1973-1,I:I,0)+1,1):INDEX(G:G,MATCH(I1973,I:I,0)-1,1)),"")</f>
        <v>#NAME?</v>
      </c>
      <c r="I1973" s="200" t="str">
        <f>IF(OR(B1973=リスト!$C$5,B1973=リスト!$C$6),COUNTIF($B$9:B1973,リスト!$C$5)+COUNTIF($B$9:B1973,リスト!$C$6),"")</f>
        <v/>
      </c>
    </row>
    <row r="1974" spans="2:9" x14ac:dyDescent="0.2">
      <c r="B1974" s="196"/>
      <c r="C1974" s="197"/>
      <c r="D1974" s="197"/>
      <c r="E1974" s="198" t="e">
        <f ca="1">mif(OR(C1974="",B1974=リスト!$C$7),"",B1974="","RF",OR(B1974=リスト!$C$5,B1974=リスト!$C$6),COUNTBLANK(INDEX(B:B,MATCH(I1974-1,I:I,0)+1,1):INDEX(B:B,MATCH(I1974,I:I,0)-1,1)),"")</f>
        <v>#NAME?</v>
      </c>
      <c r="F1974" s="199" t="s">
        <v>189</v>
      </c>
      <c r="G1974" s="140" t="e">
        <f ca="1">mif(C1974="","",OR(B1974=リスト!$C$5,B1974=リスト!$C$6),SUM(INDEX(G:G,MATCH(I1974-1,I:I,0)+1,1):INDEX(G:G,MATCH(I1974,I:I,0)-1,1)),D1974-C1974)</f>
        <v>#NAME?</v>
      </c>
      <c r="H1974" s="140" t="e">
        <f ca="1">mif(C1974="","",B1974=リスト!$C$5,SUMIF(INDEX(B:B,MATCH(I1974-1,I:I,0)+1,1):INDEX(B:B,MATCH(I1974,I:I,0)-1,1),リスト!$C$7,INDEX(G:G,MATCH(I1974-1,I:I,0)+1,1):INDEX(G:G,MATCH(I1974,I:I,0)-1,1)),"")</f>
        <v>#NAME?</v>
      </c>
      <c r="I1974" s="200" t="str">
        <f>IF(OR(B1974=リスト!$C$5,B1974=リスト!$C$6),COUNTIF($B$9:B1974,リスト!$C$5)+COUNTIF($B$9:B1974,リスト!$C$6),"")</f>
        <v/>
      </c>
    </row>
    <row r="1975" spans="2:9" x14ac:dyDescent="0.2">
      <c r="B1975" s="196"/>
      <c r="C1975" s="197"/>
      <c r="D1975" s="197"/>
      <c r="E1975" s="198" t="e">
        <f ca="1">mif(OR(C1975="",B1975=リスト!$C$7),"",B1975="","RF",OR(B1975=リスト!$C$5,B1975=リスト!$C$6),COUNTBLANK(INDEX(B:B,MATCH(I1975-1,I:I,0)+1,1):INDEX(B:B,MATCH(I1975,I:I,0)-1,1)),"")</f>
        <v>#NAME?</v>
      </c>
      <c r="F1975" s="199" t="s">
        <v>189</v>
      </c>
      <c r="G1975" s="140" t="e">
        <f ca="1">mif(C1975="","",OR(B1975=リスト!$C$5,B1975=リスト!$C$6),SUM(INDEX(G:G,MATCH(I1975-1,I:I,0)+1,1):INDEX(G:G,MATCH(I1975,I:I,0)-1,1)),D1975-C1975)</f>
        <v>#NAME?</v>
      </c>
      <c r="H1975" s="140" t="e">
        <f ca="1">mif(C1975="","",B1975=リスト!$C$5,SUMIF(INDEX(B:B,MATCH(I1975-1,I:I,0)+1,1):INDEX(B:B,MATCH(I1975,I:I,0)-1,1),リスト!$C$7,INDEX(G:G,MATCH(I1975-1,I:I,0)+1,1):INDEX(G:G,MATCH(I1975,I:I,0)-1,1)),"")</f>
        <v>#NAME?</v>
      </c>
      <c r="I1975" s="200" t="str">
        <f>IF(OR(B1975=リスト!$C$5,B1975=リスト!$C$6),COUNTIF($B$9:B1975,リスト!$C$5)+COUNTIF($B$9:B1975,リスト!$C$6),"")</f>
        <v/>
      </c>
    </row>
    <row r="1976" spans="2:9" x14ac:dyDescent="0.2">
      <c r="B1976" s="196"/>
      <c r="C1976" s="197"/>
      <c r="D1976" s="197"/>
      <c r="E1976" s="198" t="e">
        <f ca="1">mif(OR(C1976="",B1976=リスト!$C$7),"",B1976="","RF",OR(B1976=リスト!$C$5,B1976=リスト!$C$6),COUNTBLANK(INDEX(B:B,MATCH(I1976-1,I:I,0)+1,1):INDEX(B:B,MATCH(I1976,I:I,0)-1,1)),"")</f>
        <v>#NAME?</v>
      </c>
      <c r="F1976" s="199" t="s">
        <v>189</v>
      </c>
      <c r="G1976" s="140" t="e">
        <f ca="1">mif(C1976="","",OR(B1976=リスト!$C$5,B1976=リスト!$C$6),SUM(INDEX(G:G,MATCH(I1976-1,I:I,0)+1,1):INDEX(G:G,MATCH(I1976,I:I,0)-1,1)),D1976-C1976)</f>
        <v>#NAME?</v>
      </c>
      <c r="H1976" s="140" t="e">
        <f ca="1">mif(C1976="","",B1976=リスト!$C$5,SUMIF(INDEX(B:B,MATCH(I1976-1,I:I,0)+1,1):INDEX(B:B,MATCH(I1976,I:I,0)-1,1),リスト!$C$7,INDEX(G:G,MATCH(I1976-1,I:I,0)+1,1):INDEX(G:G,MATCH(I1976,I:I,0)-1,1)),"")</f>
        <v>#NAME?</v>
      </c>
      <c r="I1976" s="200" t="str">
        <f>IF(OR(B1976=リスト!$C$5,B1976=リスト!$C$6),COUNTIF($B$9:B1976,リスト!$C$5)+COUNTIF($B$9:B1976,リスト!$C$6),"")</f>
        <v/>
      </c>
    </row>
    <row r="1977" spans="2:9" x14ac:dyDescent="0.2">
      <c r="B1977" s="196"/>
      <c r="C1977" s="197"/>
      <c r="D1977" s="197"/>
      <c r="E1977" s="198" t="e">
        <f ca="1">mif(OR(C1977="",B1977=リスト!$C$7),"",B1977="","RF",OR(B1977=リスト!$C$5,B1977=リスト!$C$6),COUNTBLANK(INDEX(B:B,MATCH(I1977-1,I:I,0)+1,1):INDEX(B:B,MATCH(I1977,I:I,0)-1,1)),"")</f>
        <v>#NAME?</v>
      </c>
      <c r="F1977" s="199" t="s">
        <v>189</v>
      </c>
      <c r="G1977" s="140" t="e">
        <f ca="1">mif(C1977="","",OR(B1977=リスト!$C$5,B1977=リスト!$C$6),SUM(INDEX(G:G,MATCH(I1977-1,I:I,0)+1,1):INDEX(G:G,MATCH(I1977,I:I,0)-1,1)),D1977-C1977)</f>
        <v>#NAME?</v>
      </c>
      <c r="H1977" s="140" t="e">
        <f ca="1">mif(C1977="","",B1977=リスト!$C$5,SUMIF(INDEX(B:B,MATCH(I1977-1,I:I,0)+1,1):INDEX(B:B,MATCH(I1977,I:I,0)-1,1),リスト!$C$7,INDEX(G:G,MATCH(I1977-1,I:I,0)+1,1):INDEX(G:G,MATCH(I1977,I:I,0)-1,1)),"")</f>
        <v>#NAME?</v>
      </c>
      <c r="I1977" s="200" t="str">
        <f>IF(OR(B1977=リスト!$C$5,B1977=リスト!$C$6),COUNTIF($B$9:B1977,リスト!$C$5)+COUNTIF($B$9:B1977,リスト!$C$6),"")</f>
        <v/>
      </c>
    </row>
    <row r="1978" spans="2:9" x14ac:dyDescent="0.2">
      <c r="B1978" s="196"/>
      <c r="C1978" s="197"/>
      <c r="D1978" s="197"/>
      <c r="E1978" s="198" t="e">
        <f ca="1">mif(OR(C1978="",B1978=リスト!$C$7),"",B1978="","RF",OR(B1978=リスト!$C$5,B1978=リスト!$C$6),COUNTBLANK(INDEX(B:B,MATCH(I1978-1,I:I,0)+1,1):INDEX(B:B,MATCH(I1978,I:I,0)-1,1)),"")</f>
        <v>#NAME?</v>
      </c>
      <c r="F1978" s="199" t="s">
        <v>189</v>
      </c>
      <c r="G1978" s="140" t="e">
        <f ca="1">mif(C1978="","",OR(B1978=リスト!$C$5,B1978=リスト!$C$6),SUM(INDEX(G:G,MATCH(I1978-1,I:I,0)+1,1):INDEX(G:G,MATCH(I1978,I:I,0)-1,1)),D1978-C1978)</f>
        <v>#NAME?</v>
      </c>
      <c r="H1978" s="140" t="e">
        <f ca="1">mif(C1978="","",B1978=リスト!$C$5,SUMIF(INDEX(B:B,MATCH(I1978-1,I:I,0)+1,1):INDEX(B:B,MATCH(I1978,I:I,0)-1,1),リスト!$C$7,INDEX(G:G,MATCH(I1978-1,I:I,0)+1,1):INDEX(G:G,MATCH(I1978,I:I,0)-1,1)),"")</f>
        <v>#NAME?</v>
      </c>
      <c r="I1978" s="200" t="str">
        <f>IF(OR(B1978=リスト!$C$5,B1978=リスト!$C$6),COUNTIF($B$9:B1978,リスト!$C$5)+COUNTIF($B$9:B1978,リスト!$C$6),"")</f>
        <v/>
      </c>
    </row>
    <row r="1979" spans="2:9" x14ac:dyDescent="0.2">
      <c r="B1979" s="196"/>
      <c r="C1979" s="197"/>
      <c r="D1979" s="197"/>
      <c r="E1979" s="198" t="e">
        <f ca="1">mif(OR(C1979="",B1979=リスト!$C$7),"",B1979="","RF",OR(B1979=リスト!$C$5,B1979=リスト!$C$6),COUNTBLANK(INDEX(B:B,MATCH(I1979-1,I:I,0)+1,1):INDEX(B:B,MATCH(I1979,I:I,0)-1,1)),"")</f>
        <v>#NAME?</v>
      </c>
      <c r="F1979" s="199" t="s">
        <v>189</v>
      </c>
      <c r="G1979" s="140" t="e">
        <f ca="1">mif(C1979="","",OR(B1979=リスト!$C$5,B1979=リスト!$C$6),SUM(INDEX(G:G,MATCH(I1979-1,I:I,0)+1,1):INDEX(G:G,MATCH(I1979,I:I,0)-1,1)),D1979-C1979)</f>
        <v>#NAME?</v>
      </c>
      <c r="H1979" s="140" t="e">
        <f ca="1">mif(C1979="","",B1979=リスト!$C$5,SUMIF(INDEX(B:B,MATCH(I1979-1,I:I,0)+1,1):INDEX(B:B,MATCH(I1979,I:I,0)-1,1),リスト!$C$7,INDEX(G:G,MATCH(I1979-1,I:I,0)+1,1):INDEX(G:G,MATCH(I1979,I:I,0)-1,1)),"")</f>
        <v>#NAME?</v>
      </c>
      <c r="I1979" s="200" t="str">
        <f>IF(OR(B1979=リスト!$C$5,B1979=リスト!$C$6),COUNTIF($B$9:B1979,リスト!$C$5)+COUNTIF($B$9:B1979,リスト!$C$6),"")</f>
        <v/>
      </c>
    </row>
    <row r="1980" spans="2:9" x14ac:dyDescent="0.2">
      <c r="B1980" s="196"/>
      <c r="C1980" s="197"/>
      <c r="D1980" s="197"/>
      <c r="E1980" s="198" t="e">
        <f ca="1">mif(OR(C1980="",B1980=リスト!$C$7),"",B1980="","RF",OR(B1980=リスト!$C$5,B1980=リスト!$C$6),COUNTBLANK(INDEX(B:B,MATCH(I1980-1,I:I,0)+1,1):INDEX(B:B,MATCH(I1980,I:I,0)-1,1)),"")</f>
        <v>#NAME?</v>
      </c>
      <c r="F1980" s="199" t="s">
        <v>189</v>
      </c>
      <c r="G1980" s="140" t="e">
        <f ca="1">mif(C1980="","",OR(B1980=リスト!$C$5,B1980=リスト!$C$6),SUM(INDEX(G:G,MATCH(I1980-1,I:I,0)+1,1):INDEX(G:G,MATCH(I1980,I:I,0)-1,1)),D1980-C1980)</f>
        <v>#NAME?</v>
      </c>
      <c r="H1980" s="140" t="e">
        <f ca="1">mif(C1980="","",B1980=リスト!$C$5,SUMIF(INDEX(B:B,MATCH(I1980-1,I:I,0)+1,1):INDEX(B:B,MATCH(I1980,I:I,0)-1,1),リスト!$C$7,INDEX(G:G,MATCH(I1980-1,I:I,0)+1,1):INDEX(G:G,MATCH(I1980,I:I,0)-1,1)),"")</f>
        <v>#NAME?</v>
      </c>
      <c r="I1980" s="200" t="str">
        <f>IF(OR(B1980=リスト!$C$5,B1980=リスト!$C$6),COUNTIF($B$9:B1980,リスト!$C$5)+COUNTIF($B$9:B1980,リスト!$C$6),"")</f>
        <v/>
      </c>
    </row>
    <row r="1981" spans="2:9" x14ac:dyDescent="0.2">
      <c r="B1981" s="196"/>
      <c r="C1981" s="197"/>
      <c r="D1981" s="197"/>
      <c r="E1981" s="198" t="e">
        <f ca="1">mif(OR(C1981="",B1981=リスト!$C$7),"",B1981="","RF",OR(B1981=リスト!$C$5,B1981=リスト!$C$6),COUNTBLANK(INDEX(B:B,MATCH(I1981-1,I:I,0)+1,1):INDEX(B:B,MATCH(I1981,I:I,0)-1,1)),"")</f>
        <v>#NAME?</v>
      </c>
      <c r="F1981" s="199" t="s">
        <v>189</v>
      </c>
      <c r="G1981" s="140" t="e">
        <f ca="1">mif(C1981="","",OR(B1981=リスト!$C$5,B1981=リスト!$C$6),SUM(INDEX(G:G,MATCH(I1981-1,I:I,0)+1,1):INDEX(G:G,MATCH(I1981,I:I,0)-1,1)),D1981-C1981)</f>
        <v>#NAME?</v>
      </c>
      <c r="H1981" s="140" t="e">
        <f ca="1">mif(C1981="","",B1981=リスト!$C$5,SUMIF(INDEX(B:B,MATCH(I1981-1,I:I,0)+1,1):INDEX(B:B,MATCH(I1981,I:I,0)-1,1),リスト!$C$7,INDEX(G:G,MATCH(I1981-1,I:I,0)+1,1):INDEX(G:G,MATCH(I1981,I:I,0)-1,1)),"")</f>
        <v>#NAME?</v>
      </c>
      <c r="I1981" s="200" t="str">
        <f>IF(OR(B1981=リスト!$C$5,B1981=リスト!$C$6),COUNTIF($B$9:B1981,リスト!$C$5)+COUNTIF($B$9:B1981,リスト!$C$6),"")</f>
        <v/>
      </c>
    </row>
    <row r="1982" spans="2:9" x14ac:dyDescent="0.2">
      <c r="B1982" s="196"/>
      <c r="C1982" s="197"/>
      <c r="D1982" s="197"/>
      <c r="E1982" s="198" t="e">
        <f ca="1">mif(OR(C1982="",B1982=リスト!$C$7),"",B1982="","RF",OR(B1982=リスト!$C$5,B1982=リスト!$C$6),COUNTBLANK(INDEX(B:B,MATCH(I1982-1,I:I,0)+1,1):INDEX(B:B,MATCH(I1982,I:I,0)-1,1)),"")</f>
        <v>#NAME?</v>
      </c>
      <c r="F1982" s="199" t="s">
        <v>189</v>
      </c>
      <c r="G1982" s="140" t="e">
        <f ca="1">mif(C1982="","",OR(B1982=リスト!$C$5,B1982=リスト!$C$6),SUM(INDEX(G:G,MATCH(I1982-1,I:I,0)+1,1):INDEX(G:G,MATCH(I1982,I:I,0)-1,1)),D1982-C1982)</f>
        <v>#NAME?</v>
      </c>
      <c r="H1982" s="140" t="e">
        <f ca="1">mif(C1982="","",B1982=リスト!$C$5,SUMIF(INDEX(B:B,MATCH(I1982-1,I:I,0)+1,1):INDEX(B:B,MATCH(I1982,I:I,0)-1,1),リスト!$C$7,INDEX(G:G,MATCH(I1982-1,I:I,0)+1,1):INDEX(G:G,MATCH(I1982,I:I,0)-1,1)),"")</f>
        <v>#NAME?</v>
      </c>
      <c r="I1982" s="200" t="str">
        <f>IF(OR(B1982=リスト!$C$5,B1982=リスト!$C$6),COUNTIF($B$9:B1982,リスト!$C$5)+COUNTIF($B$9:B1982,リスト!$C$6),"")</f>
        <v/>
      </c>
    </row>
    <row r="1983" spans="2:9" x14ac:dyDescent="0.2">
      <c r="B1983" s="196"/>
      <c r="C1983" s="197"/>
      <c r="D1983" s="197"/>
      <c r="E1983" s="198" t="e">
        <f ca="1">mif(OR(C1983="",B1983=リスト!$C$7),"",B1983="","RF",OR(B1983=リスト!$C$5,B1983=リスト!$C$6),COUNTBLANK(INDEX(B:B,MATCH(I1983-1,I:I,0)+1,1):INDEX(B:B,MATCH(I1983,I:I,0)-1,1)),"")</f>
        <v>#NAME?</v>
      </c>
      <c r="F1983" s="199" t="s">
        <v>189</v>
      </c>
      <c r="G1983" s="140" t="e">
        <f ca="1">mif(C1983="","",OR(B1983=リスト!$C$5,B1983=リスト!$C$6),SUM(INDEX(G:G,MATCH(I1983-1,I:I,0)+1,1):INDEX(G:G,MATCH(I1983,I:I,0)-1,1)),D1983-C1983)</f>
        <v>#NAME?</v>
      </c>
      <c r="H1983" s="140" t="e">
        <f ca="1">mif(C1983="","",B1983=リスト!$C$5,SUMIF(INDEX(B:B,MATCH(I1983-1,I:I,0)+1,1):INDEX(B:B,MATCH(I1983,I:I,0)-1,1),リスト!$C$7,INDEX(G:G,MATCH(I1983-1,I:I,0)+1,1):INDEX(G:G,MATCH(I1983,I:I,0)-1,1)),"")</f>
        <v>#NAME?</v>
      </c>
      <c r="I1983" s="200" t="str">
        <f>IF(OR(B1983=リスト!$C$5,B1983=リスト!$C$6),COUNTIF($B$9:B1983,リスト!$C$5)+COUNTIF($B$9:B1983,リスト!$C$6),"")</f>
        <v/>
      </c>
    </row>
    <row r="1984" spans="2:9" x14ac:dyDescent="0.2">
      <c r="B1984" s="196"/>
      <c r="C1984" s="197"/>
      <c r="D1984" s="197"/>
      <c r="E1984" s="198" t="e">
        <f ca="1">mif(OR(C1984="",B1984=リスト!$C$7),"",B1984="","RF",OR(B1984=リスト!$C$5,B1984=リスト!$C$6),COUNTBLANK(INDEX(B:B,MATCH(I1984-1,I:I,0)+1,1):INDEX(B:B,MATCH(I1984,I:I,0)-1,1)),"")</f>
        <v>#NAME?</v>
      </c>
      <c r="F1984" s="199" t="s">
        <v>189</v>
      </c>
      <c r="G1984" s="140" t="e">
        <f ca="1">mif(C1984="","",OR(B1984=リスト!$C$5,B1984=リスト!$C$6),SUM(INDEX(G:G,MATCH(I1984-1,I:I,0)+1,1):INDEX(G:G,MATCH(I1984,I:I,0)-1,1)),D1984-C1984)</f>
        <v>#NAME?</v>
      </c>
      <c r="H1984" s="140" t="e">
        <f ca="1">mif(C1984="","",B1984=リスト!$C$5,SUMIF(INDEX(B:B,MATCH(I1984-1,I:I,0)+1,1):INDEX(B:B,MATCH(I1984,I:I,0)-1,1),リスト!$C$7,INDEX(G:G,MATCH(I1984-1,I:I,0)+1,1):INDEX(G:G,MATCH(I1984,I:I,0)-1,1)),"")</f>
        <v>#NAME?</v>
      </c>
      <c r="I1984" s="200" t="str">
        <f>IF(OR(B1984=リスト!$C$5,B1984=リスト!$C$6),COUNTIF($B$9:B1984,リスト!$C$5)+COUNTIF($B$9:B1984,リスト!$C$6),"")</f>
        <v/>
      </c>
    </row>
    <row r="1985" spans="2:9" x14ac:dyDescent="0.2">
      <c r="B1985" s="196"/>
      <c r="C1985" s="197"/>
      <c r="D1985" s="197"/>
      <c r="E1985" s="198" t="e">
        <f ca="1">mif(OR(C1985="",B1985=リスト!$C$7),"",B1985="","RF",OR(B1985=リスト!$C$5,B1985=リスト!$C$6),COUNTBLANK(INDEX(B:B,MATCH(I1985-1,I:I,0)+1,1):INDEX(B:B,MATCH(I1985,I:I,0)-1,1)),"")</f>
        <v>#NAME?</v>
      </c>
      <c r="F1985" s="199" t="s">
        <v>189</v>
      </c>
      <c r="G1985" s="140" t="e">
        <f ca="1">mif(C1985="","",OR(B1985=リスト!$C$5,B1985=リスト!$C$6),SUM(INDEX(G:G,MATCH(I1985-1,I:I,0)+1,1):INDEX(G:G,MATCH(I1985,I:I,0)-1,1)),D1985-C1985)</f>
        <v>#NAME?</v>
      </c>
      <c r="H1985" s="140" t="e">
        <f ca="1">mif(C1985="","",B1985=リスト!$C$5,SUMIF(INDEX(B:B,MATCH(I1985-1,I:I,0)+1,1):INDEX(B:B,MATCH(I1985,I:I,0)-1,1),リスト!$C$7,INDEX(G:G,MATCH(I1985-1,I:I,0)+1,1):INDEX(G:G,MATCH(I1985,I:I,0)-1,1)),"")</f>
        <v>#NAME?</v>
      </c>
      <c r="I1985" s="200" t="str">
        <f>IF(OR(B1985=リスト!$C$5,B1985=リスト!$C$6),COUNTIF($B$9:B1985,リスト!$C$5)+COUNTIF($B$9:B1985,リスト!$C$6),"")</f>
        <v/>
      </c>
    </row>
    <row r="1986" spans="2:9" x14ac:dyDescent="0.2">
      <c r="B1986" s="196"/>
      <c r="C1986" s="197"/>
      <c r="D1986" s="197"/>
      <c r="E1986" s="198" t="e">
        <f ca="1">mif(OR(C1986="",B1986=リスト!$C$7),"",B1986="","RF",OR(B1986=リスト!$C$5,B1986=リスト!$C$6),COUNTBLANK(INDEX(B:B,MATCH(I1986-1,I:I,0)+1,1):INDEX(B:B,MATCH(I1986,I:I,0)-1,1)),"")</f>
        <v>#NAME?</v>
      </c>
      <c r="F1986" s="199" t="s">
        <v>189</v>
      </c>
      <c r="G1986" s="140" t="e">
        <f ca="1">mif(C1986="","",OR(B1986=リスト!$C$5,B1986=リスト!$C$6),SUM(INDEX(G:G,MATCH(I1986-1,I:I,0)+1,1):INDEX(G:G,MATCH(I1986,I:I,0)-1,1)),D1986-C1986)</f>
        <v>#NAME?</v>
      </c>
      <c r="H1986" s="140" t="e">
        <f ca="1">mif(C1986="","",B1986=リスト!$C$5,SUMIF(INDEX(B:B,MATCH(I1986-1,I:I,0)+1,1):INDEX(B:B,MATCH(I1986,I:I,0)-1,1),リスト!$C$7,INDEX(G:G,MATCH(I1986-1,I:I,0)+1,1):INDEX(G:G,MATCH(I1986,I:I,0)-1,1)),"")</f>
        <v>#NAME?</v>
      </c>
      <c r="I1986" s="200" t="str">
        <f>IF(OR(B1986=リスト!$C$5,B1986=リスト!$C$6),COUNTIF($B$9:B1986,リスト!$C$5)+COUNTIF($B$9:B1986,リスト!$C$6),"")</f>
        <v/>
      </c>
    </row>
    <row r="1987" spans="2:9" x14ac:dyDescent="0.2">
      <c r="B1987" s="196"/>
      <c r="C1987" s="197"/>
      <c r="D1987" s="197"/>
      <c r="E1987" s="198" t="e">
        <f ca="1">mif(OR(C1987="",B1987=リスト!$C$7),"",B1987="","RF",OR(B1987=リスト!$C$5,B1987=リスト!$C$6),COUNTBLANK(INDEX(B:B,MATCH(I1987-1,I:I,0)+1,1):INDEX(B:B,MATCH(I1987,I:I,0)-1,1)),"")</f>
        <v>#NAME?</v>
      </c>
      <c r="F1987" s="199" t="s">
        <v>189</v>
      </c>
      <c r="G1987" s="140" t="e">
        <f ca="1">mif(C1987="","",OR(B1987=リスト!$C$5,B1987=リスト!$C$6),SUM(INDEX(G:G,MATCH(I1987-1,I:I,0)+1,1):INDEX(G:G,MATCH(I1987,I:I,0)-1,1)),D1987-C1987)</f>
        <v>#NAME?</v>
      </c>
      <c r="H1987" s="140" t="e">
        <f ca="1">mif(C1987="","",B1987=リスト!$C$5,SUMIF(INDEX(B:B,MATCH(I1987-1,I:I,0)+1,1):INDEX(B:B,MATCH(I1987,I:I,0)-1,1),リスト!$C$7,INDEX(G:G,MATCH(I1987-1,I:I,0)+1,1):INDEX(G:G,MATCH(I1987,I:I,0)-1,1)),"")</f>
        <v>#NAME?</v>
      </c>
      <c r="I1987" s="200" t="str">
        <f>IF(OR(B1987=リスト!$C$5,B1987=リスト!$C$6),COUNTIF($B$9:B1987,リスト!$C$5)+COUNTIF($B$9:B1987,リスト!$C$6),"")</f>
        <v/>
      </c>
    </row>
    <row r="1988" spans="2:9" x14ac:dyDescent="0.2">
      <c r="B1988" s="196"/>
      <c r="C1988" s="197"/>
      <c r="D1988" s="197"/>
      <c r="E1988" s="198" t="e">
        <f ca="1">mif(OR(C1988="",B1988=リスト!$C$7),"",B1988="","RF",OR(B1988=リスト!$C$5,B1988=リスト!$C$6),COUNTBLANK(INDEX(B:B,MATCH(I1988-1,I:I,0)+1,1):INDEX(B:B,MATCH(I1988,I:I,0)-1,1)),"")</f>
        <v>#NAME?</v>
      </c>
      <c r="F1988" s="199" t="s">
        <v>189</v>
      </c>
      <c r="G1988" s="140" t="e">
        <f ca="1">mif(C1988="","",OR(B1988=リスト!$C$5,B1988=リスト!$C$6),SUM(INDEX(G:G,MATCH(I1988-1,I:I,0)+1,1):INDEX(G:G,MATCH(I1988,I:I,0)-1,1)),D1988-C1988)</f>
        <v>#NAME?</v>
      </c>
      <c r="H1988" s="140" t="e">
        <f ca="1">mif(C1988="","",B1988=リスト!$C$5,SUMIF(INDEX(B:B,MATCH(I1988-1,I:I,0)+1,1):INDEX(B:B,MATCH(I1988,I:I,0)-1,1),リスト!$C$7,INDEX(G:G,MATCH(I1988-1,I:I,0)+1,1):INDEX(G:G,MATCH(I1988,I:I,0)-1,1)),"")</f>
        <v>#NAME?</v>
      </c>
      <c r="I1988" s="200" t="str">
        <f>IF(OR(B1988=リスト!$C$5,B1988=リスト!$C$6),COUNTIF($B$9:B1988,リスト!$C$5)+COUNTIF($B$9:B1988,リスト!$C$6),"")</f>
        <v/>
      </c>
    </row>
    <row r="1989" spans="2:9" x14ac:dyDescent="0.2">
      <c r="B1989" s="196"/>
      <c r="C1989" s="197"/>
      <c r="D1989" s="197"/>
      <c r="E1989" s="198" t="e">
        <f ca="1">mif(OR(C1989="",B1989=リスト!$C$7),"",B1989="","RF",OR(B1989=リスト!$C$5,B1989=リスト!$C$6),COUNTBLANK(INDEX(B:B,MATCH(I1989-1,I:I,0)+1,1):INDEX(B:B,MATCH(I1989,I:I,0)-1,1)),"")</f>
        <v>#NAME?</v>
      </c>
      <c r="F1989" s="199" t="s">
        <v>189</v>
      </c>
      <c r="G1989" s="140" t="e">
        <f ca="1">mif(C1989="","",OR(B1989=リスト!$C$5,B1989=リスト!$C$6),SUM(INDEX(G:G,MATCH(I1989-1,I:I,0)+1,1):INDEX(G:G,MATCH(I1989,I:I,0)-1,1)),D1989-C1989)</f>
        <v>#NAME?</v>
      </c>
      <c r="H1989" s="140" t="e">
        <f ca="1">mif(C1989="","",B1989=リスト!$C$5,SUMIF(INDEX(B:B,MATCH(I1989-1,I:I,0)+1,1):INDEX(B:B,MATCH(I1989,I:I,0)-1,1),リスト!$C$7,INDEX(G:G,MATCH(I1989-1,I:I,0)+1,1):INDEX(G:G,MATCH(I1989,I:I,0)-1,1)),"")</f>
        <v>#NAME?</v>
      </c>
      <c r="I1989" s="200" t="str">
        <f>IF(OR(B1989=リスト!$C$5,B1989=リスト!$C$6),COUNTIF($B$9:B1989,リスト!$C$5)+COUNTIF($B$9:B1989,リスト!$C$6),"")</f>
        <v/>
      </c>
    </row>
    <row r="1990" spans="2:9" x14ac:dyDescent="0.2">
      <c r="B1990" s="196"/>
      <c r="C1990" s="197"/>
      <c r="D1990" s="197"/>
      <c r="E1990" s="198" t="e">
        <f ca="1">mif(OR(C1990="",B1990=リスト!$C$7),"",B1990="","RF",OR(B1990=リスト!$C$5,B1990=リスト!$C$6),COUNTBLANK(INDEX(B:B,MATCH(I1990-1,I:I,0)+1,1):INDEX(B:B,MATCH(I1990,I:I,0)-1,1)),"")</f>
        <v>#NAME?</v>
      </c>
      <c r="F1990" s="199" t="s">
        <v>189</v>
      </c>
      <c r="G1990" s="140" t="e">
        <f ca="1">mif(C1990="","",OR(B1990=リスト!$C$5,B1990=リスト!$C$6),SUM(INDEX(G:G,MATCH(I1990-1,I:I,0)+1,1):INDEX(G:G,MATCH(I1990,I:I,0)-1,1)),D1990-C1990)</f>
        <v>#NAME?</v>
      </c>
      <c r="H1990" s="140" t="e">
        <f ca="1">mif(C1990="","",B1990=リスト!$C$5,SUMIF(INDEX(B:B,MATCH(I1990-1,I:I,0)+1,1):INDEX(B:B,MATCH(I1990,I:I,0)-1,1),リスト!$C$7,INDEX(G:G,MATCH(I1990-1,I:I,0)+1,1):INDEX(G:G,MATCH(I1990,I:I,0)-1,1)),"")</f>
        <v>#NAME?</v>
      </c>
      <c r="I1990" s="200" t="str">
        <f>IF(OR(B1990=リスト!$C$5,B1990=リスト!$C$6),COUNTIF($B$9:B1990,リスト!$C$5)+COUNTIF($B$9:B1990,リスト!$C$6),"")</f>
        <v/>
      </c>
    </row>
    <row r="1991" spans="2:9" x14ac:dyDescent="0.2">
      <c r="B1991" s="196"/>
      <c r="C1991" s="197"/>
      <c r="D1991" s="197"/>
      <c r="E1991" s="198" t="e">
        <f ca="1">mif(OR(C1991="",B1991=リスト!$C$7),"",B1991="","RF",OR(B1991=リスト!$C$5,B1991=リスト!$C$6),COUNTBLANK(INDEX(B:B,MATCH(I1991-1,I:I,0)+1,1):INDEX(B:B,MATCH(I1991,I:I,0)-1,1)),"")</f>
        <v>#NAME?</v>
      </c>
      <c r="F1991" s="199" t="s">
        <v>189</v>
      </c>
      <c r="G1991" s="140" t="e">
        <f ca="1">mif(C1991="","",OR(B1991=リスト!$C$5,B1991=リスト!$C$6),SUM(INDEX(G:G,MATCH(I1991-1,I:I,0)+1,1):INDEX(G:G,MATCH(I1991,I:I,0)-1,1)),D1991-C1991)</f>
        <v>#NAME?</v>
      </c>
      <c r="H1991" s="140" t="e">
        <f ca="1">mif(C1991="","",B1991=リスト!$C$5,SUMIF(INDEX(B:B,MATCH(I1991-1,I:I,0)+1,1):INDEX(B:B,MATCH(I1991,I:I,0)-1,1),リスト!$C$7,INDEX(G:G,MATCH(I1991-1,I:I,0)+1,1):INDEX(G:G,MATCH(I1991,I:I,0)-1,1)),"")</f>
        <v>#NAME?</v>
      </c>
      <c r="I1991" s="200" t="str">
        <f>IF(OR(B1991=リスト!$C$5,B1991=リスト!$C$6),COUNTIF($B$9:B1991,リスト!$C$5)+COUNTIF($B$9:B1991,リスト!$C$6),"")</f>
        <v/>
      </c>
    </row>
    <row r="1992" spans="2:9" x14ac:dyDescent="0.2">
      <c r="B1992" s="196"/>
      <c r="C1992" s="197"/>
      <c r="D1992" s="197"/>
      <c r="E1992" s="198" t="e">
        <f ca="1">mif(OR(C1992="",B1992=リスト!$C$7),"",B1992="","RF",OR(B1992=リスト!$C$5,B1992=リスト!$C$6),COUNTBLANK(INDEX(B:B,MATCH(I1992-1,I:I,0)+1,1):INDEX(B:B,MATCH(I1992,I:I,0)-1,1)),"")</f>
        <v>#NAME?</v>
      </c>
      <c r="F1992" s="199" t="s">
        <v>189</v>
      </c>
      <c r="G1992" s="140" t="e">
        <f ca="1">mif(C1992="","",OR(B1992=リスト!$C$5,B1992=リスト!$C$6),SUM(INDEX(G:G,MATCH(I1992-1,I:I,0)+1,1):INDEX(G:G,MATCH(I1992,I:I,0)-1,1)),D1992-C1992)</f>
        <v>#NAME?</v>
      </c>
      <c r="H1992" s="140" t="e">
        <f ca="1">mif(C1992="","",B1992=リスト!$C$5,SUMIF(INDEX(B:B,MATCH(I1992-1,I:I,0)+1,1):INDEX(B:B,MATCH(I1992,I:I,0)-1,1),リスト!$C$7,INDEX(G:G,MATCH(I1992-1,I:I,0)+1,1):INDEX(G:G,MATCH(I1992,I:I,0)-1,1)),"")</f>
        <v>#NAME?</v>
      </c>
      <c r="I1992" s="200" t="str">
        <f>IF(OR(B1992=リスト!$C$5,B1992=リスト!$C$6),COUNTIF($B$9:B1992,リスト!$C$5)+COUNTIF($B$9:B1992,リスト!$C$6),"")</f>
        <v/>
      </c>
    </row>
    <row r="1993" spans="2:9" x14ac:dyDescent="0.2">
      <c r="B1993" s="196"/>
      <c r="C1993" s="197"/>
      <c r="D1993" s="197"/>
      <c r="E1993" s="198" t="e">
        <f ca="1">mif(OR(C1993="",B1993=リスト!$C$7),"",B1993="","RF",OR(B1993=リスト!$C$5,B1993=リスト!$C$6),COUNTBLANK(INDEX(B:B,MATCH(I1993-1,I:I,0)+1,1):INDEX(B:B,MATCH(I1993,I:I,0)-1,1)),"")</f>
        <v>#NAME?</v>
      </c>
      <c r="F1993" s="199" t="s">
        <v>189</v>
      </c>
      <c r="G1993" s="140" t="e">
        <f ca="1">mif(C1993="","",OR(B1993=リスト!$C$5,B1993=リスト!$C$6),SUM(INDEX(G:G,MATCH(I1993-1,I:I,0)+1,1):INDEX(G:G,MATCH(I1993,I:I,0)-1,1)),D1993-C1993)</f>
        <v>#NAME?</v>
      </c>
      <c r="H1993" s="140" t="e">
        <f ca="1">mif(C1993="","",B1993=リスト!$C$5,SUMIF(INDEX(B:B,MATCH(I1993-1,I:I,0)+1,1):INDEX(B:B,MATCH(I1993,I:I,0)-1,1),リスト!$C$7,INDEX(G:G,MATCH(I1993-1,I:I,0)+1,1):INDEX(G:G,MATCH(I1993,I:I,0)-1,1)),"")</f>
        <v>#NAME?</v>
      </c>
      <c r="I1993" s="200" t="str">
        <f>IF(OR(B1993=リスト!$C$5,B1993=リスト!$C$6),COUNTIF($B$9:B1993,リスト!$C$5)+COUNTIF($B$9:B1993,リスト!$C$6),"")</f>
        <v/>
      </c>
    </row>
    <row r="1994" spans="2:9" x14ac:dyDescent="0.2">
      <c r="B1994" s="196"/>
      <c r="C1994" s="197"/>
      <c r="D1994" s="197"/>
      <c r="E1994" s="198" t="e">
        <f ca="1">mif(OR(C1994="",B1994=リスト!$C$7),"",B1994="","RF",OR(B1994=リスト!$C$5,B1994=リスト!$C$6),COUNTBLANK(INDEX(B:B,MATCH(I1994-1,I:I,0)+1,1):INDEX(B:B,MATCH(I1994,I:I,0)-1,1)),"")</f>
        <v>#NAME?</v>
      </c>
      <c r="F1994" s="199" t="s">
        <v>189</v>
      </c>
      <c r="G1994" s="140" t="e">
        <f ca="1">mif(C1994="","",OR(B1994=リスト!$C$5,B1994=リスト!$C$6),SUM(INDEX(G:G,MATCH(I1994-1,I:I,0)+1,1):INDEX(G:G,MATCH(I1994,I:I,0)-1,1)),D1994-C1994)</f>
        <v>#NAME?</v>
      </c>
      <c r="H1994" s="140" t="e">
        <f ca="1">mif(C1994="","",B1994=リスト!$C$5,SUMIF(INDEX(B:B,MATCH(I1994-1,I:I,0)+1,1):INDEX(B:B,MATCH(I1994,I:I,0)-1,1),リスト!$C$7,INDEX(G:G,MATCH(I1994-1,I:I,0)+1,1):INDEX(G:G,MATCH(I1994,I:I,0)-1,1)),"")</f>
        <v>#NAME?</v>
      </c>
      <c r="I1994" s="200" t="str">
        <f>IF(OR(B1994=リスト!$C$5,B1994=リスト!$C$6),COUNTIF($B$9:B1994,リスト!$C$5)+COUNTIF($B$9:B1994,リスト!$C$6),"")</f>
        <v/>
      </c>
    </row>
    <row r="1995" spans="2:9" x14ac:dyDescent="0.2">
      <c r="B1995" s="196"/>
      <c r="C1995" s="197"/>
      <c r="D1995" s="197"/>
      <c r="E1995" s="198" t="e">
        <f ca="1">mif(OR(C1995="",B1995=リスト!$C$7),"",B1995="","RF",OR(B1995=リスト!$C$5,B1995=リスト!$C$6),COUNTBLANK(INDEX(B:B,MATCH(I1995-1,I:I,0)+1,1):INDEX(B:B,MATCH(I1995,I:I,0)-1,1)),"")</f>
        <v>#NAME?</v>
      </c>
      <c r="F1995" s="199" t="s">
        <v>189</v>
      </c>
      <c r="G1995" s="140" t="e">
        <f ca="1">mif(C1995="","",OR(B1995=リスト!$C$5,B1995=リスト!$C$6),SUM(INDEX(G:G,MATCH(I1995-1,I:I,0)+1,1):INDEX(G:G,MATCH(I1995,I:I,0)-1,1)),D1995-C1995)</f>
        <v>#NAME?</v>
      </c>
      <c r="H1995" s="140" t="e">
        <f ca="1">mif(C1995="","",B1995=リスト!$C$5,SUMIF(INDEX(B:B,MATCH(I1995-1,I:I,0)+1,1):INDEX(B:B,MATCH(I1995,I:I,0)-1,1),リスト!$C$7,INDEX(G:G,MATCH(I1995-1,I:I,0)+1,1):INDEX(G:G,MATCH(I1995,I:I,0)-1,1)),"")</f>
        <v>#NAME?</v>
      </c>
      <c r="I1995" s="200" t="str">
        <f>IF(OR(B1995=リスト!$C$5,B1995=リスト!$C$6),COUNTIF($B$9:B1995,リスト!$C$5)+COUNTIF($B$9:B1995,リスト!$C$6),"")</f>
        <v/>
      </c>
    </row>
    <row r="1996" spans="2:9" x14ac:dyDescent="0.2">
      <c r="B1996" s="196"/>
      <c r="C1996" s="197"/>
      <c r="D1996" s="197"/>
      <c r="E1996" s="198" t="e">
        <f ca="1">mif(OR(C1996="",B1996=リスト!$C$7),"",B1996="","RF",OR(B1996=リスト!$C$5,B1996=リスト!$C$6),COUNTBLANK(INDEX(B:B,MATCH(I1996-1,I:I,0)+1,1):INDEX(B:B,MATCH(I1996,I:I,0)-1,1)),"")</f>
        <v>#NAME?</v>
      </c>
      <c r="F1996" s="199" t="s">
        <v>189</v>
      </c>
      <c r="G1996" s="140" t="e">
        <f ca="1">mif(C1996="","",OR(B1996=リスト!$C$5,B1996=リスト!$C$6),SUM(INDEX(G:G,MATCH(I1996-1,I:I,0)+1,1):INDEX(G:G,MATCH(I1996,I:I,0)-1,1)),D1996-C1996)</f>
        <v>#NAME?</v>
      </c>
      <c r="H1996" s="140" t="e">
        <f ca="1">mif(C1996="","",B1996=リスト!$C$5,SUMIF(INDEX(B:B,MATCH(I1996-1,I:I,0)+1,1):INDEX(B:B,MATCH(I1996,I:I,0)-1,1),リスト!$C$7,INDEX(G:G,MATCH(I1996-1,I:I,0)+1,1):INDEX(G:G,MATCH(I1996,I:I,0)-1,1)),"")</f>
        <v>#NAME?</v>
      </c>
      <c r="I1996" s="200" t="str">
        <f>IF(OR(B1996=リスト!$C$5,B1996=リスト!$C$6),COUNTIF($B$9:B1996,リスト!$C$5)+COUNTIF($B$9:B1996,リスト!$C$6),"")</f>
        <v/>
      </c>
    </row>
    <row r="1997" spans="2:9" x14ac:dyDescent="0.2">
      <c r="B1997" s="196"/>
      <c r="C1997" s="197"/>
      <c r="D1997" s="197"/>
      <c r="E1997" s="198" t="e">
        <f ca="1">mif(OR(C1997="",B1997=リスト!$C$7),"",B1997="","RF",OR(B1997=リスト!$C$5,B1997=リスト!$C$6),COUNTBLANK(INDEX(B:B,MATCH(I1997-1,I:I,0)+1,1):INDEX(B:B,MATCH(I1997,I:I,0)-1,1)),"")</f>
        <v>#NAME?</v>
      </c>
      <c r="F1997" s="199" t="s">
        <v>189</v>
      </c>
      <c r="G1997" s="140" t="e">
        <f ca="1">mif(C1997="","",OR(B1997=リスト!$C$5,B1997=リスト!$C$6),SUM(INDEX(G:G,MATCH(I1997-1,I:I,0)+1,1):INDEX(G:G,MATCH(I1997,I:I,0)-1,1)),D1997-C1997)</f>
        <v>#NAME?</v>
      </c>
      <c r="H1997" s="140" t="e">
        <f ca="1">mif(C1997="","",B1997=リスト!$C$5,SUMIF(INDEX(B:B,MATCH(I1997-1,I:I,0)+1,1):INDEX(B:B,MATCH(I1997,I:I,0)-1,1),リスト!$C$7,INDEX(G:G,MATCH(I1997-1,I:I,0)+1,1):INDEX(G:G,MATCH(I1997,I:I,0)-1,1)),"")</f>
        <v>#NAME?</v>
      </c>
      <c r="I1997" s="200" t="str">
        <f>IF(OR(B1997=リスト!$C$5,B1997=リスト!$C$6),COUNTIF($B$9:B1997,リスト!$C$5)+COUNTIF($B$9:B1997,リスト!$C$6),"")</f>
        <v/>
      </c>
    </row>
    <row r="1998" spans="2:9" x14ac:dyDescent="0.2">
      <c r="B1998" s="196"/>
      <c r="C1998" s="197"/>
      <c r="D1998" s="197"/>
      <c r="E1998" s="198" t="e">
        <f ca="1">mif(OR(C1998="",B1998=リスト!$C$7),"",B1998="","RF",OR(B1998=リスト!$C$5,B1998=リスト!$C$6),COUNTBLANK(INDEX(B:B,MATCH(I1998-1,I:I,0)+1,1):INDEX(B:B,MATCH(I1998,I:I,0)-1,1)),"")</f>
        <v>#NAME?</v>
      </c>
      <c r="F1998" s="199" t="s">
        <v>189</v>
      </c>
      <c r="G1998" s="140" t="e">
        <f ca="1">mif(C1998="","",OR(B1998=リスト!$C$5,B1998=リスト!$C$6),SUM(INDEX(G:G,MATCH(I1998-1,I:I,0)+1,1):INDEX(G:G,MATCH(I1998,I:I,0)-1,1)),D1998-C1998)</f>
        <v>#NAME?</v>
      </c>
      <c r="H1998" s="140" t="e">
        <f ca="1">mif(C1998="","",B1998=リスト!$C$5,SUMIF(INDEX(B:B,MATCH(I1998-1,I:I,0)+1,1):INDEX(B:B,MATCH(I1998,I:I,0)-1,1),リスト!$C$7,INDEX(G:G,MATCH(I1998-1,I:I,0)+1,1):INDEX(G:G,MATCH(I1998,I:I,0)-1,1)),"")</f>
        <v>#NAME?</v>
      </c>
      <c r="I1998" s="200" t="str">
        <f>IF(OR(B1998=リスト!$C$5,B1998=リスト!$C$6),COUNTIF($B$9:B1998,リスト!$C$5)+COUNTIF($B$9:B1998,リスト!$C$6),"")</f>
        <v/>
      </c>
    </row>
    <row r="1999" spans="2:9" x14ac:dyDescent="0.2">
      <c r="B1999" s="196"/>
      <c r="C1999" s="197"/>
      <c r="D1999" s="197"/>
      <c r="E1999" s="198" t="e">
        <f ca="1">mif(OR(C1999="",B1999=リスト!$C$7),"",B1999="","RF",OR(B1999=リスト!$C$5,B1999=リスト!$C$6),COUNTBLANK(INDEX(B:B,MATCH(I1999-1,I:I,0)+1,1):INDEX(B:B,MATCH(I1999,I:I,0)-1,1)),"")</f>
        <v>#NAME?</v>
      </c>
      <c r="F1999" s="199" t="s">
        <v>189</v>
      </c>
      <c r="G1999" s="140" t="e">
        <f ca="1">mif(C1999="","",OR(B1999=リスト!$C$5,B1999=リスト!$C$6),SUM(INDEX(G:G,MATCH(I1999-1,I:I,0)+1,1):INDEX(G:G,MATCH(I1999,I:I,0)-1,1)),D1999-C1999)</f>
        <v>#NAME?</v>
      </c>
      <c r="H1999" s="140" t="e">
        <f ca="1">mif(C1999="","",B1999=リスト!$C$5,SUMIF(INDEX(B:B,MATCH(I1999-1,I:I,0)+1,1):INDEX(B:B,MATCH(I1999,I:I,0)-1,1),リスト!$C$7,INDEX(G:G,MATCH(I1999-1,I:I,0)+1,1):INDEX(G:G,MATCH(I1999,I:I,0)-1,1)),"")</f>
        <v>#NAME?</v>
      </c>
      <c r="I1999" s="200" t="str">
        <f>IF(OR(B1999=リスト!$C$5,B1999=リスト!$C$6),COUNTIF($B$9:B1999,リスト!$C$5)+COUNTIF($B$9:B1999,リスト!$C$6),"")</f>
        <v/>
      </c>
    </row>
    <row r="2000" spans="2:9" x14ac:dyDescent="0.2">
      <c r="B2000" s="196"/>
      <c r="C2000" s="197"/>
      <c r="D2000" s="197"/>
      <c r="E2000" s="198" t="e">
        <f ca="1">mif(OR(C2000="",B2000=リスト!$C$7),"",B2000="","RF",OR(B2000=リスト!$C$5,B2000=リスト!$C$6),COUNTBLANK(INDEX(B:B,MATCH(I2000-1,I:I,0)+1,1):INDEX(B:B,MATCH(I2000,I:I,0)-1,1)),"")</f>
        <v>#NAME?</v>
      </c>
      <c r="F2000" s="199" t="s">
        <v>189</v>
      </c>
      <c r="G2000" s="140" t="e">
        <f ca="1">mif(C2000="","",OR(B2000=リスト!$C$5,B2000=リスト!$C$6),SUM(INDEX(G:G,MATCH(I2000-1,I:I,0)+1,1):INDEX(G:G,MATCH(I2000,I:I,0)-1,1)),D2000-C2000)</f>
        <v>#NAME?</v>
      </c>
      <c r="H2000" s="140" t="e">
        <f ca="1">mif(C2000="","",B2000=リスト!$C$5,SUMIF(INDEX(B:B,MATCH(I2000-1,I:I,0)+1,1):INDEX(B:B,MATCH(I2000,I:I,0)-1,1),リスト!$C$7,INDEX(G:G,MATCH(I2000-1,I:I,0)+1,1):INDEX(G:G,MATCH(I2000,I:I,0)-1,1)),"")</f>
        <v>#NAME?</v>
      </c>
      <c r="I2000" s="200" t="str">
        <f>IF(OR(B2000=リスト!$C$5,B2000=リスト!$C$6),COUNTIF($B$9:B2000,リスト!$C$5)+COUNTIF($B$9:B2000,リスト!$C$6),"")</f>
        <v/>
      </c>
    </row>
    <row r="2001" spans="2:9" x14ac:dyDescent="0.2">
      <c r="B2001" s="196"/>
      <c r="C2001" s="197"/>
      <c r="D2001" s="197"/>
      <c r="E2001" s="198" t="e">
        <f ca="1">mif(OR(C2001="",B2001=リスト!$C$7),"",B2001="","RF",OR(B2001=リスト!$C$5,B2001=リスト!$C$6),COUNTBLANK(INDEX(B:B,MATCH(I2001-1,I:I,0)+1,1):INDEX(B:B,MATCH(I2001,I:I,0)-1,1)),"")</f>
        <v>#NAME?</v>
      </c>
      <c r="F2001" s="199" t="s">
        <v>189</v>
      </c>
      <c r="G2001" s="140" t="e">
        <f ca="1">mif(C2001="","",OR(B2001=リスト!$C$5,B2001=リスト!$C$6),SUM(INDEX(G:G,MATCH(I2001-1,I:I,0)+1,1):INDEX(G:G,MATCH(I2001,I:I,0)-1,1)),D2001-C2001)</f>
        <v>#NAME?</v>
      </c>
      <c r="H2001" s="140" t="e">
        <f ca="1">mif(C2001="","",B2001=リスト!$C$5,SUMIF(INDEX(B:B,MATCH(I2001-1,I:I,0)+1,1):INDEX(B:B,MATCH(I2001,I:I,0)-1,1),リスト!$C$7,INDEX(G:G,MATCH(I2001-1,I:I,0)+1,1):INDEX(G:G,MATCH(I2001,I:I,0)-1,1)),"")</f>
        <v>#NAME?</v>
      </c>
      <c r="I2001" s="200" t="str">
        <f>IF(OR(B2001=リスト!$C$5,B2001=リスト!$C$6),COUNTIF($B$9:B2001,リスト!$C$5)+COUNTIF($B$9:B2001,リスト!$C$6),"")</f>
        <v/>
      </c>
    </row>
    <row r="2002" spans="2:9" x14ac:dyDescent="0.2">
      <c r="B2002" s="196"/>
      <c r="C2002" s="197"/>
      <c r="D2002" s="197"/>
      <c r="E2002" s="198" t="e">
        <f ca="1">mif(OR(C2002="",B2002=リスト!$C$7),"",B2002="","RF",OR(B2002=リスト!$C$5,B2002=リスト!$C$6),COUNTBLANK(INDEX(B:B,MATCH(I2002-1,I:I,0)+1,1):INDEX(B:B,MATCH(I2002,I:I,0)-1,1)),"")</f>
        <v>#NAME?</v>
      </c>
      <c r="F2002" s="199" t="s">
        <v>189</v>
      </c>
      <c r="G2002" s="140" t="e">
        <f ca="1">mif(C2002="","",OR(B2002=リスト!$C$5,B2002=リスト!$C$6),SUM(INDEX(G:G,MATCH(I2002-1,I:I,0)+1,1):INDEX(G:G,MATCH(I2002,I:I,0)-1,1)),D2002-C2002)</f>
        <v>#NAME?</v>
      </c>
      <c r="H2002" s="140" t="e">
        <f ca="1">mif(C2002="","",B2002=リスト!$C$5,SUMIF(INDEX(B:B,MATCH(I2002-1,I:I,0)+1,1):INDEX(B:B,MATCH(I2002,I:I,0)-1,1),リスト!$C$7,INDEX(G:G,MATCH(I2002-1,I:I,0)+1,1):INDEX(G:G,MATCH(I2002,I:I,0)-1,1)),"")</f>
        <v>#NAME?</v>
      </c>
      <c r="I2002" s="200" t="str">
        <f>IF(OR(B2002=リスト!$C$5,B2002=リスト!$C$6),COUNTIF($B$9:B2002,リスト!$C$5)+COUNTIF($B$9:B2002,リスト!$C$6),"")</f>
        <v/>
      </c>
    </row>
    <row r="2003" spans="2:9" x14ac:dyDescent="0.2">
      <c r="B2003" s="196"/>
      <c r="C2003" s="197"/>
      <c r="D2003" s="197"/>
      <c r="E2003" s="198" t="e">
        <f ca="1">mif(OR(C2003="",B2003=リスト!$C$7),"",B2003="","RF",OR(B2003=リスト!$C$5,B2003=リスト!$C$6),COUNTBLANK(INDEX(B:B,MATCH(I2003-1,I:I,0)+1,1):INDEX(B:B,MATCH(I2003,I:I,0)-1,1)),"")</f>
        <v>#NAME?</v>
      </c>
      <c r="F2003" s="199" t="s">
        <v>189</v>
      </c>
      <c r="G2003" s="140" t="e">
        <f ca="1">mif(C2003="","",OR(B2003=リスト!$C$5,B2003=リスト!$C$6),SUM(INDEX(G:G,MATCH(I2003-1,I:I,0)+1,1):INDEX(G:G,MATCH(I2003,I:I,0)-1,1)),D2003-C2003)</f>
        <v>#NAME?</v>
      </c>
      <c r="H2003" s="140" t="e">
        <f ca="1">mif(C2003="","",B2003=リスト!$C$5,SUMIF(INDEX(B:B,MATCH(I2003-1,I:I,0)+1,1):INDEX(B:B,MATCH(I2003,I:I,0)-1,1),リスト!$C$7,INDEX(G:G,MATCH(I2003-1,I:I,0)+1,1):INDEX(G:G,MATCH(I2003,I:I,0)-1,1)),"")</f>
        <v>#NAME?</v>
      </c>
      <c r="I2003" s="200" t="str">
        <f>IF(OR(B2003=リスト!$C$5,B2003=リスト!$C$6),COUNTIF($B$9:B2003,リスト!$C$5)+COUNTIF($B$9:B2003,リスト!$C$6),"")</f>
        <v/>
      </c>
    </row>
    <row r="2004" spans="2:9" x14ac:dyDescent="0.2">
      <c r="B2004" s="196"/>
      <c r="C2004" s="197"/>
      <c r="D2004" s="197"/>
      <c r="E2004" s="198" t="e">
        <f ca="1">mif(OR(C2004="",B2004=リスト!$C$7),"",B2004="","RF",OR(B2004=リスト!$C$5,B2004=リスト!$C$6),COUNTBLANK(INDEX(B:B,MATCH(I2004-1,I:I,0)+1,1):INDEX(B:B,MATCH(I2004,I:I,0)-1,1)),"")</f>
        <v>#NAME?</v>
      </c>
      <c r="F2004" s="199" t="s">
        <v>189</v>
      </c>
      <c r="G2004" s="140" t="e">
        <f ca="1">mif(C2004="","",OR(B2004=リスト!$C$5,B2004=リスト!$C$6),SUM(INDEX(G:G,MATCH(I2004-1,I:I,0)+1,1):INDEX(G:G,MATCH(I2004,I:I,0)-1,1)),D2004-C2004)</f>
        <v>#NAME?</v>
      </c>
      <c r="H2004" s="140" t="e">
        <f ca="1">mif(C2004="","",B2004=リスト!$C$5,SUMIF(INDEX(B:B,MATCH(I2004-1,I:I,0)+1,1):INDEX(B:B,MATCH(I2004,I:I,0)-1,1),リスト!$C$7,INDEX(G:G,MATCH(I2004-1,I:I,0)+1,1):INDEX(G:G,MATCH(I2004,I:I,0)-1,1)),"")</f>
        <v>#NAME?</v>
      </c>
      <c r="I2004" s="200" t="str">
        <f>IF(OR(B2004=リスト!$C$5,B2004=リスト!$C$6),COUNTIF($B$9:B2004,リスト!$C$5)+COUNTIF($B$9:B2004,リスト!$C$6),"")</f>
        <v/>
      </c>
    </row>
    <row r="2005" spans="2:9" x14ac:dyDescent="0.2">
      <c r="B2005" s="196"/>
      <c r="C2005" s="197"/>
      <c r="D2005" s="197"/>
      <c r="E2005" s="198" t="e">
        <f ca="1">mif(OR(C2005="",B2005=リスト!$C$7),"",B2005="","RF",OR(B2005=リスト!$C$5,B2005=リスト!$C$6),COUNTBLANK(INDEX(B:B,MATCH(I2005-1,I:I,0)+1,1):INDEX(B:B,MATCH(I2005,I:I,0)-1,1)),"")</f>
        <v>#NAME?</v>
      </c>
      <c r="F2005" s="199" t="s">
        <v>189</v>
      </c>
      <c r="G2005" s="140" t="e">
        <f ca="1">mif(C2005="","",OR(B2005=リスト!$C$5,B2005=リスト!$C$6),SUM(INDEX(G:G,MATCH(I2005-1,I:I,0)+1,1):INDEX(G:G,MATCH(I2005,I:I,0)-1,1)),D2005-C2005)</f>
        <v>#NAME?</v>
      </c>
      <c r="H2005" s="140" t="e">
        <f ca="1">mif(C2005="","",B2005=リスト!$C$5,SUMIF(INDEX(B:B,MATCH(I2005-1,I:I,0)+1,1):INDEX(B:B,MATCH(I2005,I:I,0)-1,1),リスト!$C$7,INDEX(G:G,MATCH(I2005-1,I:I,0)+1,1):INDEX(G:G,MATCH(I2005,I:I,0)-1,1)),"")</f>
        <v>#NAME?</v>
      </c>
      <c r="I2005" s="200" t="str">
        <f>IF(OR(B2005=リスト!$C$5,B2005=リスト!$C$6),COUNTIF($B$9:B2005,リスト!$C$5)+COUNTIF($B$9:B2005,リスト!$C$6),"")</f>
        <v/>
      </c>
    </row>
    <row r="2006" spans="2:9" x14ac:dyDescent="0.2">
      <c r="B2006" s="196"/>
      <c r="C2006" s="197"/>
      <c r="D2006" s="197"/>
      <c r="E2006" s="198" t="e">
        <f ca="1">mif(OR(C2006="",B2006=リスト!$C$7),"",B2006="","RF",OR(B2006=リスト!$C$5,B2006=リスト!$C$6),COUNTBLANK(INDEX(B:B,MATCH(I2006-1,I:I,0)+1,1):INDEX(B:B,MATCH(I2006,I:I,0)-1,1)),"")</f>
        <v>#NAME?</v>
      </c>
      <c r="F2006" s="199" t="s">
        <v>189</v>
      </c>
      <c r="G2006" s="140" t="e">
        <f ca="1">mif(C2006="","",OR(B2006=リスト!$C$5,B2006=リスト!$C$6),SUM(INDEX(G:G,MATCH(I2006-1,I:I,0)+1,1):INDEX(G:G,MATCH(I2006,I:I,0)-1,1)),D2006-C2006)</f>
        <v>#NAME?</v>
      </c>
      <c r="H2006" s="140" t="e">
        <f ca="1">mif(C2006="","",B2006=リスト!$C$5,SUMIF(INDEX(B:B,MATCH(I2006-1,I:I,0)+1,1):INDEX(B:B,MATCH(I2006,I:I,0)-1,1),リスト!$C$7,INDEX(G:G,MATCH(I2006-1,I:I,0)+1,1):INDEX(G:G,MATCH(I2006,I:I,0)-1,1)),"")</f>
        <v>#NAME?</v>
      </c>
      <c r="I2006" s="200" t="str">
        <f>IF(OR(B2006=リスト!$C$5,B2006=リスト!$C$6),COUNTIF($B$9:B2006,リスト!$C$5)+COUNTIF($B$9:B2006,リスト!$C$6),"")</f>
        <v/>
      </c>
    </row>
    <row r="2007" spans="2:9" x14ac:dyDescent="0.2">
      <c r="B2007" s="196"/>
      <c r="C2007" s="197"/>
      <c r="D2007" s="197"/>
      <c r="E2007" s="198" t="e">
        <f ca="1">mif(OR(C2007="",B2007=リスト!$C$7),"",B2007="","RF",OR(B2007=リスト!$C$5,B2007=リスト!$C$6),COUNTBLANK(INDEX(B:B,MATCH(I2007-1,I:I,0)+1,1):INDEX(B:B,MATCH(I2007,I:I,0)-1,1)),"")</f>
        <v>#NAME?</v>
      </c>
      <c r="F2007" s="199" t="s">
        <v>189</v>
      </c>
      <c r="G2007" s="140" t="e">
        <f ca="1">mif(C2007="","",OR(B2007=リスト!$C$5,B2007=リスト!$C$6),SUM(INDEX(G:G,MATCH(I2007-1,I:I,0)+1,1):INDEX(G:G,MATCH(I2007,I:I,0)-1,1)),D2007-C2007)</f>
        <v>#NAME?</v>
      </c>
      <c r="H2007" s="140" t="e">
        <f ca="1">mif(C2007="","",B2007=リスト!$C$5,SUMIF(INDEX(B:B,MATCH(I2007-1,I:I,0)+1,1):INDEX(B:B,MATCH(I2007,I:I,0)-1,1),リスト!$C$7,INDEX(G:G,MATCH(I2007-1,I:I,0)+1,1):INDEX(G:G,MATCH(I2007,I:I,0)-1,1)),"")</f>
        <v>#NAME?</v>
      </c>
      <c r="I2007" s="200" t="str">
        <f>IF(OR(B2007=リスト!$C$5,B2007=リスト!$C$6),COUNTIF($B$9:B2007,リスト!$C$5)+COUNTIF($B$9:B2007,リスト!$C$6),"")</f>
        <v/>
      </c>
    </row>
    <row r="2008" spans="2:9" x14ac:dyDescent="0.2">
      <c r="B2008" s="196"/>
      <c r="C2008" s="197"/>
      <c r="D2008" s="197"/>
      <c r="E2008" s="198" t="e">
        <f ca="1">mif(OR(C2008="",B2008=リスト!$C$7),"",B2008="","RF",OR(B2008=リスト!$C$5,B2008=リスト!$C$6),COUNTBLANK(INDEX(B:B,MATCH(I2008-1,I:I,0)+1,1):INDEX(B:B,MATCH(I2008,I:I,0)-1,1)),"")</f>
        <v>#NAME?</v>
      </c>
      <c r="F2008" s="199" t="s">
        <v>189</v>
      </c>
      <c r="G2008" s="140" t="e">
        <f ca="1">mif(C2008="","",OR(B2008=リスト!$C$5,B2008=リスト!$C$6),SUM(INDEX(G:G,MATCH(I2008-1,I:I,0)+1,1):INDEX(G:G,MATCH(I2008,I:I,0)-1,1)),D2008-C2008)</f>
        <v>#NAME?</v>
      </c>
      <c r="H2008" s="140" t="e">
        <f ca="1">mif(C2008="","",B2008=リスト!$C$5,SUMIF(INDEX(B:B,MATCH(I2008-1,I:I,0)+1,1):INDEX(B:B,MATCH(I2008,I:I,0)-1,1),リスト!$C$7,INDEX(G:G,MATCH(I2008-1,I:I,0)+1,1):INDEX(G:G,MATCH(I2008,I:I,0)-1,1)),"")</f>
        <v>#NAME?</v>
      </c>
      <c r="I2008" s="200" t="str">
        <f>IF(OR(B2008=リスト!$C$5,B2008=リスト!$C$6),COUNTIF($B$9:B2008,リスト!$C$5)+COUNTIF($B$9:B2008,リスト!$C$6),"")</f>
        <v/>
      </c>
    </row>
    <row r="2009" spans="2:9" x14ac:dyDescent="0.2">
      <c r="B2009" s="196"/>
      <c r="C2009" s="197"/>
      <c r="D2009" s="197"/>
      <c r="E2009" s="198" t="e">
        <f ca="1">mif(OR(C2009="",B2009=リスト!$C$7),"",B2009="","RF",OR(B2009=リスト!$C$5,B2009=リスト!$C$6),COUNTBLANK(INDEX(B:B,MATCH(I2009-1,I:I,0)+1,1):INDEX(B:B,MATCH(I2009,I:I,0)-1,1)),"")</f>
        <v>#NAME?</v>
      </c>
      <c r="F2009" s="199" t="s">
        <v>189</v>
      </c>
      <c r="G2009" s="140" t="e">
        <f ca="1">mif(C2009="","",OR(B2009=リスト!$C$5,B2009=リスト!$C$6),SUM(INDEX(G:G,MATCH(I2009-1,I:I,0)+1,1):INDEX(G:G,MATCH(I2009,I:I,0)-1,1)),D2009-C2009)</f>
        <v>#NAME?</v>
      </c>
      <c r="H2009" s="140" t="e">
        <f ca="1">mif(C2009="","",B2009=リスト!$C$5,SUMIF(INDEX(B:B,MATCH(I2009-1,I:I,0)+1,1):INDEX(B:B,MATCH(I2009,I:I,0)-1,1),リスト!$C$7,INDEX(G:G,MATCH(I2009-1,I:I,0)+1,1):INDEX(G:G,MATCH(I2009,I:I,0)-1,1)),"")</f>
        <v>#NAME?</v>
      </c>
      <c r="I2009" s="200" t="str">
        <f>IF(OR(B2009=リスト!$C$5,B2009=リスト!$C$6),COUNTIF($B$9:B2009,リスト!$C$5)+COUNTIF($B$9:B2009,リスト!$C$6),"")</f>
        <v/>
      </c>
    </row>
    <row r="2010" spans="2:9" x14ac:dyDescent="0.2">
      <c r="B2010" s="196"/>
      <c r="C2010" s="197"/>
      <c r="D2010" s="197"/>
      <c r="E2010" s="198" t="e">
        <f ca="1">mif(OR(C2010="",B2010=リスト!$C$7),"",B2010="","RF",OR(B2010=リスト!$C$5,B2010=リスト!$C$6),COUNTBLANK(INDEX(B:B,MATCH(I2010-1,I:I,0)+1,1):INDEX(B:B,MATCH(I2010,I:I,0)-1,1)),"")</f>
        <v>#NAME?</v>
      </c>
      <c r="F2010" s="199" t="s">
        <v>189</v>
      </c>
      <c r="G2010" s="140" t="e">
        <f ca="1">mif(C2010="","",OR(B2010=リスト!$C$5,B2010=リスト!$C$6),SUM(INDEX(G:G,MATCH(I2010-1,I:I,0)+1,1):INDEX(G:G,MATCH(I2010,I:I,0)-1,1)),D2010-C2010)</f>
        <v>#NAME?</v>
      </c>
      <c r="H2010" s="140" t="e">
        <f ca="1">mif(C2010="","",B2010=リスト!$C$5,SUMIF(INDEX(B:B,MATCH(I2010-1,I:I,0)+1,1):INDEX(B:B,MATCH(I2010,I:I,0)-1,1),リスト!$C$7,INDEX(G:G,MATCH(I2010-1,I:I,0)+1,1):INDEX(G:G,MATCH(I2010,I:I,0)-1,1)),"")</f>
        <v>#NAME?</v>
      </c>
      <c r="I2010" s="200" t="str">
        <f>IF(OR(B2010=リスト!$C$5,B2010=リスト!$C$6),COUNTIF($B$9:B2010,リスト!$C$5)+COUNTIF($B$9:B2010,リスト!$C$6),"")</f>
        <v/>
      </c>
    </row>
    <row r="2011" spans="2:9" x14ac:dyDescent="0.2">
      <c r="B2011" s="196"/>
      <c r="C2011" s="197"/>
      <c r="D2011" s="197"/>
      <c r="E2011" s="198" t="e">
        <f ca="1">mif(OR(C2011="",B2011=リスト!$C$7),"",B2011="","RF",OR(B2011=リスト!$C$5,B2011=リスト!$C$6),COUNTBLANK(INDEX(B:B,MATCH(I2011-1,I:I,0)+1,1):INDEX(B:B,MATCH(I2011,I:I,0)-1,1)),"")</f>
        <v>#NAME?</v>
      </c>
      <c r="F2011" s="199" t="s">
        <v>189</v>
      </c>
      <c r="G2011" s="140" t="e">
        <f ca="1">mif(C2011="","",OR(B2011=リスト!$C$5,B2011=リスト!$C$6),SUM(INDEX(G:G,MATCH(I2011-1,I:I,0)+1,1):INDEX(G:G,MATCH(I2011,I:I,0)-1,1)),D2011-C2011)</f>
        <v>#NAME?</v>
      </c>
      <c r="H2011" s="140" t="e">
        <f ca="1">mif(C2011="","",B2011=リスト!$C$5,SUMIF(INDEX(B:B,MATCH(I2011-1,I:I,0)+1,1):INDEX(B:B,MATCH(I2011,I:I,0)-1,1),リスト!$C$7,INDEX(G:G,MATCH(I2011-1,I:I,0)+1,1):INDEX(G:G,MATCH(I2011,I:I,0)-1,1)),"")</f>
        <v>#NAME?</v>
      </c>
      <c r="I2011" s="200" t="str">
        <f>IF(OR(B2011=リスト!$C$5,B2011=リスト!$C$6),COUNTIF($B$9:B2011,リスト!$C$5)+COUNTIF($B$9:B2011,リスト!$C$6),"")</f>
        <v/>
      </c>
    </row>
    <row r="2012" spans="2:9" x14ac:dyDescent="0.2">
      <c r="B2012" s="196"/>
      <c r="C2012" s="197"/>
      <c r="D2012" s="197"/>
      <c r="E2012" s="198" t="e">
        <f ca="1">mif(OR(C2012="",B2012=リスト!$C$7),"",B2012="","RF",OR(B2012=リスト!$C$5,B2012=リスト!$C$6),COUNTBLANK(INDEX(B:B,MATCH(I2012-1,I:I,0)+1,1):INDEX(B:B,MATCH(I2012,I:I,0)-1,1)),"")</f>
        <v>#NAME?</v>
      </c>
      <c r="F2012" s="199" t="s">
        <v>189</v>
      </c>
      <c r="G2012" s="140" t="e">
        <f ca="1">mif(C2012="","",OR(B2012=リスト!$C$5,B2012=リスト!$C$6),SUM(INDEX(G:G,MATCH(I2012-1,I:I,0)+1,1):INDEX(G:G,MATCH(I2012,I:I,0)-1,1)),D2012-C2012)</f>
        <v>#NAME?</v>
      </c>
      <c r="H2012" s="140" t="e">
        <f ca="1">mif(C2012="","",B2012=リスト!$C$5,SUMIF(INDEX(B:B,MATCH(I2012-1,I:I,0)+1,1):INDEX(B:B,MATCH(I2012,I:I,0)-1,1),リスト!$C$7,INDEX(G:G,MATCH(I2012-1,I:I,0)+1,1):INDEX(G:G,MATCH(I2012,I:I,0)-1,1)),"")</f>
        <v>#NAME?</v>
      </c>
      <c r="I2012" s="200" t="str">
        <f>IF(OR(B2012=リスト!$C$5,B2012=リスト!$C$6),COUNTIF($B$9:B2012,リスト!$C$5)+COUNTIF($B$9:B2012,リスト!$C$6),"")</f>
        <v/>
      </c>
    </row>
    <row r="2013" spans="2:9" x14ac:dyDescent="0.2">
      <c r="B2013" s="196"/>
      <c r="C2013" s="197"/>
      <c r="D2013" s="197"/>
      <c r="E2013" s="198" t="e">
        <f ca="1">mif(OR(C2013="",B2013=リスト!$C$7),"",B2013="","RF",OR(B2013=リスト!$C$5,B2013=リスト!$C$6),COUNTBLANK(INDEX(B:B,MATCH(I2013-1,I:I,0)+1,1):INDEX(B:B,MATCH(I2013,I:I,0)-1,1)),"")</f>
        <v>#NAME?</v>
      </c>
      <c r="F2013" s="199" t="s">
        <v>189</v>
      </c>
      <c r="G2013" s="140" t="e">
        <f ca="1">mif(C2013="","",OR(B2013=リスト!$C$5,B2013=リスト!$C$6),SUM(INDEX(G:G,MATCH(I2013-1,I:I,0)+1,1):INDEX(G:G,MATCH(I2013,I:I,0)-1,1)),D2013-C2013)</f>
        <v>#NAME?</v>
      </c>
      <c r="H2013" s="140" t="e">
        <f ca="1">mif(C2013="","",B2013=リスト!$C$5,SUMIF(INDEX(B:B,MATCH(I2013-1,I:I,0)+1,1):INDEX(B:B,MATCH(I2013,I:I,0)-1,1),リスト!$C$7,INDEX(G:G,MATCH(I2013-1,I:I,0)+1,1):INDEX(G:G,MATCH(I2013,I:I,0)-1,1)),"")</f>
        <v>#NAME?</v>
      </c>
      <c r="I2013" s="200" t="str">
        <f>IF(OR(B2013=リスト!$C$5,B2013=リスト!$C$6),COUNTIF($B$9:B2013,リスト!$C$5)+COUNTIF($B$9:B2013,リスト!$C$6),"")</f>
        <v/>
      </c>
    </row>
    <row r="2014" spans="2:9" x14ac:dyDescent="0.2">
      <c r="B2014" s="196"/>
      <c r="C2014" s="197"/>
      <c r="D2014" s="197"/>
      <c r="E2014" s="198" t="e">
        <f ca="1">mif(OR(C2014="",B2014=リスト!$C$7),"",B2014="","RF",OR(B2014=リスト!$C$5,B2014=リスト!$C$6),COUNTBLANK(INDEX(B:B,MATCH(I2014-1,I:I,0)+1,1):INDEX(B:B,MATCH(I2014,I:I,0)-1,1)),"")</f>
        <v>#NAME?</v>
      </c>
      <c r="F2014" s="199" t="s">
        <v>189</v>
      </c>
      <c r="G2014" s="140" t="e">
        <f ca="1">mif(C2014="","",OR(B2014=リスト!$C$5,B2014=リスト!$C$6),SUM(INDEX(G:G,MATCH(I2014-1,I:I,0)+1,1):INDEX(G:G,MATCH(I2014,I:I,0)-1,1)),D2014-C2014)</f>
        <v>#NAME?</v>
      </c>
      <c r="H2014" s="140" t="e">
        <f ca="1">mif(C2014="","",B2014=リスト!$C$5,SUMIF(INDEX(B:B,MATCH(I2014-1,I:I,0)+1,1):INDEX(B:B,MATCH(I2014,I:I,0)-1,1),リスト!$C$7,INDEX(G:G,MATCH(I2014-1,I:I,0)+1,1):INDEX(G:G,MATCH(I2014,I:I,0)-1,1)),"")</f>
        <v>#NAME?</v>
      </c>
      <c r="I2014" s="200" t="str">
        <f>IF(OR(B2014=リスト!$C$5,B2014=リスト!$C$6),COUNTIF($B$9:B2014,リスト!$C$5)+COUNTIF($B$9:B2014,リスト!$C$6),"")</f>
        <v/>
      </c>
    </row>
    <row r="2015" spans="2:9" x14ac:dyDescent="0.2">
      <c r="B2015" s="196"/>
      <c r="C2015" s="197"/>
      <c r="D2015" s="197"/>
      <c r="E2015" s="198" t="e">
        <f ca="1">mif(OR(C2015="",B2015=リスト!$C$7),"",B2015="","RF",OR(B2015=リスト!$C$5,B2015=リスト!$C$6),COUNTBLANK(INDEX(B:B,MATCH(I2015-1,I:I,0)+1,1):INDEX(B:B,MATCH(I2015,I:I,0)-1,1)),"")</f>
        <v>#NAME?</v>
      </c>
      <c r="F2015" s="199" t="s">
        <v>189</v>
      </c>
      <c r="G2015" s="140" t="e">
        <f ca="1">mif(C2015="","",OR(B2015=リスト!$C$5,B2015=リスト!$C$6),SUM(INDEX(G:G,MATCH(I2015-1,I:I,0)+1,1):INDEX(G:G,MATCH(I2015,I:I,0)-1,1)),D2015-C2015)</f>
        <v>#NAME?</v>
      </c>
      <c r="H2015" s="140" t="e">
        <f ca="1">mif(C2015="","",B2015=リスト!$C$5,SUMIF(INDEX(B:B,MATCH(I2015-1,I:I,0)+1,1):INDEX(B:B,MATCH(I2015,I:I,0)-1,1),リスト!$C$7,INDEX(G:G,MATCH(I2015-1,I:I,0)+1,1):INDEX(G:G,MATCH(I2015,I:I,0)-1,1)),"")</f>
        <v>#NAME?</v>
      </c>
      <c r="I2015" s="200" t="str">
        <f>IF(OR(B2015=リスト!$C$5,B2015=リスト!$C$6),COUNTIF($B$9:B2015,リスト!$C$5)+COUNTIF($B$9:B2015,リスト!$C$6),"")</f>
        <v/>
      </c>
    </row>
    <row r="2016" spans="2:9" x14ac:dyDescent="0.2">
      <c r="B2016" s="196"/>
      <c r="C2016" s="197"/>
      <c r="D2016" s="197"/>
      <c r="E2016" s="198" t="e">
        <f ca="1">mif(OR(C2016="",B2016=リスト!$C$7),"",B2016="","RF",OR(B2016=リスト!$C$5,B2016=リスト!$C$6),COUNTBLANK(INDEX(B:B,MATCH(I2016-1,I:I,0)+1,1):INDEX(B:B,MATCH(I2016,I:I,0)-1,1)),"")</f>
        <v>#NAME?</v>
      </c>
      <c r="F2016" s="199" t="s">
        <v>189</v>
      </c>
      <c r="G2016" s="140" t="e">
        <f ca="1">mif(C2016="","",OR(B2016=リスト!$C$5,B2016=リスト!$C$6),SUM(INDEX(G:G,MATCH(I2016-1,I:I,0)+1,1):INDEX(G:G,MATCH(I2016,I:I,0)-1,1)),D2016-C2016)</f>
        <v>#NAME?</v>
      </c>
      <c r="H2016" s="140" t="e">
        <f ca="1">mif(C2016="","",B2016=リスト!$C$5,SUMIF(INDEX(B:B,MATCH(I2016-1,I:I,0)+1,1):INDEX(B:B,MATCH(I2016,I:I,0)-1,1),リスト!$C$7,INDEX(G:G,MATCH(I2016-1,I:I,0)+1,1):INDEX(G:G,MATCH(I2016,I:I,0)-1,1)),"")</f>
        <v>#NAME?</v>
      </c>
      <c r="I2016" s="200" t="str">
        <f>IF(OR(B2016=リスト!$C$5,B2016=リスト!$C$6),COUNTIF($B$9:B2016,リスト!$C$5)+COUNTIF($B$9:B2016,リスト!$C$6),"")</f>
        <v/>
      </c>
    </row>
    <row r="2017" spans="2:9" x14ac:dyDescent="0.2">
      <c r="B2017" s="196"/>
      <c r="C2017" s="197"/>
      <c r="D2017" s="197"/>
      <c r="E2017" s="198" t="e">
        <f ca="1">mif(OR(C2017="",B2017=リスト!$C$7),"",B2017="","RF",OR(B2017=リスト!$C$5,B2017=リスト!$C$6),COUNTBLANK(INDEX(B:B,MATCH(I2017-1,I:I,0)+1,1):INDEX(B:B,MATCH(I2017,I:I,0)-1,1)),"")</f>
        <v>#NAME?</v>
      </c>
      <c r="F2017" s="199" t="s">
        <v>189</v>
      </c>
      <c r="G2017" s="140" t="e">
        <f ca="1">mif(C2017="","",OR(B2017=リスト!$C$5,B2017=リスト!$C$6),SUM(INDEX(G:G,MATCH(I2017-1,I:I,0)+1,1):INDEX(G:G,MATCH(I2017,I:I,0)-1,1)),D2017-C2017)</f>
        <v>#NAME?</v>
      </c>
      <c r="H2017" s="140" t="e">
        <f ca="1">mif(C2017="","",B2017=リスト!$C$5,SUMIF(INDEX(B:B,MATCH(I2017-1,I:I,0)+1,1):INDEX(B:B,MATCH(I2017,I:I,0)-1,1),リスト!$C$7,INDEX(G:G,MATCH(I2017-1,I:I,0)+1,1):INDEX(G:G,MATCH(I2017,I:I,0)-1,1)),"")</f>
        <v>#NAME?</v>
      </c>
      <c r="I2017" s="200" t="str">
        <f>IF(OR(B2017=リスト!$C$5,B2017=リスト!$C$6),COUNTIF($B$9:B2017,リスト!$C$5)+COUNTIF($B$9:B2017,リスト!$C$6),"")</f>
        <v/>
      </c>
    </row>
    <row r="2018" spans="2:9" x14ac:dyDescent="0.2">
      <c r="B2018" s="196"/>
      <c r="C2018" s="197"/>
      <c r="D2018" s="197"/>
      <c r="E2018" s="198" t="e">
        <f ca="1">mif(OR(C2018="",B2018=リスト!$C$7),"",B2018="","RF",OR(B2018=リスト!$C$5,B2018=リスト!$C$6),COUNTBLANK(INDEX(B:B,MATCH(I2018-1,I:I,0)+1,1):INDEX(B:B,MATCH(I2018,I:I,0)-1,1)),"")</f>
        <v>#NAME?</v>
      </c>
      <c r="F2018" s="199" t="s">
        <v>189</v>
      </c>
      <c r="G2018" s="140" t="e">
        <f ca="1">mif(C2018="","",OR(B2018=リスト!$C$5,B2018=リスト!$C$6),SUM(INDEX(G:G,MATCH(I2018-1,I:I,0)+1,1):INDEX(G:G,MATCH(I2018,I:I,0)-1,1)),D2018-C2018)</f>
        <v>#NAME?</v>
      </c>
      <c r="H2018" s="140" t="e">
        <f ca="1">mif(C2018="","",B2018=リスト!$C$5,SUMIF(INDEX(B:B,MATCH(I2018-1,I:I,0)+1,1):INDEX(B:B,MATCH(I2018,I:I,0)-1,1),リスト!$C$7,INDEX(G:G,MATCH(I2018-1,I:I,0)+1,1):INDEX(G:G,MATCH(I2018,I:I,0)-1,1)),"")</f>
        <v>#NAME?</v>
      </c>
      <c r="I2018" s="200" t="str">
        <f>IF(OR(B2018=リスト!$C$5,B2018=リスト!$C$6),COUNTIF($B$9:B2018,リスト!$C$5)+COUNTIF($B$9:B2018,リスト!$C$6),"")</f>
        <v/>
      </c>
    </row>
    <row r="2019" spans="2:9" x14ac:dyDescent="0.2">
      <c r="B2019" s="196"/>
      <c r="C2019" s="197"/>
      <c r="D2019" s="197"/>
      <c r="E2019" s="198" t="e">
        <f ca="1">mif(OR(C2019="",B2019=リスト!$C$7),"",B2019="","RF",OR(B2019=リスト!$C$5,B2019=リスト!$C$6),COUNTBLANK(INDEX(B:B,MATCH(I2019-1,I:I,0)+1,1):INDEX(B:B,MATCH(I2019,I:I,0)-1,1)),"")</f>
        <v>#NAME?</v>
      </c>
      <c r="F2019" s="199" t="s">
        <v>189</v>
      </c>
      <c r="G2019" s="140" t="e">
        <f ca="1">mif(C2019="","",OR(B2019=リスト!$C$5,B2019=リスト!$C$6),SUM(INDEX(G:G,MATCH(I2019-1,I:I,0)+1,1):INDEX(G:G,MATCH(I2019,I:I,0)-1,1)),D2019-C2019)</f>
        <v>#NAME?</v>
      </c>
      <c r="H2019" s="140" t="e">
        <f ca="1">mif(C2019="","",B2019=リスト!$C$5,SUMIF(INDEX(B:B,MATCH(I2019-1,I:I,0)+1,1):INDEX(B:B,MATCH(I2019,I:I,0)-1,1),リスト!$C$7,INDEX(G:G,MATCH(I2019-1,I:I,0)+1,1):INDEX(G:G,MATCH(I2019,I:I,0)-1,1)),"")</f>
        <v>#NAME?</v>
      </c>
      <c r="I2019" s="200" t="str">
        <f>IF(OR(B2019=リスト!$C$5,B2019=リスト!$C$6),COUNTIF($B$9:B2019,リスト!$C$5)+COUNTIF($B$9:B2019,リスト!$C$6),"")</f>
        <v/>
      </c>
    </row>
    <row r="2020" spans="2:9" x14ac:dyDescent="0.2">
      <c r="B2020" s="196"/>
      <c r="C2020" s="197"/>
      <c r="D2020" s="197"/>
      <c r="E2020" s="198" t="e">
        <f ca="1">mif(OR(C2020="",B2020=リスト!$C$7),"",B2020="","RF",OR(B2020=リスト!$C$5,B2020=リスト!$C$6),COUNTBLANK(INDEX(B:B,MATCH(I2020-1,I:I,0)+1,1):INDEX(B:B,MATCH(I2020,I:I,0)-1,1)),"")</f>
        <v>#NAME?</v>
      </c>
      <c r="F2020" s="199" t="s">
        <v>189</v>
      </c>
      <c r="G2020" s="140" t="e">
        <f ca="1">mif(C2020="","",OR(B2020=リスト!$C$5,B2020=リスト!$C$6),SUM(INDEX(G:G,MATCH(I2020-1,I:I,0)+1,1):INDEX(G:G,MATCH(I2020,I:I,0)-1,1)),D2020-C2020)</f>
        <v>#NAME?</v>
      </c>
      <c r="H2020" s="140" t="e">
        <f ca="1">mif(C2020="","",B2020=リスト!$C$5,SUMIF(INDEX(B:B,MATCH(I2020-1,I:I,0)+1,1):INDEX(B:B,MATCH(I2020,I:I,0)-1,1),リスト!$C$7,INDEX(G:G,MATCH(I2020-1,I:I,0)+1,1):INDEX(G:G,MATCH(I2020,I:I,0)-1,1)),"")</f>
        <v>#NAME?</v>
      </c>
      <c r="I2020" s="200" t="str">
        <f>IF(OR(B2020=リスト!$C$5,B2020=リスト!$C$6),COUNTIF($B$9:B2020,リスト!$C$5)+COUNTIF($B$9:B2020,リスト!$C$6),"")</f>
        <v/>
      </c>
    </row>
    <row r="2021" spans="2:9" x14ac:dyDescent="0.2">
      <c r="B2021" s="196"/>
      <c r="C2021" s="197"/>
      <c r="D2021" s="197"/>
      <c r="E2021" s="198" t="e">
        <f ca="1">mif(OR(C2021="",B2021=リスト!$C$7),"",B2021="","RF",OR(B2021=リスト!$C$5,B2021=リスト!$C$6),COUNTBLANK(INDEX(B:B,MATCH(I2021-1,I:I,0)+1,1):INDEX(B:B,MATCH(I2021,I:I,0)-1,1)),"")</f>
        <v>#NAME?</v>
      </c>
      <c r="F2021" s="199" t="s">
        <v>189</v>
      </c>
      <c r="G2021" s="140" t="e">
        <f ca="1">mif(C2021="","",OR(B2021=リスト!$C$5,B2021=リスト!$C$6),SUM(INDEX(G:G,MATCH(I2021-1,I:I,0)+1,1):INDEX(G:G,MATCH(I2021,I:I,0)-1,1)),D2021-C2021)</f>
        <v>#NAME?</v>
      </c>
      <c r="H2021" s="140" t="e">
        <f ca="1">mif(C2021="","",B2021=リスト!$C$5,SUMIF(INDEX(B:B,MATCH(I2021-1,I:I,0)+1,1):INDEX(B:B,MATCH(I2021,I:I,0)-1,1),リスト!$C$7,INDEX(G:G,MATCH(I2021-1,I:I,0)+1,1):INDEX(G:G,MATCH(I2021,I:I,0)-1,1)),"")</f>
        <v>#NAME?</v>
      </c>
      <c r="I2021" s="200" t="str">
        <f>IF(OR(B2021=リスト!$C$5,B2021=リスト!$C$6),COUNTIF($B$9:B2021,リスト!$C$5)+COUNTIF($B$9:B2021,リスト!$C$6),"")</f>
        <v/>
      </c>
    </row>
    <row r="2022" spans="2:9" x14ac:dyDescent="0.2">
      <c r="B2022" s="196"/>
      <c r="C2022" s="197"/>
      <c r="D2022" s="197"/>
      <c r="E2022" s="198" t="e">
        <f ca="1">mif(OR(C2022="",B2022=リスト!$C$7),"",B2022="","RF",OR(B2022=リスト!$C$5,B2022=リスト!$C$6),COUNTBLANK(INDEX(B:B,MATCH(I2022-1,I:I,0)+1,1):INDEX(B:B,MATCH(I2022,I:I,0)-1,1)),"")</f>
        <v>#NAME?</v>
      </c>
      <c r="F2022" s="199" t="s">
        <v>189</v>
      </c>
      <c r="G2022" s="140" t="e">
        <f ca="1">mif(C2022="","",OR(B2022=リスト!$C$5,B2022=リスト!$C$6),SUM(INDEX(G:G,MATCH(I2022-1,I:I,0)+1,1):INDEX(G:G,MATCH(I2022,I:I,0)-1,1)),D2022-C2022)</f>
        <v>#NAME?</v>
      </c>
      <c r="H2022" s="140" t="e">
        <f ca="1">mif(C2022="","",B2022=リスト!$C$5,SUMIF(INDEX(B:B,MATCH(I2022-1,I:I,0)+1,1):INDEX(B:B,MATCH(I2022,I:I,0)-1,1),リスト!$C$7,INDEX(G:G,MATCH(I2022-1,I:I,0)+1,1):INDEX(G:G,MATCH(I2022,I:I,0)-1,1)),"")</f>
        <v>#NAME?</v>
      </c>
      <c r="I2022" s="200" t="str">
        <f>IF(OR(B2022=リスト!$C$5,B2022=リスト!$C$6),COUNTIF($B$9:B2022,リスト!$C$5)+COUNTIF($B$9:B2022,リスト!$C$6),"")</f>
        <v/>
      </c>
    </row>
    <row r="2023" spans="2:9" x14ac:dyDescent="0.2">
      <c r="B2023" s="196"/>
      <c r="C2023" s="197"/>
      <c r="D2023" s="197"/>
      <c r="E2023" s="198" t="e">
        <f ca="1">mif(OR(C2023="",B2023=リスト!$C$7),"",B2023="","RF",OR(B2023=リスト!$C$5,B2023=リスト!$C$6),COUNTBLANK(INDEX(B:B,MATCH(I2023-1,I:I,0)+1,1):INDEX(B:B,MATCH(I2023,I:I,0)-1,1)),"")</f>
        <v>#NAME?</v>
      </c>
      <c r="F2023" s="199" t="s">
        <v>189</v>
      </c>
      <c r="G2023" s="140" t="e">
        <f ca="1">mif(C2023="","",OR(B2023=リスト!$C$5,B2023=リスト!$C$6),SUM(INDEX(G:G,MATCH(I2023-1,I:I,0)+1,1):INDEX(G:G,MATCH(I2023,I:I,0)-1,1)),D2023-C2023)</f>
        <v>#NAME?</v>
      </c>
      <c r="H2023" s="140" t="e">
        <f ca="1">mif(C2023="","",B2023=リスト!$C$5,SUMIF(INDEX(B:B,MATCH(I2023-1,I:I,0)+1,1):INDEX(B:B,MATCH(I2023,I:I,0)-1,1),リスト!$C$7,INDEX(G:G,MATCH(I2023-1,I:I,0)+1,1):INDEX(G:G,MATCH(I2023,I:I,0)-1,1)),"")</f>
        <v>#NAME?</v>
      </c>
      <c r="I2023" s="200" t="str">
        <f>IF(OR(B2023=リスト!$C$5,B2023=リスト!$C$6),COUNTIF($B$9:B2023,リスト!$C$5)+COUNTIF($B$9:B2023,リスト!$C$6),"")</f>
        <v/>
      </c>
    </row>
    <row r="2024" spans="2:9" x14ac:dyDescent="0.2">
      <c r="B2024" s="196"/>
      <c r="C2024" s="197"/>
      <c r="D2024" s="197"/>
      <c r="E2024" s="198" t="e">
        <f ca="1">mif(OR(C2024="",B2024=リスト!$C$7),"",B2024="","RF",OR(B2024=リスト!$C$5,B2024=リスト!$C$6),COUNTBLANK(INDEX(B:B,MATCH(I2024-1,I:I,0)+1,1):INDEX(B:B,MATCH(I2024,I:I,0)-1,1)),"")</f>
        <v>#NAME?</v>
      </c>
      <c r="F2024" s="199" t="s">
        <v>189</v>
      </c>
      <c r="G2024" s="140" t="e">
        <f ca="1">mif(C2024="","",OR(B2024=リスト!$C$5,B2024=リスト!$C$6),SUM(INDEX(G:G,MATCH(I2024-1,I:I,0)+1,1):INDEX(G:G,MATCH(I2024,I:I,0)-1,1)),D2024-C2024)</f>
        <v>#NAME?</v>
      </c>
      <c r="H2024" s="140" t="e">
        <f ca="1">mif(C2024="","",B2024=リスト!$C$5,SUMIF(INDEX(B:B,MATCH(I2024-1,I:I,0)+1,1):INDEX(B:B,MATCH(I2024,I:I,0)-1,1),リスト!$C$7,INDEX(G:G,MATCH(I2024-1,I:I,0)+1,1):INDEX(G:G,MATCH(I2024,I:I,0)-1,1)),"")</f>
        <v>#NAME?</v>
      </c>
      <c r="I2024" s="200" t="str">
        <f>IF(OR(B2024=リスト!$C$5,B2024=リスト!$C$6),COUNTIF($B$9:B2024,リスト!$C$5)+COUNTIF($B$9:B2024,リスト!$C$6),"")</f>
        <v/>
      </c>
    </row>
    <row r="2025" spans="2:9" x14ac:dyDescent="0.2">
      <c r="B2025" s="196"/>
      <c r="C2025" s="197"/>
      <c r="D2025" s="197"/>
      <c r="E2025" s="198" t="e">
        <f ca="1">mif(OR(C2025="",B2025=リスト!$C$7),"",B2025="","RF",OR(B2025=リスト!$C$5,B2025=リスト!$C$6),COUNTBLANK(INDEX(B:B,MATCH(I2025-1,I:I,0)+1,1):INDEX(B:B,MATCH(I2025,I:I,0)-1,1)),"")</f>
        <v>#NAME?</v>
      </c>
      <c r="F2025" s="199" t="s">
        <v>189</v>
      </c>
      <c r="G2025" s="140" t="e">
        <f ca="1">mif(C2025="","",OR(B2025=リスト!$C$5,B2025=リスト!$C$6),SUM(INDEX(G:G,MATCH(I2025-1,I:I,0)+1,1):INDEX(G:G,MATCH(I2025,I:I,0)-1,1)),D2025-C2025)</f>
        <v>#NAME?</v>
      </c>
      <c r="H2025" s="140" t="e">
        <f ca="1">mif(C2025="","",B2025=リスト!$C$5,SUMIF(INDEX(B:B,MATCH(I2025-1,I:I,0)+1,1):INDEX(B:B,MATCH(I2025,I:I,0)-1,1),リスト!$C$7,INDEX(G:G,MATCH(I2025-1,I:I,0)+1,1):INDEX(G:G,MATCH(I2025,I:I,0)-1,1)),"")</f>
        <v>#NAME?</v>
      </c>
      <c r="I2025" s="200" t="str">
        <f>IF(OR(B2025=リスト!$C$5,B2025=リスト!$C$6),COUNTIF($B$9:B2025,リスト!$C$5)+COUNTIF($B$9:B2025,リスト!$C$6),"")</f>
        <v/>
      </c>
    </row>
    <row r="2026" spans="2:9" x14ac:dyDescent="0.2">
      <c r="B2026" s="196"/>
      <c r="C2026" s="197"/>
      <c r="D2026" s="197"/>
      <c r="E2026" s="198" t="e">
        <f ca="1">mif(OR(C2026="",B2026=リスト!$C$7),"",B2026="","RF",OR(B2026=リスト!$C$5,B2026=リスト!$C$6),COUNTBLANK(INDEX(B:B,MATCH(I2026-1,I:I,0)+1,1):INDEX(B:B,MATCH(I2026,I:I,0)-1,1)),"")</f>
        <v>#NAME?</v>
      </c>
      <c r="F2026" s="199" t="s">
        <v>189</v>
      </c>
      <c r="G2026" s="140" t="e">
        <f ca="1">mif(C2026="","",OR(B2026=リスト!$C$5,B2026=リスト!$C$6),SUM(INDEX(G:G,MATCH(I2026-1,I:I,0)+1,1):INDEX(G:G,MATCH(I2026,I:I,0)-1,1)),D2026-C2026)</f>
        <v>#NAME?</v>
      </c>
      <c r="H2026" s="140" t="e">
        <f ca="1">mif(C2026="","",B2026=リスト!$C$5,SUMIF(INDEX(B:B,MATCH(I2026-1,I:I,0)+1,1):INDEX(B:B,MATCH(I2026,I:I,0)-1,1),リスト!$C$7,INDEX(G:G,MATCH(I2026-1,I:I,0)+1,1):INDEX(G:G,MATCH(I2026,I:I,0)-1,1)),"")</f>
        <v>#NAME?</v>
      </c>
      <c r="I2026" s="200" t="str">
        <f>IF(OR(B2026=リスト!$C$5,B2026=リスト!$C$6),COUNTIF($B$9:B2026,リスト!$C$5)+COUNTIF($B$9:B2026,リスト!$C$6),"")</f>
        <v/>
      </c>
    </row>
    <row r="2027" spans="2:9" x14ac:dyDescent="0.2">
      <c r="B2027" s="196"/>
      <c r="C2027" s="197"/>
      <c r="D2027" s="197"/>
      <c r="E2027" s="198" t="e">
        <f ca="1">mif(OR(C2027="",B2027=リスト!$C$7),"",B2027="","RF",OR(B2027=リスト!$C$5,B2027=リスト!$C$6),COUNTBLANK(INDEX(B:B,MATCH(I2027-1,I:I,0)+1,1):INDEX(B:B,MATCH(I2027,I:I,0)-1,1)),"")</f>
        <v>#NAME?</v>
      </c>
      <c r="F2027" s="199" t="s">
        <v>189</v>
      </c>
      <c r="G2027" s="140" t="e">
        <f ca="1">mif(C2027="","",OR(B2027=リスト!$C$5,B2027=リスト!$C$6),SUM(INDEX(G:G,MATCH(I2027-1,I:I,0)+1,1):INDEX(G:G,MATCH(I2027,I:I,0)-1,1)),D2027-C2027)</f>
        <v>#NAME?</v>
      </c>
      <c r="H2027" s="140" t="e">
        <f ca="1">mif(C2027="","",B2027=リスト!$C$5,SUMIF(INDEX(B:B,MATCH(I2027-1,I:I,0)+1,1):INDEX(B:B,MATCH(I2027,I:I,0)-1,1),リスト!$C$7,INDEX(G:G,MATCH(I2027-1,I:I,0)+1,1):INDEX(G:G,MATCH(I2027,I:I,0)-1,1)),"")</f>
        <v>#NAME?</v>
      </c>
      <c r="I2027" s="200" t="str">
        <f>IF(OR(B2027=リスト!$C$5,B2027=リスト!$C$6),COUNTIF($B$9:B2027,リスト!$C$5)+COUNTIF($B$9:B2027,リスト!$C$6),"")</f>
        <v/>
      </c>
    </row>
    <row r="2028" spans="2:9" x14ac:dyDescent="0.2">
      <c r="B2028" s="196"/>
      <c r="C2028" s="197"/>
      <c r="D2028" s="197"/>
      <c r="E2028" s="198" t="e">
        <f ca="1">mif(OR(C2028="",B2028=リスト!$C$7),"",B2028="","RF",OR(B2028=リスト!$C$5,B2028=リスト!$C$6),COUNTBLANK(INDEX(B:B,MATCH(I2028-1,I:I,0)+1,1):INDEX(B:B,MATCH(I2028,I:I,0)-1,1)),"")</f>
        <v>#NAME?</v>
      </c>
      <c r="F2028" s="199" t="s">
        <v>189</v>
      </c>
      <c r="G2028" s="140" t="e">
        <f ca="1">mif(C2028="","",OR(B2028=リスト!$C$5,B2028=リスト!$C$6),SUM(INDEX(G:G,MATCH(I2028-1,I:I,0)+1,1):INDEX(G:G,MATCH(I2028,I:I,0)-1,1)),D2028-C2028)</f>
        <v>#NAME?</v>
      </c>
      <c r="H2028" s="140" t="e">
        <f ca="1">mif(C2028="","",B2028=リスト!$C$5,SUMIF(INDEX(B:B,MATCH(I2028-1,I:I,0)+1,1):INDEX(B:B,MATCH(I2028,I:I,0)-1,1),リスト!$C$7,INDEX(G:G,MATCH(I2028-1,I:I,0)+1,1):INDEX(G:G,MATCH(I2028,I:I,0)-1,1)),"")</f>
        <v>#NAME?</v>
      </c>
      <c r="I2028" s="200" t="str">
        <f>IF(OR(B2028=リスト!$C$5,B2028=リスト!$C$6),COUNTIF($B$9:B2028,リスト!$C$5)+COUNTIF($B$9:B2028,リスト!$C$6),"")</f>
        <v/>
      </c>
    </row>
    <row r="2029" spans="2:9" x14ac:dyDescent="0.2">
      <c r="B2029" s="196"/>
      <c r="C2029" s="197"/>
      <c r="D2029" s="197"/>
      <c r="E2029" s="198" t="e">
        <f ca="1">mif(OR(C2029="",B2029=リスト!$C$7),"",B2029="","RF",OR(B2029=リスト!$C$5,B2029=リスト!$C$6),COUNTBLANK(INDEX(B:B,MATCH(I2029-1,I:I,0)+1,1):INDEX(B:B,MATCH(I2029,I:I,0)-1,1)),"")</f>
        <v>#NAME?</v>
      </c>
      <c r="F2029" s="199" t="s">
        <v>189</v>
      </c>
      <c r="G2029" s="140" t="e">
        <f ca="1">mif(C2029="","",OR(B2029=リスト!$C$5,B2029=リスト!$C$6),SUM(INDEX(G:G,MATCH(I2029-1,I:I,0)+1,1):INDEX(G:G,MATCH(I2029,I:I,0)-1,1)),D2029-C2029)</f>
        <v>#NAME?</v>
      </c>
      <c r="H2029" s="140" t="e">
        <f ca="1">mif(C2029="","",B2029=リスト!$C$5,SUMIF(INDEX(B:B,MATCH(I2029-1,I:I,0)+1,1):INDEX(B:B,MATCH(I2029,I:I,0)-1,1),リスト!$C$7,INDEX(G:G,MATCH(I2029-1,I:I,0)+1,1):INDEX(G:G,MATCH(I2029,I:I,0)-1,1)),"")</f>
        <v>#NAME?</v>
      </c>
      <c r="I2029" s="200" t="str">
        <f>IF(OR(B2029=リスト!$C$5,B2029=リスト!$C$6),COUNTIF($B$9:B2029,リスト!$C$5)+COUNTIF($B$9:B2029,リスト!$C$6),"")</f>
        <v/>
      </c>
    </row>
    <row r="2030" spans="2:9" x14ac:dyDescent="0.2">
      <c r="B2030" s="196"/>
      <c r="C2030" s="197"/>
      <c r="D2030" s="197"/>
      <c r="E2030" s="198" t="e">
        <f ca="1">mif(OR(C2030="",B2030=リスト!$C$7),"",B2030="","RF",OR(B2030=リスト!$C$5,B2030=リスト!$C$6),COUNTBLANK(INDEX(B:B,MATCH(I2030-1,I:I,0)+1,1):INDEX(B:B,MATCH(I2030,I:I,0)-1,1)),"")</f>
        <v>#NAME?</v>
      </c>
      <c r="F2030" s="199" t="s">
        <v>189</v>
      </c>
      <c r="G2030" s="140" t="e">
        <f ca="1">mif(C2030="","",OR(B2030=リスト!$C$5,B2030=リスト!$C$6),SUM(INDEX(G:G,MATCH(I2030-1,I:I,0)+1,1):INDEX(G:G,MATCH(I2030,I:I,0)-1,1)),D2030-C2030)</f>
        <v>#NAME?</v>
      </c>
      <c r="H2030" s="140" t="e">
        <f ca="1">mif(C2030="","",B2030=リスト!$C$5,SUMIF(INDEX(B:B,MATCH(I2030-1,I:I,0)+1,1):INDEX(B:B,MATCH(I2030,I:I,0)-1,1),リスト!$C$7,INDEX(G:G,MATCH(I2030-1,I:I,0)+1,1):INDEX(G:G,MATCH(I2030,I:I,0)-1,1)),"")</f>
        <v>#NAME?</v>
      </c>
      <c r="I2030" s="200" t="str">
        <f>IF(OR(B2030=リスト!$C$5,B2030=リスト!$C$6),COUNTIF($B$9:B2030,リスト!$C$5)+COUNTIF($B$9:B2030,リスト!$C$6),"")</f>
        <v/>
      </c>
    </row>
    <row r="2031" spans="2:9" x14ac:dyDescent="0.2">
      <c r="B2031" s="196"/>
      <c r="C2031" s="197"/>
      <c r="D2031" s="197"/>
      <c r="E2031" s="198" t="e">
        <f ca="1">mif(OR(C2031="",B2031=リスト!$C$7),"",B2031="","RF",OR(B2031=リスト!$C$5,B2031=リスト!$C$6),COUNTBLANK(INDEX(B:B,MATCH(I2031-1,I:I,0)+1,1):INDEX(B:B,MATCH(I2031,I:I,0)-1,1)),"")</f>
        <v>#NAME?</v>
      </c>
      <c r="F2031" s="199" t="s">
        <v>189</v>
      </c>
      <c r="G2031" s="140" t="e">
        <f ca="1">mif(C2031="","",OR(B2031=リスト!$C$5,B2031=リスト!$C$6),SUM(INDEX(G:G,MATCH(I2031-1,I:I,0)+1,1):INDEX(G:G,MATCH(I2031,I:I,0)-1,1)),D2031-C2031)</f>
        <v>#NAME?</v>
      </c>
      <c r="H2031" s="140" t="e">
        <f ca="1">mif(C2031="","",B2031=リスト!$C$5,SUMIF(INDEX(B:B,MATCH(I2031-1,I:I,0)+1,1):INDEX(B:B,MATCH(I2031,I:I,0)-1,1),リスト!$C$7,INDEX(G:G,MATCH(I2031-1,I:I,0)+1,1):INDEX(G:G,MATCH(I2031,I:I,0)-1,1)),"")</f>
        <v>#NAME?</v>
      </c>
      <c r="I2031" s="200" t="str">
        <f>IF(OR(B2031=リスト!$C$5,B2031=リスト!$C$6),COUNTIF($B$9:B2031,リスト!$C$5)+COUNTIF($B$9:B2031,リスト!$C$6),"")</f>
        <v/>
      </c>
    </row>
    <row r="2032" spans="2:9" x14ac:dyDescent="0.2">
      <c r="B2032" s="196"/>
      <c r="C2032" s="197"/>
      <c r="D2032" s="197"/>
      <c r="E2032" s="198" t="e">
        <f ca="1">mif(OR(C2032="",B2032=リスト!$C$7),"",B2032="","RF",OR(B2032=リスト!$C$5,B2032=リスト!$C$6),COUNTBLANK(INDEX(B:B,MATCH(I2032-1,I:I,0)+1,1):INDEX(B:B,MATCH(I2032,I:I,0)-1,1)),"")</f>
        <v>#NAME?</v>
      </c>
      <c r="F2032" s="199" t="s">
        <v>189</v>
      </c>
      <c r="G2032" s="140" t="e">
        <f ca="1">mif(C2032="","",OR(B2032=リスト!$C$5,B2032=リスト!$C$6),SUM(INDEX(G:G,MATCH(I2032-1,I:I,0)+1,1):INDEX(G:G,MATCH(I2032,I:I,0)-1,1)),D2032-C2032)</f>
        <v>#NAME?</v>
      </c>
      <c r="H2032" s="140" t="e">
        <f ca="1">mif(C2032="","",B2032=リスト!$C$5,SUMIF(INDEX(B:B,MATCH(I2032-1,I:I,0)+1,1):INDEX(B:B,MATCH(I2032,I:I,0)-1,1),リスト!$C$7,INDEX(G:G,MATCH(I2032-1,I:I,0)+1,1):INDEX(G:G,MATCH(I2032,I:I,0)-1,1)),"")</f>
        <v>#NAME?</v>
      </c>
      <c r="I2032" s="200" t="str">
        <f>IF(OR(B2032=リスト!$C$5,B2032=リスト!$C$6),COUNTIF($B$9:B2032,リスト!$C$5)+COUNTIF($B$9:B2032,リスト!$C$6),"")</f>
        <v/>
      </c>
    </row>
    <row r="2033" spans="2:9" x14ac:dyDescent="0.2">
      <c r="B2033" s="196"/>
      <c r="C2033" s="197"/>
      <c r="D2033" s="197"/>
      <c r="E2033" s="198" t="e">
        <f ca="1">mif(OR(C2033="",B2033=リスト!$C$7),"",B2033="","RF",OR(B2033=リスト!$C$5,B2033=リスト!$C$6),COUNTBLANK(INDEX(B:B,MATCH(I2033-1,I:I,0)+1,1):INDEX(B:B,MATCH(I2033,I:I,0)-1,1)),"")</f>
        <v>#NAME?</v>
      </c>
      <c r="F2033" s="199" t="s">
        <v>189</v>
      </c>
      <c r="G2033" s="140" t="e">
        <f ca="1">mif(C2033="","",OR(B2033=リスト!$C$5,B2033=リスト!$C$6),SUM(INDEX(G:G,MATCH(I2033-1,I:I,0)+1,1):INDEX(G:G,MATCH(I2033,I:I,0)-1,1)),D2033-C2033)</f>
        <v>#NAME?</v>
      </c>
      <c r="H2033" s="140" t="e">
        <f ca="1">mif(C2033="","",B2033=リスト!$C$5,SUMIF(INDEX(B:B,MATCH(I2033-1,I:I,0)+1,1):INDEX(B:B,MATCH(I2033,I:I,0)-1,1),リスト!$C$7,INDEX(G:G,MATCH(I2033-1,I:I,0)+1,1):INDEX(G:G,MATCH(I2033,I:I,0)-1,1)),"")</f>
        <v>#NAME?</v>
      </c>
      <c r="I2033" s="200" t="str">
        <f>IF(OR(B2033=リスト!$C$5,B2033=リスト!$C$6),COUNTIF($B$9:B2033,リスト!$C$5)+COUNTIF($B$9:B2033,リスト!$C$6),"")</f>
        <v/>
      </c>
    </row>
    <row r="2034" spans="2:9" x14ac:dyDescent="0.2">
      <c r="B2034" s="196"/>
      <c r="C2034" s="197"/>
      <c r="D2034" s="197"/>
      <c r="E2034" s="198" t="e">
        <f ca="1">mif(OR(C2034="",B2034=リスト!$C$7),"",B2034="","RF",OR(B2034=リスト!$C$5,B2034=リスト!$C$6),COUNTBLANK(INDEX(B:B,MATCH(I2034-1,I:I,0)+1,1):INDEX(B:B,MATCH(I2034,I:I,0)-1,1)),"")</f>
        <v>#NAME?</v>
      </c>
      <c r="F2034" s="199" t="s">
        <v>189</v>
      </c>
      <c r="G2034" s="140" t="e">
        <f ca="1">mif(C2034="","",OR(B2034=リスト!$C$5,B2034=リスト!$C$6),SUM(INDEX(G:G,MATCH(I2034-1,I:I,0)+1,1):INDEX(G:G,MATCH(I2034,I:I,0)-1,1)),D2034-C2034)</f>
        <v>#NAME?</v>
      </c>
      <c r="H2034" s="140" t="e">
        <f ca="1">mif(C2034="","",B2034=リスト!$C$5,SUMIF(INDEX(B:B,MATCH(I2034-1,I:I,0)+1,1):INDEX(B:B,MATCH(I2034,I:I,0)-1,1),リスト!$C$7,INDEX(G:G,MATCH(I2034-1,I:I,0)+1,1):INDEX(G:G,MATCH(I2034,I:I,0)-1,1)),"")</f>
        <v>#NAME?</v>
      </c>
      <c r="I2034" s="200" t="str">
        <f>IF(OR(B2034=リスト!$C$5,B2034=リスト!$C$6),COUNTIF($B$9:B2034,リスト!$C$5)+COUNTIF($B$9:B2034,リスト!$C$6),"")</f>
        <v/>
      </c>
    </row>
    <row r="2035" spans="2:9" x14ac:dyDescent="0.2">
      <c r="B2035" s="196"/>
      <c r="C2035" s="197"/>
      <c r="D2035" s="197"/>
      <c r="E2035" s="198" t="e">
        <f ca="1">mif(OR(C2035="",B2035=リスト!$C$7),"",B2035="","RF",OR(B2035=リスト!$C$5,B2035=リスト!$C$6),COUNTBLANK(INDEX(B:B,MATCH(I2035-1,I:I,0)+1,1):INDEX(B:B,MATCH(I2035,I:I,0)-1,1)),"")</f>
        <v>#NAME?</v>
      </c>
      <c r="F2035" s="199" t="s">
        <v>189</v>
      </c>
      <c r="G2035" s="140" t="e">
        <f ca="1">mif(C2035="","",OR(B2035=リスト!$C$5,B2035=リスト!$C$6),SUM(INDEX(G:G,MATCH(I2035-1,I:I,0)+1,1):INDEX(G:G,MATCH(I2035,I:I,0)-1,1)),D2035-C2035)</f>
        <v>#NAME?</v>
      </c>
      <c r="H2035" s="140" t="e">
        <f ca="1">mif(C2035="","",B2035=リスト!$C$5,SUMIF(INDEX(B:B,MATCH(I2035-1,I:I,0)+1,1):INDEX(B:B,MATCH(I2035,I:I,0)-1,1),リスト!$C$7,INDEX(G:G,MATCH(I2035-1,I:I,0)+1,1):INDEX(G:G,MATCH(I2035,I:I,0)-1,1)),"")</f>
        <v>#NAME?</v>
      </c>
      <c r="I2035" s="200" t="str">
        <f>IF(OR(B2035=リスト!$C$5,B2035=リスト!$C$6),COUNTIF($B$9:B2035,リスト!$C$5)+COUNTIF($B$9:B2035,リスト!$C$6),"")</f>
        <v/>
      </c>
    </row>
    <row r="2036" spans="2:9" x14ac:dyDescent="0.2">
      <c r="B2036" s="196"/>
      <c r="C2036" s="197"/>
      <c r="D2036" s="197"/>
      <c r="E2036" s="198" t="e">
        <f ca="1">mif(OR(C2036="",B2036=リスト!$C$7),"",B2036="","RF",OR(B2036=リスト!$C$5,B2036=リスト!$C$6),COUNTBLANK(INDEX(B:B,MATCH(I2036-1,I:I,0)+1,1):INDEX(B:B,MATCH(I2036,I:I,0)-1,1)),"")</f>
        <v>#NAME?</v>
      </c>
      <c r="F2036" s="199" t="s">
        <v>189</v>
      </c>
      <c r="G2036" s="140" t="e">
        <f ca="1">mif(C2036="","",OR(B2036=リスト!$C$5,B2036=リスト!$C$6),SUM(INDEX(G:G,MATCH(I2036-1,I:I,0)+1,1):INDEX(G:G,MATCH(I2036,I:I,0)-1,1)),D2036-C2036)</f>
        <v>#NAME?</v>
      </c>
      <c r="H2036" s="140" t="e">
        <f ca="1">mif(C2036="","",B2036=リスト!$C$5,SUMIF(INDEX(B:B,MATCH(I2036-1,I:I,0)+1,1):INDEX(B:B,MATCH(I2036,I:I,0)-1,1),リスト!$C$7,INDEX(G:G,MATCH(I2036-1,I:I,0)+1,1):INDEX(G:G,MATCH(I2036,I:I,0)-1,1)),"")</f>
        <v>#NAME?</v>
      </c>
      <c r="I2036" s="200" t="str">
        <f>IF(OR(B2036=リスト!$C$5,B2036=リスト!$C$6),COUNTIF($B$9:B2036,リスト!$C$5)+COUNTIF($B$9:B2036,リスト!$C$6),"")</f>
        <v/>
      </c>
    </row>
    <row r="2037" spans="2:9" x14ac:dyDescent="0.2">
      <c r="B2037" s="196"/>
      <c r="C2037" s="197"/>
      <c r="D2037" s="197"/>
      <c r="E2037" s="198" t="e">
        <f ca="1">mif(OR(C2037="",B2037=リスト!$C$7),"",B2037="","RF",OR(B2037=リスト!$C$5,B2037=リスト!$C$6),COUNTBLANK(INDEX(B:B,MATCH(I2037-1,I:I,0)+1,1):INDEX(B:B,MATCH(I2037,I:I,0)-1,1)),"")</f>
        <v>#NAME?</v>
      </c>
      <c r="F2037" s="199" t="s">
        <v>189</v>
      </c>
      <c r="G2037" s="140" t="e">
        <f ca="1">mif(C2037="","",OR(B2037=リスト!$C$5,B2037=リスト!$C$6),SUM(INDEX(G:G,MATCH(I2037-1,I:I,0)+1,1):INDEX(G:G,MATCH(I2037,I:I,0)-1,1)),D2037-C2037)</f>
        <v>#NAME?</v>
      </c>
      <c r="H2037" s="140" t="e">
        <f ca="1">mif(C2037="","",B2037=リスト!$C$5,SUMIF(INDEX(B:B,MATCH(I2037-1,I:I,0)+1,1):INDEX(B:B,MATCH(I2037,I:I,0)-1,1),リスト!$C$7,INDEX(G:G,MATCH(I2037-1,I:I,0)+1,1):INDEX(G:G,MATCH(I2037,I:I,0)-1,1)),"")</f>
        <v>#NAME?</v>
      </c>
      <c r="I2037" s="200" t="str">
        <f>IF(OR(B2037=リスト!$C$5,B2037=リスト!$C$6),COUNTIF($B$9:B2037,リスト!$C$5)+COUNTIF($B$9:B2037,リスト!$C$6),"")</f>
        <v/>
      </c>
    </row>
    <row r="2038" spans="2:9" x14ac:dyDescent="0.2">
      <c r="B2038" s="196"/>
      <c r="C2038" s="197"/>
      <c r="D2038" s="197"/>
      <c r="E2038" s="198" t="e">
        <f ca="1">mif(OR(C2038="",B2038=リスト!$C$7),"",B2038="","RF",OR(B2038=リスト!$C$5,B2038=リスト!$C$6),COUNTBLANK(INDEX(B:B,MATCH(I2038-1,I:I,0)+1,1):INDEX(B:B,MATCH(I2038,I:I,0)-1,1)),"")</f>
        <v>#NAME?</v>
      </c>
      <c r="F2038" s="199" t="s">
        <v>189</v>
      </c>
      <c r="G2038" s="140" t="e">
        <f ca="1">mif(C2038="","",OR(B2038=リスト!$C$5,B2038=リスト!$C$6),SUM(INDEX(G:G,MATCH(I2038-1,I:I,0)+1,1):INDEX(G:G,MATCH(I2038,I:I,0)-1,1)),D2038-C2038)</f>
        <v>#NAME?</v>
      </c>
      <c r="H2038" s="140" t="e">
        <f ca="1">mif(C2038="","",B2038=リスト!$C$5,SUMIF(INDEX(B:B,MATCH(I2038-1,I:I,0)+1,1):INDEX(B:B,MATCH(I2038,I:I,0)-1,1),リスト!$C$7,INDEX(G:G,MATCH(I2038-1,I:I,0)+1,1):INDEX(G:G,MATCH(I2038,I:I,0)-1,1)),"")</f>
        <v>#NAME?</v>
      </c>
      <c r="I2038" s="200" t="str">
        <f>IF(OR(B2038=リスト!$C$5,B2038=リスト!$C$6),COUNTIF($B$9:B2038,リスト!$C$5)+COUNTIF($B$9:B2038,リスト!$C$6),"")</f>
        <v/>
      </c>
    </row>
    <row r="2039" spans="2:9" x14ac:dyDescent="0.2">
      <c r="B2039" s="196"/>
      <c r="C2039" s="197"/>
      <c r="D2039" s="197"/>
      <c r="E2039" s="198" t="e">
        <f ca="1">mif(OR(C2039="",B2039=リスト!$C$7),"",B2039="","RF",OR(B2039=リスト!$C$5,B2039=リスト!$C$6),COUNTBLANK(INDEX(B:B,MATCH(I2039-1,I:I,0)+1,1):INDEX(B:B,MATCH(I2039,I:I,0)-1,1)),"")</f>
        <v>#NAME?</v>
      </c>
      <c r="F2039" s="199" t="s">
        <v>189</v>
      </c>
      <c r="G2039" s="140" t="e">
        <f ca="1">mif(C2039="","",OR(B2039=リスト!$C$5,B2039=リスト!$C$6),SUM(INDEX(G:G,MATCH(I2039-1,I:I,0)+1,1):INDEX(G:G,MATCH(I2039,I:I,0)-1,1)),D2039-C2039)</f>
        <v>#NAME?</v>
      </c>
      <c r="H2039" s="140" t="e">
        <f ca="1">mif(C2039="","",B2039=リスト!$C$5,SUMIF(INDEX(B:B,MATCH(I2039-1,I:I,0)+1,1):INDEX(B:B,MATCH(I2039,I:I,0)-1,1),リスト!$C$7,INDEX(G:G,MATCH(I2039-1,I:I,0)+1,1):INDEX(G:G,MATCH(I2039,I:I,0)-1,1)),"")</f>
        <v>#NAME?</v>
      </c>
      <c r="I2039" s="200" t="str">
        <f>IF(OR(B2039=リスト!$C$5,B2039=リスト!$C$6),COUNTIF($B$9:B2039,リスト!$C$5)+COUNTIF($B$9:B2039,リスト!$C$6),"")</f>
        <v/>
      </c>
    </row>
    <row r="2040" spans="2:9" x14ac:dyDescent="0.2">
      <c r="B2040" s="196"/>
      <c r="C2040" s="197"/>
      <c r="D2040" s="197"/>
      <c r="E2040" s="198" t="e">
        <f ca="1">mif(OR(C2040="",B2040=リスト!$C$7),"",B2040="","RF",OR(B2040=リスト!$C$5,B2040=リスト!$C$6),COUNTBLANK(INDEX(B:B,MATCH(I2040-1,I:I,0)+1,1):INDEX(B:B,MATCH(I2040,I:I,0)-1,1)),"")</f>
        <v>#NAME?</v>
      </c>
      <c r="F2040" s="199" t="s">
        <v>189</v>
      </c>
      <c r="G2040" s="140" t="e">
        <f ca="1">mif(C2040="","",OR(B2040=リスト!$C$5,B2040=リスト!$C$6),SUM(INDEX(G:G,MATCH(I2040-1,I:I,0)+1,1):INDEX(G:G,MATCH(I2040,I:I,0)-1,1)),D2040-C2040)</f>
        <v>#NAME?</v>
      </c>
      <c r="H2040" s="140" t="e">
        <f ca="1">mif(C2040="","",B2040=リスト!$C$5,SUMIF(INDEX(B:B,MATCH(I2040-1,I:I,0)+1,1):INDEX(B:B,MATCH(I2040,I:I,0)-1,1),リスト!$C$7,INDEX(G:G,MATCH(I2040-1,I:I,0)+1,1):INDEX(G:G,MATCH(I2040,I:I,0)-1,1)),"")</f>
        <v>#NAME?</v>
      </c>
      <c r="I2040" s="200" t="str">
        <f>IF(OR(B2040=リスト!$C$5,B2040=リスト!$C$6),COUNTIF($B$9:B2040,リスト!$C$5)+COUNTIF($B$9:B2040,リスト!$C$6),"")</f>
        <v/>
      </c>
    </row>
    <row r="2041" spans="2:9" x14ac:dyDescent="0.2">
      <c r="B2041" s="196"/>
      <c r="C2041" s="197"/>
      <c r="D2041" s="197"/>
      <c r="E2041" s="198" t="e">
        <f ca="1">mif(OR(C2041="",B2041=リスト!$C$7),"",B2041="","RF",OR(B2041=リスト!$C$5,B2041=リスト!$C$6),COUNTBLANK(INDEX(B:B,MATCH(I2041-1,I:I,0)+1,1):INDEX(B:B,MATCH(I2041,I:I,0)-1,1)),"")</f>
        <v>#NAME?</v>
      </c>
      <c r="F2041" s="199" t="s">
        <v>189</v>
      </c>
      <c r="G2041" s="140" t="e">
        <f ca="1">mif(C2041="","",OR(B2041=リスト!$C$5,B2041=リスト!$C$6),SUM(INDEX(G:G,MATCH(I2041-1,I:I,0)+1,1):INDEX(G:G,MATCH(I2041,I:I,0)-1,1)),D2041-C2041)</f>
        <v>#NAME?</v>
      </c>
      <c r="H2041" s="140" t="e">
        <f ca="1">mif(C2041="","",B2041=リスト!$C$5,SUMIF(INDEX(B:B,MATCH(I2041-1,I:I,0)+1,1):INDEX(B:B,MATCH(I2041,I:I,0)-1,1),リスト!$C$7,INDEX(G:G,MATCH(I2041-1,I:I,0)+1,1):INDEX(G:G,MATCH(I2041,I:I,0)-1,1)),"")</f>
        <v>#NAME?</v>
      </c>
      <c r="I2041" s="200" t="str">
        <f>IF(OR(B2041=リスト!$C$5,B2041=リスト!$C$6),COUNTIF($B$9:B2041,リスト!$C$5)+COUNTIF($B$9:B2041,リスト!$C$6),"")</f>
        <v/>
      </c>
    </row>
    <row r="2042" spans="2:9" x14ac:dyDescent="0.2">
      <c r="B2042" s="196"/>
      <c r="C2042" s="197"/>
      <c r="D2042" s="197"/>
      <c r="E2042" s="198" t="e">
        <f ca="1">mif(OR(C2042="",B2042=リスト!$C$7),"",B2042="","RF",OR(B2042=リスト!$C$5,B2042=リスト!$C$6),COUNTBLANK(INDEX(B:B,MATCH(I2042-1,I:I,0)+1,1):INDEX(B:B,MATCH(I2042,I:I,0)-1,1)),"")</f>
        <v>#NAME?</v>
      </c>
      <c r="F2042" s="199" t="s">
        <v>189</v>
      </c>
      <c r="G2042" s="140" t="e">
        <f ca="1">mif(C2042="","",OR(B2042=リスト!$C$5,B2042=リスト!$C$6),SUM(INDEX(G:G,MATCH(I2042-1,I:I,0)+1,1):INDEX(G:G,MATCH(I2042,I:I,0)-1,1)),D2042-C2042)</f>
        <v>#NAME?</v>
      </c>
      <c r="H2042" s="140" t="e">
        <f ca="1">mif(C2042="","",B2042=リスト!$C$5,SUMIF(INDEX(B:B,MATCH(I2042-1,I:I,0)+1,1):INDEX(B:B,MATCH(I2042,I:I,0)-1,1),リスト!$C$7,INDEX(G:G,MATCH(I2042-1,I:I,0)+1,1):INDEX(G:G,MATCH(I2042,I:I,0)-1,1)),"")</f>
        <v>#NAME?</v>
      </c>
      <c r="I2042" s="200" t="str">
        <f>IF(OR(B2042=リスト!$C$5,B2042=リスト!$C$6),COUNTIF($B$9:B2042,リスト!$C$5)+COUNTIF($B$9:B2042,リスト!$C$6),"")</f>
        <v/>
      </c>
    </row>
    <row r="2043" spans="2:9" x14ac:dyDescent="0.2">
      <c r="B2043" s="196"/>
      <c r="C2043" s="197"/>
      <c r="D2043" s="197"/>
      <c r="E2043" s="198" t="e">
        <f ca="1">mif(OR(C2043="",B2043=リスト!$C$7),"",B2043="","RF",OR(B2043=リスト!$C$5,B2043=リスト!$C$6),COUNTBLANK(INDEX(B:B,MATCH(I2043-1,I:I,0)+1,1):INDEX(B:B,MATCH(I2043,I:I,0)-1,1)),"")</f>
        <v>#NAME?</v>
      </c>
      <c r="F2043" s="199" t="s">
        <v>189</v>
      </c>
      <c r="G2043" s="140" t="e">
        <f ca="1">mif(C2043="","",OR(B2043=リスト!$C$5,B2043=リスト!$C$6),SUM(INDEX(G:G,MATCH(I2043-1,I:I,0)+1,1):INDEX(G:G,MATCH(I2043,I:I,0)-1,1)),D2043-C2043)</f>
        <v>#NAME?</v>
      </c>
      <c r="H2043" s="140" t="e">
        <f ca="1">mif(C2043="","",B2043=リスト!$C$5,SUMIF(INDEX(B:B,MATCH(I2043-1,I:I,0)+1,1):INDEX(B:B,MATCH(I2043,I:I,0)-1,1),リスト!$C$7,INDEX(G:G,MATCH(I2043-1,I:I,0)+1,1):INDEX(G:G,MATCH(I2043,I:I,0)-1,1)),"")</f>
        <v>#NAME?</v>
      </c>
      <c r="I2043" s="200" t="str">
        <f>IF(OR(B2043=リスト!$C$5,B2043=リスト!$C$6),COUNTIF($B$9:B2043,リスト!$C$5)+COUNTIF($B$9:B2043,リスト!$C$6),"")</f>
        <v/>
      </c>
    </row>
    <row r="2044" spans="2:9" x14ac:dyDescent="0.2">
      <c r="B2044" s="196"/>
      <c r="C2044" s="197"/>
      <c r="D2044" s="197"/>
      <c r="E2044" s="198" t="e">
        <f ca="1">mif(OR(C2044="",B2044=リスト!$C$7),"",B2044="","RF",OR(B2044=リスト!$C$5,B2044=リスト!$C$6),COUNTBLANK(INDEX(B:B,MATCH(I2044-1,I:I,0)+1,1):INDEX(B:B,MATCH(I2044,I:I,0)-1,1)),"")</f>
        <v>#NAME?</v>
      </c>
      <c r="F2044" s="199" t="s">
        <v>189</v>
      </c>
      <c r="G2044" s="140" t="e">
        <f ca="1">mif(C2044="","",OR(B2044=リスト!$C$5,B2044=リスト!$C$6),SUM(INDEX(G:G,MATCH(I2044-1,I:I,0)+1,1):INDEX(G:G,MATCH(I2044,I:I,0)-1,1)),D2044-C2044)</f>
        <v>#NAME?</v>
      </c>
      <c r="H2044" s="140" t="e">
        <f ca="1">mif(C2044="","",B2044=リスト!$C$5,SUMIF(INDEX(B:B,MATCH(I2044-1,I:I,0)+1,1):INDEX(B:B,MATCH(I2044,I:I,0)-1,1),リスト!$C$7,INDEX(G:G,MATCH(I2044-1,I:I,0)+1,1):INDEX(G:G,MATCH(I2044,I:I,0)-1,1)),"")</f>
        <v>#NAME?</v>
      </c>
      <c r="I2044" s="200" t="str">
        <f>IF(OR(B2044=リスト!$C$5,B2044=リスト!$C$6),COUNTIF($B$9:B2044,リスト!$C$5)+COUNTIF($B$9:B2044,リスト!$C$6),"")</f>
        <v/>
      </c>
    </row>
    <row r="2045" spans="2:9" x14ac:dyDescent="0.2">
      <c r="B2045" s="196"/>
      <c r="C2045" s="197"/>
      <c r="D2045" s="197"/>
      <c r="E2045" s="198" t="e">
        <f ca="1">mif(OR(C2045="",B2045=リスト!$C$7),"",B2045="","RF",OR(B2045=リスト!$C$5,B2045=リスト!$C$6),COUNTBLANK(INDEX(B:B,MATCH(I2045-1,I:I,0)+1,1):INDEX(B:B,MATCH(I2045,I:I,0)-1,1)),"")</f>
        <v>#NAME?</v>
      </c>
      <c r="F2045" s="199" t="s">
        <v>189</v>
      </c>
      <c r="G2045" s="140" t="e">
        <f ca="1">mif(C2045="","",OR(B2045=リスト!$C$5,B2045=リスト!$C$6),SUM(INDEX(G:G,MATCH(I2045-1,I:I,0)+1,1):INDEX(G:G,MATCH(I2045,I:I,0)-1,1)),D2045-C2045)</f>
        <v>#NAME?</v>
      </c>
      <c r="H2045" s="140" t="e">
        <f ca="1">mif(C2045="","",B2045=リスト!$C$5,SUMIF(INDEX(B:B,MATCH(I2045-1,I:I,0)+1,1):INDEX(B:B,MATCH(I2045,I:I,0)-1,1),リスト!$C$7,INDEX(G:G,MATCH(I2045-1,I:I,0)+1,1):INDEX(G:G,MATCH(I2045,I:I,0)-1,1)),"")</f>
        <v>#NAME?</v>
      </c>
      <c r="I2045" s="200" t="str">
        <f>IF(OR(B2045=リスト!$C$5,B2045=リスト!$C$6),COUNTIF($B$9:B2045,リスト!$C$5)+COUNTIF($B$9:B2045,リスト!$C$6),"")</f>
        <v/>
      </c>
    </row>
    <row r="2046" spans="2:9" x14ac:dyDescent="0.2">
      <c r="B2046" s="196"/>
      <c r="C2046" s="197"/>
      <c r="D2046" s="197"/>
      <c r="E2046" s="198" t="e">
        <f ca="1">mif(OR(C2046="",B2046=リスト!$C$7),"",B2046="","RF",OR(B2046=リスト!$C$5,B2046=リスト!$C$6),COUNTBLANK(INDEX(B:B,MATCH(I2046-1,I:I,0)+1,1):INDEX(B:B,MATCH(I2046,I:I,0)-1,1)),"")</f>
        <v>#NAME?</v>
      </c>
      <c r="F2046" s="199" t="s">
        <v>189</v>
      </c>
      <c r="G2046" s="140" t="e">
        <f ca="1">mif(C2046="","",OR(B2046=リスト!$C$5,B2046=リスト!$C$6),SUM(INDEX(G:G,MATCH(I2046-1,I:I,0)+1,1):INDEX(G:G,MATCH(I2046,I:I,0)-1,1)),D2046-C2046)</f>
        <v>#NAME?</v>
      </c>
      <c r="H2046" s="140" t="e">
        <f ca="1">mif(C2046="","",B2046=リスト!$C$5,SUMIF(INDEX(B:B,MATCH(I2046-1,I:I,0)+1,1):INDEX(B:B,MATCH(I2046,I:I,0)-1,1),リスト!$C$7,INDEX(G:G,MATCH(I2046-1,I:I,0)+1,1):INDEX(G:G,MATCH(I2046,I:I,0)-1,1)),"")</f>
        <v>#NAME?</v>
      </c>
      <c r="I2046" s="200" t="str">
        <f>IF(OR(B2046=リスト!$C$5,B2046=リスト!$C$6),COUNTIF($B$9:B2046,リスト!$C$5)+COUNTIF($B$9:B2046,リスト!$C$6),"")</f>
        <v/>
      </c>
    </row>
    <row r="2047" spans="2:9" x14ac:dyDescent="0.2">
      <c r="B2047" s="196"/>
      <c r="C2047" s="197"/>
      <c r="D2047" s="197"/>
      <c r="E2047" s="198" t="e">
        <f ca="1">mif(OR(C2047="",B2047=リスト!$C$7),"",B2047="","RF",OR(B2047=リスト!$C$5,B2047=リスト!$C$6),COUNTBLANK(INDEX(B:B,MATCH(I2047-1,I:I,0)+1,1):INDEX(B:B,MATCH(I2047,I:I,0)-1,1)),"")</f>
        <v>#NAME?</v>
      </c>
      <c r="F2047" s="199" t="s">
        <v>189</v>
      </c>
      <c r="G2047" s="140" t="e">
        <f ca="1">mif(C2047="","",OR(B2047=リスト!$C$5,B2047=リスト!$C$6),SUM(INDEX(G:G,MATCH(I2047-1,I:I,0)+1,1):INDEX(G:G,MATCH(I2047,I:I,0)-1,1)),D2047-C2047)</f>
        <v>#NAME?</v>
      </c>
      <c r="H2047" s="140" t="e">
        <f ca="1">mif(C2047="","",B2047=リスト!$C$5,SUMIF(INDEX(B:B,MATCH(I2047-1,I:I,0)+1,1):INDEX(B:B,MATCH(I2047,I:I,0)-1,1),リスト!$C$7,INDEX(G:G,MATCH(I2047-1,I:I,0)+1,1):INDEX(G:G,MATCH(I2047,I:I,0)-1,1)),"")</f>
        <v>#NAME?</v>
      </c>
      <c r="I2047" s="200" t="str">
        <f>IF(OR(B2047=リスト!$C$5,B2047=リスト!$C$6),COUNTIF($B$9:B2047,リスト!$C$5)+COUNTIF($B$9:B2047,リスト!$C$6),"")</f>
        <v/>
      </c>
    </row>
    <row r="2048" spans="2:9" x14ac:dyDescent="0.2">
      <c r="B2048" s="196"/>
      <c r="C2048" s="197"/>
      <c r="D2048" s="197"/>
      <c r="E2048" s="198" t="e">
        <f ca="1">mif(OR(C2048="",B2048=リスト!$C$7),"",B2048="","RF",OR(B2048=リスト!$C$5,B2048=リスト!$C$6),COUNTBLANK(INDEX(B:B,MATCH(I2048-1,I:I,0)+1,1):INDEX(B:B,MATCH(I2048,I:I,0)-1,1)),"")</f>
        <v>#NAME?</v>
      </c>
      <c r="F2048" s="199" t="s">
        <v>189</v>
      </c>
      <c r="G2048" s="140" t="e">
        <f ca="1">mif(C2048="","",OR(B2048=リスト!$C$5,B2048=リスト!$C$6),SUM(INDEX(G:G,MATCH(I2048-1,I:I,0)+1,1):INDEX(G:G,MATCH(I2048,I:I,0)-1,1)),D2048-C2048)</f>
        <v>#NAME?</v>
      </c>
      <c r="H2048" s="140" t="e">
        <f ca="1">mif(C2048="","",B2048=リスト!$C$5,SUMIF(INDEX(B:B,MATCH(I2048-1,I:I,0)+1,1):INDEX(B:B,MATCH(I2048,I:I,0)-1,1),リスト!$C$7,INDEX(G:G,MATCH(I2048-1,I:I,0)+1,1):INDEX(G:G,MATCH(I2048,I:I,0)-1,1)),"")</f>
        <v>#NAME?</v>
      </c>
      <c r="I2048" s="200" t="str">
        <f>IF(OR(B2048=リスト!$C$5,B2048=リスト!$C$6),COUNTIF($B$9:B2048,リスト!$C$5)+COUNTIF($B$9:B2048,リスト!$C$6),"")</f>
        <v/>
      </c>
    </row>
    <row r="2049" spans="2:9" x14ac:dyDescent="0.2">
      <c r="B2049" s="196"/>
      <c r="C2049" s="197"/>
      <c r="D2049" s="197"/>
      <c r="E2049" s="198" t="e">
        <f ca="1">mif(OR(C2049="",B2049=リスト!$C$7),"",B2049="","RF",OR(B2049=リスト!$C$5,B2049=リスト!$C$6),COUNTBLANK(INDEX(B:B,MATCH(I2049-1,I:I,0)+1,1):INDEX(B:B,MATCH(I2049,I:I,0)-1,1)),"")</f>
        <v>#NAME?</v>
      </c>
      <c r="F2049" s="199" t="s">
        <v>189</v>
      </c>
      <c r="G2049" s="140" t="e">
        <f ca="1">mif(C2049="","",OR(B2049=リスト!$C$5,B2049=リスト!$C$6),SUM(INDEX(G:G,MATCH(I2049-1,I:I,0)+1,1):INDEX(G:G,MATCH(I2049,I:I,0)-1,1)),D2049-C2049)</f>
        <v>#NAME?</v>
      </c>
      <c r="H2049" s="140" t="e">
        <f ca="1">mif(C2049="","",B2049=リスト!$C$5,SUMIF(INDEX(B:B,MATCH(I2049-1,I:I,0)+1,1):INDEX(B:B,MATCH(I2049,I:I,0)-1,1),リスト!$C$7,INDEX(G:G,MATCH(I2049-1,I:I,0)+1,1):INDEX(G:G,MATCH(I2049,I:I,0)-1,1)),"")</f>
        <v>#NAME?</v>
      </c>
      <c r="I2049" s="200" t="str">
        <f>IF(OR(B2049=リスト!$C$5,B2049=リスト!$C$6),COUNTIF($B$9:B2049,リスト!$C$5)+COUNTIF($B$9:B2049,リスト!$C$6),"")</f>
        <v/>
      </c>
    </row>
    <row r="2050" spans="2:9" x14ac:dyDescent="0.2">
      <c r="B2050" s="196"/>
      <c r="C2050" s="197"/>
      <c r="D2050" s="197"/>
      <c r="E2050" s="198" t="e">
        <f ca="1">mif(OR(C2050="",B2050=リスト!$C$7),"",B2050="","RF",OR(B2050=リスト!$C$5,B2050=リスト!$C$6),COUNTBLANK(INDEX(B:B,MATCH(I2050-1,I:I,0)+1,1):INDEX(B:B,MATCH(I2050,I:I,0)-1,1)),"")</f>
        <v>#NAME?</v>
      </c>
      <c r="F2050" s="199" t="s">
        <v>189</v>
      </c>
      <c r="G2050" s="140" t="e">
        <f ca="1">mif(C2050="","",OR(B2050=リスト!$C$5,B2050=リスト!$C$6),SUM(INDEX(G:G,MATCH(I2050-1,I:I,0)+1,1):INDEX(G:G,MATCH(I2050,I:I,0)-1,1)),D2050-C2050)</f>
        <v>#NAME?</v>
      </c>
      <c r="H2050" s="140" t="e">
        <f ca="1">mif(C2050="","",B2050=リスト!$C$5,SUMIF(INDEX(B:B,MATCH(I2050-1,I:I,0)+1,1):INDEX(B:B,MATCH(I2050,I:I,0)-1,1),リスト!$C$7,INDEX(G:G,MATCH(I2050-1,I:I,0)+1,1):INDEX(G:G,MATCH(I2050,I:I,0)-1,1)),"")</f>
        <v>#NAME?</v>
      </c>
      <c r="I2050" s="200" t="str">
        <f>IF(OR(B2050=リスト!$C$5,B2050=リスト!$C$6),COUNTIF($B$9:B2050,リスト!$C$5)+COUNTIF($B$9:B2050,リスト!$C$6),"")</f>
        <v/>
      </c>
    </row>
    <row r="2051" spans="2:9" x14ac:dyDescent="0.2">
      <c r="B2051" s="196"/>
      <c r="C2051" s="197"/>
      <c r="D2051" s="197"/>
      <c r="E2051" s="198" t="e">
        <f ca="1">mif(OR(C2051="",B2051=リスト!$C$7),"",B2051="","RF",OR(B2051=リスト!$C$5,B2051=リスト!$C$6),COUNTBLANK(INDEX(B:B,MATCH(I2051-1,I:I,0)+1,1):INDEX(B:B,MATCH(I2051,I:I,0)-1,1)),"")</f>
        <v>#NAME?</v>
      </c>
      <c r="F2051" s="199" t="s">
        <v>189</v>
      </c>
      <c r="G2051" s="140" t="e">
        <f ca="1">mif(C2051="","",OR(B2051=リスト!$C$5,B2051=リスト!$C$6),SUM(INDEX(G:G,MATCH(I2051-1,I:I,0)+1,1):INDEX(G:G,MATCH(I2051,I:I,0)-1,1)),D2051-C2051)</f>
        <v>#NAME?</v>
      </c>
      <c r="H2051" s="140" t="e">
        <f ca="1">mif(C2051="","",B2051=リスト!$C$5,SUMIF(INDEX(B:B,MATCH(I2051-1,I:I,0)+1,1):INDEX(B:B,MATCH(I2051,I:I,0)-1,1),リスト!$C$7,INDEX(G:G,MATCH(I2051-1,I:I,0)+1,1):INDEX(G:G,MATCH(I2051,I:I,0)-1,1)),"")</f>
        <v>#NAME?</v>
      </c>
      <c r="I2051" s="200" t="str">
        <f>IF(OR(B2051=リスト!$C$5,B2051=リスト!$C$6),COUNTIF($B$9:B2051,リスト!$C$5)+COUNTIF($B$9:B2051,リスト!$C$6),"")</f>
        <v/>
      </c>
    </row>
    <row r="2052" spans="2:9" x14ac:dyDescent="0.2">
      <c r="B2052" s="196"/>
      <c r="C2052" s="197"/>
      <c r="D2052" s="197"/>
      <c r="E2052" s="198" t="e">
        <f ca="1">mif(OR(C2052="",B2052=リスト!$C$7),"",B2052="","RF",OR(B2052=リスト!$C$5,B2052=リスト!$C$6),COUNTBLANK(INDEX(B:B,MATCH(I2052-1,I:I,0)+1,1):INDEX(B:B,MATCH(I2052,I:I,0)-1,1)),"")</f>
        <v>#NAME?</v>
      </c>
      <c r="F2052" s="199" t="s">
        <v>189</v>
      </c>
      <c r="G2052" s="140" t="e">
        <f ca="1">mif(C2052="","",OR(B2052=リスト!$C$5,B2052=リスト!$C$6),SUM(INDEX(G:G,MATCH(I2052-1,I:I,0)+1,1):INDEX(G:G,MATCH(I2052,I:I,0)-1,1)),D2052-C2052)</f>
        <v>#NAME?</v>
      </c>
      <c r="H2052" s="140" t="e">
        <f ca="1">mif(C2052="","",B2052=リスト!$C$5,SUMIF(INDEX(B:B,MATCH(I2052-1,I:I,0)+1,1):INDEX(B:B,MATCH(I2052,I:I,0)-1,1),リスト!$C$7,INDEX(G:G,MATCH(I2052-1,I:I,0)+1,1):INDEX(G:G,MATCH(I2052,I:I,0)-1,1)),"")</f>
        <v>#NAME?</v>
      </c>
      <c r="I2052" s="200" t="str">
        <f>IF(OR(B2052=リスト!$C$5,B2052=リスト!$C$6),COUNTIF($B$9:B2052,リスト!$C$5)+COUNTIF($B$9:B2052,リスト!$C$6),"")</f>
        <v/>
      </c>
    </row>
    <row r="2053" spans="2:9" x14ac:dyDescent="0.2">
      <c r="B2053" s="196"/>
      <c r="C2053" s="197"/>
      <c r="D2053" s="197"/>
      <c r="E2053" s="198" t="e">
        <f ca="1">mif(OR(C2053="",B2053=リスト!$C$7),"",B2053="","RF",OR(B2053=リスト!$C$5,B2053=リスト!$C$6),COUNTBLANK(INDEX(B:B,MATCH(I2053-1,I:I,0)+1,1):INDEX(B:B,MATCH(I2053,I:I,0)-1,1)),"")</f>
        <v>#NAME?</v>
      </c>
      <c r="F2053" s="199" t="s">
        <v>189</v>
      </c>
      <c r="G2053" s="140" t="e">
        <f ca="1">mif(C2053="","",OR(B2053=リスト!$C$5,B2053=リスト!$C$6),SUM(INDEX(G:G,MATCH(I2053-1,I:I,0)+1,1):INDEX(G:G,MATCH(I2053,I:I,0)-1,1)),D2053-C2053)</f>
        <v>#NAME?</v>
      </c>
      <c r="H2053" s="140" t="e">
        <f ca="1">mif(C2053="","",B2053=リスト!$C$5,SUMIF(INDEX(B:B,MATCH(I2053-1,I:I,0)+1,1):INDEX(B:B,MATCH(I2053,I:I,0)-1,1),リスト!$C$7,INDEX(G:G,MATCH(I2053-1,I:I,0)+1,1):INDEX(G:G,MATCH(I2053,I:I,0)-1,1)),"")</f>
        <v>#NAME?</v>
      </c>
      <c r="I2053" s="200" t="str">
        <f>IF(OR(B2053=リスト!$C$5,B2053=リスト!$C$6),COUNTIF($B$9:B2053,リスト!$C$5)+COUNTIF($B$9:B2053,リスト!$C$6),"")</f>
        <v/>
      </c>
    </row>
    <row r="2054" spans="2:9" x14ac:dyDescent="0.2">
      <c r="B2054" s="196"/>
      <c r="C2054" s="197"/>
      <c r="D2054" s="197"/>
      <c r="E2054" s="198" t="e">
        <f ca="1">mif(OR(C2054="",B2054=リスト!$C$7),"",B2054="","RF",OR(B2054=リスト!$C$5,B2054=リスト!$C$6),COUNTBLANK(INDEX(B:B,MATCH(I2054-1,I:I,0)+1,1):INDEX(B:B,MATCH(I2054,I:I,0)-1,1)),"")</f>
        <v>#NAME?</v>
      </c>
      <c r="F2054" s="199" t="s">
        <v>189</v>
      </c>
      <c r="G2054" s="140" t="e">
        <f ca="1">mif(C2054="","",OR(B2054=リスト!$C$5,B2054=リスト!$C$6),SUM(INDEX(G:G,MATCH(I2054-1,I:I,0)+1,1):INDEX(G:G,MATCH(I2054,I:I,0)-1,1)),D2054-C2054)</f>
        <v>#NAME?</v>
      </c>
      <c r="H2054" s="140" t="e">
        <f ca="1">mif(C2054="","",B2054=リスト!$C$5,SUMIF(INDEX(B:B,MATCH(I2054-1,I:I,0)+1,1):INDEX(B:B,MATCH(I2054,I:I,0)-1,1),リスト!$C$7,INDEX(G:G,MATCH(I2054-1,I:I,0)+1,1):INDEX(G:G,MATCH(I2054,I:I,0)-1,1)),"")</f>
        <v>#NAME?</v>
      </c>
      <c r="I2054" s="200" t="str">
        <f>IF(OR(B2054=リスト!$C$5,B2054=リスト!$C$6),COUNTIF($B$9:B2054,リスト!$C$5)+COUNTIF($B$9:B2054,リスト!$C$6),"")</f>
        <v/>
      </c>
    </row>
    <row r="2055" spans="2:9" x14ac:dyDescent="0.2">
      <c r="B2055" s="196"/>
      <c r="C2055" s="197"/>
      <c r="D2055" s="197"/>
      <c r="E2055" s="198" t="e">
        <f ca="1">mif(OR(C2055="",B2055=リスト!$C$7),"",B2055="","RF",OR(B2055=リスト!$C$5,B2055=リスト!$C$6),COUNTBLANK(INDEX(B:B,MATCH(I2055-1,I:I,0)+1,1):INDEX(B:B,MATCH(I2055,I:I,0)-1,1)),"")</f>
        <v>#NAME?</v>
      </c>
      <c r="F2055" s="199" t="s">
        <v>189</v>
      </c>
      <c r="G2055" s="140" t="e">
        <f ca="1">mif(C2055="","",OR(B2055=リスト!$C$5,B2055=リスト!$C$6),SUM(INDEX(G:G,MATCH(I2055-1,I:I,0)+1,1):INDEX(G:G,MATCH(I2055,I:I,0)-1,1)),D2055-C2055)</f>
        <v>#NAME?</v>
      </c>
      <c r="H2055" s="140" t="e">
        <f ca="1">mif(C2055="","",B2055=リスト!$C$5,SUMIF(INDEX(B:B,MATCH(I2055-1,I:I,0)+1,1):INDEX(B:B,MATCH(I2055,I:I,0)-1,1),リスト!$C$7,INDEX(G:G,MATCH(I2055-1,I:I,0)+1,1):INDEX(G:G,MATCH(I2055,I:I,0)-1,1)),"")</f>
        <v>#NAME?</v>
      </c>
      <c r="I2055" s="200" t="str">
        <f>IF(OR(B2055=リスト!$C$5,B2055=リスト!$C$6),COUNTIF($B$9:B2055,リスト!$C$5)+COUNTIF($B$9:B2055,リスト!$C$6),"")</f>
        <v/>
      </c>
    </row>
    <row r="2056" spans="2:9" x14ac:dyDescent="0.2">
      <c r="B2056" s="196"/>
      <c r="C2056" s="197"/>
      <c r="D2056" s="197"/>
      <c r="E2056" s="198" t="e">
        <f ca="1">mif(OR(C2056="",B2056=リスト!$C$7),"",B2056="","RF",OR(B2056=リスト!$C$5,B2056=リスト!$C$6),COUNTBLANK(INDEX(B:B,MATCH(I2056-1,I:I,0)+1,1):INDEX(B:B,MATCH(I2056,I:I,0)-1,1)),"")</f>
        <v>#NAME?</v>
      </c>
      <c r="F2056" s="199" t="s">
        <v>189</v>
      </c>
      <c r="G2056" s="140" t="e">
        <f ca="1">mif(C2056="","",OR(B2056=リスト!$C$5,B2056=リスト!$C$6),SUM(INDEX(G:G,MATCH(I2056-1,I:I,0)+1,1):INDEX(G:G,MATCH(I2056,I:I,0)-1,1)),D2056-C2056)</f>
        <v>#NAME?</v>
      </c>
      <c r="H2056" s="140" t="e">
        <f ca="1">mif(C2056="","",B2056=リスト!$C$5,SUMIF(INDEX(B:B,MATCH(I2056-1,I:I,0)+1,1):INDEX(B:B,MATCH(I2056,I:I,0)-1,1),リスト!$C$7,INDEX(G:G,MATCH(I2056-1,I:I,0)+1,1):INDEX(G:G,MATCH(I2056,I:I,0)-1,1)),"")</f>
        <v>#NAME?</v>
      </c>
      <c r="I2056" s="200" t="str">
        <f>IF(OR(B2056=リスト!$C$5,B2056=リスト!$C$6),COUNTIF($B$9:B2056,リスト!$C$5)+COUNTIF($B$9:B2056,リスト!$C$6),"")</f>
        <v/>
      </c>
    </row>
    <row r="2057" spans="2:9" x14ac:dyDescent="0.2">
      <c r="B2057" s="196"/>
      <c r="C2057" s="197"/>
      <c r="D2057" s="197"/>
      <c r="E2057" s="198" t="e">
        <f ca="1">mif(OR(C2057="",B2057=リスト!$C$7),"",B2057="","RF",OR(B2057=リスト!$C$5,B2057=リスト!$C$6),COUNTBLANK(INDEX(B:B,MATCH(I2057-1,I:I,0)+1,1):INDEX(B:B,MATCH(I2057,I:I,0)-1,1)),"")</f>
        <v>#NAME?</v>
      </c>
      <c r="F2057" s="199" t="s">
        <v>189</v>
      </c>
      <c r="G2057" s="140" t="e">
        <f ca="1">mif(C2057="","",OR(B2057=リスト!$C$5,B2057=リスト!$C$6),SUM(INDEX(G:G,MATCH(I2057-1,I:I,0)+1,1):INDEX(G:G,MATCH(I2057,I:I,0)-1,1)),D2057-C2057)</f>
        <v>#NAME?</v>
      </c>
      <c r="H2057" s="140" t="e">
        <f ca="1">mif(C2057="","",B2057=リスト!$C$5,SUMIF(INDEX(B:B,MATCH(I2057-1,I:I,0)+1,1):INDEX(B:B,MATCH(I2057,I:I,0)-1,1),リスト!$C$7,INDEX(G:G,MATCH(I2057-1,I:I,0)+1,1):INDEX(G:G,MATCH(I2057,I:I,0)-1,1)),"")</f>
        <v>#NAME?</v>
      </c>
      <c r="I2057" s="200" t="str">
        <f>IF(OR(B2057=リスト!$C$5,B2057=リスト!$C$6),COUNTIF($B$9:B2057,リスト!$C$5)+COUNTIF($B$9:B2057,リスト!$C$6),"")</f>
        <v/>
      </c>
    </row>
    <row r="2058" spans="2:9" x14ac:dyDescent="0.2">
      <c r="B2058" s="196"/>
      <c r="C2058" s="197"/>
      <c r="D2058" s="197"/>
      <c r="E2058" s="198" t="e">
        <f ca="1">mif(OR(C2058="",B2058=リスト!$C$7),"",B2058="","RF",OR(B2058=リスト!$C$5,B2058=リスト!$C$6),COUNTBLANK(INDEX(B:B,MATCH(I2058-1,I:I,0)+1,1):INDEX(B:B,MATCH(I2058,I:I,0)-1,1)),"")</f>
        <v>#NAME?</v>
      </c>
      <c r="F2058" s="199" t="s">
        <v>189</v>
      </c>
      <c r="G2058" s="140" t="e">
        <f ca="1">mif(C2058="","",OR(B2058=リスト!$C$5,B2058=リスト!$C$6),SUM(INDEX(G:G,MATCH(I2058-1,I:I,0)+1,1):INDEX(G:G,MATCH(I2058,I:I,0)-1,1)),D2058-C2058)</f>
        <v>#NAME?</v>
      </c>
      <c r="H2058" s="140" t="e">
        <f ca="1">mif(C2058="","",B2058=リスト!$C$5,SUMIF(INDEX(B:B,MATCH(I2058-1,I:I,0)+1,1):INDEX(B:B,MATCH(I2058,I:I,0)-1,1),リスト!$C$7,INDEX(G:G,MATCH(I2058-1,I:I,0)+1,1):INDEX(G:G,MATCH(I2058,I:I,0)-1,1)),"")</f>
        <v>#NAME?</v>
      </c>
      <c r="I2058" s="200" t="str">
        <f>IF(OR(B2058=リスト!$C$5,B2058=リスト!$C$6),COUNTIF($B$9:B2058,リスト!$C$5)+COUNTIF($B$9:B2058,リスト!$C$6),"")</f>
        <v/>
      </c>
    </row>
    <row r="2059" spans="2:9" x14ac:dyDescent="0.2">
      <c r="B2059" s="196"/>
      <c r="C2059" s="197"/>
      <c r="D2059" s="197"/>
      <c r="E2059" s="198" t="e">
        <f ca="1">mif(OR(C2059="",B2059=リスト!$C$7),"",B2059="","RF",OR(B2059=リスト!$C$5,B2059=リスト!$C$6),COUNTBLANK(INDEX(B:B,MATCH(I2059-1,I:I,0)+1,1):INDEX(B:B,MATCH(I2059,I:I,0)-1,1)),"")</f>
        <v>#NAME?</v>
      </c>
      <c r="F2059" s="199" t="s">
        <v>189</v>
      </c>
      <c r="G2059" s="140" t="e">
        <f ca="1">mif(C2059="","",OR(B2059=リスト!$C$5,B2059=リスト!$C$6),SUM(INDEX(G:G,MATCH(I2059-1,I:I,0)+1,1):INDEX(G:G,MATCH(I2059,I:I,0)-1,1)),D2059-C2059)</f>
        <v>#NAME?</v>
      </c>
      <c r="H2059" s="140" t="e">
        <f ca="1">mif(C2059="","",B2059=リスト!$C$5,SUMIF(INDEX(B:B,MATCH(I2059-1,I:I,0)+1,1):INDEX(B:B,MATCH(I2059,I:I,0)-1,1),リスト!$C$7,INDEX(G:G,MATCH(I2059-1,I:I,0)+1,1):INDEX(G:G,MATCH(I2059,I:I,0)-1,1)),"")</f>
        <v>#NAME?</v>
      </c>
      <c r="I2059" s="200" t="str">
        <f>IF(OR(B2059=リスト!$C$5,B2059=リスト!$C$6),COUNTIF($B$9:B2059,リスト!$C$5)+COUNTIF($B$9:B2059,リスト!$C$6),"")</f>
        <v/>
      </c>
    </row>
    <row r="2060" spans="2:9" x14ac:dyDescent="0.2">
      <c r="B2060" s="196"/>
      <c r="C2060" s="197"/>
      <c r="D2060" s="197"/>
      <c r="E2060" s="198" t="e">
        <f ca="1">mif(OR(C2060="",B2060=リスト!$C$7),"",B2060="","RF",OR(B2060=リスト!$C$5,B2060=リスト!$C$6),COUNTBLANK(INDEX(B:B,MATCH(I2060-1,I:I,0)+1,1):INDEX(B:B,MATCH(I2060,I:I,0)-1,1)),"")</f>
        <v>#NAME?</v>
      </c>
      <c r="F2060" s="199" t="s">
        <v>189</v>
      </c>
      <c r="G2060" s="140" t="e">
        <f ca="1">mif(C2060="","",OR(B2060=リスト!$C$5,B2060=リスト!$C$6),SUM(INDEX(G:G,MATCH(I2060-1,I:I,0)+1,1):INDEX(G:G,MATCH(I2060,I:I,0)-1,1)),D2060-C2060)</f>
        <v>#NAME?</v>
      </c>
      <c r="H2060" s="140" t="e">
        <f ca="1">mif(C2060="","",B2060=リスト!$C$5,SUMIF(INDEX(B:B,MATCH(I2060-1,I:I,0)+1,1):INDEX(B:B,MATCH(I2060,I:I,0)-1,1),リスト!$C$7,INDEX(G:G,MATCH(I2060-1,I:I,0)+1,1):INDEX(G:G,MATCH(I2060,I:I,0)-1,1)),"")</f>
        <v>#NAME?</v>
      </c>
      <c r="I2060" s="200" t="str">
        <f>IF(OR(B2060=リスト!$C$5,B2060=リスト!$C$6),COUNTIF($B$9:B2060,リスト!$C$5)+COUNTIF($B$9:B2060,リスト!$C$6),"")</f>
        <v/>
      </c>
    </row>
    <row r="2061" spans="2:9" x14ac:dyDescent="0.2">
      <c r="B2061" s="196"/>
      <c r="C2061" s="197"/>
      <c r="D2061" s="197"/>
      <c r="E2061" s="198" t="e">
        <f ca="1">mif(OR(C2061="",B2061=リスト!$C$7),"",B2061="","RF",OR(B2061=リスト!$C$5,B2061=リスト!$C$6),COUNTBLANK(INDEX(B:B,MATCH(I2061-1,I:I,0)+1,1):INDEX(B:B,MATCH(I2061,I:I,0)-1,1)),"")</f>
        <v>#NAME?</v>
      </c>
      <c r="F2061" s="199" t="s">
        <v>189</v>
      </c>
      <c r="G2061" s="140" t="e">
        <f ca="1">mif(C2061="","",OR(B2061=リスト!$C$5,B2061=リスト!$C$6),SUM(INDEX(G:G,MATCH(I2061-1,I:I,0)+1,1):INDEX(G:G,MATCH(I2061,I:I,0)-1,1)),D2061-C2061)</f>
        <v>#NAME?</v>
      </c>
      <c r="H2061" s="140" t="e">
        <f ca="1">mif(C2061="","",B2061=リスト!$C$5,SUMIF(INDEX(B:B,MATCH(I2061-1,I:I,0)+1,1):INDEX(B:B,MATCH(I2061,I:I,0)-1,1),リスト!$C$7,INDEX(G:G,MATCH(I2061-1,I:I,0)+1,1):INDEX(G:G,MATCH(I2061,I:I,0)-1,1)),"")</f>
        <v>#NAME?</v>
      </c>
      <c r="I2061" s="200" t="str">
        <f>IF(OR(B2061=リスト!$C$5,B2061=リスト!$C$6),COUNTIF($B$9:B2061,リスト!$C$5)+COUNTIF($B$9:B2061,リスト!$C$6),"")</f>
        <v/>
      </c>
    </row>
    <row r="2062" spans="2:9" x14ac:dyDescent="0.2">
      <c r="B2062" s="196"/>
      <c r="C2062" s="197"/>
      <c r="D2062" s="197"/>
      <c r="E2062" s="198" t="e">
        <f ca="1">mif(OR(C2062="",B2062=リスト!$C$7),"",B2062="","RF",OR(B2062=リスト!$C$5,B2062=リスト!$C$6),COUNTBLANK(INDEX(B:B,MATCH(I2062-1,I:I,0)+1,1):INDEX(B:B,MATCH(I2062,I:I,0)-1,1)),"")</f>
        <v>#NAME?</v>
      </c>
      <c r="F2062" s="199" t="s">
        <v>189</v>
      </c>
      <c r="G2062" s="140" t="e">
        <f ca="1">mif(C2062="","",OR(B2062=リスト!$C$5,B2062=リスト!$C$6),SUM(INDEX(G:G,MATCH(I2062-1,I:I,0)+1,1):INDEX(G:G,MATCH(I2062,I:I,0)-1,1)),D2062-C2062)</f>
        <v>#NAME?</v>
      </c>
      <c r="H2062" s="140" t="e">
        <f ca="1">mif(C2062="","",B2062=リスト!$C$5,SUMIF(INDEX(B:B,MATCH(I2062-1,I:I,0)+1,1):INDEX(B:B,MATCH(I2062,I:I,0)-1,1),リスト!$C$7,INDEX(G:G,MATCH(I2062-1,I:I,0)+1,1):INDEX(G:G,MATCH(I2062,I:I,0)-1,1)),"")</f>
        <v>#NAME?</v>
      </c>
      <c r="I2062" s="200" t="str">
        <f>IF(OR(B2062=リスト!$C$5,B2062=リスト!$C$6),COUNTIF($B$9:B2062,リスト!$C$5)+COUNTIF($B$9:B2062,リスト!$C$6),"")</f>
        <v/>
      </c>
    </row>
    <row r="2063" spans="2:9" x14ac:dyDescent="0.2">
      <c r="B2063" s="196"/>
      <c r="C2063" s="197"/>
      <c r="D2063" s="197"/>
      <c r="E2063" s="198" t="e">
        <f ca="1">mif(OR(C2063="",B2063=リスト!$C$7),"",B2063="","RF",OR(B2063=リスト!$C$5,B2063=リスト!$C$6),COUNTBLANK(INDEX(B:B,MATCH(I2063-1,I:I,0)+1,1):INDEX(B:B,MATCH(I2063,I:I,0)-1,1)),"")</f>
        <v>#NAME?</v>
      </c>
      <c r="F2063" s="199" t="s">
        <v>189</v>
      </c>
      <c r="G2063" s="140" t="e">
        <f ca="1">mif(C2063="","",OR(B2063=リスト!$C$5,B2063=リスト!$C$6),SUM(INDEX(G:G,MATCH(I2063-1,I:I,0)+1,1):INDEX(G:G,MATCH(I2063,I:I,0)-1,1)),D2063-C2063)</f>
        <v>#NAME?</v>
      </c>
      <c r="H2063" s="140" t="e">
        <f ca="1">mif(C2063="","",B2063=リスト!$C$5,SUMIF(INDEX(B:B,MATCH(I2063-1,I:I,0)+1,1):INDEX(B:B,MATCH(I2063,I:I,0)-1,1),リスト!$C$7,INDEX(G:G,MATCH(I2063-1,I:I,0)+1,1):INDEX(G:G,MATCH(I2063,I:I,0)-1,1)),"")</f>
        <v>#NAME?</v>
      </c>
      <c r="I2063" s="200" t="str">
        <f>IF(OR(B2063=リスト!$C$5,B2063=リスト!$C$6),COUNTIF($B$9:B2063,リスト!$C$5)+COUNTIF($B$9:B2063,リスト!$C$6),"")</f>
        <v/>
      </c>
    </row>
    <row r="2064" spans="2:9" x14ac:dyDescent="0.2">
      <c r="B2064" s="196"/>
      <c r="C2064" s="197"/>
      <c r="D2064" s="197"/>
      <c r="E2064" s="198" t="e">
        <f ca="1">mif(OR(C2064="",B2064=リスト!$C$7),"",B2064="","RF",OR(B2064=リスト!$C$5,B2064=リスト!$C$6),COUNTBLANK(INDEX(B:B,MATCH(I2064-1,I:I,0)+1,1):INDEX(B:B,MATCH(I2064,I:I,0)-1,1)),"")</f>
        <v>#NAME?</v>
      </c>
      <c r="F2064" s="199" t="s">
        <v>189</v>
      </c>
      <c r="G2064" s="140" t="e">
        <f ca="1">mif(C2064="","",OR(B2064=リスト!$C$5,B2064=リスト!$C$6),SUM(INDEX(G:G,MATCH(I2064-1,I:I,0)+1,1):INDEX(G:G,MATCH(I2064,I:I,0)-1,1)),D2064-C2064)</f>
        <v>#NAME?</v>
      </c>
      <c r="H2064" s="140" t="e">
        <f ca="1">mif(C2064="","",B2064=リスト!$C$5,SUMIF(INDEX(B:B,MATCH(I2064-1,I:I,0)+1,1):INDEX(B:B,MATCH(I2064,I:I,0)-1,1),リスト!$C$7,INDEX(G:G,MATCH(I2064-1,I:I,0)+1,1):INDEX(G:G,MATCH(I2064,I:I,0)-1,1)),"")</f>
        <v>#NAME?</v>
      </c>
      <c r="I2064" s="200" t="str">
        <f>IF(OR(B2064=リスト!$C$5,B2064=リスト!$C$6),COUNTIF($B$9:B2064,リスト!$C$5)+COUNTIF($B$9:B2064,リスト!$C$6),"")</f>
        <v/>
      </c>
    </row>
    <row r="2065" spans="2:9" x14ac:dyDescent="0.2">
      <c r="B2065" s="196"/>
      <c r="C2065" s="197"/>
      <c r="D2065" s="197"/>
      <c r="E2065" s="198" t="e">
        <f ca="1">mif(OR(C2065="",B2065=リスト!$C$7),"",B2065="","RF",OR(B2065=リスト!$C$5,B2065=リスト!$C$6),COUNTBLANK(INDEX(B:B,MATCH(I2065-1,I:I,0)+1,1):INDEX(B:B,MATCH(I2065,I:I,0)-1,1)),"")</f>
        <v>#NAME?</v>
      </c>
      <c r="F2065" s="199" t="s">
        <v>189</v>
      </c>
      <c r="G2065" s="140" t="e">
        <f ca="1">mif(C2065="","",OR(B2065=リスト!$C$5,B2065=リスト!$C$6),SUM(INDEX(G:G,MATCH(I2065-1,I:I,0)+1,1):INDEX(G:G,MATCH(I2065,I:I,0)-1,1)),D2065-C2065)</f>
        <v>#NAME?</v>
      </c>
      <c r="H2065" s="140" t="e">
        <f ca="1">mif(C2065="","",B2065=リスト!$C$5,SUMIF(INDEX(B:B,MATCH(I2065-1,I:I,0)+1,1):INDEX(B:B,MATCH(I2065,I:I,0)-1,1),リスト!$C$7,INDEX(G:G,MATCH(I2065-1,I:I,0)+1,1):INDEX(G:G,MATCH(I2065,I:I,0)-1,1)),"")</f>
        <v>#NAME?</v>
      </c>
      <c r="I2065" s="200" t="str">
        <f>IF(OR(B2065=リスト!$C$5,B2065=リスト!$C$6),COUNTIF($B$9:B2065,リスト!$C$5)+COUNTIF($B$9:B2065,リスト!$C$6),"")</f>
        <v/>
      </c>
    </row>
    <row r="2066" spans="2:9" x14ac:dyDescent="0.2">
      <c r="B2066" s="196"/>
      <c r="C2066" s="197"/>
      <c r="D2066" s="197"/>
      <c r="E2066" s="198" t="e">
        <f ca="1">mif(OR(C2066="",B2066=リスト!$C$7),"",B2066="","RF",OR(B2066=リスト!$C$5,B2066=リスト!$C$6),COUNTBLANK(INDEX(B:B,MATCH(I2066-1,I:I,0)+1,1):INDEX(B:B,MATCH(I2066,I:I,0)-1,1)),"")</f>
        <v>#NAME?</v>
      </c>
      <c r="F2066" s="199" t="s">
        <v>189</v>
      </c>
      <c r="G2066" s="140" t="e">
        <f ca="1">mif(C2066="","",OR(B2066=リスト!$C$5,B2066=リスト!$C$6),SUM(INDEX(G:G,MATCH(I2066-1,I:I,0)+1,1):INDEX(G:G,MATCH(I2066,I:I,0)-1,1)),D2066-C2066)</f>
        <v>#NAME?</v>
      </c>
      <c r="H2066" s="140" t="e">
        <f ca="1">mif(C2066="","",B2066=リスト!$C$5,SUMIF(INDEX(B:B,MATCH(I2066-1,I:I,0)+1,1):INDEX(B:B,MATCH(I2066,I:I,0)-1,1),リスト!$C$7,INDEX(G:G,MATCH(I2066-1,I:I,0)+1,1):INDEX(G:G,MATCH(I2066,I:I,0)-1,1)),"")</f>
        <v>#NAME?</v>
      </c>
      <c r="I2066" s="200" t="str">
        <f>IF(OR(B2066=リスト!$C$5,B2066=リスト!$C$6),COUNTIF($B$9:B2066,リスト!$C$5)+COUNTIF($B$9:B2066,リスト!$C$6),"")</f>
        <v/>
      </c>
    </row>
    <row r="2067" spans="2:9" x14ac:dyDescent="0.2">
      <c r="B2067" s="196"/>
      <c r="C2067" s="197"/>
      <c r="D2067" s="197"/>
      <c r="E2067" s="198" t="e">
        <f ca="1">mif(OR(C2067="",B2067=リスト!$C$7),"",B2067="","RF",OR(B2067=リスト!$C$5,B2067=リスト!$C$6),COUNTBLANK(INDEX(B:B,MATCH(I2067-1,I:I,0)+1,1):INDEX(B:B,MATCH(I2067,I:I,0)-1,1)),"")</f>
        <v>#NAME?</v>
      </c>
      <c r="F2067" s="199" t="s">
        <v>189</v>
      </c>
      <c r="G2067" s="140" t="e">
        <f ca="1">mif(C2067="","",OR(B2067=リスト!$C$5,B2067=リスト!$C$6),SUM(INDEX(G:G,MATCH(I2067-1,I:I,0)+1,1):INDEX(G:G,MATCH(I2067,I:I,0)-1,1)),D2067-C2067)</f>
        <v>#NAME?</v>
      </c>
      <c r="H2067" s="140" t="e">
        <f ca="1">mif(C2067="","",B2067=リスト!$C$5,SUMIF(INDEX(B:B,MATCH(I2067-1,I:I,0)+1,1):INDEX(B:B,MATCH(I2067,I:I,0)-1,1),リスト!$C$7,INDEX(G:G,MATCH(I2067-1,I:I,0)+1,1):INDEX(G:G,MATCH(I2067,I:I,0)-1,1)),"")</f>
        <v>#NAME?</v>
      </c>
      <c r="I2067" s="200" t="str">
        <f>IF(OR(B2067=リスト!$C$5,B2067=リスト!$C$6),COUNTIF($B$9:B2067,リスト!$C$5)+COUNTIF($B$9:B2067,リスト!$C$6),"")</f>
        <v/>
      </c>
    </row>
    <row r="2068" spans="2:9" x14ac:dyDescent="0.2">
      <c r="B2068" s="196"/>
      <c r="C2068" s="197"/>
      <c r="D2068" s="197"/>
      <c r="E2068" s="198" t="e">
        <f ca="1">mif(OR(C2068="",B2068=リスト!$C$7),"",B2068="","RF",OR(B2068=リスト!$C$5,B2068=リスト!$C$6),COUNTBLANK(INDEX(B:B,MATCH(I2068-1,I:I,0)+1,1):INDEX(B:B,MATCH(I2068,I:I,0)-1,1)),"")</f>
        <v>#NAME?</v>
      </c>
      <c r="F2068" s="199" t="s">
        <v>189</v>
      </c>
      <c r="G2068" s="140" t="e">
        <f ca="1">mif(C2068="","",OR(B2068=リスト!$C$5,B2068=リスト!$C$6),SUM(INDEX(G:G,MATCH(I2068-1,I:I,0)+1,1):INDEX(G:G,MATCH(I2068,I:I,0)-1,1)),D2068-C2068)</f>
        <v>#NAME?</v>
      </c>
      <c r="H2068" s="140" t="e">
        <f ca="1">mif(C2068="","",B2068=リスト!$C$5,SUMIF(INDEX(B:B,MATCH(I2068-1,I:I,0)+1,1):INDEX(B:B,MATCH(I2068,I:I,0)-1,1),リスト!$C$7,INDEX(G:G,MATCH(I2068-1,I:I,0)+1,1):INDEX(G:G,MATCH(I2068,I:I,0)-1,1)),"")</f>
        <v>#NAME?</v>
      </c>
      <c r="I2068" s="200" t="str">
        <f>IF(OR(B2068=リスト!$C$5,B2068=リスト!$C$6),COUNTIF($B$9:B2068,リスト!$C$5)+COUNTIF($B$9:B2068,リスト!$C$6),"")</f>
        <v/>
      </c>
    </row>
    <row r="2069" spans="2:9" x14ac:dyDescent="0.2">
      <c r="B2069" s="196"/>
      <c r="C2069" s="197"/>
      <c r="D2069" s="197"/>
      <c r="E2069" s="198" t="e">
        <f ca="1">mif(OR(C2069="",B2069=リスト!$C$7),"",B2069="","RF",OR(B2069=リスト!$C$5,B2069=リスト!$C$6),COUNTBLANK(INDEX(B:B,MATCH(I2069-1,I:I,0)+1,1):INDEX(B:B,MATCH(I2069,I:I,0)-1,1)),"")</f>
        <v>#NAME?</v>
      </c>
      <c r="F2069" s="199" t="s">
        <v>189</v>
      </c>
      <c r="G2069" s="140" t="e">
        <f ca="1">mif(C2069="","",OR(B2069=リスト!$C$5,B2069=リスト!$C$6),SUM(INDEX(G:G,MATCH(I2069-1,I:I,0)+1,1):INDEX(G:G,MATCH(I2069,I:I,0)-1,1)),D2069-C2069)</f>
        <v>#NAME?</v>
      </c>
      <c r="H2069" s="140" t="e">
        <f ca="1">mif(C2069="","",B2069=リスト!$C$5,SUMIF(INDEX(B:B,MATCH(I2069-1,I:I,0)+1,1):INDEX(B:B,MATCH(I2069,I:I,0)-1,1),リスト!$C$7,INDEX(G:G,MATCH(I2069-1,I:I,0)+1,1):INDEX(G:G,MATCH(I2069,I:I,0)-1,1)),"")</f>
        <v>#NAME?</v>
      </c>
      <c r="I2069" s="200" t="str">
        <f>IF(OR(B2069=リスト!$C$5,B2069=リスト!$C$6),COUNTIF($B$9:B2069,リスト!$C$5)+COUNTIF($B$9:B2069,リスト!$C$6),"")</f>
        <v/>
      </c>
    </row>
    <row r="2070" spans="2:9" x14ac:dyDescent="0.2">
      <c r="B2070" s="196"/>
      <c r="C2070" s="197"/>
      <c r="D2070" s="197"/>
      <c r="E2070" s="198" t="e">
        <f ca="1">mif(OR(C2070="",B2070=リスト!$C$7),"",B2070="","RF",OR(B2070=リスト!$C$5,B2070=リスト!$C$6),COUNTBLANK(INDEX(B:B,MATCH(I2070-1,I:I,0)+1,1):INDEX(B:B,MATCH(I2070,I:I,0)-1,1)),"")</f>
        <v>#NAME?</v>
      </c>
      <c r="F2070" s="199" t="s">
        <v>189</v>
      </c>
      <c r="G2070" s="140" t="e">
        <f ca="1">mif(C2070="","",OR(B2070=リスト!$C$5,B2070=リスト!$C$6),SUM(INDEX(G:G,MATCH(I2070-1,I:I,0)+1,1):INDEX(G:G,MATCH(I2070,I:I,0)-1,1)),D2070-C2070)</f>
        <v>#NAME?</v>
      </c>
      <c r="H2070" s="140" t="e">
        <f ca="1">mif(C2070="","",B2070=リスト!$C$5,SUMIF(INDEX(B:B,MATCH(I2070-1,I:I,0)+1,1):INDEX(B:B,MATCH(I2070,I:I,0)-1,1),リスト!$C$7,INDEX(G:G,MATCH(I2070-1,I:I,0)+1,1):INDEX(G:G,MATCH(I2070,I:I,0)-1,1)),"")</f>
        <v>#NAME?</v>
      </c>
      <c r="I2070" s="200" t="str">
        <f>IF(OR(B2070=リスト!$C$5,B2070=リスト!$C$6),COUNTIF($B$9:B2070,リスト!$C$5)+COUNTIF($B$9:B2070,リスト!$C$6),"")</f>
        <v/>
      </c>
    </row>
    <row r="2071" spans="2:9" x14ac:dyDescent="0.2">
      <c r="B2071" s="196"/>
      <c r="C2071" s="197"/>
      <c r="D2071" s="197"/>
      <c r="E2071" s="198" t="e">
        <f ca="1">mif(OR(C2071="",B2071=リスト!$C$7),"",B2071="","RF",OR(B2071=リスト!$C$5,B2071=リスト!$C$6),COUNTBLANK(INDEX(B:B,MATCH(I2071-1,I:I,0)+1,1):INDEX(B:B,MATCH(I2071,I:I,0)-1,1)),"")</f>
        <v>#NAME?</v>
      </c>
      <c r="F2071" s="199" t="s">
        <v>189</v>
      </c>
      <c r="G2071" s="140" t="e">
        <f ca="1">mif(C2071="","",OR(B2071=リスト!$C$5,B2071=リスト!$C$6),SUM(INDEX(G:G,MATCH(I2071-1,I:I,0)+1,1):INDEX(G:G,MATCH(I2071,I:I,0)-1,1)),D2071-C2071)</f>
        <v>#NAME?</v>
      </c>
      <c r="H2071" s="140" t="e">
        <f ca="1">mif(C2071="","",B2071=リスト!$C$5,SUMIF(INDEX(B:B,MATCH(I2071-1,I:I,0)+1,1):INDEX(B:B,MATCH(I2071,I:I,0)-1,1),リスト!$C$7,INDEX(G:G,MATCH(I2071-1,I:I,0)+1,1):INDEX(G:G,MATCH(I2071,I:I,0)-1,1)),"")</f>
        <v>#NAME?</v>
      </c>
      <c r="I2071" s="200" t="str">
        <f>IF(OR(B2071=リスト!$C$5,B2071=リスト!$C$6),COUNTIF($B$9:B2071,リスト!$C$5)+COUNTIF($B$9:B2071,リスト!$C$6),"")</f>
        <v/>
      </c>
    </row>
    <row r="2072" spans="2:9" x14ac:dyDescent="0.2">
      <c r="B2072" s="196"/>
      <c r="C2072" s="197"/>
      <c r="D2072" s="197"/>
      <c r="E2072" s="198" t="e">
        <f ca="1">mif(OR(C2072="",B2072=リスト!$C$7),"",B2072="","RF",OR(B2072=リスト!$C$5,B2072=リスト!$C$6),COUNTBLANK(INDEX(B:B,MATCH(I2072-1,I:I,0)+1,1):INDEX(B:B,MATCH(I2072,I:I,0)-1,1)),"")</f>
        <v>#NAME?</v>
      </c>
      <c r="F2072" s="199" t="s">
        <v>189</v>
      </c>
      <c r="G2072" s="140" t="e">
        <f ca="1">mif(C2072="","",OR(B2072=リスト!$C$5,B2072=リスト!$C$6),SUM(INDEX(G:G,MATCH(I2072-1,I:I,0)+1,1):INDEX(G:G,MATCH(I2072,I:I,0)-1,1)),D2072-C2072)</f>
        <v>#NAME?</v>
      </c>
      <c r="H2072" s="140" t="e">
        <f ca="1">mif(C2072="","",B2072=リスト!$C$5,SUMIF(INDEX(B:B,MATCH(I2072-1,I:I,0)+1,1):INDEX(B:B,MATCH(I2072,I:I,0)-1,1),リスト!$C$7,INDEX(G:G,MATCH(I2072-1,I:I,0)+1,1):INDEX(G:G,MATCH(I2072,I:I,0)-1,1)),"")</f>
        <v>#NAME?</v>
      </c>
      <c r="I2072" s="200" t="str">
        <f>IF(OR(B2072=リスト!$C$5,B2072=リスト!$C$6),COUNTIF($B$9:B2072,リスト!$C$5)+COUNTIF($B$9:B2072,リスト!$C$6),"")</f>
        <v/>
      </c>
    </row>
    <row r="2073" spans="2:9" x14ac:dyDescent="0.2">
      <c r="B2073" s="196"/>
      <c r="C2073" s="197"/>
      <c r="D2073" s="197"/>
      <c r="E2073" s="198" t="e">
        <f ca="1">mif(OR(C2073="",B2073=リスト!$C$7),"",B2073="","RF",OR(B2073=リスト!$C$5,B2073=リスト!$C$6),COUNTBLANK(INDEX(B:B,MATCH(I2073-1,I:I,0)+1,1):INDEX(B:B,MATCH(I2073,I:I,0)-1,1)),"")</f>
        <v>#NAME?</v>
      </c>
      <c r="F2073" s="199" t="s">
        <v>189</v>
      </c>
      <c r="G2073" s="140" t="e">
        <f ca="1">mif(C2073="","",OR(B2073=リスト!$C$5,B2073=リスト!$C$6),SUM(INDEX(G:G,MATCH(I2073-1,I:I,0)+1,1):INDEX(G:G,MATCH(I2073,I:I,0)-1,1)),D2073-C2073)</f>
        <v>#NAME?</v>
      </c>
      <c r="H2073" s="140" t="e">
        <f ca="1">mif(C2073="","",B2073=リスト!$C$5,SUMIF(INDEX(B:B,MATCH(I2073-1,I:I,0)+1,1):INDEX(B:B,MATCH(I2073,I:I,0)-1,1),リスト!$C$7,INDEX(G:G,MATCH(I2073-1,I:I,0)+1,1):INDEX(G:G,MATCH(I2073,I:I,0)-1,1)),"")</f>
        <v>#NAME?</v>
      </c>
      <c r="I2073" s="200" t="str">
        <f>IF(OR(B2073=リスト!$C$5,B2073=リスト!$C$6),COUNTIF($B$9:B2073,リスト!$C$5)+COUNTIF($B$9:B2073,リスト!$C$6),"")</f>
        <v/>
      </c>
    </row>
    <row r="2074" spans="2:9" x14ac:dyDescent="0.2">
      <c r="B2074" s="196"/>
      <c r="C2074" s="197"/>
      <c r="D2074" s="197"/>
      <c r="E2074" s="198" t="e">
        <f ca="1">mif(OR(C2074="",B2074=リスト!$C$7),"",B2074="","RF",OR(B2074=リスト!$C$5,B2074=リスト!$C$6),COUNTBLANK(INDEX(B:B,MATCH(I2074-1,I:I,0)+1,1):INDEX(B:B,MATCH(I2074,I:I,0)-1,1)),"")</f>
        <v>#NAME?</v>
      </c>
      <c r="F2074" s="199" t="s">
        <v>189</v>
      </c>
      <c r="G2074" s="140" t="e">
        <f ca="1">mif(C2074="","",OR(B2074=リスト!$C$5,B2074=リスト!$C$6),SUM(INDEX(G:G,MATCH(I2074-1,I:I,0)+1,1):INDEX(G:G,MATCH(I2074,I:I,0)-1,1)),D2074-C2074)</f>
        <v>#NAME?</v>
      </c>
      <c r="H2074" s="140" t="e">
        <f ca="1">mif(C2074="","",B2074=リスト!$C$5,SUMIF(INDEX(B:B,MATCH(I2074-1,I:I,0)+1,1):INDEX(B:B,MATCH(I2074,I:I,0)-1,1),リスト!$C$7,INDEX(G:G,MATCH(I2074-1,I:I,0)+1,1):INDEX(G:G,MATCH(I2074,I:I,0)-1,1)),"")</f>
        <v>#NAME?</v>
      </c>
      <c r="I2074" s="200" t="str">
        <f>IF(OR(B2074=リスト!$C$5,B2074=リスト!$C$6),COUNTIF($B$9:B2074,リスト!$C$5)+COUNTIF($B$9:B2074,リスト!$C$6),"")</f>
        <v/>
      </c>
    </row>
    <row r="2075" spans="2:9" x14ac:dyDescent="0.2">
      <c r="B2075" s="196"/>
      <c r="C2075" s="197"/>
      <c r="D2075" s="197"/>
      <c r="E2075" s="198" t="e">
        <f ca="1">mif(OR(C2075="",B2075=リスト!$C$7),"",B2075="","RF",OR(B2075=リスト!$C$5,B2075=リスト!$C$6),COUNTBLANK(INDEX(B:B,MATCH(I2075-1,I:I,0)+1,1):INDEX(B:B,MATCH(I2075,I:I,0)-1,1)),"")</f>
        <v>#NAME?</v>
      </c>
      <c r="F2075" s="199" t="s">
        <v>189</v>
      </c>
      <c r="G2075" s="140" t="e">
        <f ca="1">mif(C2075="","",OR(B2075=リスト!$C$5,B2075=リスト!$C$6),SUM(INDEX(G:G,MATCH(I2075-1,I:I,0)+1,1):INDEX(G:G,MATCH(I2075,I:I,0)-1,1)),D2075-C2075)</f>
        <v>#NAME?</v>
      </c>
      <c r="H2075" s="140" t="e">
        <f ca="1">mif(C2075="","",B2075=リスト!$C$5,SUMIF(INDEX(B:B,MATCH(I2075-1,I:I,0)+1,1):INDEX(B:B,MATCH(I2075,I:I,0)-1,1),リスト!$C$7,INDEX(G:G,MATCH(I2075-1,I:I,0)+1,1):INDEX(G:G,MATCH(I2075,I:I,0)-1,1)),"")</f>
        <v>#NAME?</v>
      </c>
      <c r="I2075" s="200" t="str">
        <f>IF(OR(B2075=リスト!$C$5,B2075=リスト!$C$6),COUNTIF($B$9:B2075,リスト!$C$5)+COUNTIF($B$9:B2075,リスト!$C$6),"")</f>
        <v/>
      </c>
    </row>
    <row r="2076" spans="2:9" x14ac:dyDescent="0.2">
      <c r="B2076" s="196"/>
      <c r="C2076" s="197"/>
      <c r="D2076" s="197"/>
      <c r="E2076" s="198" t="e">
        <f ca="1">mif(OR(C2076="",B2076=リスト!$C$7),"",B2076="","RF",OR(B2076=リスト!$C$5,B2076=リスト!$C$6),COUNTBLANK(INDEX(B:B,MATCH(I2076-1,I:I,0)+1,1):INDEX(B:B,MATCH(I2076,I:I,0)-1,1)),"")</f>
        <v>#NAME?</v>
      </c>
      <c r="F2076" s="199" t="s">
        <v>189</v>
      </c>
      <c r="G2076" s="140" t="e">
        <f ca="1">mif(C2076="","",OR(B2076=リスト!$C$5,B2076=リスト!$C$6),SUM(INDEX(G:G,MATCH(I2076-1,I:I,0)+1,1):INDEX(G:G,MATCH(I2076,I:I,0)-1,1)),D2076-C2076)</f>
        <v>#NAME?</v>
      </c>
      <c r="H2076" s="140" t="e">
        <f ca="1">mif(C2076="","",B2076=リスト!$C$5,SUMIF(INDEX(B:B,MATCH(I2076-1,I:I,0)+1,1):INDEX(B:B,MATCH(I2076,I:I,0)-1,1),リスト!$C$7,INDEX(G:G,MATCH(I2076-1,I:I,0)+1,1):INDEX(G:G,MATCH(I2076,I:I,0)-1,1)),"")</f>
        <v>#NAME?</v>
      </c>
      <c r="I2076" s="200" t="str">
        <f>IF(OR(B2076=リスト!$C$5,B2076=リスト!$C$6),COUNTIF($B$9:B2076,リスト!$C$5)+COUNTIF($B$9:B2076,リスト!$C$6),"")</f>
        <v/>
      </c>
    </row>
    <row r="2077" spans="2:9" x14ac:dyDescent="0.2">
      <c r="B2077" s="196"/>
      <c r="C2077" s="197"/>
      <c r="D2077" s="197"/>
      <c r="E2077" s="198" t="e">
        <f ca="1">mif(OR(C2077="",B2077=リスト!$C$7),"",B2077="","RF",OR(B2077=リスト!$C$5,B2077=リスト!$C$6),COUNTBLANK(INDEX(B:B,MATCH(I2077-1,I:I,0)+1,1):INDEX(B:B,MATCH(I2077,I:I,0)-1,1)),"")</f>
        <v>#NAME?</v>
      </c>
      <c r="F2077" s="199" t="s">
        <v>189</v>
      </c>
      <c r="G2077" s="140" t="e">
        <f ca="1">mif(C2077="","",OR(B2077=リスト!$C$5,B2077=リスト!$C$6),SUM(INDEX(G:G,MATCH(I2077-1,I:I,0)+1,1):INDEX(G:G,MATCH(I2077,I:I,0)-1,1)),D2077-C2077)</f>
        <v>#NAME?</v>
      </c>
      <c r="H2077" s="140" t="e">
        <f ca="1">mif(C2077="","",B2077=リスト!$C$5,SUMIF(INDEX(B:B,MATCH(I2077-1,I:I,0)+1,1):INDEX(B:B,MATCH(I2077,I:I,0)-1,1),リスト!$C$7,INDEX(G:G,MATCH(I2077-1,I:I,0)+1,1):INDEX(G:G,MATCH(I2077,I:I,0)-1,1)),"")</f>
        <v>#NAME?</v>
      </c>
      <c r="I2077" s="200" t="str">
        <f>IF(OR(B2077=リスト!$C$5,B2077=リスト!$C$6),COUNTIF($B$9:B2077,リスト!$C$5)+COUNTIF($B$9:B2077,リスト!$C$6),"")</f>
        <v/>
      </c>
    </row>
    <row r="2078" spans="2:9" x14ac:dyDescent="0.2">
      <c r="B2078" s="196"/>
      <c r="C2078" s="197"/>
      <c r="D2078" s="197"/>
      <c r="E2078" s="198" t="e">
        <f ca="1">mif(OR(C2078="",B2078=リスト!$C$7),"",B2078="","RF",OR(B2078=リスト!$C$5,B2078=リスト!$C$6),COUNTBLANK(INDEX(B:B,MATCH(I2078-1,I:I,0)+1,1):INDEX(B:B,MATCH(I2078,I:I,0)-1,1)),"")</f>
        <v>#NAME?</v>
      </c>
      <c r="F2078" s="199" t="s">
        <v>189</v>
      </c>
      <c r="G2078" s="140" t="e">
        <f ca="1">mif(C2078="","",OR(B2078=リスト!$C$5,B2078=リスト!$C$6),SUM(INDEX(G:G,MATCH(I2078-1,I:I,0)+1,1):INDEX(G:G,MATCH(I2078,I:I,0)-1,1)),D2078-C2078)</f>
        <v>#NAME?</v>
      </c>
      <c r="H2078" s="140" t="e">
        <f ca="1">mif(C2078="","",B2078=リスト!$C$5,SUMIF(INDEX(B:B,MATCH(I2078-1,I:I,0)+1,1):INDEX(B:B,MATCH(I2078,I:I,0)-1,1),リスト!$C$7,INDEX(G:G,MATCH(I2078-1,I:I,0)+1,1):INDEX(G:G,MATCH(I2078,I:I,0)-1,1)),"")</f>
        <v>#NAME?</v>
      </c>
      <c r="I2078" s="200" t="str">
        <f>IF(OR(B2078=リスト!$C$5,B2078=リスト!$C$6),COUNTIF($B$9:B2078,リスト!$C$5)+COUNTIF($B$9:B2078,リスト!$C$6),"")</f>
        <v/>
      </c>
    </row>
    <row r="2079" spans="2:9" x14ac:dyDescent="0.2">
      <c r="B2079" s="196"/>
      <c r="C2079" s="197"/>
      <c r="D2079" s="197"/>
      <c r="E2079" s="198" t="e">
        <f ca="1">mif(OR(C2079="",B2079=リスト!$C$7),"",B2079="","RF",OR(B2079=リスト!$C$5,B2079=リスト!$C$6),COUNTBLANK(INDEX(B:B,MATCH(I2079-1,I:I,0)+1,1):INDEX(B:B,MATCH(I2079,I:I,0)-1,1)),"")</f>
        <v>#NAME?</v>
      </c>
      <c r="F2079" s="199" t="s">
        <v>189</v>
      </c>
      <c r="G2079" s="140" t="e">
        <f ca="1">mif(C2079="","",OR(B2079=リスト!$C$5,B2079=リスト!$C$6),SUM(INDEX(G:G,MATCH(I2079-1,I:I,0)+1,1):INDEX(G:G,MATCH(I2079,I:I,0)-1,1)),D2079-C2079)</f>
        <v>#NAME?</v>
      </c>
      <c r="H2079" s="140" t="e">
        <f ca="1">mif(C2079="","",B2079=リスト!$C$5,SUMIF(INDEX(B:B,MATCH(I2079-1,I:I,0)+1,1):INDEX(B:B,MATCH(I2079,I:I,0)-1,1),リスト!$C$7,INDEX(G:G,MATCH(I2079-1,I:I,0)+1,1):INDEX(G:G,MATCH(I2079,I:I,0)-1,1)),"")</f>
        <v>#NAME?</v>
      </c>
      <c r="I2079" s="200" t="str">
        <f>IF(OR(B2079=リスト!$C$5,B2079=リスト!$C$6),COUNTIF($B$9:B2079,リスト!$C$5)+COUNTIF($B$9:B2079,リスト!$C$6),"")</f>
        <v/>
      </c>
    </row>
    <row r="2080" spans="2:9" x14ac:dyDescent="0.2">
      <c r="B2080" s="196"/>
      <c r="C2080" s="197"/>
      <c r="D2080" s="197"/>
      <c r="E2080" s="198" t="e">
        <f ca="1">mif(OR(C2080="",B2080=リスト!$C$7),"",B2080="","RF",OR(B2080=リスト!$C$5,B2080=リスト!$C$6),COUNTBLANK(INDEX(B:B,MATCH(I2080-1,I:I,0)+1,1):INDEX(B:B,MATCH(I2080,I:I,0)-1,1)),"")</f>
        <v>#NAME?</v>
      </c>
      <c r="F2080" s="199" t="s">
        <v>189</v>
      </c>
      <c r="G2080" s="140" t="e">
        <f ca="1">mif(C2080="","",OR(B2080=リスト!$C$5,B2080=リスト!$C$6),SUM(INDEX(G:G,MATCH(I2080-1,I:I,0)+1,1):INDEX(G:G,MATCH(I2080,I:I,0)-1,1)),D2080-C2080)</f>
        <v>#NAME?</v>
      </c>
      <c r="H2080" s="140" t="e">
        <f ca="1">mif(C2080="","",B2080=リスト!$C$5,SUMIF(INDEX(B:B,MATCH(I2080-1,I:I,0)+1,1):INDEX(B:B,MATCH(I2080,I:I,0)-1,1),リスト!$C$7,INDEX(G:G,MATCH(I2080-1,I:I,0)+1,1):INDEX(G:G,MATCH(I2080,I:I,0)-1,1)),"")</f>
        <v>#NAME?</v>
      </c>
      <c r="I2080" s="200" t="str">
        <f>IF(OR(B2080=リスト!$C$5,B2080=リスト!$C$6),COUNTIF($B$9:B2080,リスト!$C$5)+COUNTIF($B$9:B2080,リスト!$C$6),"")</f>
        <v/>
      </c>
    </row>
    <row r="2081" spans="2:9" x14ac:dyDescent="0.2">
      <c r="B2081" s="196"/>
      <c r="C2081" s="197"/>
      <c r="D2081" s="197"/>
      <c r="E2081" s="198" t="e">
        <f ca="1">mif(OR(C2081="",B2081=リスト!$C$7),"",B2081="","RF",OR(B2081=リスト!$C$5,B2081=リスト!$C$6),COUNTBLANK(INDEX(B:B,MATCH(I2081-1,I:I,0)+1,1):INDEX(B:B,MATCH(I2081,I:I,0)-1,1)),"")</f>
        <v>#NAME?</v>
      </c>
      <c r="F2081" s="199" t="s">
        <v>189</v>
      </c>
      <c r="G2081" s="140" t="e">
        <f ca="1">mif(C2081="","",OR(B2081=リスト!$C$5,B2081=リスト!$C$6),SUM(INDEX(G:G,MATCH(I2081-1,I:I,0)+1,1):INDEX(G:G,MATCH(I2081,I:I,0)-1,1)),D2081-C2081)</f>
        <v>#NAME?</v>
      </c>
      <c r="H2081" s="140" t="e">
        <f ca="1">mif(C2081="","",B2081=リスト!$C$5,SUMIF(INDEX(B:B,MATCH(I2081-1,I:I,0)+1,1):INDEX(B:B,MATCH(I2081,I:I,0)-1,1),リスト!$C$7,INDEX(G:G,MATCH(I2081-1,I:I,0)+1,1):INDEX(G:G,MATCH(I2081,I:I,0)-1,1)),"")</f>
        <v>#NAME?</v>
      </c>
      <c r="I2081" s="200" t="str">
        <f>IF(OR(B2081=リスト!$C$5,B2081=リスト!$C$6),COUNTIF($B$9:B2081,リスト!$C$5)+COUNTIF($B$9:B2081,リスト!$C$6),"")</f>
        <v/>
      </c>
    </row>
    <row r="2082" spans="2:9" x14ac:dyDescent="0.2">
      <c r="B2082" s="196"/>
      <c r="C2082" s="197"/>
      <c r="D2082" s="197"/>
      <c r="E2082" s="198" t="e">
        <f ca="1">mif(OR(C2082="",B2082=リスト!$C$7),"",B2082="","RF",OR(B2082=リスト!$C$5,B2082=リスト!$C$6),COUNTBLANK(INDEX(B:B,MATCH(I2082-1,I:I,0)+1,1):INDEX(B:B,MATCH(I2082,I:I,0)-1,1)),"")</f>
        <v>#NAME?</v>
      </c>
      <c r="F2082" s="199" t="s">
        <v>189</v>
      </c>
      <c r="G2082" s="140" t="e">
        <f ca="1">mif(C2082="","",OR(B2082=リスト!$C$5,B2082=リスト!$C$6),SUM(INDEX(G:G,MATCH(I2082-1,I:I,0)+1,1):INDEX(G:G,MATCH(I2082,I:I,0)-1,1)),D2082-C2082)</f>
        <v>#NAME?</v>
      </c>
      <c r="H2082" s="140" t="e">
        <f ca="1">mif(C2082="","",B2082=リスト!$C$5,SUMIF(INDEX(B:B,MATCH(I2082-1,I:I,0)+1,1):INDEX(B:B,MATCH(I2082,I:I,0)-1,1),リスト!$C$7,INDEX(G:G,MATCH(I2082-1,I:I,0)+1,1):INDEX(G:G,MATCH(I2082,I:I,0)-1,1)),"")</f>
        <v>#NAME?</v>
      </c>
      <c r="I2082" s="200" t="str">
        <f>IF(OR(B2082=リスト!$C$5,B2082=リスト!$C$6),COUNTIF($B$9:B2082,リスト!$C$5)+COUNTIF($B$9:B2082,リスト!$C$6),"")</f>
        <v/>
      </c>
    </row>
    <row r="2083" spans="2:9" x14ac:dyDescent="0.2">
      <c r="B2083" s="196"/>
      <c r="C2083" s="197"/>
      <c r="D2083" s="197"/>
      <c r="E2083" s="198" t="e">
        <f ca="1">mif(OR(C2083="",B2083=リスト!$C$7),"",B2083="","RF",OR(B2083=リスト!$C$5,B2083=リスト!$C$6),COUNTBLANK(INDEX(B:B,MATCH(I2083-1,I:I,0)+1,1):INDEX(B:B,MATCH(I2083,I:I,0)-1,1)),"")</f>
        <v>#NAME?</v>
      </c>
      <c r="F2083" s="199" t="s">
        <v>189</v>
      </c>
      <c r="G2083" s="140" t="e">
        <f ca="1">mif(C2083="","",OR(B2083=リスト!$C$5,B2083=リスト!$C$6),SUM(INDEX(G:G,MATCH(I2083-1,I:I,0)+1,1):INDEX(G:G,MATCH(I2083,I:I,0)-1,1)),D2083-C2083)</f>
        <v>#NAME?</v>
      </c>
      <c r="H2083" s="140" t="e">
        <f ca="1">mif(C2083="","",B2083=リスト!$C$5,SUMIF(INDEX(B:B,MATCH(I2083-1,I:I,0)+1,1):INDEX(B:B,MATCH(I2083,I:I,0)-1,1),リスト!$C$7,INDEX(G:G,MATCH(I2083-1,I:I,0)+1,1):INDEX(G:G,MATCH(I2083,I:I,0)-1,1)),"")</f>
        <v>#NAME?</v>
      </c>
      <c r="I2083" s="200" t="str">
        <f>IF(OR(B2083=リスト!$C$5,B2083=リスト!$C$6),COUNTIF($B$9:B2083,リスト!$C$5)+COUNTIF($B$9:B2083,リスト!$C$6),"")</f>
        <v/>
      </c>
    </row>
    <row r="2084" spans="2:9" x14ac:dyDescent="0.2">
      <c r="B2084" s="196"/>
      <c r="C2084" s="197"/>
      <c r="D2084" s="197"/>
      <c r="E2084" s="198" t="e">
        <f ca="1">mif(OR(C2084="",B2084=リスト!$C$7),"",B2084="","RF",OR(B2084=リスト!$C$5,B2084=リスト!$C$6),COUNTBLANK(INDEX(B:B,MATCH(I2084-1,I:I,0)+1,1):INDEX(B:B,MATCH(I2084,I:I,0)-1,1)),"")</f>
        <v>#NAME?</v>
      </c>
      <c r="F2084" s="199" t="s">
        <v>189</v>
      </c>
      <c r="G2084" s="140" t="e">
        <f ca="1">mif(C2084="","",OR(B2084=リスト!$C$5,B2084=リスト!$C$6),SUM(INDEX(G:G,MATCH(I2084-1,I:I,0)+1,1):INDEX(G:G,MATCH(I2084,I:I,0)-1,1)),D2084-C2084)</f>
        <v>#NAME?</v>
      </c>
      <c r="H2084" s="140" t="e">
        <f ca="1">mif(C2084="","",B2084=リスト!$C$5,SUMIF(INDEX(B:B,MATCH(I2084-1,I:I,0)+1,1):INDEX(B:B,MATCH(I2084,I:I,0)-1,1),リスト!$C$7,INDEX(G:G,MATCH(I2084-1,I:I,0)+1,1):INDEX(G:G,MATCH(I2084,I:I,0)-1,1)),"")</f>
        <v>#NAME?</v>
      </c>
      <c r="I2084" s="200" t="str">
        <f>IF(OR(B2084=リスト!$C$5,B2084=リスト!$C$6),COUNTIF($B$9:B2084,リスト!$C$5)+COUNTIF($B$9:B2084,リスト!$C$6),"")</f>
        <v/>
      </c>
    </row>
    <row r="2085" spans="2:9" x14ac:dyDescent="0.2">
      <c r="B2085" s="196"/>
      <c r="C2085" s="197"/>
      <c r="D2085" s="197"/>
      <c r="E2085" s="198" t="e">
        <f ca="1">mif(OR(C2085="",B2085=リスト!$C$7),"",B2085="","RF",OR(B2085=リスト!$C$5,B2085=リスト!$C$6),COUNTBLANK(INDEX(B:B,MATCH(I2085-1,I:I,0)+1,1):INDEX(B:B,MATCH(I2085,I:I,0)-1,1)),"")</f>
        <v>#NAME?</v>
      </c>
      <c r="F2085" s="199" t="s">
        <v>189</v>
      </c>
      <c r="G2085" s="140" t="e">
        <f ca="1">mif(C2085="","",OR(B2085=リスト!$C$5,B2085=リスト!$C$6),SUM(INDEX(G:G,MATCH(I2085-1,I:I,0)+1,1):INDEX(G:G,MATCH(I2085,I:I,0)-1,1)),D2085-C2085)</f>
        <v>#NAME?</v>
      </c>
      <c r="H2085" s="140" t="e">
        <f ca="1">mif(C2085="","",B2085=リスト!$C$5,SUMIF(INDEX(B:B,MATCH(I2085-1,I:I,0)+1,1):INDEX(B:B,MATCH(I2085,I:I,0)-1,1),リスト!$C$7,INDEX(G:G,MATCH(I2085-1,I:I,0)+1,1):INDEX(G:G,MATCH(I2085,I:I,0)-1,1)),"")</f>
        <v>#NAME?</v>
      </c>
      <c r="I2085" s="200" t="str">
        <f>IF(OR(B2085=リスト!$C$5,B2085=リスト!$C$6),COUNTIF($B$9:B2085,リスト!$C$5)+COUNTIF($B$9:B2085,リスト!$C$6),"")</f>
        <v/>
      </c>
    </row>
    <row r="2086" spans="2:9" x14ac:dyDescent="0.2">
      <c r="B2086" s="196"/>
      <c r="C2086" s="197"/>
      <c r="D2086" s="197"/>
      <c r="E2086" s="198" t="e">
        <f ca="1">mif(OR(C2086="",B2086=リスト!$C$7),"",B2086="","RF",OR(B2086=リスト!$C$5,B2086=リスト!$C$6),COUNTBLANK(INDEX(B:B,MATCH(I2086-1,I:I,0)+1,1):INDEX(B:B,MATCH(I2086,I:I,0)-1,1)),"")</f>
        <v>#NAME?</v>
      </c>
      <c r="F2086" s="199" t="s">
        <v>189</v>
      </c>
      <c r="G2086" s="140" t="e">
        <f ca="1">mif(C2086="","",OR(B2086=リスト!$C$5,B2086=リスト!$C$6),SUM(INDEX(G:G,MATCH(I2086-1,I:I,0)+1,1):INDEX(G:G,MATCH(I2086,I:I,0)-1,1)),D2086-C2086)</f>
        <v>#NAME?</v>
      </c>
      <c r="H2086" s="140" t="e">
        <f ca="1">mif(C2086="","",B2086=リスト!$C$5,SUMIF(INDEX(B:B,MATCH(I2086-1,I:I,0)+1,1):INDEX(B:B,MATCH(I2086,I:I,0)-1,1),リスト!$C$7,INDEX(G:G,MATCH(I2086-1,I:I,0)+1,1):INDEX(G:G,MATCH(I2086,I:I,0)-1,1)),"")</f>
        <v>#NAME?</v>
      </c>
      <c r="I2086" s="200" t="str">
        <f>IF(OR(B2086=リスト!$C$5,B2086=リスト!$C$6),COUNTIF($B$9:B2086,リスト!$C$5)+COUNTIF($B$9:B2086,リスト!$C$6),"")</f>
        <v/>
      </c>
    </row>
    <row r="2087" spans="2:9" x14ac:dyDescent="0.2">
      <c r="B2087" s="196"/>
      <c r="C2087" s="197"/>
      <c r="D2087" s="197"/>
      <c r="E2087" s="198" t="e">
        <f ca="1">mif(OR(C2087="",B2087=リスト!$C$7),"",B2087="","RF",OR(B2087=リスト!$C$5,B2087=リスト!$C$6),COUNTBLANK(INDEX(B:B,MATCH(I2087-1,I:I,0)+1,1):INDEX(B:B,MATCH(I2087,I:I,0)-1,1)),"")</f>
        <v>#NAME?</v>
      </c>
      <c r="F2087" s="199" t="s">
        <v>189</v>
      </c>
      <c r="G2087" s="140" t="e">
        <f ca="1">mif(C2087="","",OR(B2087=リスト!$C$5,B2087=リスト!$C$6),SUM(INDEX(G:G,MATCH(I2087-1,I:I,0)+1,1):INDEX(G:G,MATCH(I2087,I:I,0)-1,1)),D2087-C2087)</f>
        <v>#NAME?</v>
      </c>
      <c r="H2087" s="140" t="e">
        <f ca="1">mif(C2087="","",B2087=リスト!$C$5,SUMIF(INDEX(B:B,MATCH(I2087-1,I:I,0)+1,1):INDEX(B:B,MATCH(I2087,I:I,0)-1,1),リスト!$C$7,INDEX(G:G,MATCH(I2087-1,I:I,0)+1,1):INDEX(G:G,MATCH(I2087,I:I,0)-1,1)),"")</f>
        <v>#NAME?</v>
      </c>
      <c r="I2087" s="200" t="str">
        <f>IF(OR(B2087=リスト!$C$5,B2087=リスト!$C$6),COUNTIF($B$9:B2087,リスト!$C$5)+COUNTIF($B$9:B2087,リスト!$C$6),"")</f>
        <v/>
      </c>
    </row>
    <row r="2088" spans="2:9" x14ac:dyDescent="0.2">
      <c r="B2088" s="196"/>
      <c r="C2088" s="197"/>
      <c r="D2088" s="197"/>
      <c r="E2088" s="198" t="e">
        <f ca="1">mif(OR(C2088="",B2088=リスト!$C$7),"",B2088="","RF",OR(B2088=リスト!$C$5,B2088=リスト!$C$6),COUNTBLANK(INDEX(B:B,MATCH(I2088-1,I:I,0)+1,1):INDEX(B:B,MATCH(I2088,I:I,0)-1,1)),"")</f>
        <v>#NAME?</v>
      </c>
      <c r="F2088" s="199" t="s">
        <v>189</v>
      </c>
      <c r="G2088" s="140" t="e">
        <f ca="1">mif(C2088="","",OR(B2088=リスト!$C$5,B2088=リスト!$C$6),SUM(INDEX(G:G,MATCH(I2088-1,I:I,0)+1,1):INDEX(G:G,MATCH(I2088,I:I,0)-1,1)),D2088-C2088)</f>
        <v>#NAME?</v>
      </c>
      <c r="H2088" s="140" t="e">
        <f ca="1">mif(C2088="","",B2088=リスト!$C$5,SUMIF(INDEX(B:B,MATCH(I2088-1,I:I,0)+1,1):INDEX(B:B,MATCH(I2088,I:I,0)-1,1),リスト!$C$7,INDEX(G:G,MATCH(I2088-1,I:I,0)+1,1):INDEX(G:G,MATCH(I2088,I:I,0)-1,1)),"")</f>
        <v>#NAME?</v>
      </c>
      <c r="I2088" s="200" t="str">
        <f>IF(OR(B2088=リスト!$C$5,B2088=リスト!$C$6),COUNTIF($B$9:B2088,リスト!$C$5)+COUNTIF($B$9:B2088,リスト!$C$6),"")</f>
        <v/>
      </c>
    </row>
    <row r="2089" spans="2:9" x14ac:dyDescent="0.2">
      <c r="B2089" s="196"/>
      <c r="C2089" s="197"/>
      <c r="D2089" s="197"/>
      <c r="E2089" s="198" t="e">
        <f ca="1">mif(OR(C2089="",B2089=リスト!$C$7),"",B2089="","RF",OR(B2089=リスト!$C$5,B2089=リスト!$C$6),COUNTBLANK(INDEX(B:B,MATCH(I2089-1,I:I,0)+1,1):INDEX(B:B,MATCH(I2089,I:I,0)-1,1)),"")</f>
        <v>#NAME?</v>
      </c>
      <c r="F2089" s="199" t="s">
        <v>189</v>
      </c>
      <c r="G2089" s="140" t="e">
        <f ca="1">mif(C2089="","",OR(B2089=リスト!$C$5,B2089=リスト!$C$6),SUM(INDEX(G:G,MATCH(I2089-1,I:I,0)+1,1):INDEX(G:G,MATCH(I2089,I:I,0)-1,1)),D2089-C2089)</f>
        <v>#NAME?</v>
      </c>
      <c r="H2089" s="140" t="e">
        <f ca="1">mif(C2089="","",B2089=リスト!$C$5,SUMIF(INDEX(B:B,MATCH(I2089-1,I:I,0)+1,1):INDEX(B:B,MATCH(I2089,I:I,0)-1,1),リスト!$C$7,INDEX(G:G,MATCH(I2089-1,I:I,0)+1,1):INDEX(G:G,MATCH(I2089,I:I,0)-1,1)),"")</f>
        <v>#NAME?</v>
      </c>
      <c r="I2089" s="200" t="str">
        <f>IF(OR(B2089=リスト!$C$5,B2089=リスト!$C$6),COUNTIF($B$9:B2089,リスト!$C$5)+COUNTIF($B$9:B2089,リスト!$C$6),"")</f>
        <v/>
      </c>
    </row>
    <row r="2090" spans="2:9" x14ac:dyDescent="0.2">
      <c r="B2090" s="196"/>
      <c r="C2090" s="197"/>
      <c r="D2090" s="197"/>
      <c r="E2090" s="198" t="e">
        <f ca="1">mif(OR(C2090="",B2090=リスト!$C$7),"",B2090="","RF",OR(B2090=リスト!$C$5,B2090=リスト!$C$6),COUNTBLANK(INDEX(B:B,MATCH(I2090-1,I:I,0)+1,1):INDEX(B:B,MATCH(I2090,I:I,0)-1,1)),"")</f>
        <v>#NAME?</v>
      </c>
      <c r="F2090" s="199" t="s">
        <v>189</v>
      </c>
      <c r="G2090" s="140" t="e">
        <f ca="1">mif(C2090="","",OR(B2090=リスト!$C$5,B2090=リスト!$C$6),SUM(INDEX(G:G,MATCH(I2090-1,I:I,0)+1,1):INDEX(G:G,MATCH(I2090,I:I,0)-1,1)),D2090-C2090)</f>
        <v>#NAME?</v>
      </c>
      <c r="H2090" s="140" t="e">
        <f ca="1">mif(C2090="","",B2090=リスト!$C$5,SUMIF(INDEX(B:B,MATCH(I2090-1,I:I,0)+1,1):INDEX(B:B,MATCH(I2090,I:I,0)-1,1),リスト!$C$7,INDEX(G:G,MATCH(I2090-1,I:I,0)+1,1):INDEX(G:G,MATCH(I2090,I:I,0)-1,1)),"")</f>
        <v>#NAME?</v>
      </c>
      <c r="I2090" s="200" t="str">
        <f>IF(OR(B2090=リスト!$C$5,B2090=リスト!$C$6),COUNTIF($B$9:B2090,リスト!$C$5)+COUNTIF($B$9:B2090,リスト!$C$6),"")</f>
        <v/>
      </c>
    </row>
    <row r="2091" spans="2:9" x14ac:dyDescent="0.2">
      <c r="B2091" s="196"/>
      <c r="C2091" s="197"/>
      <c r="D2091" s="197"/>
      <c r="E2091" s="198" t="e">
        <f ca="1">mif(OR(C2091="",B2091=リスト!$C$7),"",B2091="","RF",OR(B2091=リスト!$C$5,B2091=リスト!$C$6),COUNTBLANK(INDEX(B:B,MATCH(I2091-1,I:I,0)+1,1):INDEX(B:B,MATCH(I2091,I:I,0)-1,1)),"")</f>
        <v>#NAME?</v>
      </c>
      <c r="F2091" s="199" t="s">
        <v>189</v>
      </c>
      <c r="G2091" s="140" t="e">
        <f ca="1">mif(C2091="","",OR(B2091=リスト!$C$5,B2091=リスト!$C$6),SUM(INDEX(G:G,MATCH(I2091-1,I:I,0)+1,1):INDEX(G:G,MATCH(I2091,I:I,0)-1,1)),D2091-C2091)</f>
        <v>#NAME?</v>
      </c>
      <c r="H2091" s="140" t="e">
        <f ca="1">mif(C2091="","",B2091=リスト!$C$5,SUMIF(INDEX(B:B,MATCH(I2091-1,I:I,0)+1,1):INDEX(B:B,MATCH(I2091,I:I,0)-1,1),リスト!$C$7,INDEX(G:G,MATCH(I2091-1,I:I,0)+1,1):INDEX(G:G,MATCH(I2091,I:I,0)-1,1)),"")</f>
        <v>#NAME?</v>
      </c>
      <c r="I2091" s="200" t="str">
        <f>IF(OR(B2091=リスト!$C$5,B2091=リスト!$C$6),COUNTIF($B$9:B2091,リスト!$C$5)+COUNTIF($B$9:B2091,リスト!$C$6),"")</f>
        <v/>
      </c>
    </row>
    <row r="2092" spans="2:9" x14ac:dyDescent="0.2">
      <c r="B2092" s="196"/>
      <c r="C2092" s="197"/>
      <c r="D2092" s="197"/>
      <c r="E2092" s="198" t="e">
        <f ca="1">mif(OR(C2092="",B2092=リスト!$C$7),"",B2092="","RF",OR(B2092=リスト!$C$5,B2092=リスト!$C$6),COUNTBLANK(INDEX(B:B,MATCH(I2092-1,I:I,0)+1,1):INDEX(B:B,MATCH(I2092,I:I,0)-1,1)),"")</f>
        <v>#NAME?</v>
      </c>
      <c r="F2092" s="199" t="s">
        <v>189</v>
      </c>
      <c r="G2092" s="140" t="e">
        <f ca="1">mif(C2092="","",OR(B2092=リスト!$C$5,B2092=リスト!$C$6),SUM(INDEX(G:G,MATCH(I2092-1,I:I,0)+1,1):INDEX(G:G,MATCH(I2092,I:I,0)-1,1)),D2092-C2092)</f>
        <v>#NAME?</v>
      </c>
      <c r="H2092" s="140" t="e">
        <f ca="1">mif(C2092="","",B2092=リスト!$C$5,SUMIF(INDEX(B:B,MATCH(I2092-1,I:I,0)+1,1):INDEX(B:B,MATCH(I2092,I:I,0)-1,1),リスト!$C$7,INDEX(G:G,MATCH(I2092-1,I:I,0)+1,1):INDEX(G:G,MATCH(I2092,I:I,0)-1,1)),"")</f>
        <v>#NAME?</v>
      </c>
      <c r="I2092" s="200" t="str">
        <f>IF(OR(B2092=リスト!$C$5,B2092=リスト!$C$6),COUNTIF($B$9:B2092,リスト!$C$5)+COUNTIF($B$9:B2092,リスト!$C$6),"")</f>
        <v/>
      </c>
    </row>
    <row r="2093" spans="2:9" x14ac:dyDescent="0.2">
      <c r="B2093" s="196"/>
      <c r="C2093" s="197"/>
      <c r="D2093" s="197"/>
      <c r="E2093" s="198" t="e">
        <f ca="1">mif(OR(C2093="",B2093=リスト!$C$7),"",B2093="","RF",OR(B2093=リスト!$C$5,B2093=リスト!$C$6),COUNTBLANK(INDEX(B:B,MATCH(I2093-1,I:I,0)+1,1):INDEX(B:B,MATCH(I2093,I:I,0)-1,1)),"")</f>
        <v>#NAME?</v>
      </c>
      <c r="F2093" s="199" t="s">
        <v>189</v>
      </c>
      <c r="G2093" s="140" t="e">
        <f ca="1">mif(C2093="","",OR(B2093=リスト!$C$5,B2093=リスト!$C$6),SUM(INDEX(G:G,MATCH(I2093-1,I:I,0)+1,1):INDEX(G:G,MATCH(I2093,I:I,0)-1,1)),D2093-C2093)</f>
        <v>#NAME?</v>
      </c>
      <c r="H2093" s="140" t="e">
        <f ca="1">mif(C2093="","",B2093=リスト!$C$5,SUMIF(INDEX(B:B,MATCH(I2093-1,I:I,0)+1,1):INDEX(B:B,MATCH(I2093,I:I,0)-1,1),リスト!$C$7,INDEX(G:G,MATCH(I2093-1,I:I,0)+1,1):INDEX(G:G,MATCH(I2093,I:I,0)-1,1)),"")</f>
        <v>#NAME?</v>
      </c>
      <c r="I2093" s="200" t="str">
        <f>IF(OR(B2093=リスト!$C$5,B2093=リスト!$C$6),COUNTIF($B$9:B2093,リスト!$C$5)+COUNTIF($B$9:B2093,リスト!$C$6),"")</f>
        <v/>
      </c>
    </row>
    <row r="2094" spans="2:9" x14ac:dyDescent="0.2">
      <c r="B2094" s="196"/>
      <c r="C2094" s="197"/>
      <c r="D2094" s="197"/>
      <c r="E2094" s="198" t="e">
        <f ca="1">mif(OR(C2094="",B2094=リスト!$C$7),"",B2094="","RF",OR(B2094=リスト!$C$5,B2094=リスト!$C$6),COUNTBLANK(INDEX(B:B,MATCH(I2094-1,I:I,0)+1,1):INDEX(B:B,MATCH(I2094,I:I,0)-1,1)),"")</f>
        <v>#NAME?</v>
      </c>
      <c r="F2094" s="199" t="s">
        <v>189</v>
      </c>
      <c r="G2094" s="140" t="e">
        <f ca="1">mif(C2094="","",OR(B2094=リスト!$C$5,B2094=リスト!$C$6),SUM(INDEX(G:G,MATCH(I2094-1,I:I,0)+1,1):INDEX(G:G,MATCH(I2094,I:I,0)-1,1)),D2094-C2094)</f>
        <v>#NAME?</v>
      </c>
      <c r="H2094" s="140" t="e">
        <f ca="1">mif(C2094="","",B2094=リスト!$C$5,SUMIF(INDEX(B:B,MATCH(I2094-1,I:I,0)+1,1):INDEX(B:B,MATCH(I2094,I:I,0)-1,1),リスト!$C$7,INDEX(G:G,MATCH(I2094-1,I:I,0)+1,1):INDEX(G:G,MATCH(I2094,I:I,0)-1,1)),"")</f>
        <v>#NAME?</v>
      </c>
      <c r="I2094" s="200" t="str">
        <f>IF(OR(B2094=リスト!$C$5,B2094=リスト!$C$6),COUNTIF($B$9:B2094,リスト!$C$5)+COUNTIF($B$9:B2094,リスト!$C$6),"")</f>
        <v/>
      </c>
    </row>
    <row r="2095" spans="2:9" x14ac:dyDescent="0.2">
      <c r="B2095" s="196"/>
      <c r="C2095" s="197"/>
      <c r="D2095" s="197"/>
      <c r="E2095" s="198" t="e">
        <f ca="1">mif(OR(C2095="",B2095=リスト!$C$7),"",B2095="","RF",OR(B2095=リスト!$C$5,B2095=リスト!$C$6),COUNTBLANK(INDEX(B:B,MATCH(I2095-1,I:I,0)+1,1):INDEX(B:B,MATCH(I2095,I:I,0)-1,1)),"")</f>
        <v>#NAME?</v>
      </c>
      <c r="F2095" s="199" t="s">
        <v>189</v>
      </c>
      <c r="G2095" s="140" t="e">
        <f ca="1">mif(C2095="","",OR(B2095=リスト!$C$5,B2095=リスト!$C$6),SUM(INDEX(G:G,MATCH(I2095-1,I:I,0)+1,1):INDEX(G:G,MATCH(I2095,I:I,0)-1,1)),D2095-C2095)</f>
        <v>#NAME?</v>
      </c>
      <c r="H2095" s="140" t="e">
        <f ca="1">mif(C2095="","",B2095=リスト!$C$5,SUMIF(INDEX(B:B,MATCH(I2095-1,I:I,0)+1,1):INDEX(B:B,MATCH(I2095,I:I,0)-1,1),リスト!$C$7,INDEX(G:G,MATCH(I2095-1,I:I,0)+1,1):INDEX(G:G,MATCH(I2095,I:I,0)-1,1)),"")</f>
        <v>#NAME?</v>
      </c>
      <c r="I2095" s="200" t="str">
        <f>IF(OR(B2095=リスト!$C$5,B2095=リスト!$C$6),COUNTIF($B$9:B2095,リスト!$C$5)+COUNTIF($B$9:B2095,リスト!$C$6),"")</f>
        <v/>
      </c>
    </row>
    <row r="2096" spans="2:9" x14ac:dyDescent="0.2">
      <c r="B2096" s="196"/>
      <c r="C2096" s="197"/>
      <c r="D2096" s="197"/>
      <c r="E2096" s="198" t="e">
        <f ca="1">mif(OR(C2096="",B2096=リスト!$C$7),"",B2096="","RF",OR(B2096=リスト!$C$5,B2096=リスト!$C$6),COUNTBLANK(INDEX(B:B,MATCH(I2096-1,I:I,0)+1,1):INDEX(B:B,MATCH(I2096,I:I,0)-1,1)),"")</f>
        <v>#NAME?</v>
      </c>
      <c r="F2096" s="199" t="s">
        <v>189</v>
      </c>
      <c r="G2096" s="140" t="e">
        <f ca="1">mif(C2096="","",OR(B2096=リスト!$C$5,B2096=リスト!$C$6),SUM(INDEX(G:G,MATCH(I2096-1,I:I,0)+1,1):INDEX(G:G,MATCH(I2096,I:I,0)-1,1)),D2096-C2096)</f>
        <v>#NAME?</v>
      </c>
      <c r="H2096" s="140" t="e">
        <f ca="1">mif(C2096="","",B2096=リスト!$C$5,SUMIF(INDEX(B:B,MATCH(I2096-1,I:I,0)+1,1):INDEX(B:B,MATCH(I2096,I:I,0)-1,1),リスト!$C$7,INDEX(G:G,MATCH(I2096-1,I:I,0)+1,1):INDEX(G:G,MATCH(I2096,I:I,0)-1,1)),"")</f>
        <v>#NAME?</v>
      </c>
      <c r="I2096" s="200" t="str">
        <f>IF(OR(B2096=リスト!$C$5,B2096=リスト!$C$6),COUNTIF($B$9:B2096,リスト!$C$5)+COUNTIF($B$9:B2096,リスト!$C$6),"")</f>
        <v/>
      </c>
    </row>
    <row r="2097" spans="2:9" x14ac:dyDescent="0.2">
      <c r="B2097" s="196"/>
      <c r="C2097" s="197"/>
      <c r="D2097" s="197"/>
      <c r="E2097" s="198" t="e">
        <f ca="1">mif(OR(C2097="",B2097=リスト!$C$7),"",B2097="","RF",OR(B2097=リスト!$C$5,B2097=リスト!$C$6),COUNTBLANK(INDEX(B:B,MATCH(I2097-1,I:I,0)+1,1):INDEX(B:B,MATCH(I2097,I:I,0)-1,1)),"")</f>
        <v>#NAME?</v>
      </c>
      <c r="F2097" s="199" t="s">
        <v>189</v>
      </c>
      <c r="G2097" s="140" t="e">
        <f ca="1">mif(C2097="","",OR(B2097=リスト!$C$5,B2097=リスト!$C$6),SUM(INDEX(G:G,MATCH(I2097-1,I:I,0)+1,1):INDEX(G:G,MATCH(I2097,I:I,0)-1,1)),D2097-C2097)</f>
        <v>#NAME?</v>
      </c>
      <c r="H2097" s="140" t="e">
        <f ca="1">mif(C2097="","",B2097=リスト!$C$5,SUMIF(INDEX(B:B,MATCH(I2097-1,I:I,0)+1,1):INDEX(B:B,MATCH(I2097,I:I,0)-1,1),リスト!$C$7,INDEX(G:G,MATCH(I2097-1,I:I,0)+1,1):INDEX(G:G,MATCH(I2097,I:I,0)-1,1)),"")</f>
        <v>#NAME?</v>
      </c>
      <c r="I2097" s="200" t="str">
        <f>IF(OR(B2097=リスト!$C$5,B2097=リスト!$C$6),COUNTIF($B$9:B2097,リスト!$C$5)+COUNTIF($B$9:B2097,リスト!$C$6),"")</f>
        <v/>
      </c>
    </row>
    <row r="2098" spans="2:9" x14ac:dyDescent="0.2">
      <c r="B2098" s="196"/>
      <c r="C2098" s="197"/>
      <c r="D2098" s="197"/>
      <c r="E2098" s="198" t="e">
        <f ca="1">mif(OR(C2098="",B2098=リスト!$C$7),"",B2098="","RF",OR(B2098=リスト!$C$5,B2098=リスト!$C$6),COUNTBLANK(INDEX(B:B,MATCH(I2098-1,I:I,0)+1,1):INDEX(B:B,MATCH(I2098,I:I,0)-1,1)),"")</f>
        <v>#NAME?</v>
      </c>
      <c r="F2098" s="199" t="s">
        <v>189</v>
      </c>
      <c r="G2098" s="140" t="e">
        <f ca="1">mif(C2098="","",OR(B2098=リスト!$C$5,B2098=リスト!$C$6),SUM(INDEX(G:G,MATCH(I2098-1,I:I,0)+1,1):INDEX(G:G,MATCH(I2098,I:I,0)-1,1)),D2098-C2098)</f>
        <v>#NAME?</v>
      </c>
      <c r="H2098" s="140" t="e">
        <f ca="1">mif(C2098="","",B2098=リスト!$C$5,SUMIF(INDEX(B:B,MATCH(I2098-1,I:I,0)+1,1):INDEX(B:B,MATCH(I2098,I:I,0)-1,1),リスト!$C$7,INDEX(G:G,MATCH(I2098-1,I:I,0)+1,1):INDEX(G:G,MATCH(I2098,I:I,0)-1,1)),"")</f>
        <v>#NAME?</v>
      </c>
      <c r="I2098" s="200" t="str">
        <f>IF(OR(B2098=リスト!$C$5,B2098=リスト!$C$6),COUNTIF($B$9:B2098,リスト!$C$5)+COUNTIF($B$9:B2098,リスト!$C$6),"")</f>
        <v/>
      </c>
    </row>
    <row r="2099" spans="2:9" x14ac:dyDescent="0.2">
      <c r="B2099" s="196"/>
      <c r="C2099" s="197"/>
      <c r="D2099" s="197"/>
      <c r="E2099" s="198" t="e">
        <f ca="1">mif(OR(C2099="",B2099=リスト!$C$7),"",B2099="","RF",OR(B2099=リスト!$C$5,B2099=リスト!$C$6),COUNTBLANK(INDEX(B:B,MATCH(I2099-1,I:I,0)+1,1):INDEX(B:B,MATCH(I2099,I:I,0)-1,1)),"")</f>
        <v>#NAME?</v>
      </c>
      <c r="F2099" s="199" t="s">
        <v>189</v>
      </c>
      <c r="G2099" s="140" t="e">
        <f ca="1">mif(C2099="","",OR(B2099=リスト!$C$5,B2099=リスト!$C$6),SUM(INDEX(G:G,MATCH(I2099-1,I:I,0)+1,1):INDEX(G:G,MATCH(I2099,I:I,0)-1,1)),D2099-C2099)</f>
        <v>#NAME?</v>
      </c>
      <c r="H2099" s="140" t="e">
        <f ca="1">mif(C2099="","",B2099=リスト!$C$5,SUMIF(INDEX(B:B,MATCH(I2099-1,I:I,0)+1,1):INDEX(B:B,MATCH(I2099,I:I,0)-1,1),リスト!$C$7,INDEX(G:G,MATCH(I2099-1,I:I,0)+1,1):INDEX(G:G,MATCH(I2099,I:I,0)-1,1)),"")</f>
        <v>#NAME?</v>
      </c>
      <c r="I2099" s="200" t="str">
        <f>IF(OR(B2099=リスト!$C$5,B2099=リスト!$C$6),COUNTIF($B$9:B2099,リスト!$C$5)+COUNTIF($B$9:B2099,リスト!$C$6),"")</f>
        <v/>
      </c>
    </row>
    <row r="2100" spans="2:9" x14ac:dyDescent="0.2">
      <c r="B2100" s="196"/>
      <c r="C2100" s="197"/>
      <c r="D2100" s="197"/>
      <c r="E2100" s="198" t="e">
        <f ca="1">mif(OR(C2100="",B2100=リスト!$C$7),"",B2100="","RF",OR(B2100=リスト!$C$5,B2100=リスト!$C$6),COUNTBLANK(INDEX(B:B,MATCH(I2100-1,I:I,0)+1,1):INDEX(B:B,MATCH(I2100,I:I,0)-1,1)),"")</f>
        <v>#NAME?</v>
      </c>
      <c r="F2100" s="199" t="s">
        <v>189</v>
      </c>
      <c r="G2100" s="140" t="e">
        <f ca="1">mif(C2100="","",OR(B2100=リスト!$C$5,B2100=リスト!$C$6),SUM(INDEX(G:G,MATCH(I2100-1,I:I,0)+1,1):INDEX(G:G,MATCH(I2100,I:I,0)-1,1)),D2100-C2100)</f>
        <v>#NAME?</v>
      </c>
      <c r="H2100" s="140" t="e">
        <f ca="1">mif(C2100="","",B2100=リスト!$C$5,SUMIF(INDEX(B:B,MATCH(I2100-1,I:I,0)+1,1):INDEX(B:B,MATCH(I2100,I:I,0)-1,1),リスト!$C$7,INDEX(G:G,MATCH(I2100-1,I:I,0)+1,1):INDEX(G:G,MATCH(I2100,I:I,0)-1,1)),"")</f>
        <v>#NAME?</v>
      </c>
      <c r="I2100" s="200" t="str">
        <f>IF(OR(B2100=リスト!$C$5,B2100=リスト!$C$6),COUNTIF($B$9:B2100,リスト!$C$5)+COUNTIF($B$9:B2100,リスト!$C$6),"")</f>
        <v/>
      </c>
    </row>
    <row r="2101" spans="2:9" x14ac:dyDescent="0.2">
      <c r="B2101" s="196"/>
      <c r="C2101" s="197"/>
      <c r="D2101" s="197"/>
      <c r="E2101" s="198" t="e">
        <f ca="1">mif(OR(C2101="",B2101=リスト!$C$7),"",B2101="","RF",OR(B2101=リスト!$C$5,B2101=リスト!$C$6),COUNTBLANK(INDEX(B:B,MATCH(I2101-1,I:I,0)+1,1):INDEX(B:B,MATCH(I2101,I:I,0)-1,1)),"")</f>
        <v>#NAME?</v>
      </c>
      <c r="F2101" s="199" t="s">
        <v>189</v>
      </c>
      <c r="G2101" s="140" t="e">
        <f ca="1">mif(C2101="","",OR(B2101=リスト!$C$5,B2101=リスト!$C$6),SUM(INDEX(G:G,MATCH(I2101-1,I:I,0)+1,1):INDEX(G:G,MATCH(I2101,I:I,0)-1,1)),D2101-C2101)</f>
        <v>#NAME?</v>
      </c>
      <c r="H2101" s="140" t="e">
        <f ca="1">mif(C2101="","",B2101=リスト!$C$5,SUMIF(INDEX(B:B,MATCH(I2101-1,I:I,0)+1,1):INDEX(B:B,MATCH(I2101,I:I,0)-1,1),リスト!$C$7,INDEX(G:G,MATCH(I2101-1,I:I,0)+1,1):INDEX(G:G,MATCH(I2101,I:I,0)-1,1)),"")</f>
        <v>#NAME?</v>
      </c>
      <c r="I2101" s="200" t="str">
        <f>IF(OR(B2101=リスト!$C$5,B2101=リスト!$C$6),COUNTIF($B$9:B2101,リスト!$C$5)+COUNTIF($B$9:B2101,リスト!$C$6),"")</f>
        <v/>
      </c>
    </row>
    <row r="2102" spans="2:9" x14ac:dyDescent="0.2">
      <c r="B2102" s="196"/>
      <c r="C2102" s="197"/>
      <c r="D2102" s="197"/>
      <c r="E2102" s="198" t="e">
        <f ca="1">mif(OR(C2102="",B2102=リスト!$C$7),"",B2102="","RF",OR(B2102=リスト!$C$5,B2102=リスト!$C$6),COUNTBLANK(INDEX(B:B,MATCH(I2102-1,I:I,0)+1,1):INDEX(B:B,MATCH(I2102,I:I,0)-1,1)),"")</f>
        <v>#NAME?</v>
      </c>
      <c r="F2102" s="199" t="s">
        <v>189</v>
      </c>
      <c r="G2102" s="140" t="e">
        <f ca="1">mif(C2102="","",OR(B2102=リスト!$C$5,B2102=リスト!$C$6),SUM(INDEX(G:G,MATCH(I2102-1,I:I,0)+1,1):INDEX(G:G,MATCH(I2102,I:I,0)-1,1)),D2102-C2102)</f>
        <v>#NAME?</v>
      </c>
      <c r="H2102" s="140" t="e">
        <f ca="1">mif(C2102="","",B2102=リスト!$C$5,SUMIF(INDEX(B:B,MATCH(I2102-1,I:I,0)+1,1):INDEX(B:B,MATCH(I2102,I:I,0)-1,1),リスト!$C$7,INDEX(G:G,MATCH(I2102-1,I:I,0)+1,1):INDEX(G:G,MATCH(I2102,I:I,0)-1,1)),"")</f>
        <v>#NAME?</v>
      </c>
      <c r="I2102" s="200" t="str">
        <f>IF(OR(B2102=リスト!$C$5,B2102=リスト!$C$6),COUNTIF($B$9:B2102,リスト!$C$5)+COUNTIF($B$9:B2102,リスト!$C$6),"")</f>
        <v/>
      </c>
    </row>
    <row r="2103" spans="2:9" x14ac:dyDescent="0.2">
      <c r="B2103" s="196"/>
      <c r="C2103" s="197"/>
      <c r="D2103" s="197"/>
      <c r="E2103" s="198" t="e">
        <f ca="1">mif(OR(C2103="",B2103=リスト!$C$7),"",B2103="","RF",OR(B2103=リスト!$C$5,B2103=リスト!$C$6),COUNTBLANK(INDEX(B:B,MATCH(I2103-1,I:I,0)+1,1):INDEX(B:B,MATCH(I2103,I:I,0)-1,1)),"")</f>
        <v>#NAME?</v>
      </c>
      <c r="F2103" s="199" t="s">
        <v>189</v>
      </c>
      <c r="G2103" s="140" t="e">
        <f ca="1">mif(C2103="","",OR(B2103=リスト!$C$5,B2103=リスト!$C$6),SUM(INDEX(G:G,MATCH(I2103-1,I:I,0)+1,1):INDEX(G:G,MATCH(I2103,I:I,0)-1,1)),D2103-C2103)</f>
        <v>#NAME?</v>
      </c>
      <c r="H2103" s="140" t="e">
        <f ca="1">mif(C2103="","",B2103=リスト!$C$5,SUMIF(INDEX(B:B,MATCH(I2103-1,I:I,0)+1,1):INDEX(B:B,MATCH(I2103,I:I,0)-1,1),リスト!$C$7,INDEX(G:G,MATCH(I2103-1,I:I,0)+1,1):INDEX(G:G,MATCH(I2103,I:I,0)-1,1)),"")</f>
        <v>#NAME?</v>
      </c>
      <c r="I2103" s="200" t="str">
        <f>IF(OR(B2103=リスト!$C$5,B2103=リスト!$C$6),COUNTIF($B$9:B2103,リスト!$C$5)+COUNTIF($B$9:B2103,リスト!$C$6),"")</f>
        <v/>
      </c>
    </row>
    <row r="2104" spans="2:9" x14ac:dyDescent="0.2">
      <c r="B2104" s="196"/>
      <c r="C2104" s="197"/>
      <c r="D2104" s="197"/>
      <c r="E2104" s="198" t="e">
        <f ca="1">mif(OR(C2104="",B2104=リスト!$C$7),"",B2104="","RF",OR(B2104=リスト!$C$5,B2104=リスト!$C$6),COUNTBLANK(INDEX(B:B,MATCH(I2104-1,I:I,0)+1,1):INDEX(B:B,MATCH(I2104,I:I,0)-1,1)),"")</f>
        <v>#NAME?</v>
      </c>
      <c r="F2104" s="199" t="s">
        <v>189</v>
      </c>
      <c r="G2104" s="140" t="e">
        <f ca="1">mif(C2104="","",OR(B2104=リスト!$C$5,B2104=リスト!$C$6),SUM(INDEX(G:G,MATCH(I2104-1,I:I,0)+1,1):INDEX(G:G,MATCH(I2104,I:I,0)-1,1)),D2104-C2104)</f>
        <v>#NAME?</v>
      </c>
      <c r="H2104" s="140" t="e">
        <f ca="1">mif(C2104="","",B2104=リスト!$C$5,SUMIF(INDEX(B:B,MATCH(I2104-1,I:I,0)+1,1):INDEX(B:B,MATCH(I2104,I:I,0)-1,1),リスト!$C$7,INDEX(G:G,MATCH(I2104-1,I:I,0)+1,1):INDEX(G:G,MATCH(I2104,I:I,0)-1,1)),"")</f>
        <v>#NAME?</v>
      </c>
      <c r="I2104" s="200" t="str">
        <f>IF(OR(B2104=リスト!$C$5,B2104=リスト!$C$6),COUNTIF($B$9:B2104,リスト!$C$5)+COUNTIF($B$9:B2104,リスト!$C$6),"")</f>
        <v/>
      </c>
    </row>
    <row r="2105" spans="2:9" x14ac:dyDescent="0.2">
      <c r="B2105" s="196"/>
      <c r="C2105" s="197"/>
      <c r="D2105" s="197"/>
      <c r="E2105" s="198" t="e">
        <f ca="1">mif(OR(C2105="",B2105=リスト!$C$7),"",B2105="","RF",OR(B2105=リスト!$C$5,B2105=リスト!$C$6),COUNTBLANK(INDEX(B:B,MATCH(I2105-1,I:I,0)+1,1):INDEX(B:B,MATCH(I2105,I:I,0)-1,1)),"")</f>
        <v>#NAME?</v>
      </c>
      <c r="F2105" s="199" t="s">
        <v>189</v>
      </c>
      <c r="G2105" s="140" t="e">
        <f ca="1">mif(C2105="","",OR(B2105=リスト!$C$5,B2105=リスト!$C$6),SUM(INDEX(G:G,MATCH(I2105-1,I:I,0)+1,1):INDEX(G:G,MATCH(I2105,I:I,0)-1,1)),D2105-C2105)</f>
        <v>#NAME?</v>
      </c>
      <c r="H2105" s="140" t="e">
        <f ca="1">mif(C2105="","",B2105=リスト!$C$5,SUMIF(INDEX(B:B,MATCH(I2105-1,I:I,0)+1,1):INDEX(B:B,MATCH(I2105,I:I,0)-1,1),リスト!$C$7,INDEX(G:G,MATCH(I2105-1,I:I,0)+1,1):INDEX(G:G,MATCH(I2105,I:I,0)-1,1)),"")</f>
        <v>#NAME?</v>
      </c>
      <c r="I2105" s="200" t="str">
        <f>IF(OR(B2105=リスト!$C$5,B2105=リスト!$C$6),COUNTIF($B$9:B2105,リスト!$C$5)+COUNTIF($B$9:B2105,リスト!$C$6),"")</f>
        <v/>
      </c>
    </row>
    <row r="2106" spans="2:9" x14ac:dyDescent="0.2">
      <c r="B2106" s="196"/>
      <c r="C2106" s="197"/>
      <c r="D2106" s="197"/>
      <c r="E2106" s="198" t="e">
        <f ca="1">mif(OR(C2106="",B2106=リスト!$C$7),"",B2106="","RF",OR(B2106=リスト!$C$5,B2106=リスト!$C$6),COUNTBLANK(INDEX(B:B,MATCH(I2106-1,I:I,0)+1,1):INDEX(B:B,MATCH(I2106,I:I,0)-1,1)),"")</f>
        <v>#NAME?</v>
      </c>
      <c r="F2106" s="199" t="s">
        <v>189</v>
      </c>
      <c r="G2106" s="140" t="e">
        <f ca="1">mif(C2106="","",OR(B2106=リスト!$C$5,B2106=リスト!$C$6),SUM(INDEX(G:G,MATCH(I2106-1,I:I,0)+1,1):INDEX(G:G,MATCH(I2106,I:I,0)-1,1)),D2106-C2106)</f>
        <v>#NAME?</v>
      </c>
      <c r="H2106" s="140" t="e">
        <f ca="1">mif(C2106="","",B2106=リスト!$C$5,SUMIF(INDEX(B:B,MATCH(I2106-1,I:I,0)+1,1):INDEX(B:B,MATCH(I2106,I:I,0)-1,1),リスト!$C$7,INDEX(G:G,MATCH(I2106-1,I:I,0)+1,1):INDEX(G:G,MATCH(I2106,I:I,0)-1,1)),"")</f>
        <v>#NAME?</v>
      </c>
      <c r="I2106" s="200" t="str">
        <f>IF(OR(B2106=リスト!$C$5,B2106=リスト!$C$6),COUNTIF($B$9:B2106,リスト!$C$5)+COUNTIF($B$9:B2106,リスト!$C$6),"")</f>
        <v/>
      </c>
    </row>
    <row r="2107" spans="2:9" x14ac:dyDescent="0.2">
      <c r="B2107" s="196"/>
      <c r="C2107" s="197"/>
      <c r="D2107" s="197"/>
      <c r="E2107" s="198" t="e">
        <f ca="1">mif(OR(C2107="",B2107=リスト!$C$7),"",B2107="","RF",OR(B2107=リスト!$C$5,B2107=リスト!$C$6),COUNTBLANK(INDEX(B:B,MATCH(I2107-1,I:I,0)+1,1):INDEX(B:B,MATCH(I2107,I:I,0)-1,1)),"")</f>
        <v>#NAME?</v>
      </c>
      <c r="F2107" s="199" t="s">
        <v>189</v>
      </c>
      <c r="G2107" s="140" t="e">
        <f ca="1">mif(C2107="","",OR(B2107=リスト!$C$5,B2107=リスト!$C$6),SUM(INDEX(G:G,MATCH(I2107-1,I:I,0)+1,1):INDEX(G:G,MATCH(I2107,I:I,0)-1,1)),D2107-C2107)</f>
        <v>#NAME?</v>
      </c>
      <c r="H2107" s="140" t="e">
        <f ca="1">mif(C2107="","",B2107=リスト!$C$5,SUMIF(INDEX(B:B,MATCH(I2107-1,I:I,0)+1,1):INDEX(B:B,MATCH(I2107,I:I,0)-1,1),リスト!$C$7,INDEX(G:G,MATCH(I2107-1,I:I,0)+1,1):INDEX(G:G,MATCH(I2107,I:I,0)-1,1)),"")</f>
        <v>#NAME?</v>
      </c>
      <c r="I2107" s="200" t="str">
        <f>IF(OR(B2107=リスト!$C$5,B2107=リスト!$C$6),COUNTIF($B$9:B2107,リスト!$C$5)+COUNTIF($B$9:B2107,リスト!$C$6),"")</f>
        <v/>
      </c>
    </row>
    <row r="2108" spans="2:9" x14ac:dyDescent="0.2">
      <c r="B2108" s="196"/>
      <c r="C2108" s="197"/>
      <c r="D2108" s="197"/>
      <c r="E2108" s="198" t="e">
        <f ca="1">mif(OR(C2108="",B2108=リスト!$C$7),"",B2108="","RF",OR(B2108=リスト!$C$5,B2108=リスト!$C$6),COUNTBLANK(INDEX(B:B,MATCH(I2108-1,I:I,0)+1,1):INDEX(B:B,MATCH(I2108,I:I,0)-1,1)),"")</f>
        <v>#NAME?</v>
      </c>
      <c r="F2108" s="199" t="s">
        <v>189</v>
      </c>
      <c r="G2108" s="140" t="e">
        <f ca="1">mif(C2108="","",OR(B2108=リスト!$C$5,B2108=リスト!$C$6),SUM(INDEX(G:G,MATCH(I2108-1,I:I,0)+1,1):INDEX(G:G,MATCH(I2108,I:I,0)-1,1)),D2108-C2108)</f>
        <v>#NAME?</v>
      </c>
      <c r="H2108" s="140" t="e">
        <f ca="1">mif(C2108="","",B2108=リスト!$C$5,SUMIF(INDEX(B:B,MATCH(I2108-1,I:I,0)+1,1):INDEX(B:B,MATCH(I2108,I:I,0)-1,1),リスト!$C$7,INDEX(G:G,MATCH(I2108-1,I:I,0)+1,1):INDEX(G:G,MATCH(I2108,I:I,0)-1,1)),"")</f>
        <v>#NAME?</v>
      </c>
      <c r="I2108" s="200" t="str">
        <f>IF(OR(B2108=リスト!$C$5,B2108=リスト!$C$6),COUNTIF($B$9:B2108,リスト!$C$5)+COUNTIF($B$9:B2108,リスト!$C$6),"")</f>
        <v/>
      </c>
    </row>
    <row r="2109" spans="2:9" x14ac:dyDescent="0.2">
      <c r="B2109" s="196"/>
      <c r="C2109" s="197"/>
      <c r="D2109" s="197"/>
      <c r="E2109" s="198" t="e">
        <f ca="1">mif(OR(C2109="",B2109=リスト!$C$7),"",B2109="","RF",OR(B2109=リスト!$C$5,B2109=リスト!$C$6),COUNTBLANK(INDEX(B:B,MATCH(I2109-1,I:I,0)+1,1):INDEX(B:B,MATCH(I2109,I:I,0)-1,1)),"")</f>
        <v>#NAME?</v>
      </c>
      <c r="F2109" s="199" t="s">
        <v>189</v>
      </c>
      <c r="G2109" s="140" t="e">
        <f ca="1">mif(C2109="","",OR(B2109=リスト!$C$5,B2109=リスト!$C$6),SUM(INDEX(G:G,MATCH(I2109-1,I:I,0)+1,1):INDEX(G:G,MATCH(I2109,I:I,0)-1,1)),D2109-C2109)</f>
        <v>#NAME?</v>
      </c>
      <c r="H2109" s="140" t="e">
        <f ca="1">mif(C2109="","",B2109=リスト!$C$5,SUMIF(INDEX(B:B,MATCH(I2109-1,I:I,0)+1,1):INDEX(B:B,MATCH(I2109,I:I,0)-1,1),リスト!$C$7,INDEX(G:G,MATCH(I2109-1,I:I,0)+1,1):INDEX(G:G,MATCH(I2109,I:I,0)-1,1)),"")</f>
        <v>#NAME?</v>
      </c>
      <c r="I2109" s="200" t="str">
        <f>IF(OR(B2109=リスト!$C$5,B2109=リスト!$C$6),COUNTIF($B$9:B2109,リスト!$C$5)+COUNTIF($B$9:B2109,リスト!$C$6),"")</f>
        <v/>
      </c>
    </row>
    <row r="2110" spans="2:9" x14ac:dyDescent="0.2">
      <c r="B2110" s="196"/>
      <c r="C2110" s="197"/>
      <c r="D2110" s="197"/>
      <c r="E2110" s="198" t="e">
        <f ca="1">mif(OR(C2110="",B2110=リスト!$C$7),"",B2110="","RF",OR(B2110=リスト!$C$5,B2110=リスト!$C$6),COUNTBLANK(INDEX(B:B,MATCH(I2110-1,I:I,0)+1,1):INDEX(B:B,MATCH(I2110,I:I,0)-1,1)),"")</f>
        <v>#NAME?</v>
      </c>
      <c r="F2110" s="199" t="s">
        <v>189</v>
      </c>
      <c r="G2110" s="140" t="e">
        <f ca="1">mif(C2110="","",OR(B2110=リスト!$C$5,B2110=リスト!$C$6),SUM(INDEX(G:G,MATCH(I2110-1,I:I,0)+1,1):INDEX(G:G,MATCH(I2110,I:I,0)-1,1)),D2110-C2110)</f>
        <v>#NAME?</v>
      </c>
      <c r="H2110" s="140" t="e">
        <f ca="1">mif(C2110="","",B2110=リスト!$C$5,SUMIF(INDEX(B:B,MATCH(I2110-1,I:I,0)+1,1):INDEX(B:B,MATCH(I2110,I:I,0)-1,1),リスト!$C$7,INDEX(G:G,MATCH(I2110-1,I:I,0)+1,1):INDEX(G:G,MATCH(I2110,I:I,0)-1,1)),"")</f>
        <v>#NAME?</v>
      </c>
      <c r="I2110" s="200" t="str">
        <f>IF(OR(B2110=リスト!$C$5,B2110=リスト!$C$6),COUNTIF($B$9:B2110,リスト!$C$5)+COUNTIF($B$9:B2110,リスト!$C$6),"")</f>
        <v/>
      </c>
    </row>
    <row r="2111" spans="2:9" x14ac:dyDescent="0.2">
      <c r="B2111" s="196"/>
      <c r="C2111" s="197"/>
      <c r="D2111" s="197"/>
      <c r="E2111" s="198" t="e">
        <f ca="1">mif(OR(C2111="",B2111=リスト!$C$7),"",B2111="","RF",OR(B2111=リスト!$C$5,B2111=リスト!$C$6),COUNTBLANK(INDEX(B:B,MATCH(I2111-1,I:I,0)+1,1):INDEX(B:B,MATCH(I2111,I:I,0)-1,1)),"")</f>
        <v>#NAME?</v>
      </c>
      <c r="F2111" s="199" t="s">
        <v>189</v>
      </c>
      <c r="G2111" s="140" t="e">
        <f ca="1">mif(C2111="","",OR(B2111=リスト!$C$5,B2111=リスト!$C$6),SUM(INDEX(G:G,MATCH(I2111-1,I:I,0)+1,1):INDEX(G:G,MATCH(I2111,I:I,0)-1,1)),D2111-C2111)</f>
        <v>#NAME?</v>
      </c>
      <c r="H2111" s="140" t="e">
        <f ca="1">mif(C2111="","",B2111=リスト!$C$5,SUMIF(INDEX(B:B,MATCH(I2111-1,I:I,0)+1,1):INDEX(B:B,MATCH(I2111,I:I,0)-1,1),リスト!$C$7,INDEX(G:G,MATCH(I2111-1,I:I,0)+1,1):INDEX(G:G,MATCH(I2111,I:I,0)-1,1)),"")</f>
        <v>#NAME?</v>
      </c>
      <c r="I2111" s="200" t="str">
        <f>IF(OR(B2111=リスト!$C$5,B2111=リスト!$C$6),COUNTIF($B$9:B2111,リスト!$C$5)+COUNTIF($B$9:B2111,リスト!$C$6),"")</f>
        <v/>
      </c>
    </row>
    <row r="2112" spans="2:9" x14ac:dyDescent="0.2">
      <c r="B2112" s="196"/>
      <c r="C2112" s="197"/>
      <c r="D2112" s="197"/>
      <c r="E2112" s="198" t="e">
        <f ca="1">mif(OR(C2112="",B2112=リスト!$C$7),"",B2112="","RF",OR(B2112=リスト!$C$5,B2112=リスト!$C$6),COUNTBLANK(INDEX(B:B,MATCH(I2112-1,I:I,0)+1,1):INDEX(B:B,MATCH(I2112,I:I,0)-1,1)),"")</f>
        <v>#NAME?</v>
      </c>
      <c r="F2112" s="199" t="s">
        <v>189</v>
      </c>
      <c r="G2112" s="140" t="e">
        <f ca="1">mif(C2112="","",OR(B2112=リスト!$C$5,B2112=リスト!$C$6),SUM(INDEX(G:G,MATCH(I2112-1,I:I,0)+1,1):INDEX(G:G,MATCH(I2112,I:I,0)-1,1)),D2112-C2112)</f>
        <v>#NAME?</v>
      </c>
      <c r="H2112" s="140" t="e">
        <f ca="1">mif(C2112="","",B2112=リスト!$C$5,SUMIF(INDEX(B:B,MATCH(I2112-1,I:I,0)+1,1):INDEX(B:B,MATCH(I2112,I:I,0)-1,1),リスト!$C$7,INDEX(G:G,MATCH(I2112-1,I:I,0)+1,1):INDEX(G:G,MATCH(I2112,I:I,0)-1,1)),"")</f>
        <v>#NAME?</v>
      </c>
      <c r="I2112" s="200" t="str">
        <f>IF(OR(B2112=リスト!$C$5,B2112=リスト!$C$6),COUNTIF($B$9:B2112,リスト!$C$5)+COUNTIF($B$9:B2112,リスト!$C$6),"")</f>
        <v/>
      </c>
    </row>
    <row r="2113" spans="2:9" x14ac:dyDescent="0.2">
      <c r="B2113" s="196"/>
      <c r="C2113" s="197"/>
      <c r="D2113" s="197"/>
      <c r="E2113" s="198" t="e">
        <f ca="1">mif(OR(C2113="",B2113=リスト!$C$7),"",B2113="","RF",OR(B2113=リスト!$C$5,B2113=リスト!$C$6),COUNTBLANK(INDEX(B:B,MATCH(I2113-1,I:I,0)+1,1):INDEX(B:B,MATCH(I2113,I:I,0)-1,1)),"")</f>
        <v>#NAME?</v>
      </c>
      <c r="F2113" s="199" t="s">
        <v>189</v>
      </c>
      <c r="G2113" s="140" t="e">
        <f ca="1">mif(C2113="","",OR(B2113=リスト!$C$5,B2113=リスト!$C$6),SUM(INDEX(G:G,MATCH(I2113-1,I:I,0)+1,1):INDEX(G:G,MATCH(I2113,I:I,0)-1,1)),D2113-C2113)</f>
        <v>#NAME?</v>
      </c>
      <c r="H2113" s="140" t="e">
        <f ca="1">mif(C2113="","",B2113=リスト!$C$5,SUMIF(INDEX(B:B,MATCH(I2113-1,I:I,0)+1,1):INDEX(B:B,MATCH(I2113,I:I,0)-1,1),リスト!$C$7,INDEX(G:G,MATCH(I2113-1,I:I,0)+1,1):INDEX(G:G,MATCH(I2113,I:I,0)-1,1)),"")</f>
        <v>#NAME?</v>
      </c>
      <c r="I2113" s="200" t="str">
        <f>IF(OR(B2113=リスト!$C$5,B2113=リスト!$C$6),COUNTIF($B$9:B2113,リスト!$C$5)+COUNTIF($B$9:B2113,リスト!$C$6),"")</f>
        <v/>
      </c>
    </row>
    <row r="2114" spans="2:9" x14ac:dyDescent="0.2">
      <c r="B2114" s="196"/>
      <c r="C2114" s="197"/>
      <c r="D2114" s="197"/>
      <c r="E2114" s="198" t="e">
        <f ca="1">mif(OR(C2114="",B2114=リスト!$C$7),"",B2114="","RF",OR(B2114=リスト!$C$5,B2114=リスト!$C$6),COUNTBLANK(INDEX(B:B,MATCH(I2114-1,I:I,0)+1,1):INDEX(B:B,MATCH(I2114,I:I,0)-1,1)),"")</f>
        <v>#NAME?</v>
      </c>
      <c r="F2114" s="199" t="s">
        <v>189</v>
      </c>
      <c r="G2114" s="140" t="e">
        <f ca="1">mif(C2114="","",OR(B2114=リスト!$C$5,B2114=リスト!$C$6),SUM(INDEX(G:G,MATCH(I2114-1,I:I,0)+1,1):INDEX(G:G,MATCH(I2114,I:I,0)-1,1)),D2114-C2114)</f>
        <v>#NAME?</v>
      </c>
      <c r="H2114" s="140" t="e">
        <f ca="1">mif(C2114="","",B2114=リスト!$C$5,SUMIF(INDEX(B:B,MATCH(I2114-1,I:I,0)+1,1):INDEX(B:B,MATCH(I2114,I:I,0)-1,1),リスト!$C$7,INDEX(G:G,MATCH(I2114-1,I:I,0)+1,1):INDEX(G:G,MATCH(I2114,I:I,0)-1,1)),"")</f>
        <v>#NAME?</v>
      </c>
      <c r="I2114" s="200" t="str">
        <f>IF(OR(B2114=リスト!$C$5,B2114=リスト!$C$6),COUNTIF($B$9:B2114,リスト!$C$5)+COUNTIF($B$9:B2114,リスト!$C$6),"")</f>
        <v/>
      </c>
    </row>
    <row r="2115" spans="2:9" x14ac:dyDescent="0.2">
      <c r="B2115" s="196"/>
      <c r="C2115" s="197"/>
      <c r="D2115" s="197"/>
      <c r="E2115" s="198" t="e">
        <f ca="1">mif(OR(C2115="",B2115=リスト!$C$7),"",B2115="","RF",OR(B2115=リスト!$C$5,B2115=リスト!$C$6),COUNTBLANK(INDEX(B:B,MATCH(I2115-1,I:I,0)+1,1):INDEX(B:B,MATCH(I2115,I:I,0)-1,1)),"")</f>
        <v>#NAME?</v>
      </c>
      <c r="F2115" s="199" t="s">
        <v>189</v>
      </c>
      <c r="G2115" s="140" t="e">
        <f ca="1">mif(C2115="","",OR(B2115=リスト!$C$5,B2115=リスト!$C$6),SUM(INDEX(G:G,MATCH(I2115-1,I:I,0)+1,1):INDEX(G:G,MATCH(I2115,I:I,0)-1,1)),D2115-C2115)</f>
        <v>#NAME?</v>
      </c>
      <c r="H2115" s="140" t="e">
        <f ca="1">mif(C2115="","",B2115=リスト!$C$5,SUMIF(INDEX(B:B,MATCH(I2115-1,I:I,0)+1,1):INDEX(B:B,MATCH(I2115,I:I,0)-1,1),リスト!$C$7,INDEX(G:G,MATCH(I2115-1,I:I,0)+1,1):INDEX(G:G,MATCH(I2115,I:I,0)-1,1)),"")</f>
        <v>#NAME?</v>
      </c>
      <c r="I2115" s="200" t="str">
        <f>IF(OR(B2115=リスト!$C$5,B2115=リスト!$C$6),COUNTIF($B$9:B2115,リスト!$C$5)+COUNTIF($B$9:B2115,リスト!$C$6),"")</f>
        <v/>
      </c>
    </row>
    <row r="2116" spans="2:9" x14ac:dyDescent="0.2">
      <c r="B2116" s="196"/>
      <c r="C2116" s="197"/>
      <c r="D2116" s="197"/>
      <c r="E2116" s="198" t="e">
        <f ca="1">mif(OR(C2116="",B2116=リスト!$C$7),"",B2116="","RF",OR(B2116=リスト!$C$5,B2116=リスト!$C$6),COUNTBLANK(INDEX(B:B,MATCH(I2116-1,I:I,0)+1,1):INDEX(B:B,MATCH(I2116,I:I,0)-1,1)),"")</f>
        <v>#NAME?</v>
      </c>
      <c r="F2116" s="199" t="s">
        <v>189</v>
      </c>
      <c r="G2116" s="140" t="e">
        <f ca="1">mif(C2116="","",OR(B2116=リスト!$C$5,B2116=リスト!$C$6),SUM(INDEX(G:G,MATCH(I2116-1,I:I,0)+1,1):INDEX(G:G,MATCH(I2116,I:I,0)-1,1)),D2116-C2116)</f>
        <v>#NAME?</v>
      </c>
      <c r="H2116" s="140" t="e">
        <f ca="1">mif(C2116="","",B2116=リスト!$C$5,SUMIF(INDEX(B:B,MATCH(I2116-1,I:I,0)+1,1):INDEX(B:B,MATCH(I2116,I:I,0)-1,1),リスト!$C$7,INDEX(G:G,MATCH(I2116-1,I:I,0)+1,1):INDEX(G:G,MATCH(I2116,I:I,0)-1,1)),"")</f>
        <v>#NAME?</v>
      </c>
      <c r="I2116" s="200" t="str">
        <f>IF(OR(B2116=リスト!$C$5,B2116=リスト!$C$6),COUNTIF($B$9:B2116,リスト!$C$5)+COUNTIF($B$9:B2116,リスト!$C$6),"")</f>
        <v/>
      </c>
    </row>
    <row r="2117" spans="2:9" x14ac:dyDescent="0.2">
      <c r="B2117" s="196"/>
      <c r="C2117" s="197"/>
      <c r="D2117" s="197"/>
      <c r="E2117" s="198" t="e">
        <f ca="1">mif(OR(C2117="",B2117=リスト!$C$7),"",B2117="","RF",OR(B2117=リスト!$C$5,B2117=リスト!$C$6),COUNTBLANK(INDEX(B:B,MATCH(I2117-1,I:I,0)+1,1):INDEX(B:B,MATCH(I2117,I:I,0)-1,1)),"")</f>
        <v>#NAME?</v>
      </c>
      <c r="F2117" s="199" t="s">
        <v>189</v>
      </c>
      <c r="G2117" s="140" t="e">
        <f ca="1">mif(C2117="","",OR(B2117=リスト!$C$5,B2117=リスト!$C$6),SUM(INDEX(G:G,MATCH(I2117-1,I:I,0)+1,1):INDEX(G:G,MATCH(I2117,I:I,0)-1,1)),D2117-C2117)</f>
        <v>#NAME?</v>
      </c>
      <c r="H2117" s="140" t="e">
        <f ca="1">mif(C2117="","",B2117=リスト!$C$5,SUMIF(INDEX(B:B,MATCH(I2117-1,I:I,0)+1,1):INDEX(B:B,MATCH(I2117,I:I,0)-1,1),リスト!$C$7,INDEX(G:G,MATCH(I2117-1,I:I,0)+1,1):INDEX(G:G,MATCH(I2117,I:I,0)-1,1)),"")</f>
        <v>#NAME?</v>
      </c>
      <c r="I2117" s="200" t="str">
        <f>IF(OR(B2117=リスト!$C$5,B2117=リスト!$C$6),COUNTIF($B$9:B2117,リスト!$C$5)+COUNTIF($B$9:B2117,リスト!$C$6),"")</f>
        <v/>
      </c>
    </row>
    <row r="2118" spans="2:9" x14ac:dyDescent="0.2">
      <c r="B2118" s="196"/>
      <c r="C2118" s="197"/>
      <c r="D2118" s="197"/>
      <c r="E2118" s="198" t="e">
        <f ca="1">mif(OR(C2118="",B2118=リスト!$C$7),"",B2118="","RF",OR(B2118=リスト!$C$5,B2118=リスト!$C$6),COUNTBLANK(INDEX(B:B,MATCH(I2118-1,I:I,0)+1,1):INDEX(B:B,MATCH(I2118,I:I,0)-1,1)),"")</f>
        <v>#NAME?</v>
      </c>
      <c r="F2118" s="199" t="s">
        <v>189</v>
      </c>
      <c r="G2118" s="140" t="e">
        <f ca="1">mif(C2118="","",OR(B2118=リスト!$C$5,B2118=リスト!$C$6),SUM(INDEX(G:G,MATCH(I2118-1,I:I,0)+1,1):INDEX(G:G,MATCH(I2118,I:I,0)-1,1)),D2118-C2118)</f>
        <v>#NAME?</v>
      </c>
      <c r="H2118" s="140" t="e">
        <f ca="1">mif(C2118="","",B2118=リスト!$C$5,SUMIF(INDEX(B:B,MATCH(I2118-1,I:I,0)+1,1):INDEX(B:B,MATCH(I2118,I:I,0)-1,1),リスト!$C$7,INDEX(G:G,MATCH(I2118-1,I:I,0)+1,1):INDEX(G:G,MATCH(I2118,I:I,0)-1,1)),"")</f>
        <v>#NAME?</v>
      </c>
      <c r="I2118" s="200" t="str">
        <f>IF(OR(B2118=リスト!$C$5,B2118=リスト!$C$6),COUNTIF($B$9:B2118,リスト!$C$5)+COUNTIF($B$9:B2118,リスト!$C$6),"")</f>
        <v/>
      </c>
    </row>
    <row r="2119" spans="2:9" x14ac:dyDescent="0.2">
      <c r="B2119" s="196"/>
      <c r="C2119" s="197"/>
      <c r="D2119" s="197"/>
      <c r="E2119" s="198" t="e">
        <f ca="1">mif(OR(C2119="",B2119=リスト!$C$7),"",B2119="","RF",OR(B2119=リスト!$C$5,B2119=リスト!$C$6),COUNTBLANK(INDEX(B:B,MATCH(I2119-1,I:I,0)+1,1):INDEX(B:B,MATCH(I2119,I:I,0)-1,1)),"")</f>
        <v>#NAME?</v>
      </c>
      <c r="F2119" s="199" t="s">
        <v>189</v>
      </c>
      <c r="G2119" s="140" t="e">
        <f ca="1">mif(C2119="","",OR(B2119=リスト!$C$5,B2119=リスト!$C$6),SUM(INDEX(G:G,MATCH(I2119-1,I:I,0)+1,1):INDEX(G:G,MATCH(I2119,I:I,0)-1,1)),D2119-C2119)</f>
        <v>#NAME?</v>
      </c>
      <c r="H2119" s="140" t="e">
        <f ca="1">mif(C2119="","",B2119=リスト!$C$5,SUMIF(INDEX(B:B,MATCH(I2119-1,I:I,0)+1,1):INDEX(B:B,MATCH(I2119,I:I,0)-1,1),リスト!$C$7,INDEX(G:G,MATCH(I2119-1,I:I,0)+1,1):INDEX(G:G,MATCH(I2119,I:I,0)-1,1)),"")</f>
        <v>#NAME?</v>
      </c>
      <c r="I2119" s="200" t="str">
        <f>IF(OR(B2119=リスト!$C$5,B2119=リスト!$C$6),COUNTIF($B$9:B2119,リスト!$C$5)+COUNTIF($B$9:B2119,リスト!$C$6),"")</f>
        <v/>
      </c>
    </row>
    <row r="2120" spans="2:9" x14ac:dyDescent="0.2">
      <c r="B2120" s="196"/>
      <c r="C2120" s="197"/>
      <c r="D2120" s="197"/>
      <c r="E2120" s="198" t="e">
        <f ca="1">mif(OR(C2120="",B2120=リスト!$C$7),"",B2120="","RF",OR(B2120=リスト!$C$5,B2120=リスト!$C$6),COUNTBLANK(INDEX(B:B,MATCH(I2120-1,I:I,0)+1,1):INDEX(B:B,MATCH(I2120,I:I,0)-1,1)),"")</f>
        <v>#NAME?</v>
      </c>
      <c r="F2120" s="199" t="s">
        <v>189</v>
      </c>
      <c r="G2120" s="140" t="e">
        <f ca="1">mif(C2120="","",OR(B2120=リスト!$C$5,B2120=リスト!$C$6),SUM(INDEX(G:G,MATCH(I2120-1,I:I,0)+1,1):INDEX(G:G,MATCH(I2120,I:I,0)-1,1)),D2120-C2120)</f>
        <v>#NAME?</v>
      </c>
      <c r="H2120" s="140" t="e">
        <f ca="1">mif(C2120="","",B2120=リスト!$C$5,SUMIF(INDEX(B:B,MATCH(I2120-1,I:I,0)+1,1):INDEX(B:B,MATCH(I2120,I:I,0)-1,1),リスト!$C$7,INDEX(G:G,MATCH(I2120-1,I:I,0)+1,1):INDEX(G:G,MATCH(I2120,I:I,0)-1,1)),"")</f>
        <v>#NAME?</v>
      </c>
      <c r="I2120" s="200" t="str">
        <f>IF(OR(B2120=リスト!$C$5,B2120=リスト!$C$6),COUNTIF($B$9:B2120,リスト!$C$5)+COUNTIF($B$9:B2120,リスト!$C$6),"")</f>
        <v/>
      </c>
    </row>
    <row r="2121" spans="2:9" x14ac:dyDescent="0.2">
      <c r="B2121" s="196"/>
      <c r="C2121" s="197"/>
      <c r="D2121" s="197"/>
      <c r="E2121" s="198" t="e">
        <f ca="1">mif(OR(C2121="",B2121=リスト!$C$7),"",B2121="","RF",OR(B2121=リスト!$C$5,B2121=リスト!$C$6),COUNTBLANK(INDEX(B:B,MATCH(I2121-1,I:I,0)+1,1):INDEX(B:B,MATCH(I2121,I:I,0)-1,1)),"")</f>
        <v>#NAME?</v>
      </c>
      <c r="F2121" s="199" t="s">
        <v>189</v>
      </c>
      <c r="G2121" s="140" t="e">
        <f ca="1">mif(C2121="","",OR(B2121=リスト!$C$5,B2121=リスト!$C$6),SUM(INDEX(G:G,MATCH(I2121-1,I:I,0)+1,1):INDEX(G:G,MATCH(I2121,I:I,0)-1,1)),D2121-C2121)</f>
        <v>#NAME?</v>
      </c>
      <c r="H2121" s="140" t="e">
        <f ca="1">mif(C2121="","",B2121=リスト!$C$5,SUMIF(INDEX(B:B,MATCH(I2121-1,I:I,0)+1,1):INDEX(B:B,MATCH(I2121,I:I,0)-1,1),リスト!$C$7,INDEX(G:G,MATCH(I2121-1,I:I,0)+1,1):INDEX(G:G,MATCH(I2121,I:I,0)-1,1)),"")</f>
        <v>#NAME?</v>
      </c>
      <c r="I2121" s="200" t="str">
        <f>IF(OR(B2121=リスト!$C$5,B2121=リスト!$C$6),COUNTIF($B$9:B2121,リスト!$C$5)+COUNTIF($B$9:B2121,リスト!$C$6),"")</f>
        <v/>
      </c>
    </row>
    <row r="2122" spans="2:9" x14ac:dyDescent="0.2">
      <c r="B2122" s="196"/>
      <c r="C2122" s="197"/>
      <c r="D2122" s="197"/>
      <c r="E2122" s="198" t="e">
        <f ca="1">mif(OR(C2122="",B2122=リスト!$C$7),"",B2122="","RF",OR(B2122=リスト!$C$5,B2122=リスト!$C$6),COUNTBLANK(INDEX(B:B,MATCH(I2122-1,I:I,0)+1,1):INDEX(B:B,MATCH(I2122,I:I,0)-1,1)),"")</f>
        <v>#NAME?</v>
      </c>
      <c r="F2122" s="199" t="s">
        <v>189</v>
      </c>
      <c r="G2122" s="140" t="e">
        <f ca="1">mif(C2122="","",OR(B2122=リスト!$C$5,B2122=リスト!$C$6),SUM(INDEX(G:G,MATCH(I2122-1,I:I,0)+1,1):INDEX(G:G,MATCH(I2122,I:I,0)-1,1)),D2122-C2122)</f>
        <v>#NAME?</v>
      </c>
      <c r="H2122" s="140" t="e">
        <f ca="1">mif(C2122="","",B2122=リスト!$C$5,SUMIF(INDEX(B:B,MATCH(I2122-1,I:I,0)+1,1):INDEX(B:B,MATCH(I2122,I:I,0)-1,1),リスト!$C$7,INDEX(G:G,MATCH(I2122-1,I:I,0)+1,1):INDEX(G:G,MATCH(I2122,I:I,0)-1,1)),"")</f>
        <v>#NAME?</v>
      </c>
      <c r="I2122" s="200" t="str">
        <f>IF(OR(B2122=リスト!$C$5,B2122=リスト!$C$6),COUNTIF($B$9:B2122,リスト!$C$5)+COUNTIF($B$9:B2122,リスト!$C$6),"")</f>
        <v/>
      </c>
    </row>
    <row r="2123" spans="2:9" x14ac:dyDescent="0.2">
      <c r="B2123" s="196"/>
      <c r="C2123" s="197"/>
      <c r="D2123" s="197"/>
      <c r="E2123" s="198" t="e">
        <f ca="1">mif(OR(C2123="",B2123=リスト!$C$7),"",B2123="","RF",OR(B2123=リスト!$C$5,B2123=リスト!$C$6),COUNTBLANK(INDEX(B:B,MATCH(I2123-1,I:I,0)+1,1):INDEX(B:B,MATCH(I2123,I:I,0)-1,1)),"")</f>
        <v>#NAME?</v>
      </c>
      <c r="F2123" s="199" t="s">
        <v>189</v>
      </c>
      <c r="G2123" s="140" t="e">
        <f ca="1">mif(C2123="","",OR(B2123=リスト!$C$5,B2123=リスト!$C$6),SUM(INDEX(G:G,MATCH(I2123-1,I:I,0)+1,1):INDEX(G:G,MATCH(I2123,I:I,0)-1,1)),D2123-C2123)</f>
        <v>#NAME?</v>
      </c>
      <c r="H2123" s="140" t="e">
        <f ca="1">mif(C2123="","",B2123=リスト!$C$5,SUMIF(INDEX(B:B,MATCH(I2123-1,I:I,0)+1,1):INDEX(B:B,MATCH(I2123,I:I,0)-1,1),リスト!$C$7,INDEX(G:G,MATCH(I2123-1,I:I,0)+1,1):INDEX(G:G,MATCH(I2123,I:I,0)-1,1)),"")</f>
        <v>#NAME?</v>
      </c>
      <c r="I2123" s="200" t="str">
        <f>IF(OR(B2123=リスト!$C$5,B2123=リスト!$C$6),COUNTIF($B$9:B2123,リスト!$C$5)+COUNTIF($B$9:B2123,リスト!$C$6),"")</f>
        <v/>
      </c>
    </row>
    <row r="2124" spans="2:9" x14ac:dyDescent="0.2">
      <c r="B2124" s="196"/>
      <c r="C2124" s="197"/>
      <c r="D2124" s="197"/>
      <c r="E2124" s="198" t="e">
        <f ca="1">mif(OR(C2124="",B2124=リスト!$C$7),"",B2124="","RF",OR(B2124=リスト!$C$5,B2124=リスト!$C$6),COUNTBLANK(INDEX(B:B,MATCH(I2124-1,I:I,0)+1,1):INDEX(B:B,MATCH(I2124,I:I,0)-1,1)),"")</f>
        <v>#NAME?</v>
      </c>
      <c r="F2124" s="199" t="s">
        <v>189</v>
      </c>
      <c r="G2124" s="140" t="e">
        <f ca="1">mif(C2124="","",OR(B2124=リスト!$C$5,B2124=リスト!$C$6),SUM(INDEX(G:G,MATCH(I2124-1,I:I,0)+1,1):INDEX(G:G,MATCH(I2124,I:I,0)-1,1)),D2124-C2124)</f>
        <v>#NAME?</v>
      </c>
      <c r="H2124" s="140" t="e">
        <f ca="1">mif(C2124="","",B2124=リスト!$C$5,SUMIF(INDEX(B:B,MATCH(I2124-1,I:I,0)+1,1):INDEX(B:B,MATCH(I2124,I:I,0)-1,1),リスト!$C$7,INDEX(G:G,MATCH(I2124-1,I:I,0)+1,1):INDEX(G:G,MATCH(I2124,I:I,0)-1,1)),"")</f>
        <v>#NAME?</v>
      </c>
      <c r="I2124" s="200" t="str">
        <f>IF(OR(B2124=リスト!$C$5,B2124=リスト!$C$6),COUNTIF($B$9:B2124,リスト!$C$5)+COUNTIF($B$9:B2124,リスト!$C$6),"")</f>
        <v/>
      </c>
    </row>
    <row r="2125" spans="2:9" x14ac:dyDescent="0.2">
      <c r="B2125" s="196"/>
      <c r="C2125" s="197"/>
      <c r="D2125" s="197"/>
      <c r="E2125" s="198" t="e">
        <f ca="1">mif(OR(C2125="",B2125=リスト!$C$7),"",B2125="","RF",OR(B2125=リスト!$C$5,B2125=リスト!$C$6),COUNTBLANK(INDEX(B:B,MATCH(I2125-1,I:I,0)+1,1):INDEX(B:B,MATCH(I2125,I:I,0)-1,1)),"")</f>
        <v>#NAME?</v>
      </c>
      <c r="F2125" s="199" t="s">
        <v>189</v>
      </c>
      <c r="G2125" s="140" t="e">
        <f ca="1">mif(C2125="","",OR(B2125=リスト!$C$5,B2125=リスト!$C$6),SUM(INDEX(G:G,MATCH(I2125-1,I:I,0)+1,1):INDEX(G:G,MATCH(I2125,I:I,0)-1,1)),D2125-C2125)</f>
        <v>#NAME?</v>
      </c>
      <c r="H2125" s="140" t="e">
        <f ca="1">mif(C2125="","",B2125=リスト!$C$5,SUMIF(INDEX(B:B,MATCH(I2125-1,I:I,0)+1,1):INDEX(B:B,MATCH(I2125,I:I,0)-1,1),リスト!$C$7,INDEX(G:G,MATCH(I2125-1,I:I,0)+1,1):INDEX(G:G,MATCH(I2125,I:I,0)-1,1)),"")</f>
        <v>#NAME?</v>
      </c>
      <c r="I2125" s="200" t="str">
        <f>IF(OR(B2125=リスト!$C$5,B2125=リスト!$C$6),COUNTIF($B$9:B2125,リスト!$C$5)+COUNTIF($B$9:B2125,リスト!$C$6),"")</f>
        <v/>
      </c>
    </row>
    <row r="2126" spans="2:9" x14ac:dyDescent="0.2">
      <c r="B2126" s="196"/>
      <c r="C2126" s="197"/>
      <c r="D2126" s="197"/>
      <c r="E2126" s="198" t="e">
        <f ca="1">mif(OR(C2126="",B2126=リスト!$C$7),"",B2126="","RF",OR(B2126=リスト!$C$5,B2126=リスト!$C$6),COUNTBLANK(INDEX(B:B,MATCH(I2126-1,I:I,0)+1,1):INDEX(B:B,MATCH(I2126,I:I,0)-1,1)),"")</f>
        <v>#NAME?</v>
      </c>
      <c r="F2126" s="199" t="s">
        <v>189</v>
      </c>
      <c r="G2126" s="140" t="e">
        <f ca="1">mif(C2126="","",OR(B2126=リスト!$C$5,B2126=リスト!$C$6),SUM(INDEX(G:G,MATCH(I2126-1,I:I,0)+1,1):INDEX(G:G,MATCH(I2126,I:I,0)-1,1)),D2126-C2126)</f>
        <v>#NAME?</v>
      </c>
      <c r="H2126" s="140" t="e">
        <f ca="1">mif(C2126="","",B2126=リスト!$C$5,SUMIF(INDEX(B:B,MATCH(I2126-1,I:I,0)+1,1):INDEX(B:B,MATCH(I2126,I:I,0)-1,1),リスト!$C$7,INDEX(G:G,MATCH(I2126-1,I:I,0)+1,1):INDEX(G:G,MATCH(I2126,I:I,0)-1,1)),"")</f>
        <v>#NAME?</v>
      </c>
      <c r="I2126" s="200" t="str">
        <f>IF(OR(B2126=リスト!$C$5,B2126=リスト!$C$6),COUNTIF($B$9:B2126,リスト!$C$5)+COUNTIF($B$9:B2126,リスト!$C$6),"")</f>
        <v/>
      </c>
    </row>
    <row r="2127" spans="2:9" x14ac:dyDescent="0.2">
      <c r="B2127" s="196"/>
      <c r="C2127" s="197"/>
      <c r="D2127" s="197"/>
      <c r="E2127" s="198" t="e">
        <f ca="1">mif(OR(C2127="",B2127=リスト!$C$7),"",B2127="","RF",OR(B2127=リスト!$C$5,B2127=リスト!$C$6),COUNTBLANK(INDEX(B:B,MATCH(I2127-1,I:I,0)+1,1):INDEX(B:B,MATCH(I2127,I:I,0)-1,1)),"")</f>
        <v>#NAME?</v>
      </c>
      <c r="F2127" s="199" t="s">
        <v>189</v>
      </c>
      <c r="G2127" s="140" t="e">
        <f ca="1">mif(C2127="","",OR(B2127=リスト!$C$5,B2127=リスト!$C$6),SUM(INDEX(G:G,MATCH(I2127-1,I:I,0)+1,1):INDEX(G:G,MATCH(I2127,I:I,0)-1,1)),D2127-C2127)</f>
        <v>#NAME?</v>
      </c>
      <c r="H2127" s="140" t="e">
        <f ca="1">mif(C2127="","",B2127=リスト!$C$5,SUMIF(INDEX(B:B,MATCH(I2127-1,I:I,0)+1,1):INDEX(B:B,MATCH(I2127,I:I,0)-1,1),リスト!$C$7,INDEX(G:G,MATCH(I2127-1,I:I,0)+1,1):INDEX(G:G,MATCH(I2127,I:I,0)-1,1)),"")</f>
        <v>#NAME?</v>
      </c>
      <c r="I2127" s="200" t="str">
        <f>IF(OR(B2127=リスト!$C$5,B2127=リスト!$C$6),COUNTIF($B$9:B2127,リスト!$C$5)+COUNTIF($B$9:B2127,リスト!$C$6),"")</f>
        <v/>
      </c>
    </row>
    <row r="2128" spans="2:9" x14ac:dyDescent="0.2">
      <c r="B2128" s="196"/>
      <c r="C2128" s="197"/>
      <c r="D2128" s="197"/>
      <c r="E2128" s="198" t="e">
        <f ca="1">mif(OR(C2128="",B2128=リスト!$C$7),"",B2128="","RF",OR(B2128=リスト!$C$5,B2128=リスト!$C$6),COUNTBLANK(INDEX(B:B,MATCH(I2128-1,I:I,0)+1,1):INDEX(B:B,MATCH(I2128,I:I,0)-1,1)),"")</f>
        <v>#NAME?</v>
      </c>
      <c r="F2128" s="199" t="s">
        <v>189</v>
      </c>
      <c r="G2128" s="140" t="e">
        <f ca="1">mif(C2128="","",OR(B2128=リスト!$C$5,B2128=リスト!$C$6),SUM(INDEX(G:G,MATCH(I2128-1,I:I,0)+1,1):INDEX(G:G,MATCH(I2128,I:I,0)-1,1)),D2128-C2128)</f>
        <v>#NAME?</v>
      </c>
      <c r="H2128" s="140" t="e">
        <f ca="1">mif(C2128="","",B2128=リスト!$C$5,SUMIF(INDEX(B:B,MATCH(I2128-1,I:I,0)+1,1):INDEX(B:B,MATCH(I2128,I:I,0)-1,1),リスト!$C$7,INDEX(G:G,MATCH(I2128-1,I:I,0)+1,1):INDEX(G:G,MATCH(I2128,I:I,0)-1,1)),"")</f>
        <v>#NAME?</v>
      </c>
      <c r="I2128" s="200" t="str">
        <f>IF(OR(B2128=リスト!$C$5,B2128=リスト!$C$6),COUNTIF($B$9:B2128,リスト!$C$5)+COUNTIF($B$9:B2128,リスト!$C$6),"")</f>
        <v/>
      </c>
    </row>
    <row r="2129" spans="2:9" x14ac:dyDescent="0.2">
      <c r="B2129" s="196"/>
      <c r="C2129" s="197"/>
      <c r="D2129" s="197"/>
      <c r="E2129" s="198" t="e">
        <f ca="1">mif(OR(C2129="",B2129=リスト!$C$7),"",B2129="","RF",OR(B2129=リスト!$C$5,B2129=リスト!$C$6),COUNTBLANK(INDEX(B:B,MATCH(I2129-1,I:I,0)+1,1):INDEX(B:B,MATCH(I2129,I:I,0)-1,1)),"")</f>
        <v>#NAME?</v>
      </c>
      <c r="F2129" s="199" t="s">
        <v>189</v>
      </c>
      <c r="G2129" s="140" t="e">
        <f ca="1">mif(C2129="","",OR(B2129=リスト!$C$5,B2129=リスト!$C$6),SUM(INDEX(G:G,MATCH(I2129-1,I:I,0)+1,1):INDEX(G:G,MATCH(I2129,I:I,0)-1,1)),D2129-C2129)</f>
        <v>#NAME?</v>
      </c>
      <c r="H2129" s="140" t="e">
        <f ca="1">mif(C2129="","",B2129=リスト!$C$5,SUMIF(INDEX(B:B,MATCH(I2129-1,I:I,0)+1,1):INDEX(B:B,MATCH(I2129,I:I,0)-1,1),リスト!$C$7,INDEX(G:G,MATCH(I2129-1,I:I,0)+1,1):INDEX(G:G,MATCH(I2129,I:I,0)-1,1)),"")</f>
        <v>#NAME?</v>
      </c>
      <c r="I2129" s="200" t="str">
        <f>IF(OR(B2129=リスト!$C$5,B2129=リスト!$C$6),COUNTIF($B$9:B2129,リスト!$C$5)+COUNTIF($B$9:B2129,リスト!$C$6),"")</f>
        <v/>
      </c>
    </row>
    <row r="2130" spans="2:9" x14ac:dyDescent="0.2">
      <c r="B2130" s="196"/>
      <c r="C2130" s="197"/>
      <c r="D2130" s="197"/>
      <c r="E2130" s="198" t="e">
        <f ca="1">mif(OR(C2130="",B2130=リスト!$C$7),"",B2130="","RF",OR(B2130=リスト!$C$5,B2130=リスト!$C$6),COUNTBLANK(INDEX(B:B,MATCH(I2130-1,I:I,0)+1,1):INDEX(B:B,MATCH(I2130,I:I,0)-1,1)),"")</f>
        <v>#NAME?</v>
      </c>
      <c r="F2130" s="199" t="s">
        <v>189</v>
      </c>
      <c r="G2130" s="140" t="e">
        <f ca="1">mif(C2130="","",OR(B2130=リスト!$C$5,B2130=リスト!$C$6),SUM(INDEX(G:G,MATCH(I2130-1,I:I,0)+1,1):INDEX(G:G,MATCH(I2130,I:I,0)-1,1)),D2130-C2130)</f>
        <v>#NAME?</v>
      </c>
      <c r="H2130" s="140" t="e">
        <f ca="1">mif(C2130="","",B2130=リスト!$C$5,SUMIF(INDEX(B:B,MATCH(I2130-1,I:I,0)+1,1):INDEX(B:B,MATCH(I2130,I:I,0)-1,1),リスト!$C$7,INDEX(G:G,MATCH(I2130-1,I:I,0)+1,1):INDEX(G:G,MATCH(I2130,I:I,0)-1,1)),"")</f>
        <v>#NAME?</v>
      </c>
      <c r="I2130" s="200" t="str">
        <f>IF(OR(B2130=リスト!$C$5,B2130=リスト!$C$6),COUNTIF($B$9:B2130,リスト!$C$5)+COUNTIF($B$9:B2130,リスト!$C$6),"")</f>
        <v/>
      </c>
    </row>
    <row r="2131" spans="2:9" x14ac:dyDescent="0.2">
      <c r="B2131" s="196"/>
      <c r="C2131" s="197"/>
      <c r="D2131" s="197"/>
      <c r="E2131" s="198" t="e">
        <f ca="1">mif(OR(C2131="",B2131=リスト!$C$7),"",B2131="","RF",OR(B2131=リスト!$C$5,B2131=リスト!$C$6),COUNTBLANK(INDEX(B:B,MATCH(I2131-1,I:I,0)+1,1):INDEX(B:B,MATCH(I2131,I:I,0)-1,1)),"")</f>
        <v>#NAME?</v>
      </c>
      <c r="F2131" s="199" t="s">
        <v>189</v>
      </c>
      <c r="G2131" s="140" t="e">
        <f ca="1">mif(C2131="","",OR(B2131=リスト!$C$5,B2131=リスト!$C$6),SUM(INDEX(G:G,MATCH(I2131-1,I:I,0)+1,1):INDEX(G:G,MATCH(I2131,I:I,0)-1,1)),D2131-C2131)</f>
        <v>#NAME?</v>
      </c>
      <c r="H2131" s="140" t="e">
        <f ca="1">mif(C2131="","",B2131=リスト!$C$5,SUMIF(INDEX(B:B,MATCH(I2131-1,I:I,0)+1,1):INDEX(B:B,MATCH(I2131,I:I,0)-1,1),リスト!$C$7,INDEX(G:G,MATCH(I2131-1,I:I,0)+1,1):INDEX(G:G,MATCH(I2131,I:I,0)-1,1)),"")</f>
        <v>#NAME?</v>
      </c>
      <c r="I2131" s="200" t="str">
        <f>IF(OR(B2131=リスト!$C$5,B2131=リスト!$C$6),COUNTIF($B$9:B2131,リスト!$C$5)+COUNTIF($B$9:B2131,リスト!$C$6),"")</f>
        <v/>
      </c>
    </row>
    <row r="2132" spans="2:9" x14ac:dyDescent="0.2">
      <c r="B2132" s="196"/>
      <c r="C2132" s="197"/>
      <c r="D2132" s="197"/>
      <c r="E2132" s="198" t="e">
        <f ca="1">mif(OR(C2132="",B2132=リスト!$C$7),"",B2132="","RF",OR(B2132=リスト!$C$5,B2132=リスト!$C$6),COUNTBLANK(INDEX(B:B,MATCH(I2132-1,I:I,0)+1,1):INDEX(B:B,MATCH(I2132,I:I,0)-1,1)),"")</f>
        <v>#NAME?</v>
      </c>
      <c r="F2132" s="199" t="s">
        <v>189</v>
      </c>
      <c r="G2132" s="140" t="e">
        <f ca="1">mif(C2132="","",OR(B2132=リスト!$C$5,B2132=リスト!$C$6),SUM(INDEX(G:G,MATCH(I2132-1,I:I,0)+1,1):INDEX(G:G,MATCH(I2132,I:I,0)-1,1)),D2132-C2132)</f>
        <v>#NAME?</v>
      </c>
      <c r="H2132" s="140" t="e">
        <f ca="1">mif(C2132="","",B2132=リスト!$C$5,SUMIF(INDEX(B:B,MATCH(I2132-1,I:I,0)+1,1):INDEX(B:B,MATCH(I2132,I:I,0)-1,1),リスト!$C$7,INDEX(G:G,MATCH(I2132-1,I:I,0)+1,1):INDEX(G:G,MATCH(I2132,I:I,0)-1,1)),"")</f>
        <v>#NAME?</v>
      </c>
      <c r="I2132" s="200" t="str">
        <f>IF(OR(B2132=リスト!$C$5,B2132=リスト!$C$6),COUNTIF($B$9:B2132,リスト!$C$5)+COUNTIF($B$9:B2132,リスト!$C$6),"")</f>
        <v/>
      </c>
    </row>
    <row r="2133" spans="2:9" x14ac:dyDescent="0.2">
      <c r="B2133" s="196"/>
      <c r="C2133" s="197"/>
      <c r="D2133" s="197"/>
      <c r="E2133" s="198" t="e">
        <f ca="1">mif(OR(C2133="",B2133=リスト!$C$7),"",B2133="","RF",OR(B2133=リスト!$C$5,B2133=リスト!$C$6),COUNTBLANK(INDEX(B:B,MATCH(I2133-1,I:I,0)+1,1):INDEX(B:B,MATCH(I2133,I:I,0)-1,1)),"")</f>
        <v>#NAME?</v>
      </c>
      <c r="F2133" s="199" t="s">
        <v>189</v>
      </c>
      <c r="G2133" s="140" t="e">
        <f ca="1">mif(C2133="","",OR(B2133=リスト!$C$5,B2133=リスト!$C$6),SUM(INDEX(G:G,MATCH(I2133-1,I:I,0)+1,1):INDEX(G:G,MATCH(I2133,I:I,0)-1,1)),D2133-C2133)</f>
        <v>#NAME?</v>
      </c>
      <c r="H2133" s="140" t="e">
        <f ca="1">mif(C2133="","",B2133=リスト!$C$5,SUMIF(INDEX(B:B,MATCH(I2133-1,I:I,0)+1,1):INDEX(B:B,MATCH(I2133,I:I,0)-1,1),リスト!$C$7,INDEX(G:G,MATCH(I2133-1,I:I,0)+1,1):INDEX(G:G,MATCH(I2133,I:I,0)-1,1)),"")</f>
        <v>#NAME?</v>
      </c>
      <c r="I2133" s="200" t="str">
        <f>IF(OR(B2133=リスト!$C$5,B2133=リスト!$C$6),COUNTIF($B$9:B2133,リスト!$C$5)+COUNTIF($B$9:B2133,リスト!$C$6),"")</f>
        <v/>
      </c>
    </row>
    <row r="2134" spans="2:9" x14ac:dyDescent="0.2">
      <c r="B2134" s="196"/>
      <c r="C2134" s="197"/>
      <c r="D2134" s="197"/>
      <c r="E2134" s="198" t="e">
        <f ca="1">mif(OR(C2134="",B2134=リスト!$C$7),"",B2134="","RF",OR(B2134=リスト!$C$5,B2134=リスト!$C$6),COUNTBLANK(INDEX(B:B,MATCH(I2134-1,I:I,0)+1,1):INDEX(B:B,MATCH(I2134,I:I,0)-1,1)),"")</f>
        <v>#NAME?</v>
      </c>
      <c r="F2134" s="199" t="s">
        <v>189</v>
      </c>
      <c r="G2134" s="140" t="e">
        <f ca="1">mif(C2134="","",OR(B2134=リスト!$C$5,B2134=リスト!$C$6),SUM(INDEX(G:G,MATCH(I2134-1,I:I,0)+1,1):INDEX(G:G,MATCH(I2134,I:I,0)-1,1)),D2134-C2134)</f>
        <v>#NAME?</v>
      </c>
      <c r="H2134" s="140" t="e">
        <f ca="1">mif(C2134="","",B2134=リスト!$C$5,SUMIF(INDEX(B:B,MATCH(I2134-1,I:I,0)+1,1):INDEX(B:B,MATCH(I2134,I:I,0)-1,1),リスト!$C$7,INDEX(G:G,MATCH(I2134-1,I:I,0)+1,1):INDEX(G:G,MATCH(I2134,I:I,0)-1,1)),"")</f>
        <v>#NAME?</v>
      </c>
      <c r="I2134" s="200" t="str">
        <f>IF(OR(B2134=リスト!$C$5,B2134=リスト!$C$6),COUNTIF($B$9:B2134,リスト!$C$5)+COUNTIF($B$9:B2134,リスト!$C$6),"")</f>
        <v/>
      </c>
    </row>
    <row r="2135" spans="2:9" x14ac:dyDescent="0.2">
      <c r="B2135" s="196"/>
      <c r="C2135" s="197"/>
      <c r="D2135" s="197"/>
      <c r="E2135" s="198" t="e">
        <f ca="1">mif(OR(C2135="",B2135=リスト!$C$7),"",B2135="","RF",OR(B2135=リスト!$C$5,B2135=リスト!$C$6),COUNTBLANK(INDEX(B:B,MATCH(I2135-1,I:I,0)+1,1):INDEX(B:B,MATCH(I2135,I:I,0)-1,1)),"")</f>
        <v>#NAME?</v>
      </c>
      <c r="F2135" s="199" t="s">
        <v>189</v>
      </c>
      <c r="G2135" s="140" t="e">
        <f ca="1">mif(C2135="","",OR(B2135=リスト!$C$5,B2135=リスト!$C$6),SUM(INDEX(G:G,MATCH(I2135-1,I:I,0)+1,1):INDEX(G:G,MATCH(I2135,I:I,0)-1,1)),D2135-C2135)</f>
        <v>#NAME?</v>
      </c>
      <c r="H2135" s="140" t="e">
        <f ca="1">mif(C2135="","",B2135=リスト!$C$5,SUMIF(INDEX(B:B,MATCH(I2135-1,I:I,0)+1,1):INDEX(B:B,MATCH(I2135,I:I,0)-1,1),リスト!$C$7,INDEX(G:G,MATCH(I2135-1,I:I,0)+1,1):INDEX(G:G,MATCH(I2135,I:I,0)-1,1)),"")</f>
        <v>#NAME?</v>
      </c>
      <c r="I2135" s="200" t="str">
        <f>IF(OR(B2135=リスト!$C$5,B2135=リスト!$C$6),COUNTIF($B$9:B2135,リスト!$C$5)+COUNTIF($B$9:B2135,リスト!$C$6),"")</f>
        <v/>
      </c>
    </row>
    <row r="2136" spans="2:9" x14ac:dyDescent="0.2">
      <c r="B2136" s="196"/>
      <c r="C2136" s="197"/>
      <c r="D2136" s="197"/>
      <c r="E2136" s="198" t="e">
        <f ca="1">mif(OR(C2136="",B2136=リスト!$C$7),"",B2136="","RF",OR(B2136=リスト!$C$5,B2136=リスト!$C$6),COUNTBLANK(INDEX(B:B,MATCH(I2136-1,I:I,0)+1,1):INDEX(B:B,MATCH(I2136,I:I,0)-1,1)),"")</f>
        <v>#NAME?</v>
      </c>
      <c r="F2136" s="199" t="s">
        <v>189</v>
      </c>
      <c r="G2136" s="140" t="e">
        <f ca="1">mif(C2136="","",OR(B2136=リスト!$C$5,B2136=リスト!$C$6),SUM(INDEX(G:G,MATCH(I2136-1,I:I,0)+1,1):INDEX(G:G,MATCH(I2136,I:I,0)-1,1)),D2136-C2136)</f>
        <v>#NAME?</v>
      </c>
      <c r="H2136" s="140" t="e">
        <f ca="1">mif(C2136="","",B2136=リスト!$C$5,SUMIF(INDEX(B:B,MATCH(I2136-1,I:I,0)+1,1):INDEX(B:B,MATCH(I2136,I:I,0)-1,1),リスト!$C$7,INDEX(G:G,MATCH(I2136-1,I:I,0)+1,1):INDEX(G:G,MATCH(I2136,I:I,0)-1,1)),"")</f>
        <v>#NAME?</v>
      </c>
      <c r="I2136" s="200" t="str">
        <f>IF(OR(B2136=リスト!$C$5,B2136=リスト!$C$6),COUNTIF($B$9:B2136,リスト!$C$5)+COUNTIF($B$9:B2136,リスト!$C$6),"")</f>
        <v/>
      </c>
    </row>
    <row r="2137" spans="2:9" x14ac:dyDescent="0.2">
      <c r="B2137" s="196"/>
      <c r="C2137" s="197"/>
      <c r="D2137" s="197"/>
      <c r="E2137" s="198" t="e">
        <f ca="1">mif(OR(C2137="",B2137=リスト!$C$7),"",B2137="","RF",OR(B2137=リスト!$C$5,B2137=リスト!$C$6),COUNTBLANK(INDEX(B:B,MATCH(I2137-1,I:I,0)+1,1):INDEX(B:B,MATCH(I2137,I:I,0)-1,1)),"")</f>
        <v>#NAME?</v>
      </c>
      <c r="F2137" s="199" t="s">
        <v>189</v>
      </c>
      <c r="G2137" s="140" t="e">
        <f ca="1">mif(C2137="","",OR(B2137=リスト!$C$5,B2137=リスト!$C$6),SUM(INDEX(G:G,MATCH(I2137-1,I:I,0)+1,1):INDEX(G:G,MATCH(I2137,I:I,0)-1,1)),D2137-C2137)</f>
        <v>#NAME?</v>
      </c>
      <c r="H2137" s="140" t="e">
        <f ca="1">mif(C2137="","",B2137=リスト!$C$5,SUMIF(INDEX(B:B,MATCH(I2137-1,I:I,0)+1,1):INDEX(B:B,MATCH(I2137,I:I,0)-1,1),リスト!$C$7,INDEX(G:G,MATCH(I2137-1,I:I,0)+1,1):INDEX(G:G,MATCH(I2137,I:I,0)-1,1)),"")</f>
        <v>#NAME?</v>
      </c>
      <c r="I2137" s="200" t="str">
        <f>IF(OR(B2137=リスト!$C$5,B2137=リスト!$C$6),COUNTIF($B$9:B2137,リスト!$C$5)+COUNTIF($B$9:B2137,リスト!$C$6),"")</f>
        <v/>
      </c>
    </row>
    <row r="2138" spans="2:9" x14ac:dyDescent="0.2">
      <c r="B2138" s="196"/>
      <c r="C2138" s="197"/>
      <c r="D2138" s="197"/>
      <c r="E2138" s="198" t="e">
        <f ca="1">mif(OR(C2138="",B2138=リスト!$C$7),"",B2138="","RF",OR(B2138=リスト!$C$5,B2138=リスト!$C$6),COUNTBLANK(INDEX(B:B,MATCH(I2138-1,I:I,0)+1,1):INDEX(B:B,MATCH(I2138,I:I,0)-1,1)),"")</f>
        <v>#NAME?</v>
      </c>
      <c r="F2138" s="199" t="s">
        <v>189</v>
      </c>
      <c r="G2138" s="140" t="e">
        <f ca="1">mif(C2138="","",OR(B2138=リスト!$C$5,B2138=リスト!$C$6),SUM(INDEX(G:G,MATCH(I2138-1,I:I,0)+1,1):INDEX(G:G,MATCH(I2138,I:I,0)-1,1)),D2138-C2138)</f>
        <v>#NAME?</v>
      </c>
      <c r="H2138" s="140" t="e">
        <f ca="1">mif(C2138="","",B2138=リスト!$C$5,SUMIF(INDEX(B:B,MATCH(I2138-1,I:I,0)+1,1):INDEX(B:B,MATCH(I2138,I:I,0)-1,1),リスト!$C$7,INDEX(G:G,MATCH(I2138-1,I:I,0)+1,1):INDEX(G:G,MATCH(I2138,I:I,0)-1,1)),"")</f>
        <v>#NAME?</v>
      </c>
      <c r="I2138" s="200" t="str">
        <f>IF(OR(B2138=リスト!$C$5,B2138=リスト!$C$6),COUNTIF($B$9:B2138,リスト!$C$5)+COUNTIF($B$9:B2138,リスト!$C$6),"")</f>
        <v/>
      </c>
    </row>
    <row r="2139" spans="2:9" x14ac:dyDescent="0.2">
      <c r="B2139" s="196"/>
      <c r="C2139" s="197"/>
      <c r="D2139" s="197"/>
      <c r="E2139" s="198" t="e">
        <f ca="1">mif(OR(C2139="",B2139=リスト!$C$7),"",B2139="","RF",OR(B2139=リスト!$C$5,B2139=リスト!$C$6),COUNTBLANK(INDEX(B:B,MATCH(I2139-1,I:I,0)+1,1):INDEX(B:B,MATCH(I2139,I:I,0)-1,1)),"")</f>
        <v>#NAME?</v>
      </c>
      <c r="F2139" s="199" t="s">
        <v>189</v>
      </c>
      <c r="G2139" s="140" t="e">
        <f ca="1">mif(C2139="","",OR(B2139=リスト!$C$5,B2139=リスト!$C$6),SUM(INDEX(G:G,MATCH(I2139-1,I:I,0)+1,1):INDEX(G:G,MATCH(I2139,I:I,0)-1,1)),D2139-C2139)</f>
        <v>#NAME?</v>
      </c>
      <c r="H2139" s="140" t="e">
        <f ca="1">mif(C2139="","",B2139=リスト!$C$5,SUMIF(INDEX(B:B,MATCH(I2139-1,I:I,0)+1,1):INDEX(B:B,MATCH(I2139,I:I,0)-1,1),リスト!$C$7,INDEX(G:G,MATCH(I2139-1,I:I,0)+1,1):INDEX(G:G,MATCH(I2139,I:I,0)-1,1)),"")</f>
        <v>#NAME?</v>
      </c>
      <c r="I2139" s="200" t="str">
        <f>IF(OR(B2139=リスト!$C$5,B2139=リスト!$C$6),COUNTIF($B$9:B2139,リスト!$C$5)+COUNTIF($B$9:B2139,リスト!$C$6),"")</f>
        <v/>
      </c>
    </row>
    <row r="2140" spans="2:9" x14ac:dyDescent="0.2">
      <c r="B2140" s="196"/>
      <c r="C2140" s="197"/>
      <c r="D2140" s="197"/>
      <c r="E2140" s="198" t="e">
        <f ca="1">mif(OR(C2140="",B2140=リスト!$C$7),"",B2140="","RF",OR(B2140=リスト!$C$5,B2140=リスト!$C$6),COUNTBLANK(INDEX(B:B,MATCH(I2140-1,I:I,0)+1,1):INDEX(B:B,MATCH(I2140,I:I,0)-1,1)),"")</f>
        <v>#NAME?</v>
      </c>
      <c r="F2140" s="199" t="s">
        <v>189</v>
      </c>
      <c r="G2140" s="140" t="e">
        <f ca="1">mif(C2140="","",OR(B2140=リスト!$C$5,B2140=リスト!$C$6),SUM(INDEX(G:G,MATCH(I2140-1,I:I,0)+1,1):INDEX(G:G,MATCH(I2140,I:I,0)-1,1)),D2140-C2140)</f>
        <v>#NAME?</v>
      </c>
      <c r="H2140" s="140" t="e">
        <f ca="1">mif(C2140="","",B2140=リスト!$C$5,SUMIF(INDEX(B:B,MATCH(I2140-1,I:I,0)+1,1):INDEX(B:B,MATCH(I2140,I:I,0)-1,1),リスト!$C$7,INDEX(G:G,MATCH(I2140-1,I:I,0)+1,1):INDEX(G:G,MATCH(I2140,I:I,0)-1,1)),"")</f>
        <v>#NAME?</v>
      </c>
      <c r="I2140" s="200" t="str">
        <f>IF(OR(B2140=リスト!$C$5,B2140=リスト!$C$6),COUNTIF($B$9:B2140,リスト!$C$5)+COUNTIF($B$9:B2140,リスト!$C$6),"")</f>
        <v/>
      </c>
    </row>
    <row r="2141" spans="2:9" x14ac:dyDescent="0.2">
      <c r="B2141" s="196"/>
      <c r="C2141" s="197"/>
      <c r="D2141" s="197"/>
      <c r="E2141" s="198" t="e">
        <f ca="1">mif(OR(C2141="",B2141=リスト!$C$7),"",B2141="","RF",OR(B2141=リスト!$C$5,B2141=リスト!$C$6),COUNTBLANK(INDEX(B:B,MATCH(I2141-1,I:I,0)+1,1):INDEX(B:B,MATCH(I2141,I:I,0)-1,1)),"")</f>
        <v>#NAME?</v>
      </c>
      <c r="F2141" s="199" t="s">
        <v>189</v>
      </c>
      <c r="G2141" s="140" t="e">
        <f ca="1">mif(C2141="","",OR(B2141=リスト!$C$5,B2141=リスト!$C$6),SUM(INDEX(G:G,MATCH(I2141-1,I:I,0)+1,1):INDEX(G:G,MATCH(I2141,I:I,0)-1,1)),D2141-C2141)</f>
        <v>#NAME?</v>
      </c>
      <c r="H2141" s="140" t="e">
        <f ca="1">mif(C2141="","",B2141=リスト!$C$5,SUMIF(INDEX(B:B,MATCH(I2141-1,I:I,0)+1,1):INDEX(B:B,MATCH(I2141,I:I,0)-1,1),リスト!$C$7,INDEX(G:G,MATCH(I2141-1,I:I,0)+1,1):INDEX(G:G,MATCH(I2141,I:I,0)-1,1)),"")</f>
        <v>#NAME?</v>
      </c>
      <c r="I2141" s="200" t="str">
        <f>IF(OR(B2141=リスト!$C$5,B2141=リスト!$C$6),COUNTIF($B$9:B2141,リスト!$C$5)+COUNTIF($B$9:B2141,リスト!$C$6),"")</f>
        <v/>
      </c>
    </row>
    <row r="2142" spans="2:9" x14ac:dyDescent="0.2">
      <c r="B2142" s="196"/>
      <c r="C2142" s="197"/>
      <c r="D2142" s="197"/>
      <c r="E2142" s="198" t="e">
        <f ca="1">mif(OR(C2142="",B2142=リスト!$C$7),"",B2142="","RF",OR(B2142=リスト!$C$5,B2142=リスト!$C$6),COUNTBLANK(INDEX(B:B,MATCH(I2142-1,I:I,0)+1,1):INDEX(B:B,MATCH(I2142,I:I,0)-1,1)),"")</f>
        <v>#NAME?</v>
      </c>
      <c r="F2142" s="199" t="s">
        <v>189</v>
      </c>
      <c r="G2142" s="140" t="e">
        <f ca="1">mif(C2142="","",OR(B2142=リスト!$C$5,B2142=リスト!$C$6),SUM(INDEX(G:G,MATCH(I2142-1,I:I,0)+1,1):INDEX(G:G,MATCH(I2142,I:I,0)-1,1)),D2142-C2142)</f>
        <v>#NAME?</v>
      </c>
      <c r="H2142" s="140" t="e">
        <f ca="1">mif(C2142="","",B2142=リスト!$C$5,SUMIF(INDEX(B:B,MATCH(I2142-1,I:I,0)+1,1):INDEX(B:B,MATCH(I2142,I:I,0)-1,1),リスト!$C$7,INDEX(G:G,MATCH(I2142-1,I:I,0)+1,1):INDEX(G:G,MATCH(I2142,I:I,0)-1,1)),"")</f>
        <v>#NAME?</v>
      </c>
      <c r="I2142" s="200" t="str">
        <f>IF(OR(B2142=リスト!$C$5,B2142=リスト!$C$6),COUNTIF($B$9:B2142,リスト!$C$5)+COUNTIF($B$9:B2142,リスト!$C$6),"")</f>
        <v/>
      </c>
    </row>
    <row r="2143" spans="2:9" x14ac:dyDescent="0.2">
      <c r="B2143" s="196"/>
      <c r="C2143" s="197"/>
      <c r="D2143" s="197"/>
      <c r="E2143" s="198" t="e">
        <f ca="1">mif(OR(C2143="",B2143=リスト!$C$7),"",B2143="","RF",OR(B2143=リスト!$C$5,B2143=リスト!$C$6),COUNTBLANK(INDEX(B:B,MATCH(I2143-1,I:I,0)+1,1):INDEX(B:B,MATCH(I2143,I:I,0)-1,1)),"")</f>
        <v>#NAME?</v>
      </c>
      <c r="F2143" s="199" t="s">
        <v>189</v>
      </c>
      <c r="G2143" s="140" t="e">
        <f ca="1">mif(C2143="","",OR(B2143=リスト!$C$5,B2143=リスト!$C$6),SUM(INDEX(G:G,MATCH(I2143-1,I:I,0)+1,1):INDEX(G:G,MATCH(I2143,I:I,0)-1,1)),D2143-C2143)</f>
        <v>#NAME?</v>
      </c>
      <c r="H2143" s="140" t="e">
        <f ca="1">mif(C2143="","",B2143=リスト!$C$5,SUMIF(INDEX(B:B,MATCH(I2143-1,I:I,0)+1,1):INDEX(B:B,MATCH(I2143,I:I,0)-1,1),リスト!$C$7,INDEX(G:G,MATCH(I2143-1,I:I,0)+1,1):INDEX(G:G,MATCH(I2143,I:I,0)-1,1)),"")</f>
        <v>#NAME?</v>
      </c>
      <c r="I2143" s="200" t="str">
        <f>IF(OR(B2143=リスト!$C$5,B2143=リスト!$C$6),COUNTIF($B$9:B2143,リスト!$C$5)+COUNTIF($B$9:B2143,リスト!$C$6),"")</f>
        <v/>
      </c>
    </row>
    <row r="2144" spans="2:9" x14ac:dyDescent="0.2">
      <c r="B2144" s="196"/>
      <c r="C2144" s="197"/>
      <c r="D2144" s="197"/>
      <c r="E2144" s="198" t="e">
        <f ca="1">mif(OR(C2144="",B2144=リスト!$C$7),"",B2144="","RF",OR(B2144=リスト!$C$5,B2144=リスト!$C$6),COUNTBLANK(INDEX(B:B,MATCH(I2144-1,I:I,0)+1,1):INDEX(B:B,MATCH(I2144,I:I,0)-1,1)),"")</f>
        <v>#NAME?</v>
      </c>
      <c r="F2144" s="199" t="s">
        <v>189</v>
      </c>
      <c r="G2144" s="140" t="e">
        <f ca="1">mif(C2144="","",OR(B2144=リスト!$C$5,B2144=リスト!$C$6),SUM(INDEX(G:G,MATCH(I2144-1,I:I,0)+1,1):INDEX(G:G,MATCH(I2144,I:I,0)-1,1)),D2144-C2144)</f>
        <v>#NAME?</v>
      </c>
      <c r="H2144" s="140" t="e">
        <f ca="1">mif(C2144="","",B2144=リスト!$C$5,SUMIF(INDEX(B:B,MATCH(I2144-1,I:I,0)+1,1):INDEX(B:B,MATCH(I2144,I:I,0)-1,1),リスト!$C$7,INDEX(G:G,MATCH(I2144-1,I:I,0)+1,1):INDEX(G:G,MATCH(I2144,I:I,0)-1,1)),"")</f>
        <v>#NAME?</v>
      </c>
      <c r="I2144" s="200" t="str">
        <f>IF(OR(B2144=リスト!$C$5,B2144=リスト!$C$6),COUNTIF($B$9:B2144,リスト!$C$5)+COUNTIF($B$9:B2144,リスト!$C$6),"")</f>
        <v/>
      </c>
    </row>
    <row r="2145" spans="2:9" x14ac:dyDescent="0.2">
      <c r="B2145" s="196"/>
      <c r="C2145" s="197"/>
      <c r="D2145" s="197"/>
      <c r="E2145" s="198" t="e">
        <f ca="1">mif(OR(C2145="",B2145=リスト!$C$7),"",B2145="","RF",OR(B2145=リスト!$C$5,B2145=リスト!$C$6),COUNTBLANK(INDEX(B:B,MATCH(I2145-1,I:I,0)+1,1):INDEX(B:B,MATCH(I2145,I:I,0)-1,1)),"")</f>
        <v>#NAME?</v>
      </c>
      <c r="F2145" s="199" t="s">
        <v>189</v>
      </c>
      <c r="G2145" s="140" t="e">
        <f ca="1">mif(C2145="","",OR(B2145=リスト!$C$5,B2145=リスト!$C$6),SUM(INDEX(G:G,MATCH(I2145-1,I:I,0)+1,1):INDEX(G:G,MATCH(I2145,I:I,0)-1,1)),D2145-C2145)</f>
        <v>#NAME?</v>
      </c>
      <c r="H2145" s="140" t="e">
        <f ca="1">mif(C2145="","",B2145=リスト!$C$5,SUMIF(INDEX(B:B,MATCH(I2145-1,I:I,0)+1,1):INDEX(B:B,MATCH(I2145,I:I,0)-1,1),リスト!$C$7,INDEX(G:G,MATCH(I2145-1,I:I,0)+1,1):INDEX(G:G,MATCH(I2145,I:I,0)-1,1)),"")</f>
        <v>#NAME?</v>
      </c>
      <c r="I2145" s="200" t="str">
        <f>IF(OR(B2145=リスト!$C$5,B2145=リスト!$C$6),COUNTIF($B$9:B2145,リスト!$C$5)+COUNTIF($B$9:B2145,リスト!$C$6),"")</f>
        <v/>
      </c>
    </row>
    <row r="2146" spans="2:9" x14ac:dyDescent="0.2">
      <c r="B2146" s="196"/>
      <c r="C2146" s="197"/>
      <c r="D2146" s="197"/>
      <c r="E2146" s="198" t="e">
        <f ca="1">mif(OR(C2146="",B2146=リスト!$C$7),"",B2146="","RF",OR(B2146=リスト!$C$5,B2146=リスト!$C$6),COUNTBLANK(INDEX(B:B,MATCH(I2146-1,I:I,0)+1,1):INDEX(B:B,MATCH(I2146,I:I,0)-1,1)),"")</f>
        <v>#NAME?</v>
      </c>
      <c r="F2146" s="199" t="s">
        <v>189</v>
      </c>
      <c r="G2146" s="140" t="e">
        <f ca="1">mif(C2146="","",OR(B2146=リスト!$C$5,B2146=リスト!$C$6),SUM(INDEX(G:G,MATCH(I2146-1,I:I,0)+1,1):INDEX(G:G,MATCH(I2146,I:I,0)-1,1)),D2146-C2146)</f>
        <v>#NAME?</v>
      </c>
      <c r="H2146" s="140" t="e">
        <f ca="1">mif(C2146="","",B2146=リスト!$C$5,SUMIF(INDEX(B:B,MATCH(I2146-1,I:I,0)+1,1):INDEX(B:B,MATCH(I2146,I:I,0)-1,1),リスト!$C$7,INDEX(G:G,MATCH(I2146-1,I:I,0)+1,1):INDEX(G:G,MATCH(I2146,I:I,0)-1,1)),"")</f>
        <v>#NAME?</v>
      </c>
      <c r="I2146" s="200" t="str">
        <f>IF(OR(B2146=リスト!$C$5,B2146=リスト!$C$6),COUNTIF($B$9:B2146,リスト!$C$5)+COUNTIF($B$9:B2146,リスト!$C$6),"")</f>
        <v/>
      </c>
    </row>
    <row r="2147" spans="2:9" x14ac:dyDescent="0.2">
      <c r="B2147" s="196"/>
      <c r="C2147" s="197"/>
      <c r="D2147" s="197"/>
      <c r="E2147" s="198" t="e">
        <f ca="1">mif(OR(C2147="",B2147=リスト!$C$7),"",B2147="","RF",OR(B2147=リスト!$C$5,B2147=リスト!$C$6),COUNTBLANK(INDEX(B:B,MATCH(I2147-1,I:I,0)+1,1):INDEX(B:B,MATCH(I2147,I:I,0)-1,1)),"")</f>
        <v>#NAME?</v>
      </c>
      <c r="F2147" s="199" t="s">
        <v>189</v>
      </c>
      <c r="G2147" s="140" t="e">
        <f ca="1">mif(C2147="","",OR(B2147=リスト!$C$5,B2147=リスト!$C$6),SUM(INDEX(G:G,MATCH(I2147-1,I:I,0)+1,1):INDEX(G:G,MATCH(I2147,I:I,0)-1,1)),D2147-C2147)</f>
        <v>#NAME?</v>
      </c>
      <c r="H2147" s="140" t="e">
        <f ca="1">mif(C2147="","",B2147=リスト!$C$5,SUMIF(INDEX(B:B,MATCH(I2147-1,I:I,0)+1,1):INDEX(B:B,MATCH(I2147,I:I,0)-1,1),リスト!$C$7,INDEX(G:G,MATCH(I2147-1,I:I,0)+1,1):INDEX(G:G,MATCH(I2147,I:I,0)-1,1)),"")</f>
        <v>#NAME?</v>
      </c>
      <c r="I2147" s="200" t="str">
        <f>IF(OR(B2147=リスト!$C$5,B2147=リスト!$C$6),COUNTIF($B$9:B2147,リスト!$C$5)+COUNTIF($B$9:B2147,リスト!$C$6),"")</f>
        <v/>
      </c>
    </row>
    <row r="2148" spans="2:9" x14ac:dyDescent="0.2">
      <c r="B2148" s="196"/>
      <c r="C2148" s="197"/>
      <c r="D2148" s="197"/>
      <c r="E2148" s="198" t="e">
        <f ca="1">mif(OR(C2148="",B2148=リスト!$C$7),"",B2148="","RF",OR(B2148=リスト!$C$5,B2148=リスト!$C$6),COUNTBLANK(INDEX(B:B,MATCH(I2148-1,I:I,0)+1,1):INDEX(B:B,MATCH(I2148,I:I,0)-1,1)),"")</f>
        <v>#NAME?</v>
      </c>
      <c r="F2148" s="199" t="s">
        <v>189</v>
      </c>
      <c r="G2148" s="140" t="e">
        <f ca="1">mif(C2148="","",OR(B2148=リスト!$C$5,B2148=リスト!$C$6),SUM(INDEX(G:G,MATCH(I2148-1,I:I,0)+1,1):INDEX(G:G,MATCH(I2148,I:I,0)-1,1)),D2148-C2148)</f>
        <v>#NAME?</v>
      </c>
      <c r="H2148" s="140" t="e">
        <f ca="1">mif(C2148="","",B2148=リスト!$C$5,SUMIF(INDEX(B:B,MATCH(I2148-1,I:I,0)+1,1):INDEX(B:B,MATCH(I2148,I:I,0)-1,1),リスト!$C$7,INDEX(G:G,MATCH(I2148-1,I:I,0)+1,1):INDEX(G:G,MATCH(I2148,I:I,0)-1,1)),"")</f>
        <v>#NAME?</v>
      </c>
      <c r="I2148" s="200" t="str">
        <f>IF(OR(B2148=リスト!$C$5,B2148=リスト!$C$6),COUNTIF($B$9:B2148,リスト!$C$5)+COUNTIF($B$9:B2148,リスト!$C$6),"")</f>
        <v/>
      </c>
    </row>
    <row r="2149" spans="2:9" x14ac:dyDescent="0.2">
      <c r="B2149" s="196"/>
      <c r="C2149" s="197"/>
      <c r="D2149" s="197"/>
      <c r="E2149" s="198" t="e">
        <f ca="1">mif(OR(C2149="",B2149=リスト!$C$7),"",B2149="","RF",OR(B2149=リスト!$C$5,B2149=リスト!$C$6),COUNTBLANK(INDEX(B:B,MATCH(I2149-1,I:I,0)+1,1):INDEX(B:B,MATCH(I2149,I:I,0)-1,1)),"")</f>
        <v>#NAME?</v>
      </c>
      <c r="F2149" s="199" t="s">
        <v>189</v>
      </c>
      <c r="G2149" s="140" t="e">
        <f ca="1">mif(C2149="","",OR(B2149=リスト!$C$5,B2149=リスト!$C$6),SUM(INDEX(G:G,MATCH(I2149-1,I:I,0)+1,1):INDEX(G:G,MATCH(I2149,I:I,0)-1,1)),D2149-C2149)</f>
        <v>#NAME?</v>
      </c>
      <c r="H2149" s="140" t="e">
        <f ca="1">mif(C2149="","",B2149=リスト!$C$5,SUMIF(INDEX(B:B,MATCH(I2149-1,I:I,0)+1,1):INDEX(B:B,MATCH(I2149,I:I,0)-1,1),リスト!$C$7,INDEX(G:G,MATCH(I2149-1,I:I,0)+1,1):INDEX(G:G,MATCH(I2149,I:I,0)-1,1)),"")</f>
        <v>#NAME?</v>
      </c>
      <c r="I2149" s="200" t="str">
        <f>IF(OR(B2149=リスト!$C$5,B2149=リスト!$C$6),COUNTIF($B$9:B2149,リスト!$C$5)+COUNTIF($B$9:B2149,リスト!$C$6),"")</f>
        <v/>
      </c>
    </row>
    <row r="2150" spans="2:9" x14ac:dyDescent="0.2">
      <c r="B2150" s="196"/>
      <c r="C2150" s="197"/>
      <c r="D2150" s="197"/>
      <c r="E2150" s="198" t="e">
        <f ca="1">mif(OR(C2150="",B2150=リスト!$C$7),"",B2150="","RF",OR(B2150=リスト!$C$5,B2150=リスト!$C$6),COUNTBLANK(INDEX(B:B,MATCH(I2150-1,I:I,0)+1,1):INDEX(B:B,MATCH(I2150,I:I,0)-1,1)),"")</f>
        <v>#NAME?</v>
      </c>
      <c r="F2150" s="199" t="s">
        <v>189</v>
      </c>
      <c r="G2150" s="140" t="e">
        <f ca="1">mif(C2150="","",OR(B2150=リスト!$C$5,B2150=リスト!$C$6),SUM(INDEX(G:G,MATCH(I2150-1,I:I,0)+1,1):INDEX(G:G,MATCH(I2150,I:I,0)-1,1)),D2150-C2150)</f>
        <v>#NAME?</v>
      </c>
      <c r="H2150" s="140" t="e">
        <f ca="1">mif(C2150="","",B2150=リスト!$C$5,SUMIF(INDEX(B:B,MATCH(I2150-1,I:I,0)+1,1):INDEX(B:B,MATCH(I2150,I:I,0)-1,1),リスト!$C$7,INDEX(G:G,MATCH(I2150-1,I:I,0)+1,1):INDEX(G:G,MATCH(I2150,I:I,0)-1,1)),"")</f>
        <v>#NAME?</v>
      </c>
      <c r="I2150" s="200" t="str">
        <f>IF(OR(B2150=リスト!$C$5,B2150=リスト!$C$6),COUNTIF($B$9:B2150,リスト!$C$5)+COUNTIF($B$9:B2150,リスト!$C$6),"")</f>
        <v/>
      </c>
    </row>
    <row r="2151" spans="2:9" x14ac:dyDescent="0.2">
      <c r="B2151" s="196"/>
      <c r="C2151" s="197"/>
      <c r="D2151" s="197"/>
      <c r="E2151" s="198" t="e">
        <f ca="1">mif(OR(C2151="",B2151=リスト!$C$7),"",B2151="","RF",OR(B2151=リスト!$C$5,B2151=リスト!$C$6),COUNTBLANK(INDEX(B:B,MATCH(I2151-1,I:I,0)+1,1):INDEX(B:B,MATCH(I2151,I:I,0)-1,1)),"")</f>
        <v>#NAME?</v>
      </c>
      <c r="F2151" s="199" t="s">
        <v>189</v>
      </c>
      <c r="G2151" s="140" t="e">
        <f ca="1">mif(C2151="","",OR(B2151=リスト!$C$5,B2151=リスト!$C$6),SUM(INDEX(G:G,MATCH(I2151-1,I:I,0)+1,1):INDEX(G:G,MATCH(I2151,I:I,0)-1,1)),D2151-C2151)</f>
        <v>#NAME?</v>
      </c>
      <c r="H2151" s="140" t="e">
        <f ca="1">mif(C2151="","",B2151=リスト!$C$5,SUMIF(INDEX(B:B,MATCH(I2151-1,I:I,0)+1,1):INDEX(B:B,MATCH(I2151,I:I,0)-1,1),リスト!$C$7,INDEX(G:G,MATCH(I2151-1,I:I,0)+1,1):INDEX(G:G,MATCH(I2151,I:I,0)-1,1)),"")</f>
        <v>#NAME?</v>
      </c>
      <c r="I2151" s="200" t="str">
        <f>IF(OR(B2151=リスト!$C$5,B2151=リスト!$C$6),COUNTIF($B$9:B2151,リスト!$C$5)+COUNTIF($B$9:B2151,リスト!$C$6),"")</f>
        <v/>
      </c>
    </row>
    <row r="2152" spans="2:9" x14ac:dyDescent="0.2">
      <c r="B2152" s="196"/>
      <c r="C2152" s="197"/>
      <c r="D2152" s="197"/>
      <c r="E2152" s="198" t="e">
        <f ca="1">mif(OR(C2152="",B2152=リスト!$C$7),"",B2152="","RF",OR(B2152=リスト!$C$5,B2152=リスト!$C$6),COUNTBLANK(INDEX(B:B,MATCH(I2152-1,I:I,0)+1,1):INDEX(B:B,MATCH(I2152,I:I,0)-1,1)),"")</f>
        <v>#NAME?</v>
      </c>
      <c r="F2152" s="199" t="s">
        <v>189</v>
      </c>
      <c r="G2152" s="140" t="e">
        <f ca="1">mif(C2152="","",OR(B2152=リスト!$C$5,B2152=リスト!$C$6),SUM(INDEX(G:G,MATCH(I2152-1,I:I,0)+1,1):INDEX(G:G,MATCH(I2152,I:I,0)-1,1)),D2152-C2152)</f>
        <v>#NAME?</v>
      </c>
      <c r="H2152" s="140" t="e">
        <f ca="1">mif(C2152="","",B2152=リスト!$C$5,SUMIF(INDEX(B:B,MATCH(I2152-1,I:I,0)+1,1):INDEX(B:B,MATCH(I2152,I:I,0)-1,1),リスト!$C$7,INDEX(G:G,MATCH(I2152-1,I:I,0)+1,1):INDEX(G:G,MATCH(I2152,I:I,0)-1,1)),"")</f>
        <v>#NAME?</v>
      </c>
      <c r="I2152" s="200" t="str">
        <f>IF(OR(B2152=リスト!$C$5,B2152=リスト!$C$6),COUNTIF($B$9:B2152,リスト!$C$5)+COUNTIF($B$9:B2152,リスト!$C$6),"")</f>
        <v/>
      </c>
    </row>
    <row r="2153" spans="2:9" x14ac:dyDescent="0.2">
      <c r="B2153" s="196"/>
      <c r="C2153" s="197"/>
      <c r="D2153" s="197"/>
      <c r="E2153" s="198" t="e">
        <f ca="1">mif(OR(C2153="",B2153=リスト!$C$7),"",B2153="","RF",OR(B2153=リスト!$C$5,B2153=リスト!$C$6),COUNTBLANK(INDEX(B:B,MATCH(I2153-1,I:I,0)+1,1):INDEX(B:B,MATCH(I2153,I:I,0)-1,1)),"")</f>
        <v>#NAME?</v>
      </c>
      <c r="F2153" s="199" t="s">
        <v>189</v>
      </c>
      <c r="G2153" s="140" t="e">
        <f ca="1">mif(C2153="","",OR(B2153=リスト!$C$5,B2153=リスト!$C$6),SUM(INDEX(G:G,MATCH(I2153-1,I:I,0)+1,1):INDEX(G:G,MATCH(I2153,I:I,0)-1,1)),D2153-C2153)</f>
        <v>#NAME?</v>
      </c>
      <c r="H2153" s="140" t="e">
        <f ca="1">mif(C2153="","",B2153=リスト!$C$5,SUMIF(INDEX(B:B,MATCH(I2153-1,I:I,0)+1,1):INDEX(B:B,MATCH(I2153,I:I,0)-1,1),リスト!$C$7,INDEX(G:G,MATCH(I2153-1,I:I,0)+1,1):INDEX(G:G,MATCH(I2153,I:I,0)-1,1)),"")</f>
        <v>#NAME?</v>
      </c>
      <c r="I2153" s="200" t="str">
        <f>IF(OR(B2153=リスト!$C$5,B2153=リスト!$C$6),COUNTIF($B$9:B2153,リスト!$C$5)+COUNTIF($B$9:B2153,リスト!$C$6),"")</f>
        <v/>
      </c>
    </row>
    <row r="2154" spans="2:9" x14ac:dyDescent="0.2">
      <c r="B2154" s="196"/>
      <c r="C2154" s="197"/>
      <c r="D2154" s="197"/>
      <c r="E2154" s="198" t="e">
        <f ca="1">mif(OR(C2154="",B2154=リスト!$C$7),"",B2154="","RF",OR(B2154=リスト!$C$5,B2154=リスト!$C$6),COUNTBLANK(INDEX(B:B,MATCH(I2154-1,I:I,0)+1,1):INDEX(B:B,MATCH(I2154,I:I,0)-1,1)),"")</f>
        <v>#NAME?</v>
      </c>
      <c r="F2154" s="199" t="s">
        <v>189</v>
      </c>
      <c r="G2154" s="140" t="e">
        <f ca="1">mif(C2154="","",OR(B2154=リスト!$C$5,B2154=リスト!$C$6),SUM(INDEX(G:G,MATCH(I2154-1,I:I,0)+1,1):INDEX(G:G,MATCH(I2154,I:I,0)-1,1)),D2154-C2154)</f>
        <v>#NAME?</v>
      </c>
      <c r="H2154" s="140" t="e">
        <f ca="1">mif(C2154="","",B2154=リスト!$C$5,SUMIF(INDEX(B:B,MATCH(I2154-1,I:I,0)+1,1):INDEX(B:B,MATCH(I2154,I:I,0)-1,1),リスト!$C$7,INDEX(G:G,MATCH(I2154-1,I:I,0)+1,1):INDEX(G:G,MATCH(I2154,I:I,0)-1,1)),"")</f>
        <v>#NAME?</v>
      </c>
      <c r="I2154" s="200" t="str">
        <f>IF(OR(B2154=リスト!$C$5,B2154=リスト!$C$6),COUNTIF($B$9:B2154,リスト!$C$5)+COUNTIF($B$9:B2154,リスト!$C$6),"")</f>
        <v/>
      </c>
    </row>
    <row r="2155" spans="2:9" x14ac:dyDescent="0.2">
      <c r="B2155" s="196"/>
      <c r="C2155" s="197"/>
      <c r="D2155" s="197"/>
      <c r="E2155" s="198" t="e">
        <f ca="1">mif(OR(C2155="",B2155=リスト!$C$7),"",B2155="","RF",OR(B2155=リスト!$C$5,B2155=リスト!$C$6),COUNTBLANK(INDEX(B:B,MATCH(I2155-1,I:I,0)+1,1):INDEX(B:B,MATCH(I2155,I:I,0)-1,1)),"")</f>
        <v>#NAME?</v>
      </c>
      <c r="F2155" s="199" t="s">
        <v>189</v>
      </c>
      <c r="G2155" s="140" t="e">
        <f ca="1">mif(C2155="","",OR(B2155=リスト!$C$5,B2155=リスト!$C$6),SUM(INDEX(G:G,MATCH(I2155-1,I:I,0)+1,1):INDEX(G:G,MATCH(I2155,I:I,0)-1,1)),D2155-C2155)</f>
        <v>#NAME?</v>
      </c>
      <c r="H2155" s="140" t="e">
        <f ca="1">mif(C2155="","",B2155=リスト!$C$5,SUMIF(INDEX(B:B,MATCH(I2155-1,I:I,0)+1,1):INDEX(B:B,MATCH(I2155,I:I,0)-1,1),リスト!$C$7,INDEX(G:G,MATCH(I2155-1,I:I,0)+1,1):INDEX(G:G,MATCH(I2155,I:I,0)-1,1)),"")</f>
        <v>#NAME?</v>
      </c>
      <c r="I2155" s="200" t="str">
        <f>IF(OR(B2155=リスト!$C$5,B2155=リスト!$C$6),COUNTIF($B$9:B2155,リスト!$C$5)+COUNTIF($B$9:B2155,リスト!$C$6),"")</f>
        <v/>
      </c>
    </row>
    <row r="2156" spans="2:9" x14ac:dyDescent="0.2">
      <c r="B2156" s="196"/>
      <c r="C2156" s="197"/>
      <c r="D2156" s="197"/>
      <c r="E2156" s="198" t="e">
        <f ca="1">mif(OR(C2156="",B2156=リスト!$C$7),"",B2156="","RF",OR(B2156=リスト!$C$5,B2156=リスト!$C$6),COUNTBLANK(INDEX(B:B,MATCH(I2156-1,I:I,0)+1,1):INDEX(B:B,MATCH(I2156,I:I,0)-1,1)),"")</f>
        <v>#NAME?</v>
      </c>
      <c r="F2156" s="199" t="s">
        <v>189</v>
      </c>
      <c r="G2156" s="140" t="e">
        <f ca="1">mif(C2156="","",OR(B2156=リスト!$C$5,B2156=リスト!$C$6),SUM(INDEX(G:G,MATCH(I2156-1,I:I,0)+1,1):INDEX(G:G,MATCH(I2156,I:I,0)-1,1)),D2156-C2156)</f>
        <v>#NAME?</v>
      </c>
      <c r="H2156" s="140" t="e">
        <f ca="1">mif(C2156="","",B2156=リスト!$C$5,SUMIF(INDEX(B:B,MATCH(I2156-1,I:I,0)+1,1):INDEX(B:B,MATCH(I2156,I:I,0)-1,1),リスト!$C$7,INDEX(G:G,MATCH(I2156-1,I:I,0)+1,1):INDEX(G:G,MATCH(I2156,I:I,0)-1,1)),"")</f>
        <v>#NAME?</v>
      </c>
      <c r="I2156" s="200" t="str">
        <f>IF(OR(B2156=リスト!$C$5,B2156=リスト!$C$6),COUNTIF($B$9:B2156,リスト!$C$5)+COUNTIF($B$9:B2156,リスト!$C$6),"")</f>
        <v/>
      </c>
    </row>
    <row r="2157" spans="2:9" x14ac:dyDescent="0.2">
      <c r="B2157" s="196"/>
      <c r="C2157" s="197"/>
      <c r="D2157" s="197"/>
      <c r="E2157" s="198" t="e">
        <f ca="1">mif(OR(C2157="",B2157=リスト!$C$7),"",B2157="","RF",OR(B2157=リスト!$C$5,B2157=リスト!$C$6),COUNTBLANK(INDEX(B:B,MATCH(I2157-1,I:I,0)+1,1):INDEX(B:B,MATCH(I2157,I:I,0)-1,1)),"")</f>
        <v>#NAME?</v>
      </c>
      <c r="F2157" s="199" t="s">
        <v>189</v>
      </c>
      <c r="G2157" s="140" t="e">
        <f ca="1">mif(C2157="","",OR(B2157=リスト!$C$5,B2157=リスト!$C$6),SUM(INDEX(G:G,MATCH(I2157-1,I:I,0)+1,1):INDEX(G:G,MATCH(I2157,I:I,0)-1,1)),D2157-C2157)</f>
        <v>#NAME?</v>
      </c>
      <c r="H2157" s="140" t="e">
        <f ca="1">mif(C2157="","",B2157=リスト!$C$5,SUMIF(INDEX(B:B,MATCH(I2157-1,I:I,0)+1,1):INDEX(B:B,MATCH(I2157,I:I,0)-1,1),リスト!$C$7,INDEX(G:G,MATCH(I2157-1,I:I,0)+1,1):INDEX(G:G,MATCH(I2157,I:I,0)-1,1)),"")</f>
        <v>#NAME?</v>
      </c>
      <c r="I2157" s="200" t="str">
        <f>IF(OR(B2157=リスト!$C$5,B2157=リスト!$C$6),COUNTIF($B$9:B2157,リスト!$C$5)+COUNTIF($B$9:B2157,リスト!$C$6),"")</f>
        <v/>
      </c>
    </row>
    <row r="2158" spans="2:9" x14ac:dyDescent="0.2">
      <c r="B2158" s="196"/>
      <c r="C2158" s="197"/>
      <c r="D2158" s="197"/>
      <c r="E2158" s="198" t="e">
        <f ca="1">mif(OR(C2158="",B2158=リスト!$C$7),"",B2158="","RF",OR(B2158=リスト!$C$5,B2158=リスト!$C$6),COUNTBLANK(INDEX(B:B,MATCH(I2158-1,I:I,0)+1,1):INDEX(B:B,MATCH(I2158,I:I,0)-1,1)),"")</f>
        <v>#NAME?</v>
      </c>
      <c r="F2158" s="199" t="s">
        <v>189</v>
      </c>
      <c r="G2158" s="140" t="e">
        <f ca="1">mif(C2158="","",OR(B2158=リスト!$C$5,B2158=リスト!$C$6),SUM(INDEX(G:G,MATCH(I2158-1,I:I,0)+1,1):INDEX(G:G,MATCH(I2158,I:I,0)-1,1)),D2158-C2158)</f>
        <v>#NAME?</v>
      </c>
      <c r="H2158" s="140" t="e">
        <f ca="1">mif(C2158="","",B2158=リスト!$C$5,SUMIF(INDEX(B:B,MATCH(I2158-1,I:I,0)+1,1):INDEX(B:B,MATCH(I2158,I:I,0)-1,1),リスト!$C$7,INDEX(G:G,MATCH(I2158-1,I:I,0)+1,1):INDEX(G:G,MATCH(I2158,I:I,0)-1,1)),"")</f>
        <v>#NAME?</v>
      </c>
      <c r="I2158" s="200" t="str">
        <f>IF(OR(B2158=リスト!$C$5,B2158=リスト!$C$6),COUNTIF($B$9:B2158,リスト!$C$5)+COUNTIF($B$9:B2158,リスト!$C$6),"")</f>
        <v/>
      </c>
    </row>
    <row r="2159" spans="2:9" x14ac:dyDescent="0.2">
      <c r="B2159" s="196"/>
      <c r="C2159" s="197"/>
      <c r="D2159" s="197"/>
      <c r="E2159" s="198" t="e">
        <f ca="1">mif(OR(C2159="",B2159=リスト!$C$7),"",B2159="","RF",OR(B2159=リスト!$C$5,B2159=リスト!$C$6),COUNTBLANK(INDEX(B:B,MATCH(I2159-1,I:I,0)+1,1):INDEX(B:B,MATCH(I2159,I:I,0)-1,1)),"")</f>
        <v>#NAME?</v>
      </c>
      <c r="F2159" s="199" t="s">
        <v>189</v>
      </c>
      <c r="G2159" s="140" t="e">
        <f ca="1">mif(C2159="","",OR(B2159=リスト!$C$5,B2159=リスト!$C$6),SUM(INDEX(G:G,MATCH(I2159-1,I:I,0)+1,1):INDEX(G:G,MATCH(I2159,I:I,0)-1,1)),D2159-C2159)</f>
        <v>#NAME?</v>
      </c>
      <c r="H2159" s="140" t="e">
        <f ca="1">mif(C2159="","",B2159=リスト!$C$5,SUMIF(INDEX(B:B,MATCH(I2159-1,I:I,0)+1,1):INDEX(B:B,MATCH(I2159,I:I,0)-1,1),リスト!$C$7,INDEX(G:G,MATCH(I2159-1,I:I,0)+1,1):INDEX(G:G,MATCH(I2159,I:I,0)-1,1)),"")</f>
        <v>#NAME?</v>
      </c>
      <c r="I2159" s="200" t="str">
        <f>IF(OR(B2159=リスト!$C$5,B2159=リスト!$C$6),COUNTIF($B$9:B2159,リスト!$C$5)+COUNTIF($B$9:B2159,リスト!$C$6),"")</f>
        <v/>
      </c>
    </row>
    <row r="2160" spans="2:9" x14ac:dyDescent="0.2">
      <c r="B2160" s="196"/>
      <c r="C2160" s="197"/>
      <c r="D2160" s="197"/>
      <c r="E2160" s="198" t="e">
        <f ca="1">mif(OR(C2160="",B2160=リスト!$C$7),"",B2160="","RF",OR(B2160=リスト!$C$5,B2160=リスト!$C$6),COUNTBLANK(INDEX(B:B,MATCH(I2160-1,I:I,0)+1,1):INDEX(B:B,MATCH(I2160,I:I,0)-1,1)),"")</f>
        <v>#NAME?</v>
      </c>
      <c r="F2160" s="199" t="s">
        <v>189</v>
      </c>
      <c r="G2160" s="140" t="e">
        <f ca="1">mif(C2160="","",OR(B2160=リスト!$C$5,B2160=リスト!$C$6),SUM(INDEX(G:G,MATCH(I2160-1,I:I,0)+1,1):INDEX(G:G,MATCH(I2160,I:I,0)-1,1)),D2160-C2160)</f>
        <v>#NAME?</v>
      </c>
      <c r="H2160" s="140" t="e">
        <f ca="1">mif(C2160="","",B2160=リスト!$C$5,SUMIF(INDEX(B:B,MATCH(I2160-1,I:I,0)+1,1):INDEX(B:B,MATCH(I2160,I:I,0)-1,1),リスト!$C$7,INDEX(G:G,MATCH(I2160-1,I:I,0)+1,1):INDEX(G:G,MATCH(I2160,I:I,0)-1,1)),"")</f>
        <v>#NAME?</v>
      </c>
      <c r="I2160" s="200" t="str">
        <f>IF(OR(B2160=リスト!$C$5,B2160=リスト!$C$6),COUNTIF($B$9:B2160,リスト!$C$5)+COUNTIF($B$9:B2160,リスト!$C$6),"")</f>
        <v/>
      </c>
    </row>
    <row r="2161" spans="2:9" x14ac:dyDescent="0.2">
      <c r="B2161" s="196"/>
      <c r="C2161" s="197"/>
      <c r="D2161" s="197"/>
      <c r="E2161" s="198" t="e">
        <f ca="1">mif(OR(C2161="",B2161=リスト!$C$7),"",B2161="","RF",OR(B2161=リスト!$C$5,B2161=リスト!$C$6),COUNTBLANK(INDEX(B:B,MATCH(I2161-1,I:I,0)+1,1):INDEX(B:B,MATCH(I2161,I:I,0)-1,1)),"")</f>
        <v>#NAME?</v>
      </c>
      <c r="F2161" s="199" t="s">
        <v>189</v>
      </c>
      <c r="G2161" s="140" t="e">
        <f ca="1">mif(C2161="","",OR(B2161=リスト!$C$5,B2161=リスト!$C$6),SUM(INDEX(G:G,MATCH(I2161-1,I:I,0)+1,1):INDEX(G:G,MATCH(I2161,I:I,0)-1,1)),D2161-C2161)</f>
        <v>#NAME?</v>
      </c>
      <c r="H2161" s="140" t="e">
        <f ca="1">mif(C2161="","",B2161=リスト!$C$5,SUMIF(INDEX(B:B,MATCH(I2161-1,I:I,0)+1,1):INDEX(B:B,MATCH(I2161,I:I,0)-1,1),リスト!$C$7,INDEX(G:G,MATCH(I2161-1,I:I,0)+1,1):INDEX(G:G,MATCH(I2161,I:I,0)-1,1)),"")</f>
        <v>#NAME?</v>
      </c>
      <c r="I2161" s="200" t="str">
        <f>IF(OR(B2161=リスト!$C$5,B2161=リスト!$C$6),COUNTIF($B$9:B2161,リスト!$C$5)+COUNTIF($B$9:B2161,リスト!$C$6),"")</f>
        <v/>
      </c>
    </row>
    <row r="2162" spans="2:9" x14ac:dyDescent="0.2">
      <c r="B2162" s="196"/>
      <c r="C2162" s="197"/>
      <c r="D2162" s="197"/>
      <c r="E2162" s="198" t="e">
        <f ca="1">mif(OR(C2162="",B2162=リスト!$C$7),"",B2162="","RF",OR(B2162=リスト!$C$5,B2162=リスト!$C$6),COUNTBLANK(INDEX(B:B,MATCH(I2162-1,I:I,0)+1,1):INDEX(B:B,MATCH(I2162,I:I,0)-1,1)),"")</f>
        <v>#NAME?</v>
      </c>
      <c r="F2162" s="199" t="s">
        <v>189</v>
      </c>
      <c r="G2162" s="140" t="e">
        <f ca="1">mif(C2162="","",OR(B2162=リスト!$C$5,B2162=リスト!$C$6),SUM(INDEX(G:G,MATCH(I2162-1,I:I,0)+1,1):INDEX(G:G,MATCH(I2162,I:I,0)-1,1)),D2162-C2162)</f>
        <v>#NAME?</v>
      </c>
      <c r="H2162" s="140" t="e">
        <f ca="1">mif(C2162="","",B2162=リスト!$C$5,SUMIF(INDEX(B:B,MATCH(I2162-1,I:I,0)+1,1):INDEX(B:B,MATCH(I2162,I:I,0)-1,1),リスト!$C$7,INDEX(G:G,MATCH(I2162-1,I:I,0)+1,1):INDEX(G:G,MATCH(I2162,I:I,0)-1,1)),"")</f>
        <v>#NAME?</v>
      </c>
      <c r="I2162" s="200" t="str">
        <f>IF(OR(B2162=リスト!$C$5,B2162=リスト!$C$6),COUNTIF($B$9:B2162,リスト!$C$5)+COUNTIF($B$9:B2162,リスト!$C$6),"")</f>
        <v/>
      </c>
    </row>
    <row r="2163" spans="2:9" x14ac:dyDescent="0.2">
      <c r="B2163" s="196"/>
      <c r="C2163" s="197"/>
      <c r="D2163" s="197"/>
      <c r="E2163" s="198" t="e">
        <f ca="1">mif(OR(C2163="",B2163=リスト!$C$7),"",B2163="","RF",OR(B2163=リスト!$C$5,B2163=リスト!$C$6),COUNTBLANK(INDEX(B:B,MATCH(I2163-1,I:I,0)+1,1):INDEX(B:B,MATCH(I2163,I:I,0)-1,1)),"")</f>
        <v>#NAME?</v>
      </c>
      <c r="F2163" s="199" t="s">
        <v>189</v>
      </c>
      <c r="G2163" s="140" t="e">
        <f ca="1">mif(C2163="","",OR(B2163=リスト!$C$5,B2163=リスト!$C$6),SUM(INDEX(G:G,MATCH(I2163-1,I:I,0)+1,1):INDEX(G:G,MATCH(I2163,I:I,0)-1,1)),D2163-C2163)</f>
        <v>#NAME?</v>
      </c>
      <c r="H2163" s="140" t="e">
        <f ca="1">mif(C2163="","",B2163=リスト!$C$5,SUMIF(INDEX(B:B,MATCH(I2163-1,I:I,0)+1,1):INDEX(B:B,MATCH(I2163,I:I,0)-1,1),リスト!$C$7,INDEX(G:G,MATCH(I2163-1,I:I,0)+1,1):INDEX(G:G,MATCH(I2163,I:I,0)-1,1)),"")</f>
        <v>#NAME?</v>
      </c>
      <c r="I2163" s="200" t="str">
        <f>IF(OR(B2163=リスト!$C$5,B2163=リスト!$C$6),COUNTIF($B$9:B2163,リスト!$C$5)+COUNTIF($B$9:B2163,リスト!$C$6),"")</f>
        <v/>
      </c>
    </row>
    <row r="2164" spans="2:9" x14ac:dyDescent="0.2">
      <c r="B2164" s="196"/>
      <c r="C2164" s="197"/>
      <c r="D2164" s="197"/>
      <c r="E2164" s="198" t="e">
        <f ca="1">mif(OR(C2164="",B2164=リスト!$C$7),"",B2164="","RF",OR(B2164=リスト!$C$5,B2164=リスト!$C$6),COUNTBLANK(INDEX(B:B,MATCH(I2164-1,I:I,0)+1,1):INDEX(B:B,MATCH(I2164,I:I,0)-1,1)),"")</f>
        <v>#NAME?</v>
      </c>
      <c r="F2164" s="199" t="s">
        <v>189</v>
      </c>
      <c r="G2164" s="140" t="e">
        <f ca="1">mif(C2164="","",OR(B2164=リスト!$C$5,B2164=リスト!$C$6),SUM(INDEX(G:G,MATCH(I2164-1,I:I,0)+1,1):INDEX(G:G,MATCH(I2164,I:I,0)-1,1)),D2164-C2164)</f>
        <v>#NAME?</v>
      </c>
      <c r="H2164" s="140" t="e">
        <f ca="1">mif(C2164="","",B2164=リスト!$C$5,SUMIF(INDEX(B:B,MATCH(I2164-1,I:I,0)+1,1):INDEX(B:B,MATCH(I2164,I:I,0)-1,1),リスト!$C$7,INDEX(G:G,MATCH(I2164-1,I:I,0)+1,1):INDEX(G:G,MATCH(I2164,I:I,0)-1,1)),"")</f>
        <v>#NAME?</v>
      </c>
      <c r="I2164" s="200" t="str">
        <f>IF(OR(B2164=リスト!$C$5,B2164=リスト!$C$6),COUNTIF($B$9:B2164,リスト!$C$5)+COUNTIF($B$9:B2164,リスト!$C$6),"")</f>
        <v/>
      </c>
    </row>
    <row r="2165" spans="2:9" x14ac:dyDescent="0.2">
      <c r="B2165" s="196"/>
      <c r="C2165" s="197"/>
      <c r="D2165" s="197"/>
      <c r="E2165" s="198" t="e">
        <f ca="1">mif(OR(C2165="",B2165=リスト!$C$7),"",B2165="","RF",OR(B2165=リスト!$C$5,B2165=リスト!$C$6),COUNTBLANK(INDEX(B:B,MATCH(I2165-1,I:I,0)+1,1):INDEX(B:B,MATCH(I2165,I:I,0)-1,1)),"")</f>
        <v>#NAME?</v>
      </c>
      <c r="F2165" s="199" t="s">
        <v>189</v>
      </c>
      <c r="G2165" s="140" t="e">
        <f ca="1">mif(C2165="","",OR(B2165=リスト!$C$5,B2165=リスト!$C$6),SUM(INDEX(G:G,MATCH(I2165-1,I:I,0)+1,1):INDEX(G:G,MATCH(I2165,I:I,0)-1,1)),D2165-C2165)</f>
        <v>#NAME?</v>
      </c>
      <c r="H2165" s="140" t="e">
        <f ca="1">mif(C2165="","",B2165=リスト!$C$5,SUMIF(INDEX(B:B,MATCH(I2165-1,I:I,0)+1,1):INDEX(B:B,MATCH(I2165,I:I,0)-1,1),リスト!$C$7,INDEX(G:G,MATCH(I2165-1,I:I,0)+1,1):INDEX(G:G,MATCH(I2165,I:I,0)-1,1)),"")</f>
        <v>#NAME?</v>
      </c>
      <c r="I2165" s="200" t="str">
        <f>IF(OR(B2165=リスト!$C$5,B2165=リスト!$C$6),COUNTIF($B$9:B2165,リスト!$C$5)+COUNTIF($B$9:B2165,リスト!$C$6),"")</f>
        <v/>
      </c>
    </row>
    <row r="2166" spans="2:9" x14ac:dyDescent="0.2">
      <c r="B2166" s="196"/>
      <c r="C2166" s="197"/>
      <c r="D2166" s="197"/>
      <c r="E2166" s="198" t="e">
        <f ca="1">mif(OR(C2166="",B2166=リスト!$C$7),"",B2166="","RF",OR(B2166=リスト!$C$5,B2166=リスト!$C$6),COUNTBLANK(INDEX(B:B,MATCH(I2166-1,I:I,0)+1,1):INDEX(B:B,MATCH(I2166,I:I,0)-1,1)),"")</f>
        <v>#NAME?</v>
      </c>
      <c r="F2166" s="199" t="s">
        <v>189</v>
      </c>
      <c r="G2166" s="140" t="e">
        <f ca="1">mif(C2166="","",OR(B2166=リスト!$C$5,B2166=リスト!$C$6),SUM(INDEX(G:G,MATCH(I2166-1,I:I,0)+1,1):INDEX(G:G,MATCH(I2166,I:I,0)-1,1)),D2166-C2166)</f>
        <v>#NAME?</v>
      </c>
      <c r="H2166" s="140" t="e">
        <f ca="1">mif(C2166="","",B2166=リスト!$C$5,SUMIF(INDEX(B:B,MATCH(I2166-1,I:I,0)+1,1):INDEX(B:B,MATCH(I2166,I:I,0)-1,1),リスト!$C$7,INDEX(G:G,MATCH(I2166-1,I:I,0)+1,1):INDEX(G:G,MATCH(I2166,I:I,0)-1,1)),"")</f>
        <v>#NAME?</v>
      </c>
      <c r="I2166" s="200" t="str">
        <f>IF(OR(B2166=リスト!$C$5,B2166=リスト!$C$6),COUNTIF($B$9:B2166,リスト!$C$5)+COUNTIF($B$9:B2166,リスト!$C$6),"")</f>
        <v/>
      </c>
    </row>
    <row r="2167" spans="2:9" x14ac:dyDescent="0.2">
      <c r="B2167" s="196"/>
      <c r="C2167" s="197"/>
      <c r="D2167" s="197"/>
      <c r="E2167" s="198" t="e">
        <f ca="1">mif(OR(C2167="",B2167=リスト!$C$7),"",B2167="","RF",OR(B2167=リスト!$C$5,B2167=リスト!$C$6),COUNTBLANK(INDEX(B:B,MATCH(I2167-1,I:I,0)+1,1):INDEX(B:B,MATCH(I2167,I:I,0)-1,1)),"")</f>
        <v>#NAME?</v>
      </c>
      <c r="F2167" s="199" t="s">
        <v>189</v>
      </c>
      <c r="G2167" s="140" t="e">
        <f ca="1">mif(C2167="","",OR(B2167=リスト!$C$5,B2167=リスト!$C$6),SUM(INDEX(G:G,MATCH(I2167-1,I:I,0)+1,1):INDEX(G:G,MATCH(I2167,I:I,0)-1,1)),D2167-C2167)</f>
        <v>#NAME?</v>
      </c>
      <c r="H2167" s="140" t="e">
        <f ca="1">mif(C2167="","",B2167=リスト!$C$5,SUMIF(INDEX(B:B,MATCH(I2167-1,I:I,0)+1,1):INDEX(B:B,MATCH(I2167,I:I,0)-1,1),リスト!$C$7,INDEX(G:G,MATCH(I2167-1,I:I,0)+1,1):INDEX(G:G,MATCH(I2167,I:I,0)-1,1)),"")</f>
        <v>#NAME?</v>
      </c>
      <c r="I2167" s="200" t="str">
        <f>IF(OR(B2167=リスト!$C$5,B2167=リスト!$C$6),COUNTIF($B$9:B2167,リスト!$C$5)+COUNTIF($B$9:B2167,リスト!$C$6),"")</f>
        <v/>
      </c>
    </row>
    <row r="2168" spans="2:9" x14ac:dyDescent="0.2">
      <c r="B2168" s="196"/>
      <c r="C2168" s="197"/>
      <c r="D2168" s="197"/>
      <c r="E2168" s="198" t="e">
        <f ca="1">mif(OR(C2168="",B2168=リスト!$C$7),"",B2168="","RF",OR(B2168=リスト!$C$5,B2168=リスト!$C$6),COUNTBLANK(INDEX(B:B,MATCH(I2168-1,I:I,0)+1,1):INDEX(B:B,MATCH(I2168,I:I,0)-1,1)),"")</f>
        <v>#NAME?</v>
      </c>
      <c r="F2168" s="199" t="s">
        <v>189</v>
      </c>
      <c r="G2168" s="140" t="e">
        <f ca="1">mif(C2168="","",OR(B2168=リスト!$C$5,B2168=リスト!$C$6),SUM(INDEX(G:G,MATCH(I2168-1,I:I,0)+1,1):INDEX(G:G,MATCH(I2168,I:I,0)-1,1)),D2168-C2168)</f>
        <v>#NAME?</v>
      </c>
      <c r="H2168" s="140" t="e">
        <f ca="1">mif(C2168="","",B2168=リスト!$C$5,SUMIF(INDEX(B:B,MATCH(I2168-1,I:I,0)+1,1):INDEX(B:B,MATCH(I2168,I:I,0)-1,1),リスト!$C$7,INDEX(G:G,MATCH(I2168-1,I:I,0)+1,1):INDEX(G:G,MATCH(I2168,I:I,0)-1,1)),"")</f>
        <v>#NAME?</v>
      </c>
      <c r="I2168" s="200" t="str">
        <f>IF(OR(B2168=リスト!$C$5,B2168=リスト!$C$6),COUNTIF($B$9:B2168,リスト!$C$5)+COUNTIF($B$9:B2168,リスト!$C$6),"")</f>
        <v/>
      </c>
    </row>
    <row r="2169" spans="2:9" x14ac:dyDescent="0.2">
      <c r="B2169" s="196"/>
      <c r="C2169" s="197"/>
      <c r="D2169" s="197"/>
      <c r="E2169" s="198" t="e">
        <f ca="1">mif(OR(C2169="",B2169=リスト!$C$7),"",B2169="","RF",OR(B2169=リスト!$C$5,B2169=リスト!$C$6),COUNTBLANK(INDEX(B:B,MATCH(I2169-1,I:I,0)+1,1):INDEX(B:B,MATCH(I2169,I:I,0)-1,1)),"")</f>
        <v>#NAME?</v>
      </c>
      <c r="F2169" s="199" t="s">
        <v>189</v>
      </c>
      <c r="G2169" s="140" t="e">
        <f ca="1">mif(C2169="","",OR(B2169=リスト!$C$5,B2169=リスト!$C$6),SUM(INDEX(G:G,MATCH(I2169-1,I:I,0)+1,1):INDEX(G:G,MATCH(I2169,I:I,0)-1,1)),D2169-C2169)</f>
        <v>#NAME?</v>
      </c>
      <c r="H2169" s="140" t="e">
        <f ca="1">mif(C2169="","",B2169=リスト!$C$5,SUMIF(INDEX(B:B,MATCH(I2169-1,I:I,0)+1,1):INDEX(B:B,MATCH(I2169,I:I,0)-1,1),リスト!$C$7,INDEX(G:G,MATCH(I2169-1,I:I,0)+1,1):INDEX(G:G,MATCH(I2169,I:I,0)-1,1)),"")</f>
        <v>#NAME?</v>
      </c>
      <c r="I2169" s="200" t="str">
        <f>IF(OR(B2169=リスト!$C$5,B2169=リスト!$C$6),COUNTIF($B$9:B2169,リスト!$C$5)+COUNTIF($B$9:B2169,リスト!$C$6),"")</f>
        <v/>
      </c>
    </row>
    <row r="2170" spans="2:9" x14ac:dyDescent="0.2">
      <c r="B2170" s="196"/>
      <c r="C2170" s="197"/>
      <c r="D2170" s="197"/>
      <c r="E2170" s="198" t="e">
        <f ca="1">mif(OR(C2170="",B2170=リスト!$C$7),"",B2170="","RF",OR(B2170=リスト!$C$5,B2170=リスト!$C$6),COUNTBLANK(INDEX(B:B,MATCH(I2170-1,I:I,0)+1,1):INDEX(B:B,MATCH(I2170,I:I,0)-1,1)),"")</f>
        <v>#NAME?</v>
      </c>
      <c r="F2170" s="199" t="s">
        <v>189</v>
      </c>
      <c r="G2170" s="140" t="e">
        <f ca="1">mif(C2170="","",OR(B2170=リスト!$C$5,B2170=リスト!$C$6),SUM(INDEX(G:G,MATCH(I2170-1,I:I,0)+1,1):INDEX(G:G,MATCH(I2170,I:I,0)-1,1)),D2170-C2170)</f>
        <v>#NAME?</v>
      </c>
      <c r="H2170" s="140" t="e">
        <f ca="1">mif(C2170="","",B2170=リスト!$C$5,SUMIF(INDEX(B:B,MATCH(I2170-1,I:I,0)+1,1):INDEX(B:B,MATCH(I2170,I:I,0)-1,1),リスト!$C$7,INDEX(G:G,MATCH(I2170-1,I:I,0)+1,1):INDEX(G:G,MATCH(I2170,I:I,0)-1,1)),"")</f>
        <v>#NAME?</v>
      </c>
      <c r="I2170" s="200" t="str">
        <f>IF(OR(B2170=リスト!$C$5,B2170=リスト!$C$6),COUNTIF($B$9:B2170,リスト!$C$5)+COUNTIF($B$9:B2170,リスト!$C$6),"")</f>
        <v/>
      </c>
    </row>
    <row r="2171" spans="2:9" x14ac:dyDescent="0.2">
      <c r="B2171" s="196"/>
      <c r="C2171" s="197"/>
      <c r="D2171" s="197"/>
      <c r="E2171" s="198" t="e">
        <f ca="1">mif(OR(C2171="",B2171=リスト!$C$7),"",B2171="","RF",OR(B2171=リスト!$C$5,B2171=リスト!$C$6),COUNTBLANK(INDEX(B:B,MATCH(I2171-1,I:I,0)+1,1):INDEX(B:B,MATCH(I2171,I:I,0)-1,1)),"")</f>
        <v>#NAME?</v>
      </c>
      <c r="F2171" s="199" t="s">
        <v>189</v>
      </c>
      <c r="G2171" s="140" t="e">
        <f ca="1">mif(C2171="","",OR(B2171=リスト!$C$5,B2171=リスト!$C$6),SUM(INDEX(G:G,MATCH(I2171-1,I:I,0)+1,1):INDEX(G:G,MATCH(I2171,I:I,0)-1,1)),D2171-C2171)</f>
        <v>#NAME?</v>
      </c>
      <c r="H2171" s="140" t="e">
        <f ca="1">mif(C2171="","",B2171=リスト!$C$5,SUMIF(INDEX(B:B,MATCH(I2171-1,I:I,0)+1,1):INDEX(B:B,MATCH(I2171,I:I,0)-1,1),リスト!$C$7,INDEX(G:G,MATCH(I2171-1,I:I,0)+1,1):INDEX(G:G,MATCH(I2171,I:I,0)-1,1)),"")</f>
        <v>#NAME?</v>
      </c>
      <c r="I2171" s="200" t="str">
        <f>IF(OR(B2171=リスト!$C$5,B2171=リスト!$C$6),COUNTIF($B$9:B2171,リスト!$C$5)+COUNTIF($B$9:B2171,リスト!$C$6),"")</f>
        <v/>
      </c>
    </row>
    <row r="2172" spans="2:9" x14ac:dyDescent="0.2">
      <c r="B2172" s="196"/>
      <c r="C2172" s="197"/>
      <c r="D2172" s="197"/>
      <c r="E2172" s="198" t="e">
        <f ca="1">mif(OR(C2172="",B2172=リスト!$C$7),"",B2172="","RF",OR(B2172=リスト!$C$5,B2172=リスト!$C$6),COUNTBLANK(INDEX(B:B,MATCH(I2172-1,I:I,0)+1,1):INDEX(B:B,MATCH(I2172,I:I,0)-1,1)),"")</f>
        <v>#NAME?</v>
      </c>
      <c r="F2172" s="199" t="s">
        <v>189</v>
      </c>
      <c r="G2172" s="140" t="e">
        <f ca="1">mif(C2172="","",OR(B2172=リスト!$C$5,B2172=リスト!$C$6),SUM(INDEX(G:G,MATCH(I2172-1,I:I,0)+1,1):INDEX(G:G,MATCH(I2172,I:I,0)-1,1)),D2172-C2172)</f>
        <v>#NAME?</v>
      </c>
      <c r="H2172" s="140" t="e">
        <f ca="1">mif(C2172="","",B2172=リスト!$C$5,SUMIF(INDEX(B:B,MATCH(I2172-1,I:I,0)+1,1):INDEX(B:B,MATCH(I2172,I:I,0)-1,1),リスト!$C$7,INDEX(G:G,MATCH(I2172-1,I:I,0)+1,1):INDEX(G:G,MATCH(I2172,I:I,0)-1,1)),"")</f>
        <v>#NAME?</v>
      </c>
      <c r="I2172" s="200" t="str">
        <f>IF(OR(B2172=リスト!$C$5,B2172=リスト!$C$6),COUNTIF($B$9:B2172,リスト!$C$5)+COUNTIF($B$9:B2172,リスト!$C$6),"")</f>
        <v/>
      </c>
    </row>
    <row r="2173" spans="2:9" x14ac:dyDescent="0.2">
      <c r="B2173" s="196"/>
      <c r="C2173" s="197"/>
      <c r="D2173" s="197"/>
      <c r="E2173" s="198" t="e">
        <f ca="1">mif(OR(C2173="",B2173=リスト!$C$7),"",B2173="","RF",OR(B2173=リスト!$C$5,B2173=リスト!$C$6),COUNTBLANK(INDEX(B:B,MATCH(I2173-1,I:I,0)+1,1):INDEX(B:B,MATCH(I2173,I:I,0)-1,1)),"")</f>
        <v>#NAME?</v>
      </c>
      <c r="F2173" s="199" t="s">
        <v>189</v>
      </c>
      <c r="G2173" s="140" t="e">
        <f ca="1">mif(C2173="","",OR(B2173=リスト!$C$5,B2173=リスト!$C$6),SUM(INDEX(G:G,MATCH(I2173-1,I:I,0)+1,1):INDEX(G:G,MATCH(I2173,I:I,0)-1,1)),D2173-C2173)</f>
        <v>#NAME?</v>
      </c>
      <c r="H2173" s="140" t="e">
        <f ca="1">mif(C2173="","",B2173=リスト!$C$5,SUMIF(INDEX(B:B,MATCH(I2173-1,I:I,0)+1,1):INDEX(B:B,MATCH(I2173,I:I,0)-1,1),リスト!$C$7,INDEX(G:G,MATCH(I2173-1,I:I,0)+1,1):INDEX(G:G,MATCH(I2173,I:I,0)-1,1)),"")</f>
        <v>#NAME?</v>
      </c>
      <c r="I2173" s="200" t="str">
        <f>IF(OR(B2173=リスト!$C$5,B2173=リスト!$C$6),COUNTIF($B$9:B2173,リスト!$C$5)+COUNTIF($B$9:B2173,リスト!$C$6),"")</f>
        <v/>
      </c>
    </row>
    <row r="2174" spans="2:9" x14ac:dyDescent="0.2">
      <c r="B2174" s="196"/>
      <c r="C2174" s="197"/>
      <c r="D2174" s="197"/>
      <c r="E2174" s="198" t="e">
        <f ca="1">mif(OR(C2174="",B2174=リスト!$C$7),"",B2174="","RF",OR(B2174=リスト!$C$5,B2174=リスト!$C$6),COUNTBLANK(INDEX(B:B,MATCH(I2174-1,I:I,0)+1,1):INDEX(B:B,MATCH(I2174,I:I,0)-1,1)),"")</f>
        <v>#NAME?</v>
      </c>
      <c r="F2174" s="199" t="s">
        <v>189</v>
      </c>
      <c r="G2174" s="140" t="e">
        <f ca="1">mif(C2174="","",OR(B2174=リスト!$C$5,B2174=リスト!$C$6),SUM(INDEX(G:G,MATCH(I2174-1,I:I,0)+1,1):INDEX(G:G,MATCH(I2174,I:I,0)-1,1)),D2174-C2174)</f>
        <v>#NAME?</v>
      </c>
      <c r="H2174" s="140" t="e">
        <f ca="1">mif(C2174="","",B2174=リスト!$C$5,SUMIF(INDEX(B:B,MATCH(I2174-1,I:I,0)+1,1):INDEX(B:B,MATCH(I2174,I:I,0)-1,1),リスト!$C$7,INDEX(G:G,MATCH(I2174-1,I:I,0)+1,1):INDEX(G:G,MATCH(I2174,I:I,0)-1,1)),"")</f>
        <v>#NAME?</v>
      </c>
      <c r="I2174" s="200" t="str">
        <f>IF(OR(B2174=リスト!$C$5,B2174=リスト!$C$6),COUNTIF($B$9:B2174,リスト!$C$5)+COUNTIF($B$9:B2174,リスト!$C$6),"")</f>
        <v/>
      </c>
    </row>
    <row r="2175" spans="2:9" x14ac:dyDescent="0.2">
      <c r="B2175" s="196"/>
      <c r="C2175" s="197"/>
      <c r="D2175" s="197"/>
      <c r="E2175" s="198" t="e">
        <f ca="1">mif(OR(C2175="",B2175=リスト!$C$7),"",B2175="","RF",OR(B2175=リスト!$C$5,B2175=リスト!$C$6),COUNTBLANK(INDEX(B:B,MATCH(I2175-1,I:I,0)+1,1):INDEX(B:B,MATCH(I2175,I:I,0)-1,1)),"")</f>
        <v>#NAME?</v>
      </c>
      <c r="F2175" s="199" t="s">
        <v>189</v>
      </c>
      <c r="G2175" s="140" t="e">
        <f ca="1">mif(C2175="","",OR(B2175=リスト!$C$5,B2175=リスト!$C$6),SUM(INDEX(G:G,MATCH(I2175-1,I:I,0)+1,1):INDEX(G:G,MATCH(I2175,I:I,0)-1,1)),D2175-C2175)</f>
        <v>#NAME?</v>
      </c>
      <c r="H2175" s="140" t="e">
        <f ca="1">mif(C2175="","",B2175=リスト!$C$5,SUMIF(INDEX(B:B,MATCH(I2175-1,I:I,0)+1,1):INDEX(B:B,MATCH(I2175,I:I,0)-1,1),リスト!$C$7,INDEX(G:G,MATCH(I2175-1,I:I,0)+1,1):INDEX(G:G,MATCH(I2175,I:I,0)-1,1)),"")</f>
        <v>#NAME?</v>
      </c>
      <c r="I2175" s="200" t="str">
        <f>IF(OR(B2175=リスト!$C$5,B2175=リスト!$C$6),COUNTIF($B$9:B2175,リスト!$C$5)+COUNTIF($B$9:B2175,リスト!$C$6),"")</f>
        <v/>
      </c>
    </row>
    <row r="2176" spans="2:9" x14ac:dyDescent="0.2">
      <c r="B2176" s="196"/>
      <c r="C2176" s="197"/>
      <c r="D2176" s="197"/>
      <c r="E2176" s="198" t="e">
        <f ca="1">mif(OR(C2176="",B2176=リスト!$C$7),"",B2176="","RF",OR(B2176=リスト!$C$5,B2176=リスト!$C$6),COUNTBLANK(INDEX(B:B,MATCH(I2176-1,I:I,0)+1,1):INDEX(B:B,MATCH(I2176,I:I,0)-1,1)),"")</f>
        <v>#NAME?</v>
      </c>
      <c r="F2176" s="199" t="s">
        <v>189</v>
      </c>
      <c r="G2176" s="140" t="e">
        <f ca="1">mif(C2176="","",OR(B2176=リスト!$C$5,B2176=リスト!$C$6),SUM(INDEX(G:G,MATCH(I2176-1,I:I,0)+1,1):INDEX(G:G,MATCH(I2176,I:I,0)-1,1)),D2176-C2176)</f>
        <v>#NAME?</v>
      </c>
      <c r="H2176" s="140" t="e">
        <f ca="1">mif(C2176="","",B2176=リスト!$C$5,SUMIF(INDEX(B:B,MATCH(I2176-1,I:I,0)+1,1):INDEX(B:B,MATCH(I2176,I:I,0)-1,1),リスト!$C$7,INDEX(G:G,MATCH(I2176-1,I:I,0)+1,1):INDEX(G:G,MATCH(I2176,I:I,0)-1,1)),"")</f>
        <v>#NAME?</v>
      </c>
      <c r="I2176" s="200" t="str">
        <f>IF(OR(B2176=リスト!$C$5,B2176=リスト!$C$6),COUNTIF($B$9:B2176,リスト!$C$5)+COUNTIF($B$9:B2176,リスト!$C$6),"")</f>
        <v/>
      </c>
    </row>
    <row r="2177" spans="2:9" x14ac:dyDescent="0.2">
      <c r="B2177" s="196"/>
      <c r="C2177" s="197"/>
      <c r="D2177" s="197"/>
      <c r="E2177" s="198" t="e">
        <f ca="1">mif(OR(C2177="",B2177=リスト!$C$7),"",B2177="","RF",OR(B2177=リスト!$C$5,B2177=リスト!$C$6),COUNTBLANK(INDEX(B:B,MATCH(I2177-1,I:I,0)+1,1):INDEX(B:B,MATCH(I2177,I:I,0)-1,1)),"")</f>
        <v>#NAME?</v>
      </c>
      <c r="F2177" s="199" t="s">
        <v>189</v>
      </c>
      <c r="G2177" s="140" t="e">
        <f ca="1">mif(C2177="","",OR(B2177=リスト!$C$5,B2177=リスト!$C$6),SUM(INDEX(G:G,MATCH(I2177-1,I:I,0)+1,1):INDEX(G:G,MATCH(I2177,I:I,0)-1,1)),D2177-C2177)</f>
        <v>#NAME?</v>
      </c>
      <c r="H2177" s="140" t="e">
        <f ca="1">mif(C2177="","",B2177=リスト!$C$5,SUMIF(INDEX(B:B,MATCH(I2177-1,I:I,0)+1,1):INDEX(B:B,MATCH(I2177,I:I,0)-1,1),リスト!$C$7,INDEX(G:G,MATCH(I2177-1,I:I,0)+1,1):INDEX(G:G,MATCH(I2177,I:I,0)-1,1)),"")</f>
        <v>#NAME?</v>
      </c>
      <c r="I2177" s="200" t="str">
        <f>IF(OR(B2177=リスト!$C$5,B2177=リスト!$C$6),COUNTIF($B$9:B2177,リスト!$C$5)+COUNTIF($B$9:B2177,リスト!$C$6),"")</f>
        <v/>
      </c>
    </row>
    <row r="2178" spans="2:9" x14ac:dyDescent="0.2">
      <c r="B2178" s="196"/>
      <c r="C2178" s="197"/>
      <c r="D2178" s="197"/>
      <c r="E2178" s="198" t="e">
        <f ca="1">mif(OR(C2178="",B2178=リスト!$C$7),"",B2178="","RF",OR(B2178=リスト!$C$5,B2178=リスト!$C$6),COUNTBLANK(INDEX(B:B,MATCH(I2178-1,I:I,0)+1,1):INDEX(B:B,MATCH(I2178,I:I,0)-1,1)),"")</f>
        <v>#NAME?</v>
      </c>
      <c r="F2178" s="199" t="s">
        <v>189</v>
      </c>
      <c r="G2178" s="140" t="e">
        <f ca="1">mif(C2178="","",OR(B2178=リスト!$C$5,B2178=リスト!$C$6),SUM(INDEX(G:G,MATCH(I2178-1,I:I,0)+1,1):INDEX(G:G,MATCH(I2178,I:I,0)-1,1)),D2178-C2178)</f>
        <v>#NAME?</v>
      </c>
      <c r="H2178" s="140" t="e">
        <f ca="1">mif(C2178="","",B2178=リスト!$C$5,SUMIF(INDEX(B:B,MATCH(I2178-1,I:I,0)+1,1):INDEX(B:B,MATCH(I2178,I:I,0)-1,1),リスト!$C$7,INDEX(G:G,MATCH(I2178-1,I:I,0)+1,1):INDEX(G:G,MATCH(I2178,I:I,0)-1,1)),"")</f>
        <v>#NAME?</v>
      </c>
      <c r="I2178" s="200" t="str">
        <f>IF(OR(B2178=リスト!$C$5,B2178=リスト!$C$6),COUNTIF($B$9:B2178,リスト!$C$5)+COUNTIF($B$9:B2178,リスト!$C$6),"")</f>
        <v/>
      </c>
    </row>
    <row r="2179" spans="2:9" x14ac:dyDescent="0.2">
      <c r="B2179" s="196"/>
      <c r="C2179" s="197"/>
      <c r="D2179" s="197"/>
      <c r="E2179" s="198" t="e">
        <f ca="1">mif(OR(C2179="",B2179=リスト!$C$7),"",B2179="","RF",OR(B2179=リスト!$C$5,B2179=リスト!$C$6),COUNTBLANK(INDEX(B:B,MATCH(I2179-1,I:I,0)+1,1):INDEX(B:B,MATCH(I2179,I:I,0)-1,1)),"")</f>
        <v>#NAME?</v>
      </c>
      <c r="F2179" s="199" t="s">
        <v>189</v>
      </c>
      <c r="G2179" s="140" t="e">
        <f ca="1">mif(C2179="","",OR(B2179=リスト!$C$5,B2179=リスト!$C$6),SUM(INDEX(G:G,MATCH(I2179-1,I:I,0)+1,1):INDEX(G:G,MATCH(I2179,I:I,0)-1,1)),D2179-C2179)</f>
        <v>#NAME?</v>
      </c>
      <c r="H2179" s="140" t="e">
        <f ca="1">mif(C2179="","",B2179=リスト!$C$5,SUMIF(INDEX(B:B,MATCH(I2179-1,I:I,0)+1,1):INDEX(B:B,MATCH(I2179,I:I,0)-1,1),リスト!$C$7,INDEX(G:G,MATCH(I2179-1,I:I,0)+1,1):INDEX(G:G,MATCH(I2179,I:I,0)-1,1)),"")</f>
        <v>#NAME?</v>
      </c>
      <c r="I2179" s="200" t="str">
        <f>IF(OR(B2179=リスト!$C$5,B2179=リスト!$C$6),COUNTIF($B$9:B2179,リスト!$C$5)+COUNTIF($B$9:B2179,リスト!$C$6),"")</f>
        <v/>
      </c>
    </row>
    <row r="2180" spans="2:9" x14ac:dyDescent="0.2">
      <c r="B2180" s="196"/>
      <c r="C2180" s="197"/>
      <c r="D2180" s="197"/>
      <c r="E2180" s="198" t="e">
        <f ca="1">mif(OR(C2180="",B2180=リスト!$C$7),"",B2180="","RF",OR(B2180=リスト!$C$5,B2180=リスト!$C$6),COUNTBLANK(INDEX(B:B,MATCH(I2180-1,I:I,0)+1,1):INDEX(B:B,MATCH(I2180,I:I,0)-1,1)),"")</f>
        <v>#NAME?</v>
      </c>
      <c r="F2180" s="199" t="s">
        <v>189</v>
      </c>
      <c r="G2180" s="140" t="e">
        <f ca="1">mif(C2180="","",OR(B2180=リスト!$C$5,B2180=リスト!$C$6),SUM(INDEX(G:G,MATCH(I2180-1,I:I,0)+1,1):INDEX(G:G,MATCH(I2180,I:I,0)-1,1)),D2180-C2180)</f>
        <v>#NAME?</v>
      </c>
      <c r="H2180" s="140" t="e">
        <f ca="1">mif(C2180="","",B2180=リスト!$C$5,SUMIF(INDEX(B:B,MATCH(I2180-1,I:I,0)+1,1):INDEX(B:B,MATCH(I2180,I:I,0)-1,1),リスト!$C$7,INDEX(G:G,MATCH(I2180-1,I:I,0)+1,1):INDEX(G:G,MATCH(I2180,I:I,0)-1,1)),"")</f>
        <v>#NAME?</v>
      </c>
      <c r="I2180" s="200" t="str">
        <f>IF(OR(B2180=リスト!$C$5,B2180=リスト!$C$6),COUNTIF($B$9:B2180,リスト!$C$5)+COUNTIF($B$9:B2180,リスト!$C$6),"")</f>
        <v/>
      </c>
    </row>
    <row r="2181" spans="2:9" x14ac:dyDescent="0.2">
      <c r="B2181" s="196"/>
      <c r="C2181" s="197"/>
      <c r="D2181" s="197"/>
      <c r="E2181" s="198" t="e">
        <f ca="1">mif(OR(C2181="",B2181=リスト!$C$7),"",B2181="","RF",OR(B2181=リスト!$C$5,B2181=リスト!$C$6),COUNTBLANK(INDEX(B:B,MATCH(I2181-1,I:I,0)+1,1):INDEX(B:B,MATCH(I2181,I:I,0)-1,1)),"")</f>
        <v>#NAME?</v>
      </c>
      <c r="F2181" s="199" t="s">
        <v>189</v>
      </c>
      <c r="G2181" s="140" t="e">
        <f ca="1">mif(C2181="","",OR(B2181=リスト!$C$5,B2181=リスト!$C$6),SUM(INDEX(G:G,MATCH(I2181-1,I:I,0)+1,1):INDEX(G:G,MATCH(I2181,I:I,0)-1,1)),D2181-C2181)</f>
        <v>#NAME?</v>
      </c>
      <c r="H2181" s="140" t="e">
        <f ca="1">mif(C2181="","",B2181=リスト!$C$5,SUMIF(INDEX(B:B,MATCH(I2181-1,I:I,0)+1,1):INDEX(B:B,MATCH(I2181,I:I,0)-1,1),リスト!$C$7,INDEX(G:G,MATCH(I2181-1,I:I,0)+1,1):INDEX(G:G,MATCH(I2181,I:I,0)-1,1)),"")</f>
        <v>#NAME?</v>
      </c>
      <c r="I2181" s="200" t="str">
        <f>IF(OR(B2181=リスト!$C$5,B2181=リスト!$C$6),COUNTIF($B$9:B2181,リスト!$C$5)+COUNTIF($B$9:B2181,リスト!$C$6),"")</f>
        <v/>
      </c>
    </row>
    <row r="2182" spans="2:9" x14ac:dyDescent="0.2">
      <c r="B2182" s="196"/>
      <c r="C2182" s="197"/>
      <c r="D2182" s="197"/>
      <c r="E2182" s="198" t="e">
        <f ca="1">mif(OR(C2182="",B2182=リスト!$C$7),"",B2182="","RF",OR(B2182=リスト!$C$5,B2182=リスト!$C$6),COUNTBLANK(INDEX(B:B,MATCH(I2182-1,I:I,0)+1,1):INDEX(B:B,MATCH(I2182,I:I,0)-1,1)),"")</f>
        <v>#NAME?</v>
      </c>
      <c r="F2182" s="199" t="s">
        <v>189</v>
      </c>
      <c r="G2182" s="140" t="e">
        <f ca="1">mif(C2182="","",OR(B2182=リスト!$C$5,B2182=リスト!$C$6),SUM(INDEX(G:G,MATCH(I2182-1,I:I,0)+1,1):INDEX(G:G,MATCH(I2182,I:I,0)-1,1)),D2182-C2182)</f>
        <v>#NAME?</v>
      </c>
      <c r="H2182" s="140" t="e">
        <f ca="1">mif(C2182="","",B2182=リスト!$C$5,SUMIF(INDEX(B:B,MATCH(I2182-1,I:I,0)+1,1):INDEX(B:B,MATCH(I2182,I:I,0)-1,1),リスト!$C$7,INDEX(G:G,MATCH(I2182-1,I:I,0)+1,1):INDEX(G:G,MATCH(I2182,I:I,0)-1,1)),"")</f>
        <v>#NAME?</v>
      </c>
      <c r="I2182" s="200" t="str">
        <f>IF(OR(B2182=リスト!$C$5,B2182=リスト!$C$6),COUNTIF($B$9:B2182,リスト!$C$5)+COUNTIF($B$9:B2182,リスト!$C$6),"")</f>
        <v/>
      </c>
    </row>
    <row r="2183" spans="2:9" x14ac:dyDescent="0.2">
      <c r="B2183" s="196"/>
      <c r="C2183" s="197"/>
      <c r="D2183" s="197"/>
      <c r="E2183" s="198" t="e">
        <f ca="1">mif(OR(C2183="",B2183=リスト!$C$7),"",B2183="","RF",OR(B2183=リスト!$C$5,B2183=リスト!$C$6),COUNTBLANK(INDEX(B:B,MATCH(I2183-1,I:I,0)+1,1):INDEX(B:B,MATCH(I2183,I:I,0)-1,1)),"")</f>
        <v>#NAME?</v>
      </c>
      <c r="F2183" s="199" t="s">
        <v>189</v>
      </c>
      <c r="G2183" s="140" t="e">
        <f ca="1">mif(C2183="","",OR(B2183=リスト!$C$5,B2183=リスト!$C$6),SUM(INDEX(G:G,MATCH(I2183-1,I:I,0)+1,1):INDEX(G:G,MATCH(I2183,I:I,0)-1,1)),D2183-C2183)</f>
        <v>#NAME?</v>
      </c>
      <c r="H2183" s="140" t="e">
        <f ca="1">mif(C2183="","",B2183=リスト!$C$5,SUMIF(INDEX(B:B,MATCH(I2183-1,I:I,0)+1,1):INDEX(B:B,MATCH(I2183,I:I,0)-1,1),リスト!$C$7,INDEX(G:G,MATCH(I2183-1,I:I,0)+1,1):INDEX(G:G,MATCH(I2183,I:I,0)-1,1)),"")</f>
        <v>#NAME?</v>
      </c>
      <c r="I2183" s="200" t="str">
        <f>IF(OR(B2183=リスト!$C$5,B2183=リスト!$C$6),COUNTIF($B$9:B2183,リスト!$C$5)+COUNTIF($B$9:B2183,リスト!$C$6),"")</f>
        <v/>
      </c>
    </row>
    <row r="2184" spans="2:9" x14ac:dyDescent="0.2">
      <c r="B2184" s="196"/>
      <c r="C2184" s="197"/>
      <c r="D2184" s="197"/>
      <c r="E2184" s="198" t="e">
        <f ca="1">mif(OR(C2184="",B2184=リスト!$C$7),"",B2184="","RF",OR(B2184=リスト!$C$5,B2184=リスト!$C$6),COUNTBLANK(INDEX(B:B,MATCH(I2184-1,I:I,0)+1,1):INDEX(B:B,MATCH(I2184,I:I,0)-1,1)),"")</f>
        <v>#NAME?</v>
      </c>
      <c r="F2184" s="199" t="s">
        <v>189</v>
      </c>
      <c r="G2184" s="140" t="e">
        <f ca="1">mif(C2184="","",OR(B2184=リスト!$C$5,B2184=リスト!$C$6),SUM(INDEX(G:G,MATCH(I2184-1,I:I,0)+1,1):INDEX(G:G,MATCH(I2184,I:I,0)-1,1)),D2184-C2184)</f>
        <v>#NAME?</v>
      </c>
      <c r="H2184" s="140" t="e">
        <f ca="1">mif(C2184="","",B2184=リスト!$C$5,SUMIF(INDEX(B:B,MATCH(I2184-1,I:I,0)+1,1):INDEX(B:B,MATCH(I2184,I:I,0)-1,1),リスト!$C$7,INDEX(G:G,MATCH(I2184-1,I:I,0)+1,1):INDEX(G:G,MATCH(I2184,I:I,0)-1,1)),"")</f>
        <v>#NAME?</v>
      </c>
      <c r="I2184" s="200" t="str">
        <f>IF(OR(B2184=リスト!$C$5,B2184=リスト!$C$6),COUNTIF($B$9:B2184,リスト!$C$5)+COUNTIF($B$9:B2184,リスト!$C$6),"")</f>
        <v/>
      </c>
    </row>
    <row r="2185" spans="2:9" x14ac:dyDescent="0.2">
      <c r="B2185" s="196"/>
      <c r="C2185" s="197"/>
      <c r="D2185" s="197"/>
      <c r="E2185" s="198" t="e">
        <f ca="1">mif(OR(C2185="",B2185=リスト!$C$7),"",B2185="","RF",OR(B2185=リスト!$C$5,B2185=リスト!$C$6),COUNTBLANK(INDEX(B:B,MATCH(I2185-1,I:I,0)+1,1):INDEX(B:B,MATCH(I2185,I:I,0)-1,1)),"")</f>
        <v>#NAME?</v>
      </c>
      <c r="F2185" s="199" t="s">
        <v>189</v>
      </c>
      <c r="G2185" s="140" t="e">
        <f ca="1">mif(C2185="","",OR(B2185=リスト!$C$5,B2185=リスト!$C$6),SUM(INDEX(G:G,MATCH(I2185-1,I:I,0)+1,1):INDEX(G:G,MATCH(I2185,I:I,0)-1,1)),D2185-C2185)</f>
        <v>#NAME?</v>
      </c>
      <c r="H2185" s="140" t="e">
        <f ca="1">mif(C2185="","",B2185=リスト!$C$5,SUMIF(INDEX(B:B,MATCH(I2185-1,I:I,0)+1,1):INDEX(B:B,MATCH(I2185,I:I,0)-1,1),リスト!$C$7,INDEX(G:G,MATCH(I2185-1,I:I,0)+1,1):INDEX(G:G,MATCH(I2185,I:I,0)-1,1)),"")</f>
        <v>#NAME?</v>
      </c>
      <c r="I2185" s="200" t="str">
        <f>IF(OR(B2185=リスト!$C$5,B2185=リスト!$C$6),COUNTIF($B$9:B2185,リスト!$C$5)+COUNTIF($B$9:B2185,リスト!$C$6),"")</f>
        <v/>
      </c>
    </row>
    <row r="2186" spans="2:9" x14ac:dyDescent="0.2">
      <c r="B2186" s="196"/>
      <c r="C2186" s="197"/>
      <c r="D2186" s="197"/>
      <c r="E2186" s="198" t="e">
        <f ca="1">mif(OR(C2186="",B2186=リスト!$C$7),"",B2186="","RF",OR(B2186=リスト!$C$5,B2186=リスト!$C$6),COUNTBLANK(INDEX(B:B,MATCH(I2186-1,I:I,0)+1,1):INDEX(B:B,MATCH(I2186,I:I,0)-1,1)),"")</f>
        <v>#NAME?</v>
      </c>
      <c r="F2186" s="199" t="s">
        <v>189</v>
      </c>
      <c r="G2186" s="140" t="e">
        <f ca="1">mif(C2186="","",OR(B2186=リスト!$C$5,B2186=リスト!$C$6),SUM(INDEX(G:G,MATCH(I2186-1,I:I,0)+1,1):INDEX(G:G,MATCH(I2186,I:I,0)-1,1)),D2186-C2186)</f>
        <v>#NAME?</v>
      </c>
      <c r="H2186" s="140" t="e">
        <f ca="1">mif(C2186="","",B2186=リスト!$C$5,SUMIF(INDEX(B:B,MATCH(I2186-1,I:I,0)+1,1):INDEX(B:B,MATCH(I2186,I:I,0)-1,1),リスト!$C$7,INDEX(G:G,MATCH(I2186-1,I:I,0)+1,1):INDEX(G:G,MATCH(I2186,I:I,0)-1,1)),"")</f>
        <v>#NAME?</v>
      </c>
      <c r="I2186" s="200" t="str">
        <f>IF(OR(B2186=リスト!$C$5,B2186=リスト!$C$6),COUNTIF($B$9:B2186,リスト!$C$5)+COUNTIF($B$9:B2186,リスト!$C$6),"")</f>
        <v/>
      </c>
    </row>
    <row r="2187" spans="2:9" x14ac:dyDescent="0.2">
      <c r="B2187" s="196"/>
      <c r="C2187" s="197"/>
      <c r="D2187" s="197"/>
      <c r="E2187" s="198" t="e">
        <f ca="1">mif(OR(C2187="",B2187=リスト!$C$7),"",B2187="","RF",OR(B2187=リスト!$C$5,B2187=リスト!$C$6),COUNTBLANK(INDEX(B:B,MATCH(I2187-1,I:I,0)+1,1):INDEX(B:B,MATCH(I2187,I:I,0)-1,1)),"")</f>
        <v>#NAME?</v>
      </c>
      <c r="F2187" s="199" t="s">
        <v>189</v>
      </c>
      <c r="G2187" s="140" t="e">
        <f ca="1">mif(C2187="","",OR(B2187=リスト!$C$5,B2187=リスト!$C$6),SUM(INDEX(G:G,MATCH(I2187-1,I:I,0)+1,1):INDEX(G:G,MATCH(I2187,I:I,0)-1,1)),D2187-C2187)</f>
        <v>#NAME?</v>
      </c>
      <c r="H2187" s="140" t="e">
        <f ca="1">mif(C2187="","",B2187=リスト!$C$5,SUMIF(INDEX(B:B,MATCH(I2187-1,I:I,0)+1,1):INDEX(B:B,MATCH(I2187,I:I,0)-1,1),リスト!$C$7,INDEX(G:G,MATCH(I2187-1,I:I,0)+1,1):INDEX(G:G,MATCH(I2187,I:I,0)-1,1)),"")</f>
        <v>#NAME?</v>
      </c>
      <c r="I2187" s="200" t="str">
        <f>IF(OR(B2187=リスト!$C$5,B2187=リスト!$C$6),COUNTIF($B$9:B2187,リスト!$C$5)+COUNTIF($B$9:B2187,リスト!$C$6),"")</f>
        <v/>
      </c>
    </row>
    <row r="2188" spans="2:9" x14ac:dyDescent="0.2">
      <c r="B2188" s="196"/>
      <c r="C2188" s="197"/>
      <c r="D2188" s="197"/>
      <c r="E2188" s="198" t="e">
        <f ca="1">mif(OR(C2188="",B2188=リスト!$C$7),"",B2188="","RF",OR(B2188=リスト!$C$5,B2188=リスト!$C$6),COUNTBLANK(INDEX(B:B,MATCH(I2188-1,I:I,0)+1,1):INDEX(B:B,MATCH(I2188,I:I,0)-1,1)),"")</f>
        <v>#NAME?</v>
      </c>
      <c r="F2188" s="199" t="s">
        <v>189</v>
      </c>
      <c r="G2188" s="140" t="e">
        <f ca="1">mif(C2188="","",OR(B2188=リスト!$C$5,B2188=リスト!$C$6),SUM(INDEX(G:G,MATCH(I2188-1,I:I,0)+1,1):INDEX(G:G,MATCH(I2188,I:I,0)-1,1)),D2188-C2188)</f>
        <v>#NAME?</v>
      </c>
      <c r="H2188" s="140" t="e">
        <f ca="1">mif(C2188="","",B2188=リスト!$C$5,SUMIF(INDEX(B:B,MATCH(I2188-1,I:I,0)+1,1):INDEX(B:B,MATCH(I2188,I:I,0)-1,1),リスト!$C$7,INDEX(G:G,MATCH(I2188-1,I:I,0)+1,1):INDEX(G:G,MATCH(I2188,I:I,0)-1,1)),"")</f>
        <v>#NAME?</v>
      </c>
      <c r="I2188" s="200" t="str">
        <f>IF(OR(B2188=リスト!$C$5,B2188=リスト!$C$6),COUNTIF($B$9:B2188,リスト!$C$5)+COUNTIF($B$9:B2188,リスト!$C$6),"")</f>
        <v/>
      </c>
    </row>
    <row r="2189" spans="2:9" x14ac:dyDescent="0.2">
      <c r="B2189" s="196"/>
      <c r="C2189" s="197"/>
      <c r="D2189" s="197"/>
      <c r="E2189" s="198" t="e">
        <f ca="1">mif(OR(C2189="",B2189=リスト!$C$7),"",B2189="","RF",OR(B2189=リスト!$C$5,B2189=リスト!$C$6),COUNTBLANK(INDEX(B:B,MATCH(I2189-1,I:I,0)+1,1):INDEX(B:B,MATCH(I2189,I:I,0)-1,1)),"")</f>
        <v>#NAME?</v>
      </c>
      <c r="F2189" s="199" t="s">
        <v>189</v>
      </c>
      <c r="G2189" s="140" t="e">
        <f ca="1">mif(C2189="","",OR(B2189=リスト!$C$5,B2189=リスト!$C$6),SUM(INDEX(G:G,MATCH(I2189-1,I:I,0)+1,1):INDEX(G:G,MATCH(I2189,I:I,0)-1,1)),D2189-C2189)</f>
        <v>#NAME?</v>
      </c>
      <c r="H2189" s="140" t="e">
        <f ca="1">mif(C2189="","",B2189=リスト!$C$5,SUMIF(INDEX(B:B,MATCH(I2189-1,I:I,0)+1,1):INDEX(B:B,MATCH(I2189,I:I,0)-1,1),リスト!$C$7,INDEX(G:G,MATCH(I2189-1,I:I,0)+1,1):INDEX(G:G,MATCH(I2189,I:I,0)-1,1)),"")</f>
        <v>#NAME?</v>
      </c>
      <c r="I2189" s="200" t="str">
        <f>IF(OR(B2189=リスト!$C$5,B2189=リスト!$C$6),COUNTIF($B$9:B2189,リスト!$C$5)+COUNTIF($B$9:B2189,リスト!$C$6),"")</f>
        <v/>
      </c>
    </row>
    <row r="2190" spans="2:9" x14ac:dyDescent="0.2">
      <c r="B2190" s="196"/>
      <c r="C2190" s="197"/>
      <c r="D2190" s="197"/>
      <c r="E2190" s="198" t="e">
        <f ca="1">mif(OR(C2190="",B2190=リスト!$C$7),"",B2190="","RF",OR(B2190=リスト!$C$5,B2190=リスト!$C$6),COUNTBLANK(INDEX(B:B,MATCH(I2190-1,I:I,0)+1,1):INDEX(B:B,MATCH(I2190,I:I,0)-1,1)),"")</f>
        <v>#NAME?</v>
      </c>
      <c r="F2190" s="199" t="s">
        <v>189</v>
      </c>
      <c r="G2190" s="140" t="e">
        <f ca="1">mif(C2190="","",OR(B2190=リスト!$C$5,B2190=リスト!$C$6),SUM(INDEX(G:G,MATCH(I2190-1,I:I,0)+1,1):INDEX(G:G,MATCH(I2190,I:I,0)-1,1)),D2190-C2190)</f>
        <v>#NAME?</v>
      </c>
      <c r="H2190" s="140" t="e">
        <f ca="1">mif(C2190="","",B2190=リスト!$C$5,SUMIF(INDEX(B:B,MATCH(I2190-1,I:I,0)+1,1):INDEX(B:B,MATCH(I2190,I:I,0)-1,1),リスト!$C$7,INDEX(G:G,MATCH(I2190-1,I:I,0)+1,1):INDEX(G:G,MATCH(I2190,I:I,0)-1,1)),"")</f>
        <v>#NAME?</v>
      </c>
      <c r="I2190" s="200" t="str">
        <f>IF(OR(B2190=リスト!$C$5,B2190=リスト!$C$6),COUNTIF($B$9:B2190,リスト!$C$5)+COUNTIF($B$9:B2190,リスト!$C$6),"")</f>
        <v/>
      </c>
    </row>
    <row r="2191" spans="2:9" x14ac:dyDescent="0.2">
      <c r="B2191" s="196"/>
      <c r="C2191" s="197"/>
      <c r="D2191" s="197"/>
      <c r="E2191" s="198" t="e">
        <f ca="1">mif(OR(C2191="",B2191=リスト!$C$7),"",B2191="","RF",OR(B2191=リスト!$C$5,B2191=リスト!$C$6),COUNTBLANK(INDEX(B:B,MATCH(I2191-1,I:I,0)+1,1):INDEX(B:B,MATCH(I2191,I:I,0)-1,1)),"")</f>
        <v>#NAME?</v>
      </c>
      <c r="F2191" s="199" t="s">
        <v>189</v>
      </c>
      <c r="G2191" s="140" t="e">
        <f ca="1">mif(C2191="","",OR(B2191=リスト!$C$5,B2191=リスト!$C$6),SUM(INDEX(G:G,MATCH(I2191-1,I:I,0)+1,1):INDEX(G:G,MATCH(I2191,I:I,0)-1,1)),D2191-C2191)</f>
        <v>#NAME?</v>
      </c>
      <c r="H2191" s="140" t="e">
        <f ca="1">mif(C2191="","",B2191=リスト!$C$5,SUMIF(INDEX(B:B,MATCH(I2191-1,I:I,0)+1,1):INDEX(B:B,MATCH(I2191,I:I,0)-1,1),リスト!$C$7,INDEX(G:G,MATCH(I2191-1,I:I,0)+1,1):INDEX(G:G,MATCH(I2191,I:I,0)-1,1)),"")</f>
        <v>#NAME?</v>
      </c>
      <c r="I2191" s="200" t="str">
        <f>IF(OR(B2191=リスト!$C$5,B2191=リスト!$C$6),COUNTIF($B$9:B2191,リスト!$C$5)+COUNTIF($B$9:B2191,リスト!$C$6),"")</f>
        <v/>
      </c>
    </row>
    <row r="2192" spans="2:9" x14ac:dyDescent="0.2">
      <c r="B2192" s="196"/>
      <c r="C2192" s="197"/>
      <c r="D2192" s="197"/>
      <c r="E2192" s="198" t="e">
        <f ca="1">mif(OR(C2192="",B2192=リスト!$C$7),"",B2192="","RF",OR(B2192=リスト!$C$5,B2192=リスト!$C$6),COUNTBLANK(INDEX(B:B,MATCH(I2192-1,I:I,0)+1,1):INDEX(B:B,MATCH(I2192,I:I,0)-1,1)),"")</f>
        <v>#NAME?</v>
      </c>
      <c r="F2192" s="199" t="s">
        <v>189</v>
      </c>
      <c r="G2192" s="140" t="e">
        <f ca="1">mif(C2192="","",OR(B2192=リスト!$C$5,B2192=リスト!$C$6),SUM(INDEX(G:G,MATCH(I2192-1,I:I,0)+1,1):INDEX(G:G,MATCH(I2192,I:I,0)-1,1)),D2192-C2192)</f>
        <v>#NAME?</v>
      </c>
      <c r="H2192" s="140" t="e">
        <f ca="1">mif(C2192="","",B2192=リスト!$C$5,SUMIF(INDEX(B:B,MATCH(I2192-1,I:I,0)+1,1):INDEX(B:B,MATCH(I2192,I:I,0)-1,1),リスト!$C$7,INDEX(G:G,MATCH(I2192-1,I:I,0)+1,1):INDEX(G:G,MATCH(I2192,I:I,0)-1,1)),"")</f>
        <v>#NAME?</v>
      </c>
      <c r="I2192" s="200" t="str">
        <f>IF(OR(B2192=リスト!$C$5,B2192=リスト!$C$6),COUNTIF($B$9:B2192,リスト!$C$5)+COUNTIF($B$9:B2192,リスト!$C$6),"")</f>
        <v/>
      </c>
    </row>
    <row r="2193" spans="2:9" x14ac:dyDescent="0.2">
      <c r="B2193" s="196"/>
      <c r="C2193" s="197"/>
      <c r="D2193" s="197"/>
      <c r="E2193" s="198" t="e">
        <f ca="1">mif(OR(C2193="",B2193=リスト!$C$7),"",B2193="","RF",OR(B2193=リスト!$C$5,B2193=リスト!$C$6),COUNTBLANK(INDEX(B:B,MATCH(I2193-1,I:I,0)+1,1):INDEX(B:B,MATCH(I2193,I:I,0)-1,1)),"")</f>
        <v>#NAME?</v>
      </c>
      <c r="F2193" s="199" t="s">
        <v>189</v>
      </c>
      <c r="G2193" s="140" t="e">
        <f ca="1">mif(C2193="","",OR(B2193=リスト!$C$5,B2193=リスト!$C$6),SUM(INDEX(G:G,MATCH(I2193-1,I:I,0)+1,1):INDEX(G:G,MATCH(I2193,I:I,0)-1,1)),D2193-C2193)</f>
        <v>#NAME?</v>
      </c>
      <c r="H2193" s="140" t="e">
        <f ca="1">mif(C2193="","",B2193=リスト!$C$5,SUMIF(INDEX(B:B,MATCH(I2193-1,I:I,0)+1,1):INDEX(B:B,MATCH(I2193,I:I,0)-1,1),リスト!$C$7,INDEX(G:G,MATCH(I2193-1,I:I,0)+1,1):INDEX(G:G,MATCH(I2193,I:I,0)-1,1)),"")</f>
        <v>#NAME?</v>
      </c>
      <c r="I2193" s="200" t="str">
        <f>IF(OR(B2193=リスト!$C$5,B2193=リスト!$C$6),COUNTIF($B$9:B2193,リスト!$C$5)+COUNTIF($B$9:B2193,リスト!$C$6),"")</f>
        <v/>
      </c>
    </row>
    <row r="2194" spans="2:9" x14ac:dyDescent="0.2">
      <c r="B2194" s="196"/>
      <c r="C2194" s="197"/>
      <c r="D2194" s="197"/>
      <c r="E2194" s="198" t="e">
        <f ca="1">mif(OR(C2194="",B2194=リスト!$C$7),"",B2194="","RF",OR(B2194=リスト!$C$5,B2194=リスト!$C$6),COUNTBLANK(INDEX(B:B,MATCH(I2194-1,I:I,0)+1,1):INDEX(B:B,MATCH(I2194,I:I,0)-1,1)),"")</f>
        <v>#NAME?</v>
      </c>
      <c r="F2194" s="199" t="s">
        <v>189</v>
      </c>
      <c r="G2194" s="140" t="e">
        <f ca="1">mif(C2194="","",OR(B2194=リスト!$C$5,B2194=リスト!$C$6),SUM(INDEX(G:G,MATCH(I2194-1,I:I,0)+1,1):INDEX(G:G,MATCH(I2194,I:I,0)-1,1)),D2194-C2194)</f>
        <v>#NAME?</v>
      </c>
      <c r="H2194" s="140" t="e">
        <f ca="1">mif(C2194="","",B2194=リスト!$C$5,SUMIF(INDEX(B:B,MATCH(I2194-1,I:I,0)+1,1):INDEX(B:B,MATCH(I2194,I:I,0)-1,1),リスト!$C$7,INDEX(G:G,MATCH(I2194-1,I:I,0)+1,1):INDEX(G:G,MATCH(I2194,I:I,0)-1,1)),"")</f>
        <v>#NAME?</v>
      </c>
      <c r="I2194" s="200" t="str">
        <f>IF(OR(B2194=リスト!$C$5,B2194=リスト!$C$6),COUNTIF($B$9:B2194,リスト!$C$5)+COUNTIF($B$9:B2194,リスト!$C$6),"")</f>
        <v/>
      </c>
    </row>
    <row r="2195" spans="2:9" x14ac:dyDescent="0.2">
      <c r="B2195" s="196"/>
      <c r="C2195" s="197"/>
      <c r="D2195" s="197"/>
      <c r="E2195" s="198" t="e">
        <f ca="1">mif(OR(C2195="",B2195=リスト!$C$7),"",B2195="","RF",OR(B2195=リスト!$C$5,B2195=リスト!$C$6),COUNTBLANK(INDEX(B:B,MATCH(I2195-1,I:I,0)+1,1):INDEX(B:B,MATCH(I2195,I:I,0)-1,1)),"")</f>
        <v>#NAME?</v>
      </c>
      <c r="F2195" s="199" t="s">
        <v>189</v>
      </c>
      <c r="G2195" s="140" t="e">
        <f ca="1">mif(C2195="","",OR(B2195=リスト!$C$5,B2195=リスト!$C$6),SUM(INDEX(G:G,MATCH(I2195-1,I:I,0)+1,1):INDEX(G:G,MATCH(I2195,I:I,0)-1,1)),D2195-C2195)</f>
        <v>#NAME?</v>
      </c>
      <c r="H2195" s="140" t="e">
        <f ca="1">mif(C2195="","",B2195=リスト!$C$5,SUMIF(INDEX(B:B,MATCH(I2195-1,I:I,0)+1,1):INDEX(B:B,MATCH(I2195,I:I,0)-1,1),リスト!$C$7,INDEX(G:G,MATCH(I2195-1,I:I,0)+1,1):INDEX(G:G,MATCH(I2195,I:I,0)-1,1)),"")</f>
        <v>#NAME?</v>
      </c>
      <c r="I2195" s="200" t="str">
        <f>IF(OR(B2195=リスト!$C$5,B2195=リスト!$C$6),COUNTIF($B$9:B2195,リスト!$C$5)+COUNTIF($B$9:B2195,リスト!$C$6),"")</f>
        <v/>
      </c>
    </row>
    <row r="2196" spans="2:9" x14ac:dyDescent="0.2">
      <c r="B2196" s="196"/>
      <c r="C2196" s="197"/>
      <c r="D2196" s="197"/>
      <c r="E2196" s="198" t="e">
        <f ca="1">mif(OR(C2196="",B2196=リスト!$C$7),"",B2196="","RF",OR(B2196=リスト!$C$5,B2196=リスト!$C$6),COUNTBLANK(INDEX(B:B,MATCH(I2196-1,I:I,0)+1,1):INDEX(B:B,MATCH(I2196,I:I,0)-1,1)),"")</f>
        <v>#NAME?</v>
      </c>
      <c r="F2196" s="199" t="s">
        <v>189</v>
      </c>
      <c r="G2196" s="140" t="e">
        <f ca="1">mif(C2196="","",OR(B2196=リスト!$C$5,B2196=リスト!$C$6),SUM(INDEX(G:G,MATCH(I2196-1,I:I,0)+1,1):INDEX(G:G,MATCH(I2196,I:I,0)-1,1)),D2196-C2196)</f>
        <v>#NAME?</v>
      </c>
      <c r="H2196" s="140" t="e">
        <f ca="1">mif(C2196="","",B2196=リスト!$C$5,SUMIF(INDEX(B:B,MATCH(I2196-1,I:I,0)+1,1):INDEX(B:B,MATCH(I2196,I:I,0)-1,1),リスト!$C$7,INDEX(G:G,MATCH(I2196-1,I:I,0)+1,1):INDEX(G:G,MATCH(I2196,I:I,0)-1,1)),"")</f>
        <v>#NAME?</v>
      </c>
      <c r="I2196" s="200" t="str">
        <f>IF(OR(B2196=リスト!$C$5,B2196=リスト!$C$6),COUNTIF($B$9:B2196,リスト!$C$5)+COUNTIF($B$9:B2196,リスト!$C$6),"")</f>
        <v/>
      </c>
    </row>
    <row r="2197" spans="2:9" x14ac:dyDescent="0.2">
      <c r="B2197" s="196"/>
      <c r="C2197" s="197"/>
      <c r="D2197" s="197"/>
      <c r="E2197" s="198" t="e">
        <f ca="1">mif(OR(C2197="",B2197=リスト!$C$7),"",B2197="","RF",OR(B2197=リスト!$C$5,B2197=リスト!$C$6),COUNTBLANK(INDEX(B:B,MATCH(I2197-1,I:I,0)+1,1):INDEX(B:B,MATCH(I2197,I:I,0)-1,1)),"")</f>
        <v>#NAME?</v>
      </c>
      <c r="F2197" s="199" t="s">
        <v>189</v>
      </c>
      <c r="G2197" s="140" t="e">
        <f ca="1">mif(C2197="","",OR(B2197=リスト!$C$5,B2197=リスト!$C$6),SUM(INDEX(G:G,MATCH(I2197-1,I:I,0)+1,1):INDEX(G:G,MATCH(I2197,I:I,0)-1,1)),D2197-C2197)</f>
        <v>#NAME?</v>
      </c>
      <c r="H2197" s="140" t="e">
        <f ca="1">mif(C2197="","",B2197=リスト!$C$5,SUMIF(INDEX(B:B,MATCH(I2197-1,I:I,0)+1,1):INDEX(B:B,MATCH(I2197,I:I,0)-1,1),リスト!$C$7,INDEX(G:G,MATCH(I2197-1,I:I,0)+1,1):INDEX(G:G,MATCH(I2197,I:I,0)-1,1)),"")</f>
        <v>#NAME?</v>
      </c>
      <c r="I2197" s="200" t="str">
        <f>IF(OR(B2197=リスト!$C$5,B2197=リスト!$C$6),COUNTIF($B$9:B2197,リスト!$C$5)+COUNTIF($B$9:B2197,リスト!$C$6),"")</f>
        <v/>
      </c>
    </row>
    <row r="2198" spans="2:9" x14ac:dyDescent="0.2">
      <c r="B2198" s="196"/>
      <c r="C2198" s="197"/>
      <c r="D2198" s="197"/>
      <c r="E2198" s="198" t="e">
        <f ca="1">mif(OR(C2198="",B2198=リスト!$C$7),"",B2198="","RF",OR(B2198=リスト!$C$5,B2198=リスト!$C$6),COUNTBLANK(INDEX(B:B,MATCH(I2198-1,I:I,0)+1,1):INDEX(B:B,MATCH(I2198,I:I,0)-1,1)),"")</f>
        <v>#NAME?</v>
      </c>
      <c r="F2198" s="199" t="s">
        <v>189</v>
      </c>
      <c r="G2198" s="140" t="e">
        <f ca="1">mif(C2198="","",OR(B2198=リスト!$C$5,B2198=リスト!$C$6),SUM(INDEX(G:G,MATCH(I2198-1,I:I,0)+1,1):INDEX(G:G,MATCH(I2198,I:I,0)-1,1)),D2198-C2198)</f>
        <v>#NAME?</v>
      </c>
      <c r="H2198" s="140" t="e">
        <f ca="1">mif(C2198="","",B2198=リスト!$C$5,SUMIF(INDEX(B:B,MATCH(I2198-1,I:I,0)+1,1):INDEX(B:B,MATCH(I2198,I:I,0)-1,1),リスト!$C$7,INDEX(G:G,MATCH(I2198-1,I:I,0)+1,1):INDEX(G:G,MATCH(I2198,I:I,0)-1,1)),"")</f>
        <v>#NAME?</v>
      </c>
      <c r="I2198" s="200" t="str">
        <f>IF(OR(B2198=リスト!$C$5,B2198=リスト!$C$6),COUNTIF($B$9:B2198,リスト!$C$5)+COUNTIF($B$9:B2198,リスト!$C$6),"")</f>
        <v/>
      </c>
    </row>
    <row r="2199" spans="2:9" x14ac:dyDescent="0.2">
      <c r="B2199" s="196"/>
      <c r="C2199" s="197"/>
      <c r="D2199" s="197"/>
      <c r="E2199" s="198" t="e">
        <f ca="1">mif(OR(C2199="",B2199=リスト!$C$7),"",B2199="","RF",OR(B2199=リスト!$C$5,B2199=リスト!$C$6),COUNTBLANK(INDEX(B:B,MATCH(I2199-1,I:I,0)+1,1):INDEX(B:B,MATCH(I2199,I:I,0)-1,1)),"")</f>
        <v>#NAME?</v>
      </c>
      <c r="F2199" s="199" t="s">
        <v>189</v>
      </c>
      <c r="G2199" s="140" t="e">
        <f ca="1">mif(C2199="","",OR(B2199=リスト!$C$5,B2199=リスト!$C$6),SUM(INDEX(G:G,MATCH(I2199-1,I:I,0)+1,1):INDEX(G:G,MATCH(I2199,I:I,0)-1,1)),D2199-C2199)</f>
        <v>#NAME?</v>
      </c>
      <c r="H2199" s="140" t="e">
        <f ca="1">mif(C2199="","",B2199=リスト!$C$5,SUMIF(INDEX(B:B,MATCH(I2199-1,I:I,0)+1,1):INDEX(B:B,MATCH(I2199,I:I,0)-1,1),リスト!$C$7,INDEX(G:G,MATCH(I2199-1,I:I,0)+1,1):INDEX(G:G,MATCH(I2199,I:I,0)-1,1)),"")</f>
        <v>#NAME?</v>
      </c>
      <c r="I2199" s="200" t="str">
        <f>IF(OR(B2199=リスト!$C$5,B2199=リスト!$C$6),COUNTIF($B$9:B2199,リスト!$C$5)+COUNTIF($B$9:B2199,リスト!$C$6),"")</f>
        <v/>
      </c>
    </row>
    <row r="2200" spans="2:9" x14ac:dyDescent="0.2">
      <c r="B2200" s="196"/>
      <c r="C2200" s="197"/>
      <c r="D2200" s="197"/>
      <c r="E2200" s="198" t="e">
        <f ca="1">mif(OR(C2200="",B2200=リスト!$C$7),"",B2200="","RF",OR(B2200=リスト!$C$5,B2200=リスト!$C$6),COUNTBLANK(INDEX(B:B,MATCH(I2200-1,I:I,0)+1,1):INDEX(B:B,MATCH(I2200,I:I,0)-1,1)),"")</f>
        <v>#NAME?</v>
      </c>
      <c r="F2200" s="199" t="s">
        <v>189</v>
      </c>
      <c r="G2200" s="140" t="e">
        <f ca="1">mif(C2200="","",OR(B2200=リスト!$C$5,B2200=リスト!$C$6),SUM(INDEX(G:G,MATCH(I2200-1,I:I,0)+1,1):INDEX(G:G,MATCH(I2200,I:I,0)-1,1)),D2200-C2200)</f>
        <v>#NAME?</v>
      </c>
      <c r="H2200" s="140" t="e">
        <f ca="1">mif(C2200="","",B2200=リスト!$C$5,SUMIF(INDEX(B:B,MATCH(I2200-1,I:I,0)+1,1):INDEX(B:B,MATCH(I2200,I:I,0)-1,1),リスト!$C$7,INDEX(G:G,MATCH(I2200-1,I:I,0)+1,1):INDEX(G:G,MATCH(I2200,I:I,0)-1,1)),"")</f>
        <v>#NAME?</v>
      </c>
      <c r="I2200" s="200" t="str">
        <f>IF(OR(B2200=リスト!$C$5,B2200=リスト!$C$6),COUNTIF($B$9:B2200,リスト!$C$5)+COUNTIF($B$9:B2200,リスト!$C$6),"")</f>
        <v/>
      </c>
    </row>
    <row r="2201" spans="2:9" x14ac:dyDescent="0.2">
      <c r="B2201" s="196"/>
      <c r="C2201" s="197"/>
      <c r="D2201" s="197"/>
      <c r="E2201" s="198" t="e">
        <f ca="1">mif(OR(C2201="",B2201=リスト!$C$7),"",B2201="","RF",OR(B2201=リスト!$C$5,B2201=リスト!$C$6),COUNTBLANK(INDEX(B:B,MATCH(I2201-1,I:I,0)+1,1):INDEX(B:B,MATCH(I2201,I:I,0)-1,1)),"")</f>
        <v>#NAME?</v>
      </c>
      <c r="F2201" s="199" t="s">
        <v>189</v>
      </c>
      <c r="G2201" s="140" t="e">
        <f ca="1">mif(C2201="","",OR(B2201=リスト!$C$5,B2201=リスト!$C$6),SUM(INDEX(G:G,MATCH(I2201-1,I:I,0)+1,1):INDEX(G:G,MATCH(I2201,I:I,0)-1,1)),D2201-C2201)</f>
        <v>#NAME?</v>
      </c>
      <c r="H2201" s="140" t="e">
        <f ca="1">mif(C2201="","",B2201=リスト!$C$5,SUMIF(INDEX(B:B,MATCH(I2201-1,I:I,0)+1,1):INDEX(B:B,MATCH(I2201,I:I,0)-1,1),リスト!$C$7,INDEX(G:G,MATCH(I2201-1,I:I,0)+1,1):INDEX(G:G,MATCH(I2201,I:I,0)-1,1)),"")</f>
        <v>#NAME?</v>
      </c>
      <c r="I2201" s="200" t="str">
        <f>IF(OR(B2201=リスト!$C$5,B2201=リスト!$C$6),COUNTIF($B$9:B2201,リスト!$C$5)+COUNTIF($B$9:B2201,リスト!$C$6),"")</f>
        <v/>
      </c>
    </row>
    <row r="2202" spans="2:9" x14ac:dyDescent="0.2">
      <c r="B2202" s="196"/>
      <c r="C2202" s="197"/>
      <c r="D2202" s="197"/>
      <c r="E2202" s="198" t="e">
        <f ca="1">mif(OR(C2202="",B2202=リスト!$C$7),"",B2202="","RF",OR(B2202=リスト!$C$5,B2202=リスト!$C$6),COUNTBLANK(INDEX(B:B,MATCH(I2202-1,I:I,0)+1,1):INDEX(B:B,MATCH(I2202,I:I,0)-1,1)),"")</f>
        <v>#NAME?</v>
      </c>
      <c r="F2202" s="199" t="s">
        <v>189</v>
      </c>
      <c r="G2202" s="140" t="e">
        <f ca="1">mif(C2202="","",OR(B2202=リスト!$C$5,B2202=リスト!$C$6),SUM(INDEX(G:G,MATCH(I2202-1,I:I,0)+1,1):INDEX(G:G,MATCH(I2202,I:I,0)-1,1)),D2202-C2202)</f>
        <v>#NAME?</v>
      </c>
      <c r="H2202" s="140" t="e">
        <f ca="1">mif(C2202="","",B2202=リスト!$C$5,SUMIF(INDEX(B:B,MATCH(I2202-1,I:I,0)+1,1):INDEX(B:B,MATCH(I2202,I:I,0)-1,1),リスト!$C$7,INDEX(G:G,MATCH(I2202-1,I:I,0)+1,1):INDEX(G:G,MATCH(I2202,I:I,0)-1,1)),"")</f>
        <v>#NAME?</v>
      </c>
      <c r="I2202" s="200" t="str">
        <f>IF(OR(B2202=リスト!$C$5,B2202=リスト!$C$6),COUNTIF($B$9:B2202,リスト!$C$5)+COUNTIF($B$9:B2202,リスト!$C$6),"")</f>
        <v/>
      </c>
    </row>
    <row r="2203" spans="2:9" x14ac:dyDescent="0.2">
      <c r="B2203" s="196"/>
      <c r="C2203" s="197"/>
      <c r="D2203" s="197"/>
      <c r="E2203" s="198" t="e">
        <f ca="1">mif(OR(C2203="",B2203=リスト!$C$7),"",B2203="","RF",OR(B2203=リスト!$C$5,B2203=リスト!$C$6),COUNTBLANK(INDEX(B:B,MATCH(I2203-1,I:I,0)+1,1):INDEX(B:B,MATCH(I2203,I:I,0)-1,1)),"")</f>
        <v>#NAME?</v>
      </c>
      <c r="F2203" s="199" t="s">
        <v>189</v>
      </c>
      <c r="G2203" s="140" t="e">
        <f ca="1">mif(C2203="","",OR(B2203=リスト!$C$5,B2203=リスト!$C$6),SUM(INDEX(G:G,MATCH(I2203-1,I:I,0)+1,1):INDEX(G:G,MATCH(I2203,I:I,0)-1,1)),D2203-C2203)</f>
        <v>#NAME?</v>
      </c>
      <c r="H2203" s="140" t="e">
        <f ca="1">mif(C2203="","",B2203=リスト!$C$5,SUMIF(INDEX(B:B,MATCH(I2203-1,I:I,0)+1,1):INDEX(B:B,MATCH(I2203,I:I,0)-1,1),リスト!$C$7,INDEX(G:G,MATCH(I2203-1,I:I,0)+1,1):INDEX(G:G,MATCH(I2203,I:I,0)-1,1)),"")</f>
        <v>#NAME?</v>
      </c>
      <c r="I2203" s="200" t="str">
        <f>IF(OR(B2203=リスト!$C$5,B2203=リスト!$C$6),COUNTIF($B$9:B2203,リスト!$C$5)+COUNTIF($B$9:B2203,リスト!$C$6),"")</f>
        <v/>
      </c>
    </row>
    <row r="2204" spans="2:9" x14ac:dyDescent="0.2">
      <c r="B2204" s="196"/>
      <c r="C2204" s="197"/>
      <c r="D2204" s="197"/>
      <c r="E2204" s="198" t="e">
        <f ca="1">mif(OR(C2204="",B2204=リスト!$C$7),"",B2204="","RF",OR(B2204=リスト!$C$5,B2204=リスト!$C$6),COUNTBLANK(INDEX(B:B,MATCH(I2204-1,I:I,0)+1,1):INDEX(B:B,MATCH(I2204,I:I,0)-1,1)),"")</f>
        <v>#NAME?</v>
      </c>
      <c r="F2204" s="199" t="s">
        <v>189</v>
      </c>
      <c r="G2204" s="140" t="e">
        <f ca="1">mif(C2204="","",OR(B2204=リスト!$C$5,B2204=リスト!$C$6),SUM(INDEX(G:G,MATCH(I2204-1,I:I,0)+1,1):INDEX(G:G,MATCH(I2204,I:I,0)-1,1)),D2204-C2204)</f>
        <v>#NAME?</v>
      </c>
      <c r="H2204" s="140" t="e">
        <f ca="1">mif(C2204="","",B2204=リスト!$C$5,SUMIF(INDEX(B:B,MATCH(I2204-1,I:I,0)+1,1):INDEX(B:B,MATCH(I2204,I:I,0)-1,1),リスト!$C$7,INDEX(G:G,MATCH(I2204-1,I:I,0)+1,1):INDEX(G:G,MATCH(I2204,I:I,0)-1,1)),"")</f>
        <v>#NAME?</v>
      </c>
      <c r="I2204" s="200" t="str">
        <f>IF(OR(B2204=リスト!$C$5,B2204=リスト!$C$6),COUNTIF($B$9:B2204,リスト!$C$5)+COUNTIF($B$9:B2204,リスト!$C$6),"")</f>
        <v/>
      </c>
    </row>
    <row r="2205" spans="2:9" x14ac:dyDescent="0.2">
      <c r="B2205" s="196"/>
      <c r="C2205" s="197"/>
      <c r="D2205" s="197"/>
      <c r="E2205" s="198" t="e">
        <f ca="1">mif(OR(C2205="",B2205=リスト!$C$7),"",B2205="","RF",OR(B2205=リスト!$C$5,B2205=リスト!$C$6),COUNTBLANK(INDEX(B:B,MATCH(I2205-1,I:I,0)+1,1):INDEX(B:B,MATCH(I2205,I:I,0)-1,1)),"")</f>
        <v>#NAME?</v>
      </c>
      <c r="F2205" s="199" t="s">
        <v>189</v>
      </c>
      <c r="G2205" s="140" t="e">
        <f ca="1">mif(C2205="","",OR(B2205=リスト!$C$5,B2205=リスト!$C$6),SUM(INDEX(G:G,MATCH(I2205-1,I:I,0)+1,1):INDEX(G:G,MATCH(I2205,I:I,0)-1,1)),D2205-C2205)</f>
        <v>#NAME?</v>
      </c>
      <c r="H2205" s="140" t="e">
        <f ca="1">mif(C2205="","",B2205=リスト!$C$5,SUMIF(INDEX(B:B,MATCH(I2205-1,I:I,0)+1,1):INDEX(B:B,MATCH(I2205,I:I,0)-1,1),リスト!$C$7,INDEX(G:G,MATCH(I2205-1,I:I,0)+1,1):INDEX(G:G,MATCH(I2205,I:I,0)-1,1)),"")</f>
        <v>#NAME?</v>
      </c>
      <c r="I2205" s="200" t="str">
        <f>IF(OR(B2205=リスト!$C$5,B2205=リスト!$C$6),COUNTIF($B$9:B2205,リスト!$C$5)+COUNTIF($B$9:B2205,リスト!$C$6),"")</f>
        <v/>
      </c>
    </row>
    <row r="2206" spans="2:9" x14ac:dyDescent="0.2">
      <c r="B2206" s="196"/>
      <c r="C2206" s="197"/>
      <c r="D2206" s="197"/>
      <c r="E2206" s="198" t="e">
        <f ca="1">mif(OR(C2206="",B2206=リスト!$C$7),"",B2206="","RF",OR(B2206=リスト!$C$5,B2206=リスト!$C$6),COUNTBLANK(INDEX(B:B,MATCH(I2206-1,I:I,0)+1,1):INDEX(B:B,MATCH(I2206,I:I,0)-1,1)),"")</f>
        <v>#NAME?</v>
      </c>
      <c r="F2206" s="199" t="s">
        <v>189</v>
      </c>
      <c r="G2206" s="140" t="e">
        <f ca="1">mif(C2206="","",OR(B2206=リスト!$C$5,B2206=リスト!$C$6),SUM(INDEX(G:G,MATCH(I2206-1,I:I,0)+1,1):INDEX(G:G,MATCH(I2206,I:I,0)-1,1)),D2206-C2206)</f>
        <v>#NAME?</v>
      </c>
      <c r="H2206" s="140" t="e">
        <f ca="1">mif(C2206="","",B2206=リスト!$C$5,SUMIF(INDEX(B:B,MATCH(I2206-1,I:I,0)+1,1):INDEX(B:B,MATCH(I2206,I:I,0)-1,1),リスト!$C$7,INDEX(G:G,MATCH(I2206-1,I:I,0)+1,1):INDEX(G:G,MATCH(I2206,I:I,0)-1,1)),"")</f>
        <v>#NAME?</v>
      </c>
      <c r="I2206" s="200" t="str">
        <f>IF(OR(B2206=リスト!$C$5,B2206=リスト!$C$6),COUNTIF($B$9:B2206,リスト!$C$5)+COUNTIF($B$9:B2206,リスト!$C$6),"")</f>
        <v/>
      </c>
    </row>
    <row r="2207" spans="2:9" x14ac:dyDescent="0.2">
      <c r="B2207" s="196"/>
      <c r="C2207" s="197"/>
      <c r="D2207" s="197"/>
      <c r="E2207" s="198" t="e">
        <f ca="1">mif(OR(C2207="",B2207=リスト!$C$7),"",B2207="","RF",OR(B2207=リスト!$C$5,B2207=リスト!$C$6),COUNTBLANK(INDEX(B:B,MATCH(I2207-1,I:I,0)+1,1):INDEX(B:B,MATCH(I2207,I:I,0)-1,1)),"")</f>
        <v>#NAME?</v>
      </c>
      <c r="F2207" s="199" t="s">
        <v>189</v>
      </c>
      <c r="G2207" s="140" t="e">
        <f ca="1">mif(C2207="","",OR(B2207=リスト!$C$5,B2207=リスト!$C$6),SUM(INDEX(G:G,MATCH(I2207-1,I:I,0)+1,1):INDEX(G:G,MATCH(I2207,I:I,0)-1,1)),D2207-C2207)</f>
        <v>#NAME?</v>
      </c>
      <c r="H2207" s="140" t="e">
        <f ca="1">mif(C2207="","",B2207=リスト!$C$5,SUMIF(INDEX(B:B,MATCH(I2207-1,I:I,0)+1,1):INDEX(B:B,MATCH(I2207,I:I,0)-1,1),リスト!$C$7,INDEX(G:G,MATCH(I2207-1,I:I,0)+1,1):INDEX(G:G,MATCH(I2207,I:I,0)-1,1)),"")</f>
        <v>#NAME?</v>
      </c>
      <c r="I2207" s="200" t="str">
        <f>IF(OR(B2207=リスト!$C$5,B2207=リスト!$C$6),COUNTIF($B$9:B2207,リスト!$C$5)+COUNTIF($B$9:B2207,リスト!$C$6),"")</f>
        <v/>
      </c>
    </row>
    <row r="2208" spans="2:9" x14ac:dyDescent="0.2">
      <c r="B2208" s="196"/>
      <c r="C2208" s="197"/>
      <c r="D2208" s="197"/>
      <c r="E2208" s="198" t="e">
        <f ca="1">mif(OR(C2208="",B2208=リスト!$C$7),"",B2208="","RF",OR(B2208=リスト!$C$5,B2208=リスト!$C$6),COUNTBLANK(INDEX(B:B,MATCH(I2208-1,I:I,0)+1,1):INDEX(B:B,MATCH(I2208,I:I,0)-1,1)),"")</f>
        <v>#NAME?</v>
      </c>
      <c r="F2208" s="199" t="s">
        <v>189</v>
      </c>
      <c r="G2208" s="140" t="e">
        <f ca="1">mif(C2208="","",OR(B2208=リスト!$C$5,B2208=リスト!$C$6),SUM(INDEX(G:G,MATCH(I2208-1,I:I,0)+1,1):INDEX(G:G,MATCH(I2208,I:I,0)-1,1)),D2208-C2208)</f>
        <v>#NAME?</v>
      </c>
      <c r="H2208" s="140" t="e">
        <f ca="1">mif(C2208="","",B2208=リスト!$C$5,SUMIF(INDEX(B:B,MATCH(I2208-1,I:I,0)+1,1):INDEX(B:B,MATCH(I2208,I:I,0)-1,1),リスト!$C$7,INDEX(G:G,MATCH(I2208-1,I:I,0)+1,1):INDEX(G:G,MATCH(I2208,I:I,0)-1,1)),"")</f>
        <v>#NAME?</v>
      </c>
      <c r="I2208" s="200" t="str">
        <f>IF(OR(B2208=リスト!$C$5,B2208=リスト!$C$6),COUNTIF($B$9:B2208,リスト!$C$5)+COUNTIF($B$9:B2208,リスト!$C$6),"")</f>
        <v/>
      </c>
    </row>
    <row r="2209" spans="2:9" x14ac:dyDescent="0.2">
      <c r="B2209" s="196"/>
      <c r="C2209" s="197"/>
      <c r="D2209" s="197"/>
      <c r="E2209" s="198" t="e">
        <f ca="1">mif(OR(C2209="",B2209=リスト!$C$7),"",B2209="","RF",OR(B2209=リスト!$C$5,B2209=リスト!$C$6),COUNTBLANK(INDEX(B:B,MATCH(I2209-1,I:I,0)+1,1):INDEX(B:B,MATCH(I2209,I:I,0)-1,1)),"")</f>
        <v>#NAME?</v>
      </c>
      <c r="F2209" s="199" t="s">
        <v>189</v>
      </c>
      <c r="G2209" s="140" t="e">
        <f ca="1">mif(C2209="","",OR(B2209=リスト!$C$5,B2209=リスト!$C$6),SUM(INDEX(G:G,MATCH(I2209-1,I:I,0)+1,1):INDEX(G:G,MATCH(I2209,I:I,0)-1,1)),D2209-C2209)</f>
        <v>#NAME?</v>
      </c>
      <c r="H2209" s="140" t="e">
        <f ca="1">mif(C2209="","",B2209=リスト!$C$5,SUMIF(INDEX(B:B,MATCH(I2209-1,I:I,0)+1,1):INDEX(B:B,MATCH(I2209,I:I,0)-1,1),リスト!$C$7,INDEX(G:G,MATCH(I2209-1,I:I,0)+1,1):INDEX(G:G,MATCH(I2209,I:I,0)-1,1)),"")</f>
        <v>#NAME?</v>
      </c>
      <c r="I2209" s="200" t="str">
        <f>IF(OR(B2209=リスト!$C$5,B2209=リスト!$C$6),COUNTIF($B$9:B2209,リスト!$C$5)+COUNTIF($B$9:B2209,リスト!$C$6),"")</f>
        <v/>
      </c>
    </row>
    <row r="2210" spans="2:9" x14ac:dyDescent="0.2">
      <c r="B2210" s="196"/>
      <c r="C2210" s="197"/>
      <c r="D2210" s="197"/>
      <c r="E2210" s="198" t="e">
        <f ca="1">mif(OR(C2210="",B2210=リスト!$C$7),"",B2210="","RF",OR(B2210=リスト!$C$5,B2210=リスト!$C$6),COUNTBLANK(INDEX(B:B,MATCH(I2210-1,I:I,0)+1,1):INDEX(B:B,MATCH(I2210,I:I,0)-1,1)),"")</f>
        <v>#NAME?</v>
      </c>
      <c r="F2210" s="199" t="s">
        <v>189</v>
      </c>
      <c r="G2210" s="140" t="e">
        <f ca="1">mif(C2210="","",OR(B2210=リスト!$C$5,B2210=リスト!$C$6),SUM(INDEX(G:G,MATCH(I2210-1,I:I,0)+1,1):INDEX(G:G,MATCH(I2210,I:I,0)-1,1)),D2210-C2210)</f>
        <v>#NAME?</v>
      </c>
      <c r="H2210" s="140" t="e">
        <f ca="1">mif(C2210="","",B2210=リスト!$C$5,SUMIF(INDEX(B:B,MATCH(I2210-1,I:I,0)+1,1):INDEX(B:B,MATCH(I2210,I:I,0)-1,1),リスト!$C$7,INDEX(G:G,MATCH(I2210-1,I:I,0)+1,1):INDEX(G:G,MATCH(I2210,I:I,0)-1,1)),"")</f>
        <v>#NAME?</v>
      </c>
      <c r="I2210" s="200" t="str">
        <f>IF(OR(B2210=リスト!$C$5,B2210=リスト!$C$6),COUNTIF($B$9:B2210,リスト!$C$5)+COUNTIF($B$9:B2210,リスト!$C$6),"")</f>
        <v/>
      </c>
    </row>
    <row r="2211" spans="2:9" x14ac:dyDescent="0.2">
      <c r="B2211" s="196"/>
      <c r="C2211" s="197"/>
      <c r="D2211" s="197"/>
      <c r="E2211" s="198" t="e">
        <f ca="1">mif(OR(C2211="",B2211=リスト!$C$7),"",B2211="","RF",OR(B2211=リスト!$C$5,B2211=リスト!$C$6),COUNTBLANK(INDEX(B:B,MATCH(I2211-1,I:I,0)+1,1):INDEX(B:B,MATCH(I2211,I:I,0)-1,1)),"")</f>
        <v>#NAME?</v>
      </c>
      <c r="F2211" s="199" t="s">
        <v>189</v>
      </c>
      <c r="G2211" s="140" t="e">
        <f ca="1">mif(C2211="","",OR(B2211=リスト!$C$5,B2211=リスト!$C$6),SUM(INDEX(G:G,MATCH(I2211-1,I:I,0)+1,1):INDEX(G:G,MATCH(I2211,I:I,0)-1,1)),D2211-C2211)</f>
        <v>#NAME?</v>
      </c>
      <c r="H2211" s="140" t="e">
        <f ca="1">mif(C2211="","",B2211=リスト!$C$5,SUMIF(INDEX(B:B,MATCH(I2211-1,I:I,0)+1,1):INDEX(B:B,MATCH(I2211,I:I,0)-1,1),リスト!$C$7,INDEX(G:G,MATCH(I2211-1,I:I,0)+1,1):INDEX(G:G,MATCH(I2211,I:I,0)-1,1)),"")</f>
        <v>#NAME?</v>
      </c>
      <c r="I2211" s="200" t="str">
        <f>IF(OR(B2211=リスト!$C$5,B2211=リスト!$C$6),COUNTIF($B$9:B2211,リスト!$C$5)+COUNTIF($B$9:B2211,リスト!$C$6),"")</f>
        <v/>
      </c>
    </row>
    <row r="2212" spans="2:9" x14ac:dyDescent="0.2">
      <c r="B2212" s="196"/>
      <c r="C2212" s="197"/>
      <c r="D2212" s="197"/>
      <c r="E2212" s="198" t="e">
        <f ca="1">mif(OR(C2212="",B2212=リスト!$C$7),"",B2212="","RF",OR(B2212=リスト!$C$5,B2212=リスト!$C$6),COUNTBLANK(INDEX(B:B,MATCH(I2212-1,I:I,0)+1,1):INDEX(B:B,MATCH(I2212,I:I,0)-1,1)),"")</f>
        <v>#NAME?</v>
      </c>
      <c r="F2212" s="199" t="s">
        <v>189</v>
      </c>
      <c r="G2212" s="140" t="e">
        <f ca="1">mif(C2212="","",OR(B2212=リスト!$C$5,B2212=リスト!$C$6),SUM(INDEX(G:G,MATCH(I2212-1,I:I,0)+1,1):INDEX(G:G,MATCH(I2212,I:I,0)-1,1)),D2212-C2212)</f>
        <v>#NAME?</v>
      </c>
      <c r="H2212" s="140" t="e">
        <f ca="1">mif(C2212="","",B2212=リスト!$C$5,SUMIF(INDEX(B:B,MATCH(I2212-1,I:I,0)+1,1):INDEX(B:B,MATCH(I2212,I:I,0)-1,1),リスト!$C$7,INDEX(G:G,MATCH(I2212-1,I:I,0)+1,1):INDEX(G:G,MATCH(I2212,I:I,0)-1,1)),"")</f>
        <v>#NAME?</v>
      </c>
      <c r="I2212" s="200" t="str">
        <f>IF(OR(B2212=リスト!$C$5,B2212=リスト!$C$6),COUNTIF($B$9:B2212,リスト!$C$5)+COUNTIF($B$9:B2212,リスト!$C$6),"")</f>
        <v/>
      </c>
    </row>
    <row r="2213" spans="2:9" x14ac:dyDescent="0.2">
      <c r="B2213" s="196"/>
      <c r="C2213" s="197"/>
      <c r="D2213" s="197"/>
      <c r="E2213" s="198" t="e">
        <f ca="1">mif(OR(C2213="",B2213=リスト!$C$7),"",B2213="","RF",OR(B2213=リスト!$C$5,B2213=リスト!$C$6),COUNTBLANK(INDEX(B:B,MATCH(I2213-1,I:I,0)+1,1):INDEX(B:B,MATCH(I2213,I:I,0)-1,1)),"")</f>
        <v>#NAME?</v>
      </c>
      <c r="F2213" s="199" t="s">
        <v>189</v>
      </c>
      <c r="G2213" s="140" t="e">
        <f ca="1">mif(C2213="","",OR(B2213=リスト!$C$5,B2213=リスト!$C$6),SUM(INDEX(G:G,MATCH(I2213-1,I:I,0)+1,1):INDEX(G:G,MATCH(I2213,I:I,0)-1,1)),D2213-C2213)</f>
        <v>#NAME?</v>
      </c>
      <c r="H2213" s="140" t="e">
        <f ca="1">mif(C2213="","",B2213=リスト!$C$5,SUMIF(INDEX(B:B,MATCH(I2213-1,I:I,0)+1,1):INDEX(B:B,MATCH(I2213,I:I,0)-1,1),リスト!$C$7,INDEX(G:G,MATCH(I2213-1,I:I,0)+1,1):INDEX(G:G,MATCH(I2213,I:I,0)-1,1)),"")</f>
        <v>#NAME?</v>
      </c>
      <c r="I2213" s="200" t="str">
        <f>IF(OR(B2213=リスト!$C$5,B2213=リスト!$C$6),COUNTIF($B$9:B2213,リスト!$C$5)+COUNTIF($B$9:B2213,リスト!$C$6),"")</f>
        <v/>
      </c>
    </row>
    <row r="2214" spans="2:9" x14ac:dyDescent="0.2">
      <c r="B2214" s="196"/>
      <c r="C2214" s="197"/>
      <c r="D2214" s="197"/>
      <c r="E2214" s="198" t="e">
        <f ca="1">mif(OR(C2214="",B2214=リスト!$C$7),"",B2214="","RF",OR(B2214=リスト!$C$5,B2214=リスト!$C$6),COUNTBLANK(INDEX(B:B,MATCH(I2214-1,I:I,0)+1,1):INDEX(B:B,MATCH(I2214,I:I,0)-1,1)),"")</f>
        <v>#NAME?</v>
      </c>
      <c r="F2214" s="199" t="s">
        <v>189</v>
      </c>
      <c r="G2214" s="140" t="e">
        <f ca="1">mif(C2214="","",OR(B2214=リスト!$C$5,B2214=リスト!$C$6),SUM(INDEX(G:G,MATCH(I2214-1,I:I,0)+1,1):INDEX(G:G,MATCH(I2214,I:I,0)-1,1)),D2214-C2214)</f>
        <v>#NAME?</v>
      </c>
      <c r="H2214" s="140" t="e">
        <f ca="1">mif(C2214="","",B2214=リスト!$C$5,SUMIF(INDEX(B:B,MATCH(I2214-1,I:I,0)+1,1):INDEX(B:B,MATCH(I2214,I:I,0)-1,1),リスト!$C$7,INDEX(G:G,MATCH(I2214-1,I:I,0)+1,1):INDEX(G:G,MATCH(I2214,I:I,0)-1,1)),"")</f>
        <v>#NAME?</v>
      </c>
      <c r="I2214" s="200" t="str">
        <f>IF(OR(B2214=リスト!$C$5,B2214=リスト!$C$6),COUNTIF($B$9:B2214,リスト!$C$5)+COUNTIF($B$9:B2214,リスト!$C$6),"")</f>
        <v/>
      </c>
    </row>
    <row r="2215" spans="2:9" x14ac:dyDescent="0.2">
      <c r="B2215" s="196"/>
      <c r="C2215" s="197"/>
      <c r="D2215" s="197"/>
      <c r="E2215" s="198" t="e">
        <f ca="1">mif(OR(C2215="",B2215=リスト!$C$7),"",B2215="","RF",OR(B2215=リスト!$C$5,B2215=リスト!$C$6),COUNTBLANK(INDEX(B:B,MATCH(I2215-1,I:I,0)+1,1):INDEX(B:B,MATCH(I2215,I:I,0)-1,1)),"")</f>
        <v>#NAME?</v>
      </c>
      <c r="F2215" s="199" t="s">
        <v>189</v>
      </c>
      <c r="G2215" s="140" t="e">
        <f ca="1">mif(C2215="","",OR(B2215=リスト!$C$5,B2215=リスト!$C$6),SUM(INDEX(G:G,MATCH(I2215-1,I:I,0)+1,1):INDEX(G:G,MATCH(I2215,I:I,0)-1,1)),D2215-C2215)</f>
        <v>#NAME?</v>
      </c>
      <c r="H2215" s="140" t="e">
        <f ca="1">mif(C2215="","",B2215=リスト!$C$5,SUMIF(INDEX(B:B,MATCH(I2215-1,I:I,0)+1,1):INDEX(B:B,MATCH(I2215,I:I,0)-1,1),リスト!$C$7,INDEX(G:G,MATCH(I2215-1,I:I,0)+1,1):INDEX(G:G,MATCH(I2215,I:I,0)-1,1)),"")</f>
        <v>#NAME?</v>
      </c>
      <c r="I2215" s="200" t="str">
        <f>IF(OR(B2215=リスト!$C$5,B2215=リスト!$C$6),COUNTIF($B$9:B2215,リスト!$C$5)+COUNTIF($B$9:B2215,リスト!$C$6),"")</f>
        <v/>
      </c>
    </row>
    <row r="2216" spans="2:9" x14ac:dyDescent="0.2">
      <c r="B2216" s="196"/>
      <c r="C2216" s="197"/>
      <c r="D2216" s="197"/>
      <c r="E2216" s="198" t="e">
        <f ca="1">mif(OR(C2216="",B2216=リスト!$C$7),"",B2216="","RF",OR(B2216=リスト!$C$5,B2216=リスト!$C$6),COUNTBLANK(INDEX(B:B,MATCH(I2216-1,I:I,0)+1,1):INDEX(B:B,MATCH(I2216,I:I,0)-1,1)),"")</f>
        <v>#NAME?</v>
      </c>
      <c r="F2216" s="199" t="s">
        <v>189</v>
      </c>
      <c r="G2216" s="140" t="e">
        <f ca="1">mif(C2216="","",OR(B2216=リスト!$C$5,B2216=リスト!$C$6),SUM(INDEX(G:G,MATCH(I2216-1,I:I,0)+1,1):INDEX(G:G,MATCH(I2216,I:I,0)-1,1)),D2216-C2216)</f>
        <v>#NAME?</v>
      </c>
      <c r="H2216" s="140" t="e">
        <f ca="1">mif(C2216="","",B2216=リスト!$C$5,SUMIF(INDEX(B:B,MATCH(I2216-1,I:I,0)+1,1):INDEX(B:B,MATCH(I2216,I:I,0)-1,1),リスト!$C$7,INDEX(G:G,MATCH(I2216-1,I:I,0)+1,1):INDEX(G:G,MATCH(I2216,I:I,0)-1,1)),"")</f>
        <v>#NAME?</v>
      </c>
      <c r="I2216" s="200" t="str">
        <f>IF(OR(B2216=リスト!$C$5,B2216=リスト!$C$6),COUNTIF($B$9:B2216,リスト!$C$5)+COUNTIF($B$9:B2216,リスト!$C$6),"")</f>
        <v/>
      </c>
    </row>
    <row r="2217" spans="2:9" x14ac:dyDescent="0.2">
      <c r="B2217" s="196"/>
      <c r="C2217" s="197"/>
      <c r="D2217" s="197"/>
      <c r="E2217" s="198" t="e">
        <f ca="1">mif(OR(C2217="",B2217=リスト!$C$7),"",B2217="","RF",OR(B2217=リスト!$C$5,B2217=リスト!$C$6),COUNTBLANK(INDEX(B:B,MATCH(I2217-1,I:I,0)+1,1):INDEX(B:B,MATCH(I2217,I:I,0)-1,1)),"")</f>
        <v>#NAME?</v>
      </c>
      <c r="F2217" s="199" t="s">
        <v>189</v>
      </c>
      <c r="G2217" s="140" t="e">
        <f ca="1">mif(C2217="","",OR(B2217=リスト!$C$5,B2217=リスト!$C$6),SUM(INDEX(G:G,MATCH(I2217-1,I:I,0)+1,1):INDEX(G:G,MATCH(I2217,I:I,0)-1,1)),D2217-C2217)</f>
        <v>#NAME?</v>
      </c>
      <c r="H2217" s="140" t="e">
        <f ca="1">mif(C2217="","",B2217=リスト!$C$5,SUMIF(INDEX(B:B,MATCH(I2217-1,I:I,0)+1,1):INDEX(B:B,MATCH(I2217,I:I,0)-1,1),リスト!$C$7,INDEX(G:G,MATCH(I2217-1,I:I,0)+1,1):INDEX(G:G,MATCH(I2217,I:I,0)-1,1)),"")</f>
        <v>#NAME?</v>
      </c>
      <c r="I2217" s="200" t="str">
        <f>IF(OR(B2217=リスト!$C$5,B2217=リスト!$C$6),COUNTIF($B$9:B2217,リスト!$C$5)+COUNTIF($B$9:B2217,リスト!$C$6),"")</f>
        <v/>
      </c>
    </row>
    <row r="2218" spans="2:9" x14ac:dyDescent="0.2">
      <c r="B2218" s="196"/>
      <c r="C2218" s="197"/>
      <c r="D2218" s="197"/>
      <c r="E2218" s="198" t="e">
        <f ca="1">mif(OR(C2218="",B2218=リスト!$C$7),"",B2218="","RF",OR(B2218=リスト!$C$5,B2218=リスト!$C$6),COUNTBLANK(INDEX(B:B,MATCH(I2218-1,I:I,0)+1,1):INDEX(B:B,MATCH(I2218,I:I,0)-1,1)),"")</f>
        <v>#NAME?</v>
      </c>
      <c r="F2218" s="199" t="s">
        <v>189</v>
      </c>
      <c r="G2218" s="140" t="e">
        <f ca="1">mif(C2218="","",OR(B2218=リスト!$C$5,B2218=リスト!$C$6),SUM(INDEX(G:G,MATCH(I2218-1,I:I,0)+1,1):INDEX(G:G,MATCH(I2218,I:I,0)-1,1)),D2218-C2218)</f>
        <v>#NAME?</v>
      </c>
      <c r="H2218" s="140" t="e">
        <f ca="1">mif(C2218="","",B2218=リスト!$C$5,SUMIF(INDEX(B:B,MATCH(I2218-1,I:I,0)+1,1):INDEX(B:B,MATCH(I2218,I:I,0)-1,1),リスト!$C$7,INDEX(G:G,MATCH(I2218-1,I:I,0)+1,1):INDEX(G:G,MATCH(I2218,I:I,0)-1,1)),"")</f>
        <v>#NAME?</v>
      </c>
      <c r="I2218" s="200" t="str">
        <f>IF(OR(B2218=リスト!$C$5,B2218=リスト!$C$6),COUNTIF($B$9:B2218,リスト!$C$5)+COUNTIF($B$9:B2218,リスト!$C$6),"")</f>
        <v/>
      </c>
    </row>
    <row r="2219" spans="2:9" x14ac:dyDescent="0.2">
      <c r="B2219" s="196"/>
      <c r="C2219" s="197"/>
      <c r="D2219" s="197"/>
      <c r="E2219" s="198" t="e">
        <f ca="1">mif(OR(C2219="",B2219=リスト!$C$7),"",B2219="","RF",OR(B2219=リスト!$C$5,B2219=リスト!$C$6),COUNTBLANK(INDEX(B:B,MATCH(I2219-1,I:I,0)+1,1):INDEX(B:B,MATCH(I2219,I:I,0)-1,1)),"")</f>
        <v>#NAME?</v>
      </c>
      <c r="F2219" s="199" t="s">
        <v>189</v>
      </c>
      <c r="G2219" s="140" t="e">
        <f ca="1">mif(C2219="","",OR(B2219=リスト!$C$5,B2219=リスト!$C$6),SUM(INDEX(G:G,MATCH(I2219-1,I:I,0)+1,1):INDEX(G:G,MATCH(I2219,I:I,0)-1,1)),D2219-C2219)</f>
        <v>#NAME?</v>
      </c>
      <c r="H2219" s="140" t="e">
        <f ca="1">mif(C2219="","",B2219=リスト!$C$5,SUMIF(INDEX(B:B,MATCH(I2219-1,I:I,0)+1,1):INDEX(B:B,MATCH(I2219,I:I,0)-1,1),リスト!$C$7,INDEX(G:G,MATCH(I2219-1,I:I,0)+1,1):INDEX(G:G,MATCH(I2219,I:I,0)-1,1)),"")</f>
        <v>#NAME?</v>
      </c>
      <c r="I2219" s="200" t="str">
        <f>IF(OR(B2219=リスト!$C$5,B2219=リスト!$C$6),COUNTIF($B$9:B2219,リスト!$C$5)+COUNTIF($B$9:B2219,リスト!$C$6),"")</f>
        <v/>
      </c>
    </row>
    <row r="2220" spans="2:9" x14ac:dyDescent="0.2">
      <c r="B2220" s="196"/>
      <c r="C2220" s="197"/>
      <c r="D2220" s="197"/>
      <c r="E2220" s="198" t="e">
        <f ca="1">mif(OR(C2220="",B2220=リスト!$C$7),"",B2220="","RF",OR(B2220=リスト!$C$5,B2220=リスト!$C$6),COUNTBLANK(INDEX(B:B,MATCH(I2220-1,I:I,0)+1,1):INDEX(B:B,MATCH(I2220,I:I,0)-1,1)),"")</f>
        <v>#NAME?</v>
      </c>
      <c r="F2220" s="199" t="s">
        <v>189</v>
      </c>
      <c r="G2220" s="140" t="e">
        <f ca="1">mif(C2220="","",OR(B2220=リスト!$C$5,B2220=リスト!$C$6),SUM(INDEX(G:G,MATCH(I2220-1,I:I,0)+1,1):INDEX(G:G,MATCH(I2220,I:I,0)-1,1)),D2220-C2220)</f>
        <v>#NAME?</v>
      </c>
      <c r="H2220" s="140" t="e">
        <f ca="1">mif(C2220="","",B2220=リスト!$C$5,SUMIF(INDEX(B:B,MATCH(I2220-1,I:I,0)+1,1):INDEX(B:B,MATCH(I2220,I:I,0)-1,1),リスト!$C$7,INDEX(G:G,MATCH(I2220-1,I:I,0)+1,1):INDEX(G:G,MATCH(I2220,I:I,0)-1,1)),"")</f>
        <v>#NAME?</v>
      </c>
      <c r="I2220" s="200" t="str">
        <f>IF(OR(B2220=リスト!$C$5,B2220=リスト!$C$6),COUNTIF($B$9:B2220,リスト!$C$5)+COUNTIF($B$9:B2220,リスト!$C$6),"")</f>
        <v/>
      </c>
    </row>
    <row r="2221" spans="2:9" x14ac:dyDescent="0.2">
      <c r="B2221" s="196"/>
      <c r="C2221" s="197"/>
      <c r="D2221" s="197"/>
      <c r="E2221" s="198" t="e">
        <f ca="1">mif(OR(C2221="",B2221=リスト!$C$7),"",B2221="","RF",OR(B2221=リスト!$C$5,B2221=リスト!$C$6),COUNTBLANK(INDEX(B:B,MATCH(I2221-1,I:I,0)+1,1):INDEX(B:B,MATCH(I2221,I:I,0)-1,1)),"")</f>
        <v>#NAME?</v>
      </c>
      <c r="F2221" s="199" t="s">
        <v>189</v>
      </c>
      <c r="G2221" s="140" t="e">
        <f ca="1">mif(C2221="","",OR(B2221=リスト!$C$5,B2221=リスト!$C$6),SUM(INDEX(G:G,MATCH(I2221-1,I:I,0)+1,1):INDEX(G:G,MATCH(I2221,I:I,0)-1,1)),D2221-C2221)</f>
        <v>#NAME?</v>
      </c>
      <c r="H2221" s="140" t="e">
        <f ca="1">mif(C2221="","",B2221=リスト!$C$5,SUMIF(INDEX(B:B,MATCH(I2221-1,I:I,0)+1,1):INDEX(B:B,MATCH(I2221,I:I,0)-1,1),リスト!$C$7,INDEX(G:G,MATCH(I2221-1,I:I,0)+1,1):INDEX(G:G,MATCH(I2221,I:I,0)-1,1)),"")</f>
        <v>#NAME?</v>
      </c>
      <c r="I2221" s="200" t="str">
        <f>IF(OR(B2221=リスト!$C$5,B2221=リスト!$C$6),COUNTIF($B$9:B2221,リスト!$C$5)+COUNTIF($B$9:B2221,リスト!$C$6),"")</f>
        <v/>
      </c>
    </row>
    <row r="2222" spans="2:9" x14ac:dyDescent="0.2">
      <c r="B2222" s="196"/>
      <c r="C2222" s="197"/>
      <c r="D2222" s="197"/>
      <c r="E2222" s="198" t="e">
        <f ca="1">mif(OR(C2222="",B2222=リスト!$C$7),"",B2222="","RF",OR(B2222=リスト!$C$5,B2222=リスト!$C$6),COUNTBLANK(INDEX(B:B,MATCH(I2222-1,I:I,0)+1,1):INDEX(B:B,MATCH(I2222,I:I,0)-1,1)),"")</f>
        <v>#NAME?</v>
      </c>
      <c r="F2222" s="199" t="s">
        <v>189</v>
      </c>
      <c r="G2222" s="140" t="e">
        <f ca="1">mif(C2222="","",OR(B2222=リスト!$C$5,B2222=リスト!$C$6),SUM(INDEX(G:G,MATCH(I2222-1,I:I,0)+1,1):INDEX(G:G,MATCH(I2222,I:I,0)-1,1)),D2222-C2222)</f>
        <v>#NAME?</v>
      </c>
      <c r="H2222" s="140" t="e">
        <f ca="1">mif(C2222="","",B2222=リスト!$C$5,SUMIF(INDEX(B:B,MATCH(I2222-1,I:I,0)+1,1):INDEX(B:B,MATCH(I2222,I:I,0)-1,1),リスト!$C$7,INDEX(G:G,MATCH(I2222-1,I:I,0)+1,1):INDEX(G:G,MATCH(I2222,I:I,0)-1,1)),"")</f>
        <v>#NAME?</v>
      </c>
      <c r="I2222" s="200" t="str">
        <f>IF(OR(B2222=リスト!$C$5,B2222=リスト!$C$6),COUNTIF($B$9:B2222,リスト!$C$5)+COUNTIF($B$9:B2222,リスト!$C$6),"")</f>
        <v/>
      </c>
    </row>
    <row r="2223" spans="2:9" x14ac:dyDescent="0.2">
      <c r="B2223" s="196"/>
      <c r="C2223" s="197"/>
      <c r="D2223" s="197"/>
      <c r="E2223" s="198" t="e">
        <f ca="1">mif(OR(C2223="",B2223=リスト!$C$7),"",B2223="","RF",OR(B2223=リスト!$C$5,B2223=リスト!$C$6),COUNTBLANK(INDEX(B:B,MATCH(I2223-1,I:I,0)+1,1):INDEX(B:B,MATCH(I2223,I:I,0)-1,1)),"")</f>
        <v>#NAME?</v>
      </c>
      <c r="F2223" s="199" t="s">
        <v>189</v>
      </c>
      <c r="G2223" s="140" t="e">
        <f ca="1">mif(C2223="","",OR(B2223=リスト!$C$5,B2223=リスト!$C$6),SUM(INDEX(G:G,MATCH(I2223-1,I:I,0)+1,1):INDEX(G:G,MATCH(I2223,I:I,0)-1,1)),D2223-C2223)</f>
        <v>#NAME?</v>
      </c>
      <c r="H2223" s="140" t="e">
        <f ca="1">mif(C2223="","",B2223=リスト!$C$5,SUMIF(INDEX(B:B,MATCH(I2223-1,I:I,0)+1,1):INDEX(B:B,MATCH(I2223,I:I,0)-1,1),リスト!$C$7,INDEX(G:G,MATCH(I2223-1,I:I,0)+1,1):INDEX(G:G,MATCH(I2223,I:I,0)-1,1)),"")</f>
        <v>#NAME?</v>
      </c>
      <c r="I2223" s="200" t="str">
        <f>IF(OR(B2223=リスト!$C$5,B2223=リスト!$C$6),COUNTIF($B$9:B2223,リスト!$C$5)+COUNTIF($B$9:B2223,リスト!$C$6),"")</f>
        <v/>
      </c>
    </row>
    <row r="2224" spans="2:9" x14ac:dyDescent="0.2">
      <c r="B2224" s="196"/>
      <c r="C2224" s="197"/>
      <c r="D2224" s="197"/>
      <c r="E2224" s="198" t="e">
        <f ca="1">mif(OR(C2224="",B2224=リスト!$C$7),"",B2224="","RF",OR(B2224=リスト!$C$5,B2224=リスト!$C$6),COUNTBLANK(INDEX(B:B,MATCH(I2224-1,I:I,0)+1,1):INDEX(B:B,MATCH(I2224,I:I,0)-1,1)),"")</f>
        <v>#NAME?</v>
      </c>
      <c r="F2224" s="199" t="s">
        <v>189</v>
      </c>
      <c r="G2224" s="140" t="e">
        <f ca="1">mif(C2224="","",OR(B2224=リスト!$C$5,B2224=リスト!$C$6),SUM(INDEX(G:G,MATCH(I2224-1,I:I,0)+1,1):INDEX(G:G,MATCH(I2224,I:I,0)-1,1)),D2224-C2224)</f>
        <v>#NAME?</v>
      </c>
      <c r="H2224" s="140" t="e">
        <f ca="1">mif(C2224="","",B2224=リスト!$C$5,SUMIF(INDEX(B:B,MATCH(I2224-1,I:I,0)+1,1):INDEX(B:B,MATCH(I2224,I:I,0)-1,1),リスト!$C$7,INDEX(G:G,MATCH(I2224-1,I:I,0)+1,1):INDEX(G:G,MATCH(I2224,I:I,0)-1,1)),"")</f>
        <v>#NAME?</v>
      </c>
      <c r="I2224" s="200" t="str">
        <f>IF(OR(B2224=リスト!$C$5,B2224=リスト!$C$6),COUNTIF($B$9:B2224,リスト!$C$5)+COUNTIF($B$9:B2224,リスト!$C$6),"")</f>
        <v/>
      </c>
    </row>
    <row r="2225" spans="2:9" x14ac:dyDescent="0.2">
      <c r="B2225" s="196"/>
      <c r="C2225" s="197"/>
      <c r="D2225" s="197"/>
      <c r="E2225" s="198" t="e">
        <f ca="1">mif(OR(C2225="",B2225=リスト!$C$7),"",B2225="","RF",OR(B2225=リスト!$C$5,B2225=リスト!$C$6),COUNTBLANK(INDEX(B:B,MATCH(I2225-1,I:I,0)+1,1):INDEX(B:B,MATCH(I2225,I:I,0)-1,1)),"")</f>
        <v>#NAME?</v>
      </c>
      <c r="F2225" s="199" t="s">
        <v>189</v>
      </c>
      <c r="G2225" s="140" t="e">
        <f ca="1">mif(C2225="","",OR(B2225=リスト!$C$5,B2225=リスト!$C$6),SUM(INDEX(G:G,MATCH(I2225-1,I:I,0)+1,1):INDEX(G:G,MATCH(I2225,I:I,0)-1,1)),D2225-C2225)</f>
        <v>#NAME?</v>
      </c>
      <c r="H2225" s="140" t="e">
        <f ca="1">mif(C2225="","",B2225=リスト!$C$5,SUMIF(INDEX(B:B,MATCH(I2225-1,I:I,0)+1,1):INDEX(B:B,MATCH(I2225,I:I,0)-1,1),リスト!$C$7,INDEX(G:G,MATCH(I2225-1,I:I,0)+1,1):INDEX(G:G,MATCH(I2225,I:I,0)-1,1)),"")</f>
        <v>#NAME?</v>
      </c>
      <c r="I2225" s="200" t="str">
        <f>IF(OR(B2225=リスト!$C$5,B2225=リスト!$C$6),COUNTIF($B$9:B2225,リスト!$C$5)+COUNTIF($B$9:B2225,リスト!$C$6),"")</f>
        <v/>
      </c>
    </row>
    <row r="2226" spans="2:9" x14ac:dyDescent="0.2">
      <c r="B2226" s="196"/>
      <c r="C2226" s="197"/>
      <c r="D2226" s="197"/>
      <c r="E2226" s="198" t="e">
        <f ca="1">mif(OR(C2226="",B2226=リスト!$C$7),"",B2226="","RF",OR(B2226=リスト!$C$5,B2226=リスト!$C$6),COUNTBLANK(INDEX(B:B,MATCH(I2226-1,I:I,0)+1,1):INDEX(B:B,MATCH(I2226,I:I,0)-1,1)),"")</f>
        <v>#NAME?</v>
      </c>
      <c r="F2226" s="199" t="s">
        <v>189</v>
      </c>
      <c r="G2226" s="140" t="e">
        <f ca="1">mif(C2226="","",OR(B2226=リスト!$C$5,B2226=リスト!$C$6),SUM(INDEX(G:G,MATCH(I2226-1,I:I,0)+1,1):INDEX(G:G,MATCH(I2226,I:I,0)-1,1)),D2226-C2226)</f>
        <v>#NAME?</v>
      </c>
      <c r="H2226" s="140" t="e">
        <f ca="1">mif(C2226="","",B2226=リスト!$C$5,SUMIF(INDEX(B:B,MATCH(I2226-1,I:I,0)+1,1):INDEX(B:B,MATCH(I2226,I:I,0)-1,1),リスト!$C$7,INDEX(G:G,MATCH(I2226-1,I:I,0)+1,1):INDEX(G:G,MATCH(I2226,I:I,0)-1,1)),"")</f>
        <v>#NAME?</v>
      </c>
      <c r="I2226" s="200" t="str">
        <f>IF(OR(B2226=リスト!$C$5,B2226=リスト!$C$6),COUNTIF($B$9:B2226,リスト!$C$5)+COUNTIF($B$9:B2226,リスト!$C$6),"")</f>
        <v/>
      </c>
    </row>
    <row r="2227" spans="2:9" x14ac:dyDescent="0.2">
      <c r="B2227" s="196"/>
      <c r="C2227" s="197"/>
      <c r="D2227" s="197"/>
      <c r="E2227" s="198" t="e">
        <f ca="1">mif(OR(C2227="",B2227=リスト!$C$7),"",B2227="","RF",OR(B2227=リスト!$C$5,B2227=リスト!$C$6),COUNTBLANK(INDEX(B:B,MATCH(I2227-1,I:I,0)+1,1):INDEX(B:B,MATCH(I2227,I:I,0)-1,1)),"")</f>
        <v>#NAME?</v>
      </c>
      <c r="F2227" s="199" t="s">
        <v>189</v>
      </c>
      <c r="G2227" s="140" t="e">
        <f ca="1">mif(C2227="","",OR(B2227=リスト!$C$5,B2227=リスト!$C$6),SUM(INDEX(G:G,MATCH(I2227-1,I:I,0)+1,1):INDEX(G:G,MATCH(I2227,I:I,0)-1,1)),D2227-C2227)</f>
        <v>#NAME?</v>
      </c>
      <c r="H2227" s="140" t="e">
        <f ca="1">mif(C2227="","",B2227=リスト!$C$5,SUMIF(INDEX(B:B,MATCH(I2227-1,I:I,0)+1,1):INDEX(B:B,MATCH(I2227,I:I,0)-1,1),リスト!$C$7,INDEX(G:G,MATCH(I2227-1,I:I,0)+1,1):INDEX(G:G,MATCH(I2227,I:I,0)-1,1)),"")</f>
        <v>#NAME?</v>
      </c>
      <c r="I2227" s="200" t="str">
        <f>IF(OR(B2227=リスト!$C$5,B2227=リスト!$C$6),COUNTIF($B$9:B2227,リスト!$C$5)+COUNTIF($B$9:B2227,リスト!$C$6),"")</f>
        <v/>
      </c>
    </row>
    <row r="2228" spans="2:9" x14ac:dyDescent="0.2">
      <c r="B2228" s="196"/>
      <c r="C2228" s="197"/>
      <c r="D2228" s="197"/>
      <c r="E2228" s="198" t="e">
        <f ca="1">mif(OR(C2228="",B2228=リスト!$C$7),"",B2228="","RF",OR(B2228=リスト!$C$5,B2228=リスト!$C$6),COUNTBLANK(INDEX(B:B,MATCH(I2228-1,I:I,0)+1,1):INDEX(B:B,MATCH(I2228,I:I,0)-1,1)),"")</f>
        <v>#NAME?</v>
      </c>
      <c r="F2228" s="199" t="s">
        <v>189</v>
      </c>
      <c r="G2228" s="140" t="e">
        <f ca="1">mif(C2228="","",OR(B2228=リスト!$C$5,B2228=リスト!$C$6),SUM(INDEX(G:G,MATCH(I2228-1,I:I,0)+1,1):INDEX(G:G,MATCH(I2228,I:I,0)-1,1)),D2228-C2228)</f>
        <v>#NAME?</v>
      </c>
      <c r="H2228" s="140" t="e">
        <f ca="1">mif(C2228="","",B2228=リスト!$C$5,SUMIF(INDEX(B:B,MATCH(I2228-1,I:I,0)+1,1):INDEX(B:B,MATCH(I2228,I:I,0)-1,1),リスト!$C$7,INDEX(G:G,MATCH(I2228-1,I:I,0)+1,1):INDEX(G:G,MATCH(I2228,I:I,0)-1,1)),"")</f>
        <v>#NAME?</v>
      </c>
      <c r="I2228" s="200" t="str">
        <f>IF(OR(B2228=リスト!$C$5,B2228=リスト!$C$6),COUNTIF($B$9:B2228,リスト!$C$5)+COUNTIF($B$9:B2228,リスト!$C$6),"")</f>
        <v/>
      </c>
    </row>
    <row r="2229" spans="2:9" x14ac:dyDescent="0.2">
      <c r="B2229" s="196"/>
      <c r="C2229" s="197"/>
      <c r="D2229" s="197"/>
      <c r="E2229" s="198" t="e">
        <f ca="1">mif(OR(C2229="",B2229=リスト!$C$7),"",B2229="","RF",OR(B2229=リスト!$C$5,B2229=リスト!$C$6),COUNTBLANK(INDEX(B:B,MATCH(I2229-1,I:I,0)+1,1):INDEX(B:B,MATCH(I2229,I:I,0)-1,1)),"")</f>
        <v>#NAME?</v>
      </c>
      <c r="F2229" s="199" t="s">
        <v>189</v>
      </c>
      <c r="G2229" s="140" t="e">
        <f ca="1">mif(C2229="","",OR(B2229=リスト!$C$5,B2229=リスト!$C$6),SUM(INDEX(G:G,MATCH(I2229-1,I:I,0)+1,1):INDEX(G:G,MATCH(I2229,I:I,0)-1,1)),D2229-C2229)</f>
        <v>#NAME?</v>
      </c>
      <c r="H2229" s="140" t="e">
        <f ca="1">mif(C2229="","",B2229=リスト!$C$5,SUMIF(INDEX(B:B,MATCH(I2229-1,I:I,0)+1,1):INDEX(B:B,MATCH(I2229,I:I,0)-1,1),リスト!$C$7,INDEX(G:G,MATCH(I2229-1,I:I,0)+1,1):INDEX(G:G,MATCH(I2229,I:I,0)-1,1)),"")</f>
        <v>#NAME?</v>
      </c>
      <c r="I2229" s="200" t="str">
        <f>IF(OR(B2229=リスト!$C$5,B2229=リスト!$C$6),COUNTIF($B$9:B2229,リスト!$C$5)+COUNTIF($B$9:B2229,リスト!$C$6),"")</f>
        <v/>
      </c>
    </row>
    <row r="2230" spans="2:9" x14ac:dyDescent="0.2">
      <c r="B2230" s="196"/>
      <c r="C2230" s="197"/>
      <c r="D2230" s="197"/>
      <c r="E2230" s="198" t="e">
        <f ca="1">mif(OR(C2230="",B2230=リスト!$C$7),"",B2230="","RF",OR(B2230=リスト!$C$5,B2230=リスト!$C$6),COUNTBLANK(INDEX(B:B,MATCH(I2230-1,I:I,0)+1,1):INDEX(B:B,MATCH(I2230,I:I,0)-1,1)),"")</f>
        <v>#NAME?</v>
      </c>
      <c r="F2230" s="199" t="s">
        <v>189</v>
      </c>
      <c r="G2230" s="140" t="e">
        <f ca="1">mif(C2230="","",OR(B2230=リスト!$C$5,B2230=リスト!$C$6),SUM(INDEX(G:G,MATCH(I2230-1,I:I,0)+1,1):INDEX(G:G,MATCH(I2230,I:I,0)-1,1)),D2230-C2230)</f>
        <v>#NAME?</v>
      </c>
      <c r="H2230" s="140" t="e">
        <f ca="1">mif(C2230="","",B2230=リスト!$C$5,SUMIF(INDEX(B:B,MATCH(I2230-1,I:I,0)+1,1):INDEX(B:B,MATCH(I2230,I:I,0)-1,1),リスト!$C$7,INDEX(G:G,MATCH(I2230-1,I:I,0)+1,1):INDEX(G:G,MATCH(I2230,I:I,0)-1,1)),"")</f>
        <v>#NAME?</v>
      </c>
      <c r="I2230" s="200" t="str">
        <f>IF(OR(B2230=リスト!$C$5,B2230=リスト!$C$6),COUNTIF($B$9:B2230,リスト!$C$5)+COUNTIF($B$9:B2230,リスト!$C$6),"")</f>
        <v/>
      </c>
    </row>
    <row r="2231" spans="2:9" x14ac:dyDescent="0.2">
      <c r="B2231" s="196"/>
      <c r="C2231" s="197"/>
      <c r="D2231" s="197"/>
      <c r="E2231" s="198" t="e">
        <f ca="1">mif(OR(C2231="",B2231=リスト!$C$7),"",B2231="","RF",OR(B2231=リスト!$C$5,B2231=リスト!$C$6),COUNTBLANK(INDEX(B:B,MATCH(I2231-1,I:I,0)+1,1):INDEX(B:B,MATCH(I2231,I:I,0)-1,1)),"")</f>
        <v>#NAME?</v>
      </c>
      <c r="F2231" s="199" t="s">
        <v>189</v>
      </c>
      <c r="G2231" s="140" t="e">
        <f ca="1">mif(C2231="","",OR(B2231=リスト!$C$5,B2231=リスト!$C$6),SUM(INDEX(G:G,MATCH(I2231-1,I:I,0)+1,1):INDEX(G:G,MATCH(I2231,I:I,0)-1,1)),D2231-C2231)</f>
        <v>#NAME?</v>
      </c>
      <c r="H2231" s="140" t="e">
        <f ca="1">mif(C2231="","",B2231=リスト!$C$5,SUMIF(INDEX(B:B,MATCH(I2231-1,I:I,0)+1,1):INDEX(B:B,MATCH(I2231,I:I,0)-1,1),リスト!$C$7,INDEX(G:G,MATCH(I2231-1,I:I,0)+1,1):INDEX(G:G,MATCH(I2231,I:I,0)-1,1)),"")</f>
        <v>#NAME?</v>
      </c>
      <c r="I2231" s="200" t="str">
        <f>IF(OR(B2231=リスト!$C$5,B2231=リスト!$C$6),COUNTIF($B$9:B2231,リスト!$C$5)+COUNTIF($B$9:B2231,リスト!$C$6),"")</f>
        <v/>
      </c>
    </row>
    <row r="2232" spans="2:9" x14ac:dyDescent="0.2">
      <c r="B2232" s="196"/>
      <c r="C2232" s="197"/>
      <c r="D2232" s="197"/>
      <c r="E2232" s="198" t="e">
        <f ca="1">mif(OR(C2232="",B2232=リスト!$C$7),"",B2232="","RF",OR(B2232=リスト!$C$5,B2232=リスト!$C$6),COUNTBLANK(INDEX(B:B,MATCH(I2232-1,I:I,0)+1,1):INDEX(B:B,MATCH(I2232,I:I,0)-1,1)),"")</f>
        <v>#NAME?</v>
      </c>
      <c r="F2232" s="199" t="s">
        <v>189</v>
      </c>
      <c r="G2232" s="140" t="e">
        <f ca="1">mif(C2232="","",OR(B2232=リスト!$C$5,B2232=リスト!$C$6),SUM(INDEX(G:G,MATCH(I2232-1,I:I,0)+1,1):INDEX(G:G,MATCH(I2232,I:I,0)-1,1)),D2232-C2232)</f>
        <v>#NAME?</v>
      </c>
      <c r="H2232" s="140" t="e">
        <f ca="1">mif(C2232="","",B2232=リスト!$C$5,SUMIF(INDEX(B:B,MATCH(I2232-1,I:I,0)+1,1):INDEX(B:B,MATCH(I2232,I:I,0)-1,1),リスト!$C$7,INDEX(G:G,MATCH(I2232-1,I:I,0)+1,1):INDEX(G:G,MATCH(I2232,I:I,0)-1,1)),"")</f>
        <v>#NAME?</v>
      </c>
      <c r="I2232" s="200" t="str">
        <f>IF(OR(B2232=リスト!$C$5,B2232=リスト!$C$6),COUNTIF($B$9:B2232,リスト!$C$5)+COUNTIF($B$9:B2232,リスト!$C$6),"")</f>
        <v/>
      </c>
    </row>
    <row r="2233" spans="2:9" x14ac:dyDescent="0.2">
      <c r="B2233" s="196"/>
      <c r="C2233" s="197"/>
      <c r="D2233" s="197"/>
      <c r="E2233" s="198" t="e">
        <f ca="1">mif(OR(C2233="",B2233=リスト!$C$7),"",B2233="","RF",OR(B2233=リスト!$C$5,B2233=リスト!$C$6),COUNTBLANK(INDEX(B:B,MATCH(I2233-1,I:I,0)+1,1):INDEX(B:B,MATCH(I2233,I:I,0)-1,1)),"")</f>
        <v>#NAME?</v>
      </c>
      <c r="F2233" s="199" t="s">
        <v>189</v>
      </c>
      <c r="G2233" s="140" t="e">
        <f ca="1">mif(C2233="","",OR(B2233=リスト!$C$5,B2233=リスト!$C$6),SUM(INDEX(G:G,MATCH(I2233-1,I:I,0)+1,1):INDEX(G:G,MATCH(I2233,I:I,0)-1,1)),D2233-C2233)</f>
        <v>#NAME?</v>
      </c>
      <c r="H2233" s="140" t="e">
        <f ca="1">mif(C2233="","",B2233=リスト!$C$5,SUMIF(INDEX(B:B,MATCH(I2233-1,I:I,0)+1,1):INDEX(B:B,MATCH(I2233,I:I,0)-1,1),リスト!$C$7,INDEX(G:G,MATCH(I2233-1,I:I,0)+1,1):INDEX(G:G,MATCH(I2233,I:I,0)-1,1)),"")</f>
        <v>#NAME?</v>
      </c>
      <c r="I2233" s="200" t="str">
        <f>IF(OR(B2233=リスト!$C$5,B2233=リスト!$C$6),COUNTIF($B$9:B2233,リスト!$C$5)+COUNTIF($B$9:B2233,リスト!$C$6),"")</f>
        <v/>
      </c>
    </row>
    <row r="2234" spans="2:9" x14ac:dyDescent="0.2">
      <c r="B2234" s="196"/>
      <c r="C2234" s="197"/>
      <c r="D2234" s="197"/>
      <c r="E2234" s="198" t="e">
        <f ca="1">mif(OR(C2234="",B2234=リスト!$C$7),"",B2234="","RF",OR(B2234=リスト!$C$5,B2234=リスト!$C$6),COUNTBLANK(INDEX(B:B,MATCH(I2234-1,I:I,0)+1,1):INDEX(B:B,MATCH(I2234,I:I,0)-1,1)),"")</f>
        <v>#NAME?</v>
      </c>
      <c r="F2234" s="199" t="s">
        <v>189</v>
      </c>
      <c r="G2234" s="140" t="e">
        <f ca="1">mif(C2234="","",OR(B2234=リスト!$C$5,B2234=リスト!$C$6),SUM(INDEX(G:G,MATCH(I2234-1,I:I,0)+1,1):INDEX(G:G,MATCH(I2234,I:I,0)-1,1)),D2234-C2234)</f>
        <v>#NAME?</v>
      </c>
      <c r="H2234" s="140" t="e">
        <f ca="1">mif(C2234="","",B2234=リスト!$C$5,SUMIF(INDEX(B:B,MATCH(I2234-1,I:I,0)+1,1):INDEX(B:B,MATCH(I2234,I:I,0)-1,1),リスト!$C$7,INDEX(G:G,MATCH(I2234-1,I:I,0)+1,1):INDEX(G:G,MATCH(I2234,I:I,0)-1,1)),"")</f>
        <v>#NAME?</v>
      </c>
      <c r="I2234" s="200" t="str">
        <f>IF(OR(B2234=リスト!$C$5,B2234=リスト!$C$6),COUNTIF($B$9:B2234,リスト!$C$5)+COUNTIF($B$9:B2234,リスト!$C$6),"")</f>
        <v/>
      </c>
    </row>
    <row r="2235" spans="2:9" x14ac:dyDescent="0.2">
      <c r="B2235" s="196"/>
      <c r="C2235" s="197"/>
      <c r="D2235" s="197"/>
      <c r="E2235" s="198" t="e">
        <f ca="1">mif(OR(C2235="",B2235=リスト!$C$7),"",B2235="","RF",OR(B2235=リスト!$C$5,B2235=リスト!$C$6),COUNTBLANK(INDEX(B:B,MATCH(I2235-1,I:I,0)+1,1):INDEX(B:B,MATCH(I2235,I:I,0)-1,1)),"")</f>
        <v>#NAME?</v>
      </c>
      <c r="F2235" s="199" t="s">
        <v>189</v>
      </c>
      <c r="G2235" s="140" t="e">
        <f ca="1">mif(C2235="","",OR(B2235=リスト!$C$5,B2235=リスト!$C$6),SUM(INDEX(G:G,MATCH(I2235-1,I:I,0)+1,1):INDEX(G:G,MATCH(I2235,I:I,0)-1,1)),D2235-C2235)</f>
        <v>#NAME?</v>
      </c>
      <c r="H2235" s="140" t="e">
        <f ca="1">mif(C2235="","",B2235=リスト!$C$5,SUMIF(INDEX(B:B,MATCH(I2235-1,I:I,0)+1,1):INDEX(B:B,MATCH(I2235,I:I,0)-1,1),リスト!$C$7,INDEX(G:G,MATCH(I2235-1,I:I,0)+1,1):INDEX(G:G,MATCH(I2235,I:I,0)-1,1)),"")</f>
        <v>#NAME?</v>
      </c>
      <c r="I2235" s="200" t="str">
        <f>IF(OR(B2235=リスト!$C$5,B2235=リスト!$C$6),COUNTIF($B$9:B2235,リスト!$C$5)+COUNTIF($B$9:B2235,リスト!$C$6),"")</f>
        <v/>
      </c>
    </row>
    <row r="2236" spans="2:9" x14ac:dyDescent="0.2">
      <c r="B2236" s="196"/>
      <c r="C2236" s="197"/>
      <c r="D2236" s="197"/>
      <c r="E2236" s="198" t="e">
        <f ca="1">mif(OR(C2236="",B2236=リスト!$C$7),"",B2236="","RF",OR(B2236=リスト!$C$5,B2236=リスト!$C$6),COUNTBLANK(INDEX(B:B,MATCH(I2236-1,I:I,0)+1,1):INDEX(B:B,MATCH(I2236,I:I,0)-1,1)),"")</f>
        <v>#NAME?</v>
      </c>
      <c r="F2236" s="199" t="s">
        <v>189</v>
      </c>
      <c r="G2236" s="140" t="e">
        <f ca="1">mif(C2236="","",OR(B2236=リスト!$C$5,B2236=リスト!$C$6),SUM(INDEX(G:G,MATCH(I2236-1,I:I,0)+1,1):INDEX(G:G,MATCH(I2236,I:I,0)-1,1)),D2236-C2236)</f>
        <v>#NAME?</v>
      </c>
      <c r="H2236" s="140" t="e">
        <f ca="1">mif(C2236="","",B2236=リスト!$C$5,SUMIF(INDEX(B:B,MATCH(I2236-1,I:I,0)+1,1):INDEX(B:B,MATCH(I2236,I:I,0)-1,1),リスト!$C$7,INDEX(G:G,MATCH(I2236-1,I:I,0)+1,1):INDEX(G:G,MATCH(I2236,I:I,0)-1,1)),"")</f>
        <v>#NAME?</v>
      </c>
      <c r="I2236" s="200" t="str">
        <f>IF(OR(B2236=リスト!$C$5,B2236=リスト!$C$6),COUNTIF($B$9:B2236,リスト!$C$5)+COUNTIF($B$9:B2236,リスト!$C$6),"")</f>
        <v/>
      </c>
    </row>
    <row r="2237" spans="2:9" x14ac:dyDescent="0.2">
      <c r="B2237" s="196"/>
      <c r="C2237" s="197"/>
      <c r="D2237" s="197"/>
      <c r="E2237" s="198" t="e">
        <f ca="1">mif(OR(C2237="",B2237=リスト!$C$7),"",B2237="","RF",OR(B2237=リスト!$C$5,B2237=リスト!$C$6),COUNTBLANK(INDEX(B:B,MATCH(I2237-1,I:I,0)+1,1):INDEX(B:B,MATCH(I2237,I:I,0)-1,1)),"")</f>
        <v>#NAME?</v>
      </c>
      <c r="F2237" s="199" t="s">
        <v>189</v>
      </c>
      <c r="G2237" s="140" t="e">
        <f ca="1">mif(C2237="","",OR(B2237=リスト!$C$5,B2237=リスト!$C$6),SUM(INDEX(G:G,MATCH(I2237-1,I:I,0)+1,1):INDEX(G:G,MATCH(I2237,I:I,0)-1,1)),D2237-C2237)</f>
        <v>#NAME?</v>
      </c>
      <c r="H2237" s="140" t="e">
        <f ca="1">mif(C2237="","",B2237=リスト!$C$5,SUMIF(INDEX(B:B,MATCH(I2237-1,I:I,0)+1,1):INDEX(B:B,MATCH(I2237,I:I,0)-1,1),リスト!$C$7,INDEX(G:G,MATCH(I2237-1,I:I,0)+1,1):INDEX(G:G,MATCH(I2237,I:I,0)-1,1)),"")</f>
        <v>#NAME?</v>
      </c>
      <c r="I2237" s="200" t="str">
        <f>IF(OR(B2237=リスト!$C$5,B2237=リスト!$C$6),COUNTIF($B$9:B2237,リスト!$C$5)+COUNTIF($B$9:B2237,リスト!$C$6),"")</f>
        <v/>
      </c>
    </row>
    <row r="2238" spans="2:9" x14ac:dyDescent="0.2">
      <c r="B2238" s="196"/>
      <c r="C2238" s="197"/>
      <c r="D2238" s="197"/>
      <c r="E2238" s="198" t="e">
        <f ca="1">mif(OR(C2238="",B2238=リスト!$C$7),"",B2238="","RF",OR(B2238=リスト!$C$5,B2238=リスト!$C$6),COUNTBLANK(INDEX(B:B,MATCH(I2238-1,I:I,0)+1,1):INDEX(B:B,MATCH(I2238,I:I,0)-1,1)),"")</f>
        <v>#NAME?</v>
      </c>
      <c r="F2238" s="199" t="s">
        <v>189</v>
      </c>
      <c r="G2238" s="140" t="e">
        <f ca="1">mif(C2238="","",OR(B2238=リスト!$C$5,B2238=リスト!$C$6),SUM(INDEX(G:G,MATCH(I2238-1,I:I,0)+1,1):INDEX(G:G,MATCH(I2238,I:I,0)-1,1)),D2238-C2238)</f>
        <v>#NAME?</v>
      </c>
      <c r="H2238" s="140" t="e">
        <f ca="1">mif(C2238="","",B2238=リスト!$C$5,SUMIF(INDEX(B:B,MATCH(I2238-1,I:I,0)+1,1):INDEX(B:B,MATCH(I2238,I:I,0)-1,1),リスト!$C$7,INDEX(G:G,MATCH(I2238-1,I:I,0)+1,1):INDEX(G:G,MATCH(I2238,I:I,0)-1,1)),"")</f>
        <v>#NAME?</v>
      </c>
      <c r="I2238" s="200" t="str">
        <f>IF(OR(B2238=リスト!$C$5,B2238=リスト!$C$6),COUNTIF($B$9:B2238,リスト!$C$5)+COUNTIF($B$9:B2238,リスト!$C$6),"")</f>
        <v/>
      </c>
    </row>
    <row r="2239" spans="2:9" x14ac:dyDescent="0.2">
      <c r="B2239" s="196"/>
      <c r="C2239" s="197"/>
      <c r="D2239" s="197"/>
      <c r="E2239" s="198" t="e">
        <f ca="1">mif(OR(C2239="",B2239=リスト!$C$7),"",B2239="","RF",OR(B2239=リスト!$C$5,B2239=リスト!$C$6),COUNTBLANK(INDEX(B:B,MATCH(I2239-1,I:I,0)+1,1):INDEX(B:B,MATCH(I2239,I:I,0)-1,1)),"")</f>
        <v>#NAME?</v>
      </c>
      <c r="F2239" s="199" t="s">
        <v>189</v>
      </c>
      <c r="G2239" s="140" t="e">
        <f ca="1">mif(C2239="","",OR(B2239=リスト!$C$5,B2239=リスト!$C$6),SUM(INDEX(G:G,MATCH(I2239-1,I:I,0)+1,1):INDEX(G:G,MATCH(I2239,I:I,0)-1,1)),D2239-C2239)</f>
        <v>#NAME?</v>
      </c>
      <c r="H2239" s="140" t="e">
        <f ca="1">mif(C2239="","",B2239=リスト!$C$5,SUMIF(INDEX(B:B,MATCH(I2239-1,I:I,0)+1,1):INDEX(B:B,MATCH(I2239,I:I,0)-1,1),リスト!$C$7,INDEX(G:G,MATCH(I2239-1,I:I,0)+1,1):INDEX(G:G,MATCH(I2239,I:I,0)-1,1)),"")</f>
        <v>#NAME?</v>
      </c>
      <c r="I2239" s="200" t="str">
        <f>IF(OR(B2239=リスト!$C$5,B2239=リスト!$C$6),COUNTIF($B$9:B2239,リスト!$C$5)+COUNTIF($B$9:B2239,リスト!$C$6),"")</f>
        <v/>
      </c>
    </row>
    <row r="2240" spans="2:9" x14ac:dyDescent="0.2">
      <c r="B2240" s="196"/>
      <c r="C2240" s="197"/>
      <c r="D2240" s="197"/>
      <c r="E2240" s="198" t="e">
        <f ca="1">mif(OR(C2240="",B2240=リスト!$C$7),"",B2240="","RF",OR(B2240=リスト!$C$5,B2240=リスト!$C$6),COUNTBLANK(INDEX(B:B,MATCH(I2240-1,I:I,0)+1,1):INDEX(B:B,MATCH(I2240,I:I,0)-1,1)),"")</f>
        <v>#NAME?</v>
      </c>
      <c r="F2240" s="199" t="s">
        <v>189</v>
      </c>
      <c r="G2240" s="140" t="e">
        <f ca="1">mif(C2240="","",OR(B2240=リスト!$C$5,B2240=リスト!$C$6),SUM(INDEX(G:G,MATCH(I2240-1,I:I,0)+1,1):INDEX(G:G,MATCH(I2240,I:I,0)-1,1)),D2240-C2240)</f>
        <v>#NAME?</v>
      </c>
      <c r="H2240" s="140" t="e">
        <f ca="1">mif(C2240="","",B2240=リスト!$C$5,SUMIF(INDEX(B:B,MATCH(I2240-1,I:I,0)+1,1):INDEX(B:B,MATCH(I2240,I:I,0)-1,1),リスト!$C$7,INDEX(G:G,MATCH(I2240-1,I:I,0)+1,1):INDEX(G:G,MATCH(I2240,I:I,0)-1,1)),"")</f>
        <v>#NAME?</v>
      </c>
      <c r="I2240" s="200" t="str">
        <f>IF(OR(B2240=リスト!$C$5,B2240=リスト!$C$6),COUNTIF($B$9:B2240,リスト!$C$5)+COUNTIF($B$9:B2240,リスト!$C$6),"")</f>
        <v/>
      </c>
    </row>
    <row r="2241" spans="2:9" x14ac:dyDescent="0.2">
      <c r="B2241" s="196"/>
      <c r="C2241" s="197"/>
      <c r="D2241" s="197"/>
      <c r="E2241" s="198" t="e">
        <f ca="1">mif(OR(C2241="",B2241=リスト!$C$7),"",B2241="","RF",OR(B2241=リスト!$C$5,B2241=リスト!$C$6),COUNTBLANK(INDEX(B:B,MATCH(I2241-1,I:I,0)+1,1):INDEX(B:B,MATCH(I2241,I:I,0)-1,1)),"")</f>
        <v>#NAME?</v>
      </c>
      <c r="F2241" s="199" t="s">
        <v>189</v>
      </c>
      <c r="G2241" s="140" t="e">
        <f ca="1">mif(C2241="","",OR(B2241=リスト!$C$5,B2241=リスト!$C$6),SUM(INDEX(G:G,MATCH(I2241-1,I:I,0)+1,1):INDEX(G:G,MATCH(I2241,I:I,0)-1,1)),D2241-C2241)</f>
        <v>#NAME?</v>
      </c>
      <c r="H2241" s="140" t="e">
        <f ca="1">mif(C2241="","",B2241=リスト!$C$5,SUMIF(INDEX(B:B,MATCH(I2241-1,I:I,0)+1,1):INDEX(B:B,MATCH(I2241,I:I,0)-1,1),リスト!$C$7,INDEX(G:G,MATCH(I2241-1,I:I,0)+1,1):INDEX(G:G,MATCH(I2241,I:I,0)-1,1)),"")</f>
        <v>#NAME?</v>
      </c>
      <c r="I2241" s="200" t="str">
        <f>IF(OR(B2241=リスト!$C$5,B2241=リスト!$C$6),COUNTIF($B$9:B2241,リスト!$C$5)+COUNTIF($B$9:B2241,リスト!$C$6),"")</f>
        <v/>
      </c>
    </row>
    <row r="2242" spans="2:9" x14ac:dyDescent="0.2">
      <c r="B2242" s="196"/>
      <c r="C2242" s="197"/>
      <c r="D2242" s="197"/>
      <c r="E2242" s="198" t="e">
        <f ca="1">mif(OR(C2242="",B2242=リスト!$C$7),"",B2242="","RF",OR(B2242=リスト!$C$5,B2242=リスト!$C$6),COUNTBLANK(INDEX(B:B,MATCH(I2242-1,I:I,0)+1,1):INDEX(B:B,MATCH(I2242,I:I,0)-1,1)),"")</f>
        <v>#NAME?</v>
      </c>
      <c r="F2242" s="199" t="s">
        <v>189</v>
      </c>
      <c r="G2242" s="140" t="e">
        <f ca="1">mif(C2242="","",OR(B2242=リスト!$C$5,B2242=リスト!$C$6),SUM(INDEX(G:G,MATCH(I2242-1,I:I,0)+1,1):INDEX(G:G,MATCH(I2242,I:I,0)-1,1)),D2242-C2242)</f>
        <v>#NAME?</v>
      </c>
      <c r="H2242" s="140" t="e">
        <f ca="1">mif(C2242="","",B2242=リスト!$C$5,SUMIF(INDEX(B:B,MATCH(I2242-1,I:I,0)+1,1):INDEX(B:B,MATCH(I2242,I:I,0)-1,1),リスト!$C$7,INDEX(G:G,MATCH(I2242-1,I:I,0)+1,1):INDEX(G:G,MATCH(I2242,I:I,0)-1,1)),"")</f>
        <v>#NAME?</v>
      </c>
      <c r="I2242" s="200" t="str">
        <f>IF(OR(B2242=リスト!$C$5,B2242=リスト!$C$6),COUNTIF($B$9:B2242,リスト!$C$5)+COUNTIF($B$9:B2242,リスト!$C$6),"")</f>
        <v/>
      </c>
    </row>
    <row r="2243" spans="2:9" x14ac:dyDescent="0.2">
      <c r="B2243" s="196"/>
      <c r="C2243" s="197"/>
      <c r="D2243" s="197"/>
      <c r="E2243" s="198" t="e">
        <f ca="1">mif(OR(C2243="",B2243=リスト!$C$7),"",B2243="","RF",OR(B2243=リスト!$C$5,B2243=リスト!$C$6),COUNTBLANK(INDEX(B:B,MATCH(I2243-1,I:I,0)+1,1):INDEX(B:B,MATCH(I2243,I:I,0)-1,1)),"")</f>
        <v>#NAME?</v>
      </c>
      <c r="F2243" s="199" t="s">
        <v>189</v>
      </c>
      <c r="G2243" s="140" t="e">
        <f ca="1">mif(C2243="","",OR(B2243=リスト!$C$5,B2243=リスト!$C$6),SUM(INDEX(G:G,MATCH(I2243-1,I:I,0)+1,1):INDEX(G:G,MATCH(I2243,I:I,0)-1,1)),D2243-C2243)</f>
        <v>#NAME?</v>
      </c>
      <c r="H2243" s="140" t="e">
        <f ca="1">mif(C2243="","",B2243=リスト!$C$5,SUMIF(INDEX(B:B,MATCH(I2243-1,I:I,0)+1,1):INDEX(B:B,MATCH(I2243,I:I,0)-1,1),リスト!$C$7,INDEX(G:G,MATCH(I2243-1,I:I,0)+1,1):INDEX(G:G,MATCH(I2243,I:I,0)-1,1)),"")</f>
        <v>#NAME?</v>
      </c>
      <c r="I2243" s="200" t="str">
        <f>IF(OR(B2243=リスト!$C$5,B2243=リスト!$C$6),COUNTIF($B$9:B2243,リスト!$C$5)+COUNTIF($B$9:B2243,リスト!$C$6),"")</f>
        <v/>
      </c>
    </row>
    <row r="2244" spans="2:9" x14ac:dyDescent="0.2">
      <c r="B2244" s="196"/>
      <c r="C2244" s="197"/>
      <c r="D2244" s="197"/>
      <c r="E2244" s="198" t="e">
        <f ca="1">mif(OR(C2244="",B2244=リスト!$C$7),"",B2244="","RF",OR(B2244=リスト!$C$5,B2244=リスト!$C$6),COUNTBLANK(INDEX(B:B,MATCH(I2244-1,I:I,0)+1,1):INDEX(B:B,MATCH(I2244,I:I,0)-1,1)),"")</f>
        <v>#NAME?</v>
      </c>
      <c r="F2244" s="199" t="s">
        <v>189</v>
      </c>
      <c r="G2244" s="140" t="e">
        <f ca="1">mif(C2244="","",OR(B2244=リスト!$C$5,B2244=リスト!$C$6),SUM(INDEX(G:G,MATCH(I2244-1,I:I,0)+1,1):INDEX(G:G,MATCH(I2244,I:I,0)-1,1)),D2244-C2244)</f>
        <v>#NAME?</v>
      </c>
      <c r="H2244" s="140" t="e">
        <f ca="1">mif(C2244="","",B2244=リスト!$C$5,SUMIF(INDEX(B:B,MATCH(I2244-1,I:I,0)+1,1):INDEX(B:B,MATCH(I2244,I:I,0)-1,1),リスト!$C$7,INDEX(G:G,MATCH(I2244-1,I:I,0)+1,1):INDEX(G:G,MATCH(I2244,I:I,0)-1,1)),"")</f>
        <v>#NAME?</v>
      </c>
      <c r="I2244" s="200" t="str">
        <f>IF(OR(B2244=リスト!$C$5,B2244=リスト!$C$6),COUNTIF($B$9:B2244,リスト!$C$5)+COUNTIF($B$9:B2244,リスト!$C$6),"")</f>
        <v/>
      </c>
    </row>
    <row r="2245" spans="2:9" x14ac:dyDescent="0.2">
      <c r="B2245" s="196"/>
      <c r="C2245" s="197"/>
      <c r="D2245" s="197"/>
      <c r="E2245" s="198" t="e">
        <f ca="1">mif(OR(C2245="",B2245=リスト!$C$7),"",B2245="","RF",OR(B2245=リスト!$C$5,B2245=リスト!$C$6),COUNTBLANK(INDEX(B:B,MATCH(I2245-1,I:I,0)+1,1):INDEX(B:B,MATCH(I2245,I:I,0)-1,1)),"")</f>
        <v>#NAME?</v>
      </c>
      <c r="F2245" s="199" t="s">
        <v>189</v>
      </c>
      <c r="G2245" s="140" t="e">
        <f ca="1">mif(C2245="","",OR(B2245=リスト!$C$5,B2245=リスト!$C$6),SUM(INDEX(G:G,MATCH(I2245-1,I:I,0)+1,1):INDEX(G:G,MATCH(I2245,I:I,0)-1,1)),D2245-C2245)</f>
        <v>#NAME?</v>
      </c>
      <c r="H2245" s="140" t="e">
        <f ca="1">mif(C2245="","",B2245=リスト!$C$5,SUMIF(INDEX(B:B,MATCH(I2245-1,I:I,0)+1,1):INDEX(B:B,MATCH(I2245,I:I,0)-1,1),リスト!$C$7,INDEX(G:G,MATCH(I2245-1,I:I,0)+1,1):INDEX(G:G,MATCH(I2245,I:I,0)-1,1)),"")</f>
        <v>#NAME?</v>
      </c>
      <c r="I2245" s="200" t="str">
        <f>IF(OR(B2245=リスト!$C$5,B2245=リスト!$C$6),COUNTIF($B$9:B2245,リスト!$C$5)+COUNTIF($B$9:B2245,リスト!$C$6),"")</f>
        <v/>
      </c>
    </row>
    <row r="2246" spans="2:9" x14ac:dyDescent="0.2">
      <c r="B2246" s="196"/>
      <c r="C2246" s="197"/>
      <c r="D2246" s="197"/>
      <c r="E2246" s="198" t="e">
        <f ca="1">mif(OR(C2246="",B2246=リスト!$C$7),"",B2246="","RF",OR(B2246=リスト!$C$5,B2246=リスト!$C$6),COUNTBLANK(INDEX(B:B,MATCH(I2246-1,I:I,0)+1,1):INDEX(B:B,MATCH(I2246,I:I,0)-1,1)),"")</f>
        <v>#NAME?</v>
      </c>
      <c r="F2246" s="199" t="s">
        <v>189</v>
      </c>
      <c r="G2246" s="140" t="e">
        <f ca="1">mif(C2246="","",OR(B2246=リスト!$C$5,B2246=リスト!$C$6),SUM(INDEX(G:G,MATCH(I2246-1,I:I,0)+1,1):INDEX(G:G,MATCH(I2246,I:I,0)-1,1)),D2246-C2246)</f>
        <v>#NAME?</v>
      </c>
      <c r="H2246" s="140" t="e">
        <f ca="1">mif(C2246="","",B2246=リスト!$C$5,SUMIF(INDEX(B:B,MATCH(I2246-1,I:I,0)+1,1):INDEX(B:B,MATCH(I2246,I:I,0)-1,1),リスト!$C$7,INDEX(G:G,MATCH(I2246-1,I:I,0)+1,1):INDEX(G:G,MATCH(I2246,I:I,0)-1,1)),"")</f>
        <v>#NAME?</v>
      </c>
      <c r="I2246" s="200" t="str">
        <f>IF(OR(B2246=リスト!$C$5,B2246=リスト!$C$6),COUNTIF($B$9:B2246,リスト!$C$5)+COUNTIF($B$9:B2246,リスト!$C$6),"")</f>
        <v/>
      </c>
    </row>
    <row r="2247" spans="2:9" x14ac:dyDescent="0.2">
      <c r="B2247" s="196"/>
      <c r="C2247" s="197"/>
      <c r="D2247" s="197"/>
      <c r="E2247" s="198" t="e">
        <f ca="1">mif(OR(C2247="",B2247=リスト!$C$7),"",B2247="","RF",OR(B2247=リスト!$C$5,B2247=リスト!$C$6),COUNTBLANK(INDEX(B:B,MATCH(I2247-1,I:I,0)+1,1):INDEX(B:B,MATCH(I2247,I:I,0)-1,1)),"")</f>
        <v>#NAME?</v>
      </c>
      <c r="F2247" s="199" t="s">
        <v>189</v>
      </c>
      <c r="G2247" s="140" t="e">
        <f ca="1">mif(C2247="","",OR(B2247=リスト!$C$5,B2247=リスト!$C$6),SUM(INDEX(G:G,MATCH(I2247-1,I:I,0)+1,1):INDEX(G:G,MATCH(I2247,I:I,0)-1,1)),D2247-C2247)</f>
        <v>#NAME?</v>
      </c>
      <c r="H2247" s="140" t="e">
        <f ca="1">mif(C2247="","",B2247=リスト!$C$5,SUMIF(INDEX(B:B,MATCH(I2247-1,I:I,0)+1,1):INDEX(B:B,MATCH(I2247,I:I,0)-1,1),リスト!$C$7,INDEX(G:G,MATCH(I2247-1,I:I,0)+1,1):INDEX(G:G,MATCH(I2247,I:I,0)-1,1)),"")</f>
        <v>#NAME?</v>
      </c>
      <c r="I2247" s="200" t="str">
        <f>IF(OR(B2247=リスト!$C$5,B2247=リスト!$C$6),COUNTIF($B$9:B2247,リスト!$C$5)+COUNTIF($B$9:B2247,リスト!$C$6),"")</f>
        <v/>
      </c>
    </row>
    <row r="2248" spans="2:9" x14ac:dyDescent="0.2">
      <c r="B2248" s="196"/>
      <c r="C2248" s="197"/>
      <c r="D2248" s="197"/>
      <c r="E2248" s="198" t="e">
        <f ca="1">mif(OR(C2248="",B2248=リスト!$C$7),"",B2248="","RF",OR(B2248=リスト!$C$5,B2248=リスト!$C$6),COUNTBLANK(INDEX(B:B,MATCH(I2248-1,I:I,0)+1,1):INDEX(B:B,MATCH(I2248,I:I,0)-1,1)),"")</f>
        <v>#NAME?</v>
      </c>
      <c r="F2248" s="199" t="s">
        <v>189</v>
      </c>
      <c r="G2248" s="140" t="e">
        <f ca="1">mif(C2248="","",OR(B2248=リスト!$C$5,B2248=リスト!$C$6),SUM(INDEX(G:G,MATCH(I2248-1,I:I,0)+1,1):INDEX(G:G,MATCH(I2248,I:I,0)-1,1)),D2248-C2248)</f>
        <v>#NAME?</v>
      </c>
      <c r="H2248" s="140" t="e">
        <f ca="1">mif(C2248="","",B2248=リスト!$C$5,SUMIF(INDEX(B:B,MATCH(I2248-1,I:I,0)+1,1):INDEX(B:B,MATCH(I2248,I:I,0)-1,1),リスト!$C$7,INDEX(G:G,MATCH(I2248-1,I:I,0)+1,1):INDEX(G:G,MATCH(I2248,I:I,0)-1,1)),"")</f>
        <v>#NAME?</v>
      </c>
      <c r="I2248" s="200" t="str">
        <f>IF(OR(B2248=リスト!$C$5,B2248=リスト!$C$6),COUNTIF($B$9:B2248,リスト!$C$5)+COUNTIF($B$9:B2248,リスト!$C$6),"")</f>
        <v/>
      </c>
    </row>
    <row r="2249" spans="2:9" x14ac:dyDescent="0.2">
      <c r="B2249" s="196"/>
      <c r="C2249" s="197"/>
      <c r="D2249" s="197"/>
      <c r="E2249" s="198" t="e">
        <f ca="1">mif(OR(C2249="",B2249=リスト!$C$7),"",B2249="","RF",OR(B2249=リスト!$C$5,B2249=リスト!$C$6),COUNTBLANK(INDEX(B:B,MATCH(I2249-1,I:I,0)+1,1):INDEX(B:B,MATCH(I2249,I:I,0)-1,1)),"")</f>
        <v>#NAME?</v>
      </c>
      <c r="F2249" s="199" t="s">
        <v>189</v>
      </c>
      <c r="G2249" s="140" t="e">
        <f ca="1">mif(C2249="","",OR(B2249=リスト!$C$5,B2249=リスト!$C$6),SUM(INDEX(G:G,MATCH(I2249-1,I:I,0)+1,1):INDEX(G:G,MATCH(I2249,I:I,0)-1,1)),D2249-C2249)</f>
        <v>#NAME?</v>
      </c>
      <c r="H2249" s="140" t="e">
        <f ca="1">mif(C2249="","",B2249=リスト!$C$5,SUMIF(INDEX(B:B,MATCH(I2249-1,I:I,0)+1,1):INDEX(B:B,MATCH(I2249,I:I,0)-1,1),リスト!$C$7,INDEX(G:G,MATCH(I2249-1,I:I,0)+1,1):INDEX(G:G,MATCH(I2249,I:I,0)-1,1)),"")</f>
        <v>#NAME?</v>
      </c>
      <c r="I2249" s="200" t="str">
        <f>IF(OR(B2249=リスト!$C$5,B2249=リスト!$C$6),COUNTIF($B$9:B2249,リスト!$C$5)+COUNTIF($B$9:B2249,リスト!$C$6),"")</f>
        <v/>
      </c>
    </row>
    <row r="2250" spans="2:9" x14ac:dyDescent="0.2">
      <c r="B2250" s="196"/>
      <c r="C2250" s="197"/>
      <c r="D2250" s="197"/>
      <c r="E2250" s="198" t="e">
        <f ca="1">mif(OR(C2250="",B2250=リスト!$C$7),"",B2250="","RF",OR(B2250=リスト!$C$5,B2250=リスト!$C$6),COUNTBLANK(INDEX(B:B,MATCH(I2250-1,I:I,0)+1,1):INDEX(B:B,MATCH(I2250,I:I,0)-1,1)),"")</f>
        <v>#NAME?</v>
      </c>
      <c r="F2250" s="199" t="s">
        <v>189</v>
      </c>
      <c r="G2250" s="140" t="e">
        <f ca="1">mif(C2250="","",OR(B2250=リスト!$C$5,B2250=リスト!$C$6),SUM(INDEX(G:G,MATCH(I2250-1,I:I,0)+1,1):INDEX(G:G,MATCH(I2250,I:I,0)-1,1)),D2250-C2250)</f>
        <v>#NAME?</v>
      </c>
      <c r="H2250" s="140" t="e">
        <f ca="1">mif(C2250="","",B2250=リスト!$C$5,SUMIF(INDEX(B:B,MATCH(I2250-1,I:I,0)+1,1):INDEX(B:B,MATCH(I2250,I:I,0)-1,1),リスト!$C$7,INDEX(G:G,MATCH(I2250-1,I:I,0)+1,1):INDEX(G:G,MATCH(I2250,I:I,0)-1,1)),"")</f>
        <v>#NAME?</v>
      </c>
      <c r="I2250" s="200" t="str">
        <f>IF(OR(B2250=リスト!$C$5,B2250=リスト!$C$6),COUNTIF($B$9:B2250,リスト!$C$5)+COUNTIF($B$9:B2250,リスト!$C$6),"")</f>
        <v/>
      </c>
    </row>
    <row r="2251" spans="2:9" x14ac:dyDescent="0.2">
      <c r="B2251" s="196"/>
      <c r="C2251" s="197"/>
      <c r="D2251" s="197"/>
      <c r="E2251" s="198" t="e">
        <f ca="1">mif(OR(C2251="",B2251=リスト!$C$7),"",B2251="","RF",OR(B2251=リスト!$C$5,B2251=リスト!$C$6),COUNTBLANK(INDEX(B:B,MATCH(I2251-1,I:I,0)+1,1):INDEX(B:B,MATCH(I2251,I:I,0)-1,1)),"")</f>
        <v>#NAME?</v>
      </c>
      <c r="F2251" s="199" t="s">
        <v>189</v>
      </c>
      <c r="G2251" s="140" t="e">
        <f ca="1">mif(C2251="","",OR(B2251=リスト!$C$5,B2251=リスト!$C$6),SUM(INDEX(G:G,MATCH(I2251-1,I:I,0)+1,1):INDEX(G:G,MATCH(I2251,I:I,0)-1,1)),D2251-C2251)</f>
        <v>#NAME?</v>
      </c>
      <c r="H2251" s="140" t="e">
        <f ca="1">mif(C2251="","",B2251=リスト!$C$5,SUMIF(INDEX(B:B,MATCH(I2251-1,I:I,0)+1,1):INDEX(B:B,MATCH(I2251,I:I,0)-1,1),リスト!$C$7,INDEX(G:G,MATCH(I2251-1,I:I,0)+1,1):INDEX(G:G,MATCH(I2251,I:I,0)-1,1)),"")</f>
        <v>#NAME?</v>
      </c>
      <c r="I2251" s="200" t="str">
        <f>IF(OR(B2251=リスト!$C$5,B2251=リスト!$C$6),COUNTIF($B$9:B2251,リスト!$C$5)+COUNTIF($B$9:B2251,リスト!$C$6),"")</f>
        <v/>
      </c>
    </row>
    <row r="2252" spans="2:9" x14ac:dyDescent="0.2">
      <c r="B2252" s="196"/>
      <c r="C2252" s="197"/>
      <c r="D2252" s="197"/>
      <c r="E2252" s="198" t="e">
        <f ca="1">mif(OR(C2252="",B2252=リスト!$C$7),"",B2252="","RF",OR(B2252=リスト!$C$5,B2252=リスト!$C$6),COUNTBLANK(INDEX(B:B,MATCH(I2252-1,I:I,0)+1,1):INDEX(B:B,MATCH(I2252,I:I,0)-1,1)),"")</f>
        <v>#NAME?</v>
      </c>
      <c r="F2252" s="199" t="s">
        <v>189</v>
      </c>
      <c r="G2252" s="140" t="e">
        <f ca="1">mif(C2252="","",OR(B2252=リスト!$C$5,B2252=リスト!$C$6),SUM(INDEX(G:G,MATCH(I2252-1,I:I,0)+1,1):INDEX(G:G,MATCH(I2252,I:I,0)-1,1)),D2252-C2252)</f>
        <v>#NAME?</v>
      </c>
      <c r="H2252" s="140" t="e">
        <f ca="1">mif(C2252="","",B2252=リスト!$C$5,SUMIF(INDEX(B:B,MATCH(I2252-1,I:I,0)+1,1):INDEX(B:B,MATCH(I2252,I:I,0)-1,1),リスト!$C$7,INDEX(G:G,MATCH(I2252-1,I:I,0)+1,1):INDEX(G:G,MATCH(I2252,I:I,0)-1,1)),"")</f>
        <v>#NAME?</v>
      </c>
      <c r="I2252" s="200" t="str">
        <f>IF(OR(B2252=リスト!$C$5,B2252=リスト!$C$6),COUNTIF($B$9:B2252,リスト!$C$5)+COUNTIF($B$9:B2252,リスト!$C$6),"")</f>
        <v/>
      </c>
    </row>
    <row r="2253" spans="2:9" x14ac:dyDescent="0.2">
      <c r="B2253" s="196"/>
      <c r="C2253" s="197"/>
      <c r="D2253" s="197"/>
      <c r="E2253" s="198" t="e">
        <f ca="1">mif(OR(C2253="",B2253=リスト!$C$7),"",B2253="","RF",OR(B2253=リスト!$C$5,B2253=リスト!$C$6),COUNTBLANK(INDEX(B:B,MATCH(I2253-1,I:I,0)+1,1):INDEX(B:B,MATCH(I2253,I:I,0)-1,1)),"")</f>
        <v>#NAME?</v>
      </c>
      <c r="F2253" s="199" t="s">
        <v>189</v>
      </c>
      <c r="G2253" s="140" t="e">
        <f ca="1">mif(C2253="","",OR(B2253=リスト!$C$5,B2253=リスト!$C$6),SUM(INDEX(G:G,MATCH(I2253-1,I:I,0)+1,1):INDEX(G:G,MATCH(I2253,I:I,0)-1,1)),D2253-C2253)</f>
        <v>#NAME?</v>
      </c>
      <c r="H2253" s="140" t="e">
        <f ca="1">mif(C2253="","",B2253=リスト!$C$5,SUMIF(INDEX(B:B,MATCH(I2253-1,I:I,0)+1,1):INDEX(B:B,MATCH(I2253,I:I,0)-1,1),リスト!$C$7,INDEX(G:G,MATCH(I2253-1,I:I,0)+1,1):INDEX(G:G,MATCH(I2253,I:I,0)-1,1)),"")</f>
        <v>#NAME?</v>
      </c>
      <c r="I2253" s="200" t="str">
        <f>IF(OR(B2253=リスト!$C$5,B2253=リスト!$C$6),COUNTIF($B$9:B2253,リスト!$C$5)+COUNTIF($B$9:B2253,リスト!$C$6),"")</f>
        <v/>
      </c>
    </row>
    <row r="2254" spans="2:9" x14ac:dyDescent="0.2">
      <c r="B2254" s="196"/>
      <c r="C2254" s="197"/>
      <c r="D2254" s="197"/>
      <c r="E2254" s="198" t="e">
        <f ca="1">mif(OR(C2254="",B2254=リスト!$C$7),"",B2254="","RF",OR(B2254=リスト!$C$5,B2254=リスト!$C$6),COUNTBLANK(INDEX(B:B,MATCH(I2254-1,I:I,0)+1,1):INDEX(B:B,MATCH(I2254,I:I,0)-1,1)),"")</f>
        <v>#NAME?</v>
      </c>
      <c r="F2254" s="199" t="s">
        <v>189</v>
      </c>
      <c r="G2254" s="140" t="e">
        <f ca="1">mif(C2254="","",OR(B2254=リスト!$C$5,B2254=リスト!$C$6),SUM(INDEX(G:G,MATCH(I2254-1,I:I,0)+1,1):INDEX(G:G,MATCH(I2254,I:I,0)-1,1)),D2254-C2254)</f>
        <v>#NAME?</v>
      </c>
      <c r="H2254" s="140" t="e">
        <f ca="1">mif(C2254="","",B2254=リスト!$C$5,SUMIF(INDEX(B:B,MATCH(I2254-1,I:I,0)+1,1):INDEX(B:B,MATCH(I2254,I:I,0)-1,1),リスト!$C$7,INDEX(G:G,MATCH(I2254-1,I:I,0)+1,1):INDEX(G:G,MATCH(I2254,I:I,0)-1,1)),"")</f>
        <v>#NAME?</v>
      </c>
      <c r="I2254" s="200" t="str">
        <f>IF(OR(B2254=リスト!$C$5,B2254=リスト!$C$6),COUNTIF($B$9:B2254,リスト!$C$5)+COUNTIF($B$9:B2254,リスト!$C$6),"")</f>
        <v/>
      </c>
    </row>
    <row r="2255" spans="2:9" x14ac:dyDescent="0.2">
      <c r="B2255" s="196"/>
      <c r="C2255" s="197"/>
      <c r="D2255" s="197"/>
      <c r="E2255" s="198" t="e">
        <f ca="1">mif(OR(C2255="",B2255=リスト!$C$7),"",B2255="","RF",OR(B2255=リスト!$C$5,B2255=リスト!$C$6),COUNTBLANK(INDEX(B:B,MATCH(I2255-1,I:I,0)+1,1):INDEX(B:B,MATCH(I2255,I:I,0)-1,1)),"")</f>
        <v>#NAME?</v>
      </c>
      <c r="F2255" s="199" t="s">
        <v>189</v>
      </c>
      <c r="G2255" s="140" t="e">
        <f ca="1">mif(C2255="","",OR(B2255=リスト!$C$5,B2255=リスト!$C$6),SUM(INDEX(G:G,MATCH(I2255-1,I:I,0)+1,1):INDEX(G:G,MATCH(I2255,I:I,0)-1,1)),D2255-C2255)</f>
        <v>#NAME?</v>
      </c>
      <c r="H2255" s="140" t="e">
        <f ca="1">mif(C2255="","",B2255=リスト!$C$5,SUMIF(INDEX(B:B,MATCH(I2255-1,I:I,0)+1,1):INDEX(B:B,MATCH(I2255,I:I,0)-1,1),リスト!$C$7,INDEX(G:G,MATCH(I2255-1,I:I,0)+1,1):INDEX(G:G,MATCH(I2255,I:I,0)-1,1)),"")</f>
        <v>#NAME?</v>
      </c>
      <c r="I2255" s="200" t="str">
        <f>IF(OR(B2255=リスト!$C$5,B2255=リスト!$C$6),COUNTIF($B$9:B2255,リスト!$C$5)+COUNTIF($B$9:B2255,リスト!$C$6),"")</f>
        <v/>
      </c>
    </row>
    <row r="2256" spans="2:9" x14ac:dyDescent="0.2">
      <c r="B2256" s="196"/>
      <c r="C2256" s="197"/>
      <c r="D2256" s="197"/>
      <c r="E2256" s="198" t="e">
        <f ca="1">mif(OR(C2256="",B2256=リスト!$C$7),"",B2256="","RF",OR(B2256=リスト!$C$5,B2256=リスト!$C$6),COUNTBLANK(INDEX(B:B,MATCH(I2256-1,I:I,0)+1,1):INDEX(B:B,MATCH(I2256,I:I,0)-1,1)),"")</f>
        <v>#NAME?</v>
      </c>
      <c r="F2256" s="199" t="s">
        <v>189</v>
      </c>
      <c r="G2256" s="140" t="e">
        <f ca="1">mif(C2256="","",OR(B2256=リスト!$C$5,B2256=リスト!$C$6),SUM(INDEX(G:G,MATCH(I2256-1,I:I,0)+1,1):INDEX(G:G,MATCH(I2256,I:I,0)-1,1)),D2256-C2256)</f>
        <v>#NAME?</v>
      </c>
      <c r="H2256" s="140" t="e">
        <f ca="1">mif(C2256="","",B2256=リスト!$C$5,SUMIF(INDEX(B:B,MATCH(I2256-1,I:I,0)+1,1):INDEX(B:B,MATCH(I2256,I:I,0)-1,1),リスト!$C$7,INDEX(G:G,MATCH(I2256-1,I:I,0)+1,1):INDEX(G:G,MATCH(I2256,I:I,0)-1,1)),"")</f>
        <v>#NAME?</v>
      </c>
      <c r="I2256" s="200" t="str">
        <f>IF(OR(B2256=リスト!$C$5,B2256=リスト!$C$6),COUNTIF($B$9:B2256,リスト!$C$5)+COUNTIF($B$9:B2256,リスト!$C$6),"")</f>
        <v/>
      </c>
    </row>
    <row r="2257" spans="2:9" x14ac:dyDescent="0.2">
      <c r="B2257" s="196"/>
      <c r="C2257" s="197"/>
      <c r="D2257" s="197"/>
      <c r="E2257" s="198" t="e">
        <f ca="1">mif(OR(C2257="",B2257=リスト!$C$7),"",B2257="","RF",OR(B2257=リスト!$C$5,B2257=リスト!$C$6),COUNTBLANK(INDEX(B:B,MATCH(I2257-1,I:I,0)+1,1):INDEX(B:B,MATCH(I2257,I:I,0)-1,1)),"")</f>
        <v>#NAME?</v>
      </c>
      <c r="F2257" s="199" t="s">
        <v>189</v>
      </c>
      <c r="G2257" s="140" t="e">
        <f ca="1">mif(C2257="","",OR(B2257=リスト!$C$5,B2257=リスト!$C$6),SUM(INDEX(G:G,MATCH(I2257-1,I:I,0)+1,1):INDEX(G:G,MATCH(I2257,I:I,0)-1,1)),D2257-C2257)</f>
        <v>#NAME?</v>
      </c>
      <c r="H2257" s="140" t="e">
        <f ca="1">mif(C2257="","",B2257=リスト!$C$5,SUMIF(INDEX(B:B,MATCH(I2257-1,I:I,0)+1,1):INDEX(B:B,MATCH(I2257,I:I,0)-1,1),リスト!$C$7,INDEX(G:G,MATCH(I2257-1,I:I,0)+1,1):INDEX(G:G,MATCH(I2257,I:I,0)-1,1)),"")</f>
        <v>#NAME?</v>
      </c>
      <c r="I2257" s="200" t="str">
        <f>IF(OR(B2257=リスト!$C$5,B2257=リスト!$C$6),COUNTIF($B$9:B2257,リスト!$C$5)+COUNTIF($B$9:B2257,リスト!$C$6),"")</f>
        <v/>
      </c>
    </row>
    <row r="2258" spans="2:9" x14ac:dyDescent="0.2">
      <c r="B2258" s="196"/>
      <c r="C2258" s="197"/>
      <c r="D2258" s="197"/>
      <c r="E2258" s="198" t="e">
        <f ca="1">mif(OR(C2258="",B2258=リスト!$C$7),"",B2258="","RF",OR(B2258=リスト!$C$5,B2258=リスト!$C$6),COUNTBLANK(INDEX(B:B,MATCH(I2258-1,I:I,0)+1,1):INDEX(B:B,MATCH(I2258,I:I,0)-1,1)),"")</f>
        <v>#NAME?</v>
      </c>
      <c r="F2258" s="199" t="s">
        <v>189</v>
      </c>
      <c r="G2258" s="140" t="e">
        <f ca="1">mif(C2258="","",OR(B2258=リスト!$C$5,B2258=リスト!$C$6),SUM(INDEX(G:G,MATCH(I2258-1,I:I,0)+1,1):INDEX(G:G,MATCH(I2258,I:I,0)-1,1)),D2258-C2258)</f>
        <v>#NAME?</v>
      </c>
      <c r="H2258" s="140" t="e">
        <f ca="1">mif(C2258="","",B2258=リスト!$C$5,SUMIF(INDEX(B:B,MATCH(I2258-1,I:I,0)+1,1):INDEX(B:B,MATCH(I2258,I:I,0)-1,1),リスト!$C$7,INDEX(G:G,MATCH(I2258-1,I:I,0)+1,1):INDEX(G:G,MATCH(I2258,I:I,0)-1,1)),"")</f>
        <v>#NAME?</v>
      </c>
      <c r="I2258" s="200" t="str">
        <f>IF(OR(B2258=リスト!$C$5,B2258=リスト!$C$6),COUNTIF($B$9:B2258,リスト!$C$5)+COUNTIF($B$9:B2258,リスト!$C$6),"")</f>
        <v/>
      </c>
    </row>
    <row r="2259" spans="2:9" x14ac:dyDescent="0.2">
      <c r="B2259" s="196"/>
      <c r="C2259" s="197"/>
      <c r="D2259" s="197"/>
      <c r="E2259" s="198" t="e">
        <f ca="1">mif(OR(C2259="",B2259=リスト!$C$7),"",B2259="","RF",OR(B2259=リスト!$C$5,B2259=リスト!$C$6),COUNTBLANK(INDEX(B:B,MATCH(I2259-1,I:I,0)+1,1):INDEX(B:B,MATCH(I2259,I:I,0)-1,1)),"")</f>
        <v>#NAME?</v>
      </c>
      <c r="F2259" s="199" t="s">
        <v>189</v>
      </c>
      <c r="G2259" s="140" t="e">
        <f ca="1">mif(C2259="","",OR(B2259=リスト!$C$5,B2259=リスト!$C$6),SUM(INDEX(G:G,MATCH(I2259-1,I:I,0)+1,1):INDEX(G:G,MATCH(I2259,I:I,0)-1,1)),D2259-C2259)</f>
        <v>#NAME?</v>
      </c>
      <c r="H2259" s="140" t="e">
        <f ca="1">mif(C2259="","",B2259=リスト!$C$5,SUMIF(INDEX(B:B,MATCH(I2259-1,I:I,0)+1,1):INDEX(B:B,MATCH(I2259,I:I,0)-1,1),リスト!$C$7,INDEX(G:G,MATCH(I2259-1,I:I,0)+1,1):INDEX(G:G,MATCH(I2259,I:I,0)-1,1)),"")</f>
        <v>#NAME?</v>
      </c>
      <c r="I2259" s="200" t="str">
        <f>IF(OR(B2259=リスト!$C$5,B2259=リスト!$C$6),COUNTIF($B$9:B2259,リスト!$C$5)+COUNTIF($B$9:B2259,リスト!$C$6),"")</f>
        <v/>
      </c>
    </row>
    <row r="2260" spans="2:9" x14ac:dyDescent="0.2">
      <c r="B2260" s="196"/>
      <c r="C2260" s="197"/>
      <c r="D2260" s="197"/>
      <c r="E2260" s="198" t="e">
        <f ca="1">mif(OR(C2260="",B2260=リスト!$C$7),"",B2260="","RF",OR(B2260=リスト!$C$5,B2260=リスト!$C$6),COUNTBLANK(INDEX(B:B,MATCH(I2260-1,I:I,0)+1,1):INDEX(B:B,MATCH(I2260,I:I,0)-1,1)),"")</f>
        <v>#NAME?</v>
      </c>
      <c r="F2260" s="199" t="s">
        <v>189</v>
      </c>
      <c r="G2260" s="140" t="e">
        <f ca="1">mif(C2260="","",OR(B2260=リスト!$C$5,B2260=リスト!$C$6),SUM(INDEX(G:G,MATCH(I2260-1,I:I,0)+1,1):INDEX(G:G,MATCH(I2260,I:I,0)-1,1)),D2260-C2260)</f>
        <v>#NAME?</v>
      </c>
      <c r="H2260" s="140" t="e">
        <f ca="1">mif(C2260="","",B2260=リスト!$C$5,SUMIF(INDEX(B:B,MATCH(I2260-1,I:I,0)+1,1):INDEX(B:B,MATCH(I2260,I:I,0)-1,1),リスト!$C$7,INDEX(G:G,MATCH(I2260-1,I:I,0)+1,1):INDEX(G:G,MATCH(I2260,I:I,0)-1,1)),"")</f>
        <v>#NAME?</v>
      </c>
      <c r="I2260" s="200" t="str">
        <f>IF(OR(B2260=リスト!$C$5,B2260=リスト!$C$6),COUNTIF($B$9:B2260,リスト!$C$5)+COUNTIF($B$9:B2260,リスト!$C$6),"")</f>
        <v/>
      </c>
    </row>
    <row r="2261" spans="2:9" x14ac:dyDescent="0.2">
      <c r="B2261" s="196"/>
      <c r="C2261" s="197"/>
      <c r="D2261" s="197"/>
      <c r="E2261" s="198" t="e">
        <f ca="1">mif(OR(C2261="",B2261=リスト!$C$7),"",B2261="","RF",OR(B2261=リスト!$C$5,B2261=リスト!$C$6),COUNTBLANK(INDEX(B:B,MATCH(I2261-1,I:I,0)+1,1):INDEX(B:B,MATCH(I2261,I:I,0)-1,1)),"")</f>
        <v>#NAME?</v>
      </c>
      <c r="F2261" s="199" t="s">
        <v>189</v>
      </c>
      <c r="G2261" s="140" t="e">
        <f ca="1">mif(C2261="","",OR(B2261=リスト!$C$5,B2261=リスト!$C$6),SUM(INDEX(G:G,MATCH(I2261-1,I:I,0)+1,1):INDEX(G:G,MATCH(I2261,I:I,0)-1,1)),D2261-C2261)</f>
        <v>#NAME?</v>
      </c>
      <c r="H2261" s="140" t="e">
        <f ca="1">mif(C2261="","",B2261=リスト!$C$5,SUMIF(INDEX(B:B,MATCH(I2261-1,I:I,0)+1,1):INDEX(B:B,MATCH(I2261,I:I,0)-1,1),リスト!$C$7,INDEX(G:G,MATCH(I2261-1,I:I,0)+1,1):INDEX(G:G,MATCH(I2261,I:I,0)-1,1)),"")</f>
        <v>#NAME?</v>
      </c>
      <c r="I2261" s="200" t="str">
        <f>IF(OR(B2261=リスト!$C$5,B2261=リスト!$C$6),COUNTIF($B$9:B2261,リスト!$C$5)+COUNTIF($B$9:B2261,リスト!$C$6),"")</f>
        <v/>
      </c>
    </row>
    <row r="2262" spans="2:9" x14ac:dyDescent="0.2">
      <c r="B2262" s="196"/>
      <c r="C2262" s="197"/>
      <c r="D2262" s="197"/>
      <c r="E2262" s="198" t="e">
        <f ca="1">mif(OR(C2262="",B2262=リスト!$C$7),"",B2262="","RF",OR(B2262=リスト!$C$5,B2262=リスト!$C$6),COUNTBLANK(INDEX(B:B,MATCH(I2262-1,I:I,0)+1,1):INDEX(B:B,MATCH(I2262,I:I,0)-1,1)),"")</f>
        <v>#NAME?</v>
      </c>
      <c r="F2262" s="199" t="s">
        <v>189</v>
      </c>
      <c r="G2262" s="140" t="e">
        <f ca="1">mif(C2262="","",OR(B2262=リスト!$C$5,B2262=リスト!$C$6),SUM(INDEX(G:G,MATCH(I2262-1,I:I,0)+1,1):INDEX(G:G,MATCH(I2262,I:I,0)-1,1)),D2262-C2262)</f>
        <v>#NAME?</v>
      </c>
      <c r="H2262" s="140" t="e">
        <f ca="1">mif(C2262="","",B2262=リスト!$C$5,SUMIF(INDEX(B:B,MATCH(I2262-1,I:I,0)+1,1):INDEX(B:B,MATCH(I2262,I:I,0)-1,1),リスト!$C$7,INDEX(G:G,MATCH(I2262-1,I:I,0)+1,1):INDEX(G:G,MATCH(I2262,I:I,0)-1,1)),"")</f>
        <v>#NAME?</v>
      </c>
      <c r="I2262" s="200" t="str">
        <f>IF(OR(B2262=リスト!$C$5,B2262=リスト!$C$6),COUNTIF($B$9:B2262,リスト!$C$5)+COUNTIF($B$9:B2262,リスト!$C$6),"")</f>
        <v/>
      </c>
    </row>
    <row r="2263" spans="2:9" x14ac:dyDescent="0.2">
      <c r="B2263" s="196"/>
      <c r="C2263" s="197"/>
      <c r="D2263" s="197"/>
      <c r="E2263" s="198" t="e">
        <f ca="1">mif(OR(C2263="",B2263=リスト!$C$7),"",B2263="","RF",OR(B2263=リスト!$C$5,B2263=リスト!$C$6),COUNTBLANK(INDEX(B:B,MATCH(I2263-1,I:I,0)+1,1):INDEX(B:B,MATCH(I2263,I:I,0)-1,1)),"")</f>
        <v>#NAME?</v>
      </c>
      <c r="F2263" s="199" t="s">
        <v>189</v>
      </c>
      <c r="G2263" s="140" t="e">
        <f ca="1">mif(C2263="","",OR(B2263=リスト!$C$5,B2263=リスト!$C$6),SUM(INDEX(G:G,MATCH(I2263-1,I:I,0)+1,1):INDEX(G:G,MATCH(I2263,I:I,0)-1,1)),D2263-C2263)</f>
        <v>#NAME?</v>
      </c>
      <c r="H2263" s="140" t="e">
        <f ca="1">mif(C2263="","",B2263=リスト!$C$5,SUMIF(INDEX(B:B,MATCH(I2263-1,I:I,0)+1,1):INDEX(B:B,MATCH(I2263,I:I,0)-1,1),リスト!$C$7,INDEX(G:G,MATCH(I2263-1,I:I,0)+1,1):INDEX(G:G,MATCH(I2263,I:I,0)-1,1)),"")</f>
        <v>#NAME?</v>
      </c>
      <c r="I2263" s="200" t="str">
        <f>IF(OR(B2263=リスト!$C$5,B2263=リスト!$C$6),COUNTIF($B$9:B2263,リスト!$C$5)+COUNTIF($B$9:B2263,リスト!$C$6),"")</f>
        <v/>
      </c>
    </row>
    <row r="2264" spans="2:9" x14ac:dyDescent="0.2">
      <c r="B2264" s="196"/>
      <c r="C2264" s="197"/>
      <c r="D2264" s="197"/>
      <c r="E2264" s="198" t="e">
        <f ca="1">mif(OR(C2264="",B2264=リスト!$C$7),"",B2264="","RF",OR(B2264=リスト!$C$5,B2264=リスト!$C$6),COUNTBLANK(INDEX(B:B,MATCH(I2264-1,I:I,0)+1,1):INDEX(B:B,MATCH(I2264,I:I,0)-1,1)),"")</f>
        <v>#NAME?</v>
      </c>
      <c r="F2264" s="199" t="s">
        <v>189</v>
      </c>
      <c r="G2264" s="140" t="e">
        <f ca="1">mif(C2264="","",OR(B2264=リスト!$C$5,B2264=リスト!$C$6),SUM(INDEX(G:G,MATCH(I2264-1,I:I,0)+1,1):INDEX(G:G,MATCH(I2264,I:I,0)-1,1)),D2264-C2264)</f>
        <v>#NAME?</v>
      </c>
      <c r="H2264" s="140" t="e">
        <f ca="1">mif(C2264="","",B2264=リスト!$C$5,SUMIF(INDEX(B:B,MATCH(I2264-1,I:I,0)+1,1):INDEX(B:B,MATCH(I2264,I:I,0)-1,1),リスト!$C$7,INDEX(G:G,MATCH(I2264-1,I:I,0)+1,1):INDEX(G:G,MATCH(I2264,I:I,0)-1,1)),"")</f>
        <v>#NAME?</v>
      </c>
      <c r="I2264" s="200" t="str">
        <f>IF(OR(B2264=リスト!$C$5,B2264=リスト!$C$6),COUNTIF($B$9:B2264,リスト!$C$5)+COUNTIF($B$9:B2264,リスト!$C$6),"")</f>
        <v/>
      </c>
    </row>
    <row r="2265" spans="2:9" x14ac:dyDescent="0.2">
      <c r="B2265" s="196"/>
      <c r="C2265" s="197"/>
      <c r="D2265" s="197"/>
      <c r="E2265" s="198" t="e">
        <f ca="1">mif(OR(C2265="",B2265=リスト!$C$7),"",B2265="","RF",OR(B2265=リスト!$C$5,B2265=リスト!$C$6),COUNTBLANK(INDEX(B:B,MATCH(I2265-1,I:I,0)+1,1):INDEX(B:B,MATCH(I2265,I:I,0)-1,1)),"")</f>
        <v>#NAME?</v>
      </c>
      <c r="F2265" s="199" t="s">
        <v>189</v>
      </c>
      <c r="G2265" s="140" t="e">
        <f ca="1">mif(C2265="","",OR(B2265=リスト!$C$5,B2265=リスト!$C$6),SUM(INDEX(G:G,MATCH(I2265-1,I:I,0)+1,1):INDEX(G:G,MATCH(I2265,I:I,0)-1,1)),D2265-C2265)</f>
        <v>#NAME?</v>
      </c>
      <c r="H2265" s="140" t="e">
        <f ca="1">mif(C2265="","",B2265=リスト!$C$5,SUMIF(INDEX(B:B,MATCH(I2265-1,I:I,0)+1,1):INDEX(B:B,MATCH(I2265,I:I,0)-1,1),リスト!$C$7,INDEX(G:G,MATCH(I2265-1,I:I,0)+1,1):INDEX(G:G,MATCH(I2265,I:I,0)-1,1)),"")</f>
        <v>#NAME?</v>
      </c>
      <c r="I2265" s="200" t="str">
        <f>IF(OR(B2265=リスト!$C$5,B2265=リスト!$C$6),COUNTIF($B$9:B2265,リスト!$C$5)+COUNTIF($B$9:B2265,リスト!$C$6),"")</f>
        <v/>
      </c>
    </row>
    <row r="2266" spans="2:9" x14ac:dyDescent="0.2">
      <c r="B2266" s="196"/>
      <c r="C2266" s="197"/>
      <c r="D2266" s="197"/>
      <c r="E2266" s="198" t="e">
        <f ca="1">mif(OR(C2266="",B2266=リスト!$C$7),"",B2266="","RF",OR(B2266=リスト!$C$5,B2266=リスト!$C$6),COUNTBLANK(INDEX(B:B,MATCH(I2266-1,I:I,0)+1,1):INDEX(B:B,MATCH(I2266,I:I,0)-1,1)),"")</f>
        <v>#NAME?</v>
      </c>
      <c r="F2266" s="199" t="s">
        <v>189</v>
      </c>
      <c r="G2266" s="140" t="e">
        <f ca="1">mif(C2266="","",OR(B2266=リスト!$C$5,B2266=リスト!$C$6),SUM(INDEX(G:G,MATCH(I2266-1,I:I,0)+1,1):INDEX(G:G,MATCH(I2266,I:I,0)-1,1)),D2266-C2266)</f>
        <v>#NAME?</v>
      </c>
      <c r="H2266" s="140" t="e">
        <f ca="1">mif(C2266="","",B2266=リスト!$C$5,SUMIF(INDEX(B:B,MATCH(I2266-1,I:I,0)+1,1):INDEX(B:B,MATCH(I2266,I:I,0)-1,1),リスト!$C$7,INDEX(G:G,MATCH(I2266-1,I:I,0)+1,1):INDEX(G:G,MATCH(I2266,I:I,0)-1,1)),"")</f>
        <v>#NAME?</v>
      </c>
      <c r="I2266" s="200" t="str">
        <f>IF(OR(B2266=リスト!$C$5,B2266=リスト!$C$6),COUNTIF($B$9:B2266,リスト!$C$5)+COUNTIF($B$9:B2266,リスト!$C$6),"")</f>
        <v/>
      </c>
    </row>
    <row r="2267" spans="2:9" x14ac:dyDescent="0.2">
      <c r="B2267" s="196"/>
      <c r="C2267" s="197"/>
      <c r="D2267" s="197"/>
      <c r="E2267" s="198" t="e">
        <f ca="1">mif(OR(C2267="",B2267=リスト!$C$7),"",B2267="","RF",OR(B2267=リスト!$C$5,B2267=リスト!$C$6),COUNTBLANK(INDEX(B:B,MATCH(I2267-1,I:I,0)+1,1):INDEX(B:B,MATCH(I2267,I:I,0)-1,1)),"")</f>
        <v>#NAME?</v>
      </c>
      <c r="F2267" s="199" t="s">
        <v>189</v>
      </c>
      <c r="G2267" s="140" t="e">
        <f ca="1">mif(C2267="","",OR(B2267=リスト!$C$5,B2267=リスト!$C$6),SUM(INDEX(G:G,MATCH(I2267-1,I:I,0)+1,1):INDEX(G:G,MATCH(I2267,I:I,0)-1,1)),D2267-C2267)</f>
        <v>#NAME?</v>
      </c>
      <c r="H2267" s="140" t="e">
        <f ca="1">mif(C2267="","",B2267=リスト!$C$5,SUMIF(INDEX(B:B,MATCH(I2267-1,I:I,0)+1,1):INDEX(B:B,MATCH(I2267,I:I,0)-1,1),リスト!$C$7,INDEX(G:G,MATCH(I2267-1,I:I,0)+1,1):INDEX(G:G,MATCH(I2267,I:I,0)-1,1)),"")</f>
        <v>#NAME?</v>
      </c>
      <c r="I2267" s="200" t="str">
        <f>IF(OR(B2267=リスト!$C$5,B2267=リスト!$C$6),COUNTIF($B$9:B2267,リスト!$C$5)+COUNTIF($B$9:B2267,リスト!$C$6),"")</f>
        <v/>
      </c>
    </row>
    <row r="2268" spans="2:9" x14ac:dyDescent="0.2">
      <c r="B2268" s="196"/>
      <c r="C2268" s="197"/>
      <c r="D2268" s="197"/>
      <c r="E2268" s="198" t="e">
        <f ca="1">mif(OR(C2268="",B2268=リスト!$C$7),"",B2268="","RF",OR(B2268=リスト!$C$5,B2268=リスト!$C$6),COUNTBLANK(INDEX(B:B,MATCH(I2268-1,I:I,0)+1,1):INDEX(B:B,MATCH(I2268,I:I,0)-1,1)),"")</f>
        <v>#NAME?</v>
      </c>
      <c r="F2268" s="199" t="s">
        <v>189</v>
      </c>
      <c r="G2268" s="140" t="e">
        <f ca="1">mif(C2268="","",OR(B2268=リスト!$C$5,B2268=リスト!$C$6),SUM(INDEX(G:G,MATCH(I2268-1,I:I,0)+1,1):INDEX(G:G,MATCH(I2268,I:I,0)-1,1)),D2268-C2268)</f>
        <v>#NAME?</v>
      </c>
      <c r="H2268" s="140" t="e">
        <f ca="1">mif(C2268="","",B2268=リスト!$C$5,SUMIF(INDEX(B:B,MATCH(I2268-1,I:I,0)+1,1):INDEX(B:B,MATCH(I2268,I:I,0)-1,1),リスト!$C$7,INDEX(G:G,MATCH(I2268-1,I:I,0)+1,1):INDEX(G:G,MATCH(I2268,I:I,0)-1,1)),"")</f>
        <v>#NAME?</v>
      </c>
      <c r="I2268" s="200" t="str">
        <f>IF(OR(B2268=リスト!$C$5,B2268=リスト!$C$6),COUNTIF($B$9:B2268,リスト!$C$5)+COUNTIF($B$9:B2268,リスト!$C$6),"")</f>
        <v/>
      </c>
    </row>
    <row r="2269" spans="2:9" x14ac:dyDescent="0.2">
      <c r="B2269" s="196"/>
      <c r="C2269" s="197"/>
      <c r="D2269" s="197"/>
      <c r="E2269" s="198" t="e">
        <f ca="1">mif(OR(C2269="",B2269=リスト!$C$7),"",B2269="","RF",OR(B2269=リスト!$C$5,B2269=リスト!$C$6),COUNTBLANK(INDEX(B:B,MATCH(I2269-1,I:I,0)+1,1):INDEX(B:B,MATCH(I2269,I:I,0)-1,1)),"")</f>
        <v>#NAME?</v>
      </c>
      <c r="F2269" s="199" t="s">
        <v>189</v>
      </c>
      <c r="G2269" s="140" t="e">
        <f ca="1">mif(C2269="","",OR(B2269=リスト!$C$5,B2269=リスト!$C$6),SUM(INDEX(G:G,MATCH(I2269-1,I:I,0)+1,1):INDEX(G:G,MATCH(I2269,I:I,0)-1,1)),D2269-C2269)</f>
        <v>#NAME?</v>
      </c>
      <c r="H2269" s="140" t="e">
        <f ca="1">mif(C2269="","",B2269=リスト!$C$5,SUMIF(INDEX(B:B,MATCH(I2269-1,I:I,0)+1,1):INDEX(B:B,MATCH(I2269,I:I,0)-1,1),リスト!$C$7,INDEX(G:G,MATCH(I2269-1,I:I,0)+1,1):INDEX(G:G,MATCH(I2269,I:I,0)-1,1)),"")</f>
        <v>#NAME?</v>
      </c>
      <c r="I2269" s="200" t="str">
        <f>IF(OR(B2269=リスト!$C$5,B2269=リスト!$C$6),COUNTIF($B$9:B2269,リスト!$C$5)+COUNTIF($B$9:B2269,リスト!$C$6),"")</f>
        <v/>
      </c>
    </row>
    <row r="2270" spans="2:9" x14ac:dyDescent="0.2">
      <c r="B2270" s="196"/>
      <c r="C2270" s="197"/>
      <c r="D2270" s="197"/>
      <c r="E2270" s="198" t="e">
        <f ca="1">mif(OR(C2270="",B2270=リスト!$C$7),"",B2270="","RF",OR(B2270=リスト!$C$5,B2270=リスト!$C$6),COUNTBLANK(INDEX(B:B,MATCH(I2270-1,I:I,0)+1,1):INDEX(B:B,MATCH(I2270,I:I,0)-1,1)),"")</f>
        <v>#NAME?</v>
      </c>
      <c r="F2270" s="199" t="s">
        <v>189</v>
      </c>
      <c r="G2270" s="140" t="e">
        <f ca="1">mif(C2270="","",OR(B2270=リスト!$C$5,B2270=リスト!$C$6),SUM(INDEX(G:G,MATCH(I2270-1,I:I,0)+1,1):INDEX(G:G,MATCH(I2270,I:I,0)-1,1)),D2270-C2270)</f>
        <v>#NAME?</v>
      </c>
      <c r="H2270" s="140" t="e">
        <f ca="1">mif(C2270="","",B2270=リスト!$C$5,SUMIF(INDEX(B:B,MATCH(I2270-1,I:I,0)+1,1):INDEX(B:B,MATCH(I2270,I:I,0)-1,1),リスト!$C$7,INDEX(G:G,MATCH(I2270-1,I:I,0)+1,1):INDEX(G:G,MATCH(I2270,I:I,0)-1,1)),"")</f>
        <v>#NAME?</v>
      </c>
      <c r="I2270" s="200" t="str">
        <f>IF(OR(B2270=リスト!$C$5,B2270=リスト!$C$6),COUNTIF($B$9:B2270,リスト!$C$5)+COUNTIF($B$9:B2270,リスト!$C$6),"")</f>
        <v/>
      </c>
    </row>
    <row r="2271" spans="2:9" x14ac:dyDescent="0.2">
      <c r="B2271" s="196"/>
      <c r="C2271" s="197"/>
      <c r="D2271" s="197"/>
      <c r="E2271" s="198" t="e">
        <f ca="1">mif(OR(C2271="",B2271=リスト!$C$7),"",B2271="","RF",OR(B2271=リスト!$C$5,B2271=リスト!$C$6),COUNTBLANK(INDEX(B:B,MATCH(I2271-1,I:I,0)+1,1):INDEX(B:B,MATCH(I2271,I:I,0)-1,1)),"")</f>
        <v>#NAME?</v>
      </c>
      <c r="F2271" s="199" t="s">
        <v>189</v>
      </c>
      <c r="G2271" s="140" t="e">
        <f ca="1">mif(C2271="","",OR(B2271=リスト!$C$5,B2271=リスト!$C$6),SUM(INDEX(G:G,MATCH(I2271-1,I:I,0)+1,1):INDEX(G:G,MATCH(I2271,I:I,0)-1,1)),D2271-C2271)</f>
        <v>#NAME?</v>
      </c>
      <c r="H2271" s="140" t="e">
        <f ca="1">mif(C2271="","",B2271=リスト!$C$5,SUMIF(INDEX(B:B,MATCH(I2271-1,I:I,0)+1,1):INDEX(B:B,MATCH(I2271,I:I,0)-1,1),リスト!$C$7,INDEX(G:G,MATCH(I2271-1,I:I,0)+1,1):INDEX(G:G,MATCH(I2271,I:I,0)-1,1)),"")</f>
        <v>#NAME?</v>
      </c>
      <c r="I2271" s="200" t="str">
        <f>IF(OR(B2271=リスト!$C$5,B2271=リスト!$C$6),COUNTIF($B$9:B2271,リスト!$C$5)+COUNTIF($B$9:B2271,リスト!$C$6),"")</f>
        <v/>
      </c>
    </row>
    <row r="2272" spans="2:9" x14ac:dyDescent="0.2">
      <c r="B2272" s="196"/>
      <c r="C2272" s="197"/>
      <c r="D2272" s="197"/>
      <c r="E2272" s="198" t="e">
        <f ca="1">mif(OR(C2272="",B2272=リスト!$C$7),"",B2272="","RF",OR(B2272=リスト!$C$5,B2272=リスト!$C$6),COUNTBLANK(INDEX(B:B,MATCH(I2272-1,I:I,0)+1,1):INDEX(B:B,MATCH(I2272,I:I,0)-1,1)),"")</f>
        <v>#NAME?</v>
      </c>
      <c r="F2272" s="199" t="s">
        <v>189</v>
      </c>
      <c r="G2272" s="140" t="e">
        <f ca="1">mif(C2272="","",OR(B2272=リスト!$C$5,B2272=リスト!$C$6),SUM(INDEX(G:G,MATCH(I2272-1,I:I,0)+1,1):INDEX(G:G,MATCH(I2272,I:I,0)-1,1)),D2272-C2272)</f>
        <v>#NAME?</v>
      </c>
      <c r="H2272" s="140" t="e">
        <f ca="1">mif(C2272="","",B2272=リスト!$C$5,SUMIF(INDEX(B:B,MATCH(I2272-1,I:I,0)+1,1):INDEX(B:B,MATCH(I2272,I:I,0)-1,1),リスト!$C$7,INDEX(G:G,MATCH(I2272-1,I:I,0)+1,1):INDEX(G:G,MATCH(I2272,I:I,0)-1,1)),"")</f>
        <v>#NAME?</v>
      </c>
      <c r="I2272" s="200" t="str">
        <f>IF(OR(B2272=リスト!$C$5,B2272=リスト!$C$6),COUNTIF($B$9:B2272,リスト!$C$5)+COUNTIF($B$9:B2272,リスト!$C$6),"")</f>
        <v/>
      </c>
    </row>
    <row r="2273" spans="2:9" x14ac:dyDescent="0.2">
      <c r="B2273" s="196"/>
      <c r="C2273" s="197"/>
      <c r="D2273" s="197"/>
      <c r="E2273" s="198" t="e">
        <f ca="1">mif(OR(C2273="",B2273=リスト!$C$7),"",B2273="","RF",OR(B2273=リスト!$C$5,B2273=リスト!$C$6),COUNTBLANK(INDEX(B:B,MATCH(I2273-1,I:I,0)+1,1):INDEX(B:B,MATCH(I2273,I:I,0)-1,1)),"")</f>
        <v>#NAME?</v>
      </c>
      <c r="F2273" s="199" t="s">
        <v>189</v>
      </c>
      <c r="G2273" s="140" t="e">
        <f ca="1">mif(C2273="","",OR(B2273=リスト!$C$5,B2273=リスト!$C$6),SUM(INDEX(G:G,MATCH(I2273-1,I:I,0)+1,1):INDEX(G:G,MATCH(I2273,I:I,0)-1,1)),D2273-C2273)</f>
        <v>#NAME?</v>
      </c>
      <c r="H2273" s="140" t="e">
        <f ca="1">mif(C2273="","",B2273=リスト!$C$5,SUMIF(INDEX(B:B,MATCH(I2273-1,I:I,0)+1,1):INDEX(B:B,MATCH(I2273,I:I,0)-1,1),リスト!$C$7,INDEX(G:G,MATCH(I2273-1,I:I,0)+1,1):INDEX(G:G,MATCH(I2273,I:I,0)-1,1)),"")</f>
        <v>#NAME?</v>
      </c>
      <c r="I2273" s="200" t="str">
        <f>IF(OR(B2273=リスト!$C$5,B2273=リスト!$C$6),COUNTIF($B$9:B2273,リスト!$C$5)+COUNTIF($B$9:B2273,リスト!$C$6),"")</f>
        <v/>
      </c>
    </row>
    <row r="2274" spans="2:9" x14ac:dyDescent="0.2">
      <c r="B2274" s="196"/>
      <c r="C2274" s="197"/>
      <c r="D2274" s="197"/>
      <c r="E2274" s="198" t="e">
        <f ca="1">mif(OR(C2274="",B2274=リスト!$C$7),"",B2274="","RF",OR(B2274=リスト!$C$5,B2274=リスト!$C$6),COUNTBLANK(INDEX(B:B,MATCH(I2274-1,I:I,0)+1,1):INDEX(B:B,MATCH(I2274,I:I,0)-1,1)),"")</f>
        <v>#NAME?</v>
      </c>
      <c r="F2274" s="199" t="s">
        <v>189</v>
      </c>
      <c r="G2274" s="140" t="e">
        <f ca="1">mif(C2274="","",OR(B2274=リスト!$C$5,B2274=リスト!$C$6),SUM(INDEX(G:G,MATCH(I2274-1,I:I,0)+1,1):INDEX(G:G,MATCH(I2274,I:I,0)-1,1)),D2274-C2274)</f>
        <v>#NAME?</v>
      </c>
      <c r="H2274" s="140" t="e">
        <f ca="1">mif(C2274="","",B2274=リスト!$C$5,SUMIF(INDEX(B:B,MATCH(I2274-1,I:I,0)+1,1):INDEX(B:B,MATCH(I2274,I:I,0)-1,1),リスト!$C$7,INDEX(G:G,MATCH(I2274-1,I:I,0)+1,1):INDEX(G:G,MATCH(I2274,I:I,0)-1,1)),"")</f>
        <v>#NAME?</v>
      </c>
      <c r="I2274" s="200" t="str">
        <f>IF(OR(B2274=リスト!$C$5,B2274=リスト!$C$6),COUNTIF($B$9:B2274,リスト!$C$5)+COUNTIF($B$9:B2274,リスト!$C$6),"")</f>
        <v/>
      </c>
    </row>
    <row r="2275" spans="2:9" x14ac:dyDescent="0.2">
      <c r="B2275" s="196"/>
      <c r="C2275" s="197"/>
      <c r="D2275" s="197"/>
      <c r="E2275" s="198" t="e">
        <f ca="1">mif(OR(C2275="",B2275=リスト!$C$7),"",B2275="","RF",OR(B2275=リスト!$C$5,B2275=リスト!$C$6),COUNTBLANK(INDEX(B:B,MATCH(I2275-1,I:I,0)+1,1):INDEX(B:B,MATCH(I2275,I:I,0)-1,1)),"")</f>
        <v>#NAME?</v>
      </c>
      <c r="F2275" s="199" t="s">
        <v>189</v>
      </c>
      <c r="G2275" s="140" t="e">
        <f ca="1">mif(C2275="","",OR(B2275=リスト!$C$5,B2275=リスト!$C$6),SUM(INDEX(G:G,MATCH(I2275-1,I:I,0)+1,1):INDEX(G:G,MATCH(I2275,I:I,0)-1,1)),D2275-C2275)</f>
        <v>#NAME?</v>
      </c>
      <c r="H2275" s="140" t="e">
        <f ca="1">mif(C2275="","",B2275=リスト!$C$5,SUMIF(INDEX(B:B,MATCH(I2275-1,I:I,0)+1,1):INDEX(B:B,MATCH(I2275,I:I,0)-1,1),リスト!$C$7,INDEX(G:G,MATCH(I2275-1,I:I,0)+1,1):INDEX(G:G,MATCH(I2275,I:I,0)-1,1)),"")</f>
        <v>#NAME?</v>
      </c>
      <c r="I2275" s="200" t="str">
        <f>IF(OR(B2275=リスト!$C$5,B2275=リスト!$C$6),COUNTIF($B$9:B2275,リスト!$C$5)+COUNTIF($B$9:B2275,リスト!$C$6),"")</f>
        <v/>
      </c>
    </row>
    <row r="2276" spans="2:9" x14ac:dyDescent="0.2">
      <c r="B2276" s="196"/>
      <c r="C2276" s="197"/>
      <c r="D2276" s="197"/>
      <c r="E2276" s="198" t="e">
        <f ca="1">mif(OR(C2276="",B2276=リスト!$C$7),"",B2276="","RF",OR(B2276=リスト!$C$5,B2276=リスト!$C$6),COUNTBLANK(INDEX(B:B,MATCH(I2276-1,I:I,0)+1,1):INDEX(B:B,MATCH(I2276,I:I,0)-1,1)),"")</f>
        <v>#NAME?</v>
      </c>
      <c r="F2276" s="199" t="s">
        <v>189</v>
      </c>
      <c r="G2276" s="140" t="e">
        <f ca="1">mif(C2276="","",OR(B2276=リスト!$C$5,B2276=リスト!$C$6),SUM(INDEX(G:G,MATCH(I2276-1,I:I,0)+1,1):INDEX(G:G,MATCH(I2276,I:I,0)-1,1)),D2276-C2276)</f>
        <v>#NAME?</v>
      </c>
      <c r="H2276" s="140" t="e">
        <f ca="1">mif(C2276="","",B2276=リスト!$C$5,SUMIF(INDEX(B:B,MATCH(I2276-1,I:I,0)+1,1):INDEX(B:B,MATCH(I2276,I:I,0)-1,1),リスト!$C$7,INDEX(G:G,MATCH(I2276-1,I:I,0)+1,1):INDEX(G:G,MATCH(I2276,I:I,0)-1,1)),"")</f>
        <v>#NAME?</v>
      </c>
      <c r="I2276" s="200" t="str">
        <f>IF(OR(B2276=リスト!$C$5,B2276=リスト!$C$6),COUNTIF($B$9:B2276,リスト!$C$5)+COUNTIF($B$9:B2276,リスト!$C$6),"")</f>
        <v/>
      </c>
    </row>
    <row r="2277" spans="2:9" x14ac:dyDescent="0.2">
      <c r="B2277" s="196"/>
      <c r="C2277" s="197"/>
      <c r="D2277" s="197"/>
      <c r="E2277" s="198" t="e">
        <f ca="1">mif(OR(C2277="",B2277=リスト!$C$7),"",B2277="","RF",OR(B2277=リスト!$C$5,B2277=リスト!$C$6),COUNTBLANK(INDEX(B:B,MATCH(I2277-1,I:I,0)+1,1):INDEX(B:B,MATCH(I2277,I:I,0)-1,1)),"")</f>
        <v>#NAME?</v>
      </c>
      <c r="F2277" s="199" t="s">
        <v>189</v>
      </c>
      <c r="G2277" s="140" t="e">
        <f ca="1">mif(C2277="","",OR(B2277=リスト!$C$5,B2277=リスト!$C$6),SUM(INDEX(G:G,MATCH(I2277-1,I:I,0)+1,1):INDEX(G:G,MATCH(I2277,I:I,0)-1,1)),D2277-C2277)</f>
        <v>#NAME?</v>
      </c>
      <c r="H2277" s="140" t="e">
        <f ca="1">mif(C2277="","",B2277=リスト!$C$5,SUMIF(INDEX(B:B,MATCH(I2277-1,I:I,0)+1,1):INDEX(B:B,MATCH(I2277,I:I,0)-1,1),リスト!$C$7,INDEX(G:G,MATCH(I2277-1,I:I,0)+1,1):INDEX(G:G,MATCH(I2277,I:I,0)-1,1)),"")</f>
        <v>#NAME?</v>
      </c>
      <c r="I2277" s="200" t="str">
        <f>IF(OR(B2277=リスト!$C$5,B2277=リスト!$C$6),COUNTIF($B$9:B2277,リスト!$C$5)+COUNTIF($B$9:B2277,リスト!$C$6),"")</f>
        <v/>
      </c>
    </row>
    <row r="2278" spans="2:9" x14ac:dyDescent="0.2">
      <c r="B2278" s="196"/>
      <c r="C2278" s="197"/>
      <c r="D2278" s="197"/>
      <c r="E2278" s="198" t="e">
        <f ca="1">mif(OR(C2278="",B2278=リスト!$C$7),"",B2278="","RF",OR(B2278=リスト!$C$5,B2278=リスト!$C$6),COUNTBLANK(INDEX(B:B,MATCH(I2278-1,I:I,0)+1,1):INDEX(B:B,MATCH(I2278,I:I,0)-1,1)),"")</f>
        <v>#NAME?</v>
      </c>
      <c r="F2278" s="199" t="s">
        <v>189</v>
      </c>
      <c r="G2278" s="140" t="e">
        <f ca="1">mif(C2278="","",OR(B2278=リスト!$C$5,B2278=リスト!$C$6),SUM(INDEX(G:G,MATCH(I2278-1,I:I,0)+1,1):INDEX(G:G,MATCH(I2278,I:I,0)-1,1)),D2278-C2278)</f>
        <v>#NAME?</v>
      </c>
      <c r="H2278" s="140" t="e">
        <f ca="1">mif(C2278="","",B2278=リスト!$C$5,SUMIF(INDEX(B:B,MATCH(I2278-1,I:I,0)+1,1):INDEX(B:B,MATCH(I2278,I:I,0)-1,1),リスト!$C$7,INDEX(G:G,MATCH(I2278-1,I:I,0)+1,1):INDEX(G:G,MATCH(I2278,I:I,0)-1,1)),"")</f>
        <v>#NAME?</v>
      </c>
      <c r="I2278" s="200" t="str">
        <f>IF(OR(B2278=リスト!$C$5,B2278=リスト!$C$6),COUNTIF($B$9:B2278,リスト!$C$5)+COUNTIF($B$9:B2278,リスト!$C$6),"")</f>
        <v/>
      </c>
    </row>
    <row r="2279" spans="2:9" x14ac:dyDescent="0.2">
      <c r="B2279" s="196"/>
      <c r="C2279" s="197"/>
      <c r="D2279" s="197"/>
      <c r="E2279" s="198" t="e">
        <f ca="1">mif(OR(C2279="",B2279=リスト!$C$7),"",B2279="","RF",OR(B2279=リスト!$C$5,B2279=リスト!$C$6),COUNTBLANK(INDEX(B:B,MATCH(I2279-1,I:I,0)+1,1):INDEX(B:B,MATCH(I2279,I:I,0)-1,1)),"")</f>
        <v>#NAME?</v>
      </c>
      <c r="F2279" s="199" t="s">
        <v>189</v>
      </c>
      <c r="G2279" s="140" t="e">
        <f ca="1">mif(C2279="","",OR(B2279=リスト!$C$5,B2279=リスト!$C$6),SUM(INDEX(G:G,MATCH(I2279-1,I:I,0)+1,1):INDEX(G:G,MATCH(I2279,I:I,0)-1,1)),D2279-C2279)</f>
        <v>#NAME?</v>
      </c>
      <c r="H2279" s="140" t="e">
        <f ca="1">mif(C2279="","",B2279=リスト!$C$5,SUMIF(INDEX(B:B,MATCH(I2279-1,I:I,0)+1,1):INDEX(B:B,MATCH(I2279,I:I,0)-1,1),リスト!$C$7,INDEX(G:G,MATCH(I2279-1,I:I,0)+1,1):INDEX(G:G,MATCH(I2279,I:I,0)-1,1)),"")</f>
        <v>#NAME?</v>
      </c>
      <c r="I2279" s="200" t="str">
        <f>IF(OR(B2279=リスト!$C$5,B2279=リスト!$C$6),COUNTIF($B$9:B2279,リスト!$C$5)+COUNTIF($B$9:B2279,リスト!$C$6),"")</f>
        <v/>
      </c>
    </row>
    <row r="2280" spans="2:9" x14ac:dyDescent="0.2">
      <c r="B2280" s="196"/>
      <c r="C2280" s="197"/>
      <c r="D2280" s="197"/>
      <c r="E2280" s="198" t="e">
        <f ca="1">mif(OR(C2280="",B2280=リスト!$C$7),"",B2280="","RF",OR(B2280=リスト!$C$5,B2280=リスト!$C$6),COUNTBLANK(INDEX(B:B,MATCH(I2280-1,I:I,0)+1,1):INDEX(B:B,MATCH(I2280,I:I,0)-1,1)),"")</f>
        <v>#NAME?</v>
      </c>
      <c r="F2280" s="199" t="s">
        <v>189</v>
      </c>
      <c r="G2280" s="140" t="e">
        <f ca="1">mif(C2280="","",OR(B2280=リスト!$C$5,B2280=リスト!$C$6),SUM(INDEX(G:G,MATCH(I2280-1,I:I,0)+1,1):INDEX(G:G,MATCH(I2280,I:I,0)-1,1)),D2280-C2280)</f>
        <v>#NAME?</v>
      </c>
      <c r="H2280" s="140" t="e">
        <f ca="1">mif(C2280="","",B2280=リスト!$C$5,SUMIF(INDEX(B:B,MATCH(I2280-1,I:I,0)+1,1):INDEX(B:B,MATCH(I2280,I:I,0)-1,1),リスト!$C$7,INDEX(G:G,MATCH(I2280-1,I:I,0)+1,1):INDEX(G:G,MATCH(I2280,I:I,0)-1,1)),"")</f>
        <v>#NAME?</v>
      </c>
      <c r="I2280" s="200" t="str">
        <f>IF(OR(B2280=リスト!$C$5,B2280=リスト!$C$6),COUNTIF($B$9:B2280,リスト!$C$5)+COUNTIF($B$9:B2280,リスト!$C$6),"")</f>
        <v/>
      </c>
    </row>
    <row r="2281" spans="2:9" x14ac:dyDescent="0.2">
      <c r="B2281" s="196"/>
      <c r="C2281" s="197"/>
      <c r="D2281" s="197"/>
      <c r="E2281" s="198" t="e">
        <f ca="1">mif(OR(C2281="",B2281=リスト!$C$7),"",B2281="","RF",OR(B2281=リスト!$C$5,B2281=リスト!$C$6),COUNTBLANK(INDEX(B:B,MATCH(I2281-1,I:I,0)+1,1):INDEX(B:B,MATCH(I2281,I:I,0)-1,1)),"")</f>
        <v>#NAME?</v>
      </c>
      <c r="F2281" s="199" t="s">
        <v>189</v>
      </c>
      <c r="G2281" s="140" t="e">
        <f ca="1">mif(C2281="","",OR(B2281=リスト!$C$5,B2281=リスト!$C$6),SUM(INDEX(G:G,MATCH(I2281-1,I:I,0)+1,1):INDEX(G:G,MATCH(I2281,I:I,0)-1,1)),D2281-C2281)</f>
        <v>#NAME?</v>
      </c>
      <c r="H2281" s="140" t="e">
        <f ca="1">mif(C2281="","",B2281=リスト!$C$5,SUMIF(INDEX(B:B,MATCH(I2281-1,I:I,0)+1,1):INDEX(B:B,MATCH(I2281,I:I,0)-1,1),リスト!$C$7,INDEX(G:G,MATCH(I2281-1,I:I,0)+1,1):INDEX(G:G,MATCH(I2281,I:I,0)-1,1)),"")</f>
        <v>#NAME?</v>
      </c>
      <c r="I2281" s="200" t="str">
        <f>IF(OR(B2281=リスト!$C$5,B2281=リスト!$C$6),COUNTIF($B$9:B2281,リスト!$C$5)+COUNTIF($B$9:B2281,リスト!$C$6),"")</f>
        <v/>
      </c>
    </row>
    <row r="2282" spans="2:9" x14ac:dyDescent="0.2">
      <c r="B2282" s="196"/>
      <c r="C2282" s="197"/>
      <c r="D2282" s="197"/>
      <c r="E2282" s="198" t="e">
        <f ca="1">mif(OR(C2282="",B2282=リスト!$C$7),"",B2282="","RF",OR(B2282=リスト!$C$5,B2282=リスト!$C$6),COUNTBLANK(INDEX(B:B,MATCH(I2282-1,I:I,0)+1,1):INDEX(B:B,MATCH(I2282,I:I,0)-1,1)),"")</f>
        <v>#NAME?</v>
      </c>
      <c r="F2282" s="199" t="s">
        <v>189</v>
      </c>
      <c r="G2282" s="140" t="e">
        <f ca="1">mif(C2282="","",OR(B2282=リスト!$C$5,B2282=リスト!$C$6),SUM(INDEX(G:G,MATCH(I2282-1,I:I,0)+1,1):INDEX(G:G,MATCH(I2282,I:I,0)-1,1)),D2282-C2282)</f>
        <v>#NAME?</v>
      </c>
      <c r="H2282" s="140" t="e">
        <f ca="1">mif(C2282="","",B2282=リスト!$C$5,SUMIF(INDEX(B:B,MATCH(I2282-1,I:I,0)+1,1):INDEX(B:B,MATCH(I2282,I:I,0)-1,1),リスト!$C$7,INDEX(G:G,MATCH(I2282-1,I:I,0)+1,1):INDEX(G:G,MATCH(I2282,I:I,0)-1,1)),"")</f>
        <v>#NAME?</v>
      </c>
      <c r="I2282" s="200" t="str">
        <f>IF(OR(B2282=リスト!$C$5,B2282=リスト!$C$6),COUNTIF($B$9:B2282,リスト!$C$5)+COUNTIF($B$9:B2282,リスト!$C$6),"")</f>
        <v/>
      </c>
    </row>
    <row r="2283" spans="2:9" x14ac:dyDescent="0.2">
      <c r="B2283" s="196"/>
      <c r="C2283" s="197"/>
      <c r="D2283" s="197"/>
      <c r="E2283" s="198" t="e">
        <f ca="1">mif(OR(C2283="",B2283=リスト!$C$7),"",B2283="","RF",OR(B2283=リスト!$C$5,B2283=リスト!$C$6),COUNTBLANK(INDEX(B:B,MATCH(I2283-1,I:I,0)+1,1):INDEX(B:B,MATCH(I2283,I:I,0)-1,1)),"")</f>
        <v>#NAME?</v>
      </c>
      <c r="F2283" s="199" t="s">
        <v>189</v>
      </c>
      <c r="G2283" s="140" t="e">
        <f ca="1">mif(C2283="","",OR(B2283=リスト!$C$5,B2283=リスト!$C$6),SUM(INDEX(G:G,MATCH(I2283-1,I:I,0)+1,1):INDEX(G:G,MATCH(I2283,I:I,0)-1,1)),D2283-C2283)</f>
        <v>#NAME?</v>
      </c>
      <c r="H2283" s="140" t="e">
        <f ca="1">mif(C2283="","",B2283=リスト!$C$5,SUMIF(INDEX(B:B,MATCH(I2283-1,I:I,0)+1,1):INDEX(B:B,MATCH(I2283,I:I,0)-1,1),リスト!$C$7,INDEX(G:G,MATCH(I2283-1,I:I,0)+1,1):INDEX(G:G,MATCH(I2283,I:I,0)-1,1)),"")</f>
        <v>#NAME?</v>
      </c>
      <c r="I2283" s="200" t="str">
        <f>IF(OR(B2283=リスト!$C$5,B2283=リスト!$C$6),COUNTIF($B$9:B2283,リスト!$C$5)+COUNTIF($B$9:B2283,リスト!$C$6),"")</f>
        <v/>
      </c>
    </row>
    <row r="2284" spans="2:9" x14ac:dyDescent="0.2">
      <c r="B2284" s="196"/>
      <c r="C2284" s="197"/>
      <c r="D2284" s="197"/>
      <c r="E2284" s="198" t="e">
        <f ca="1">mif(OR(C2284="",B2284=リスト!$C$7),"",B2284="","RF",OR(B2284=リスト!$C$5,B2284=リスト!$C$6),COUNTBLANK(INDEX(B:B,MATCH(I2284-1,I:I,0)+1,1):INDEX(B:B,MATCH(I2284,I:I,0)-1,1)),"")</f>
        <v>#NAME?</v>
      </c>
      <c r="F2284" s="199" t="s">
        <v>189</v>
      </c>
      <c r="G2284" s="140" t="e">
        <f ca="1">mif(C2284="","",OR(B2284=リスト!$C$5,B2284=リスト!$C$6),SUM(INDEX(G:G,MATCH(I2284-1,I:I,0)+1,1):INDEX(G:G,MATCH(I2284,I:I,0)-1,1)),D2284-C2284)</f>
        <v>#NAME?</v>
      </c>
      <c r="H2284" s="140" t="e">
        <f ca="1">mif(C2284="","",B2284=リスト!$C$5,SUMIF(INDEX(B:B,MATCH(I2284-1,I:I,0)+1,1):INDEX(B:B,MATCH(I2284,I:I,0)-1,1),リスト!$C$7,INDEX(G:G,MATCH(I2284-1,I:I,0)+1,1):INDEX(G:G,MATCH(I2284,I:I,0)-1,1)),"")</f>
        <v>#NAME?</v>
      </c>
      <c r="I2284" s="200" t="str">
        <f>IF(OR(B2284=リスト!$C$5,B2284=リスト!$C$6),COUNTIF($B$9:B2284,リスト!$C$5)+COUNTIF($B$9:B2284,リスト!$C$6),"")</f>
        <v/>
      </c>
    </row>
    <row r="2285" spans="2:9" x14ac:dyDescent="0.2">
      <c r="B2285" s="196"/>
      <c r="C2285" s="197"/>
      <c r="D2285" s="197"/>
      <c r="E2285" s="198" t="e">
        <f ca="1">mif(OR(C2285="",B2285=リスト!$C$7),"",B2285="","RF",OR(B2285=リスト!$C$5,B2285=リスト!$C$6),COUNTBLANK(INDEX(B:B,MATCH(I2285-1,I:I,0)+1,1):INDEX(B:B,MATCH(I2285,I:I,0)-1,1)),"")</f>
        <v>#NAME?</v>
      </c>
      <c r="F2285" s="199" t="s">
        <v>189</v>
      </c>
      <c r="G2285" s="140" t="e">
        <f ca="1">mif(C2285="","",OR(B2285=リスト!$C$5,B2285=リスト!$C$6),SUM(INDEX(G:G,MATCH(I2285-1,I:I,0)+1,1):INDEX(G:G,MATCH(I2285,I:I,0)-1,1)),D2285-C2285)</f>
        <v>#NAME?</v>
      </c>
      <c r="H2285" s="140" t="e">
        <f ca="1">mif(C2285="","",B2285=リスト!$C$5,SUMIF(INDEX(B:B,MATCH(I2285-1,I:I,0)+1,1):INDEX(B:B,MATCH(I2285,I:I,0)-1,1),リスト!$C$7,INDEX(G:G,MATCH(I2285-1,I:I,0)+1,1):INDEX(G:G,MATCH(I2285,I:I,0)-1,1)),"")</f>
        <v>#NAME?</v>
      </c>
      <c r="I2285" s="200" t="str">
        <f>IF(OR(B2285=リスト!$C$5,B2285=リスト!$C$6),COUNTIF($B$9:B2285,リスト!$C$5)+COUNTIF($B$9:B2285,リスト!$C$6),"")</f>
        <v/>
      </c>
    </row>
    <row r="2286" spans="2:9" x14ac:dyDescent="0.2">
      <c r="B2286" s="196"/>
      <c r="C2286" s="197"/>
      <c r="D2286" s="197"/>
      <c r="E2286" s="198" t="e">
        <f ca="1">mif(OR(C2286="",B2286=リスト!$C$7),"",B2286="","RF",OR(B2286=リスト!$C$5,B2286=リスト!$C$6),COUNTBLANK(INDEX(B:B,MATCH(I2286-1,I:I,0)+1,1):INDEX(B:B,MATCH(I2286,I:I,0)-1,1)),"")</f>
        <v>#NAME?</v>
      </c>
      <c r="F2286" s="199" t="s">
        <v>189</v>
      </c>
      <c r="G2286" s="140" t="e">
        <f ca="1">mif(C2286="","",OR(B2286=リスト!$C$5,B2286=リスト!$C$6),SUM(INDEX(G:G,MATCH(I2286-1,I:I,0)+1,1):INDEX(G:G,MATCH(I2286,I:I,0)-1,1)),D2286-C2286)</f>
        <v>#NAME?</v>
      </c>
      <c r="H2286" s="140" t="e">
        <f ca="1">mif(C2286="","",B2286=リスト!$C$5,SUMIF(INDEX(B:B,MATCH(I2286-1,I:I,0)+1,1):INDEX(B:B,MATCH(I2286,I:I,0)-1,1),リスト!$C$7,INDEX(G:G,MATCH(I2286-1,I:I,0)+1,1):INDEX(G:G,MATCH(I2286,I:I,0)-1,1)),"")</f>
        <v>#NAME?</v>
      </c>
      <c r="I2286" s="200" t="str">
        <f>IF(OR(B2286=リスト!$C$5,B2286=リスト!$C$6),COUNTIF($B$9:B2286,リスト!$C$5)+COUNTIF($B$9:B2286,リスト!$C$6),"")</f>
        <v/>
      </c>
    </row>
    <row r="2287" spans="2:9" x14ac:dyDescent="0.2">
      <c r="B2287" s="196"/>
      <c r="C2287" s="197"/>
      <c r="D2287" s="197"/>
      <c r="E2287" s="198" t="e">
        <f ca="1">mif(OR(C2287="",B2287=リスト!$C$7),"",B2287="","RF",OR(B2287=リスト!$C$5,B2287=リスト!$C$6),COUNTBLANK(INDEX(B:B,MATCH(I2287-1,I:I,0)+1,1):INDEX(B:B,MATCH(I2287,I:I,0)-1,1)),"")</f>
        <v>#NAME?</v>
      </c>
      <c r="F2287" s="199" t="s">
        <v>189</v>
      </c>
      <c r="G2287" s="140" t="e">
        <f ca="1">mif(C2287="","",OR(B2287=リスト!$C$5,B2287=リスト!$C$6),SUM(INDEX(G:G,MATCH(I2287-1,I:I,0)+1,1):INDEX(G:G,MATCH(I2287,I:I,0)-1,1)),D2287-C2287)</f>
        <v>#NAME?</v>
      </c>
      <c r="H2287" s="140" t="e">
        <f ca="1">mif(C2287="","",B2287=リスト!$C$5,SUMIF(INDEX(B:B,MATCH(I2287-1,I:I,0)+1,1):INDEX(B:B,MATCH(I2287,I:I,0)-1,1),リスト!$C$7,INDEX(G:G,MATCH(I2287-1,I:I,0)+1,1):INDEX(G:G,MATCH(I2287,I:I,0)-1,1)),"")</f>
        <v>#NAME?</v>
      </c>
      <c r="I2287" s="200" t="str">
        <f>IF(OR(B2287=リスト!$C$5,B2287=リスト!$C$6),COUNTIF($B$9:B2287,リスト!$C$5)+COUNTIF($B$9:B2287,リスト!$C$6),"")</f>
        <v/>
      </c>
    </row>
    <row r="2288" spans="2:9" x14ac:dyDescent="0.2">
      <c r="B2288" s="196"/>
      <c r="C2288" s="197"/>
      <c r="D2288" s="197"/>
      <c r="E2288" s="198" t="e">
        <f ca="1">mif(OR(C2288="",B2288=リスト!$C$7),"",B2288="","RF",OR(B2288=リスト!$C$5,B2288=リスト!$C$6),COUNTBLANK(INDEX(B:B,MATCH(I2288-1,I:I,0)+1,1):INDEX(B:B,MATCH(I2288,I:I,0)-1,1)),"")</f>
        <v>#NAME?</v>
      </c>
      <c r="F2288" s="199" t="s">
        <v>189</v>
      </c>
      <c r="G2288" s="140" t="e">
        <f ca="1">mif(C2288="","",OR(B2288=リスト!$C$5,B2288=リスト!$C$6),SUM(INDEX(G:G,MATCH(I2288-1,I:I,0)+1,1):INDEX(G:G,MATCH(I2288,I:I,0)-1,1)),D2288-C2288)</f>
        <v>#NAME?</v>
      </c>
      <c r="H2288" s="140" t="e">
        <f ca="1">mif(C2288="","",B2288=リスト!$C$5,SUMIF(INDEX(B:B,MATCH(I2288-1,I:I,0)+1,1):INDEX(B:B,MATCH(I2288,I:I,0)-1,1),リスト!$C$7,INDEX(G:G,MATCH(I2288-1,I:I,0)+1,1):INDEX(G:G,MATCH(I2288,I:I,0)-1,1)),"")</f>
        <v>#NAME?</v>
      </c>
      <c r="I2288" s="200" t="str">
        <f>IF(OR(B2288=リスト!$C$5,B2288=リスト!$C$6),COUNTIF($B$9:B2288,リスト!$C$5)+COUNTIF($B$9:B2288,リスト!$C$6),"")</f>
        <v/>
      </c>
    </row>
    <row r="2289" spans="2:9" x14ac:dyDescent="0.2">
      <c r="B2289" s="196"/>
      <c r="C2289" s="197"/>
      <c r="D2289" s="197"/>
      <c r="E2289" s="198" t="e">
        <f ca="1">mif(OR(C2289="",B2289=リスト!$C$7),"",B2289="","RF",OR(B2289=リスト!$C$5,B2289=リスト!$C$6),COUNTBLANK(INDEX(B:B,MATCH(I2289-1,I:I,0)+1,1):INDEX(B:B,MATCH(I2289,I:I,0)-1,1)),"")</f>
        <v>#NAME?</v>
      </c>
      <c r="F2289" s="199" t="s">
        <v>189</v>
      </c>
      <c r="G2289" s="140" t="e">
        <f ca="1">mif(C2289="","",OR(B2289=リスト!$C$5,B2289=リスト!$C$6),SUM(INDEX(G:G,MATCH(I2289-1,I:I,0)+1,1):INDEX(G:G,MATCH(I2289,I:I,0)-1,1)),D2289-C2289)</f>
        <v>#NAME?</v>
      </c>
      <c r="H2289" s="140" t="e">
        <f ca="1">mif(C2289="","",B2289=リスト!$C$5,SUMIF(INDEX(B:B,MATCH(I2289-1,I:I,0)+1,1):INDEX(B:B,MATCH(I2289,I:I,0)-1,1),リスト!$C$7,INDEX(G:G,MATCH(I2289-1,I:I,0)+1,1):INDEX(G:G,MATCH(I2289,I:I,0)-1,1)),"")</f>
        <v>#NAME?</v>
      </c>
      <c r="I2289" s="200" t="str">
        <f>IF(OR(B2289=リスト!$C$5,B2289=リスト!$C$6),COUNTIF($B$9:B2289,リスト!$C$5)+COUNTIF($B$9:B2289,リスト!$C$6),"")</f>
        <v/>
      </c>
    </row>
    <row r="2290" spans="2:9" x14ac:dyDescent="0.2">
      <c r="B2290" s="196"/>
      <c r="C2290" s="197"/>
      <c r="D2290" s="197"/>
      <c r="E2290" s="198" t="e">
        <f ca="1">mif(OR(C2290="",B2290=リスト!$C$7),"",B2290="","RF",OR(B2290=リスト!$C$5,B2290=リスト!$C$6),COUNTBLANK(INDEX(B:B,MATCH(I2290-1,I:I,0)+1,1):INDEX(B:B,MATCH(I2290,I:I,0)-1,1)),"")</f>
        <v>#NAME?</v>
      </c>
      <c r="F2290" s="199" t="s">
        <v>189</v>
      </c>
      <c r="G2290" s="140" t="e">
        <f ca="1">mif(C2290="","",OR(B2290=リスト!$C$5,B2290=リスト!$C$6),SUM(INDEX(G:G,MATCH(I2290-1,I:I,0)+1,1):INDEX(G:G,MATCH(I2290,I:I,0)-1,1)),D2290-C2290)</f>
        <v>#NAME?</v>
      </c>
      <c r="H2290" s="140" t="e">
        <f ca="1">mif(C2290="","",B2290=リスト!$C$5,SUMIF(INDEX(B:B,MATCH(I2290-1,I:I,0)+1,1):INDEX(B:B,MATCH(I2290,I:I,0)-1,1),リスト!$C$7,INDEX(G:G,MATCH(I2290-1,I:I,0)+1,1):INDEX(G:G,MATCH(I2290,I:I,0)-1,1)),"")</f>
        <v>#NAME?</v>
      </c>
      <c r="I2290" s="200" t="str">
        <f>IF(OR(B2290=リスト!$C$5,B2290=リスト!$C$6),COUNTIF($B$9:B2290,リスト!$C$5)+COUNTIF($B$9:B2290,リスト!$C$6),"")</f>
        <v/>
      </c>
    </row>
    <row r="2291" spans="2:9" x14ac:dyDescent="0.2">
      <c r="B2291" s="196"/>
      <c r="C2291" s="197"/>
      <c r="D2291" s="197"/>
      <c r="E2291" s="198" t="e">
        <f ca="1">mif(OR(C2291="",B2291=リスト!$C$7),"",B2291="","RF",OR(B2291=リスト!$C$5,B2291=リスト!$C$6),COUNTBLANK(INDEX(B:B,MATCH(I2291-1,I:I,0)+1,1):INDEX(B:B,MATCH(I2291,I:I,0)-1,1)),"")</f>
        <v>#NAME?</v>
      </c>
      <c r="F2291" s="199" t="s">
        <v>189</v>
      </c>
      <c r="G2291" s="140" t="e">
        <f ca="1">mif(C2291="","",OR(B2291=リスト!$C$5,B2291=リスト!$C$6),SUM(INDEX(G:G,MATCH(I2291-1,I:I,0)+1,1):INDEX(G:G,MATCH(I2291,I:I,0)-1,1)),D2291-C2291)</f>
        <v>#NAME?</v>
      </c>
      <c r="H2291" s="140" t="e">
        <f ca="1">mif(C2291="","",B2291=リスト!$C$5,SUMIF(INDEX(B:B,MATCH(I2291-1,I:I,0)+1,1):INDEX(B:B,MATCH(I2291,I:I,0)-1,1),リスト!$C$7,INDEX(G:G,MATCH(I2291-1,I:I,0)+1,1):INDEX(G:G,MATCH(I2291,I:I,0)-1,1)),"")</f>
        <v>#NAME?</v>
      </c>
      <c r="I2291" s="200" t="str">
        <f>IF(OR(B2291=リスト!$C$5,B2291=リスト!$C$6),COUNTIF($B$9:B2291,リスト!$C$5)+COUNTIF($B$9:B2291,リスト!$C$6),"")</f>
        <v/>
      </c>
    </row>
    <row r="2292" spans="2:9" x14ac:dyDescent="0.2">
      <c r="B2292" s="196"/>
      <c r="C2292" s="197"/>
      <c r="D2292" s="197"/>
      <c r="E2292" s="198" t="e">
        <f ca="1">mif(OR(C2292="",B2292=リスト!$C$7),"",B2292="","RF",OR(B2292=リスト!$C$5,B2292=リスト!$C$6),COUNTBLANK(INDEX(B:B,MATCH(I2292-1,I:I,0)+1,1):INDEX(B:B,MATCH(I2292,I:I,0)-1,1)),"")</f>
        <v>#NAME?</v>
      </c>
      <c r="F2292" s="199" t="s">
        <v>189</v>
      </c>
      <c r="G2292" s="140" t="e">
        <f ca="1">mif(C2292="","",OR(B2292=リスト!$C$5,B2292=リスト!$C$6),SUM(INDEX(G:G,MATCH(I2292-1,I:I,0)+1,1):INDEX(G:G,MATCH(I2292,I:I,0)-1,1)),D2292-C2292)</f>
        <v>#NAME?</v>
      </c>
      <c r="H2292" s="140" t="e">
        <f ca="1">mif(C2292="","",B2292=リスト!$C$5,SUMIF(INDEX(B:B,MATCH(I2292-1,I:I,0)+1,1):INDEX(B:B,MATCH(I2292,I:I,0)-1,1),リスト!$C$7,INDEX(G:G,MATCH(I2292-1,I:I,0)+1,1):INDEX(G:G,MATCH(I2292,I:I,0)-1,1)),"")</f>
        <v>#NAME?</v>
      </c>
      <c r="I2292" s="200" t="str">
        <f>IF(OR(B2292=リスト!$C$5,B2292=リスト!$C$6),COUNTIF($B$9:B2292,リスト!$C$5)+COUNTIF($B$9:B2292,リスト!$C$6),"")</f>
        <v/>
      </c>
    </row>
    <row r="2293" spans="2:9" x14ac:dyDescent="0.2">
      <c r="B2293" s="196"/>
      <c r="C2293" s="197"/>
      <c r="D2293" s="197"/>
      <c r="E2293" s="198" t="e">
        <f ca="1">mif(OR(C2293="",B2293=リスト!$C$7),"",B2293="","RF",OR(B2293=リスト!$C$5,B2293=リスト!$C$6),COUNTBLANK(INDEX(B:B,MATCH(I2293-1,I:I,0)+1,1):INDEX(B:B,MATCH(I2293,I:I,0)-1,1)),"")</f>
        <v>#NAME?</v>
      </c>
      <c r="F2293" s="199" t="s">
        <v>189</v>
      </c>
      <c r="G2293" s="140" t="e">
        <f ca="1">mif(C2293="","",OR(B2293=リスト!$C$5,B2293=リスト!$C$6),SUM(INDEX(G:G,MATCH(I2293-1,I:I,0)+1,1):INDEX(G:G,MATCH(I2293,I:I,0)-1,1)),D2293-C2293)</f>
        <v>#NAME?</v>
      </c>
      <c r="H2293" s="140" t="e">
        <f ca="1">mif(C2293="","",B2293=リスト!$C$5,SUMIF(INDEX(B:B,MATCH(I2293-1,I:I,0)+1,1):INDEX(B:B,MATCH(I2293,I:I,0)-1,1),リスト!$C$7,INDEX(G:G,MATCH(I2293-1,I:I,0)+1,1):INDEX(G:G,MATCH(I2293,I:I,0)-1,1)),"")</f>
        <v>#NAME?</v>
      </c>
      <c r="I2293" s="200" t="str">
        <f>IF(OR(B2293=リスト!$C$5,B2293=リスト!$C$6),COUNTIF($B$9:B2293,リスト!$C$5)+COUNTIF($B$9:B2293,リスト!$C$6),"")</f>
        <v/>
      </c>
    </row>
    <row r="2294" spans="2:9" x14ac:dyDescent="0.2">
      <c r="B2294" s="196"/>
      <c r="C2294" s="197"/>
      <c r="D2294" s="197"/>
      <c r="E2294" s="198" t="e">
        <f ca="1">mif(OR(C2294="",B2294=リスト!$C$7),"",B2294="","RF",OR(B2294=リスト!$C$5,B2294=リスト!$C$6),COUNTBLANK(INDEX(B:B,MATCH(I2294-1,I:I,0)+1,1):INDEX(B:B,MATCH(I2294,I:I,0)-1,1)),"")</f>
        <v>#NAME?</v>
      </c>
      <c r="F2294" s="199" t="s">
        <v>189</v>
      </c>
      <c r="G2294" s="140" t="e">
        <f ca="1">mif(C2294="","",OR(B2294=リスト!$C$5,B2294=リスト!$C$6),SUM(INDEX(G:G,MATCH(I2294-1,I:I,0)+1,1):INDEX(G:G,MATCH(I2294,I:I,0)-1,1)),D2294-C2294)</f>
        <v>#NAME?</v>
      </c>
      <c r="H2294" s="140" t="e">
        <f ca="1">mif(C2294="","",B2294=リスト!$C$5,SUMIF(INDEX(B:B,MATCH(I2294-1,I:I,0)+1,1):INDEX(B:B,MATCH(I2294,I:I,0)-1,1),リスト!$C$7,INDEX(G:G,MATCH(I2294-1,I:I,0)+1,1):INDEX(G:G,MATCH(I2294,I:I,0)-1,1)),"")</f>
        <v>#NAME?</v>
      </c>
      <c r="I2294" s="200" t="str">
        <f>IF(OR(B2294=リスト!$C$5,B2294=リスト!$C$6),COUNTIF($B$9:B2294,リスト!$C$5)+COUNTIF($B$9:B2294,リスト!$C$6),"")</f>
        <v/>
      </c>
    </row>
    <row r="2295" spans="2:9" x14ac:dyDescent="0.2">
      <c r="B2295" s="196"/>
      <c r="C2295" s="197"/>
      <c r="D2295" s="197"/>
      <c r="E2295" s="198" t="e">
        <f ca="1">mif(OR(C2295="",B2295=リスト!$C$7),"",B2295="","RF",OR(B2295=リスト!$C$5,B2295=リスト!$C$6),COUNTBLANK(INDEX(B:B,MATCH(I2295-1,I:I,0)+1,1):INDEX(B:B,MATCH(I2295,I:I,0)-1,1)),"")</f>
        <v>#NAME?</v>
      </c>
      <c r="F2295" s="199" t="s">
        <v>189</v>
      </c>
      <c r="G2295" s="140" t="e">
        <f ca="1">mif(C2295="","",OR(B2295=リスト!$C$5,B2295=リスト!$C$6),SUM(INDEX(G:G,MATCH(I2295-1,I:I,0)+1,1):INDEX(G:G,MATCH(I2295,I:I,0)-1,1)),D2295-C2295)</f>
        <v>#NAME?</v>
      </c>
      <c r="H2295" s="140" t="e">
        <f ca="1">mif(C2295="","",B2295=リスト!$C$5,SUMIF(INDEX(B:B,MATCH(I2295-1,I:I,0)+1,1):INDEX(B:B,MATCH(I2295,I:I,0)-1,1),リスト!$C$7,INDEX(G:G,MATCH(I2295-1,I:I,0)+1,1):INDEX(G:G,MATCH(I2295,I:I,0)-1,1)),"")</f>
        <v>#NAME?</v>
      </c>
      <c r="I2295" s="200" t="str">
        <f>IF(OR(B2295=リスト!$C$5,B2295=リスト!$C$6),COUNTIF($B$9:B2295,リスト!$C$5)+COUNTIF($B$9:B2295,リスト!$C$6),"")</f>
        <v/>
      </c>
    </row>
    <row r="2296" spans="2:9" x14ac:dyDescent="0.2">
      <c r="B2296" s="196"/>
      <c r="C2296" s="197"/>
      <c r="D2296" s="197"/>
      <c r="E2296" s="198" t="e">
        <f ca="1">mif(OR(C2296="",B2296=リスト!$C$7),"",B2296="","RF",OR(B2296=リスト!$C$5,B2296=リスト!$C$6),COUNTBLANK(INDEX(B:B,MATCH(I2296-1,I:I,0)+1,1):INDEX(B:B,MATCH(I2296,I:I,0)-1,1)),"")</f>
        <v>#NAME?</v>
      </c>
      <c r="F2296" s="199" t="s">
        <v>189</v>
      </c>
      <c r="G2296" s="140" t="e">
        <f ca="1">mif(C2296="","",OR(B2296=リスト!$C$5,B2296=リスト!$C$6),SUM(INDEX(G:G,MATCH(I2296-1,I:I,0)+1,1):INDEX(G:G,MATCH(I2296,I:I,0)-1,1)),D2296-C2296)</f>
        <v>#NAME?</v>
      </c>
      <c r="H2296" s="140" t="e">
        <f ca="1">mif(C2296="","",B2296=リスト!$C$5,SUMIF(INDEX(B:B,MATCH(I2296-1,I:I,0)+1,1):INDEX(B:B,MATCH(I2296,I:I,0)-1,1),リスト!$C$7,INDEX(G:G,MATCH(I2296-1,I:I,0)+1,1):INDEX(G:G,MATCH(I2296,I:I,0)-1,1)),"")</f>
        <v>#NAME?</v>
      </c>
      <c r="I2296" s="200" t="str">
        <f>IF(OR(B2296=リスト!$C$5,B2296=リスト!$C$6),COUNTIF($B$9:B2296,リスト!$C$5)+COUNTIF($B$9:B2296,リスト!$C$6),"")</f>
        <v/>
      </c>
    </row>
    <row r="2297" spans="2:9" x14ac:dyDescent="0.2">
      <c r="B2297" s="196"/>
      <c r="C2297" s="197"/>
      <c r="D2297" s="197"/>
      <c r="E2297" s="198" t="e">
        <f ca="1">mif(OR(C2297="",B2297=リスト!$C$7),"",B2297="","RF",OR(B2297=リスト!$C$5,B2297=リスト!$C$6),COUNTBLANK(INDEX(B:B,MATCH(I2297-1,I:I,0)+1,1):INDEX(B:B,MATCH(I2297,I:I,0)-1,1)),"")</f>
        <v>#NAME?</v>
      </c>
      <c r="F2297" s="199" t="s">
        <v>189</v>
      </c>
      <c r="G2297" s="140" t="e">
        <f ca="1">mif(C2297="","",OR(B2297=リスト!$C$5,B2297=リスト!$C$6),SUM(INDEX(G:G,MATCH(I2297-1,I:I,0)+1,1):INDEX(G:G,MATCH(I2297,I:I,0)-1,1)),D2297-C2297)</f>
        <v>#NAME?</v>
      </c>
      <c r="H2297" s="140" t="e">
        <f ca="1">mif(C2297="","",B2297=リスト!$C$5,SUMIF(INDEX(B:B,MATCH(I2297-1,I:I,0)+1,1):INDEX(B:B,MATCH(I2297,I:I,0)-1,1),リスト!$C$7,INDEX(G:G,MATCH(I2297-1,I:I,0)+1,1):INDEX(G:G,MATCH(I2297,I:I,0)-1,1)),"")</f>
        <v>#NAME?</v>
      </c>
      <c r="I2297" s="200" t="str">
        <f>IF(OR(B2297=リスト!$C$5,B2297=リスト!$C$6),COUNTIF($B$9:B2297,リスト!$C$5)+COUNTIF($B$9:B2297,リスト!$C$6),"")</f>
        <v/>
      </c>
    </row>
    <row r="2298" spans="2:9" x14ac:dyDescent="0.2">
      <c r="B2298" s="196"/>
      <c r="C2298" s="197"/>
      <c r="D2298" s="197"/>
      <c r="E2298" s="198" t="e">
        <f ca="1">mif(OR(C2298="",B2298=リスト!$C$7),"",B2298="","RF",OR(B2298=リスト!$C$5,B2298=リスト!$C$6),COUNTBLANK(INDEX(B:B,MATCH(I2298-1,I:I,0)+1,1):INDEX(B:B,MATCH(I2298,I:I,0)-1,1)),"")</f>
        <v>#NAME?</v>
      </c>
      <c r="F2298" s="199" t="s">
        <v>189</v>
      </c>
      <c r="G2298" s="140" t="e">
        <f ca="1">mif(C2298="","",OR(B2298=リスト!$C$5,B2298=リスト!$C$6),SUM(INDEX(G:G,MATCH(I2298-1,I:I,0)+1,1):INDEX(G:G,MATCH(I2298,I:I,0)-1,1)),D2298-C2298)</f>
        <v>#NAME?</v>
      </c>
      <c r="H2298" s="140" t="e">
        <f ca="1">mif(C2298="","",B2298=リスト!$C$5,SUMIF(INDEX(B:B,MATCH(I2298-1,I:I,0)+1,1):INDEX(B:B,MATCH(I2298,I:I,0)-1,1),リスト!$C$7,INDEX(G:G,MATCH(I2298-1,I:I,0)+1,1):INDEX(G:G,MATCH(I2298,I:I,0)-1,1)),"")</f>
        <v>#NAME?</v>
      </c>
      <c r="I2298" s="200" t="str">
        <f>IF(OR(B2298=リスト!$C$5,B2298=リスト!$C$6),COUNTIF($B$9:B2298,リスト!$C$5)+COUNTIF($B$9:B2298,リスト!$C$6),"")</f>
        <v/>
      </c>
    </row>
    <row r="2299" spans="2:9" x14ac:dyDescent="0.2">
      <c r="B2299" s="196"/>
      <c r="C2299" s="197"/>
      <c r="D2299" s="197"/>
      <c r="E2299" s="198" t="e">
        <f ca="1">mif(OR(C2299="",B2299=リスト!$C$7),"",B2299="","RF",OR(B2299=リスト!$C$5,B2299=リスト!$C$6),COUNTBLANK(INDEX(B:B,MATCH(I2299-1,I:I,0)+1,1):INDEX(B:B,MATCH(I2299,I:I,0)-1,1)),"")</f>
        <v>#NAME?</v>
      </c>
      <c r="F2299" s="199" t="s">
        <v>189</v>
      </c>
      <c r="G2299" s="140" t="e">
        <f ca="1">mif(C2299="","",OR(B2299=リスト!$C$5,B2299=リスト!$C$6),SUM(INDEX(G:G,MATCH(I2299-1,I:I,0)+1,1):INDEX(G:G,MATCH(I2299,I:I,0)-1,1)),D2299-C2299)</f>
        <v>#NAME?</v>
      </c>
      <c r="H2299" s="140" t="e">
        <f ca="1">mif(C2299="","",B2299=リスト!$C$5,SUMIF(INDEX(B:B,MATCH(I2299-1,I:I,0)+1,1):INDEX(B:B,MATCH(I2299,I:I,0)-1,1),リスト!$C$7,INDEX(G:G,MATCH(I2299-1,I:I,0)+1,1):INDEX(G:G,MATCH(I2299,I:I,0)-1,1)),"")</f>
        <v>#NAME?</v>
      </c>
      <c r="I2299" s="200" t="str">
        <f>IF(OR(B2299=リスト!$C$5,B2299=リスト!$C$6),COUNTIF($B$9:B2299,リスト!$C$5)+COUNTIF($B$9:B2299,リスト!$C$6),"")</f>
        <v/>
      </c>
    </row>
    <row r="2300" spans="2:9" x14ac:dyDescent="0.2">
      <c r="B2300" s="196"/>
      <c r="C2300" s="197"/>
      <c r="D2300" s="197"/>
      <c r="E2300" s="198" t="e">
        <f ca="1">mif(OR(C2300="",B2300=リスト!$C$7),"",B2300="","RF",OR(B2300=リスト!$C$5,B2300=リスト!$C$6),COUNTBLANK(INDEX(B:B,MATCH(I2300-1,I:I,0)+1,1):INDEX(B:B,MATCH(I2300,I:I,0)-1,1)),"")</f>
        <v>#NAME?</v>
      </c>
      <c r="F2300" s="199" t="s">
        <v>189</v>
      </c>
      <c r="G2300" s="140" t="e">
        <f ca="1">mif(C2300="","",OR(B2300=リスト!$C$5,B2300=リスト!$C$6),SUM(INDEX(G:G,MATCH(I2300-1,I:I,0)+1,1):INDEX(G:G,MATCH(I2300,I:I,0)-1,1)),D2300-C2300)</f>
        <v>#NAME?</v>
      </c>
      <c r="H2300" s="140" t="e">
        <f ca="1">mif(C2300="","",B2300=リスト!$C$5,SUMIF(INDEX(B:B,MATCH(I2300-1,I:I,0)+1,1):INDEX(B:B,MATCH(I2300,I:I,0)-1,1),リスト!$C$7,INDEX(G:G,MATCH(I2300-1,I:I,0)+1,1):INDEX(G:G,MATCH(I2300,I:I,0)-1,1)),"")</f>
        <v>#NAME?</v>
      </c>
      <c r="I2300" s="200" t="str">
        <f>IF(OR(B2300=リスト!$C$5,B2300=リスト!$C$6),COUNTIF($B$9:B2300,リスト!$C$5)+COUNTIF($B$9:B2300,リスト!$C$6),"")</f>
        <v/>
      </c>
    </row>
    <row r="2301" spans="2:9" x14ac:dyDescent="0.2">
      <c r="B2301" s="196"/>
      <c r="C2301" s="197"/>
      <c r="D2301" s="197"/>
      <c r="E2301" s="198" t="e">
        <f ca="1">mif(OR(C2301="",B2301=リスト!$C$7),"",B2301="","RF",OR(B2301=リスト!$C$5,B2301=リスト!$C$6),COUNTBLANK(INDEX(B:B,MATCH(I2301-1,I:I,0)+1,1):INDEX(B:B,MATCH(I2301,I:I,0)-1,1)),"")</f>
        <v>#NAME?</v>
      </c>
      <c r="F2301" s="199" t="s">
        <v>189</v>
      </c>
      <c r="G2301" s="140" t="e">
        <f ca="1">mif(C2301="","",OR(B2301=リスト!$C$5,B2301=リスト!$C$6),SUM(INDEX(G:G,MATCH(I2301-1,I:I,0)+1,1):INDEX(G:G,MATCH(I2301,I:I,0)-1,1)),D2301-C2301)</f>
        <v>#NAME?</v>
      </c>
      <c r="H2301" s="140" t="e">
        <f ca="1">mif(C2301="","",B2301=リスト!$C$5,SUMIF(INDEX(B:B,MATCH(I2301-1,I:I,0)+1,1):INDEX(B:B,MATCH(I2301,I:I,0)-1,1),リスト!$C$7,INDEX(G:G,MATCH(I2301-1,I:I,0)+1,1):INDEX(G:G,MATCH(I2301,I:I,0)-1,1)),"")</f>
        <v>#NAME?</v>
      </c>
      <c r="I2301" s="200" t="str">
        <f>IF(OR(B2301=リスト!$C$5,B2301=リスト!$C$6),COUNTIF($B$9:B2301,リスト!$C$5)+COUNTIF($B$9:B2301,リスト!$C$6),"")</f>
        <v/>
      </c>
    </row>
    <row r="2302" spans="2:9" x14ac:dyDescent="0.2">
      <c r="B2302" s="196"/>
      <c r="C2302" s="197"/>
      <c r="D2302" s="197"/>
      <c r="E2302" s="198" t="e">
        <f ca="1">mif(OR(C2302="",B2302=リスト!$C$7),"",B2302="","RF",OR(B2302=リスト!$C$5,B2302=リスト!$C$6),COUNTBLANK(INDEX(B:B,MATCH(I2302-1,I:I,0)+1,1):INDEX(B:B,MATCH(I2302,I:I,0)-1,1)),"")</f>
        <v>#NAME?</v>
      </c>
      <c r="F2302" s="199" t="s">
        <v>189</v>
      </c>
      <c r="G2302" s="140" t="e">
        <f ca="1">mif(C2302="","",OR(B2302=リスト!$C$5,B2302=リスト!$C$6),SUM(INDEX(G:G,MATCH(I2302-1,I:I,0)+1,1):INDEX(G:G,MATCH(I2302,I:I,0)-1,1)),D2302-C2302)</f>
        <v>#NAME?</v>
      </c>
      <c r="H2302" s="140" t="e">
        <f ca="1">mif(C2302="","",B2302=リスト!$C$5,SUMIF(INDEX(B:B,MATCH(I2302-1,I:I,0)+1,1):INDEX(B:B,MATCH(I2302,I:I,0)-1,1),リスト!$C$7,INDEX(G:G,MATCH(I2302-1,I:I,0)+1,1):INDEX(G:G,MATCH(I2302,I:I,0)-1,1)),"")</f>
        <v>#NAME?</v>
      </c>
      <c r="I2302" s="200" t="str">
        <f>IF(OR(B2302=リスト!$C$5,B2302=リスト!$C$6),COUNTIF($B$9:B2302,リスト!$C$5)+COUNTIF($B$9:B2302,リスト!$C$6),"")</f>
        <v/>
      </c>
    </row>
    <row r="2303" spans="2:9" x14ac:dyDescent="0.2">
      <c r="B2303" s="196"/>
      <c r="C2303" s="197"/>
      <c r="D2303" s="197"/>
      <c r="E2303" s="198" t="e">
        <f ca="1">mif(OR(C2303="",B2303=リスト!$C$7),"",B2303="","RF",OR(B2303=リスト!$C$5,B2303=リスト!$C$6),COUNTBLANK(INDEX(B:B,MATCH(I2303-1,I:I,0)+1,1):INDEX(B:B,MATCH(I2303,I:I,0)-1,1)),"")</f>
        <v>#NAME?</v>
      </c>
      <c r="F2303" s="199" t="s">
        <v>189</v>
      </c>
      <c r="G2303" s="140" t="e">
        <f ca="1">mif(C2303="","",OR(B2303=リスト!$C$5,B2303=リスト!$C$6),SUM(INDEX(G:G,MATCH(I2303-1,I:I,0)+1,1):INDEX(G:G,MATCH(I2303,I:I,0)-1,1)),D2303-C2303)</f>
        <v>#NAME?</v>
      </c>
      <c r="H2303" s="140" t="e">
        <f ca="1">mif(C2303="","",B2303=リスト!$C$5,SUMIF(INDEX(B:B,MATCH(I2303-1,I:I,0)+1,1):INDEX(B:B,MATCH(I2303,I:I,0)-1,1),リスト!$C$7,INDEX(G:G,MATCH(I2303-1,I:I,0)+1,1):INDEX(G:G,MATCH(I2303,I:I,0)-1,1)),"")</f>
        <v>#NAME?</v>
      </c>
      <c r="I2303" s="200" t="str">
        <f>IF(OR(B2303=リスト!$C$5,B2303=リスト!$C$6),COUNTIF($B$9:B2303,リスト!$C$5)+COUNTIF($B$9:B2303,リスト!$C$6),"")</f>
        <v/>
      </c>
    </row>
    <row r="2304" spans="2:9" x14ac:dyDescent="0.2">
      <c r="B2304" s="196"/>
      <c r="C2304" s="197"/>
      <c r="D2304" s="197"/>
      <c r="E2304" s="198" t="e">
        <f ca="1">mif(OR(C2304="",B2304=リスト!$C$7),"",B2304="","RF",OR(B2304=リスト!$C$5,B2304=リスト!$C$6),COUNTBLANK(INDEX(B:B,MATCH(I2304-1,I:I,0)+1,1):INDEX(B:B,MATCH(I2304,I:I,0)-1,1)),"")</f>
        <v>#NAME?</v>
      </c>
      <c r="F2304" s="199" t="s">
        <v>189</v>
      </c>
      <c r="G2304" s="140" t="e">
        <f ca="1">mif(C2304="","",OR(B2304=リスト!$C$5,B2304=リスト!$C$6),SUM(INDEX(G:G,MATCH(I2304-1,I:I,0)+1,1):INDEX(G:G,MATCH(I2304,I:I,0)-1,1)),D2304-C2304)</f>
        <v>#NAME?</v>
      </c>
      <c r="H2304" s="140" t="e">
        <f ca="1">mif(C2304="","",B2304=リスト!$C$5,SUMIF(INDEX(B:B,MATCH(I2304-1,I:I,0)+1,1):INDEX(B:B,MATCH(I2304,I:I,0)-1,1),リスト!$C$7,INDEX(G:G,MATCH(I2304-1,I:I,0)+1,1):INDEX(G:G,MATCH(I2304,I:I,0)-1,1)),"")</f>
        <v>#NAME?</v>
      </c>
      <c r="I2304" s="200" t="str">
        <f>IF(OR(B2304=リスト!$C$5,B2304=リスト!$C$6),COUNTIF($B$9:B2304,リスト!$C$5)+COUNTIF($B$9:B2304,リスト!$C$6),"")</f>
        <v/>
      </c>
    </row>
    <row r="2305" spans="2:9" x14ac:dyDescent="0.2">
      <c r="B2305" s="196"/>
      <c r="C2305" s="197"/>
      <c r="D2305" s="197"/>
      <c r="E2305" s="198" t="e">
        <f ca="1">mif(OR(C2305="",B2305=リスト!$C$7),"",B2305="","RF",OR(B2305=リスト!$C$5,B2305=リスト!$C$6),COUNTBLANK(INDEX(B:B,MATCH(I2305-1,I:I,0)+1,1):INDEX(B:B,MATCH(I2305,I:I,0)-1,1)),"")</f>
        <v>#NAME?</v>
      </c>
      <c r="F2305" s="199" t="s">
        <v>189</v>
      </c>
      <c r="G2305" s="140" t="e">
        <f ca="1">mif(C2305="","",OR(B2305=リスト!$C$5,B2305=リスト!$C$6),SUM(INDEX(G:G,MATCH(I2305-1,I:I,0)+1,1):INDEX(G:G,MATCH(I2305,I:I,0)-1,1)),D2305-C2305)</f>
        <v>#NAME?</v>
      </c>
      <c r="H2305" s="140" t="e">
        <f ca="1">mif(C2305="","",B2305=リスト!$C$5,SUMIF(INDEX(B:B,MATCH(I2305-1,I:I,0)+1,1):INDEX(B:B,MATCH(I2305,I:I,0)-1,1),リスト!$C$7,INDEX(G:G,MATCH(I2305-1,I:I,0)+1,1):INDEX(G:G,MATCH(I2305,I:I,0)-1,1)),"")</f>
        <v>#NAME?</v>
      </c>
      <c r="I2305" s="200" t="str">
        <f>IF(OR(B2305=リスト!$C$5,B2305=リスト!$C$6),COUNTIF($B$9:B2305,リスト!$C$5)+COUNTIF($B$9:B2305,リスト!$C$6),"")</f>
        <v/>
      </c>
    </row>
    <row r="2306" spans="2:9" x14ac:dyDescent="0.2">
      <c r="B2306" s="196"/>
      <c r="C2306" s="197"/>
      <c r="D2306" s="197"/>
      <c r="E2306" s="198" t="e">
        <f ca="1">mif(OR(C2306="",B2306=リスト!$C$7),"",B2306="","RF",OR(B2306=リスト!$C$5,B2306=リスト!$C$6),COUNTBLANK(INDEX(B:B,MATCH(I2306-1,I:I,0)+1,1):INDEX(B:B,MATCH(I2306,I:I,0)-1,1)),"")</f>
        <v>#NAME?</v>
      </c>
      <c r="F2306" s="199" t="s">
        <v>189</v>
      </c>
      <c r="G2306" s="140" t="e">
        <f ca="1">mif(C2306="","",OR(B2306=リスト!$C$5,B2306=リスト!$C$6),SUM(INDEX(G:G,MATCH(I2306-1,I:I,0)+1,1):INDEX(G:G,MATCH(I2306,I:I,0)-1,1)),D2306-C2306)</f>
        <v>#NAME?</v>
      </c>
      <c r="H2306" s="140" t="e">
        <f ca="1">mif(C2306="","",B2306=リスト!$C$5,SUMIF(INDEX(B:B,MATCH(I2306-1,I:I,0)+1,1):INDEX(B:B,MATCH(I2306,I:I,0)-1,1),リスト!$C$7,INDEX(G:G,MATCH(I2306-1,I:I,0)+1,1):INDEX(G:G,MATCH(I2306,I:I,0)-1,1)),"")</f>
        <v>#NAME?</v>
      </c>
      <c r="I2306" s="200" t="str">
        <f>IF(OR(B2306=リスト!$C$5,B2306=リスト!$C$6),COUNTIF($B$9:B2306,リスト!$C$5)+COUNTIF($B$9:B2306,リスト!$C$6),"")</f>
        <v/>
      </c>
    </row>
    <row r="2307" spans="2:9" x14ac:dyDescent="0.2">
      <c r="B2307" s="196"/>
      <c r="C2307" s="197"/>
      <c r="D2307" s="197"/>
      <c r="E2307" s="198" t="e">
        <f ca="1">mif(OR(C2307="",B2307=リスト!$C$7),"",B2307="","RF",OR(B2307=リスト!$C$5,B2307=リスト!$C$6),COUNTBLANK(INDEX(B:B,MATCH(I2307-1,I:I,0)+1,1):INDEX(B:B,MATCH(I2307,I:I,0)-1,1)),"")</f>
        <v>#NAME?</v>
      </c>
      <c r="F2307" s="199" t="s">
        <v>189</v>
      </c>
      <c r="G2307" s="140" t="e">
        <f ca="1">mif(C2307="","",OR(B2307=リスト!$C$5,B2307=リスト!$C$6),SUM(INDEX(G:G,MATCH(I2307-1,I:I,0)+1,1):INDEX(G:G,MATCH(I2307,I:I,0)-1,1)),D2307-C2307)</f>
        <v>#NAME?</v>
      </c>
      <c r="H2307" s="140" t="e">
        <f ca="1">mif(C2307="","",B2307=リスト!$C$5,SUMIF(INDEX(B:B,MATCH(I2307-1,I:I,0)+1,1):INDEX(B:B,MATCH(I2307,I:I,0)-1,1),リスト!$C$7,INDEX(G:G,MATCH(I2307-1,I:I,0)+1,1):INDEX(G:G,MATCH(I2307,I:I,0)-1,1)),"")</f>
        <v>#NAME?</v>
      </c>
      <c r="I2307" s="200" t="str">
        <f>IF(OR(B2307=リスト!$C$5,B2307=リスト!$C$6),COUNTIF($B$9:B2307,リスト!$C$5)+COUNTIF($B$9:B2307,リスト!$C$6),"")</f>
        <v/>
      </c>
    </row>
    <row r="2308" spans="2:9" x14ac:dyDescent="0.2">
      <c r="B2308" s="196"/>
      <c r="C2308" s="197"/>
      <c r="D2308" s="197"/>
      <c r="E2308" s="198" t="e">
        <f ca="1">mif(OR(C2308="",B2308=リスト!$C$7),"",B2308="","RF",OR(B2308=リスト!$C$5,B2308=リスト!$C$6),COUNTBLANK(INDEX(B:B,MATCH(I2308-1,I:I,0)+1,1):INDEX(B:B,MATCH(I2308,I:I,0)-1,1)),"")</f>
        <v>#NAME?</v>
      </c>
      <c r="F2308" s="199" t="s">
        <v>189</v>
      </c>
      <c r="G2308" s="140" t="e">
        <f ca="1">mif(C2308="","",OR(B2308=リスト!$C$5,B2308=リスト!$C$6),SUM(INDEX(G:G,MATCH(I2308-1,I:I,0)+1,1):INDEX(G:G,MATCH(I2308,I:I,0)-1,1)),D2308-C2308)</f>
        <v>#NAME?</v>
      </c>
      <c r="H2308" s="140" t="e">
        <f ca="1">mif(C2308="","",B2308=リスト!$C$5,SUMIF(INDEX(B:B,MATCH(I2308-1,I:I,0)+1,1):INDEX(B:B,MATCH(I2308,I:I,0)-1,1),リスト!$C$7,INDEX(G:G,MATCH(I2308-1,I:I,0)+1,1):INDEX(G:G,MATCH(I2308,I:I,0)-1,1)),"")</f>
        <v>#NAME?</v>
      </c>
      <c r="I2308" s="200" t="str">
        <f>IF(OR(B2308=リスト!$C$5,B2308=リスト!$C$6),COUNTIF($B$9:B2308,リスト!$C$5)+COUNTIF($B$9:B2308,リスト!$C$6),"")</f>
        <v/>
      </c>
    </row>
    <row r="2309" spans="2:9" x14ac:dyDescent="0.2">
      <c r="B2309" s="196"/>
      <c r="C2309" s="197"/>
      <c r="D2309" s="197"/>
      <c r="E2309" s="198" t="e">
        <f ca="1">mif(OR(C2309="",B2309=リスト!$C$7),"",B2309="","RF",OR(B2309=リスト!$C$5,B2309=リスト!$C$6),COUNTBLANK(INDEX(B:B,MATCH(I2309-1,I:I,0)+1,1):INDEX(B:B,MATCH(I2309,I:I,0)-1,1)),"")</f>
        <v>#NAME?</v>
      </c>
      <c r="F2309" s="199" t="s">
        <v>189</v>
      </c>
      <c r="G2309" s="140" t="e">
        <f ca="1">mif(C2309="","",OR(B2309=リスト!$C$5,B2309=リスト!$C$6),SUM(INDEX(G:G,MATCH(I2309-1,I:I,0)+1,1):INDEX(G:G,MATCH(I2309,I:I,0)-1,1)),D2309-C2309)</f>
        <v>#NAME?</v>
      </c>
      <c r="H2309" s="140" t="e">
        <f ca="1">mif(C2309="","",B2309=リスト!$C$5,SUMIF(INDEX(B:B,MATCH(I2309-1,I:I,0)+1,1):INDEX(B:B,MATCH(I2309,I:I,0)-1,1),リスト!$C$7,INDEX(G:G,MATCH(I2309-1,I:I,0)+1,1):INDEX(G:G,MATCH(I2309,I:I,0)-1,1)),"")</f>
        <v>#NAME?</v>
      </c>
      <c r="I2309" s="200" t="str">
        <f>IF(OR(B2309=リスト!$C$5,B2309=リスト!$C$6),COUNTIF($B$9:B2309,リスト!$C$5)+COUNTIF($B$9:B2309,リスト!$C$6),"")</f>
        <v/>
      </c>
    </row>
    <row r="2310" spans="2:9" x14ac:dyDescent="0.2">
      <c r="B2310" s="196"/>
      <c r="C2310" s="197"/>
      <c r="D2310" s="197"/>
      <c r="E2310" s="198" t="e">
        <f ca="1">mif(OR(C2310="",B2310=リスト!$C$7),"",B2310="","RF",OR(B2310=リスト!$C$5,B2310=リスト!$C$6),COUNTBLANK(INDEX(B:B,MATCH(I2310-1,I:I,0)+1,1):INDEX(B:B,MATCH(I2310,I:I,0)-1,1)),"")</f>
        <v>#NAME?</v>
      </c>
      <c r="F2310" s="199" t="s">
        <v>189</v>
      </c>
      <c r="G2310" s="140" t="e">
        <f ca="1">mif(C2310="","",OR(B2310=リスト!$C$5,B2310=リスト!$C$6),SUM(INDEX(G:G,MATCH(I2310-1,I:I,0)+1,1):INDEX(G:G,MATCH(I2310,I:I,0)-1,1)),D2310-C2310)</f>
        <v>#NAME?</v>
      </c>
      <c r="H2310" s="140" t="e">
        <f ca="1">mif(C2310="","",B2310=リスト!$C$5,SUMIF(INDEX(B:B,MATCH(I2310-1,I:I,0)+1,1):INDEX(B:B,MATCH(I2310,I:I,0)-1,1),リスト!$C$7,INDEX(G:G,MATCH(I2310-1,I:I,0)+1,1):INDEX(G:G,MATCH(I2310,I:I,0)-1,1)),"")</f>
        <v>#NAME?</v>
      </c>
      <c r="I2310" s="200" t="str">
        <f>IF(OR(B2310=リスト!$C$5,B2310=リスト!$C$6),COUNTIF($B$9:B2310,リスト!$C$5)+COUNTIF($B$9:B2310,リスト!$C$6),"")</f>
        <v/>
      </c>
    </row>
    <row r="2311" spans="2:9" x14ac:dyDescent="0.2">
      <c r="B2311" s="196"/>
      <c r="C2311" s="197"/>
      <c r="D2311" s="197"/>
      <c r="E2311" s="198" t="e">
        <f ca="1">mif(OR(C2311="",B2311=リスト!$C$7),"",B2311="","RF",OR(B2311=リスト!$C$5,B2311=リスト!$C$6),COUNTBLANK(INDEX(B:B,MATCH(I2311-1,I:I,0)+1,1):INDEX(B:B,MATCH(I2311,I:I,0)-1,1)),"")</f>
        <v>#NAME?</v>
      </c>
      <c r="F2311" s="199" t="s">
        <v>189</v>
      </c>
      <c r="G2311" s="140" t="e">
        <f ca="1">mif(C2311="","",OR(B2311=リスト!$C$5,B2311=リスト!$C$6),SUM(INDEX(G:G,MATCH(I2311-1,I:I,0)+1,1):INDEX(G:G,MATCH(I2311,I:I,0)-1,1)),D2311-C2311)</f>
        <v>#NAME?</v>
      </c>
      <c r="H2311" s="140" t="e">
        <f ca="1">mif(C2311="","",B2311=リスト!$C$5,SUMIF(INDEX(B:B,MATCH(I2311-1,I:I,0)+1,1):INDEX(B:B,MATCH(I2311,I:I,0)-1,1),リスト!$C$7,INDEX(G:G,MATCH(I2311-1,I:I,0)+1,1):INDEX(G:G,MATCH(I2311,I:I,0)-1,1)),"")</f>
        <v>#NAME?</v>
      </c>
      <c r="I2311" s="200" t="str">
        <f>IF(OR(B2311=リスト!$C$5,B2311=リスト!$C$6),COUNTIF($B$9:B2311,リスト!$C$5)+COUNTIF($B$9:B2311,リスト!$C$6),"")</f>
        <v/>
      </c>
    </row>
    <row r="2312" spans="2:9" x14ac:dyDescent="0.2">
      <c r="B2312" s="196"/>
      <c r="C2312" s="197"/>
      <c r="D2312" s="197"/>
      <c r="E2312" s="198" t="e">
        <f ca="1">mif(OR(C2312="",B2312=リスト!$C$7),"",B2312="","RF",OR(B2312=リスト!$C$5,B2312=リスト!$C$6),COUNTBLANK(INDEX(B:B,MATCH(I2312-1,I:I,0)+1,1):INDEX(B:B,MATCH(I2312,I:I,0)-1,1)),"")</f>
        <v>#NAME?</v>
      </c>
      <c r="F2312" s="199" t="s">
        <v>189</v>
      </c>
      <c r="G2312" s="140" t="e">
        <f ca="1">mif(C2312="","",OR(B2312=リスト!$C$5,B2312=リスト!$C$6),SUM(INDEX(G:G,MATCH(I2312-1,I:I,0)+1,1):INDEX(G:G,MATCH(I2312,I:I,0)-1,1)),D2312-C2312)</f>
        <v>#NAME?</v>
      </c>
      <c r="H2312" s="140" t="e">
        <f ca="1">mif(C2312="","",B2312=リスト!$C$5,SUMIF(INDEX(B:B,MATCH(I2312-1,I:I,0)+1,1):INDEX(B:B,MATCH(I2312,I:I,0)-1,1),リスト!$C$7,INDEX(G:G,MATCH(I2312-1,I:I,0)+1,1):INDEX(G:G,MATCH(I2312,I:I,0)-1,1)),"")</f>
        <v>#NAME?</v>
      </c>
      <c r="I2312" s="200" t="str">
        <f>IF(OR(B2312=リスト!$C$5,B2312=リスト!$C$6),COUNTIF($B$9:B2312,リスト!$C$5)+COUNTIF($B$9:B2312,リスト!$C$6),"")</f>
        <v/>
      </c>
    </row>
    <row r="2313" spans="2:9" x14ac:dyDescent="0.2">
      <c r="B2313" s="196"/>
      <c r="C2313" s="197"/>
      <c r="D2313" s="197"/>
      <c r="E2313" s="198" t="e">
        <f ca="1">mif(OR(C2313="",B2313=リスト!$C$7),"",B2313="","RF",OR(B2313=リスト!$C$5,B2313=リスト!$C$6),COUNTBLANK(INDEX(B:B,MATCH(I2313-1,I:I,0)+1,1):INDEX(B:B,MATCH(I2313,I:I,0)-1,1)),"")</f>
        <v>#NAME?</v>
      </c>
      <c r="F2313" s="199" t="s">
        <v>189</v>
      </c>
      <c r="G2313" s="140" t="e">
        <f ca="1">mif(C2313="","",OR(B2313=リスト!$C$5,B2313=リスト!$C$6),SUM(INDEX(G:G,MATCH(I2313-1,I:I,0)+1,1):INDEX(G:G,MATCH(I2313,I:I,0)-1,1)),D2313-C2313)</f>
        <v>#NAME?</v>
      </c>
      <c r="H2313" s="140" t="e">
        <f ca="1">mif(C2313="","",B2313=リスト!$C$5,SUMIF(INDEX(B:B,MATCH(I2313-1,I:I,0)+1,1):INDEX(B:B,MATCH(I2313,I:I,0)-1,1),リスト!$C$7,INDEX(G:G,MATCH(I2313-1,I:I,0)+1,1):INDEX(G:G,MATCH(I2313,I:I,0)-1,1)),"")</f>
        <v>#NAME?</v>
      </c>
      <c r="I2313" s="200" t="str">
        <f>IF(OR(B2313=リスト!$C$5,B2313=リスト!$C$6),COUNTIF($B$9:B2313,リスト!$C$5)+COUNTIF($B$9:B2313,リスト!$C$6),"")</f>
        <v/>
      </c>
    </row>
    <row r="2314" spans="2:9" x14ac:dyDescent="0.2">
      <c r="B2314" s="196"/>
      <c r="C2314" s="197"/>
      <c r="D2314" s="197"/>
      <c r="E2314" s="198" t="e">
        <f ca="1">mif(OR(C2314="",B2314=リスト!$C$7),"",B2314="","RF",OR(B2314=リスト!$C$5,B2314=リスト!$C$6),COUNTBLANK(INDEX(B:B,MATCH(I2314-1,I:I,0)+1,1):INDEX(B:B,MATCH(I2314,I:I,0)-1,1)),"")</f>
        <v>#NAME?</v>
      </c>
      <c r="F2314" s="199" t="s">
        <v>189</v>
      </c>
      <c r="G2314" s="140" t="e">
        <f ca="1">mif(C2314="","",OR(B2314=リスト!$C$5,B2314=リスト!$C$6),SUM(INDEX(G:G,MATCH(I2314-1,I:I,0)+1,1):INDEX(G:G,MATCH(I2314,I:I,0)-1,1)),D2314-C2314)</f>
        <v>#NAME?</v>
      </c>
      <c r="H2314" s="140" t="e">
        <f ca="1">mif(C2314="","",B2314=リスト!$C$5,SUMIF(INDEX(B:B,MATCH(I2314-1,I:I,0)+1,1):INDEX(B:B,MATCH(I2314,I:I,0)-1,1),リスト!$C$7,INDEX(G:G,MATCH(I2314-1,I:I,0)+1,1):INDEX(G:G,MATCH(I2314,I:I,0)-1,1)),"")</f>
        <v>#NAME?</v>
      </c>
      <c r="I2314" s="200" t="str">
        <f>IF(OR(B2314=リスト!$C$5,B2314=リスト!$C$6),COUNTIF($B$9:B2314,リスト!$C$5)+COUNTIF($B$9:B2314,リスト!$C$6),"")</f>
        <v/>
      </c>
    </row>
  </sheetData>
  <autoFilter ref="B1:B8" xr:uid="{00000000-0009-0000-0000-000001000000}"/>
  <phoneticPr fontId="1"/>
  <conditionalFormatting sqref="B2315:B1048576 B1:H2314">
    <cfRule type="expression" dxfId="176" priority="6635">
      <formula>$B1="ユーザー運転"</formula>
    </cfRule>
  </conditionalFormatting>
  <conditionalFormatting sqref="B2315:B1048576 G1:G2314 B1:E2314">
    <cfRule type="expression" dxfId="175" priority="6718">
      <formula>$B1="BL調整"</formula>
    </cfRule>
  </conditionalFormatting>
  <conditionalFormatting sqref="H1:H2314 F1:F2314">
    <cfRule type="expression" dxfId="174" priority="5643">
      <formula>$B1="BL調整"</formula>
    </cfRule>
  </conditionalFormatting>
  <conditionalFormatting sqref="B2315:B1048576 F1:G2314 B1:D2314">
    <cfRule type="expression" dxfId="173" priority="6632">
      <formula>$B1="トンネル入室"</formula>
    </cfRule>
    <cfRule type="expression" dxfId="172" priority="6633">
      <formula>$B1="調整時間"</formula>
    </cfRule>
  </conditionalFormatting>
  <conditionalFormatting sqref="H1:H2314 E1:E2314">
    <cfRule type="expression" dxfId="171" priority="5641">
      <formula>$B1="GUN HV OFF時間"</formula>
    </cfRule>
    <cfRule type="expression" dxfId="170" priority="5642">
      <formula>$B1="調整時間"</formula>
    </cfRule>
  </conditionalFormatting>
  <conditionalFormatting sqref="A1:A1048576">
    <cfRule type="expression" dxfId="169" priority="5410">
      <formula>A1="※要運転条件"</formula>
    </cfRule>
  </conditionalFormatting>
  <conditionalFormatting sqref="F1:F1048576">
    <cfRule type="cellIs" dxfId="168" priority="5289" operator="equal">
      <formula>0</formula>
    </cfRule>
  </conditionalFormatting>
  <conditionalFormatting sqref="G1:G1048576">
    <cfRule type="cellIs" dxfId="167" priority="5288" operator="between">
      <formula>1E-30</formula>
      <formula>0.000231481481481482</formula>
    </cfRule>
  </conditionalFormatting>
  <conditionalFormatting sqref="B2315:B1048576 F1:G2314 B1:D2314">
    <cfRule type="expression" dxfId="166" priority="5044">
      <formula>$B1="GUN HV OFF時間"</formula>
    </cfRule>
  </conditionalFormatting>
  <conditionalFormatting sqref="H1:H2314 E1:E2314">
    <cfRule type="expression" dxfId="165" priority="5041">
      <formula>$B1="GUN HV OFF時間"</formula>
    </cfRule>
  </conditionalFormatting>
  <conditionalFormatting sqref="C2315:E1023680 G2315:H1023680">
    <cfRule type="expression" dxfId="164" priority="6720">
      <formula>$B2317="ユーザー運転"</formula>
    </cfRule>
  </conditionalFormatting>
  <conditionalFormatting sqref="C2315:E1023680 G2315:G1023680">
    <cfRule type="expression" dxfId="163" priority="6723">
      <formula>$B2317="BL調整"</formula>
    </cfRule>
  </conditionalFormatting>
  <conditionalFormatting sqref="H2315:H1023680">
    <cfRule type="expression" dxfId="162" priority="6726">
      <formula>$B2317="BL調整"</formula>
    </cfRule>
  </conditionalFormatting>
  <conditionalFormatting sqref="C2315:D1023680 G2315:G1023680">
    <cfRule type="expression" dxfId="161" priority="6730">
      <formula>$B2317="トンネル入室"</formula>
    </cfRule>
    <cfRule type="expression" dxfId="160" priority="6731">
      <formula>$B2317="調整時間"</formula>
    </cfRule>
  </conditionalFormatting>
  <conditionalFormatting sqref="E2315:E1023680 H2315:H1023680">
    <cfRule type="expression" dxfId="159" priority="6738">
      <formula>$B2317="GUN HV OFF時間"</formula>
    </cfRule>
    <cfRule type="expression" dxfId="158" priority="6739">
      <formula>$B2317="調整時間"</formula>
    </cfRule>
  </conditionalFormatting>
  <conditionalFormatting sqref="C2315:D1023680 G2315:G1023680">
    <cfRule type="expression" dxfId="157" priority="6746">
      <formula>$B2317="GUN HV OFF時間"</formula>
    </cfRule>
  </conditionalFormatting>
  <conditionalFormatting sqref="E2315:E1023680 H2315:H1023680">
    <cfRule type="expression" dxfId="156" priority="6750">
      <formula>$B2317="GUN HV OFF時間"</formula>
    </cfRule>
  </conditionalFormatting>
  <conditionalFormatting sqref="F2315:F1023845">
    <cfRule type="expression" dxfId="155" priority="6810">
      <formula>$B2316="ユーザー運転"</formula>
    </cfRule>
  </conditionalFormatting>
  <conditionalFormatting sqref="F2315:F1023845">
    <cfRule type="expression" dxfId="154" priority="6814">
      <formula>$B2316="BL調整"</formula>
    </cfRule>
  </conditionalFormatting>
  <conditionalFormatting sqref="F2315:F1023845">
    <cfRule type="expression" dxfId="153" priority="6820">
      <formula>$B2316="トンネル入室"</formula>
    </cfRule>
    <cfRule type="expression" dxfId="152" priority="6821">
      <formula>$B2316="調整時間"</formula>
    </cfRule>
  </conditionalFormatting>
  <conditionalFormatting sqref="F2315:F1023845">
    <cfRule type="expression" dxfId="151" priority="6829">
      <formula>$B2316="GUN HV OFF時間"</formula>
    </cfRule>
  </conditionalFormatting>
  <conditionalFormatting sqref="I1:I1048576">
    <cfRule type="expression" dxfId="150" priority="4192">
      <formula>$B1="ユーザー運転"</formula>
    </cfRule>
    <cfRule type="expression" dxfId="149" priority="4367">
      <formula>$B1="BL調整"</formula>
    </cfRule>
  </conditionalFormatting>
  <conditionalFormatting sqref="C1024408:E1048576 G1024408:H1048576">
    <cfRule type="expression" dxfId="148" priority="7190">
      <formula>#REF!="ユーザー運転"</formula>
    </cfRule>
  </conditionalFormatting>
  <conditionalFormatting sqref="C1024408:E1048576 G1024408:G1048576">
    <cfRule type="expression" dxfId="147" priority="7192">
      <formula>#REF!="BL調整"</formula>
    </cfRule>
  </conditionalFormatting>
  <conditionalFormatting sqref="H1024408:H1048576">
    <cfRule type="expression" dxfId="146" priority="7194">
      <formula>#REF!="BL調整"</formula>
    </cfRule>
  </conditionalFormatting>
  <conditionalFormatting sqref="C1024408:D1048576 G1024408:G1048576">
    <cfRule type="expression" dxfId="145" priority="7197">
      <formula>#REF!="トンネル入室"</formula>
    </cfRule>
    <cfRule type="expression" dxfId="144" priority="7198">
      <formula>#REF!="調整時間"</formula>
    </cfRule>
  </conditionalFormatting>
  <conditionalFormatting sqref="E1024408:E1048576 H1024408:H1048576">
    <cfRule type="expression" dxfId="143" priority="7201">
      <formula>#REF!="GUN HV OFF時間"</formula>
    </cfRule>
    <cfRule type="expression" dxfId="142" priority="7202">
      <formula>#REF!="調整時間"</formula>
    </cfRule>
  </conditionalFormatting>
  <conditionalFormatting sqref="C1024408:D1048576 G1024408:G1048576">
    <cfRule type="expression" dxfId="141" priority="7204">
      <formula>#REF!="GUN HV OFF時間"</formula>
    </cfRule>
  </conditionalFormatting>
  <conditionalFormatting sqref="E1024408:E1048576 H1024408:H1048576">
    <cfRule type="expression" dxfId="140" priority="7206">
      <formula>#REF!="GUN HV OFF時間"</formula>
    </cfRule>
  </conditionalFormatting>
  <conditionalFormatting sqref="F1024975:F1048576">
    <cfRule type="expression" dxfId="139" priority="7307">
      <formula>#REF!="ユーザー運転"</formula>
    </cfRule>
  </conditionalFormatting>
  <conditionalFormatting sqref="F1024975:F1048576">
    <cfRule type="expression" dxfId="138" priority="7309">
      <formula>#REF!="BL調整"</formula>
    </cfRule>
  </conditionalFormatting>
  <conditionalFormatting sqref="F1024975:F1048576">
    <cfRule type="expression" dxfId="137" priority="7311">
      <formula>#REF!="トンネル入室"</formula>
    </cfRule>
    <cfRule type="expression" dxfId="136" priority="7312">
      <formula>#REF!="調整時間"</formula>
    </cfRule>
  </conditionalFormatting>
  <conditionalFormatting sqref="F1024975:F1048576">
    <cfRule type="expression" dxfId="135" priority="7315">
      <formula>#REF!="GUN HV OFF時間"</formula>
    </cfRule>
  </conditionalFormatting>
  <conditionalFormatting sqref="F1024969:F1024974">
    <cfRule type="expression" dxfId="134" priority="7367">
      <formula>#REF!="ユーザー運転"</formula>
    </cfRule>
  </conditionalFormatting>
  <conditionalFormatting sqref="F1024969:F1024974">
    <cfRule type="expression" dxfId="133" priority="7368">
      <formula>#REF!="BL調整"</formula>
    </cfRule>
  </conditionalFormatting>
  <conditionalFormatting sqref="F1024969:F1024974">
    <cfRule type="expression" dxfId="132" priority="7369">
      <formula>#REF!="トンネル入室"</formula>
    </cfRule>
    <cfRule type="expression" dxfId="131" priority="7370">
      <formula>#REF!="調整時間"</formula>
    </cfRule>
  </conditionalFormatting>
  <conditionalFormatting sqref="F1024969:F1024974">
    <cfRule type="expression" dxfId="130" priority="7371">
      <formula>#REF!="GUN HV OFF時間"</formula>
    </cfRule>
  </conditionalFormatting>
  <conditionalFormatting sqref="C1023681:E1024407 G1023681:H1024407">
    <cfRule type="expression" dxfId="129" priority="18012">
      <formula>$B1="ユーザー運転"</formula>
    </cfRule>
  </conditionalFormatting>
  <conditionalFormatting sqref="C1023681:E1024407 G1023681:G1024407">
    <cfRule type="expression" dxfId="128" priority="18014">
      <formula>$B1="BL調整"</formula>
    </cfRule>
  </conditionalFormatting>
  <conditionalFormatting sqref="H1023681:H1024407">
    <cfRule type="expression" dxfId="127" priority="18016">
      <formula>$B1="BL調整"</formula>
    </cfRule>
  </conditionalFormatting>
  <conditionalFormatting sqref="C1023681:D1024407 G1023681:G1024407">
    <cfRule type="expression" dxfId="126" priority="18017">
      <formula>$B1="トンネル入室"</formula>
    </cfRule>
    <cfRule type="expression" dxfId="125" priority="18018">
      <formula>$B1="調整時間"</formula>
    </cfRule>
  </conditionalFormatting>
  <conditionalFormatting sqref="E1023681:E1024407 H1023681:H1024407">
    <cfRule type="expression" dxfId="124" priority="18021">
      <formula>$B1="GUN HV OFF時間"</formula>
    </cfRule>
    <cfRule type="expression" dxfId="123" priority="18022">
      <formula>$B1="調整時間"</formula>
    </cfRule>
  </conditionalFormatting>
  <conditionalFormatting sqref="C1023681:D1024407 G1023681:G1024407">
    <cfRule type="expression" dxfId="122" priority="18025">
      <formula>$B1="GUN HV OFF時間"</formula>
    </cfRule>
  </conditionalFormatting>
  <conditionalFormatting sqref="E1023681:E1024407 H1023681:H1024407">
    <cfRule type="expression" dxfId="121" priority="18027">
      <formula>$B1="GUN HV OFF時間"</formula>
    </cfRule>
  </conditionalFormatting>
  <conditionalFormatting sqref="F1023846:F1024968">
    <cfRule type="expression" dxfId="120" priority="18029">
      <formula>$B1="ユーザー運転"</formula>
    </cfRule>
  </conditionalFormatting>
  <conditionalFormatting sqref="F1023846:F1024968">
    <cfRule type="expression" dxfId="119" priority="18030">
      <formula>$B1="BL調整"</formula>
    </cfRule>
  </conditionalFormatting>
  <conditionalFormatting sqref="F1023846:F1024968">
    <cfRule type="expression" dxfId="118" priority="18031">
      <formula>$B1="トンネル入室"</formula>
    </cfRule>
    <cfRule type="expression" dxfId="117" priority="18032">
      <formula>$B1="調整時間"</formula>
    </cfRule>
  </conditionalFormatting>
  <conditionalFormatting sqref="F1023846:F1024968">
    <cfRule type="expression" dxfId="116" priority="18033">
      <formula>$B1="GUN HV OFF時間"</formula>
    </cfRule>
  </conditionalFormatting>
  <dataValidations count="1">
    <dataValidation type="list" allowBlank="1" sqref="F9:F1048576" xr:uid="{00000000-0002-0000-0100-000000000000}">
      <formula1>調整理由</formula1>
    </dataValidation>
  </dataValidations>
  <pageMargins left="0.7" right="0.7" top="0.75" bottom="0.75" header="0.3" footer="0.3"/>
  <pageSetup paperSize="9" scale="3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91" id="{9D201F7B-07C3-4207-B63A-0FCCDE9C4B8E}">
            <xm:f>AND(OR(B1=リスト!$C$5,B1=リスト!$C$6),I1&lt;1)</xm:f>
            <x14:dxf>
              <fill>
                <patternFill>
                  <bgColor rgb="FFFF0000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100-000001000000}">
          <x14:formula1>
            <xm:f>リスト!$A$5:$A$16</xm:f>
          </x14:formula1>
          <xm:sqref>E1:E1048576</xm:sqref>
        </x14:dataValidation>
        <x14:dataValidation type="list" allowBlank="1" showInputMessage="1" showErrorMessage="1" xr:uid="{00000000-0002-0000-0100-000002000000}">
          <x14:formula1>
            <xm:f>リスト!$C$5:$C$8</xm:f>
          </x14:formula1>
          <xm:sqref>B9:B1048576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R39"/>
  <sheetViews>
    <sheetView workbookViewId="0">
      <pane ySplit="3" topLeftCell="A4" activePane="bottomLeft" state="frozen"/>
      <selection activeCell="C195" sqref="C195"/>
      <selection pane="bottomLeft" activeCell="D13" sqref="D13"/>
    </sheetView>
  </sheetViews>
  <sheetFormatPr defaultColWidth="9" defaultRowHeight="13" x14ac:dyDescent="0.2"/>
  <cols>
    <col min="1" max="2" width="17.08984375" style="100" bestFit="1" customWidth="1"/>
    <col min="3" max="3" width="7.453125" style="96" customWidth="1"/>
    <col min="4" max="4" width="36.36328125" style="96" bestFit="1" customWidth="1"/>
    <col min="5" max="5" width="11" style="96" bestFit="1" customWidth="1"/>
    <col min="6" max="7" width="11" style="96" customWidth="1"/>
    <col min="8" max="8" width="11" style="96" bestFit="1" customWidth="1"/>
    <col min="9" max="10" width="9" style="88"/>
    <col min="11" max="11" width="11.453125" style="88" bestFit="1" customWidth="1"/>
    <col min="12" max="12" width="10.08984375" bestFit="1" customWidth="1"/>
    <col min="13" max="13" width="8.6328125" bestFit="1" customWidth="1"/>
    <col min="14" max="14" width="9" style="2"/>
    <col min="16" max="16" width="15.36328125" bestFit="1" customWidth="1"/>
    <col min="17" max="17" width="15.453125" bestFit="1" customWidth="1"/>
    <col min="18" max="18" width="19.90625" bestFit="1" customWidth="1"/>
  </cols>
  <sheetData>
    <row r="1" spans="1:18" ht="13.5" thickBot="1" x14ac:dyDescent="0.25">
      <c r="A1" s="76" t="s">
        <v>107</v>
      </c>
      <c r="B1" s="22"/>
      <c r="C1" s="2"/>
      <c r="D1" s="2"/>
      <c r="E1" s="2"/>
      <c r="F1" s="2"/>
      <c r="G1" s="2"/>
      <c r="H1" s="2"/>
      <c r="I1"/>
      <c r="J1"/>
      <c r="K1"/>
      <c r="M1" s="2"/>
      <c r="O1" s="2"/>
    </row>
    <row r="2" spans="1:18" ht="13.5" thickBot="1" x14ac:dyDescent="0.25">
      <c r="A2" s="22"/>
      <c r="B2" s="187" t="s">
        <v>320</v>
      </c>
      <c r="C2" s="2"/>
      <c r="D2" s="2"/>
      <c r="E2" s="160" t="e">
        <f ca="1">SUMIF($A$4:$A$50,"&lt;="&amp;$R$5,'利用時間（期間）'!E4:E50)</f>
        <v>#NAME?</v>
      </c>
      <c r="F2" s="160" t="e">
        <f ca="1">SUMIF($A$4:$A$50,"&lt;="&amp;$R$5,'利用時間（期間）'!F4:F50)</f>
        <v>#NAME?</v>
      </c>
      <c r="G2" s="160" t="e">
        <f ca="1">SUMIF($A$4:$A$50,"&lt;="&amp;$R$5,'利用時間（期間）'!G4:G50)</f>
        <v>#NAME?</v>
      </c>
      <c r="H2" s="160" t="e">
        <f ca="1">SUMIF($A$4:$A$50,"&lt;="&amp;$R$5,'利用時間（期間）'!H4:H50)</f>
        <v>#NAME?</v>
      </c>
      <c r="I2" s="160" t="e">
        <f ca="1">SUMIF($A$4:$A$50,"&lt;="&amp;$R$5,'利用時間（期間）'!I4:I50)</f>
        <v>#NAME?</v>
      </c>
      <c r="J2" s="160" t="e">
        <f ca="1">SUMIF($A$4:$A$50,"&lt;="&amp;$R$5,'利用時間（期間）'!J4:J50)</f>
        <v>#NAME?</v>
      </c>
      <c r="K2" s="173" t="e">
        <f ca="1">SUMIF($A$4:$A$50,"&lt;="&amp;$R$5,'利用時間（期間）'!K4:K50)</f>
        <v>#NAME?</v>
      </c>
      <c r="L2" s="2"/>
      <c r="M2" s="173" t="e">
        <f ca="1">SUMIF($A$4:$A$50,"&lt;="&amp;$R$5,'利用時間（期間）'!M4:M50)</f>
        <v>#NAME?</v>
      </c>
      <c r="N2" s="160" t="e">
        <f ca="1">SUMIF($A$4:$A$50,"&lt;="&amp;$R$5,'利用時間（期間）'!N4:N50)</f>
        <v>#NAME?</v>
      </c>
      <c r="P2" s="2"/>
    </row>
    <row r="3" spans="1:18" ht="22.5" thickBot="1" x14ac:dyDescent="0.25">
      <c r="A3" s="26" t="s">
        <v>103</v>
      </c>
      <c r="B3" s="26" t="s">
        <v>104</v>
      </c>
      <c r="C3" s="86" t="s">
        <v>55</v>
      </c>
      <c r="D3" s="86" t="s">
        <v>160</v>
      </c>
      <c r="E3" s="209" t="s">
        <v>166</v>
      </c>
      <c r="F3" s="210" t="s">
        <v>162</v>
      </c>
      <c r="G3" s="210" t="s">
        <v>161</v>
      </c>
      <c r="H3" s="210" t="s">
        <v>163</v>
      </c>
      <c r="I3" s="210" t="s">
        <v>164</v>
      </c>
      <c r="J3" s="210" t="s">
        <v>165</v>
      </c>
      <c r="K3" s="210" t="s">
        <v>167</v>
      </c>
      <c r="M3" s="178" t="s">
        <v>108</v>
      </c>
      <c r="N3" s="179" t="s">
        <v>141</v>
      </c>
    </row>
    <row r="4" spans="1:18" x14ac:dyDescent="0.2">
      <c r="A4" s="117" t="e">
        <f ca="1">[0]!CSVVLookUP(ROW(行数!A1),配列!$C$6,運転予定時間,3,1)</f>
        <v>#NAME?</v>
      </c>
      <c r="B4" s="117" t="e">
        <f ca="1">[0]!CSVVLookUP(ROW(行数!B1),配列!$C$6,運転予定時間,4,1)</f>
        <v>#NAME?</v>
      </c>
      <c r="C4" s="117" t="e">
        <f ca="1">[0]!CSVVLookUP(ROW(行数!B1),配列!$C$6,運転予定時間,1,1)</f>
        <v>#NAME?</v>
      </c>
      <c r="D4" s="117" t="e">
        <f ca="1">IF(A4="","",TEXT(A4, "yyyy/mm/dd hh:mm")&amp;" - "&amp;TEXT(B4, "yyyy/mm/dd hh:mm"))</f>
        <v>#NAME?</v>
      </c>
      <c r="E4" s="94" t="e">
        <f ca="1">[0]!CSVVLookUP(ROW(行数!B1),配列!$C$6,運転予定時間,5,1)</f>
        <v>#NAME?</v>
      </c>
      <c r="F4" s="94" t="e">
        <f ca="1">[0]!CSVVLookUP(ROW(行数!B1),配列!$C$6,運転予定時間,9,1)</f>
        <v>#NAME?</v>
      </c>
      <c r="G4" s="94" t="e">
        <f ca="1">[0]!CSVVLookUP(ROW(行数!B1),配列!$C$6,運転予定時間,10,1)</f>
        <v>#NAME?</v>
      </c>
      <c r="H4" s="94" t="e">
        <f ca="1">[0]!CSVVLookUP(ROW(行数!B1),配列!$C$6,運転予定時間,11,1)</f>
        <v>#NAME?</v>
      </c>
      <c r="I4" s="94" t="e">
        <f ca="1">[0]!CSVVLookUP(ROW(行数!B1),配列!$C$6,運転予定時間,12,1)</f>
        <v>#NAME?</v>
      </c>
      <c r="J4" s="94" t="e">
        <f ca="1">IF(A4="","",SUMIF('利用時間(User)'!B:B,C4,'利用時間(User)'!G:G))</f>
        <v>#NAME?</v>
      </c>
      <c r="K4" s="94" t="e">
        <f ca="1">IF(A4="","",SUMIF('利用時間(User)'!B:B,C4,'利用時間(User)'!L:L))</f>
        <v>#NAME?</v>
      </c>
      <c r="M4" s="177" t="e">
        <f ca="1">[0]!CSVVLookUP(ROW(行数!B1),配列!$C$6,運転予定時間,13,1)</f>
        <v>#NAME?</v>
      </c>
      <c r="N4" s="165" t="e">
        <f ca="1">[0]!CSVVLookUP(ROW(行数!B1),配列!$C$6,運転予定時間,8,1)</f>
        <v>#NAME?</v>
      </c>
      <c r="Q4" s="218" t="s">
        <v>174</v>
      </c>
      <c r="R4" s="145" t="s">
        <v>175</v>
      </c>
    </row>
    <row r="5" spans="1:18" ht="13.5" thickBot="1" x14ac:dyDescent="0.25">
      <c r="A5" s="117" t="e">
        <f ca="1">[0]!CSVVLookUP(ROW(行数!A2),配列!$C$6,運転予定時間,3,1)</f>
        <v>#NAME?</v>
      </c>
      <c r="B5" s="117" t="e">
        <f ca="1">[0]!CSVVLookUP(ROW(行数!B2),配列!$C$6,運転予定時間,4,1)</f>
        <v>#NAME?</v>
      </c>
      <c r="C5" s="117" t="e">
        <f ca="1">[0]!CSVVLookUP(ROW(行数!B2),配列!$C$6,運転予定時間,1,1)</f>
        <v>#NAME?</v>
      </c>
      <c r="D5" s="117" t="e">
        <f t="shared" ref="D5:D26" ca="1" si="0">IF(A5="","",TEXT(A5, "yyyy/mm/dd hh:mm")&amp;" - "&amp;TEXT(B5, "yyyy/mm/dd hh:mm"))</f>
        <v>#NAME?</v>
      </c>
      <c r="E5" s="94" t="e">
        <f ca="1">[0]!CSVVLookUP(ROW(行数!B2),配列!$C$6,運転予定時間,5,1)</f>
        <v>#NAME?</v>
      </c>
      <c r="F5" s="94" t="e">
        <f ca="1">[0]!CSVVLookUP(ROW(行数!B2),配列!$C$6,運転予定時間,9,1)</f>
        <v>#NAME?</v>
      </c>
      <c r="G5" s="94" t="e">
        <f ca="1">[0]!CSVVLookUP(ROW(行数!B2),配列!$C$6,運転予定時間,10,1)</f>
        <v>#NAME?</v>
      </c>
      <c r="H5" s="94" t="e">
        <f ca="1">[0]!CSVVLookUP(ROW(行数!B2),配列!$C$6,運転予定時間,11,1)</f>
        <v>#NAME?</v>
      </c>
      <c r="I5" s="94" t="e">
        <f ca="1">[0]!CSVVLookUP(ROW(行数!B2),配列!$C$6,運転予定時間,12,1)</f>
        <v>#NAME?</v>
      </c>
      <c r="J5" s="94" t="e">
        <f ca="1">IF(A5="","",SUMIF('利用時間(User)'!B:B,C5,'利用時間(User)'!G:G))</f>
        <v>#NAME?</v>
      </c>
      <c r="K5" s="94" t="e">
        <f ca="1">IF(A5="","",SUMIF('利用時間(User)'!B:B,C5,'利用時間(User)'!L:L))</f>
        <v>#NAME?</v>
      </c>
      <c r="M5" s="177" t="e">
        <f ca="1">[0]!CSVVLookUP(ROW(行数!B2),配列!$C$6,運転予定時間,13,1)</f>
        <v>#NAME?</v>
      </c>
      <c r="N5" s="165" t="e">
        <f ca="1">[0]!CSVVLookUP(ROW(行数!B2),配列!$C$6,運転予定時間,8,1)</f>
        <v>#NAME?</v>
      </c>
      <c r="Q5" s="219" t="str">
        <f>B2</f>
        <v>24-11</v>
      </c>
      <c r="R5" s="217" t="e">
        <f ca="1">CSVVLookUP(ROW(行数!$A1),配列!$C$12,利用時間_期間,1,1)</f>
        <v>#NAME?</v>
      </c>
    </row>
    <row r="6" spans="1:18" x14ac:dyDescent="0.2">
      <c r="A6" s="117" t="e">
        <f ca="1">[0]!CSVVLookUP(ROW(行数!A3),配列!$C$6,運転予定時間,3,1)</f>
        <v>#NAME?</v>
      </c>
      <c r="B6" s="117" t="e">
        <f ca="1">[0]!CSVVLookUP(ROW(行数!B3),配列!$C$6,運転予定時間,4,1)</f>
        <v>#NAME?</v>
      </c>
      <c r="C6" s="117" t="e">
        <f ca="1">[0]!CSVVLookUP(ROW(行数!B3),配列!$C$6,運転予定時間,1,1)</f>
        <v>#NAME?</v>
      </c>
      <c r="D6" s="117" t="e">
        <f t="shared" ca="1" si="0"/>
        <v>#NAME?</v>
      </c>
      <c r="E6" s="94" t="e">
        <f ca="1">[0]!CSVVLookUP(ROW(行数!B3),配列!$C$6,運転予定時間,5,1)</f>
        <v>#NAME?</v>
      </c>
      <c r="F6" s="94" t="e">
        <f ca="1">[0]!CSVVLookUP(ROW(行数!B3),配列!$C$6,運転予定時間,9,1)</f>
        <v>#NAME?</v>
      </c>
      <c r="G6" s="94" t="e">
        <f ca="1">[0]!CSVVLookUP(ROW(行数!B3),配列!$C$6,運転予定時間,10,1)</f>
        <v>#NAME?</v>
      </c>
      <c r="H6" s="94" t="e">
        <f ca="1">[0]!CSVVLookUP(ROW(行数!B3),配列!$C$6,運転予定時間,11,1)</f>
        <v>#NAME?</v>
      </c>
      <c r="I6" s="94" t="e">
        <f ca="1">[0]!CSVVLookUP(ROW(行数!B3),配列!$C$6,運転予定時間,12,1)</f>
        <v>#NAME?</v>
      </c>
      <c r="J6" s="94" t="e">
        <f ca="1">IF(A6="","",SUMIF('利用時間(User)'!B:B,C6,'利用時間(User)'!G:G))</f>
        <v>#NAME?</v>
      </c>
      <c r="K6" s="94" t="e">
        <f ca="1">IF(A6="","",SUMIF('利用時間(User)'!B:B,C6,'利用時間(User)'!L:L))</f>
        <v>#NAME?</v>
      </c>
      <c r="M6" s="177" t="e">
        <f ca="1">[0]!CSVVLookUP(ROW(行数!B3),配列!$C$6,運転予定時間,13,1)</f>
        <v>#NAME?</v>
      </c>
      <c r="N6" s="165" t="e">
        <f ca="1">[0]!CSVVLookUP(ROW(行数!B3),配列!$C$6,運転予定時間,8,1)</f>
        <v>#NAME?</v>
      </c>
      <c r="P6" s="188"/>
    </row>
    <row r="7" spans="1:18" x14ac:dyDescent="0.2">
      <c r="A7" s="117" t="e">
        <f ca="1">[0]!CSVVLookUP(ROW(行数!A4),配列!$C$6,運転予定時間,3,1)</f>
        <v>#NAME?</v>
      </c>
      <c r="B7" s="117" t="e">
        <f ca="1">[0]!CSVVLookUP(ROW(行数!B4),配列!$C$6,運転予定時間,4,1)</f>
        <v>#NAME?</v>
      </c>
      <c r="C7" s="117" t="e">
        <f ca="1">[0]!CSVVLookUP(ROW(行数!B4),配列!$C$6,運転予定時間,1,1)</f>
        <v>#NAME?</v>
      </c>
      <c r="D7" s="117" t="e">
        <f t="shared" ca="1" si="0"/>
        <v>#NAME?</v>
      </c>
      <c r="E7" s="94" t="e">
        <f ca="1">[0]!CSVVLookUP(ROW(行数!B4),配列!$C$6,運転予定時間,5,1)</f>
        <v>#NAME?</v>
      </c>
      <c r="F7" s="94" t="e">
        <f ca="1">[0]!CSVVLookUP(ROW(行数!B4),配列!$C$6,運転予定時間,9,1)</f>
        <v>#NAME?</v>
      </c>
      <c r="G7" s="94" t="e">
        <f ca="1">[0]!CSVVLookUP(ROW(行数!B4),配列!$C$6,運転予定時間,10,1)</f>
        <v>#NAME?</v>
      </c>
      <c r="H7" s="94" t="e">
        <f ca="1">[0]!CSVVLookUP(ROW(行数!B4),配列!$C$6,運転予定時間,11,1)</f>
        <v>#NAME?</v>
      </c>
      <c r="I7" s="94" t="e">
        <f ca="1">[0]!CSVVLookUP(ROW(行数!B4),配列!$C$6,運転予定時間,12,1)</f>
        <v>#NAME?</v>
      </c>
      <c r="J7" s="94" t="e">
        <f ca="1">IF(A7="","",SUMIF('利用時間(User)'!B:B,C7,'利用時間(User)'!G:G))</f>
        <v>#NAME?</v>
      </c>
      <c r="K7" s="94" t="e">
        <f ca="1">IF(A7="","",SUMIF('利用時間(User)'!B:B,C7,'利用時間(User)'!L:L))</f>
        <v>#NAME?</v>
      </c>
      <c r="M7" s="177" t="e">
        <f ca="1">[0]!CSVVLookUP(ROW(行数!B4),配列!$C$6,運転予定時間,13,1)</f>
        <v>#NAME?</v>
      </c>
      <c r="N7" s="165" t="e">
        <f ca="1">[0]!CSVVLookUP(ROW(行数!B4),配列!$C$6,運転予定時間,8,1)</f>
        <v>#NAME?</v>
      </c>
      <c r="P7" s="188"/>
      <c r="Q7" s="76"/>
      <c r="R7" s="76"/>
    </row>
    <row r="8" spans="1:18" x14ac:dyDescent="0.2">
      <c r="A8" s="117" t="e">
        <f ca="1">[0]!CSVVLookUP(ROW(行数!A5),配列!$C$6,運転予定時間,3,1)</f>
        <v>#NAME?</v>
      </c>
      <c r="B8" s="117" t="e">
        <f ca="1">[0]!CSVVLookUP(ROW(行数!B5),配列!$C$6,運転予定時間,4,1)</f>
        <v>#NAME?</v>
      </c>
      <c r="C8" s="117" t="e">
        <f ca="1">[0]!CSVVLookUP(ROW(行数!B5),配列!$C$6,運転予定時間,1,1)</f>
        <v>#NAME?</v>
      </c>
      <c r="D8" s="117" t="e">
        <f t="shared" ca="1" si="0"/>
        <v>#NAME?</v>
      </c>
      <c r="E8" s="94" t="e">
        <f ca="1">[0]!CSVVLookUP(ROW(行数!B5),配列!$C$6,運転予定時間,5,1)</f>
        <v>#NAME?</v>
      </c>
      <c r="F8" s="94" t="e">
        <f ca="1">[0]!CSVVLookUP(ROW(行数!B5),配列!$C$6,運転予定時間,9,1)</f>
        <v>#NAME?</v>
      </c>
      <c r="G8" s="94" t="e">
        <f ca="1">[0]!CSVVLookUP(ROW(行数!B5),配列!$C$6,運転予定時間,10,1)</f>
        <v>#NAME?</v>
      </c>
      <c r="H8" s="94" t="e">
        <f ca="1">[0]!CSVVLookUP(ROW(行数!B5),配列!$C$6,運転予定時間,11,1)</f>
        <v>#NAME?</v>
      </c>
      <c r="I8" s="94" t="e">
        <f ca="1">[0]!CSVVLookUP(ROW(行数!B5),配列!$C$6,運転予定時間,12,1)</f>
        <v>#NAME?</v>
      </c>
      <c r="J8" s="94" t="e">
        <f ca="1">IF(A8="","",SUMIF('利用時間(User)'!B:B,C8,'利用時間(User)'!G:G))</f>
        <v>#NAME?</v>
      </c>
      <c r="K8" s="94" t="e">
        <f ca="1">IF(A8="","",SUMIF('利用時間(User)'!B:B,C8,'利用時間(User)'!L:L))</f>
        <v>#NAME?</v>
      </c>
      <c r="M8" s="177" t="e">
        <f ca="1">[0]!CSVVLookUP(ROW(行数!B5),配列!$C$6,運転予定時間,13,1)</f>
        <v>#NAME?</v>
      </c>
      <c r="N8" s="165" t="e">
        <f ca="1">[0]!CSVVLookUP(ROW(行数!B5),配列!$C$6,運転予定時間,8,1)</f>
        <v>#NAME?</v>
      </c>
    </row>
    <row r="9" spans="1:18" x14ac:dyDescent="0.2">
      <c r="A9" s="117" t="e">
        <f ca="1">[0]!CSVVLookUP(ROW(行数!A6),配列!$C$6,運転予定時間,3,1)</f>
        <v>#NAME?</v>
      </c>
      <c r="B9" s="117" t="e">
        <f ca="1">[0]!CSVVLookUP(ROW(行数!B6),配列!$C$6,運転予定時間,4,1)</f>
        <v>#NAME?</v>
      </c>
      <c r="C9" s="117" t="e">
        <f ca="1">[0]!CSVVLookUP(ROW(行数!B6),配列!$C$6,運転予定時間,1,1)</f>
        <v>#NAME?</v>
      </c>
      <c r="D9" s="117" t="e">
        <f t="shared" ca="1" si="0"/>
        <v>#NAME?</v>
      </c>
      <c r="E9" s="94" t="e">
        <f ca="1">[0]!CSVVLookUP(ROW(行数!B6),配列!$C$6,運転予定時間,5,1)</f>
        <v>#NAME?</v>
      </c>
      <c r="F9" s="94" t="e">
        <f ca="1">[0]!CSVVLookUP(ROW(行数!B6),配列!$C$6,運転予定時間,9,1)</f>
        <v>#NAME?</v>
      </c>
      <c r="G9" s="94" t="e">
        <f ca="1">[0]!CSVVLookUP(ROW(行数!B6),配列!$C$6,運転予定時間,10,1)</f>
        <v>#NAME?</v>
      </c>
      <c r="H9" s="94" t="e">
        <f ca="1">[0]!CSVVLookUP(ROW(行数!B6),配列!$C$6,運転予定時間,11,1)</f>
        <v>#NAME?</v>
      </c>
      <c r="I9" s="94" t="e">
        <f ca="1">[0]!CSVVLookUP(ROW(行数!B6),配列!$C$6,運転予定時間,12,1)</f>
        <v>#NAME?</v>
      </c>
      <c r="J9" s="94" t="e">
        <f ca="1">IF(A9="","",SUMIF('利用時間(User)'!B:B,C9,'利用時間(User)'!G:G))</f>
        <v>#NAME?</v>
      </c>
      <c r="K9" s="94" t="e">
        <f ca="1">IF(A9="","",SUMIF('利用時間(User)'!B:B,C9,'利用時間(User)'!L:L))</f>
        <v>#NAME?</v>
      </c>
      <c r="M9" s="177" t="e">
        <f ca="1">[0]!CSVVLookUP(ROW(行数!B6),配列!$C$6,運転予定時間,13,1)</f>
        <v>#NAME?</v>
      </c>
      <c r="N9" s="165" t="e">
        <f ca="1">[0]!CSVVLookUP(ROW(行数!B6),配列!$C$6,運転予定時間,8,1)</f>
        <v>#NAME?</v>
      </c>
    </row>
    <row r="10" spans="1:18" x14ac:dyDescent="0.2">
      <c r="A10" s="117" t="e">
        <f ca="1">[0]!CSVVLookUP(ROW(行数!A7),配列!$C$6,運転予定時間,3,1)</f>
        <v>#NAME?</v>
      </c>
      <c r="B10" s="117" t="e">
        <f ca="1">[0]!CSVVLookUP(ROW(行数!B7),配列!$C$6,運転予定時間,4,1)</f>
        <v>#NAME?</v>
      </c>
      <c r="C10" s="117" t="e">
        <f ca="1">[0]!CSVVLookUP(ROW(行数!B7),配列!$C$6,運転予定時間,1,1)</f>
        <v>#NAME?</v>
      </c>
      <c r="D10" s="117" t="e">
        <f t="shared" ca="1" si="0"/>
        <v>#NAME?</v>
      </c>
      <c r="E10" s="94" t="e">
        <f ca="1">[0]!CSVVLookUP(ROW(行数!B7),配列!$C$6,運転予定時間,5,1)</f>
        <v>#NAME?</v>
      </c>
      <c r="F10" s="94" t="e">
        <f ca="1">[0]!CSVVLookUP(ROW(行数!B7),配列!$C$6,運転予定時間,9,1)</f>
        <v>#NAME?</v>
      </c>
      <c r="G10" s="94" t="e">
        <f ca="1">[0]!CSVVLookUP(ROW(行数!B7),配列!$C$6,運転予定時間,10,1)</f>
        <v>#NAME?</v>
      </c>
      <c r="H10" s="94" t="e">
        <f ca="1">[0]!CSVVLookUP(ROW(行数!B7),配列!$C$6,運転予定時間,11,1)</f>
        <v>#NAME?</v>
      </c>
      <c r="I10" s="94" t="e">
        <f ca="1">[0]!CSVVLookUP(ROW(行数!B7),配列!$C$6,運転予定時間,12,1)</f>
        <v>#NAME?</v>
      </c>
      <c r="J10" s="94" t="e">
        <f ca="1">IF(A10="","",SUMIF('利用時間(User)'!B:B,C10,'利用時間(User)'!G:G))</f>
        <v>#NAME?</v>
      </c>
      <c r="K10" s="94" t="e">
        <f ca="1">IF(A10="","",SUMIF('利用時間(User)'!B:B,C10,'利用時間(User)'!L:L))</f>
        <v>#NAME?</v>
      </c>
      <c r="M10" s="177" t="e">
        <f ca="1">[0]!CSVVLookUP(ROW(行数!B7),配列!$C$6,運転予定時間,13,1)</f>
        <v>#NAME?</v>
      </c>
      <c r="N10" s="165" t="e">
        <f ca="1">[0]!CSVVLookUP(ROW(行数!B7),配列!$C$6,運転予定時間,8,1)</f>
        <v>#NAME?</v>
      </c>
    </row>
    <row r="11" spans="1:18" x14ac:dyDescent="0.2">
      <c r="A11" s="117" t="e">
        <f ca="1">[0]!CSVVLookUP(ROW(行数!A8),配列!$C$6,運転予定時間,3,1)</f>
        <v>#NAME?</v>
      </c>
      <c r="B11" s="117" t="e">
        <f ca="1">[0]!CSVVLookUP(ROW(行数!B8),配列!$C$6,運転予定時間,4,1)</f>
        <v>#NAME?</v>
      </c>
      <c r="C11" s="117" t="e">
        <f ca="1">[0]!CSVVLookUP(ROW(行数!B8),配列!$C$6,運転予定時間,1,1)</f>
        <v>#NAME?</v>
      </c>
      <c r="D11" s="117" t="e">
        <f t="shared" ca="1" si="0"/>
        <v>#NAME?</v>
      </c>
      <c r="E11" s="94" t="e">
        <f ca="1">[0]!CSVVLookUP(ROW(行数!B8),配列!$C$6,運転予定時間,5,1)</f>
        <v>#NAME?</v>
      </c>
      <c r="F11" s="94" t="e">
        <f ca="1">[0]!CSVVLookUP(ROW(行数!B8),配列!$C$6,運転予定時間,9,1)</f>
        <v>#NAME?</v>
      </c>
      <c r="G11" s="94" t="e">
        <f ca="1">[0]!CSVVLookUP(ROW(行数!B8),配列!$C$6,運転予定時間,10,1)</f>
        <v>#NAME?</v>
      </c>
      <c r="H11" s="94" t="e">
        <f ca="1">[0]!CSVVLookUP(ROW(行数!B8),配列!$C$6,運転予定時間,11,1)</f>
        <v>#NAME?</v>
      </c>
      <c r="I11" s="94" t="e">
        <f ca="1">[0]!CSVVLookUP(ROW(行数!B8),配列!$C$6,運転予定時間,12,1)</f>
        <v>#NAME?</v>
      </c>
      <c r="J11" s="94" t="e">
        <f ca="1">IF(A11="","",SUMIF('利用時間(User)'!B:B,C11,'利用時間(User)'!G:G))</f>
        <v>#NAME?</v>
      </c>
      <c r="K11" s="94" t="e">
        <f ca="1">IF(A11="","",SUMIF('利用時間(User)'!B:B,C11,'利用時間(User)'!L:L))</f>
        <v>#NAME?</v>
      </c>
      <c r="M11" s="177" t="e">
        <f ca="1">[0]!CSVVLookUP(ROW(行数!B8),配列!$C$6,運転予定時間,13,1)</f>
        <v>#NAME?</v>
      </c>
      <c r="N11" s="165" t="e">
        <f ca="1">[0]!CSVVLookUP(ROW(行数!B8),配列!$C$6,運転予定時間,8,1)</f>
        <v>#NAME?</v>
      </c>
    </row>
    <row r="12" spans="1:18" x14ac:dyDescent="0.2">
      <c r="A12" s="117" t="e">
        <f ca="1">[0]!CSVVLookUP(ROW(行数!A9),配列!$C$6,運転予定時間,3,1)</f>
        <v>#NAME?</v>
      </c>
      <c r="B12" s="117" t="e">
        <f ca="1">[0]!CSVVLookUP(ROW(行数!B9),配列!$C$6,運転予定時間,4,1)</f>
        <v>#NAME?</v>
      </c>
      <c r="C12" s="117" t="e">
        <f ca="1">[0]!CSVVLookUP(ROW(行数!B9),配列!$C$6,運転予定時間,1,1)</f>
        <v>#NAME?</v>
      </c>
      <c r="D12" s="117" t="e">
        <f t="shared" ca="1" si="0"/>
        <v>#NAME?</v>
      </c>
      <c r="E12" s="94" t="e">
        <f ca="1">[0]!CSVVLookUP(ROW(行数!B9),配列!$C$6,運転予定時間,5,1)</f>
        <v>#NAME?</v>
      </c>
      <c r="F12" s="94" t="e">
        <f ca="1">[0]!CSVVLookUP(ROW(行数!B9),配列!$C$6,運転予定時間,9,1)</f>
        <v>#NAME?</v>
      </c>
      <c r="G12" s="94" t="e">
        <f ca="1">[0]!CSVVLookUP(ROW(行数!B9),配列!$C$6,運転予定時間,10,1)</f>
        <v>#NAME?</v>
      </c>
      <c r="H12" s="94" t="e">
        <f ca="1">[0]!CSVVLookUP(ROW(行数!B9),配列!$C$6,運転予定時間,11,1)</f>
        <v>#NAME?</v>
      </c>
      <c r="I12" s="94" t="e">
        <f ca="1">[0]!CSVVLookUP(ROW(行数!B9),配列!$C$6,運転予定時間,12,1)</f>
        <v>#NAME?</v>
      </c>
      <c r="J12" s="94" t="e">
        <f ca="1">IF(A12="","",SUMIF('利用時間(User)'!B:B,C12,'利用時間(User)'!G:G))</f>
        <v>#NAME?</v>
      </c>
      <c r="K12" s="94" t="e">
        <f ca="1">IF(A12="","",SUMIF('利用時間(User)'!B:B,C12,'利用時間(User)'!L:L))</f>
        <v>#NAME?</v>
      </c>
      <c r="M12" s="177" t="e">
        <f ca="1">[0]!CSVVLookUP(ROW(行数!B9),配列!$C$6,運転予定時間,13,1)</f>
        <v>#NAME?</v>
      </c>
      <c r="N12" s="165" t="e">
        <f ca="1">[0]!CSVVLookUP(ROW(行数!B9),配列!$C$6,運転予定時間,8,1)</f>
        <v>#NAME?</v>
      </c>
    </row>
    <row r="13" spans="1:18" x14ac:dyDescent="0.2">
      <c r="A13" s="117" t="e">
        <f ca="1">[0]!CSVVLookUP(ROW(行数!A10),配列!$C$6,運転予定時間,3,1)</f>
        <v>#NAME?</v>
      </c>
      <c r="B13" s="117" t="e">
        <f ca="1">[0]!CSVVLookUP(ROW(行数!B10),配列!$C$6,運転予定時間,4,1)</f>
        <v>#NAME?</v>
      </c>
      <c r="C13" s="117" t="e">
        <f ca="1">[0]!CSVVLookUP(ROW(行数!B10),配列!$C$6,運転予定時間,1,1)</f>
        <v>#NAME?</v>
      </c>
      <c r="D13" s="117" t="e">
        <f t="shared" ca="1" si="0"/>
        <v>#NAME?</v>
      </c>
      <c r="E13" s="94" t="e">
        <f ca="1">[0]!CSVVLookUP(ROW(行数!B10),配列!$C$6,運転予定時間,5,1)</f>
        <v>#NAME?</v>
      </c>
      <c r="F13" s="94" t="e">
        <f ca="1">[0]!CSVVLookUP(ROW(行数!B10),配列!$C$6,運転予定時間,9,1)</f>
        <v>#NAME?</v>
      </c>
      <c r="G13" s="94" t="e">
        <f ca="1">[0]!CSVVLookUP(ROW(行数!B10),配列!$C$6,運転予定時間,10,1)</f>
        <v>#NAME?</v>
      </c>
      <c r="H13" s="94" t="e">
        <f ca="1">[0]!CSVVLookUP(ROW(行数!B10),配列!$C$6,運転予定時間,11,1)</f>
        <v>#NAME?</v>
      </c>
      <c r="I13" s="94" t="e">
        <f ca="1">[0]!CSVVLookUP(ROW(行数!B10),配列!$C$6,運転予定時間,12,1)</f>
        <v>#NAME?</v>
      </c>
      <c r="J13" s="94" t="e">
        <f ca="1">IF(A13="","",SUMIF('利用時間(User)'!B:B,C13,'利用時間(User)'!G:G))</f>
        <v>#NAME?</v>
      </c>
      <c r="K13" s="94" t="e">
        <f ca="1">IF(A13="","",SUMIF('利用時間(User)'!B:B,C13,'利用時間(User)'!L:L))</f>
        <v>#NAME?</v>
      </c>
      <c r="M13" s="177" t="e">
        <f ca="1">[0]!CSVVLookUP(ROW(行数!B10),配列!$C$6,運転予定時間,13,1)</f>
        <v>#NAME?</v>
      </c>
      <c r="N13" s="165" t="e">
        <f ca="1">[0]!CSVVLookUP(ROW(行数!B10),配列!$C$6,運転予定時間,8,1)</f>
        <v>#NAME?</v>
      </c>
    </row>
    <row r="14" spans="1:18" x14ac:dyDescent="0.2">
      <c r="A14" s="117" t="e">
        <f ca="1">[0]!CSVVLookUP(ROW(行数!A11),配列!$C$6,運転予定時間,3,1)</f>
        <v>#NAME?</v>
      </c>
      <c r="B14" s="117" t="e">
        <f ca="1">[0]!CSVVLookUP(ROW(行数!B11),配列!$C$6,運転予定時間,4,1)</f>
        <v>#NAME?</v>
      </c>
      <c r="C14" s="117" t="e">
        <f ca="1">[0]!CSVVLookUP(ROW(行数!B11),配列!$C$6,運転予定時間,1,1)</f>
        <v>#NAME?</v>
      </c>
      <c r="D14" s="117" t="e">
        <f t="shared" ca="1" si="0"/>
        <v>#NAME?</v>
      </c>
      <c r="E14" s="94" t="e">
        <f ca="1">[0]!CSVVLookUP(ROW(行数!B11),配列!$C$6,運転予定時間,5,1)</f>
        <v>#NAME?</v>
      </c>
      <c r="F14" s="94" t="e">
        <f ca="1">[0]!CSVVLookUP(ROW(行数!B11),配列!$C$6,運転予定時間,9,1)</f>
        <v>#NAME?</v>
      </c>
      <c r="G14" s="94" t="e">
        <f ca="1">[0]!CSVVLookUP(ROW(行数!B11),配列!$C$6,運転予定時間,10,1)</f>
        <v>#NAME?</v>
      </c>
      <c r="H14" s="94" t="e">
        <f ca="1">[0]!CSVVLookUP(ROW(行数!B11),配列!$C$6,運転予定時間,11,1)</f>
        <v>#NAME?</v>
      </c>
      <c r="I14" s="94" t="e">
        <f ca="1">[0]!CSVVLookUP(ROW(行数!B11),配列!$C$6,運転予定時間,12,1)</f>
        <v>#NAME?</v>
      </c>
      <c r="J14" s="94" t="e">
        <f ca="1">IF(A14="","",SUMIF('利用時間(User)'!B:B,C14,'利用時間(User)'!G:G))</f>
        <v>#NAME?</v>
      </c>
      <c r="K14" s="94" t="e">
        <f ca="1">IF(A14="","",SUMIF('利用時間(User)'!B:B,C14,'利用時間(User)'!L:L))</f>
        <v>#NAME?</v>
      </c>
      <c r="M14" s="177" t="e">
        <f ca="1">[0]!CSVVLookUP(ROW(行数!B11),配列!$C$6,運転予定時間,13,1)</f>
        <v>#NAME?</v>
      </c>
      <c r="N14" s="165" t="e">
        <f ca="1">[0]!CSVVLookUP(ROW(行数!B11),配列!$C$6,運転予定時間,8,1)</f>
        <v>#NAME?</v>
      </c>
    </row>
    <row r="15" spans="1:18" x14ac:dyDescent="0.2">
      <c r="A15" s="117" t="e">
        <f ca="1">[0]!CSVVLookUP(ROW(行数!A12),配列!$C$6,運転予定時間,3,1)</f>
        <v>#NAME?</v>
      </c>
      <c r="B15" s="117" t="e">
        <f ca="1">[0]!CSVVLookUP(ROW(行数!B12),配列!$C$6,運転予定時間,4,1)</f>
        <v>#NAME?</v>
      </c>
      <c r="C15" s="117" t="e">
        <f ca="1">[0]!CSVVLookUP(ROW(行数!B12),配列!$C$6,運転予定時間,1,1)</f>
        <v>#NAME?</v>
      </c>
      <c r="D15" s="117" t="e">
        <f t="shared" ca="1" si="0"/>
        <v>#NAME?</v>
      </c>
      <c r="E15" s="94" t="e">
        <f ca="1">[0]!CSVVLookUP(ROW(行数!B12),配列!$C$6,運転予定時間,5,1)</f>
        <v>#NAME?</v>
      </c>
      <c r="F15" s="94" t="e">
        <f ca="1">[0]!CSVVLookUP(ROW(行数!B12),配列!$C$6,運転予定時間,9,1)</f>
        <v>#NAME?</v>
      </c>
      <c r="G15" s="94" t="e">
        <f ca="1">[0]!CSVVLookUP(ROW(行数!B12),配列!$C$6,運転予定時間,10,1)</f>
        <v>#NAME?</v>
      </c>
      <c r="H15" s="94" t="e">
        <f ca="1">[0]!CSVVLookUP(ROW(行数!B12),配列!$C$6,運転予定時間,11,1)</f>
        <v>#NAME?</v>
      </c>
      <c r="I15" s="94" t="e">
        <f ca="1">[0]!CSVVLookUP(ROW(行数!B12),配列!$C$6,運転予定時間,12,1)</f>
        <v>#NAME?</v>
      </c>
      <c r="J15" s="94" t="e">
        <f ca="1">IF(A15="","",SUMIF('利用時間(User)'!B:B,C15,'利用時間(User)'!G:G))</f>
        <v>#NAME?</v>
      </c>
      <c r="K15" s="94" t="e">
        <f ca="1">IF(A15="","",SUMIF('利用時間(User)'!B:B,C15,'利用時間(User)'!L:L))</f>
        <v>#NAME?</v>
      </c>
      <c r="M15" s="177" t="e">
        <f ca="1">[0]!CSVVLookUP(ROW(行数!B12),配列!$C$6,運転予定時間,13,1)</f>
        <v>#NAME?</v>
      </c>
      <c r="N15" s="165" t="e">
        <f ca="1">[0]!CSVVLookUP(ROW(行数!B12),配列!$C$6,運転予定時間,8,1)</f>
        <v>#NAME?</v>
      </c>
    </row>
    <row r="16" spans="1:18" s="2" customFormat="1" x14ac:dyDescent="0.2">
      <c r="A16" s="117" t="e">
        <f ca="1">[0]!CSVVLookUP(ROW(行数!A13),配列!$C$6,運転予定時間,3,1)</f>
        <v>#NAME?</v>
      </c>
      <c r="B16" s="117" t="e">
        <f ca="1">[0]!CSVVLookUP(ROW(行数!B13),配列!$C$6,運転予定時間,4,1)</f>
        <v>#NAME?</v>
      </c>
      <c r="C16" s="117" t="e">
        <f ca="1">[0]!CSVVLookUP(ROW(行数!B13),配列!$C$6,運転予定時間,1,1)</f>
        <v>#NAME?</v>
      </c>
      <c r="D16" s="117" t="e">
        <f t="shared" ca="1" si="0"/>
        <v>#NAME?</v>
      </c>
      <c r="E16" s="94" t="e">
        <f ca="1">[0]!CSVVLookUP(ROW(行数!B13),配列!$C$6,運転予定時間,5,1)</f>
        <v>#NAME?</v>
      </c>
      <c r="F16" s="94" t="e">
        <f ca="1">[0]!CSVVLookUP(ROW(行数!B13),配列!$C$6,運転予定時間,9,1)</f>
        <v>#NAME?</v>
      </c>
      <c r="G16" s="94" t="e">
        <f ca="1">[0]!CSVVLookUP(ROW(行数!B13),配列!$C$6,運転予定時間,10,1)</f>
        <v>#NAME?</v>
      </c>
      <c r="H16" s="94" t="e">
        <f ca="1">[0]!CSVVLookUP(ROW(行数!B13),配列!$C$6,運転予定時間,11,1)</f>
        <v>#NAME?</v>
      </c>
      <c r="I16" s="94" t="e">
        <f ca="1">[0]!CSVVLookUP(ROW(行数!B13),配列!$C$6,運転予定時間,12,1)</f>
        <v>#NAME?</v>
      </c>
      <c r="J16" s="94" t="e">
        <f ca="1">IF(A16="","",SUMIF('利用時間(User)'!B:B,C16,'利用時間(User)'!G:G))</f>
        <v>#NAME?</v>
      </c>
      <c r="K16" s="94" t="e">
        <f ca="1">IF(A16="","",SUMIF('利用時間(User)'!B:B,C16,'利用時間(User)'!L:L))</f>
        <v>#NAME?</v>
      </c>
      <c r="L16"/>
      <c r="M16" s="177" t="e">
        <f ca="1">[0]!CSVVLookUP(ROW(行数!B13),配列!$C$6,運転予定時間,13,1)</f>
        <v>#NAME?</v>
      </c>
      <c r="N16" s="165" t="e">
        <f ca="1">[0]!CSVVLookUP(ROW(行数!B13),配列!$C$6,運転予定時間,8,1)</f>
        <v>#NAME?</v>
      </c>
    </row>
    <row r="17" spans="1:14" s="2" customFormat="1" x14ac:dyDescent="0.2">
      <c r="A17" s="117" t="e">
        <f ca="1">[0]!CSVVLookUP(ROW(行数!A14),配列!$C$6,運転予定時間,3,1)</f>
        <v>#NAME?</v>
      </c>
      <c r="B17" s="117" t="e">
        <f ca="1">[0]!CSVVLookUP(ROW(行数!B14),配列!$C$6,運転予定時間,4,1)</f>
        <v>#NAME?</v>
      </c>
      <c r="C17" s="117" t="e">
        <f ca="1">[0]!CSVVLookUP(ROW(行数!B14),配列!$C$6,運転予定時間,1,1)</f>
        <v>#NAME?</v>
      </c>
      <c r="D17" s="117" t="e">
        <f t="shared" ca="1" si="0"/>
        <v>#NAME?</v>
      </c>
      <c r="E17" s="94" t="e">
        <f ca="1">[0]!CSVVLookUP(ROW(行数!B14),配列!$C$6,運転予定時間,5,1)</f>
        <v>#NAME?</v>
      </c>
      <c r="F17" s="94" t="e">
        <f ca="1">[0]!CSVVLookUP(ROW(行数!B14),配列!$C$6,運転予定時間,9,1)</f>
        <v>#NAME?</v>
      </c>
      <c r="G17" s="94" t="e">
        <f ca="1">[0]!CSVVLookUP(ROW(行数!B14),配列!$C$6,運転予定時間,10,1)</f>
        <v>#NAME?</v>
      </c>
      <c r="H17" s="94" t="e">
        <f ca="1">[0]!CSVVLookUP(ROW(行数!B14),配列!$C$6,運転予定時間,11,1)</f>
        <v>#NAME?</v>
      </c>
      <c r="I17" s="94" t="e">
        <f ca="1">[0]!CSVVLookUP(ROW(行数!B14),配列!$C$6,運転予定時間,12,1)</f>
        <v>#NAME?</v>
      </c>
      <c r="J17" s="94" t="e">
        <f ca="1">IF(A17="","",SUMIF('利用時間(User)'!B:B,C17,'利用時間(User)'!G:G))</f>
        <v>#NAME?</v>
      </c>
      <c r="K17" s="94" t="e">
        <f ca="1">IF(A17="","",SUMIF('利用時間(User)'!B:B,C17,'利用時間(User)'!L:L))</f>
        <v>#NAME?</v>
      </c>
      <c r="L17"/>
      <c r="M17" s="177" t="e">
        <f ca="1">[0]!CSVVLookUP(ROW(行数!B14),配列!$C$6,運転予定時間,13,1)</f>
        <v>#NAME?</v>
      </c>
      <c r="N17" s="165" t="e">
        <f ca="1">[0]!CSVVLookUP(ROW(行数!B14),配列!$C$6,運転予定時間,8,1)</f>
        <v>#NAME?</v>
      </c>
    </row>
    <row r="18" spans="1:14" x14ac:dyDescent="0.2">
      <c r="A18" s="117" t="e">
        <f ca="1">[0]!CSVVLookUP(ROW(行数!A15),配列!$C$6,運転予定時間,3,1)</f>
        <v>#NAME?</v>
      </c>
      <c r="B18" s="117" t="e">
        <f ca="1">[0]!CSVVLookUP(ROW(行数!B15),配列!$C$6,運転予定時間,4,1)</f>
        <v>#NAME?</v>
      </c>
      <c r="C18" s="117" t="e">
        <f ca="1">[0]!CSVVLookUP(ROW(行数!B15),配列!$C$6,運転予定時間,1,1)</f>
        <v>#NAME?</v>
      </c>
      <c r="D18" s="117" t="e">
        <f t="shared" ca="1" si="0"/>
        <v>#NAME?</v>
      </c>
      <c r="E18" s="94" t="e">
        <f ca="1">[0]!CSVVLookUP(ROW(行数!B15),配列!$C$6,運転予定時間,5,1)</f>
        <v>#NAME?</v>
      </c>
      <c r="F18" s="94" t="e">
        <f ca="1">[0]!CSVVLookUP(ROW(行数!B15),配列!$C$6,運転予定時間,9,1)</f>
        <v>#NAME?</v>
      </c>
      <c r="G18" s="94" t="e">
        <f ca="1">[0]!CSVVLookUP(ROW(行数!B15),配列!$C$6,運転予定時間,10,1)</f>
        <v>#NAME?</v>
      </c>
      <c r="H18" s="94" t="e">
        <f ca="1">[0]!CSVVLookUP(ROW(行数!B15),配列!$C$6,運転予定時間,11,1)</f>
        <v>#NAME?</v>
      </c>
      <c r="I18" s="94" t="e">
        <f ca="1">[0]!CSVVLookUP(ROW(行数!B15),配列!$C$6,運転予定時間,12,1)</f>
        <v>#NAME?</v>
      </c>
      <c r="J18" s="94" t="e">
        <f ca="1">IF(A18="","",SUMIF('利用時間(User)'!B:B,C18,'利用時間(User)'!G:G))</f>
        <v>#NAME?</v>
      </c>
      <c r="K18" s="94" t="e">
        <f ca="1">IF(A18="","",SUMIF('利用時間(User)'!B:B,C18,'利用時間(User)'!L:L))</f>
        <v>#NAME?</v>
      </c>
      <c r="M18" s="177" t="e">
        <f ca="1">[0]!CSVVLookUP(ROW(行数!B15),配列!$C$6,運転予定時間,13,1)</f>
        <v>#NAME?</v>
      </c>
      <c r="N18" s="165" t="e">
        <f ca="1">[0]!CSVVLookUP(ROW(行数!B15),配列!$C$6,運転予定時間,8,1)</f>
        <v>#NAME?</v>
      </c>
    </row>
    <row r="19" spans="1:14" s="2" customFormat="1" ht="14.25" customHeight="1" x14ac:dyDescent="0.2">
      <c r="A19" s="117" t="e">
        <f ca="1">[0]!CSVVLookUP(ROW(行数!A16),配列!$C$6,運転予定時間,3,1)</f>
        <v>#NAME?</v>
      </c>
      <c r="B19" s="117" t="e">
        <f ca="1">[0]!CSVVLookUP(ROW(行数!B16),配列!$C$6,運転予定時間,4,1)</f>
        <v>#NAME?</v>
      </c>
      <c r="C19" s="117" t="e">
        <f ca="1">[0]!CSVVLookUP(ROW(行数!B16),配列!$C$6,運転予定時間,1,1)</f>
        <v>#NAME?</v>
      </c>
      <c r="D19" s="117" t="e">
        <f t="shared" ca="1" si="0"/>
        <v>#NAME?</v>
      </c>
      <c r="E19" s="94" t="e">
        <f ca="1">[0]!CSVVLookUP(ROW(行数!B16),配列!$C$6,運転予定時間,5,1)</f>
        <v>#NAME?</v>
      </c>
      <c r="F19" s="94" t="e">
        <f ca="1">[0]!CSVVLookUP(ROW(行数!B16),配列!$C$6,運転予定時間,9,1)</f>
        <v>#NAME?</v>
      </c>
      <c r="G19" s="94" t="e">
        <f ca="1">[0]!CSVVLookUP(ROW(行数!B16),配列!$C$6,運転予定時間,10,1)</f>
        <v>#NAME?</v>
      </c>
      <c r="H19" s="94" t="e">
        <f ca="1">[0]!CSVVLookUP(ROW(行数!B16),配列!$C$6,運転予定時間,11,1)</f>
        <v>#NAME?</v>
      </c>
      <c r="I19" s="94" t="e">
        <f ca="1">[0]!CSVVLookUP(ROW(行数!B16),配列!$C$6,運転予定時間,12,1)</f>
        <v>#NAME?</v>
      </c>
      <c r="J19" s="94" t="e">
        <f ca="1">IF(A19="","",SUMIF('利用時間(User)'!B:B,C19,'利用時間(User)'!G:G))</f>
        <v>#NAME?</v>
      </c>
      <c r="K19" s="94" t="e">
        <f ca="1">IF(A19="","",SUMIF('利用時間(User)'!B:B,C19,'利用時間(User)'!L:L))</f>
        <v>#NAME?</v>
      </c>
      <c r="L19"/>
      <c r="M19" s="177" t="e">
        <f ca="1">[0]!CSVVLookUP(ROW(行数!B16),配列!$C$6,運転予定時間,13,1)</f>
        <v>#NAME?</v>
      </c>
      <c r="N19" s="165" t="e">
        <f ca="1">[0]!CSVVLookUP(ROW(行数!B16),配列!$C$6,運転予定時間,8,1)</f>
        <v>#NAME?</v>
      </c>
    </row>
    <row r="20" spans="1:14" s="2" customFormat="1" x14ac:dyDescent="0.2">
      <c r="A20" s="117" t="e">
        <f ca="1">[0]!CSVVLookUP(ROW(行数!A17),配列!$C$6,運転予定時間,3,1)</f>
        <v>#NAME?</v>
      </c>
      <c r="B20" s="117" t="e">
        <f ca="1">[0]!CSVVLookUP(ROW(行数!B17),配列!$C$6,運転予定時間,4,1)</f>
        <v>#NAME?</v>
      </c>
      <c r="C20" s="117" t="e">
        <f ca="1">[0]!CSVVLookUP(ROW(行数!B17),配列!$C$6,運転予定時間,1,1)</f>
        <v>#NAME?</v>
      </c>
      <c r="D20" s="117" t="e">
        <f t="shared" ca="1" si="0"/>
        <v>#NAME?</v>
      </c>
      <c r="E20" s="94" t="e">
        <f ca="1">[0]!CSVVLookUP(ROW(行数!B17),配列!$C$6,運転予定時間,5,1)</f>
        <v>#NAME?</v>
      </c>
      <c r="F20" s="94" t="e">
        <f ca="1">[0]!CSVVLookUP(ROW(行数!B17),配列!$C$6,運転予定時間,9,1)</f>
        <v>#NAME?</v>
      </c>
      <c r="G20" s="94" t="e">
        <f ca="1">[0]!CSVVLookUP(ROW(行数!B17),配列!$C$6,運転予定時間,10,1)</f>
        <v>#NAME?</v>
      </c>
      <c r="H20" s="94" t="e">
        <f ca="1">[0]!CSVVLookUP(ROW(行数!B17),配列!$C$6,運転予定時間,11,1)</f>
        <v>#NAME?</v>
      </c>
      <c r="I20" s="94" t="e">
        <f ca="1">[0]!CSVVLookUP(ROW(行数!B17),配列!$C$6,運転予定時間,12,1)</f>
        <v>#NAME?</v>
      </c>
      <c r="J20" s="94" t="e">
        <f ca="1">IF(A20="","",SUMIF('利用時間(User)'!B:B,C20,'利用時間(User)'!G:G))</f>
        <v>#NAME?</v>
      </c>
      <c r="K20" s="94" t="e">
        <f ca="1">IF(A20="","",SUMIF('利用時間(User)'!B:B,C20,'利用時間(User)'!L:L))</f>
        <v>#NAME?</v>
      </c>
      <c r="L20"/>
      <c r="M20" s="177" t="e">
        <f ca="1">[0]!CSVVLookUP(ROW(行数!B17),配列!$C$6,運転予定時間,13,1)</f>
        <v>#NAME?</v>
      </c>
      <c r="N20" s="165" t="e">
        <f ca="1">[0]!CSVVLookUP(ROW(行数!B17),配列!$C$6,運転予定時間,8,1)</f>
        <v>#NAME?</v>
      </c>
    </row>
    <row r="21" spans="1:14" s="2" customFormat="1" x14ac:dyDescent="0.2">
      <c r="A21" s="117" t="e">
        <f ca="1">[0]!CSVVLookUP(ROW(行数!A18),配列!$C$6,運転予定時間,3,1)</f>
        <v>#NAME?</v>
      </c>
      <c r="B21" s="117" t="e">
        <f ca="1">[0]!CSVVLookUP(ROW(行数!B18),配列!$C$6,運転予定時間,4,1)</f>
        <v>#NAME?</v>
      </c>
      <c r="C21" s="117" t="e">
        <f ca="1">[0]!CSVVLookUP(ROW(行数!B18),配列!$C$6,運転予定時間,1,1)</f>
        <v>#NAME?</v>
      </c>
      <c r="D21" s="117" t="e">
        <f t="shared" ca="1" si="0"/>
        <v>#NAME?</v>
      </c>
      <c r="E21" s="94" t="e">
        <f ca="1">[0]!CSVVLookUP(ROW(行数!B18),配列!$C$6,運転予定時間,5,1)</f>
        <v>#NAME?</v>
      </c>
      <c r="F21" s="94" t="e">
        <f ca="1">[0]!CSVVLookUP(ROW(行数!B18),配列!$C$6,運転予定時間,9,1)</f>
        <v>#NAME?</v>
      </c>
      <c r="G21" s="94" t="e">
        <f ca="1">[0]!CSVVLookUP(ROW(行数!B18),配列!$C$6,運転予定時間,10,1)</f>
        <v>#NAME?</v>
      </c>
      <c r="H21" s="94" t="e">
        <f ca="1">[0]!CSVVLookUP(ROW(行数!B18),配列!$C$6,運転予定時間,11,1)</f>
        <v>#NAME?</v>
      </c>
      <c r="I21" s="94" t="e">
        <f ca="1">[0]!CSVVLookUP(ROW(行数!B18),配列!$C$6,運転予定時間,12,1)</f>
        <v>#NAME?</v>
      </c>
      <c r="J21" s="94" t="e">
        <f ca="1">IF(A21="","",SUMIF('利用時間(User)'!B:B,C21,'利用時間(User)'!G:G))</f>
        <v>#NAME?</v>
      </c>
      <c r="K21" s="94" t="e">
        <f ca="1">IF(A21="","",SUMIF('利用時間(User)'!B:B,C21,'利用時間(User)'!L:L))</f>
        <v>#NAME?</v>
      </c>
      <c r="L21"/>
      <c r="M21" s="177" t="e">
        <f ca="1">[0]!CSVVLookUP(ROW(行数!B18),配列!$C$6,運転予定時間,13,1)</f>
        <v>#NAME?</v>
      </c>
      <c r="N21" s="165" t="e">
        <f ca="1">[0]!CSVVLookUP(ROW(行数!B18),配列!$C$6,運転予定時間,8,1)</f>
        <v>#NAME?</v>
      </c>
    </row>
    <row r="22" spans="1:14" s="2" customFormat="1" x14ac:dyDescent="0.2">
      <c r="A22" s="117" t="e">
        <f ca="1">[0]!CSVVLookUP(ROW(行数!A19),配列!$C$6,運転予定時間,3,1)</f>
        <v>#NAME?</v>
      </c>
      <c r="B22" s="117" t="e">
        <f ca="1">[0]!CSVVLookUP(ROW(行数!B19),配列!$C$6,運転予定時間,4,1)</f>
        <v>#NAME?</v>
      </c>
      <c r="C22" s="117" t="e">
        <f ca="1">[0]!CSVVLookUP(ROW(行数!B19),配列!$C$6,運転予定時間,1,1)</f>
        <v>#NAME?</v>
      </c>
      <c r="D22" s="117" t="e">
        <f t="shared" ca="1" si="0"/>
        <v>#NAME?</v>
      </c>
      <c r="E22" s="94" t="e">
        <f ca="1">[0]!CSVVLookUP(ROW(行数!B19),配列!$C$6,運転予定時間,5,1)</f>
        <v>#NAME?</v>
      </c>
      <c r="F22" s="94" t="e">
        <f ca="1">[0]!CSVVLookUP(ROW(行数!B19),配列!$C$6,運転予定時間,9,1)</f>
        <v>#NAME?</v>
      </c>
      <c r="G22" s="94" t="e">
        <f ca="1">[0]!CSVVLookUP(ROW(行数!B19),配列!$C$6,運転予定時間,10,1)</f>
        <v>#NAME?</v>
      </c>
      <c r="H22" s="94" t="e">
        <f ca="1">[0]!CSVVLookUP(ROW(行数!B19),配列!$C$6,運転予定時間,11,1)</f>
        <v>#NAME?</v>
      </c>
      <c r="I22" s="94" t="e">
        <f ca="1">[0]!CSVVLookUP(ROW(行数!B19),配列!$C$6,運転予定時間,12,1)</f>
        <v>#NAME?</v>
      </c>
      <c r="J22" s="94" t="e">
        <f ca="1">IF(A22="","",SUMIF('利用時間(User)'!B:B,C22,'利用時間(User)'!G:G))</f>
        <v>#NAME?</v>
      </c>
      <c r="K22" s="94" t="e">
        <f ca="1">IF(A22="","",SUMIF('利用時間(User)'!B:B,C22,'利用時間(User)'!L:L))</f>
        <v>#NAME?</v>
      </c>
      <c r="L22"/>
      <c r="M22" s="177" t="e">
        <f ca="1">[0]!CSVVLookUP(ROW(行数!B19),配列!$C$6,運転予定時間,13,1)</f>
        <v>#NAME?</v>
      </c>
      <c r="N22" s="165" t="e">
        <f ca="1">[0]!CSVVLookUP(ROW(行数!B19),配列!$C$6,運転予定時間,8,1)</f>
        <v>#NAME?</v>
      </c>
    </row>
    <row r="23" spans="1:14" s="2" customFormat="1" x14ac:dyDescent="0.2">
      <c r="A23" s="117" t="e">
        <f ca="1">[0]!CSVVLookUP(ROW(行数!A20),配列!$C$6,運転予定時間,3,1)</f>
        <v>#NAME?</v>
      </c>
      <c r="B23" s="117" t="e">
        <f ca="1">[0]!CSVVLookUP(ROW(行数!B20),配列!$C$6,運転予定時間,4,1)</f>
        <v>#NAME?</v>
      </c>
      <c r="C23" s="117" t="e">
        <f ca="1">[0]!CSVVLookUP(ROW(行数!B20),配列!$C$6,運転予定時間,1,1)</f>
        <v>#NAME?</v>
      </c>
      <c r="D23" s="117" t="e">
        <f t="shared" ca="1" si="0"/>
        <v>#NAME?</v>
      </c>
      <c r="E23" s="94" t="e">
        <f ca="1">[0]!CSVVLookUP(ROW(行数!B20),配列!$C$6,運転予定時間,5,1)</f>
        <v>#NAME?</v>
      </c>
      <c r="F23" s="94" t="e">
        <f ca="1">[0]!CSVVLookUP(ROW(行数!B20),配列!$C$6,運転予定時間,9,1)</f>
        <v>#NAME?</v>
      </c>
      <c r="G23" s="94" t="e">
        <f ca="1">[0]!CSVVLookUP(ROW(行数!B20),配列!$C$6,運転予定時間,10,1)</f>
        <v>#NAME?</v>
      </c>
      <c r="H23" s="94" t="e">
        <f ca="1">[0]!CSVVLookUP(ROW(行数!B20),配列!$C$6,運転予定時間,11,1)</f>
        <v>#NAME?</v>
      </c>
      <c r="I23" s="94" t="e">
        <f ca="1">[0]!CSVVLookUP(ROW(行数!B20),配列!$C$6,運転予定時間,12,1)</f>
        <v>#NAME?</v>
      </c>
      <c r="J23" s="94" t="e">
        <f ca="1">IF(A23="","",SUMIF('利用時間(User)'!B:B,C23,'利用時間(User)'!G:G))</f>
        <v>#NAME?</v>
      </c>
      <c r="K23" s="94" t="e">
        <f ca="1">IF(A23="","",SUMIF('利用時間(User)'!B:B,C23,'利用時間(User)'!L:L))</f>
        <v>#NAME?</v>
      </c>
      <c r="L23"/>
      <c r="M23" s="177" t="e">
        <f ca="1">[0]!CSVVLookUP(ROW(行数!B20),配列!$C$6,運転予定時間,13,1)</f>
        <v>#NAME?</v>
      </c>
      <c r="N23" s="165" t="e">
        <f ca="1">[0]!CSVVLookUP(ROW(行数!B20),配列!$C$6,運転予定時間,8,1)</f>
        <v>#NAME?</v>
      </c>
    </row>
    <row r="24" spans="1:14" s="2" customFormat="1" x14ac:dyDescent="0.2">
      <c r="A24" s="117" t="e">
        <f ca="1">[0]!CSVVLookUP(ROW(行数!A21),配列!$C$6,運転予定時間,3,1)</f>
        <v>#NAME?</v>
      </c>
      <c r="B24" s="117" t="e">
        <f ca="1">[0]!CSVVLookUP(ROW(行数!B21),配列!$C$6,運転予定時間,4,1)</f>
        <v>#NAME?</v>
      </c>
      <c r="C24" s="117" t="e">
        <f ca="1">[0]!CSVVLookUP(ROW(行数!B21),配列!$C$6,運転予定時間,1,1)</f>
        <v>#NAME?</v>
      </c>
      <c r="D24" s="117" t="e">
        <f t="shared" ca="1" si="0"/>
        <v>#NAME?</v>
      </c>
      <c r="E24" s="94" t="e">
        <f ca="1">[0]!CSVVLookUP(ROW(行数!B21),配列!$C$6,運転予定時間,5,1)</f>
        <v>#NAME?</v>
      </c>
      <c r="F24" s="94" t="e">
        <f ca="1">[0]!CSVVLookUP(ROW(行数!B21),配列!$C$6,運転予定時間,9,1)</f>
        <v>#NAME?</v>
      </c>
      <c r="G24" s="94" t="e">
        <f ca="1">[0]!CSVVLookUP(ROW(行数!B21),配列!$C$6,運転予定時間,10,1)</f>
        <v>#NAME?</v>
      </c>
      <c r="H24" s="94" t="e">
        <f ca="1">[0]!CSVVLookUP(ROW(行数!B21),配列!$C$6,運転予定時間,11,1)</f>
        <v>#NAME?</v>
      </c>
      <c r="I24" s="94" t="e">
        <f ca="1">[0]!CSVVLookUP(ROW(行数!B21),配列!$C$6,運転予定時間,12,1)</f>
        <v>#NAME?</v>
      </c>
      <c r="J24" s="94" t="e">
        <f ca="1">IF(A24="","",SUMIF('利用時間(User)'!B:B,C24,'利用時間(User)'!G:G))</f>
        <v>#NAME?</v>
      </c>
      <c r="K24" s="94" t="e">
        <f ca="1">IF(A24="","",SUMIF('利用時間(User)'!B:B,C24,'利用時間(User)'!L:L))</f>
        <v>#NAME?</v>
      </c>
      <c r="L24"/>
      <c r="M24" s="177" t="e">
        <f ca="1">[0]!CSVVLookUP(ROW(行数!B21),配列!$C$6,運転予定時間,13,1)</f>
        <v>#NAME?</v>
      </c>
      <c r="N24" s="165" t="e">
        <f ca="1">[0]!CSVVLookUP(ROW(行数!B21),配列!$C$6,運転予定時間,8,1)</f>
        <v>#NAME?</v>
      </c>
    </row>
    <row r="25" spans="1:14" s="2" customFormat="1" x14ac:dyDescent="0.2">
      <c r="A25" s="117" t="e">
        <f ca="1">[0]!CSVVLookUP(ROW(行数!A22),配列!$C$6,運転予定時間,3,1)</f>
        <v>#NAME?</v>
      </c>
      <c r="B25" s="117" t="e">
        <f ca="1">[0]!CSVVLookUP(ROW(行数!B22),配列!$C$6,運転予定時間,4,1)</f>
        <v>#NAME?</v>
      </c>
      <c r="C25" s="117" t="e">
        <f ca="1">[0]!CSVVLookUP(ROW(行数!B22),配列!$C$6,運転予定時間,1,1)</f>
        <v>#NAME?</v>
      </c>
      <c r="D25" s="117" t="e">
        <f t="shared" ca="1" si="0"/>
        <v>#NAME?</v>
      </c>
      <c r="E25" s="94" t="e">
        <f ca="1">[0]!CSVVLookUP(ROW(行数!B22),配列!$C$6,運転予定時間,5,1)</f>
        <v>#NAME?</v>
      </c>
      <c r="F25" s="94" t="e">
        <f ca="1">[0]!CSVVLookUP(ROW(行数!B22),配列!$C$6,運転予定時間,9,1)</f>
        <v>#NAME?</v>
      </c>
      <c r="G25" s="94" t="e">
        <f ca="1">[0]!CSVVLookUP(ROW(行数!B22),配列!$C$6,運転予定時間,10,1)</f>
        <v>#NAME?</v>
      </c>
      <c r="H25" s="94" t="e">
        <f ca="1">[0]!CSVVLookUP(ROW(行数!B22),配列!$C$6,運転予定時間,11,1)</f>
        <v>#NAME?</v>
      </c>
      <c r="I25" s="94" t="e">
        <f ca="1">[0]!CSVVLookUP(ROW(行数!B22),配列!$C$6,運転予定時間,12,1)</f>
        <v>#NAME?</v>
      </c>
      <c r="J25" s="94" t="e">
        <f ca="1">IF(A25="","",SUMIF('利用時間(User)'!B:B,C25,'利用時間(User)'!G:G))</f>
        <v>#NAME?</v>
      </c>
      <c r="K25" s="94" t="e">
        <f ca="1">IF(A25="","",SUMIF('利用時間(User)'!B:B,C25,'利用時間(User)'!L:L))</f>
        <v>#NAME?</v>
      </c>
      <c r="L25"/>
      <c r="M25" s="177" t="e">
        <f ca="1">[0]!CSVVLookUP(ROW(行数!B22),配列!$C$6,運転予定時間,13,1)</f>
        <v>#NAME?</v>
      </c>
      <c r="N25" s="165" t="e">
        <f ca="1">[0]!CSVVLookUP(ROW(行数!B22),配列!$C$6,運転予定時間,8,1)</f>
        <v>#NAME?</v>
      </c>
    </row>
    <row r="26" spans="1:14" s="2" customFormat="1" x14ac:dyDescent="0.2">
      <c r="A26" s="117" t="e">
        <f ca="1">[0]!CSVVLookUP(ROW(行数!A23),配列!$C$6,運転予定時間,3,1)</f>
        <v>#NAME?</v>
      </c>
      <c r="B26" s="117" t="e">
        <f ca="1">[0]!CSVVLookUP(ROW(行数!B23),配列!$C$6,運転予定時間,4,1)</f>
        <v>#NAME?</v>
      </c>
      <c r="C26" s="117" t="e">
        <f ca="1">[0]!CSVVLookUP(ROW(行数!B23),配列!$C$6,運転予定時間,1,1)</f>
        <v>#NAME?</v>
      </c>
      <c r="D26" s="117" t="e">
        <f t="shared" ca="1" si="0"/>
        <v>#NAME?</v>
      </c>
      <c r="E26" s="94" t="e">
        <f ca="1">[0]!CSVVLookUP(ROW(行数!B23),配列!$C$6,運転予定時間,5,1)</f>
        <v>#NAME?</v>
      </c>
      <c r="F26" s="94" t="e">
        <f ca="1">[0]!CSVVLookUP(ROW(行数!B23),配列!$C$6,運転予定時間,9,1)</f>
        <v>#NAME?</v>
      </c>
      <c r="G26" s="94" t="e">
        <f ca="1">[0]!CSVVLookUP(ROW(行数!B23),配列!$C$6,運転予定時間,10,1)</f>
        <v>#NAME?</v>
      </c>
      <c r="H26" s="94" t="e">
        <f ca="1">[0]!CSVVLookUP(ROW(行数!B23),配列!$C$6,運転予定時間,11,1)</f>
        <v>#NAME?</v>
      </c>
      <c r="I26" s="94" t="e">
        <f ca="1">[0]!CSVVLookUP(ROW(行数!B23),配列!$C$6,運転予定時間,12,1)</f>
        <v>#NAME?</v>
      </c>
      <c r="J26" s="94" t="e">
        <f ca="1">IF(A26="","",SUMIF('利用時間(User)'!B:B,C26,'利用時間(User)'!G:G))</f>
        <v>#NAME?</v>
      </c>
      <c r="K26" s="94" t="e">
        <f ca="1">IF(A26="","",SUMIF('利用時間(User)'!B:B,C26,'利用時間(User)'!L:L))</f>
        <v>#NAME?</v>
      </c>
      <c r="L26"/>
      <c r="M26" s="177" t="e">
        <f ca="1">[0]!CSVVLookUP(ROW(行数!B23),配列!$C$6,運転予定時間,13,1)</f>
        <v>#NAME?</v>
      </c>
      <c r="N26" s="165" t="e">
        <f ca="1">[0]!CSVVLookUP(ROW(行数!B23),配列!$C$6,運転予定時間,8,1)</f>
        <v>#NAME?</v>
      </c>
    </row>
    <row r="27" spans="1:14" s="2" customFormat="1" x14ac:dyDescent="0.2">
      <c r="A27" s="100"/>
      <c r="B27" s="100"/>
      <c r="C27" s="96"/>
      <c r="D27" s="96"/>
      <c r="E27" s="96"/>
      <c r="F27" s="96"/>
      <c r="G27" s="96"/>
      <c r="H27" s="96"/>
      <c r="I27" s="88"/>
      <c r="J27" s="88"/>
      <c r="K27" s="88"/>
      <c r="L27"/>
      <c r="M27"/>
    </row>
    <row r="28" spans="1:14" s="2" customFormat="1" x14ac:dyDescent="0.2">
      <c r="A28" s="100"/>
      <c r="B28" s="100"/>
      <c r="C28" s="96"/>
      <c r="D28" s="96"/>
      <c r="E28" s="96"/>
      <c r="F28" s="96"/>
      <c r="G28" s="96"/>
      <c r="H28" s="96"/>
      <c r="I28" s="88"/>
      <c r="J28" s="88"/>
      <c r="K28" s="88"/>
      <c r="L28"/>
      <c r="M28"/>
    </row>
    <row r="29" spans="1:14" s="2" customFormat="1" x14ac:dyDescent="0.2">
      <c r="A29" s="100"/>
      <c r="B29" s="100"/>
      <c r="C29" s="96"/>
      <c r="D29" s="96"/>
      <c r="E29" s="96"/>
      <c r="F29" s="96"/>
      <c r="G29" s="96"/>
      <c r="H29" s="96"/>
      <c r="I29" s="88"/>
      <c r="J29" s="88"/>
      <c r="K29" s="88"/>
      <c r="L29"/>
      <c r="M29"/>
    </row>
    <row r="30" spans="1:14" s="2" customFormat="1" x14ac:dyDescent="0.2">
      <c r="A30" s="100"/>
      <c r="B30" s="100"/>
      <c r="C30" s="96"/>
      <c r="D30" s="96"/>
      <c r="E30" s="96"/>
      <c r="F30" s="96"/>
      <c r="G30" s="96"/>
      <c r="H30" s="96"/>
      <c r="I30" s="88"/>
      <c r="J30" s="88"/>
      <c r="K30" s="88"/>
      <c r="L30"/>
      <c r="M30"/>
    </row>
    <row r="31" spans="1:14" s="2" customFormat="1" x14ac:dyDescent="0.2">
      <c r="A31" s="100"/>
      <c r="B31" s="100"/>
      <c r="C31" s="96"/>
      <c r="D31" s="96"/>
      <c r="E31" s="96"/>
      <c r="F31" s="96"/>
      <c r="G31" s="96"/>
      <c r="H31" s="96"/>
      <c r="I31" s="88"/>
      <c r="J31" s="88"/>
      <c r="K31" s="88"/>
      <c r="L31"/>
      <c r="M31"/>
    </row>
    <row r="32" spans="1:14" s="2" customFormat="1" x14ac:dyDescent="0.2">
      <c r="A32" s="100"/>
      <c r="B32" s="100"/>
      <c r="C32" s="96"/>
      <c r="D32" s="96"/>
      <c r="E32" s="96"/>
      <c r="F32" s="96"/>
      <c r="G32" s="96"/>
      <c r="H32" s="96"/>
      <c r="I32" s="88"/>
      <c r="J32" s="88"/>
      <c r="K32" s="88"/>
      <c r="L32"/>
      <c r="M32"/>
    </row>
    <row r="33" spans="1:13" s="2" customFormat="1" x14ac:dyDescent="0.2">
      <c r="A33" s="100"/>
      <c r="B33" s="100"/>
      <c r="C33" s="96"/>
      <c r="D33" s="96"/>
      <c r="E33" s="96"/>
      <c r="F33" s="96"/>
      <c r="G33" s="96"/>
      <c r="H33" s="96"/>
      <c r="I33" s="88"/>
      <c r="J33" s="88"/>
      <c r="K33" s="88"/>
      <c r="L33"/>
      <c r="M33"/>
    </row>
    <row r="34" spans="1:13" s="2" customFormat="1" x14ac:dyDescent="0.2">
      <c r="A34" s="100"/>
      <c r="B34" s="100"/>
      <c r="C34" s="96"/>
      <c r="D34" s="96"/>
      <c r="E34" s="96"/>
      <c r="F34" s="96"/>
      <c r="G34" s="96"/>
      <c r="H34" s="96"/>
      <c r="I34" s="88"/>
      <c r="J34" s="88"/>
      <c r="K34" s="88"/>
      <c r="L34"/>
      <c r="M34"/>
    </row>
    <row r="35" spans="1:13" s="2" customFormat="1" x14ac:dyDescent="0.2">
      <c r="A35" s="100"/>
      <c r="B35" s="100"/>
      <c r="C35" s="96"/>
      <c r="D35" s="96"/>
      <c r="E35" s="96"/>
      <c r="F35" s="96"/>
      <c r="G35" s="96"/>
      <c r="H35" s="96"/>
      <c r="I35" s="88"/>
      <c r="J35" s="88"/>
      <c r="K35" s="88"/>
      <c r="L35"/>
      <c r="M35"/>
    </row>
    <row r="36" spans="1:13" s="2" customFormat="1" x14ac:dyDescent="0.2">
      <c r="A36" s="100"/>
      <c r="B36" s="100"/>
      <c r="C36" s="96"/>
      <c r="D36" s="96"/>
      <c r="E36" s="96"/>
      <c r="F36" s="96"/>
      <c r="G36" s="96"/>
      <c r="H36" s="96"/>
      <c r="I36" s="88"/>
      <c r="J36" s="88"/>
      <c r="K36" s="88"/>
      <c r="L36"/>
      <c r="M36"/>
    </row>
    <row r="39" spans="1:13" s="2" customFormat="1" x14ac:dyDescent="0.2">
      <c r="A39" s="100"/>
      <c r="B39" s="100"/>
      <c r="C39" s="96"/>
      <c r="D39" s="96"/>
      <c r="E39" s="96"/>
      <c r="F39" s="96"/>
      <c r="G39" s="96"/>
      <c r="H39" s="96"/>
      <c r="I39" s="88"/>
      <c r="J39" s="88"/>
      <c r="K39" s="88"/>
      <c r="L39"/>
      <c r="M39"/>
    </row>
  </sheetData>
  <phoneticPr fontId="1"/>
  <conditionalFormatting sqref="A4:N26">
    <cfRule type="expression" dxfId="114" priority="14">
      <formula>SECOND(A4)&gt;0</formula>
    </cfRule>
  </conditionalFormatting>
  <conditionalFormatting sqref="E4:E26">
    <cfRule type="cellIs" dxfId="113" priority="7" operator="notEqual">
      <formula>$N4</formula>
    </cfRule>
  </conditionalFormatting>
  <conditionalFormatting sqref="I4:I26">
    <cfRule type="cellIs" dxfId="112" priority="13588" operator="notEqual">
      <formula>#REF!</formula>
    </cfRule>
  </conditionalFormatting>
  <conditionalFormatting sqref="J4:J26">
    <cfRule type="cellIs" dxfId="111" priority="2" operator="notEqual">
      <formula>M4</formula>
    </cfRule>
  </conditionalFormatting>
  <conditionalFormatting sqref="R5">
    <cfRule type="expression" dxfId="110" priority="1">
      <formula>SECOND(R5)&gt;0</formula>
    </cfRule>
  </conditionalFormatting>
  <dataValidations count="1">
    <dataValidation type="list" allowBlank="1" showInputMessage="1" showErrorMessage="1" sqref="B2" xr:uid="{00000000-0002-0000-0400-000000000000}">
      <formula1>ユニット_運転予定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49" id="{4106054B-1573-4F9D-8404-C43801A8FEFA}">
            <xm:f>運転予定時間!$B3="ユニット合計"</xm:f>
            <x14:dxf>
              <fill>
                <patternFill>
                  <bgColor rgb="FFFFC000"/>
                </patternFill>
              </fill>
            </x14:dxf>
          </x14:cfRule>
          <xm:sqref>I3:K3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CCFF"/>
    <pageSetUpPr fitToPage="1"/>
  </sheetPr>
  <dimension ref="B1:AO203"/>
  <sheetViews>
    <sheetView view="pageBreakPreview" topLeftCell="D1" zoomScaleNormal="100" zoomScaleSheetLayoutView="100" workbookViewId="0">
      <pane ySplit="8" topLeftCell="A25" activePane="bottomLeft" state="frozen"/>
      <selection activeCell="C195" sqref="C195"/>
      <selection pane="bottomLeft" activeCell="P31" sqref="P31"/>
    </sheetView>
  </sheetViews>
  <sheetFormatPr defaultRowHeight="13" x14ac:dyDescent="0.2"/>
  <cols>
    <col min="2" max="2" width="9" style="99"/>
    <col min="3" max="4" width="19.453125" style="88" bestFit="1" customWidth="1"/>
    <col min="5" max="6" width="19.453125" style="100" bestFit="1" customWidth="1"/>
    <col min="7" max="7" width="6.90625" style="96" customWidth="1"/>
    <col min="8" max="8" width="8.08984375" style="96" customWidth="1"/>
    <col min="9" max="9" width="6.36328125" style="101" customWidth="1"/>
    <col min="10" max="12" width="5.90625" style="102" customWidth="1"/>
    <col min="13" max="13" width="7.6328125" style="88" bestFit="1" customWidth="1"/>
    <col min="14" max="14" width="6" style="88" customWidth="1"/>
    <col min="15" max="15" width="14" style="88" bestFit="1" customWidth="1"/>
    <col min="16" max="16" width="10.36328125" style="77" customWidth="1"/>
    <col min="17" max="20" width="9" style="77"/>
    <col min="21" max="21" width="46.90625" style="162" bestFit="1" customWidth="1"/>
    <col min="23" max="23" width="9.90625" bestFit="1" customWidth="1"/>
    <col min="25" max="25" width="14" style="88" bestFit="1" customWidth="1"/>
    <col min="26" max="26" width="10.36328125" style="77" customWidth="1"/>
    <col min="27" max="27" width="8.90625" style="77"/>
    <col min="28" max="28" width="10.36328125" style="77" customWidth="1"/>
    <col min="29" max="29" width="8.90625" style="77"/>
  </cols>
  <sheetData>
    <row r="1" spans="2:41" x14ac:dyDescent="0.2">
      <c r="B1" s="45"/>
      <c r="C1"/>
      <c r="D1"/>
      <c r="E1" s="22"/>
      <c r="F1" s="22"/>
      <c r="G1" s="2"/>
      <c r="H1" s="2"/>
      <c r="I1" s="107"/>
      <c r="J1" s="108"/>
      <c r="K1" s="108"/>
      <c r="L1" s="108"/>
      <c r="M1"/>
      <c r="N1"/>
      <c r="O1"/>
      <c r="P1"/>
      <c r="Q1"/>
      <c r="R1"/>
      <c r="S1"/>
      <c r="T1"/>
      <c r="U1" s="4"/>
      <c r="Y1"/>
      <c r="Z1"/>
      <c r="AA1"/>
      <c r="AB1"/>
      <c r="AC1"/>
    </row>
    <row r="2" spans="2:41" x14ac:dyDescent="0.2">
      <c r="B2" s="45"/>
      <c r="C2"/>
      <c r="D2"/>
      <c r="E2" s="22"/>
      <c r="F2" s="22"/>
      <c r="G2" s="256"/>
      <c r="H2" s="256"/>
      <c r="I2" s="257"/>
      <c r="J2" s="256"/>
      <c r="K2" s="256"/>
      <c r="L2" s="256"/>
      <c r="M2" s="258"/>
      <c r="N2" s="256"/>
      <c r="O2" s="258"/>
      <c r="P2"/>
      <c r="Q2"/>
      <c r="R2"/>
      <c r="S2"/>
      <c r="T2"/>
      <c r="U2" s="4"/>
      <c r="Y2"/>
      <c r="Z2"/>
      <c r="AA2"/>
      <c r="AB2"/>
      <c r="AC2"/>
    </row>
    <row r="3" spans="2:41" ht="21" x14ac:dyDescent="0.2">
      <c r="B3" s="87" t="s">
        <v>74</v>
      </c>
      <c r="C3"/>
      <c r="D3"/>
      <c r="E3" s="22"/>
      <c r="F3" s="22"/>
      <c r="G3" s="256"/>
      <c r="H3" s="256"/>
      <c r="I3" s="257"/>
      <c r="J3" s="256"/>
      <c r="K3" s="256"/>
      <c r="L3" s="256"/>
      <c r="M3" s="258"/>
      <c r="N3" s="256"/>
      <c r="O3" s="256"/>
      <c r="P3"/>
      <c r="Q3"/>
      <c r="R3"/>
      <c r="S3"/>
      <c r="T3"/>
      <c r="U3" s="4"/>
      <c r="Y3"/>
      <c r="Z3"/>
      <c r="AA3"/>
      <c r="AB3"/>
      <c r="AC3"/>
    </row>
    <row r="4" spans="2:41" x14ac:dyDescent="0.2">
      <c r="B4" s="45"/>
      <c r="C4"/>
      <c r="D4"/>
      <c r="E4" s="22"/>
      <c r="F4" s="22"/>
      <c r="G4" s="256"/>
      <c r="H4" s="256"/>
      <c r="I4" s="257"/>
      <c r="J4" s="256"/>
      <c r="K4" s="256"/>
      <c r="L4" s="256"/>
      <c r="M4" s="258"/>
      <c r="N4" s="256"/>
      <c r="O4" s="256"/>
      <c r="P4"/>
      <c r="Q4"/>
      <c r="R4"/>
      <c r="S4"/>
      <c r="T4"/>
      <c r="U4" s="4"/>
      <c r="Y4"/>
      <c r="Z4"/>
      <c r="AA4"/>
      <c r="AB4"/>
      <c r="AC4"/>
    </row>
    <row r="5" spans="2:41" x14ac:dyDescent="0.2">
      <c r="B5"/>
      <c r="C5"/>
      <c r="D5"/>
      <c r="E5" s="22"/>
      <c r="F5" s="22"/>
      <c r="G5" s="256"/>
      <c r="H5" s="256"/>
      <c r="I5" s="257"/>
      <c r="J5" s="256"/>
      <c r="K5" s="256"/>
      <c r="L5" s="256"/>
      <c r="M5" s="258"/>
      <c r="N5" s="256"/>
      <c r="O5" s="256"/>
      <c r="P5"/>
      <c r="Q5"/>
      <c r="R5"/>
      <c r="S5"/>
      <c r="T5"/>
      <c r="U5" s="4"/>
      <c r="W5" t="s">
        <v>143</v>
      </c>
      <c r="Y5"/>
      <c r="Z5"/>
      <c r="AA5"/>
      <c r="AB5"/>
      <c r="AC5"/>
    </row>
    <row r="6" spans="2:41" x14ac:dyDescent="0.2">
      <c r="B6" s="45" t="s">
        <v>97</v>
      </c>
      <c r="C6"/>
      <c r="D6"/>
      <c r="E6" s="22"/>
      <c r="F6" s="22"/>
      <c r="G6" s="91" t="e">
        <f ca="1">SUM(G25:G26)</f>
        <v>#NAME?</v>
      </c>
      <c r="H6" s="91" t="e">
        <f t="shared" ref="H6:M6" ca="1" si="0">SUM(H25:H26)</f>
        <v>#NAME?</v>
      </c>
      <c r="I6" s="103" t="e">
        <f t="shared" ref="I6:I7" ca="1" si="1">H6/G6</f>
        <v>#NAME?</v>
      </c>
      <c r="J6" s="91" t="e">
        <f t="shared" ca="1" si="0"/>
        <v>#NAME?</v>
      </c>
      <c r="K6" s="91" t="e">
        <f t="shared" ca="1" si="0"/>
        <v>#NAME?</v>
      </c>
      <c r="L6" s="91" t="e">
        <f t="shared" ca="1" si="0"/>
        <v>#NAME?</v>
      </c>
      <c r="M6" s="259" t="e">
        <f t="shared" ca="1" si="0"/>
        <v>#NAME?</v>
      </c>
      <c r="N6" s="91" t="e">
        <f t="shared" ref="N6:N7" ca="1" si="2">MROUND(G6/(M6+1),"00:01")</f>
        <v>#NAME?</v>
      </c>
      <c r="O6" s="92" t="e">
        <f ca="1">[0]!CSVVLookUP(ROW(行数!#REF!),配列!$C$5,運転予定時間,7,1)</f>
        <v>#NAME?</v>
      </c>
      <c r="P6"/>
      <c r="Q6"/>
      <c r="R6"/>
      <c r="S6"/>
      <c r="T6"/>
      <c r="U6" s="4"/>
      <c r="W6" s="2" t="e">
        <f ca="1">SUM(W9:W104)</f>
        <v>#NAME?</v>
      </c>
      <c r="Y6"/>
      <c r="Z6"/>
      <c r="AA6"/>
      <c r="AB6"/>
      <c r="AC6"/>
    </row>
    <row r="7" spans="2:41" ht="14.25" customHeight="1" thickBot="1" x14ac:dyDescent="0.25">
      <c r="B7" s="45"/>
      <c r="C7" s="109"/>
      <c r="D7" s="109"/>
      <c r="E7" s="110"/>
      <c r="F7" s="110"/>
      <c r="G7" s="91" t="e">
        <f ca="1">SUM(G9:G10)</f>
        <v>#NAME?</v>
      </c>
      <c r="H7" s="91" t="e">
        <f ca="1">SUM(H9:H10)</f>
        <v>#NAME?</v>
      </c>
      <c r="I7" s="103" t="e">
        <f t="shared" ca="1" si="1"/>
        <v>#NAME?</v>
      </c>
      <c r="J7" s="91" t="e">
        <f ca="1">SUM(J9:J10)</f>
        <v>#NAME?</v>
      </c>
      <c r="K7" s="91" t="e">
        <f ca="1">SUM(K9:K10)</f>
        <v>#NAME?</v>
      </c>
      <c r="L7" s="91" t="e">
        <f ca="1">SUM(L9:L10)</f>
        <v>#NAME?</v>
      </c>
      <c r="M7" s="259" t="e">
        <f ca="1">SUM(M9:M10)</f>
        <v>#NAME?</v>
      </c>
      <c r="N7" s="91" t="e">
        <f t="shared" ca="1" si="2"/>
        <v>#NAME?</v>
      </c>
      <c r="O7" s="92" t="s">
        <v>193</v>
      </c>
      <c r="P7" s="57"/>
      <c r="Q7" s="16"/>
      <c r="R7" s="58"/>
      <c r="S7" s="16"/>
      <c r="T7"/>
      <c r="U7" s="4"/>
      <c r="W7" t="s">
        <v>138</v>
      </c>
      <c r="Y7"/>
      <c r="Z7" s="57" t="s">
        <v>191</v>
      </c>
      <c r="AA7" s="16"/>
      <c r="AB7" s="57"/>
      <c r="AC7" s="16"/>
    </row>
    <row r="8" spans="2:41" ht="26.5" thickBot="1" x14ac:dyDescent="0.25">
      <c r="B8" s="83" t="s">
        <v>70</v>
      </c>
      <c r="C8" s="95" t="s">
        <v>99</v>
      </c>
      <c r="D8" s="95" t="s">
        <v>100</v>
      </c>
      <c r="E8" s="111" t="s">
        <v>41</v>
      </c>
      <c r="F8" s="111" t="s">
        <v>42</v>
      </c>
      <c r="G8" s="112" t="s">
        <v>101</v>
      </c>
      <c r="H8" s="112" t="s">
        <v>102</v>
      </c>
      <c r="I8" s="113" t="s">
        <v>95</v>
      </c>
      <c r="J8" s="114" t="s">
        <v>91</v>
      </c>
      <c r="K8" s="114" t="s">
        <v>90</v>
      </c>
      <c r="L8" s="114" t="s">
        <v>96</v>
      </c>
      <c r="M8" s="115" t="s">
        <v>119</v>
      </c>
      <c r="N8" s="116" t="s">
        <v>88</v>
      </c>
      <c r="O8" s="59" t="s">
        <v>69</v>
      </c>
      <c r="P8" s="181" t="s">
        <v>87</v>
      </c>
      <c r="Q8" s="182" t="s">
        <v>126</v>
      </c>
      <c r="R8" s="183" t="s">
        <v>190</v>
      </c>
      <c r="S8" s="182" t="s">
        <v>127</v>
      </c>
      <c r="T8" s="184" t="s">
        <v>85</v>
      </c>
      <c r="U8" s="185" t="s">
        <v>38</v>
      </c>
      <c r="W8" s="167" t="s">
        <v>139</v>
      </c>
      <c r="Y8" s="59" t="s">
        <v>37</v>
      </c>
      <c r="Z8" s="181" t="s">
        <v>87</v>
      </c>
      <c r="AA8" s="182" t="s">
        <v>126</v>
      </c>
      <c r="AB8" s="181" t="s">
        <v>127</v>
      </c>
      <c r="AC8" s="182" t="s">
        <v>192</v>
      </c>
      <c r="AO8" s="47"/>
    </row>
    <row r="9" spans="2:41" x14ac:dyDescent="0.2">
      <c r="B9" s="93" t="e">
        <f t="shared" ref="B9:B40" ca="1" si="3">IF(C9="","",VLOOKUP(C9,ユニット判定用,3))</f>
        <v>#NAME?</v>
      </c>
      <c r="C9" s="90" t="e">
        <f ca="1">[0]!CSVVLookUP(ROW(行数!A1),配列!$C$5,運転予定時間,3,1)</f>
        <v>#NAME?</v>
      </c>
      <c r="D9" s="90" t="e">
        <f ca="1">[0]!CSVVLookUP(ROW(行数!B1),配列!$C$5,運転予定時間,4,1)</f>
        <v>#NAME?</v>
      </c>
      <c r="E9" s="90" t="e">
        <f ca="1">[0]!CSVVLookUP(ROW(行数!B1),配列!$C$8,利用時間_シフト,3,1)</f>
        <v>#NAME?</v>
      </c>
      <c r="F9" s="90" t="e">
        <f ca="1">[0]!CSVVLookUP(ROW(行数!B1),配列!$C$9,利用時間_シフト,4,1)</f>
        <v>#NAME?</v>
      </c>
      <c r="G9" s="91" t="e">
        <f ca="1">IF(F9="","",SUM(INDEX(利用時間_シフト,[0]!CSVChoose(ROW(行数!A1),配列!$C$8),5):INDEX(利用時間_シフト,[0]!CSVChoose(ROW(行数!A1),配列!$C$9),5)))</f>
        <v>#NAME?</v>
      </c>
      <c r="H9" s="91" t="e">
        <f ca="1">IF(F9="","",SUM(INDEX(利用時間_シフト,[0]!CSVChoose(ROW(行数!A1),配列!$C$8),6):INDEX(利用時間_シフト,[0]!CSVChoose(ROW(行数!A1),配列!$C$9),6)))</f>
        <v>#NAME?</v>
      </c>
      <c r="I9" s="103" t="e">
        <f t="shared" ref="I9:I40" ca="1" si="4">IF(E9="","",H9/G9)</f>
        <v>#NAME?</v>
      </c>
      <c r="J9" s="91" t="e">
        <f ca="1">IF(F9="","",SUM(INDEX(利用時間_シフト,[0]!CSVChoose(ROW(行数!A1),配列!$C$8),8):INDEX(利用時間_シフト,[0]!CSVChoose(ROW(行数!A1),配列!$C$9),8)))</f>
        <v>#NAME?</v>
      </c>
      <c r="K9" s="104" t="e">
        <f ca="1">IF(F9="","",SUM(INDEX(利用時間_シフト,[0]!CSVChoose(ROW(行数!A1),配列!$C$8),9):INDEX(利用時間_シフト,[0]!CSVChoose(ROW(行数!A1),配列!$C$9),9)))</f>
        <v>#NAME?</v>
      </c>
      <c r="L9" s="91" t="e">
        <f ca="1">IF(F9="","",SUM(INDEX(利用時間_シフト,[0]!CSVChoose(ROW(行数!A1),配列!$C$8),10):INDEX(利用時間_シフト,[0]!CSVChoose(ROW(行数!A1),配列!$C$9),10)))</f>
        <v>#NAME?</v>
      </c>
      <c r="M9" s="92" t="e">
        <f ca="1">IF(F9="","",SUM(INDEX(利用時間_シフト,[0]!CSVChoose(ROW(行数!A1),配列!$C$8),11):INDEX(利用時間_シフト,[0]!CSVChoose(ROW(行数!A1),配列!$C$9),11)))</f>
        <v>#NAME?</v>
      </c>
      <c r="N9" s="91" t="e">
        <f t="shared" ref="N9:N40" ca="1" si="5">IF(F9="","",MROUND(G9/(M9+1),"00:01"))</f>
        <v>#NAME?</v>
      </c>
      <c r="O9" s="92" t="e">
        <f ca="1">[0]!CSVVLookUP(ROW(行数!A1),配列!$C$5,運転予定時間,7,1)</f>
        <v>#NAME?</v>
      </c>
      <c r="P9" s="253">
        <v>7.976</v>
      </c>
      <c r="Q9" s="254">
        <v>30</v>
      </c>
      <c r="R9" s="255">
        <v>15</v>
      </c>
      <c r="S9" s="254">
        <v>195</v>
      </c>
      <c r="T9" s="78" t="s">
        <v>225</v>
      </c>
      <c r="U9" s="186"/>
      <c r="W9" s="164" t="e">
        <f ca="1">[0]!CSVVLookUP(ROW(行数!A1),配列!$C$5,運転予定時間,5,1)</f>
        <v>#NAME?</v>
      </c>
      <c r="Y9" s="92" t="e">
        <f t="shared" ref="Y9:AA10" ca="1" si="6">O9</f>
        <v>#NAME?</v>
      </c>
      <c r="Z9" s="252">
        <f t="shared" si="6"/>
        <v>7.976</v>
      </c>
      <c r="AA9" s="251">
        <f t="shared" si="6"/>
        <v>30</v>
      </c>
      <c r="AB9" s="263">
        <f>S9</f>
        <v>195</v>
      </c>
      <c r="AC9" s="262">
        <f>R9</f>
        <v>15</v>
      </c>
    </row>
    <row r="10" spans="2:41" x14ac:dyDescent="0.2">
      <c r="B10" s="93" t="e">
        <f t="shared" ca="1" si="3"/>
        <v>#NAME?</v>
      </c>
      <c r="C10" s="90" t="e">
        <f ca="1">[0]!CSVVLookUP(ROW(行数!A2),配列!$C$5,運転予定時間,3,1)</f>
        <v>#NAME?</v>
      </c>
      <c r="D10" s="90" t="e">
        <f ca="1">[0]!CSVVLookUP(ROW(行数!B2),配列!$C$5,運転予定時間,4,1)</f>
        <v>#NAME?</v>
      </c>
      <c r="E10" s="90" t="e">
        <f ca="1">[0]!CSVVLookUP(ROW(行数!B2),配列!$C$8,利用時間_シフト,3,1)</f>
        <v>#NAME?</v>
      </c>
      <c r="F10" s="90" t="e">
        <f ca="1">[0]!CSVVLookUP(ROW(行数!B2),配列!$C$9,利用時間_シフト,4,1)</f>
        <v>#NAME?</v>
      </c>
      <c r="G10" s="91" t="e">
        <f ca="1">IF(F10="","",SUM(INDEX(利用時間_シフト,[0]!CSVChoose(ROW(行数!A2),配列!$C$8),5):INDEX(利用時間_シフト,[0]!CSVChoose(ROW(行数!A2),配列!$C$9),5)))</f>
        <v>#NAME?</v>
      </c>
      <c r="H10" s="91" t="e">
        <f ca="1">IF(F10="","",SUM(INDEX(利用時間_シフト,[0]!CSVChoose(ROW(行数!A2),配列!$C$8),6):INDEX(利用時間_シフト,[0]!CSVChoose(ROW(行数!A2),配列!$C$9),6)))</f>
        <v>#NAME?</v>
      </c>
      <c r="I10" s="103" t="e">
        <f t="shared" ca="1" si="4"/>
        <v>#NAME?</v>
      </c>
      <c r="J10" s="91" t="e">
        <f ca="1">IF(F10="","",SUM(INDEX(利用時間_シフト,[0]!CSVChoose(ROW(行数!A2),配列!$C$8),8):INDEX(利用時間_シフト,[0]!CSVChoose(ROW(行数!A2),配列!$C$9),8)))</f>
        <v>#NAME?</v>
      </c>
      <c r="K10" s="104" t="e">
        <f ca="1">IF(F10="","",SUM(INDEX(利用時間_シフト,[0]!CSVChoose(ROW(行数!A2),配列!$C$8),9):INDEX(利用時間_シフト,[0]!CSVChoose(ROW(行数!A2),配列!$C$9),9)))</f>
        <v>#NAME?</v>
      </c>
      <c r="L10" s="91" t="e">
        <f ca="1">IF(F10="","",SUM(INDEX(利用時間_シフト,[0]!CSVChoose(ROW(行数!A2),配列!$C$8),10):INDEX(利用時間_シフト,[0]!CSVChoose(ROW(行数!A2),配列!$C$9),10)))</f>
        <v>#NAME?</v>
      </c>
      <c r="M10" s="93" t="e">
        <f ca="1">IF(F10="","",SUM(INDEX(利用時間_シフト,[0]!CSVChoose(ROW(行数!A2),配列!$C$8),11):INDEX(利用時間_シフト,[0]!CSVChoose(ROW(行数!A2),配列!$C$9),11)))</f>
        <v>#NAME?</v>
      </c>
      <c r="N10" s="91" t="e">
        <f t="shared" ca="1" si="5"/>
        <v>#NAME?</v>
      </c>
      <c r="O10" s="92" t="e">
        <f ca="1">[0]!CSVVLookUP(ROW(行数!A2),配列!$C$5,運転予定時間,7,1)</f>
        <v>#NAME?</v>
      </c>
      <c r="P10" s="253">
        <v>7.976</v>
      </c>
      <c r="Q10" s="254">
        <v>30</v>
      </c>
      <c r="R10" s="255">
        <v>10</v>
      </c>
      <c r="S10" s="254">
        <v>320</v>
      </c>
      <c r="T10" s="78" t="s">
        <v>225</v>
      </c>
      <c r="U10" s="186"/>
      <c r="W10" s="166" t="e">
        <f ca="1">[0]!CSVVLookUP(ROW(行数!A2),配列!$C$5,運転予定時間,5,1)</f>
        <v>#NAME?</v>
      </c>
      <c r="Y10" s="92" t="e">
        <f t="shared" ca="1" si="6"/>
        <v>#NAME?</v>
      </c>
      <c r="Z10" s="252">
        <f t="shared" si="6"/>
        <v>7.976</v>
      </c>
      <c r="AA10" s="251">
        <f t="shared" si="6"/>
        <v>30</v>
      </c>
      <c r="AB10" s="263">
        <f>S10</f>
        <v>320</v>
      </c>
      <c r="AC10" s="262">
        <f>R10</f>
        <v>10</v>
      </c>
    </row>
    <row r="11" spans="2:41" x14ac:dyDescent="0.2">
      <c r="B11" s="93" t="e">
        <f t="shared" ca="1" si="3"/>
        <v>#NAME?</v>
      </c>
      <c r="C11" s="90" t="e">
        <f ca="1">[0]!CSVVLookUP(ROW(行数!A3),配列!$C$5,運転予定時間,3,1)</f>
        <v>#NAME?</v>
      </c>
      <c r="D11" s="90" t="e">
        <f ca="1">[0]!CSVVLookUP(ROW(行数!B3),配列!$C$5,運転予定時間,4,1)</f>
        <v>#NAME?</v>
      </c>
      <c r="E11" s="90" t="e">
        <f ca="1">[0]!CSVVLookUP(ROW(行数!B3),配列!$C$8,利用時間_シフト,3,1)</f>
        <v>#NAME?</v>
      </c>
      <c r="F11" s="90" t="e">
        <f ca="1">[0]!CSVVLookUP(ROW(行数!B3),配列!$C$9,利用時間_シフト,4,1)</f>
        <v>#NAME?</v>
      </c>
      <c r="G11" s="91" t="e">
        <f ca="1">IF(F11="","",SUM(INDEX(利用時間_シフト,[0]!CSVChoose(ROW(行数!A3),配列!$C$8),5):INDEX(利用時間_シフト,[0]!CSVChoose(ROW(行数!A3),配列!$C$9),5)))</f>
        <v>#NAME?</v>
      </c>
      <c r="H11" s="91" t="e">
        <f ca="1">IF(F11="","",SUM(INDEX(利用時間_シフト,[0]!CSVChoose(ROW(行数!A3),配列!$C$8),6):INDEX(利用時間_シフト,[0]!CSVChoose(ROW(行数!A3),配列!$C$9),6)))</f>
        <v>#NAME?</v>
      </c>
      <c r="I11" s="103" t="e">
        <f t="shared" ca="1" si="4"/>
        <v>#NAME?</v>
      </c>
      <c r="J11" s="91" t="e">
        <f ca="1">IF(F11="","",SUM(INDEX(利用時間_シフト,[0]!CSVChoose(ROW(行数!A3),配列!$C$8),8):INDEX(利用時間_シフト,[0]!CSVChoose(ROW(行数!A3),配列!$C$9),8)))</f>
        <v>#NAME?</v>
      </c>
      <c r="K11" s="104" t="e">
        <f ca="1">IF(F11="","",SUM(INDEX(利用時間_シフト,[0]!CSVChoose(ROW(行数!A3),配列!$C$8),9):INDEX(利用時間_シフト,[0]!CSVChoose(ROW(行数!A3),配列!$C$9),9)))</f>
        <v>#NAME?</v>
      </c>
      <c r="L11" s="91" t="e">
        <f ca="1">IF(F11="","",SUM(INDEX(利用時間_シフト,[0]!CSVChoose(ROW(行数!A3),配列!$C$8),10):INDEX(利用時間_シフト,[0]!CSVChoose(ROW(行数!A3),配列!$C$9),10)))</f>
        <v>#NAME?</v>
      </c>
      <c r="M11" s="93" t="e">
        <f ca="1">IF(F11="","",SUM(INDEX(利用時間_シフト,[0]!CSVChoose(ROW(行数!A3),配列!$C$8),11):INDEX(利用時間_シフト,[0]!CSVChoose(ROW(行数!A3),配列!$C$9),11)))</f>
        <v>#NAME?</v>
      </c>
      <c r="N11" s="91" t="e">
        <f t="shared" ca="1" si="5"/>
        <v>#NAME?</v>
      </c>
      <c r="O11" s="92" t="e">
        <f ca="1">[0]!CSVVLookUP(ROW(行数!A3),配列!$C$5,運転予定時間,7,1)</f>
        <v>#NAME?</v>
      </c>
      <c r="P11" s="253">
        <v>6.6630000000000003</v>
      </c>
      <c r="Q11" s="254">
        <v>30</v>
      </c>
      <c r="R11" s="255" t="s">
        <v>255</v>
      </c>
      <c r="S11" s="254">
        <v>400</v>
      </c>
      <c r="T11" s="78" t="s">
        <v>225</v>
      </c>
      <c r="U11" s="186"/>
      <c r="W11" s="166" t="e">
        <f ca="1">[0]!CSVVLookUP(ROW(行数!A3),配列!$C$5,運転予定時間,5,1)</f>
        <v>#NAME?</v>
      </c>
      <c r="Y11" s="92"/>
      <c r="Z11" s="252"/>
      <c r="AA11" s="251"/>
      <c r="AB11" s="252"/>
      <c r="AC11" s="251"/>
    </row>
    <row r="12" spans="2:41" x14ac:dyDescent="0.2">
      <c r="B12" s="93" t="e">
        <f t="shared" ca="1" si="3"/>
        <v>#NAME?</v>
      </c>
      <c r="C12" s="90" t="e">
        <f ca="1">[0]!CSVVLookUP(ROW(行数!A4),配列!$C$5,運転予定時間,3,1)</f>
        <v>#NAME?</v>
      </c>
      <c r="D12" s="90" t="e">
        <f ca="1">[0]!CSVVLookUP(ROW(行数!B4),配列!$C$5,運転予定時間,4,1)</f>
        <v>#NAME?</v>
      </c>
      <c r="E12" s="90" t="e">
        <f ca="1">[0]!CSVVLookUP(ROW(行数!B4),配列!$C$8,利用時間_シフト,3,1)</f>
        <v>#NAME?</v>
      </c>
      <c r="F12" s="90" t="e">
        <f ca="1">[0]!CSVVLookUP(ROW(行数!B4),配列!$C$9,利用時間_シフト,4,1)</f>
        <v>#NAME?</v>
      </c>
      <c r="G12" s="91" t="e">
        <f ca="1">IF(F12="","",SUM(INDEX(利用時間_シフト,[0]!CSVChoose(ROW(行数!A4),配列!$C$8),5):INDEX(利用時間_シフト,[0]!CSVChoose(ROW(行数!A4),配列!$C$9),5)))</f>
        <v>#NAME?</v>
      </c>
      <c r="H12" s="91" t="e">
        <f ca="1">IF(F12="","",SUM(INDEX(利用時間_シフト,[0]!CSVChoose(ROW(行数!A4),配列!$C$8),6):INDEX(利用時間_シフト,[0]!CSVChoose(ROW(行数!A4),配列!$C$9),6)))</f>
        <v>#NAME?</v>
      </c>
      <c r="I12" s="103" t="e">
        <f t="shared" ca="1" si="4"/>
        <v>#NAME?</v>
      </c>
      <c r="J12" s="91" t="e">
        <f ca="1">IF(F12="","",SUM(INDEX(利用時間_シフト,[0]!CSVChoose(ROW(行数!A4),配列!$C$8),8):INDEX(利用時間_シフト,[0]!CSVChoose(ROW(行数!A4),配列!$C$9),8)))</f>
        <v>#NAME?</v>
      </c>
      <c r="K12" s="104" t="e">
        <f ca="1">IF(F12="","",SUM(INDEX(利用時間_シフト,[0]!CSVChoose(ROW(行数!A4),配列!$C$8),9):INDEX(利用時間_シフト,[0]!CSVChoose(ROW(行数!A4),配列!$C$9),9)))</f>
        <v>#NAME?</v>
      </c>
      <c r="L12" s="91" t="e">
        <f ca="1">IF(F12="","",SUM(INDEX(利用時間_シフト,[0]!CSVChoose(ROW(行数!A4),配列!$C$8),10):INDEX(利用時間_シフト,[0]!CSVChoose(ROW(行数!A4),配列!$C$9),10)))</f>
        <v>#NAME?</v>
      </c>
      <c r="M12" s="93" t="e">
        <f ca="1">IF(F12="","",SUM(INDEX(利用時間_シフト,[0]!CSVChoose(ROW(行数!A4),配列!$C$8),11):INDEX(利用時間_シフト,[0]!CSVChoose(ROW(行数!A4),配列!$C$9),11)))</f>
        <v>#NAME?</v>
      </c>
      <c r="N12" s="91" t="e">
        <f t="shared" ca="1" si="5"/>
        <v>#NAME?</v>
      </c>
      <c r="O12" s="92" t="e">
        <f ca="1">[0]!CSVVLookUP(ROW(行数!A4),配列!$C$5,運転予定時間,7,1)</f>
        <v>#NAME?</v>
      </c>
      <c r="P12" s="253">
        <v>7.976</v>
      </c>
      <c r="Q12" s="254">
        <v>30</v>
      </c>
      <c r="R12" s="255">
        <v>10</v>
      </c>
      <c r="S12" s="254">
        <v>370</v>
      </c>
      <c r="T12" s="78" t="s">
        <v>225</v>
      </c>
      <c r="U12" s="186"/>
      <c r="W12" s="166" t="e">
        <f ca="1">[0]!CSVVLookUP(ROW(行数!A4),配列!$C$5,運転予定時間,5,1)</f>
        <v>#NAME?</v>
      </c>
      <c r="Y12" s="92"/>
      <c r="Z12" s="252"/>
      <c r="AA12" s="251"/>
      <c r="AB12" s="252"/>
      <c r="AC12" s="251"/>
    </row>
    <row r="13" spans="2:41" x14ac:dyDescent="0.2">
      <c r="B13" s="93" t="e">
        <f t="shared" ca="1" si="3"/>
        <v>#NAME?</v>
      </c>
      <c r="C13" s="90" t="e">
        <f ca="1">[0]!CSVVLookUP(ROW(行数!A5),配列!$C$5,運転予定時間,3,1)</f>
        <v>#NAME?</v>
      </c>
      <c r="D13" s="90" t="e">
        <f ca="1">[0]!CSVVLookUP(ROW(行数!B5),配列!$C$5,運転予定時間,4,1)</f>
        <v>#NAME?</v>
      </c>
      <c r="E13" s="90" t="e">
        <f ca="1">[0]!CSVVLookUP(ROW(行数!B5),配列!$C$8,利用時間_シフト,3,1)</f>
        <v>#NAME?</v>
      </c>
      <c r="F13" s="90" t="e">
        <f ca="1">[0]!CSVVLookUP(ROW(行数!B5),配列!$C$9,利用時間_シフト,4,1)</f>
        <v>#NAME?</v>
      </c>
      <c r="G13" s="91" t="e">
        <f ca="1">IF(F13="","",SUM(INDEX(利用時間_シフト,[0]!CSVChoose(ROW(行数!A5),配列!$C$8),5):INDEX(利用時間_シフト,[0]!CSVChoose(ROW(行数!A5),配列!$C$9),5)))</f>
        <v>#NAME?</v>
      </c>
      <c r="H13" s="91" t="e">
        <f ca="1">IF(F13="","",SUM(INDEX(利用時間_シフト,[0]!CSVChoose(ROW(行数!A5),配列!$C$8),6):INDEX(利用時間_シフト,[0]!CSVChoose(ROW(行数!A5),配列!$C$9),6)))</f>
        <v>#NAME?</v>
      </c>
      <c r="I13" s="103" t="e">
        <f t="shared" ca="1" si="4"/>
        <v>#NAME?</v>
      </c>
      <c r="J13" s="91" t="e">
        <f ca="1">IF(F13="","",SUM(INDEX(利用時間_シフト,[0]!CSVChoose(ROW(行数!A5),配列!$C$8),8):INDEX(利用時間_シフト,[0]!CSVChoose(ROW(行数!A5),配列!$C$9),8)))</f>
        <v>#NAME?</v>
      </c>
      <c r="K13" s="104" t="e">
        <f ca="1">IF(F13="","",SUM(INDEX(利用時間_シフト,[0]!CSVChoose(ROW(行数!A5),配列!$C$8),9):INDEX(利用時間_シフト,[0]!CSVChoose(ROW(行数!A5),配列!$C$9),9)))</f>
        <v>#NAME?</v>
      </c>
      <c r="L13" s="91" t="e">
        <f ca="1">IF(F13="","",SUM(INDEX(利用時間_シフト,[0]!CSVChoose(ROW(行数!A5),配列!$C$8),10):INDEX(利用時間_シフト,[0]!CSVChoose(ROW(行数!A5),配列!$C$9),10)))</f>
        <v>#NAME?</v>
      </c>
      <c r="M13" s="93" t="e">
        <f ca="1">IF(F13="","",SUM(INDEX(利用時間_シフト,[0]!CSVChoose(ROW(行数!A5),配列!$C$8),11):INDEX(利用時間_シフト,[0]!CSVChoose(ROW(行数!A5),配列!$C$9),11)))</f>
        <v>#NAME?</v>
      </c>
      <c r="N13" s="91" t="e">
        <f t="shared" ca="1" si="5"/>
        <v>#NAME?</v>
      </c>
      <c r="O13" s="92" t="e">
        <f ca="1">[0]!CSVVLookUP(ROW(行数!A5),配列!$C$5,運転予定時間,7,1)</f>
        <v>#NAME?</v>
      </c>
      <c r="P13" s="253">
        <v>7.976</v>
      </c>
      <c r="Q13" s="254">
        <v>30</v>
      </c>
      <c r="R13" s="255">
        <v>10</v>
      </c>
      <c r="S13" s="254">
        <v>380</v>
      </c>
      <c r="T13" s="78" t="s">
        <v>225</v>
      </c>
      <c r="U13" s="186"/>
      <c r="W13" s="166" t="e">
        <f ca="1">[0]!CSVVLookUP(ROW(行数!A5),配列!$C$5,運転予定時間,5,1)</f>
        <v>#NAME?</v>
      </c>
      <c r="Y13" s="92"/>
      <c r="Z13" s="252"/>
      <c r="AA13" s="251"/>
      <c r="AB13" s="252"/>
      <c r="AC13" s="251"/>
    </row>
    <row r="14" spans="2:41" x14ac:dyDescent="0.2">
      <c r="B14" s="93" t="e">
        <f t="shared" ca="1" si="3"/>
        <v>#NAME?</v>
      </c>
      <c r="C14" s="90" t="e">
        <f ca="1">[0]!CSVVLookUP(ROW(行数!A6),配列!$C$5,運転予定時間,3,1)</f>
        <v>#NAME?</v>
      </c>
      <c r="D14" s="90" t="e">
        <f ca="1">[0]!CSVVLookUP(ROW(行数!B6),配列!$C$5,運転予定時間,4,1)</f>
        <v>#NAME?</v>
      </c>
      <c r="E14" s="90" t="e">
        <f ca="1">[0]!CSVVLookUP(ROW(行数!B6),配列!$C$8,利用時間_シフト,3,1)</f>
        <v>#NAME?</v>
      </c>
      <c r="F14" s="90" t="e">
        <f ca="1">[0]!CSVVLookUP(ROW(行数!B6),配列!$C$9,利用時間_シフト,4,1)</f>
        <v>#NAME?</v>
      </c>
      <c r="G14" s="91" t="e">
        <f ca="1">IF(F14="","",SUM(INDEX(利用時間_シフト,[0]!CSVChoose(ROW(行数!A6),配列!$C$8),5):INDEX(利用時間_シフト,[0]!CSVChoose(ROW(行数!A6),配列!$C$9),5)))</f>
        <v>#NAME?</v>
      </c>
      <c r="H14" s="91" t="e">
        <f ca="1">IF(F14="","",SUM(INDEX(利用時間_シフト,[0]!CSVChoose(ROW(行数!A6),配列!$C$8),6):INDEX(利用時間_シフト,[0]!CSVChoose(ROW(行数!A6),配列!$C$9),6)))</f>
        <v>#NAME?</v>
      </c>
      <c r="I14" s="103" t="e">
        <f t="shared" ca="1" si="4"/>
        <v>#NAME?</v>
      </c>
      <c r="J14" s="91" t="e">
        <f ca="1">IF(F14="","",SUM(INDEX(利用時間_シフト,[0]!CSVChoose(ROW(行数!A6),配列!$C$8),8):INDEX(利用時間_シフト,[0]!CSVChoose(ROW(行数!A6),配列!$C$9),8)))</f>
        <v>#NAME?</v>
      </c>
      <c r="K14" s="104" t="e">
        <f ca="1">IF(F14="","",SUM(INDEX(利用時間_シフト,[0]!CSVChoose(ROW(行数!A6),配列!$C$8),9):INDEX(利用時間_シフト,[0]!CSVChoose(ROW(行数!A6),配列!$C$9),9)))</f>
        <v>#NAME?</v>
      </c>
      <c r="L14" s="91" t="e">
        <f ca="1">IF(F14="","",SUM(INDEX(利用時間_シフト,[0]!CSVChoose(ROW(行数!A6),配列!$C$8),10):INDEX(利用時間_シフト,[0]!CSVChoose(ROW(行数!A6),配列!$C$9),10)))</f>
        <v>#NAME?</v>
      </c>
      <c r="M14" s="93" t="e">
        <f ca="1">IF(F14="","",SUM(INDEX(利用時間_シフト,[0]!CSVChoose(ROW(行数!A6),配列!$C$8),11):INDEX(利用時間_シフト,[0]!CSVChoose(ROW(行数!A6),配列!$C$9),11)))</f>
        <v>#NAME?</v>
      </c>
      <c r="N14" s="91" t="e">
        <f t="shared" ca="1" si="5"/>
        <v>#NAME?</v>
      </c>
      <c r="O14" s="92" t="e">
        <f ca="1">[0]!CSVVLookUP(ROW(行数!A6),配列!$C$5,運転予定時間,7,1)</f>
        <v>#NAME?</v>
      </c>
      <c r="P14" s="253">
        <v>7.976</v>
      </c>
      <c r="Q14" s="254">
        <v>30</v>
      </c>
      <c r="R14" s="255">
        <v>10</v>
      </c>
      <c r="S14" s="254">
        <v>380</v>
      </c>
      <c r="T14" s="78" t="s">
        <v>225</v>
      </c>
      <c r="U14" s="186"/>
      <c r="W14" s="166" t="e">
        <f ca="1">[0]!CSVVLookUP(ROW(行数!A6),配列!$C$5,運転予定時間,5,1)</f>
        <v>#NAME?</v>
      </c>
      <c r="Y14" s="92"/>
      <c r="Z14" s="252"/>
      <c r="AA14" s="251"/>
      <c r="AB14" s="252"/>
      <c r="AC14" s="251"/>
    </row>
    <row r="15" spans="2:41" x14ac:dyDescent="0.2">
      <c r="B15" s="93" t="e">
        <f t="shared" ca="1" si="3"/>
        <v>#NAME?</v>
      </c>
      <c r="C15" s="90" t="e">
        <f ca="1">[0]!CSVVLookUP(ROW(行数!A7),配列!$C$5,運転予定時間,3,1)</f>
        <v>#NAME?</v>
      </c>
      <c r="D15" s="90" t="e">
        <f ca="1">[0]!CSVVLookUP(ROW(行数!B7),配列!$C$5,運転予定時間,4,1)</f>
        <v>#NAME?</v>
      </c>
      <c r="E15" s="90" t="e">
        <f ca="1">[0]!CSVVLookUP(ROW(行数!B7),配列!$C$8,利用時間_シフト,3,1)</f>
        <v>#NAME?</v>
      </c>
      <c r="F15" s="90" t="e">
        <f ca="1">[0]!CSVVLookUP(ROW(行数!B7),配列!$C$9,利用時間_シフト,4,1)</f>
        <v>#NAME?</v>
      </c>
      <c r="G15" s="91" t="e">
        <f ca="1">IF(F15="","",SUM(INDEX(利用時間_シフト,[0]!CSVChoose(ROW(行数!A7),配列!$C$8),5):INDEX(利用時間_シフト,[0]!CSVChoose(ROW(行数!A7),配列!$C$9),5)))</f>
        <v>#NAME?</v>
      </c>
      <c r="H15" s="91" t="e">
        <f ca="1">IF(F15="","",SUM(INDEX(利用時間_シフト,[0]!CSVChoose(ROW(行数!A7),配列!$C$8),6):INDEX(利用時間_シフト,[0]!CSVChoose(ROW(行数!A7),配列!$C$9),6)))</f>
        <v>#NAME?</v>
      </c>
      <c r="I15" s="103" t="e">
        <f t="shared" ca="1" si="4"/>
        <v>#NAME?</v>
      </c>
      <c r="J15" s="91" t="e">
        <f ca="1">IF(F15="","",SUM(INDEX(利用時間_シフト,[0]!CSVChoose(ROW(行数!A7),配列!$C$8),8):INDEX(利用時間_シフト,[0]!CSVChoose(ROW(行数!A7),配列!$C$9),8)))</f>
        <v>#NAME?</v>
      </c>
      <c r="K15" s="104" t="e">
        <f ca="1">IF(F15="","",SUM(INDEX(利用時間_シフト,[0]!CSVChoose(ROW(行数!A7),配列!$C$8),9):INDEX(利用時間_シフト,[0]!CSVChoose(ROW(行数!A7),配列!$C$9),9)))</f>
        <v>#NAME?</v>
      </c>
      <c r="L15" s="91" t="e">
        <f ca="1">IF(F15="","",SUM(INDEX(利用時間_シフト,[0]!CSVChoose(ROW(行数!A7),配列!$C$8),10):INDEX(利用時間_シフト,[0]!CSVChoose(ROW(行数!A7),配列!$C$9),10)))</f>
        <v>#NAME?</v>
      </c>
      <c r="M15" s="93" t="e">
        <f ca="1">IF(F15="","",SUM(INDEX(利用時間_シフト,[0]!CSVChoose(ROW(行数!A7),配列!$C$8),11):INDEX(利用時間_シフト,[0]!CSVChoose(ROW(行数!A7),配列!$C$9),11)))</f>
        <v>#NAME?</v>
      </c>
      <c r="N15" s="91" t="e">
        <f t="shared" ca="1" si="5"/>
        <v>#NAME?</v>
      </c>
      <c r="O15" s="92" t="e">
        <f ca="1">[0]!CSVVLookUP(ROW(行数!A7),配列!$C$5,運転予定時間,7,1)</f>
        <v>#NAME?</v>
      </c>
      <c r="P15" s="253">
        <v>7.976</v>
      </c>
      <c r="Q15" s="254">
        <v>30</v>
      </c>
      <c r="R15" s="255">
        <v>10</v>
      </c>
      <c r="S15" s="254">
        <v>370</v>
      </c>
      <c r="T15" s="78" t="s">
        <v>225</v>
      </c>
      <c r="U15" s="186"/>
      <c r="W15" s="166" t="e">
        <f ca="1">[0]!CSVVLookUP(ROW(行数!A7),配列!$C$5,運転予定時間,5,1)</f>
        <v>#NAME?</v>
      </c>
      <c r="Y15" s="92"/>
      <c r="Z15" s="252"/>
      <c r="AA15" s="251"/>
      <c r="AB15" s="252"/>
      <c r="AC15" s="251"/>
    </row>
    <row r="16" spans="2:41" x14ac:dyDescent="0.2">
      <c r="B16" s="93" t="e">
        <f t="shared" ca="1" si="3"/>
        <v>#NAME?</v>
      </c>
      <c r="C16" s="90" t="e">
        <f ca="1">[0]!CSVVLookUP(ROW(行数!A8),配列!$C$5,運転予定時間,3,1)</f>
        <v>#NAME?</v>
      </c>
      <c r="D16" s="90" t="e">
        <f ca="1">[0]!CSVVLookUP(ROW(行数!B8),配列!$C$5,運転予定時間,4,1)</f>
        <v>#NAME?</v>
      </c>
      <c r="E16" s="90" t="e">
        <f ca="1">[0]!CSVVLookUP(ROW(行数!B8),配列!$C$8,利用時間_シフト,3,1)</f>
        <v>#NAME?</v>
      </c>
      <c r="F16" s="90" t="e">
        <f ca="1">[0]!CSVVLookUP(ROW(行数!B8),配列!$C$9,利用時間_シフト,4,1)</f>
        <v>#NAME?</v>
      </c>
      <c r="G16" s="91" t="e">
        <f ca="1">IF(F16="","",SUM(INDEX(利用時間_シフト,[0]!CSVChoose(ROW(行数!A8),配列!$C$8),5):INDEX(利用時間_シフト,[0]!CSVChoose(ROW(行数!A8),配列!$C$9),5)))</f>
        <v>#NAME?</v>
      </c>
      <c r="H16" s="91" t="e">
        <f ca="1">IF(F16="","",SUM(INDEX(利用時間_シフト,[0]!CSVChoose(ROW(行数!A8),配列!$C$8),6):INDEX(利用時間_シフト,[0]!CSVChoose(ROW(行数!A8),配列!$C$9),6)))</f>
        <v>#NAME?</v>
      </c>
      <c r="I16" s="103" t="e">
        <f t="shared" ca="1" si="4"/>
        <v>#NAME?</v>
      </c>
      <c r="J16" s="91" t="e">
        <f ca="1">IF(F16="","",SUM(INDEX(利用時間_シフト,[0]!CSVChoose(ROW(行数!A8),配列!$C$8),8):INDEX(利用時間_シフト,[0]!CSVChoose(ROW(行数!A8),配列!$C$9),8)))</f>
        <v>#NAME?</v>
      </c>
      <c r="K16" s="104" t="e">
        <f ca="1">IF(F16="","",SUM(INDEX(利用時間_シフト,[0]!CSVChoose(ROW(行数!A8),配列!$C$8),9):INDEX(利用時間_シフト,[0]!CSVChoose(ROW(行数!A8),配列!$C$9),9)))</f>
        <v>#NAME?</v>
      </c>
      <c r="L16" s="91" t="e">
        <f ca="1">IF(F16="","",SUM(INDEX(利用時間_シフト,[0]!CSVChoose(ROW(行数!A8),配列!$C$8),10):INDEX(利用時間_シフト,[0]!CSVChoose(ROW(行数!A8),配列!$C$9),10)))</f>
        <v>#NAME?</v>
      </c>
      <c r="M16" s="93" t="e">
        <f ca="1">IF(F16="","",SUM(INDEX(利用時間_シフト,[0]!CSVChoose(ROW(行数!A8),配列!$C$8),11):INDEX(利用時間_シフト,[0]!CSVChoose(ROW(行数!A8),配列!$C$9),11)))</f>
        <v>#NAME?</v>
      </c>
      <c r="N16" s="91" t="e">
        <f t="shared" ca="1" si="5"/>
        <v>#NAME?</v>
      </c>
      <c r="O16" s="92" t="e">
        <f ca="1">[0]!CSVVLookUP(ROW(行数!A8),配列!$C$5,運転予定時間,7,1)</f>
        <v>#NAME?</v>
      </c>
      <c r="P16" s="253">
        <v>7.976</v>
      </c>
      <c r="Q16" s="254">
        <v>30</v>
      </c>
      <c r="R16" s="255" t="s">
        <v>264</v>
      </c>
      <c r="S16" s="272">
        <v>400250</v>
      </c>
      <c r="T16" s="78" t="s">
        <v>225</v>
      </c>
      <c r="U16" s="186"/>
      <c r="W16" s="166" t="e">
        <f ca="1">[0]!CSVVLookUP(ROW(行数!A8),配列!$C$5,運転予定時間,5,1)</f>
        <v>#NAME?</v>
      </c>
      <c r="Y16" s="92"/>
      <c r="Z16" s="252"/>
      <c r="AA16" s="251"/>
      <c r="AB16" s="252"/>
      <c r="AC16" s="251"/>
    </row>
    <row r="17" spans="2:29" x14ac:dyDescent="0.2">
      <c r="B17" s="93" t="e">
        <f t="shared" ca="1" si="3"/>
        <v>#NAME?</v>
      </c>
      <c r="C17" s="90" t="e">
        <f ca="1">[0]!CSVVLookUP(ROW(行数!A9),配列!$C$5,運転予定時間,3,1)</f>
        <v>#NAME?</v>
      </c>
      <c r="D17" s="90" t="e">
        <f ca="1">[0]!CSVVLookUP(ROW(行数!B9),配列!$C$5,運転予定時間,4,1)</f>
        <v>#NAME?</v>
      </c>
      <c r="E17" s="90" t="e">
        <f ca="1">[0]!CSVVLookUP(ROW(行数!B9),配列!$C$8,利用時間_シフト,3,1)</f>
        <v>#NAME?</v>
      </c>
      <c r="F17" s="90" t="e">
        <f ca="1">[0]!CSVVLookUP(ROW(行数!B9),配列!$C$9,利用時間_シフト,4,1)</f>
        <v>#NAME?</v>
      </c>
      <c r="G17" s="91" t="e">
        <f ca="1">IF(F17="","",SUM(INDEX(利用時間_シフト,[0]!CSVChoose(ROW(行数!A9),配列!$C$8),5):INDEX(利用時間_シフト,[0]!CSVChoose(ROW(行数!A9),配列!$C$9),5)))</f>
        <v>#NAME?</v>
      </c>
      <c r="H17" s="91" t="e">
        <f ca="1">IF(F17="","",SUM(INDEX(利用時間_シフト,[0]!CSVChoose(ROW(行数!A9),配列!$C$8),6):INDEX(利用時間_シフト,[0]!CSVChoose(ROW(行数!A9),配列!$C$9),6)))</f>
        <v>#NAME?</v>
      </c>
      <c r="I17" s="103" t="e">
        <f t="shared" ca="1" si="4"/>
        <v>#NAME?</v>
      </c>
      <c r="J17" s="91" t="e">
        <f ca="1">IF(F17="","",SUM(INDEX(利用時間_シフト,[0]!CSVChoose(ROW(行数!A9),配列!$C$8),8):INDEX(利用時間_シフト,[0]!CSVChoose(ROW(行数!A9),配列!$C$9),8)))</f>
        <v>#NAME?</v>
      </c>
      <c r="K17" s="104" t="e">
        <f ca="1">IF(F17="","",SUM(INDEX(利用時間_シフト,[0]!CSVChoose(ROW(行数!A9),配列!$C$8),9):INDEX(利用時間_シフト,[0]!CSVChoose(ROW(行数!A9),配列!$C$9),9)))</f>
        <v>#NAME?</v>
      </c>
      <c r="L17" s="91" t="e">
        <f ca="1">IF(F17="","",SUM(INDEX(利用時間_シフト,[0]!CSVChoose(ROW(行数!A9),配列!$C$8),10):INDEX(利用時間_シフト,[0]!CSVChoose(ROW(行数!A9),配列!$C$9),10)))</f>
        <v>#NAME?</v>
      </c>
      <c r="M17" s="93" t="e">
        <f ca="1">IF(F17="","",SUM(INDEX(利用時間_シフト,[0]!CSVChoose(ROW(行数!A9),配列!$C$8),11):INDEX(利用時間_シフト,[0]!CSVChoose(ROW(行数!A9),配列!$C$9),11)))</f>
        <v>#NAME?</v>
      </c>
      <c r="N17" s="91" t="e">
        <f t="shared" ca="1" si="5"/>
        <v>#NAME?</v>
      </c>
      <c r="O17" s="92" t="e">
        <f ca="1">[0]!CSVVLookUP(ROW(行数!A9),配列!$C$5,運転予定時間,7,1)</f>
        <v>#NAME?</v>
      </c>
      <c r="P17" s="253">
        <v>7.976</v>
      </c>
      <c r="Q17" s="254">
        <v>30</v>
      </c>
      <c r="R17" s="255" t="s">
        <v>272</v>
      </c>
      <c r="S17" s="254">
        <v>400</v>
      </c>
      <c r="T17" s="78" t="s">
        <v>225</v>
      </c>
      <c r="U17" s="186"/>
      <c r="W17" s="166" t="e">
        <f ca="1">[0]!CSVVLookUP(ROW(行数!A9),配列!$C$5,運転予定時間,5,1)</f>
        <v>#NAME?</v>
      </c>
      <c r="Y17" s="92"/>
      <c r="Z17" s="252"/>
      <c r="AA17" s="251"/>
      <c r="AB17" s="252"/>
      <c r="AC17" s="251"/>
    </row>
    <row r="18" spans="2:29" x14ac:dyDescent="0.2">
      <c r="B18" s="93" t="e">
        <f t="shared" ca="1" si="3"/>
        <v>#NAME?</v>
      </c>
      <c r="C18" s="90" t="e">
        <f ca="1">[0]!CSVVLookUP(ROW(行数!A10),配列!$C$5,運転予定時間,3,1)</f>
        <v>#NAME?</v>
      </c>
      <c r="D18" s="90" t="e">
        <f ca="1">[0]!CSVVLookUP(ROW(行数!B10),配列!$C$5,運転予定時間,4,1)</f>
        <v>#NAME?</v>
      </c>
      <c r="E18" s="90" t="e">
        <f ca="1">[0]!CSVVLookUP(ROW(行数!B10),配列!$C$8,利用時間_シフト,3,1)</f>
        <v>#NAME?</v>
      </c>
      <c r="F18" s="90" t="e">
        <f ca="1">[0]!CSVVLookUP(ROW(行数!B10),配列!$C$9,利用時間_シフト,4,1)</f>
        <v>#NAME?</v>
      </c>
      <c r="G18" s="91" t="e">
        <f ca="1">IF(F18="","",SUM(INDEX(利用時間_シフト,[0]!CSVChoose(ROW(行数!A10),配列!$C$8),5):INDEX(利用時間_シフト,[0]!CSVChoose(ROW(行数!A10),配列!$C$9),5)))</f>
        <v>#NAME?</v>
      </c>
      <c r="H18" s="91" t="e">
        <f ca="1">IF(F18="","",SUM(INDEX(利用時間_シフト,[0]!CSVChoose(ROW(行数!A10),配列!$C$8),6):INDEX(利用時間_シフト,[0]!CSVChoose(ROW(行数!A10),配列!$C$9),6)))</f>
        <v>#NAME?</v>
      </c>
      <c r="I18" s="103" t="e">
        <f t="shared" ca="1" si="4"/>
        <v>#NAME?</v>
      </c>
      <c r="J18" s="91" t="e">
        <f ca="1">IF(F18="","",SUM(INDEX(利用時間_シフト,[0]!CSVChoose(ROW(行数!A10),配列!$C$8),8):INDEX(利用時間_シフト,[0]!CSVChoose(ROW(行数!A10),配列!$C$9),8)))</f>
        <v>#NAME?</v>
      </c>
      <c r="K18" s="104" t="e">
        <f ca="1">IF(F18="","",SUM(INDEX(利用時間_シフト,[0]!CSVChoose(ROW(行数!A10),配列!$C$8),9):INDEX(利用時間_シフト,[0]!CSVChoose(ROW(行数!A10),配列!$C$9),9)))</f>
        <v>#NAME?</v>
      </c>
      <c r="L18" s="91" t="e">
        <f ca="1">IF(F18="","",SUM(INDEX(利用時間_シフト,[0]!CSVChoose(ROW(行数!A10),配列!$C$8),10):INDEX(利用時間_シフト,[0]!CSVChoose(ROW(行数!A10),配列!$C$9),10)))</f>
        <v>#NAME?</v>
      </c>
      <c r="M18" s="93" t="e">
        <f ca="1">IF(F18="","",SUM(INDEX(利用時間_シフト,[0]!CSVChoose(ROW(行数!A10),配列!$C$8),11):INDEX(利用時間_シフト,[0]!CSVChoose(ROW(行数!A10),配列!$C$9),11)))</f>
        <v>#NAME?</v>
      </c>
      <c r="N18" s="91" t="e">
        <f t="shared" ca="1" si="5"/>
        <v>#NAME?</v>
      </c>
      <c r="O18" s="92" t="e">
        <f ca="1">[0]!CSVVLookUP(ROW(行数!A10),配列!$C$5,運転予定時間,7,1)</f>
        <v>#NAME?</v>
      </c>
      <c r="P18" s="253">
        <v>7.976</v>
      </c>
      <c r="Q18" s="254">
        <v>30</v>
      </c>
      <c r="R18" s="255" t="s">
        <v>272</v>
      </c>
      <c r="S18" s="254">
        <v>400</v>
      </c>
      <c r="T18" s="78" t="s">
        <v>225</v>
      </c>
      <c r="U18" s="186"/>
      <c r="W18" s="166" t="e">
        <f ca="1">[0]!CSVVLookUP(ROW(行数!A10),配列!$C$5,運転予定時間,5,1)</f>
        <v>#NAME?</v>
      </c>
      <c r="Y18" s="92"/>
      <c r="Z18" s="252"/>
      <c r="AA18" s="251"/>
      <c r="AB18" s="252"/>
      <c r="AC18" s="251"/>
    </row>
    <row r="19" spans="2:29" x14ac:dyDescent="0.2">
      <c r="B19" s="93" t="e">
        <f t="shared" ca="1" si="3"/>
        <v>#NAME?</v>
      </c>
      <c r="C19" s="90" t="e">
        <f ca="1">[0]!CSVVLookUP(ROW(行数!A11),配列!$C$5,運転予定時間,3,1)</f>
        <v>#NAME?</v>
      </c>
      <c r="D19" s="90" t="e">
        <f ca="1">[0]!CSVVLookUP(ROW(行数!B11),配列!$C$5,運転予定時間,4,1)</f>
        <v>#NAME?</v>
      </c>
      <c r="E19" s="90" t="e">
        <f ca="1">[0]!CSVVLookUP(ROW(行数!B11),配列!$C$8,利用時間_シフト,3,1)</f>
        <v>#NAME?</v>
      </c>
      <c r="F19" s="90" t="e">
        <f ca="1">[0]!CSVVLookUP(ROW(行数!B11),配列!$C$9,利用時間_シフト,4,1)</f>
        <v>#NAME?</v>
      </c>
      <c r="G19" s="91" t="e">
        <f ca="1">IF(F19="","",SUM(INDEX(利用時間_シフト,[0]!CSVChoose(ROW(行数!A11),配列!$C$8),5):INDEX(利用時間_シフト,[0]!CSVChoose(ROW(行数!A11),配列!$C$9),5)))</f>
        <v>#NAME?</v>
      </c>
      <c r="H19" s="91" t="e">
        <f ca="1">IF(F19="","",SUM(INDEX(利用時間_シフト,[0]!CSVChoose(ROW(行数!A11),配列!$C$8),6):INDEX(利用時間_シフト,[0]!CSVChoose(ROW(行数!A11),配列!$C$9),6)))</f>
        <v>#NAME?</v>
      </c>
      <c r="I19" s="103" t="e">
        <f t="shared" ca="1" si="4"/>
        <v>#NAME?</v>
      </c>
      <c r="J19" s="91" t="e">
        <f ca="1">IF(F19="","",SUM(INDEX(利用時間_シフト,[0]!CSVChoose(ROW(行数!A11),配列!$C$8),8):INDEX(利用時間_シフト,[0]!CSVChoose(ROW(行数!A11),配列!$C$9),8)))</f>
        <v>#NAME?</v>
      </c>
      <c r="K19" s="104" t="e">
        <f ca="1">IF(F19="","",SUM(INDEX(利用時間_シフト,[0]!CSVChoose(ROW(行数!A11),配列!$C$8),9):INDEX(利用時間_シフト,[0]!CSVChoose(ROW(行数!A11),配列!$C$9),9)))</f>
        <v>#NAME?</v>
      </c>
      <c r="L19" s="91" t="e">
        <f ca="1">IF(F19="","",SUM(INDEX(利用時間_シフト,[0]!CSVChoose(ROW(行数!A11),配列!$C$8),10):INDEX(利用時間_シフト,[0]!CSVChoose(ROW(行数!A11),配列!$C$9),10)))</f>
        <v>#NAME?</v>
      </c>
      <c r="M19" s="93" t="e">
        <f ca="1">IF(F19="","",SUM(INDEX(利用時間_シフト,[0]!CSVChoose(ROW(行数!A11),配列!$C$8),11):INDEX(利用時間_シフト,[0]!CSVChoose(ROW(行数!A11),配列!$C$9),11)))</f>
        <v>#NAME?</v>
      </c>
      <c r="N19" s="91" t="e">
        <f t="shared" ca="1" si="5"/>
        <v>#NAME?</v>
      </c>
      <c r="O19" s="92" t="e">
        <f ca="1">[0]!CSVVLookUP(ROW(行数!A11),配列!$C$5,運転予定時間,7,1)</f>
        <v>#NAME?</v>
      </c>
      <c r="P19" s="253">
        <v>7.976</v>
      </c>
      <c r="Q19" s="254">
        <v>30</v>
      </c>
      <c r="R19" s="255" t="s">
        <v>273</v>
      </c>
      <c r="S19" s="254">
        <v>360</v>
      </c>
      <c r="T19" s="78" t="s">
        <v>225</v>
      </c>
      <c r="U19" s="186"/>
      <c r="W19" s="166" t="e">
        <f ca="1">[0]!CSVVLookUP(ROW(行数!A11),配列!$C$5,運転予定時間,5,1)</f>
        <v>#NAME?</v>
      </c>
      <c r="Y19" s="92"/>
      <c r="Z19" s="252"/>
      <c r="AA19" s="251"/>
      <c r="AB19" s="252"/>
      <c r="AC19" s="251"/>
    </row>
    <row r="20" spans="2:29" x14ac:dyDescent="0.2">
      <c r="B20" s="93" t="e">
        <f t="shared" ca="1" si="3"/>
        <v>#NAME?</v>
      </c>
      <c r="C20" s="90" t="e">
        <f ca="1">[0]!CSVVLookUP(ROW(行数!A12),配列!$C$5,運転予定時間,3,1)</f>
        <v>#NAME?</v>
      </c>
      <c r="D20" s="90" t="e">
        <f ca="1">[0]!CSVVLookUP(ROW(行数!B12),配列!$C$5,運転予定時間,4,1)</f>
        <v>#NAME?</v>
      </c>
      <c r="E20" s="90" t="e">
        <f ca="1">[0]!CSVVLookUP(ROW(行数!B12),配列!$C$8,利用時間_シフト,3,1)</f>
        <v>#NAME?</v>
      </c>
      <c r="F20" s="90" t="e">
        <f ca="1">[0]!CSVVLookUP(ROW(行数!B12),配列!$C$9,利用時間_シフト,4,1)</f>
        <v>#NAME?</v>
      </c>
      <c r="G20" s="91" t="e">
        <f ca="1">IF(F20="","",SUM(INDEX(利用時間_シフト,[0]!CSVChoose(ROW(行数!A12),配列!$C$8),5):INDEX(利用時間_シフト,[0]!CSVChoose(ROW(行数!A12),配列!$C$9),5)))</f>
        <v>#NAME?</v>
      </c>
      <c r="H20" s="91" t="e">
        <f ca="1">IF(F20="","",SUM(INDEX(利用時間_シフト,[0]!CSVChoose(ROW(行数!A12),配列!$C$8),6):INDEX(利用時間_シフト,[0]!CSVChoose(ROW(行数!A12),配列!$C$9),6)))</f>
        <v>#NAME?</v>
      </c>
      <c r="I20" s="103" t="e">
        <f ca="1">IF(E20="","",H20/G20)</f>
        <v>#NAME?</v>
      </c>
      <c r="J20" s="91" t="e">
        <f ca="1">IF(F20="","",SUM(INDEX(利用時間_シフト,[0]!CSVChoose(ROW(行数!A12),配列!$C$8),8):INDEX(利用時間_シフト,[0]!CSVChoose(ROW(行数!A12),配列!$C$9),8)))</f>
        <v>#NAME?</v>
      </c>
      <c r="K20" s="104" t="e">
        <f ca="1">IF(F20="","",SUM(INDEX(利用時間_シフト,[0]!CSVChoose(ROW(行数!A12),配列!$C$8),9):INDEX(利用時間_シフト,[0]!CSVChoose(ROW(行数!A12),配列!$C$9),9)))</f>
        <v>#NAME?</v>
      </c>
      <c r="L20" s="91" t="e">
        <f ca="1">IF(F20="","",SUM(INDEX(利用時間_シフト,[0]!CSVChoose(ROW(行数!A12),配列!$C$8),10):INDEX(利用時間_シフト,[0]!CSVChoose(ROW(行数!A12),配列!$C$9),10)))</f>
        <v>#NAME?</v>
      </c>
      <c r="M20" s="93" t="e">
        <f ca="1">IF(F20="","",SUM(INDEX(利用時間_シフト,[0]!CSVChoose(ROW(行数!A12),配列!$C$8),11):INDEX(利用時間_シフト,[0]!CSVChoose(ROW(行数!A12),配列!$C$9),11)))</f>
        <v>#NAME?</v>
      </c>
      <c r="N20" s="91" t="e">
        <f ca="1">IF(F20="","",MROUND(G20/(M20+1),"00:01"))</f>
        <v>#NAME?</v>
      </c>
      <c r="O20" s="92" t="e">
        <f ca="1">[0]!CSVVLookUP(ROW(行数!A12),配列!$C$5,運転予定時間,7,1)</f>
        <v>#NAME?</v>
      </c>
      <c r="P20" s="253">
        <v>6</v>
      </c>
      <c r="Q20" s="254">
        <v>30</v>
      </c>
      <c r="R20" s="255">
        <v>4.05</v>
      </c>
      <c r="S20" s="254">
        <v>410</v>
      </c>
      <c r="T20" s="78" t="s">
        <v>225</v>
      </c>
      <c r="U20" s="186"/>
      <c r="W20" s="166" t="e">
        <f ca="1">[0]!CSVVLookUP(ROW(行数!A12),配列!$C$5,運転予定時間,5,1)</f>
        <v>#NAME?</v>
      </c>
      <c r="Y20" s="92"/>
      <c r="Z20" s="252"/>
      <c r="AA20" s="251"/>
      <c r="AB20" s="252"/>
      <c r="AC20" s="251"/>
    </row>
    <row r="21" spans="2:29" x14ac:dyDescent="0.2">
      <c r="B21" s="93" t="e">
        <f t="shared" ca="1" si="3"/>
        <v>#NAME?</v>
      </c>
      <c r="C21" s="90" t="e">
        <f ca="1">[0]!CSVVLookUP(ROW(行数!A13),配列!$C$5,運転予定時間,3,1)</f>
        <v>#NAME?</v>
      </c>
      <c r="D21" s="90" t="e">
        <f ca="1">[0]!CSVVLookUP(ROW(行数!B13),配列!$C$5,運転予定時間,4,1)</f>
        <v>#NAME?</v>
      </c>
      <c r="E21" s="90" t="e">
        <f ca="1">[0]!CSVVLookUP(ROW(行数!B13),配列!$C$8,利用時間_シフト,3,1)</f>
        <v>#NAME?</v>
      </c>
      <c r="F21" s="90" t="e">
        <f ca="1">[0]!CSVVLookUP(ROW(行数!B13),配列!$C$9,利用時間_シフト,4,1)</f>
        <v>#NAME?</v>
      </c>
      <c r="G21" s="91" t="e">
        <f ca="1">IF(F21="","",SUM(INDEX(利用時間_シフト,[0]!CSVChoose(ROW(行数!A13),配列!$C$8),5):INDEX(利用時間_シフト,[0]!CSVChoose(ROW(行数!A13),配列!$C$9),5)))</f>
        <v>#NAME?</v>
      </c>
      <c r="H21" s="91" t="e">
        <f ca="1">IF(F21="","",SUM(INDEX(利用時間_シフト,[0]!CSVChoose(ROW(行数!A13),配列!$C$8),6):INDEX(利用時間_シフト,[0]!CSVChoose(ROW(行数!A13),配列!$C$9),6)))</f>
        <v>#NAME?</v>
      </c>
      <c r="I21" s="103" t="e">
        <f t="shared" ca="1" si="4"/>
        <v>#NAME?</v>
      </c>
      <c r="J21" s="91" t="e">
        <f ca="1">IF(F21="","",SUM(INDEX(利用時間_シフト,[0]!CSVChoose(ROW(行数!A13),配列!$C$8),8):INDEX(利用時間_シフト,[0]!CSVChoose(ROW(行数!A13),配列!$C$9),8)))</f>
        <v>#NAME?</v>
      </c>
      <c r="K21" s="104" t="e">
        <f ca="1">IF(F21="","",SUM(INDEX(利用時間_シフト,[0]!CSVChoose(ROW(行数!A13),配列!$C$8),9):INDEX(利用時間_シフト,[0]!CSVChoose(ROW(行数!A13),配列!$C$9),9)))</f>
        <v>#NAME?</v>
      </c>
      <c r="L21" s="91" t="e">
        <f ca="1">IF(F21="","",SUM(INDEX(利用時間_シフト,[0]!CSVChoose(ROW(行数!A13),配列!$C$8),10):INDEX(利用時間_シフト,[0]!CSVChoose(ROW(行数!A13),配列!$C$9),10)))</f>
        <v>#NAME?</v>
      </c>
      <c r="M21" s="93" t="e">
        <f ca="1">IF(F21="","",SUM(INDEX(利用時間_シフト,[0]!CSVChoose(ROW(行数!A13),配列!$C$8),11):INDEX(利用時間_シフト,[0]!CSVChoose(ROW(行数!A13),配列!$C$9),11)))</f>
        <v>#NAME?</v>
      </c>
      <c r="N21" s="91" t="e">
        <f t="shared" ca="1" si="5"/>
        <v>#NAME?</v>
      </c>
      <c r="O21" s="92" t="e">
        <f ca="1">[0]!CSVVLookUP(ROW(行数!A13),配列!$C$5,運転予定時間,7,1)</f>
        <v>#NAME?</v>
      </c>
      <c r="P21" s="253">
        <v>7.98</v>
      </c>
      <c r="Q21" s="254">
        <v>30</v>
      </c>
      <c r="R21" s="255" t="s">
        <v>284</v>
      </c>
      <c r="S21" s="272">
        <v>340320</v>
      </c>
      <c r="T21" s="78" t="s">
        <v>225</v>
      </c>
      <c r="U21" s="186"/>
      <c r="W21" s="166" t="e">
        <f ca="1">[0]!CSVVLookUP(ROW(行数!A13),配列!$C$5,運転予定時間,5,1)</f>
        <v>#NAME?</v>
      </c>
      <c r="Y21" s="92"/>
      <c r="Z21" s="252"/>
      <c r="AA21" s="251"/>
      <c r="AB21" s="252"/>
      <c r="AC21" s="251"/>
    </row>
    <row r="22" spans="2:29" x14ac:dyDescent="0.2">
      <c r="B22" s="93" t="e">
        <f t="shared" ca="1" si="3"/>
        <v>#NAME?</v>
      </c>
      <c r="C22" s="90" t="e">
        <f ca="1">[0]!CSVVLookUP(ROW(行数!A14),配列!$C$5,運転予定時間,3,1)</f>
        <v>#NAME?</v>
      </c>
      <c r="D22" s="90" t="e">
        <f ca="1">[0]!CSVVLookUP(ROW(行数!B14),配列!$C$5,運転予定時間,4,1)</f>
        <v>#NAME?</v>
      </c>
      <c r="E22" s="90" t="e">
        <f ca="1">[0]!CSVVLookUP(ROW(行数!B14),配列!$C$8,利用時間_シフト,3,1)</f>
        <v>#NAME?</v>
      </c>
      <c r="F22" s="90" t="e">
        <f ca="1">[0]!CSVVLookUP(ROW(行数!B14),配列!$C$9,利用時間_シフト,4,1)</f>
        <v>#NAME?</v>
      </c>
      <c r="G22" s="91" t="e">
        <f ca="1">IF(F22="","",SUM(INDEX(利用時間_シフト,[0]!CSVChoose(ROW(行数!A14),配列!$C$8),5):INDEX(利用時間_シフト,[0]!CSVChoose(ROW(行数!A14),配列!$C$9),5)))</f>
        <v>#NAME?</v>
      </c>
      <c r="H22" s="91" t="e">
        <f ca="1">IF(F22="","",SUM(INDEX(利用時間_シフト,[0]!CSVChoose(ROW(行数!A14),配列!$C$8),6):INDEX(利用時間_シフト,[0]!CSVChoose(ROW(行数!A14),配列!$C$9),6)))</f>
        <v>#NAME?</v>
      </c>
      <c r="I22" s="103" t="e">
        <f t="shared" ca="1" si="4"/>
        <v>#NAME?</v>
      </c>
      <c r="J22" s="91" t="e">
        <f ca="1">IF(F22="","",SUM(INDEX(利用時間_シフト,[0]!CSVChoose(ROW(行数!A14),配列!$C$8),8):INDEX(利用時間_シフト,[0]!CSVChoose(ROW(行数!A14),配列!$C$9),8)))</f>
        <v>#NAME?</v>
      </c>
      <c r="K22" s="104" t="e">
        <f ca="1">IF(F22="","",SUM(INDEX(利用時間_シフト,[0]!CSVChoose(ROW(行数!A14),配列!$C$8),9):INDEX(利用時間_シフト,[0]!CSVChoose(ROW(行数!A14),配列!$C$9),9)))</f>
        <v>#NAME?</v>
      </c>
      <c r="L22" s="91" t="e">
        <f ca="1">IF(F22="","",SUM(INDEX(利用時間_シフト,[0]!CSVChoose(ROW(行数!A14),配列!$C$8),10):INDEX(利用時間_シフト,[0]!CSVChoose(ROW(行数!A14),配列!$C$9),10)))</f>
        <v>#NAME?</v>
      </c>
      <c r="M22" s="93" t="e">
        <f ca="1">IF(F22="","",SUM(INDEX(利用時間_シフト,[0]!CSVChoose(ROW(行数!A14),配列!$C$8),11):INDEX(利用時間_シフト,[0]!CSVChoose(ROW(行数!A14),配列!$C$9),11)))</f>
        <v>#NAME?</v>
      </c>
      <c r="N22" s="91" t="e">
        <f t="shared" ca="1" si="5"/>
        <v>#NAME?</v>
      </c>
      <c r="O22" s="92" t="e">
        <f ca="1">[0]!CSVVLookUP(ROW(行数!A14),配列!$C$5,運転予定時間,7,1)</f>
        <v>#NAME?</v>
      </c>
      <c r="P22" s="253">
        <v>7.98</v>
      </c>
      <c r="Q22" s="254">
        <v>30</v>
      </c>
      <c r="R22" s="255">
        <v>10</v>
      </c>
      <c r="S22" s="254">
        <v>270</v>
      </c>
      <c r="T22" s="78" t="s">
        <v>225</v>
      </c>
      <c r="U22" s="186"/>
      <c r="W22" s="166" t="e">
        <f ca="1">[0]!CSVVLookUP(ROW(行数!A14),配列!$C$5,運転予定時間,5,1)</f>
        <v>#NAME?</v>
      </c>
      <c r="Y22" s="92"/>
      <c r="Z22" s="252"/>
      <c r="AA22" s="251"/>
      <c r="AB22" s="252"/>
      <c r="AC22" s="251"/>
    </row>
    <row r="23" spans="2:29" x14ac:dyDescent="0.2">
      <c r="B23" s="93" t="e">
        <f t="shared" ca="1" si="3"/>
        <v>#NAME?</v>
      </c>
      <c r="C23" s="90" t="e">
        <f ca="1">[0]!CSVVLookUP(ROW(行数!A15),配列!$C$5,運転予定時間,3,1)</f>
        <v>#NAME?</v>
      </c>
      <c r="D23" s="90" t="e">
        <f ca="1">[0]!CSVVLookUP(ROW(行数!B15),配列!$C$5,運転予定時間,4,1)</f>
        <v>#NAME?</v>
      </c>
      <c r="E23" s="90" t="e">
        <f ca="1">[0]!CSVVLookUP(ROW(行数!B15),配列!$C$8,利用時間_シフト,3,1)</f>
        <v>#NAME?</v>
      </c>
      <c r="F23" s="90" t="e">
        <f ca="1">[0]!CSVVLookUP(ROW(行数!B15),配列!$C$9,利用時間_シフト,4,1)</f>
        <v>#NAME?</v>
      </c>
      <c r="G23" s="91" t="e">
        <f ca="1">IF(F23="","",SUM(INDEX(利用時間_シフト,[0]!CSVChoose(ROW(行数!A15),配列!$C$8),5):INDEX(利用時間_シフト,[0]!CSVChoose(ROW(行数!A15),配列!$C$9),5)))</f>
        <v>#NAME?</v>
      </c>
      <c r="H23" s="91" t="e">
        <f ca="1">IF(F23="","",SUM(INDEX(利用時間_シフト,[0]!CSVChoose(ROW(行数!A15),配列!$C$8),6):INDEX(利用時間_シフト,[0]!CSVChoose(ROW(行数!A15),配列!$C$9),6)))</f>
        <v>#NAME?</v>
      </c>
      <c r="I23" s="103" t="e">
        <f t="shared" ca="1" si="4"/>
        <v>#NAME?</v>
      </c>
      <c r="J23" s="91" t="e">
        <f ca="1">IF(F23="","",SUM(INDEX(利用時間_シフト,[0]!CSVChoose(ROW(行数!A15),配列!$C$8),8):INDEX(利用時間_シフト,[0]!CSVChoose(ROW(行数!A15),配列!$C$9),8)))</f>
        <v>#NAME?</v>
      </c>
      <c r="K23" s="104" t="e">
        <f ca="1">IF(F23="","",SUM(INDEX(利用時間_シフト,[0]!CSVChoose(ROW(行数!A15),配列!$C$8),9):INDEX(利用時間_シフト,[0]!CSVChoose(ROW(行数!A15),配列!$C$9),9)))</f>
        <v>#NAME?</v>
      </c>
      <c r="L23" s="91" t="e">
        <f ca="1">IF(F23="","",SUM(INDEX(利用時間_シフト,[0]!CSVChoose(ROW(行数!A15),配列!$C$8),10):INDEX(利用時間_シフト,[0]!CSVChoose(ROW(行数!A15),配列!$C$9),10)))</f>
        <v>#NAME?</v>
      </c>
      <c r="M23" s="93" t="e">
        <f ca="1">IF(F23="","",SUM(INDEX(利用時間_シフト,[0]!CSVChoose(ROW(行数!A15),配列!$C$8),11):INDEX(利用時間_シフト,[0]!CSVChoose(ROW(行数!A15),配列!$C$9),11)))</f>
        <v>#NAME?</v>
      </c>
      <c r="N23" s="91" t="e">
        <f t="shared" ca="1" si="5"/>
        <v>#NAME?</v>
      </c>
      <c r="O23" s="92" t="e">
        <f ca="1">[0]!CSVVLookUP(ROW(行数!A15),配列!$C$5,運転予定時間,7,1)</f>
        <v>#NAME?</v>
      </c>
      <c r="P23" s="253">
        <v>7.98</v>
      </c>
      <c r="Q23" s="254">
        <v>30</v>
      </c>
      <c r="R23" s="255">
        <v>10</v>
      </c>
      <c r="S23" s="254">
        <v>270</v>
      </c>
      <c r="T23" s="78" t="s">
        <v>225</v>
      </c>
      <c r="U23" s="186"/>
      <c r="W23" s="166" t="e">
        <f ca="1">[0]!CSVVLookUP(ROW(行数!A15),配列!$C$5,運転予定時間,5,1)</f>
        <v>#NAME?</v>
      </c>
      <c r="Y23" s="92"/>
      <c r="Z23" s="252"/>
      <c r="AA23" s="251"/>
      <c r="AB23" s="252"/>
      <c r="AC23" s="251"/>
    </row>
    <row r="24" spans="2:29" x14ac:dyDescent="0.2">
      <c r="B24" s="93" t="e">
        <f t="shared" ca="1" si="3"/>
        <v>#NAME?</v>
      </c>
      <c r="C24" s="90" t="e">
        <f ca="1">[0]!CSVVLookUP(ROW(行数!A16),配列!$C$5,運転予定時間,3,1)</f>
        <v>#NAME?</v>
      </c>
      <c r="D24" s="90" t="e">
        <f ca="1">[0]!CSVVLookUP(ROW(行数!B16),配列!$C$5,運転予定時間,4,1)</f>
        <v>#NAME?</v>
      </c>
      <c r="E24" s="90" t="e">
        <f ca="1">[0]!CSVVLookUP(ROW(行数!B16),配列!$C$8,利用時間_シフト,3,1)</f>
        <v>#NAME?</v>
      </c>
      <c r="F24" s="90" t="e">
        <f ca="1">[0]!CSVVLookUP(ROW(行数!B16),配列!$C$9,利用時間_シフト,4,1)</f>
        <v>#NAME?</v>
      </c>
      <c r="G24" s="91" t="e">
        <f ca="1">IF(F24="","",SUM(INDEX(利用時間_シフト,[0]!CSVChoose(ROW(行数!A16),配列!$C$8),5):INDEX(利用時間_シフト,[0]!CSVChoose(ROW(行数!A16),配列!$C$9),5)))</f>
        <v>#NAME?</v>
      </c>
      <c r="H24" s="91" t="e">
        <f ca="1">IF(F24="","",SUM(INDEX(利用時間_シフト,[0]!CSVChoose(ROW(行数!A16),配列!$C$8),6):INDEX(利用時間_シフト,[0]!CSVChoose(ROW(行数!A16),配列!$C$9),6)))</f>
        <v>#NAME?</v>
      </c>
      <c r="I24" s="103" t="e">
        <f t="shared" ca="1" si="4"/>
        <v>#NAME?</v>
      </c>
      <c r="J24" s="91" t="e">
        <f ca="1">IF(F24="","",SUM(INDEX(利用時間_シフト,[0]!CSVChoose(ROW(行数!A16),配列!$C$8),8):INDEX(利用時間_シフト,[0]!CSVChoose(ROW(行数!A16),配列!$C$9),8)))</f>
        <v>#NAME?</v>
      </c>
      <c r="K24" s="104" t="e">
        <f ca="1">IF(F24="","",SUM(INDEX(利用時間_シフト,[0]!CSVChoose(ROW(行数!A16),配列!$C$8),9):INDEX(利用時間_シフト,[0]!CSVChoose(ROW(行数!A16),配列!$C$9),9)))</f>
        <v>#NAME?</v>
      </c>
      <c r="L24" s="91" t="e">
        <f ca="1">IF(F24="","",SUM(INDEX(利用時間_シフト,[0]!CSVChoose(ROW(行数!A16),配列!$C$8),10):INDEX(利用時間_シフト,[0]!CSVChoose(ROW(行数!A16),配列!$C$9),10)))</f>
        <v>#NAME?</v>
      </c>
      <c r="M24" s="93" t="e">
        <f ca="1">IF(F24="","",SUM(INDEX(利用時間_シフト,[0]!CSVChoose(ROW(行数!A16),配列!$C$8),11):INDEX(利用時間_シフト,[0]!CSVChoose(ROW(行数!A16),配列!$C$9),11)))</f>
        <v>#NAME?</v>
      </c>
      <c r="N24" s="91" t="e">
        <f t="shared" ca="1" si="5"/>
        <v>#NAME?</v>
      </c>
      <c r="O24" s="92" t="e">
        <f ca="1">[0]!CSVVLookUP(ROW(行数!A16),配列!$C$5,運転予定時間,7,1)</f>
        <v>#NAME?</v>
      </c>
      <c r="P24" s="253">
        <v>6.6</v>
      </c>
      <c r="Q24" s="254">
        <v>30</v>
      </c>
      <c r="R24" s="255">
        <v>7</v>
      </c>
      <c r="S24" s="254">
        <v>310</v>
      </c>
      <c r="T24" s="78" t="s">
        <v>225</v>
      </c>
      <c r="U24" s="186"/>
      <c r="W24" s="166" t="e">
        <f ca="1">[0]!CSVVLookUP(ROW(行数!A16),配列!$C$5,運転予定時間,5,1)</f>
        <v>#NAME?</v>
      </c>
      <c r="Y24" s="92"/>
      <c r="Z24" s="252"/>
      <c r="AA24" s="251"/>
      <c r="AB24" s="252"/>
      <c r="AC24" s="251"/>
    </row>
    <row r="25" spans="2:29" x14ac:dyDescent="0.2">
      <c r="B25" s="93" t="e">
        <f t="shared" ca="1" si="3"/>
        <v>#NAME?</v>
      </c>
      <c r="C25" s="90" t="e">
        <f ca="1">[0]!CSVVLookUP(ROW(行数!A17),配列!$C$5,運転予定時間,3,1)</f>
        <v>#NAME?</v>
      </c>
      <c r="D25" s="90" t="e">
        <f ca="1">[0]!CSVVLookUP(ROW(行数!B17),配列!$C$5,運転予定時間,4,1)</f>
        <v>#NAME?</v>
      </c>
      <c r="E25" s="90" t="e">
        <f ca="1">[0]!CSVVLookUP(ROW(行数!B17),配列!$C$8,利用時間_シフト,3,1)</f>
        <v>#NAME?</v>
      </c>
      <c r="F25" s="90" t="e">
        <f ca="1">[0]!CSVVLookUP(ROW(行数!B17),配列!$C$9,利用時間_シフト,4,1)</f>
        <v>#NAME?</v>
      </c>
      <c r="G25" s="91" t="e">
        <f ca="1">IF(F25="","",SUM(INDEX(利用時間_シフト,[0]!CSVChoose(ROW(行数!A17),配列!$C$8),5):INDEX(利用時間_シフト,[0]!CSVChoose(ROW(行数!A17),配列!$C$9),5)))</f>
        <v>#NAME?</v>
      </c>
      <c r="H25" s="91" t="e">
        <f ca="1">IF(F25="","",SUM(INDEX(利用時間_シフト,[0]!CSVChoose(ROW(行数!A17),配列!$C$8),6):INDEX(利用時間_シフト,[0]!CSVChoose(ROW(行数!A17),配列!$C$9),6)))</f>
        <v>#NAME?</v>
      </c>
      <c r="I25" s="103" t="e">
        <f t="shared" ca="1" si="4"/>
        <v>#NAME?</v>
      </c>
      <c r="J25" s="91" t="e">
        <f ca="1">IF(F25="","",SUM(INDEX(利用時間_シフト,[0]!CSVChoose(ROW(行数!A17),配列!$C$8),8):INDEX(利用時間_シフト,[0]!CSVChoose(ROW(行数!A17),配列!$C$9),8)))</f>
        <v>#NAME?</v>
      </c>
      <c r="K25" s="104" t="e">
        <f ca="1">IF(F25="","",SUM(INDEX(利用時間_シフト,[0]!CSVChoose(ROW(行数!A17),配列!$C$8),9):INDEX(利用時間_シフト,[0]!CSVChoose(ROW(行数!A17),配列!$C$9),9)))</f>
        <v>#NAME?</v>
      </c>
      <c r="L25" s="91" t="e">
        <f ca="1">IF(F25="","",SUM(INDEX(利用時間_シフト,[0]!CSVChoose(ROW(行数!A17),配列!$C$8),10):INDEX(利用時間_シフト,[0]!CSVChoose(ROW(行数!A17),配列!$C$9),10)))</f>
        <v>#NAME?</v>
      </c>
      <c r="M25" s="93" t="e">
        <f ca="1">IF(F25="","",SUM(INDEX(利用時間_シフト,[0]!CSVChoose(ROW(行数!A17),配列!$C$8),11):INDEX(利用時間_シフト,[0]!CSVChoose(ROW(行数!A17),配列!$C$9),11)))</f>
        <v>#NAME?</v>
      </c>
      <c r="N25" s="91" t="e">
        <f t="shared" ca="1" si="5"/>
        <v>#NAME?</v>
      </c>
      <c r="O25" s="92" t="e">
        <f ca="1">[0]!CSVVLookUP(ROW(行数!A17),配列!$C$5,運転予定時間,7,1)</f>
        <v>#NAME?</v>
      </c>
      <c r="P25" s="253">
        <v>6.6</v>
      </c>
      <c r="Q25" s="254">
        <v>30</v>
      </c>
      <c r="R25" s="255">
        <v>7</v>
      </c>
      <c r="S25" s="254">
        <v>310</v>
      </c>
      <c r="T25" s="78" t="s">
        <v>225</v>
      </c>
      <c r="U25" s="186"/>
      <c r="W25" s="166" t="e">
        <f ca="1">[0]!CSVVLookUP(ROW(行数!A17),配列!$C$5,運転予定時間,5,1)</f>
        <v>#NAME?</v>
      </c>
      <c r="Y25" s="92"/>
      <c r="Z25" s="252"/>
      <c r="AA25" s="251"/>
      <c r="AB25" s="252"/>
      <c r="AC25" s="251"/>
    </row>
    <row r="26" spans="2:29" x14ac:dyDescent="0.2">
      <c r="B26" s="93" t="e">
        <f t="shared" ca="1" si="3"/>
        <v>#NAME?</v>
      </c>
      <c r="C26" s="90" t="e">
        <f ca="1">[0]!CSVVLookUP(ROW(行数!A18),配列!$C$5,運転予定時間,3,1)</f>
        <v>#NAME?</v>
      </c>
      <c r="D26" s="90" t="e">
        <f ca="1">[0]!CSVVLookUP(ROW(行数!B18),配列!$C$5,運転予定時間,4,1)</f>
        <v>#NAME?</v>
      </c>
      <c r="E26" s="90" t="e">
        <f ca="1">[0]!CSVVLookUP(ROW(行数!B18),配列!$C$8,利用時間_シフト,3,1)</f>
        <v>#NAME?</v>
      </c>
      <c r="F26" s="90" t="e">
        <f ca="1">[0]!CSVVLookUP(ROW(行数!B18),配列!$C$9,利用時間_シフト,4,1)</f>
        <v>#NAME?</v>
      </c>
      <c r="G26" s="91" t="e">
        <f ca="1">IF(F26="","",SUM(INDEX(利用時間_シフト,[0]!CSVChoose(ROW(行数!A18),配列!$C$8),5):INDEX(利用時間_シフト,[0]!CSVChoose(ROW(行数!A18),配列!$C$9),5)))</f>
        <v>#NAME?</v>
      </c>
      <c r="H26" s="91" t="e">
        <f ca="1">IF(F26="","",SUM(INDEX(利用時間_シフト,[0]!CSVChoose(ROW(行数!A18),配列!$C$8),6):INDEX(利用時間_シフト,[0]!CSVChoose(ROW(行数!A18),配列!$C$9),6)))</f>
        <v>#NAME?</v>
      </c>
      <c r="I26" s="103" t="e">
        <f t="shared" ca="1" si="4"/>
        <v>#NAME?</v>
      </c>
      <c r="J26" s="91" t="e">
        <f ca="1">IF(F26="","",SUM(INDEX(利用時間_シフト,[0]!CSVChoose(ROW(行数!A18),配列!$C$8),8):INDEX(利用時間_シフト,[0]!CSVChoose(ROW(行数!A18),配列!$C$9),8)))</f>
        <v>#NAME?</v>
      </c>
      <c r="K26" s="104" t="e">
        <f ca="1">IF(F26="","",SUM(INDEX(利用時間_シフト,[0]!CSVChoose(ROW(行数!A18),配列!$C$8),9):INDEX(利用時間_シフト,[0]!CSVChoose(ROW(行数!A18),配列!$C$9),9)))</f>
        <v>#NAME?</v>
      </c>
      <c r="L26" s="91" t="e">
        <f ca="1">IF(F26="","",SUM(INDEX(利用時間_シフト,[0]!CSVChoose(ROW(行数!A18),配列!$C$8),10):INDEX(利用時間_シフト,[0]!CSVChoose(ROW(行数!A18),配列!$C$9),10)))</f>
        <v>#NAME?</v>
      </c>
      <c r="M26" s="93" t="e">
        <f ca="1">IF(F26="","",SUM(INDEX(利用時間_シフト,[0]!CSVChoose(ROW(行数!A18),配列!$C$8),11):INDEX(利用時間_シフト,[0]!CSVChoose(ROW(行数!A18),配列!$C$9),11)))</f>
        <v>#NAME?</v>
      </c>
      <c r="N26" s="91" t="e">
        <f t="shared" ca="1" si="5"/>
        <v>#NAME?</v>
      </c>
      <c r="O26" s="92" t="e">
        <f ca="1">[0]!CSVVLookUP(ROW(行数!A18),配列!$C$5,運転予定時間,7,1)</f>
        <v>#NAME?</v>
      </c>
      <c r="P26" s="253">
        <v>7.98</v>
      </c>
      <c r="Q26" s="254">
        <v>30</v>
      </c>
      <c r="R26" s="255">
        <v>10</v>
      </c>
      <c r="S26" s="254">
        <v>410</v>
      </c>
      <c r="T26" s="78" t="s">
        <v>225</v>
      </c>
      <c r="U26" s="186"/>
      <c r="W26" s="166" t="e">
        <f ca="1">[0]!CSVVLookUP(ROW(行数!A18),配列!$C$5,運転予定時間,5,1)</f>
        <v>#NAME?</v>
      </c>
      <c r="Y26" s="92"/>
      <c r="Z26" s="252"/>
      <c r="AA26" s="251"/>
      <c r="AB26" s="252"/>
      <c r="AC26" s="251"/>
    </row>
    <row r="27" spans="2:29" x14ac:dyDescent="0.2">
      <c r="B27" s="93" t="e">
        <f t="shared" ca="1" si="3"/>
        <v>#NAME?</v>
      </c>
      <c r="C27" s="90" t="e">
        <f ca="1">[0]!CSVVLookUP(ROW(行数!A19),配列!$C$5,運転予定時間,3,1)</f>
        <v>#NAME?</v>
      </c>
      <c r="D27" s="90" t="e">
        <f ca="1">[0]!CSVVLookUP(ROW(行数!B19),配列!$C$5,運転予定時間,4,1)</f>
        <v>#NAME?</v>
      </c>
      <c r="E27" s="90" t="e">
        <f ca="1">[0]!CSVVLookUP(ROW(行数!B19),配列!$C$8,利用時間_シフト,3,1)</f>
        <v>#NAME?</v>
      </c>
      <c r="F27" s="90" t="e">
        <f ca="1">[0]!CSVVLookUP(ROW(行数!B19),配列!$C$9,利用時間_シフト,4,1)</f>
        <v>#NAME?</v>
      </c>
      <c r="G27" s="91" t="e">
        <f ca="1">IF(F27="","",SUM(INDEX(利用時間_シフト,[0]!CSVChoose(ROW(行数!A19),配列!$C$8),5):INDEX(利用時間_シフト,[0]!CSVChoose(ROW(行数!A19),配列!$C$9),5)))</f>
        <v>#NAME?</v>
      </c>
      <c r="H27" s="91" t="e">
        <f ca="1">IF(F27="","",SUM(INDEX(利用時間_シフト,[0]!CSVChoose(ROW(行数!A19),配列!$C$8),6):INDEX(利用時間_シフト,[0]!CSVChoose(ROW(行数!A19),配列!$C$9),6)))</f>
        <v>#NAME?</v>
      </c>
      <c r="I27" s="103" t="e">
        <f t="shared" ca="1" si="4"/>
        <v>#NAME?</v>
      </c>
      <c r="J27" s="91" t="e">
        <f ca="1">IF(F27="","",SUM(INDEX(利用時間_シフト,[0]!CSVChoose(ROW(行数!A19),配列!$C$8),8):INDEX(利用時間_シフト,[0]!CSVChoose(ROW(行数!A19),配列!$C$9),8)))</f>
        <v>#NAME?</v>
      </c>
      <c r="K27" s="104" t="e">
        <f ca="1">IF(F27="","",SUM(INDEX(利用時間_シフト,[0]!CSVChoose(ROW(行数!A19),配列!$C$8),9):INDEX(利用時間_シフト,[0]!CSVChoose(ROW(行数!A19),配列!$C$9),9)))</f>
        <v>#NAME?</v>
      </c>
      <c r="L27" s="91" t="e">
        <f ca="1">IF(F27="","",SUM(INDEX(利用時間_シフト,[0]!CSVChoose(ROW(行数!A19),配列!$C$8),10):INDEX(利用時間_シフト,[0]!CSVChoose(ROW(行数!A19),配列!$C$9),10)))</f>
        <v>#NAME?</v>
      </c>
      <c r="M27" s="93" t="e">
        <f ca="1">IF(F27="","",SUM(INDEX(利用時間_シフト,[0]!CSVChoose(ROW(行数!A19),配列!$C$8),11):INDEX(利用時間_シフト,[0]!CSVChoose(ROW(行数!A19),配列!$C$9),11)))</f>
        <v>#NAME?</v>
      </c>
      <c r="N27" s="91" t="e">
        <f t="shared" ca="1" si="5"/>
        <v>#NAME?</v>
      </c>
      <c r="O27" s="92" t="e">
        <f ca="1">[0]!CSVVLookUP(ROW(行数!A19),配列!$C$5,運転予定時間,7,1)</f>
        <v>#NAME?</v>
      </c>
      <c r="P27" s="253">
        <v>7.98</v>
      </c>
      <c r="Q27" s="254">
        <v>30</v>
      </c>
      <c r="R27" s="255">
        <v>10</v>
      </c>
      <c r="S27" s="254">
        <v>410</v>
      </c>
      <c r="T27" s="78" t="s">
        <v>225</v>
      </c>
      <c r="U27" s="186"/>
      <c r="W27" s="166" t="e">
        <f ca="1">[0]!CSVVLookUP(ROW(行数!A19),配列!$C$5,運転予定時間,5,1)</f>
        <v>#NAME?</v>
      </c>
      <c r="Y27" s="92"/>
      <c r="Z27" s="252"/>
      <c r="AA27" s="251"/>
      <c r="AB27" s="252"/>
      <c r="AC27" s="251"/>
    </row>
    <row r="28" spans="2:29" x14ac:dyDescent="0.2">
      <c r="B28" s="93" t="e">
        <f t="shared" ca="1" si="3"/>
        <v>#NAME?</v>
      </c>
      <c r="C28" s="90" t="e">
        <f ca="1">[0]!CSVVLookUP(ROW(行数!A20),配列!$C$5,運転予定時間,3,1)</f>
        <v>#NAME?</v>
      </c>
      <c r="D28" s="90" t="e">
        <f ca="1">[0]!CSVVLookUP(ROW(行数!B20),配列!$C$5,運転予定時間,4,1)</f>
        <v>#NAME?</v>
      </c>
      <c r="E28" s="90" t="e">
        <f ca="1">[0]!CSVVLookUP(ROW(行数!B20),配列!$C$8,利用時間_シフト,3,1)</f>
        <v>#NAME?</v>
      </c>
      <c r="F28" s="90" t="e">
        <f ca="1">[0]!CSVVLookUP(ROW(行数!B20),配列!$C$9,利用時間_シフト,4,1)</f>
        <v>#NAME?</v>
      </c>
      <c r="G28" s="91" t="e">
        <f ca="1">IF(F28="","",SUM(INDEX(利用時間_シフト,[0]!CSVChoose(ROW(行数!A20),配列!$C$8),5):INDEX(利用時間_シフト,[0]!CSVChoose(ROW(行数!A20),配列!$C$9),5)))</f>
        <v>#NAME?</v>
      </c>
      <c r="H28" s="91" t="e">
        <f ca="1">IF(F28="","",SUM(INDEX(利用時間_シフト,[0]!CSVChoose(ROW(行数!A20),配列!$C$8),6):INDEX(利用時間_シフト,[0]!CSVChoose(ROW(行数!A20),配列!$C$9),6)))</f>
        <v>#NAME?</v>
      </c>
      <c r="I28" s="103" t="e">
        <f t="shared" ca="1" si="4"/>
        <v>#NAME?</v>
      </c>
      <c r="J28" s="91" t="e">
        <f ca="1">IF(F28="","",SUM(INDEX(利用時間_シフト,[0]!CSVChoose(ROW(行数!A20),配列!$C$8),8):INDEX(利用時間_シフト,[0]!CSVChoose(ROW(行数!A20),配列!$C$9),8)))</f>
        <v>#NAME?</v>
      </c>
      <c r="K28" s="104" t="e">
        <f ca="1">IF(F28="","",SUM(INDEX(利用時間_シフト,[0]!CSVChoose(ROW(行数!A20),配列!$C$8),9):INDEX(利用時間_シフト,[0]!CSVChoose(ROW(行数!A20),配列!$C$9),9)))</f>
        <v>#NAME?</v>
      </c>
      <c r="L28" s="91" t="e">
        <f ca="1">IF(F28="","",SUM(INDEX(利用時間_シフト,[0]!CSVChoose(ROW(行数!A20),配列!$C$8),10):INDEX(利用時間_シフト,[0]!CSVChoose(ROW(行数!A20),配列!$C$9),10)))</f>
        <v>#NAME?</v>
      </c>
      <c r="M28" s="93" t="e">
        <f ca="1">IF(F28="","",SUM(INDEX(利用時間_シフト,[0]!CSVChoose(ROW(行数!A20),配列!$C$8),11):INDEX(利用時間_シフト,[0]!CSVChoose(ROW(行数!A20),配列!$C$9),11)))</f>
        <v>#NAME?</v>
      </c>
      <c r="N28" s="91" t="e">
        <f t="shared" ca="1" si="5"/>
        <v>#NAME?</v>
      </c>
      <c r="O28" s="92" t="e">
        <f ca="1">[0]!CSVVLookUP(ROW(行数!A20),配列!$C$5,運転予定時間,7,1)</f>
        <v>#NAME?</v>
      </c>
      <c r="P28" s="253">
        <v>7.98</v>
      </c>
      <c r="Q28" s="254">
        <v>30</v>
      </c>
      <c r="R28" s="255">
        <v>10</v>
      </c>
      <c r="S28" s="254">
        <v>430</v>
      </c>
      <c r="T28" s="78" t="s">
        <v>225</v>
      </c>
      <c r="U28" s="186"/>
      <c r="W28" s="166" t="e">
        <f ca="1">[0]!CSVVLookUP(ROW(行数!A20),配列!$C$5,運転予定時間,5,1)</f>
        <v>#NAME?</v>
      </c>
      <c r="Y28" s="92"/>
      <c r="Z28" s="252"/>
      <c r="AA28" s="251"/>
      <c r="AB28" s="252"/>
      <c r="AC28" s="251"/>
    </row>
    <row r="29" spans="2:29" x14ac:dyDescent="0.2">
      <c r="B29" s="93" t="e">
        <f t="shared" ca="1" si="3"/>
        <v>#NAME?</v>
      </c>
      <c r="C29" s="90" t="e">
        <f ca="1">[0]!CSVVLookUP(ROW(行数!A21),配列!$C$5,運転予定時間,3,1)</f>
        <v>#NAME?</v>
      </c>
      <c r="D29" s="90" t="e">
        <f ca="1">[0]!CSVVLookUP(ROW(行数!B21),配列!$C$5,運転予定時間,4,1)</f>
        <v>#NAME?</v>
      </c>
      <c r="E29" s="90" t="e">
        <f ca="1">[0]!CSVVLookUP(ROW(行数!B21),配列!$C$8,利用時間_シフト,3,1)</f>
        <v>#NAME?</v>
      </c>
      <c r="F29" s="90" t="e">
        <f ca="1">[0]!CSVVLookUP(ROW(行数!B21),配列!$C$9,利用時間_シフト,4,1)</f>
        <v>#NAME?</v>
      </c>
      <c r="G29" s="91" t="e">
        <f ca="1">IF(F29="","",SUM(INDEX(利用時間_シフト,[0]!CSVChoose(ROW(行数!A21),配列!$C$8),5):INDEX(利用時間_シフト,[0]!CSVChoose(ROW(行数!A21),配列!$C$9),5)))</f>
        <v>#NAME?</v>
      </c>
      <c r="H29" s="91" t="e">
        <f ca="1">IF(F29="","",SUM(INDEX(利用時間_シフト,[0]!CSVChoose(ROW(行数!A21),配列!$C$8),6):INDEX(利用時間_シフト,[0]!CSVChoose(ROW(行数!A21),配列!$C$9),6)))</f>
        <v>#NAME?</v>
      </c>
      <c r="I29" s="103" t="e">
        <f t="shared" ca="1" si="4"/>
        <v>#NAME?</v>
      </c>
      <c r="J29" s="91" t="e">
        <f ca="1">IF(F29="","",SUM(INDEX(利用時間_シフト,[0]!CSVChoose(ROW(行数!A21),配列!$C$8),8):INDEX(利用時間_シフト,[0]!CSVChoose(ROW(行数!A21),配列!$C$9),8)))</f>
        <v>#NAME?</v>
      </c>
      <c r="K29" s="104" t="e">
        <f ca="1">IF(F29="","",SUM(INDEX(利用時間_シフト,[0]!CSVChoose(ROW(行数!A21),配列!$C$8),9):INDEX(利用時間_シフト,[0]!CSVChoose(ROW(行数!A21),配列!$C$9),9)))</f>
        <v>#NAME?</v>
      </c>
      <c r="L29" s="91" t="e">
        <f ca="1">IF(F29="","",SUM(INDEX(利用時間_シフト,[0]!CSVChoose(ROW(行数!A21),配列!$C$8),10):INDEX(利用時間_シフト,[0]!CSVChoose(ROW(行数!A21),配列!$C$9),10)))</f>
        <v>#NAME?</v>
      </c>
      <c r="M29" s="93" t="e">
        <f ca="1">IF(F29="","",SUM(INDEX(利用時間_シフト,[0]!CSVChoose(ROW(行数!A21),配列!$C$8),11):INDEX(利用時間_シフト,[0]!CSVChoose(ROW(行数!A21),配列!$C$9),11)))</f>
        <v>#NAME?</v>
      </c>
      <c r="N29" s="91" t="e">
        <f t="shared" ca="1" si="5"/>
        <v>#NAME?</v>
      </c>
      <c r="O29" s="92" t="e">
        <f ca="1">[0]!CSVVLookUP(ROW(行数!A21),配列!$C$5,運転予定時間,7,1)</f>
        <v>#NAME?</v>
      </c>
      <c r="P29" s="253">
        <v>7.98</v>
      </c>
      <c r="Q29" s="254">
        <v>30</v>
      </c>
      <c r="R29" s="255">
        <v>8.5</v>
      </c>
      <c r="S29" s="254">
        <v>600</v>
      </c>
      <c r="T29" s="78" t="s">
        <v>225</v>
      </c>
      <c r="U29" s="186"/>
      <c r="W29" s="166" t="e">
        <f ca="1">[0]!CSVVLookUP(ROW(行数!A21),配列!$C$5,運転予定時間,5,1)</f>
        <v>#NAME?</v>
      </c>
      <c r="Y29" s="92"/>
      <c r="Z29" s="252"/>
      <c r="AA29" s="251"/>
      <c r="AB29" s="252"/>
      <c r="AC29" s="251"/>
    </row>
    <row r="30" spans="2:29" x14ac:dyDescent="0.2">
      <c r="B30" s="93" t="e">
        <f t="shared" ca="1" si="3"/>
        <v>#NAME?</v>
      </c>
      <c r="C30" s="90" t="e">
        <f ca="1">[0]!CSVVLookUP(ROW(行数!A22),配列!$C$5,運転予定時間,3,1)</f>
        <v>#NAME?</v>
      </c>
      <c r="D30" s="90" t="e">
        <f ca="1">[0]!CSVVLookUP(ROW(行数!B22),配列!$C$5,運転予定時間,4,1)</f>
        <v>#NAME?</v>
      </c>
      <c r="E30" s="90" t="e">
        <f ca="1">[0]!CSVVLookUP(ROW(行数!B22),配列!$C$8,利用時間_シフト,3,1)</f>
        <v>#NAME?</v>
      </c>
      <c r="F30" s="90" t="e">
        <f ca="1">[0]!CSVVLookUP(ROW(行数!B22),配列!$C$9,利用時間_シフト,4,1)</f>
        <v>#NAME?</v>
      </c>
      <c r="G30" s="91" t="e">
        <f ca="1">IF(F30="","",SUM(INDEX(利用時間_シフト,[0]!CSVChoose(ROW(行数!A22),配列!$C$8),5):INDEX(利用時間_シフト,[0]!CSVChoose(ROW(行数!A22),配列!$C$9),5)))</f>
        <v>#NAME?</v>
      </c>
      <c r="H30" s="91" t="e">
        <f ca="1">IF(F30="","",SUM(INDEX(利用時間_シフト,[0]!CSVChoose(ROW(行数!A22),配列!$C$8),6):INDEX(利用時間_シフト,[0]!CSVChoose(ROW(行数!A22),配列!$C$9),6)))</f>
        <v>#NAME?</v>
      </c>
      <c r="I30" s="103" t="e">
        <f t="shared" ca="1" si="4"/>
        <v>#NAME?</v>
      </c>
      <c r="J30" s="91" t="e">
        <f ca="1">IF(F30="","",SUM(INDEX(利用時間_シフト,[0]!CSVChoose(ROW(行数!A22),配列!$C$8),8):INDEX(利用時間_シフト,[0]!CSVChoose(ROW(行数!A22),配列!$C$9),8)))</f>
        <v>#NAME?</v>
      </c>
      <c r="K30" s="104" t="e">
        <f ca="1">IF(F30="","",SUM(INDEX(利用時間_シフト,[0]!CSVChoose(ROW(行数!A22),配列!$C$8),9):INDEX(利用時間_シフト,[0]!CSVChoose(ROW(行数!A22),配列!$C$9),9)))</f>
        <v>#NAME?</v>
      </c>
      <c r="L30" s="91" t="e">
        <f ca="1">IF(F30="","",SUM(INDEX(利用時間_シフト,[0]!CSVChoose(ROW(行数!A22),配列!$C$8),10):INDEX(利用時間_シフト,[0]!CSVChoose(ROW(行数!A22),配列!$C$9),10)))</f>
        <v>#NAME?</v>
      </c>
      <c r="M30" s="93" t="e">
        <f ca="1">IF(F30="","",SUM(INDEX(利用時間_シフト,[0]!CSVChoose(ROW(行数!A22),配列!$C$8),11):INDEX(利用時間_シフト,[0]!CSVChoose(ROW(行数!A22),配列!$C$9),11)))</f>
        <v>#NAME?</v>
      </c>
      <c r="N30" s="91" t="e">
        <f t="shared" ca="1" si="5"/>
        <v>#NAME?</v>
      </c>
      <c r="O30" s="92" t="e">
        <f ca="1">[0]!CSVVLookUP(ROW(行数!A22),配列!$C$5,運転予定時間,7,1)</f>
        <v>#NAME?</v>
      </c>
      <c r="P30" s="253">
        <v>7.98</v>
      </c>
      <c r="Q30" s="254">
        <v>30</v>
      </c>
      <c r="R30" s="255">
        <v>8.5</v>
      </c>
      <c r="S30" s="254">
        <v>600</v>
      </c>
      <c r="T30" s="78" t="s">
        <v>225</v>
      </c>
      <c r="U30" s="186"/>
      <c r="W30" s="166" t="e">
        <f ca="1">[0]!CSVVLookUP(ROW(行数!A22),配列!$C$5,運転予定時間,5,1)</f>
        <v>#NAME?</v>
      </c>
      <c r="Y30" s="92"/>
      <c r="Z30" s="252"/>
      <c r="AA30" s="251"/>
      <c r="AB30" s="252"/>
      <c r="AC30" s="251"/>
    </row>
    <row r="31" spans="2:29" x14ac:dyDescent="0.2">
      <c r="B31" s="93" t="e">
        <f t="shared" ca="1" si="3"/>
        <v>#NAME?</v>
      </c>
      <c r="C31" s="90" t="e">
        <f ca="1">[0]!CSVVLookUP(ROW(行数!A23),配列!$C$5,運転予定時間,3,1)</f>
        <v>#NAME?</v>
      </c>
      <c r="D31" s="90" t="e">
        <f ca="1">[0]!CSVVLookUP(ROW(行数!B23),配列!$C$5,運転予定時間,4,1)</f>
        <v>#NAME?</v>
      </c>
      <c r="E31" s="90" t="e">
        <f ca="1">[0]!CSVVLookUP(ROW(行数!B23),配列!$C$8,利用時間_シフト,3,1)</f>
        <v>#NAME?</v>
      </c>
      <c r="F31" s="90" t="e">
        <f ca="1">[0]!CSVVLookUP(ROW(行数!B23),配列!$C$9,利用時間_シフト,4,1)</f>
        <v>#NAME?</v>
      </c>
      <c r="G31" s="91" t="e">
        <f ca="1">IF(F31="","",SUM(INDEX(利用時間_シフト,[0]!CSVChoose(ROW(行数!A23),配列!$C$8),5):INDEX(利用時間_シフト,[0]!CSVChoose(ROW(行数!A23),配列!$C$9),5)))</f>
        <v>#NAME?</v>
      </c>
      <c r="H31" s="91" t="e">
        <f ca="1">IF(F31="","",SUM(INDEX(利用時間_シフト,[0]!CSVChoose(ROW(行数!A23),配列!$C$8),6):INDEX(利用時間_シフト,[0]!CSVChoose(ROW(行数!A23),配列!$C$9),6)))</f>
        <v>#NAME?</v>
      </c>
      <c r="I31" s="103" t="e">
        <f t="shared" ca="1" si="4"/>
        <v>#NAME?</v>
      </c>
      <c r="J31" s="91" t="e">
        <f ca="1">IF(F31="","",SUM(INDEX(利用時間_シフト,[0]!CSVChoose(ROW(行数!A23),配列!$C$8),8):INDEX(利用時間_シフト,[0]!CSVChoose(ROW(行数!A23),配列!$C$9),8)))</f>
        <v>#NAME?</v>
      </c>
      <c r="K31" s="104" t="e">
        <f ca="1">IF(F31="","",SUM(INDEX(利用時間_シフト,[0]!CSVChoose(ROW(行数!A23),配列!$C$8),9):INDEX(利用時間_シフト,[0]!CSVChoose(ROW(行数!A23),配列!$C$9),9)))</f>
        <v>#NAME?</v>
      </c>
      <c r="L31" s="91" t="e">
        <f ca="1">IF(F31="","",SUM(INDEX(利用時間_シフト,[0]!CSVChoose(ROW(行数!A23),配列!$C$8),10):INDEX(利用時間_シフト,[0]!CSVChoose(ROW(行数!A23),配列!$C$9),10)))</f>
        <v>#NAME?</v>
      </c>
      <c r="M31" s="93" t="e">
        <f ca="1">IF(F31="","",SUM(INDEX(利用時間_シフト,[0]!CSVChoose(ROW(行数!A23),配列!$C$8),11):INDEX(利用時間_シフト,[0]!CSVChoose(ROW(行数!A23),配列!$C$9),11)))</f>
        <v>#NAME?</v>
      </c>
      <c r="N31" s="91" t="e">
        <f t="shared" ca="1" si="5"/>
        <v>#NAME?</v>
      </c>
      <c r="O31" s="92" t="e">
        <f ca="1">[0]!CSVVLookUP(ROW(行数!A23),配列!$C$5,運転予定時間,7,1)</f>
        <v>#NAME?</v>
      </c>
      <c r="P31" s="253">
        <v>7.98</v>
      </c>
      <c r="Q31" s="254">
        <v>30</v>
      </c>
      <c r="R31" s="255">
        <v>8.5</v>
      </c>
      <c r="S31" s="254">
        <v>600</v>
      </c>
      <c r="T31" s="78" t="s">
        <v>225</v>
      </c>
      <c r="U31" s="186"/>
      <c r="W31" s="166" t="e">
        <f ca="1">[0]!CSVVLookUP(ROW(行数!A23),配列!$C$5,運転予定時間,5,1)</f>
        <v>#NAME?</v>
      </c>
      <c r="Y31" s="92"/>
      <c r="Z31" s="252"/>
      <c r="AA31" s="251"/>
      <c r="AB31" s="252"/>
      <c r="AC31" s="251"/>
    </row>
    <row r="32" spans="2:29" x14ac:dyDescent="0.2">
      <c r="B32" s="93" t="e">
        <f t="shared" ca="1" si="3"/>
        <v>#NAME?</v>
      </c>
      <c r="C32" s="90" t="e">
        <f ca="1">[0]!CSVVLookUP(ROW(行数!A24),配列!$C$5,運転予定時間,3,1)</f>
        <v>#NAME?</v>
      </c>
      <c r="D32" s="90" t="e">
        <f ca="1">[0]!CSVVLookUP(ROW(行数!B24),配列!$C$5,運転予定時間,4,1)</f>
        <v>#NAME?</v>
      </c>
      <c r="E32" s="90" t="e">
        <f ca="1">[0]!CSVVLookUP(ROW(行数!B24),配列!$C$8,利用時間_シフト,3,1)</f>
        <v>#NAME?</v>
      </c>
      <c r="F32" s="90" t="e">
        <f ca="1">[0]!CSVVLookUP(ROW(行数!B24),配列!$C$9,利用時間_シフト,4,1)</f>
        <v>#NAME?</v>
      </c>
      <c r="G32" s="91" t="e">
        <f ca="1">IF(F32="","",SUM(INDEX(利用時間_シフト,[0]!CSVChoose(ROW(行数!A24),配列!$C$8),5):INDEX(利用時間_シフト,[0]!CSVChoose(ROW(行数!A24),配列!$C$9),5)))</f>
        <v>#NAME?</v>
      </c>
      <c r="H32" s="91" t="e">
        <f ca="1">IF(F32="","",SUM(INDEX(利用時間_シフト,[0]!CSVChoose(ROW(行数!A24),配列!$C$8),6):INDEX(利用時間_シフト,[0]!CSVChoose(ROW(行数!A24),配列!$C$9),6)))</f>
        <v>#NAME?</v>
      </c>
      <c r="I32" s="103" t="e">
        <f t="shared" ca="1" si="4"/>
        <v>#NAME?</v>
      </c>
      <c r="J32" s="91" t="e">
        <f ca="1">IF(F32="","",SUM(INDEX(利用時間_シフト,[0]!CSVChoose(ROW(行数!A24),配列!$C$8),8):INDEX(利用時間_シフト,[0]!CSVChoose(ROW(行数!A24),配列!$C$9),8)))</f>
        <v>#NAME?</v>
      </c>
      <c r="K32" s="104" t="e">
        <f ca="1">IF(F32="","",SUM(INDEX(利用時間_シフト,[0]!CSVChoose(ROW(行数!A24),配列!$C$8),9):INDEX(利用時間_シフト,[0]!CSVChoose(ROW(行数!A24),配列!$C$9),9)))</f>
        <v>#NAME?</v>
      </c>
      <c r="L32" s="91" t="e">
        <f ca="1">IF(F32="","",SUM(INDEX(利用時間_シフト,[0]!CSVChoose(ROW(行数!A24),配列!$C$8),10):INDEX(利用時間_シフト,[0]!CSVChoose(ROW(行数!A24),配列!$C$9),10)))</f>
        <v>#NAME?</v>
      </c>
      <c r="M32" s="93" t="e">
        <f ca="1">IF(F32="","",SUM(INDEX(利用時間_シフト,[0]!CSVChoose(ROW(行数!A24),配列!$C$8),11):INDEX(利用時間_シフト,[0]!CSVChoose(ROW(行数!A24),配列!$C$9),11)))</f>
        <v>#NAME?</v>
      </c>
      <c r="N32" s="91" t="e">
        <f t="shared" ca="1" si="5"/>
        <v>#NAME?</v>
      </c>
      <c r="O32" s="92" t="e">
        <f ca="1">[0]!CSVVLookUP(ROW(行数!A24),配列!$C$5,運転予定時間,7,1)</f>
        <v>#NAME?</v>
      </c>
      <c r="P32" s="253">
        <v>7.98</v>
      </c>
      <c r="Q32" s="254">
        <v>30</v>
      </c>
      <c r="R32" s="255">
        <v>8.5</v>
      </c>
      <c r="S32" s="254">
        <v>600</v>
      </c>
      <c r="T32" s="78" t="s">
        <v>225</v>
      </c>
      <c r="U32" s="186"/>
      <c r="W32" s="166" t="e">
        <f ca="1">[0]!CSVVLookUP(ROW(行数!A24),配列!$C$5,運転予定時間,5,1)</f>
        <v>#NAME?</v>
      </c>
      <c r="Y32" s="92"/>
      <c r="Z32" s="252"/>
      <c r="AA32" s="251"/>
      <c r="AB32" s="252"/>
      <c r="AC32" s="251"/>
    </row>
    <row r="33" spans="2:29" x14ac:dyDescent="0.2">
      <c r="B33" s="93" t="e">
        <f t="shared" ca="1" si="3"/>
        <v>#NAME?</v>
      </c>
      <c r="C33" s="90" t="e">
        <f ca="1">[0]!CSVVLookUP(ROW(行数!A25),配列!$C$5,運転予定時間,3,1)</f>
        <v>#NAME?</v>
      </c>
      <c r="D33" s="90" t="e">
        <f ca="1">[0]!CSVVLookUP(ROW(行数!B25),配列!$C$5,運転予定時間,4,1)</f>
        <v>#NAME?</v>
      </c>
      <c r="E33" s="90" t="e">
        <f ca="1">[0]!CSVVLookUP(ROW(行数!B25),配列!$C$8,利用時間_シフト,3,1)</f>
        <v>#NAME?</v>
      </c>
      <c r="F33" s="90" t="e">
        <f ca="1">[0]!CSVVLookUP(ROW(行数!B25),配列!$C$9,利用時間_シフト,4,1)</f>
        <v>#NAME?</v>
      </c>
      <c r="G33" s="91" t="e">
        <f ca="1">IF(F33="","",SUM(INDEX(利用時間_シフト,[0]!CSVChoose(ROW(行数!A25),配列!$C$8),5):INDEX(利用時間_シフト,[0]!CSVChoose(ROW(行数!A25),配列!$C$9),5)))</f>
        <v>#NAME?</v>
      </c>
      <c r="H33" s="91" t="e">
        <f ca="1">IF(F33="","",SUM(INDEX(利用時間_シフト,[0]!CSVChoose(ROW(行数!A25),配列!$C$8),6):INDEX(利用時間_シフト,[0]!CSVChoose(ROW(行数!A25),配列!$C$9),6)))</f>
        <v>#NAME?</v>
      </c>
      <c r="I33" s="103" t="e">
        <f t="shared" ca="1" si="4"/>
        <v>#NAME?</v>
      </c>
      <c r="J33" s="91" t="e">
        <f ca="1">IF(F33="","",SUM(INDEX(利用時間_シフト,[0]!CSVChoose(ROW(行数!A25),配列!$C$8),8):INDEX(利用時間_シフト,[0]!CSVChoose(ROW(行数!A25),配列!$C$9),8)))</f>
        <v>#NAME?</v>
      </c>
      <c r="K33" s="104" t="e">
        <f ca="1">IF(F33="","",SUM(INDEX(利用時間_シフト,[0]!CSVChoose(ROW(行数!A25),配列!$C$8),9):INDEX(利用時間_シフト,[0]!CSVChoose(ROW(行数!A25),配列!$C$9),9)))</f>
        <v>#NAME?</v>
      </c>
      <c r="L33" s="91" t="e">
        <f ca="1">IF(F33="","",SUM(INDEX(利用時間_シフト,[0]!CSVChoose(ROW(行数!A25),配列!$C$8),10):INDEX(利用時間_シフト,[0]!CSVChoose(ROW(行数!A25),配列!$C$9),10)))</f>
        <v>#NAME?</v>
      </c>
      <c r="M33" s="93" t="e">
        <f ca="1">IF(F33="","",SUM(INDEX(利用時間_シフト,[0]!CSVChoose(ROW(行数!A25),配列!$C$8),11):INDEX(利用時間_シフト,[0]!CSVChoose(ROW(行数!A25),配列!$C$9),11)))</f>
        <v>#NAME?</v>
      </c>
      <c r="N33" s="91" t="e">
        <f t="shared" ca="1" si="5"/>
        <v>#NAME?</v>
      </c>
      <c r="O33" s="92" t="e">
        <f ca="1">[0]!CSVVLookUP(ROW(行数!A25),配列!$C$5,運転予定時間,7,1)</f>
        <v>#NAME?</v>
      </c>
      <c r="P33" s="253">
        <v>7.98</v>
      </c>
      <c r="Q33" s="254">
        <v>30</v>
      </c>
      <c r="R33" s="255">
        <v>8.5</v>
      </c>
      <c r="S33" s="254">
        <v>600</v>
      </c>
      <c r="T33" s="78" t="s">
        <v>225</v>
      </c>
      <c r="U33" s="186"/>
      <c r="W33" s="166" t="e">
        <f ca="1">[0]!CSVVLookUP(ROW(行数!A25),配列!$C$5,運転予定時間,5,1)</f>
        <v>#NAME?</v>
      </c>
      <c r="Y33" s="92"/>
      <c r="Z33" s="252"/>
      <c r="AA33" s="251"/>
      <c r="AB33" s="252"/>
      <c r="AC33" s="251"/>
    </row>
    <row r="34" spans="2:29" x14ac:dyDescent="0.2">
      <c r="B34" s="93" t="e">
        <f t="shared" ca="1" si="3"/>
        <v>#NAME?</v>
      </c>
      <c r="C34" s="90" t="e">
        <f ca="1">[0]!CSVVLookUP(ROW(行数!A26),配列!$C$5,運転予定時間,3,1)</f>
        <v>#NAME?</v>
      </c>
      <c r="D34" s="90" t="e">
        <f ca="1">[0]!CSVVLookUP(ROW(行数!B26),配列!$C$5,運転予定時間,4,1)</f>
        <v>#NAME?</v>
      </c>
      <c r="E34" s="90" t="e">
        <f ca="1">[0]!CSVVLookUP(ROW(行数!B26),配列!$C$8,利用時間_シフト,3,1)</f>
        <v>#NAME?</v>
      </c>
      <c r="F34" s="90" t="e">
        <f ca="1">[0]!CSVVLookUP(ROW(行数!B26),配列!$C$9,利用時間_シフト,4,1)</f>
        <v>#NAME?</v>
      </c>
      <c r="G34" s="91" t="e">
        <f ca="1">IF(F34="","",SUM(INDEX(利用時間_シフト,[0]!CSVChoose(ROW(行数!A26),配列!$C$8),5):INDEX(利用時間_シフト,[0]!CSVChoose(ROW(行数!A26),配列!$C$9),5)))</f>
        <v>#NAME?</v>
      </c>
      <c r="H34" s="91" t="e">
        <f ca="1">IF(F34="","",SUM(INDEX(利用時間_シフト,[0]!CSVChoose(ROW(行数!A26),配列!$C$8),6):INDEX(利用時間_シフト,[0]!CSVChoose(ROW(行数!A26),配列!$C$9),6)))</f>
        <v>#NAME?</v>
      </c>
      <c r="I34" s="103" t="e">
        <f t="shared" ca="1" si="4"/>
        <v>#NAME?</v>
      </c>
      <c r="J34" s="91" t="e">
        <f ca="1">IF(F34="","",SUM(INDEX(利用時間_シフト,[0]!CSVChoose(ROW(行数!A26),配列!$C$8),8):INDEX(利用時間_シフト,[0]!CSVChoose(ROW(行数!A26),配列!$C$9),8)))</f>
        <v>#NAME?</v>
      </c>
      <c r="K34" s="104" t="e">
        <f ca="1">IF(F34="","",SUM(INDEX(利用時間_シフト,[0]!CSVChoose(ROW(行数!A26),配列!$C$8),9):INDEX(利用時間_シフト,[0]!CSVChoose(ROW(行数!A26),配列!$C$9),9)))</f>
        <v>#NAME?</v>
      </c>
      <c r="L34" s="91" t="e">
        <f ca="1">IF(F34="","",SUM(INDEX(利用時間_シフト,[0]!CSVChoose(ROW(行数!A26),配列!$C$8),10):INDEX(利用時間_シフト,[0]!CSVChoose(ROW(行数!A26),配列!$C$9),10)))</f>
        <v>#NAME?</v>
      </c>
      <c r="M34" s="93" t="e">
        <f ca="1">IF(F34="","",SUM(INDEX(利用時間_シフト,[0]!CSVChoose(ROW(行数!A26),配列!$C$8),11):INDEX(利用時間_シフト,[0]!CSVChoose(ROW(行数!A26),配列!$C$9),11)))</f>
        <v>#NAME?</v>
      </c>
      <c r="N34" s="91" t="e">
        <f t="shared" ca="1" si="5"/>
        <v>#NAME?</v>
      </c>
      <c r="O34" s="92" t="e">
        <f ca="1">[0]!CSVVLookUP(ROW(行数!A26),配列!$C$5,運転予定時間,7,1)</f>
        <v>#NAME?</v>
      </c>
      <c r="P34" s="253">
        <v>7.98</v>
      </c>
      <c r="Q34" s="254">
        <v>30</v>
      </c>
      <c r="R34" s="255">
        <v>8.5</v>
      </c>
      <c r="S34" s="254">
        <v>600</v>
      </c>
      <c r="T34" s="78" t="s">
        <v>225</v>
      </c>
      <c r="U34" s="186"/>
      <c r="W34" s="166" t="e">
        <f ca="1">[0]!CSVVLookUP(ROW(行数!A26),配列!$C$5,運転予定時間,5,1)</f>
        <v>#NAME?</v>
      </c>
      <c r="Y34" s="92" t="e">
        <f t="shared" ref="Y34:Y73" ca="1" si="7">IF(O34="","",O34)</f>
        <v>#NAME?</v>
      </c>
      <c r="Z34" s="252"/>
      <c r="AA34" s="251"/>
      <c r="AB34" s="252"/>
      <c r="AC34" s="251"/>
    </row>
    <row r="35" spans="2:29" x14ac:dyDescent="0.2">
      <c r="B35" s="93" t="e">
        <f t="shared" ca="1" si="3"/>
        <v>#NAME?</v>
      </c>
      <c r="C35" s="90" t="e">
        <f ca="1">[0]!CSVVLookUP(ROW(行数!A27),配列!$C$5,運転予定時間,3,1)</f>
        <v>#NAME?</v>
      </c>
      <c r="D35" s="90" t="e">
        <f ca="1">[0]!CSVVLookUP(ROW(行数!B27),配列!$C$5,運転予定時間,4,1)</f>
        <v>#NAME?</v>
      </c>
      <c r="E35" s="90" t="e">
        <f ca="1">[0]!CSVVLookUP(ROW(行数!B27),配列!$C$8,利用時間_シフト,3,1)</f>
        <v>#NAME?</v>
      </c>
      <c r="F35" s="90" t="e">
        <f ca="1">[0]!CSVVLookUP(ROW(行数!B27),配列!$C$9,利用時間_シフト,4,1)</f>
        <v>#NAME?</v>
      </c>
      <c r="G35" s="91" t="e">
        <f ca="1">IF(F35="","",SUM(INDEX(利用時間_シフト,[0]!CSVChoose(ROW(行数!A27),配列!$C$8),5):INDEX(利用時間_シフト,[0]!CSVChoose(ROW(行数!A27),配列!$C$9),5)))</f>
        <v>#NAME?</v>
      </c>
      <c r="H35" s="91" t="e">
        <f ca="1">IF(F35="","",SUM(INDEX(利用時間_シフト,[0]!CSVChoose(ROW(行数!A27),配列!$C$8),6):INDEX(利用時間_シフト,[0]!CSVChoose(ROW(行数!A27),配列!$C$9),6)))</f>
        <v>#NAME?</v>
      </c>
      <c r="I35" s="103" t="e">
        <f t="shared" ca="1" si="4"/>
        <v>#NAME?</v>
      </c>
      <c r="J35" s="91" t="e">
        <f ca="1">IF(F35="","",SUM(INDEX(利用時間_シフト,[0]!CSVChoose(ROW(行数!A27),配列!$C$8),8):INDEX(利用時間_シフト,[0]!CSVChoose(ROW(行数!A27),配列!$C$9),8)))</f>
        <v>#NAME?</v>
      </c>
      <c r="K35" s="104" t="e">
        <f ca="1">IF(F35="","",SUM(INDEX(利用時間_シフト,[0]!CSVChoose(ROW(行数!A27),配列!$C$8),9):INDEX(利用時間_シフト,[0]!CSVChoose(ROW(行数!A27),配列!$C$9),9)))</f>
        <v>#NAME?</v>
      </c>
      <c r="L35" s="91" t="e">
        <f ca="1">IF(F35="","",SUM(INDEX(利用時間_シフト,[0]!CSVChoose(ROW(行数!A27),配列!$C$8),10):INDEX(利用時間_シフト,[0]!CSVChoose(ROW(行数!A27),配列!$C$9),10)))</f>
        <v>#NAME?</v>
      </c>
      <c r="M35" s="93" t="e">
        <f ca="1">IF(F35="","",SUM(INDEX(利用時間_シフト,[0]!CSVChoose(ROW(行数!A27),配列!$C$8),11):INDEX(利用時間_シフト,[0]!CSVChoose(ROW(行数!A27),配列!$C$9),11)))</f>
        <v>#NAME?</v>
      </c>
      <c r="N35" s="91" t="e">
        <f t="shared" ca="1" si="5"/>
        <v>#NAME?</v>
      </c>
      <c r="O35" s="92" t="e">
        <f ca="1">[0]!CSVVLookUP(ROW(行数!A27),配列!$C$5,運転予定時間,7,1)</f>
        <v>#NAME?</v>
      </c>
      <c r="P35" s="253"/>
      <c r="Q35" s="254"/>
      <c r="R35" s="255"/>
      <c r="S35" s="254"/>
      <c r="T35" s="78"/>
      <c r="U35" s="186"/>
      <c r="W35" s="166" t="e">
        <f ca="1">[0]!CSVVLookUP(ROW(行数!A27),配列!$C$5,運転予定時間,5,1)</f>
        <v>#NAME?</v>
      </c>
      <c r="Y35" s="92" t="e">
        <f t="shared" ca="1" si="7"/>
        <v>#NAME?</v>
      </c>
      <c r="Z35" s="252"/>
      <c r="AA35" s="251"/>
      <c r="AB35" s="252"/>
      <c r="AC35" s="251"/>
    </row>
    <row r="36" spans="2:29" x14ac:dyDescent="0.2">
      <c r="B36" s="93" t="e">
        <f t="shared" ca="1" si="3"/>
        <v>#NAME?</v>
      </c>
      <c r="C36" s="90" t="e">
        <f ca="1">[0]!CSVVLookUP(ROW(行数!A28),配列!$C$5,運転予定時間,3,1)</f>
        <v>#NAME?</v>
      </c>
      <c r="D36" s="90" t="e">
        <f ca="1">[0]!CSVVLookUP(ROW(行数!B28),配列!$C$5,運転予定時間,4,1)</f>
        <v>#NAME?</v>
      </c>
      <c r="E36" s="90" t="e">
        <f ca="1">[0]!CSVVLookUP(ROW(行数!B28),配列!$C$8,利用時間_シフト,3,1)</f>
        <v>#NAME?</v>
      </c>
      <c r="F36" s="90" t="e">
        <f ca="1">[0]!CSVVLookUP(ROW(行数!B28),配列!$C$9,利用時間_シフト,4,1)</f>
        <v>#NAME?</v>
      </c>
      <c r="G36" s="91" t="e">
        <f ca="1">IF(F36="","",SUM(INDEX(利用時間_シフト,[0]!CSVChoose(ROW(行数!A28),配列!$C$8),5):INDEX(利用時間_シフト,[0]!CSVChoose(ROW(行数!A28),配列!$C$9),5)))</f>
        <v>#NAME?</v>
      </c>
      <c r="H36" s="91" t="e">
        <f ca="1">IF(F36="","",SUM(INDEX(利用時間_シフト,[0]!CSVChoose(ROW(行数!A28),配列!$C$8),6):INDEX(利用時間_シフト,[0]!CSVChoose(ROW(行数!A28),配列!$C$9),6)))</f>
        <v>#NAME?</v>
      </c>
      <c r="I36" s="103" t="e">
        <f t="shared" ca="1" si="4"/>
        <v>#NAME?</v>
      </c>
      <c r="J36" s="91" t="e">
        <f ca="1">IF(F36="","",SUM(INDEX(利用時間_シフト,[0]!CSVChoose(ROW(行数!A28),配列!$C$8),8):INDEX(利用時間_シフト,[0]!CSVChoose(ROW(行数!A28),配列!$C$9),8)))</f>
        <v>#NAME?</v>
      </c>
      <c r="K36" s="104" t="e">
        <f ca="1">IF(F36="","",SUM(INDEX(利用時間_シフト,[0]!CSVChoose(ROW(行数!A28),配列!$C$8),9):INDEX(利用時間_シフト,[0]!CSVChoose(ROW(行数!A28),配列!$C$9),9)))</f>
        <v>#NAME?</v>
      </c>
      <c r="L36" s="91" t="e">
        <f ca="1">IF(F36="","",SUM(INDEX(利用時間_シフト,[0]!CSVChoose(ROW(行数!A28),配列!$C$8),10):INDEX(利用時間_シフト,[0]!CSVChoose(ROW(行数!A28),配列!$C$9),10)))</f>
        <v>#NAME?</v>
      </c>
      <c r="M36" s="93" t="e">
        <f ca="1">IF(F36="","",SUM(INDEX(利用時間_シフト,[0]!CSVChoose(ROW(行数!A28),配列!$C$8),11):INDEX(利用時間_シフト,[0]!CSVChoose(ROW(行数!A28),配列!$C$9),11)))</f>
        <v>#NAME?</v>
      </c>
      <c r="N36" s="91" t="e">
        <f t="shared" ca="1" si="5"/>
        <v>#NAME?</v>
      </c>
      <c r="O36" s="92" t="e">
        <f ca="1">[0]!CSVVLookUP(ROW(行数!A28),配列!$C$5,運転予定時間,7,1)</f>
        <v>#NAME?</v>
      </c>
      <c r="P36" s="253"/>
      <c r="Q36" s="254"/>
      <c r="R36" s="255"/>
      <c r="S36" s="254"/>
      <c r="T36" s="78"/>
      <c r="U36" s="186"/>
      <c r="W36" s="166" t="e">
        <f ca="1">[0]!CSVVLookUP(ROW(行数!A28),配列!$C$5,運転予定時間,5,1)</f>
        <v>#NAME?</v>
      </c>
      <c r="Y36" s="92" t="e">
        <f t="shared" ca="1" si="7"/>
        <v>#NAME?</v>
      </c>
      <c r="Z36" s="252"/>
      <c r="AA36" s="251"/>
      <c r="AB36" s="252"/>
      <c r="AC36" s="251"/>
    </row>
    <row r="37" spans="2:29" x14ac:dyDescent="0.2">
      <c r="B37" s="93" t="e">
        <f t="shared" ca="1" si="3"/>
        <v>#NAME?</v>
      </c>
      <c r="C37" s="90" t="e">
        <f ca="1">[0]!CSVVLookUP(ROW(行数!A29),配列!$C$5,運転予定時間,3,1)</f>
        <v>#NAME?</v>
      </c>
      <c r="D37" s="90" t="e">
        <f ca="1">[0]!CSVVLookUP(ROW(行数!B29),配列!$C$5,運転予定時間,4,1)</f>
        <v>#NAME?</v>
      </c>
      <c r="E37" s="90" t="e">
        <f ca="1">[0]!CSVVLookUP(ROW(行数!B29),配列!$C$8,利用時間_シフト,3,1)</f>
        <v>#NAME?</v>
      </c>
      <c r="F37" s="90" t="e">
        <f ca="1">[0]!CSVVLookUP(ROW(行数!B29),配列!$C$9,利用時間_シフト,4,1)</f>
        <v>#NAME?</v>
      </c>
      <c r="G37" s="91" t="e">
        <f ca="1">IF(F37="","",SUM(INDEX(利用時間_シフト,[0]!CSVChoose(ROW(行数!A29),配列!$C$8),5):INDEX(利用時間_シフト,[0]!CSVChoose(ROW(行数!A29),配列!$C$9),5)))</f>
        <v>#NAME?</v>
      </c>
      <c r="H37" s="91" t="e">
        <f ca="1">IF(F37="","",SUM(INDEX(利用時間_シフト,[0]!CSVChoose(ROW(行数!A29),配列!$C$8),6):INDEX(利用時間_シフト,[0]!CSVChoose(ROW(行数!A29),配列!$C$9),6)))</f>
        <v>#NAME?</v>
      </c>
      <c r="I37" s="103" t="e">
        <f t="shared" ca="1" si="4"/>
        <v>#NAME?</v>
      </c>
      <c r="J37" s="91" t="e">
        <f ca="1">IF(F37="","",SUM(INDEX(利用時間_シフト,[0]!CSVChoose(ROW(行数!A29),配列!$C$8),8):INDEX(利用時間_シフト,[0]!CSVChoose(ROW(行数!A29),配列!$C$9),8)))</f>
        <v>#NAME?</v>
      </c>
      <c r="K37" s="104" t="e">
        <f ca="1">IF(F37="","",SUM(INDEX(利用時間_シフト,[0]!CSVChoose(ROW(行数!A29),配列!$C$8),9):INDEX(利用時間_シフト,[0]!CSVChoose(ROW(行数!A29),配列!$C$9),9)))</f>
        <v>#NAME?</v>
      </c>
      <c r="L37" s="91" t="e">
        <f ca="1">IF(F37="","",SUM(INDEX(利用時間_シフト,[0]!CSVChoose(ROW(行数!A29),配列!$C$8),10):INDEX(利用時間_シフト,[0]!CSVChoose(ROW(行数!A29),配列!$C$9),10)))</f>
        <v>#NAME?</v>
      </c>
      <c r="M37" s="93" t="e">
        <f ca="1">IF(F37="","",SUM(INDEX(利用時間_シフト,[0]!CSVChoose(ROW(行数!A29),配列!$C$8),11):INDEX(利用時間_シフト,[0]!CSVChoose(ROW(行数!A29),配列!$C$9),11)))</f>
        <v>#NAME?</v>
      </c>
      <c r="N37" s="91" t="e">
        <f t="shared" ca="1" si="5"/>
        <v>#NAME?</v>
      </c>
      <c r="O37" s="92" t="e">
        <f ca="1">[0]!CSVVLookUP(ROW(行数!A29),配列!$C$5,運転予定時間,7,1)</f>
        <v>#NAME?</v>
      </c>
      <c r="P37" s="253"/>
      <c r="Q37" s="254"/>
      <c r="R37" s="255"/>
      <c r="S37" s="254"/>
      <c r="T37" s="78"/>
      <c r="U37" s="186"/>
      <c r="W37" s="166" t="e">
        <f ca="1">[0]!CSVVLookUP(ROW(行数!A29),配列!$C$5,運転予定時間,5,1)</f>
        <v>#NAME?</v>
      </c>
      <c r="Y37" s="92" t="e">
        <f t="shared" ca="1" si="7"/>
        <v>#NAME?</v>
      </c>
      <c r="Z37" s="252"/>
      <c r="AA37" s="251"/>
      <c r="AB37" s="252"/>
      <c r="AC37" s="251"/>
    </row>
    <row r="38" spans="2:29" x14ac:dyDescent="0.2">
      <c r="B38" s="93" t="e">
        <f t="shared" ca="1" si="3"/>
        <v>#NAME?</v>
      </c>
      <c r="C38" s="90" t="e">
        <f ca="1">[0]!CSVVLookUP(ROW(行数!A30),配列!$C$5,運転予定時間,3,1)</f>
        <v>#NAME?</v>
      </c>
      <c r="D38" s="90" t="e">
        <f ca="1">[0]!CSVVLookUP(ROW(行数!B30),配列!$C$5,運転予定時間,4,1)</f>
        <v>#NAME?</v>
      </c>
      <c r="E38" s="90" t="e">
        <f ca="1">[0]!CSVVLookUP(ROW(行数!B30),配列!$C$8,利用時間_シフト,3,1)</f>
        <v>#NAME?</v>
      </c>
      <c r="F38" s="90" t="e">
        <f ca="1">[0]!CSVVLookUP(ROW(行数!B30),配列!$C$9,利用時間_シフト,4,1)</f>
        <v>#NAME?</v>
      </c>
      <c r="G38" s="91" t="e">
        <f ca="1">IF(F38="","",SUM(INDEX(利用時間_シフト,[0]!CSVChoose(ROW(行数!A30),配列!$C$8),5):INDEX(利用時間_シフト,[0]!CSVChoose(ROW(行数!A30),配列!$C$9),5)))</f>
        <v>#NAME?</v>
      </c>
      <c r="H38" s="91" t="e">
        <f ca="1">IF(F38="","",SUM(INDEX(利用時間_シフト,[0]!CSVChoose(ROW(行数!A30),配列!$C$8),6):INDEX(利用時間_シフト,[0]!CSVChoose(ROW(行数!A30),配列!$C$9),6)))</f>
        <v>#NAME?</v>
      </c>
      <c r="I38" s="103" t="e">
        <f t="shared" ca="1" si="4"/>
        <v>#NAME?</v>
      </c>
      <c r="J38" s="91" t="e">
        <f ca="1">IF(F38="","",SUM(INDEX(利用時間_シフト,[0]!CSVChoose(ROW(行数!A30),配列!$C$8),8):INDEX(利用時間_シフト,[0]!CSVChoose(ROW(行数!A30),配列!$C$9),8)))</f>
        <v>#NAME?</v>
      </c>
      <c r="K38" s="104" t="e">
        <f ca="1">IF(F38="","",SUM(INDEX(利用時間_シフト,[0]!CSVChoose(ROW(行数!A30),配列!$C$8),9):INDEX(利用時間_シフト,[0]!CSVChoose(ROW(行数!A30),配列!$C$9),9)))</f>
        <v>#NAME?</v>
      </c>
      <c r="L38" s="91" t="e">
        <f ca="1">IF(F38="","",SUM(INDEX(利用時間_シフト,[0]!CSVChoose(ROW(行数!A30),配列!$C$8),10):INDEX(利用時間_シフト,[0]!CSVChoose(ROW(行数!A30),配列!$C$9),10)))</f>
        <v>#NAME?</v>
      </c>
      <c r="M38" s="93" t="e">
        <f ca="1">IF(F38="","",SUM(INDEX(利用時間_シフト,[0]!CSVChoose(ROW(行数!A30),配列!$C$8),11):INDEX(利用時間_シフト,[0]!CSVChoose(ROW(行数!A30),配列!$C$9),11)))</f>
        <v>#NAME?</v>
      </c>
      <c r="N38" s="91" t="e">
        <f t="shared" ca="1" si="5"/>
        <v>#NAME?</v>
      </c>
      <c r="O38" s="92" t="e">
        <f ca="1">[0]!CSVVLookUP(ROW(行数!A30),配列!$C$5,運転予定時間,7,1)</f>
        <v>#NAME?</v>
      </c>
      <c r="P38" s="253"/>
      <c r="Q38" s="254"/>
      <c r="R38" s="255"/>
      <c r="S38" s="254"/>
      <c r="T38" s="78"/>
      <c r="U38" s="186"/>
      <c r="W38" s="166" t="e">
        <f ca="1">[0]!CSVVLookUP(ROW(行数!A30),配列!$C$5,運転予定時間,5,1)</f>
        <v>#NAME?</v>
      </c>
      <c r="Y38" s="92" t="e">
        <f t="shared" ca="1" si="7"/>
        <v>#NAME?</v>
      </c>
      <c r="Z38" s="252"/>
      <c r="AA38" s="251"/>
      <c r="AB38" s="252"/>
      <c r="AC38" s="251"/>
    </row>
    <row r="39" spans="2:29" x14ac:dyDescent="0.2">
      <c r="B39" s="93" t="e">
        <f t="shared" ca="1" si="3"/>
        <v>#NAME?</v>
      </c>
      <c r="C39" s="90" t="e">
        <f ca="1">[0]!CSVVLookUP(ROW(行数!A31),配列!$C$5,運転予定時間,3,1)</f>
        <v>#NAME?</v>
      </c>
      <c r="D39" s="90" t="e">
        <f ca="1">[0]!CSVVLookUP(ROW(行数!B31),配列!$C$5,運転予定時間,4,1)</f>
        <v>#NAME?</v>
      </c>
      <c r="E39" s="90" t="e">
        <f ca="1">[0]!CSVVLookUP(ROW(行数!B31),配列!$C$8,利用時間_シフト,3,1)</f>
        <v>#NAME?</v>
      </c>
      <c r="F39" s="90" t="e">
        <f ca="1">[0]!CSVVLookUP(ROW(行数!B31),配列!$C$9,利用時間_シフト,4,1)</f>
        <v>#NAME?</v>
      </c>
      <c r="G39" s="91" t="e">
        <f ca="1">IF(F39="","",SUM(INDEX(利用時間_シフト,[0]!CSVChoose(ROW(行数!A31),配列!$C$8),5):INDEX(利用時間_シフト,[0]!CSVChoose(ROW(行数!A31),配列!$C$9),5)))</f>
        <v>#NAME?</v>
      </c>
      <c r="H39" s="91" t="e">
        <f ca="1">IF(F39="","",SUM(INDEX(利用時間_シフト,[0]!CSVChoose(ROW(行数!A31),配列!$C$8),6):INDEX(利用時間_シフト,[0]!CSVChoose(ROW(行数!A31),配列!$C$9),6)))</f>
        <v>#NAME?</v>
      </c>
      <c r="I39" s="103" t="e">
        <f t="shared" ca="1" si="4"/>
        <v>#NAME?</v>
      </c>
      <c r="J39" s="91" t="e">
        <f ca="1">IF(F39="","",SUM(INDEX(利用時間_シフト,[0]!CSVChoose(ROW(行数!A31),配列!$C$8),8):INDEX(利用時間_シフト,[0]!CSVChoose(ROW(行数!A31),配列!$C$9),8)))</f>
        <v>#NAME?</v>
      </c>
      <c r="K39" s="104" t="e">
        <f ca="1">IF(F39="","",SUM(INDEX(利用時間_シフト,[0]!CSVChoose(ROW(行数!A31),配列!$C$8),9):INDEX(利用時間_シフト,[0]!CSVChoose(ROW(行数!A31),配列!$C$9),9)))</f>
        <v>#NAME?</v>
      </c>
      <c r="L39" s="91" t="e">
        <f ca="1">IF(F39="","",SUM(INDEX(利用時間_シフト,[0]!CSVChoose(ROW(行数!A31),配列!$C$8),10):INDEX(利用時間_シフト,[0]!CSVChoose(ROW(行数!A31),配列!$C$9),10)))</f>
        <v>#NAME?</v>
      </c>
      <c r="M39" s="93" t="e">
        <f ca="1">IF(F39="","",SUM(INDEX(利用時間_シフト,[0]!CSVChoose(ROW(行数!A31),配列!$C$8),11):INDEX(利用時間_シフト,[0]!CSVChoose(ROW(行数!A31),配列!$C$9),11)))</f>
        <v>#NAME?</v>
      </c>
      <c r="N39" s="91" t="e">
        <f t="shared" ca="1" si="5"/>
        <v>#NAME?</v>
      </c>
      <c r="O39" s="92" t="e">
        <f ca="1">[0]!CSVVLookUP(ROW(行数!A31),配列!$C$5,運転予定時間,7,1)</f>
        <v>#NAME?</v>
      </c>
      <c r="P39" s="253"/>
      <c r="Q39" s="254"/>
      <c r="R39" s="255"/>
      <c r="S39" s="254"/>
      <c r="T39" s="78"/>
      <c r="U39" s="186"/>
      <c r="W39" s="166" t="e">
        <f ca="1">[0]!CSVVLookUP(ROW(行数!A31),配列!$C$5,運転予定時間,5,1)</f>
        <v>#NAME?</v>
      </c>
      <c r="Y39" s="92" t="e">
        <f t="shared" ca="1" si="7"/>
        <v>#NAME?</v>
      </c>
      <c r="Z39" s="252"/>
      <c r="AA39" s="251"/>
      <c r="AB39" s="252"/>
      <c r="AC39" s="251"/>
    </row>
    <row r="40" spans="2:29" x14ac:dyDescent="0.2">
      <c r="B40" s="93" t="e">
        <f t="shared" ca="1" si="3"/>
        <v>#NAME?</v>
      </c>
      <c r="C40" s="90" t="e">
        <f ca="1">[0]!CSVVLookUP(ROW(行数!A32),配列!$C$5,運転予定時間,3,1)</f>
        <v>#NAME?</v>
      </c>
      <c r="D40" s="90" t="e">
        <f ca="1">[0]!CSVVLookUP(ROW(行数!B32),配列!$C$5,運転予定時間,4,1)</f>
        <v>#NAME?</v>
      </c>
      <c r="E40" s="90" t="e">
        <f ca="1">[0]!CSVVLookUP(ROW(行数!B32),配列!$C$8,利用時間_シフト,3,1)</f>
        <v>#NAME?</v>
      </c>
      <c r="F40" s="90" t="e">
        <f ca="1">[0]!CSVVLookUP(ROW(行数!B32),配列!$C$9,利用時間_シフト,4,1)</f>
        <v>#NAME?</v>
      </c>
      <c r="G40" s="91" t="e">
        <f ca="1">IF(F40="","",SUM(INDEX(利用時間_シフト,[0]!CSVChoose(ROW(行数!A32),配列!$C$8),5):INDEX(利用時間_シフト,[0]!CSVChoose(ROW(行数!A32),配列!$C$9),5)))</f>
        <v>#NAME?</v>
      </c>
      <c r="H40" s="91" t="e">
        <f ca="1">IF(F40="","",SUM(INDEX(利用時間_シフト,[0]!CSVChoose(ROW(行数!A32),配列!$C$8),6):INDEX(利用時間_シフト,[0]!CSVChoose(ROW(行数!A32),配列!$C$9),6)))</f>
        <v>#NAME?</v>
      </c>
      <c r="I40" s="103" t="e">
        <f t="shared" ca="1" si="4"/>
        <v>#NAME?</v>
      </c>
      <c r="J40" s="91" t="e">
        <f ca="1">IF(F40="","",SUM(INDEX(利用時間_シフト,[0]!CSVChoose(ROW(行数!A32),配列!$C$8),8):INDEX(利用時間_シフト,[0]!CSVChoose(ROW(行数!A32),配列!$C$9),8)))</f>
        <v>#NAME?</v>
      </c>
      <c r="K40" s="104" t="e">
        <f ca="1">IF(F40="","",SUM(INDEX(利用時間_シフト,[0]!CSVChoose(ROW(行数!A32),配列!$C$8),9):INDEX(利用時間_シフト,[0]!CSVChoose(ROW(行数!A32),配列!$C$9),9)))</f>
        <v>#NAME?</v>
      </c>
      <c r="L40" s="91" t="e">
        <f ca="1">IF(F40="","",SUM(INDEX(利用時間_シフト,[0]!CSVChoose(ROW(行数!A32),配列!$C$8),10):INDEX(利用時間_シフト,[0]!CSVChoose(ROW(行数!A32),配列!$C$9),10)))</f>
        <v>#NAME?</v>
      </c>
      <c r="M40" s="93" t="e">
        <f ca="1">IF(F40="","",SUM(INDEX(利用時間_シフト,[0]!CSVChoose(ROW(行数!A32),配列!$C$8),11):INDEX(利用時間_シフト,[0]!CSVChoose(ROW(行数!A32),配列!$C$9),11)))</f>
        <v>#NAME?</v>
      </c>
      <c r="N40" s="91" t="e">
        <f t="shared" ca="1" si="5"/>
        <v>#NAME?</v>
      </c>
      <c r="O40" s="92" t="e">
        <f ca="1">[0]!CSVVLookUP(ROW(行数!A32),配列!$C$5,運転予定時間,7,1)</f>
        <v>#NAME?</v>
      </c>
      <c r="P40" s="253"/>
      <c r="Q40" s="254"/>
      <c r="R40" s="255"/>
      <c r="S40" s="254"/>
      <c r="T40" s="78"/>
      <c r="U40" s="186"/>
      <c r="W40" s="166" t="e">
        <f ca="1">[0]!CSVVLookUP(ROW(行数!A32),配列!$C$5,運転予定時間,5,1)</f>
        <v>#NAME?</v>
      </c>
      <c r="Y40" s="92" t="e">
        <f t="shared" ca="1" si="7"/>
        <v>#NAME?</v>
      </c>
      <c r="Z40" s="252"/>
      <c r="AA40" s="251"/>
      <c r="AB40" s="252"/>
      <c r="AC40" s="251"/>
    </row>
    <row r="41" spans="2:29" x14ac:dyDescent="0.2">
      <c r="B41" s="93" t="e">
        <f t="shared" ref="B41:B72" ca="1" si="8">IF(C41="","",VLOOKUP(C41,ユニット判定用,3))</f>
        <v>#NAME?</v>
      </c>
      <c r="C41" s="90" t="e">
        <f ca="1">[0]!CSVVLookUP(ROW(行数!A33),配列!$C$5,運転予定時間,3,1)</f>
        <v>#NAME?</v>
      </c>
      <c r="D41" s="90" t="e">
        <f ca="1">[0]!CSVVLookUP(ROW(行数!B33),配列!$C$5,運転予定時間,4,1)</f>
        <v>#NAME?</v>
      </c>
      <c r="E41" s="90" t="e">
        <f ca="1">[0]!CSVVLookUP(ROW(行数!B33),配列!$C$8,利用時間_シフト,3,1)</f>
        <v>#NAME?</v>
      </c>
      <c r="F41" s="90" t="e">
        <f ca="1">[0]!CSVVLookUP(ROW(行数!B33),配列!$C$9,利用時間_シフト,4,1)</f>
        <v>#NAME?</v>
      </c>
      <c r="G41" s="91" t="e">
        <f ca="1">IF(F41="","",SUM(INDEX(利用時間_シフト,[0]!CSVChoose(ROW(行数!A33),配列!$C$8),5):INDEX(利用時間_シフト,[0]!CSVChoose(ROW(行数!A33),配列!$C$9),5)))</f>
        <v>#NAME?</v>
      </c>
      <c r="H41" s="91" t="e">
        <f ca="1">IF(F41="","",SUM(INDEX(利用時間_シフト,[0]!CSVChoose(ROW(行数!A33),配列!$C$8),6):INDEX(利用時間_シフト,[0]!CSVChoose(ROW(行数!A33),配列!$C$9),6)))</f>
        <v>#NAME?</v>
      </c>
      <c r="I41" s="103" t="e">
        <f t="shared" ref="I41:I72" ca="1" si="9">IF(E41="","",H41/G41)</f>
        <v>#NAME?</v>
      </c>
      <c r="J41" s="91" t="e">
        <f ca="1">IF(F41="","",SUM(INDEX(利用時間_シフト,[0]!CSVChoose(ROW(行数!A33),配列!$C$8),8):INDEX(利用時間_シフト,[0]!CSVChoose(ROW(行数!A33),配列!$C$9),8)))</f>
        <v>#NAME?</v>
      </c>
      <c r="K41" s="104" t="e">
        <f ca="1">IF(F41="","",SUM(INDEX(利用時間_シフト,[0]!CSVChoose(ROW(行数!A33),配列!$C$8),9):INDEX(利用時間_シフト,[0]!CSVChoose(ROW(行数!A33),配列!$C$9),9)))</f>
        <v>#NAME?</v>
      </c>
      <c r="L41" s="91" t="e">
        <f ca="1">IF(F41="","",SUM(INDEX(利用時間_シフト,[0]!CSVChoose(ROW(行数!A33),配列!$C$8),10):INDEX(利用時間_シフト,[0]!CSVChoose(ROW(行数!A33),配列!$C$9),10)))</f>
        <v>#NAME?</v>
      </c>
      <c r="M41" s="93" t="e">
        <f ca="1">IF(F41="","",SUM(INDEX(利用時間_シフト,[0]!CSVChoose(ROW(行数!A33),配列!$C$8),11):INDEX(利用時間_シフト,[0]!CSVChoose(ROW(行数!A33),配列!$C$9),11)))</f>
        <v>#NAME?</v>
      </c>
      <c r="N41" s="91" t="e">
        <f ca="1">IF(F41="","",MROUND(G41/(M41+1),"00:01"))</f>
        <v>#NAME?</v>
      </c>
      <c r="O41" s="92" t="e">
        <f ca="1">[0]!CSVVLookUP(ROW(行数!A33),配列!$C$5,運転予定時間,7,1)</f>
        <v>#NAME?</v>
      </c>
      <c r="P41" s="253"/>
      <c r="Q41" s="254"/>
      <c r="R41" s="255"/>
      <c r="S41" s="254"/>
      <c r="T41" s="78"/>
      <c r="U41" s="186"/>
      <c r="W41" s="166" t="e">
        <f ca="1">[0]!CSVVLookUP(ROW(行数!A33),配列!$C$5,運転予定時間,5,1)</f>
        <v>#NAME?</v>
      </c>
      <c r="Y41" s="92" t="e">
        <f t="shared" ca="1" si="7"/>
        <v>#NAME?</v>
      </c>
      <c r="Z41" s="252"/>
      <c r="AA41" s="251"/>
      <c r="AB41" s="252"/>
      <c r="AC41" s="251"/>
    </row>
    <row r="42" spans="2:29" x14ac:dyDescent="0.2">
      <c r="B42" s="93" t="e">
        <f t="shared" ca="1" si="8"/>
        <v>#NAME?</v>
      </c>
      <c r="C42" s="90" t="e">
        <f ca="1">[0]!CSVVLookUP(ROW(行数!A34),配列!$C$5,運転予定時間,3,1)</f>
        <v>#NAME?</v>
      </c>
      <c r="D42" s="90" t="e">
        <f ca="1">[0]!CSVVLookUP(ROW(行数!B34),配列!$C$5,運転予定時間,4,1)</f>
        <v>#NAME?</v>
      </c>
      <c r="E42" s="90" t="e">
        <f ca="1">[0]!CSVVLookUP(ROW(行数!B34),配列!$C$8,利用時間_シフト,3,1)</f>
        <v>#NAME?</v>
      </c>
      <c r="F42" s="90" t="e">
        <f ca="1">[0]!CSVVLookUP(ROW(行数!B34),配列!$C$9,利用時間_シフト,4,1)</f>
        <v>#NAME?</v>
      </c>
      <c r="G42" s="91" t="e">
        <f ca="1">IF(F42="","",SUM(INDEX(利用時間_シフト,[0]!CSVChoose(ROW(行数!A34),配列!$C$8),5):INDEX(利用時間_シフト,[0]!CSVChoose(ROW(行数!A34),配列!$C$9),5)))</f>
        <v>#NAME?</v>
      </c>
      <c r="H42" s="91" t="e">
        <f ca="1">IF(F42="","",SUM(INDEX(利用時間_シフト,[0]!CSVChoose(ROW(行数!A34),配列!$C$8),6):INDEX(利用時間_シフト,[0]!CSVChoose(ROW(行数!A34),配列!$C$9),6)))</f>
        <v>#NAME?</v>
      </c>
      <c r="I42" s="103" t="e">
        <f t="shared" ca="1" si="9"/>
        <v>#NAME?</v>
      </c>
      <c r="J42" s="91" t="e">
        <f ca="1">IF(F42="","",SUM(INDEX(利用時間_シフト,[0]!CSVChoose(ROW(行数!A34),配列!$C$8),8):INDEX(利用時間_シフト,[0]!CSVChoose(ROW(行数!A34),配列!$C$9),8)))</f>
        <v>#NAME?</v>
      </c>
      <c r="K42" s="104" t="e">
        <f ca="1">IF(F42="","",SUM(INDEX(利用時間_シフト,[0]!CSVChoose(ROW(行数!A34),配列!$C$8),9):INDEX(利用時間_シフト,[0]!CSVChoose(ROW(行数!A34),配列!$C$9),9)))</f>
        <v>#NAME?</v>
      </c>
      <c r="L42" s="91" t="e">
        <f ca="1">IF(F42="","",SUM(INDEX(利用時間_シフト,[0]!CSVChoose(ROW(行数!A34),配列!$C$8),10):INDEX(利用時間_シフト,[0]!CSVChoose(ROW(行数!A34),配列!$C$9),10)))</f>
        <v>#NAME?</v>
      </c>
      <c r="M42" s="93" t="e">
        <f ca="1">IF(F42="","",SUM(INDEX(利用時間_シフト,[0]!CSVChoose(ROW(行数!A34),配列!$C$8),11):INDEX(利用時間_シフト,[0]!CSVChoose(ROW(行数!A34),配列!$C$9),11)))</f>
        <v>#NAME?</v>
      </c>
      <c r="N42" s="91" t="e">
        <f t="shared" ref="N42:N72" ca="1" si="10">IF(F42="","",MROUND(G42/(M42+1),"00:01"))</f>
        <v>#NAME?</v>
      </c>
      <c r="O42" s="92" t="e">
        <f ca="1">[0]!CSVVLookUP(ROW(行数!A34),配列!$C$5,運転予定時間,7,1)</f>
        <v>#NAME?</v>
      </c>
      <c r="P42" s="253"/>
      <c r="Q42" s="254"/>
      <c r="R42" s="255"/>
      <c r="S42" s="254"/>
      <c r="T42" s="78"/>
      <c r="U42" s="186"/>
      <c r="W42" s="166" t="e">
        <f ca="1">[0]!CSVVLookUP(ROW(行数!A34),配列!$C$5,運転予定時間,5,1)</f>
        <v>#NAME?</v>
      </c>
      <c r="Y42" s="92" t="e">
        <f t="shared" ca="1" si="7"/>
        <v>#NAME?</v>
      </c>
      <c r="Z42" s="252"/>
      <c r="AA42" s="251"/>
      <c r="AB42" s="252"/>
      <c r="AC42" s="251"/>
    </row>
    <row r="43" spans="2:29" x14ac:dyDescent="0.2">
      <c r="B43" s="93" t="e">
        <f t="shared" ca="1" si="8"/>
        <v>#NAME?</v>
      </c>
      <c r="C43" s="90" t="e">
        <f ca="1">[0]!CSVVLookUP(ROW(行数!A35),配列!$C$5,運転予定時間,3,1)</f>
        <v>#NAME?</v>
      </c>
      <c r="D43" s="90" t="e">
        <f ca="1">[0]!CSVVLookUP(ROW(行数!B35),配列!$C$5,運転予定時間,4,1)</f>
        <v>#NAME?</v>
      </c>
      <c r="E43" s="90" t="e">
        <f ca="1">[0]!CSVVLookUP(ROW(行数!B35),配列!$C$8,利用時間_シフト,3,1)</f>
        <v>#NAME?</v>
      </c>
      <c r="F43" s="90" t="e">
        <f ca="1">[0]!CSVVLookUP(ROW(行数!B35),配列!$C$9,利用時間_シフト,4,1)</f>
        <v>#NAME?</v>
      </c>
      <c r="G43" s="91" t="e">
        <f ca="1">IF(F43="","",SUM(INDEX(利用時間_シフト,[0]!CSVChoose(ROW(行数!A35),配列!$C$8),5):INDEX(利用時間_シフト,[0]!CSVChoose(ROW(行数!A35),配列!$C$9),5)))</f>
        <v>#NAME?</v>
      </c>
      <c r="H43" s="91" t="e">
        <f ca="1">IF(F43="","",SUM(INDEX(利用時間_シフト,[0]!CSVChoose(ROW(行数!A35),配列!$C$8),6):INDEX(利用時間_シフト,[0]!CSVChoose(ROW(行数!A35),配列!$C$9),6)))</f>
        <v>#NAME?</v>
      </c>
      <c r="I43" s="103" t="e">
        <f t="shared" ca="1" si="9"/>
        <v>#NAME?</v>
      </c>
      <c r="J43" s="91" t="e">
        <f ca="1">IF(F43="","",SUM(INDEX(利用時間_シフト,[0]!CSVChoose(ROW(行数!A35),配列!$C$8),8):INDEX(利用時間_シフト,[0]!CSVChoose(ROW(行数!A35),配列!$C$9),8)))</f>
        <v>#NAME?</v>
      </c>
      <c r="K43" s="104" t="e">
        <f ca="1">IF(F43="","",SUM(INDEX(利用時間_シフト,[0]!CSVChoose(ROW(行数!A35),配列!$C$8),9):INDEX(利用時間_シフト,[0]!CSVChoose(ROW(行数!A35),配列!$C$9),9)))</f>
        <v>#NAME?</v>
      </c>
      <c r="L43" s="91" t="e">
        <f ca="1">IF(F43="","",SUM(INDEX(利用時間_シフト,[0]!CSVChoose(ROW(行数!A35),配列!$C$8),10):INDEX(利用時間_シフト,[0]!CSVChoose(ROW(行数!A35),配列!$C$9),10)))</f>
        <v>#NAME?</v>
      </c>
      <c r="M43" s="93" t="e">
        <f ca="1">IF(F43="","",SUM(INDEX(利用時間_シフト,[0]!CSVChoose(ROW(行数!A35),配列!$C$8),11):INDEX(利用時間_シフト,[0]!CSVChoose(ROW(行数!A35),配列!$C$9),11)))</f>
        <v>#NAME?</v>
      </c>
      <c r="N43" s="91" t="e">
        <f t="shared" ca="1" si="10"/>
        <v>#NAME?</v>
      </c>
      <c r="O43" s="92" t="e">
        <f ca="1">[0]!CSVVLookUP(ROW(行数!A35),配列!$C$5,運転予定時間,7,1)</f>
        <v>#NAME?</v>
      </c>
      <c r="P43" s="253"/>
      <c r="Q43" s="254"/>
      <c r="R43" s="255"/>
      <c r="S43" s="254"/>
      <c r="T43" s="78"/>
      <c r="U43" s="186"/>
      <c r="W43" s="166" t="e">
        <f ca="1">[0]!CSVVLookUP(ROW(行数!A35),配列!$C$5,運転予定時間,5,1)</f>
        <v>#NAME?</v>
      </c>
      <c r="Y43" s="92" t="e">
        <f t="shared" ca="1" si="7"/>
        <v>#NAME?</v>
      </c>
      <c r="Z43" s="252"/>
      <c r="AA43" s="251"/>
      <c r="AB43" s="252"/>
      <c r="AC43" s="251"/>
    </row>
    <row r="44" spans="2:29" x14ac:dyDescent="0.2">
      <c r="B44" s="93" t="e">
        <f t="shared" ca="1" si="8"/>
        <v>#NAME?</v>
      </c>
      <c r="C44" s="90" t="e">
        <f ca="1">[0]!CSVVLookUP(ROW(行数!A36),配列!$C$5,運転予定時間,3,1)</f>
        <v>#NAME?</v>
      </c>
      <c r="D44" s="90" t="e">
        <f ca="1">[0]!CSVVLookUP(ROW(行数!B36),配列!$C$5,運転予定時間,4,1)</f>
        <v>#NAME?</v>
      </c>
      <c r="E44" s="90" t="e">
        <f ca="1">[0]!CSVVLookUP(ROW(行数!B36),配列!$C$8,利用時間_シフト,3,1)</f>
        <v>#NAME?</v>
      </c>
      <c r="F44" s="90" t="e">
        <f ca="1">[0]!CSVVLookUP(ROW(行数!B36),配列!$C$9,利用時間_シフト,4,1)</f>
        <v>#NAME?</v>
      </c>
      <c r="G44" s="91" t="e">
        <f ca="1">IF(F44="","",SUM(INDEX(利用時間_シフト,[0]!CSVChoose(ROW(行数!A36),配列!$C$8),5):INDEX(利用時間_シフト,[0]!CSVChoose(ROW(行数!A36),配列!$C$9),5)))</f>
        <v>#NAME?</v>
      </c>
      <c r="H44" s="91" t="e">
        <f ca="1">IF(F44="","",SUM(INDEX(利用時間_シフト,[0]!CSVChoose(ROW(行数!A36),配列!$C$8),6):INDEX(利用時間_シフト,[0]!CSVChoose(ROW(行数!A36),配列!$C$9),6)))</f>
        <v>#NAME?</v>
      </c>
      <c r="I44" s="103" t="e">
        <f t="shared" ca="1" si="9"/>
        <v>#NAME?</v>
      </c>
      <c r="J44" s="91" t="e">
        <f ca="1">IF(F44="","",SUM(INDEX(利用時間_シフト,[0]!CSVChoose(ROW(行数!A36),配列!$C$8),8):INDEX(利用時間_シフト,[0]!CSVChoose(ROW(行数!A36),配列!$C$9),8)))</f>
        <v>#NAME?</v>
      </c>
      <c r="K44" s="104" t="e">
        <f ca="1">IF(F44="","",SUM(INDEX(利用時間_シフト,[0]!CSVChoose(ROW(行数!A36),配列!$C$8),9):INDEX(利用時間_シフト,[0]!CSVChoose(ROW(行数!A36),配列!$C$9),9)))</f>
        <v>#NAME?</v>
      </c>
      <c r="L44" s="91" t="e">
        <f ca="1">IF(F44="","",SUM(INDEX(利用時間_シフト,[0]!CSVChoose(ROW(行数!A36),配列!$C$8),10):INDEX(利用時間_シフト,[0]!CSVChoose(ROW(行数!A36),配列!$C$9),10)))</f>
        <v>#NAME?</v>
      </c>
      <c r="M44" s="93" t="e">
        <f ca="1">IF(F44="","",SUM(INDEX(利用時間_シフト,[0]!CSVChoose(ROW(行数!A36),配列!$C$8),11):INDEX(利用時間_シフト,[0]!CSVChoose(ROW(行数!A36),配列!$C$9),11)))</f>
        <v>#NAME?</v>
      </c>
      <c r="N44" s="91" t="e">
        <f t="shared" ca="1" si="10"/>
        <v>#NAME?</v>
      </c>
      <c r="O44" s="92" t="e">
        <f ca="1">[0]!CSVVLookUP(ROW(行数!A36),配列!$C$5,運転予定時間,7,1)</f>
        <v>#NAME?</v>
      </c>
      <c r="P44" s="253"/>
      <c r="Q44" s="254"/>
      <c r="R44" s="255"/>
      <c r="S44" s="254"/>
      <c r="T44" s="78"/>
      <c r="U44" s="186"/>
      <c r="W44" s="166" t="e">
        <f ca="1">[0]!CSVVLookUP(ROW(行数!A36),配列!$C$5,運転予定時間,5,1)</f>
        <v>#NAME?</v>
      </c>
      <c r="Y44" s="92" t="e">
        <f t="shared" ca="1" si="7"/>
        <v>#NAME?</v>
      </c>
      <c r="Z44" s="252"/>
      <c r="AA44" s="251"/>
      <c r="AB44" s="252"/>
      <c r="AC44" s="251"/>
    </row>
    <row r="45" spans="2:29" x14ac:dyDescent="0.2">
      <c r="B45" s="93" t="e">
        <f t="shared" ca="1" si="8"/>
        <v>#NAME?</v>
      </c>
      <c r="C45" s="90" t="e">
        <f ca="1">[0]!CSVVLookUP(ROW(行数!A37),配列!$C$5,運転予定時間,3,1)</f>
        <v>#NAME?</v>
      </c>
      <c r="D45" s="90" t="e">
        <f ca="1">[0]!CSVVLookUP(ROW(行数!B37),配列!$C$5,運転予定時間,4,1)</f>
        <v>#NAME?</v>
      </c>
      <c r="E45" s="90" t="e">
        <f ca="1">[0]!CSVVLookUP(ROW(行数!B37),配列!$C$8,利用時間_シフト,3,1)</f>
        <v>#NAME?</v>
      </c>
      <c r="F45" s="90" t="e">
        <f ca="1">[0]!CSVVLookUP(ROW(行数!B37),配列!$C$9,利用時間_シフト,4,1)</f>
        <v>#NAME?</v>
      </c>
      <c r="G45" s="91" t="e">
        <f ca="1">IF(F45="","",SUM(INDEX(利用時間_シフト,[0]!CSVChoose(ROW(行数!A37),配列!$C$8),5):INDEX(利用時間_シフト,[0]!CSVChoose(ROW(行数!A37),配列!$C$9),5)))</f>
        <v>#NAME?</v>
      </c>
      <c r="H45" s="91" t="e">
        <f ca="1">IF(F45="","",SUM(INDEX(利用時間_シフト,[0]!CSVChoose(ROW(行数!A37),配列!$C$8),6):INDEX(利用時間_シフト,[0]!CSVChoose(ROW(行数!A37),配列!$C$9),6)))</f>
        <v>#NAME?</v>
      </c>
      <c r="I45" s="103" t="e">
        <f t="shared" ca="1" si="9"/>
        <v>#NAME?</v>
      </c>
      <c r="J45" s="91" t="e">
        <f ca="1">IF(F45="","",SUM(INDEX(利用時間_シフト,[0]!CSVChoose(ROW(行数!A37),配列!$C$8),8):INDEX(利用時間_シフト,[0]!CSVChoose(ROW(行数!A37),配列!$C$9),8)))</f>
        <v>#NAME?</v>
      </c>
      <c r="K45" s="104" t="e">
        <f ca="1">IF(F45="","",SUM(INDEX(利用時間_シフト,[0]!CSVChoose(ROW(行数!A37),配列!$C$8),9):INDEX(利用時間_シフト,[0]!CSVChoose(ROW(行数!A37),配列!$C$9),9)))</f>
        <v>#NAME?</v>
      </c>
      <c r="L45" s="91" t="e">
        <f ca="1">IF(F45="","",SUM(INDEX(利用時間_シフト,[0]!CSVChoose(ROW(行数!A37),配列!$C$8),10):INDEX(利用時間_シフト,[0]!CSVChoose(ROW(行数!A37),配列!$C$9),10)))</f>
        <v>#NAME?</v>
      </c>
      <c r="M45" s="93" t="e">
        <f ca="1">IF(F45="","",SUM(INDEX(利用時間_シフト,[0]!CSVChoose(ROW(行数!A37),配列!$C$8),11):INDEX(利用時間_シフト,[0]!CSVChoose(ROW(行数!A37),配列!$C$9),11)))</f>
        <v>#NAME?</v>
      </c>
      <c r="N45" s="91" t="e">
        <f t="shared" ca="1" si="10"/>
        <v>#NAME?</v>
      </c>
      <c r="O45" s="92" t="e">
        <f ca="1">[0]!CSVVLookUP(ROW(行数!A37),配列!$C$5,運転予定時間,7,1)</f>
        <v>#NAME?</v>
      </c>
      <c r="P45" s="253"/>
      <c r="Q45" s="254"/>
      <c r="R45" s="255"/>
      <c r="S45" s="254"/>
      <c r="T45" s="78"/>
      <c r="U45" s="186"/>
      <c r="W45" s="166" t="e">
        <f ca="1">[0]!CSVVLookUP(ROW(行数!A37),配列!$C$5,運転予定時間,5,1)</f>
        <v>#NAME?</v>
      </c>
      <c r="Y45" s="92" t="e">
        <f t="shared" ca="1" si="7"/>
        <v>#NAME?</v>
      </c>
      <c r="Z45" s="252"/>
      <c r="AA45" s="251"/>
      <c r="AB45" s="252"/>
      <c r="AC45" s="251"/>
    </row>
    <row r="46" spans="2:29" x14ac:dyDescent="0.2">
      <c r="B46" s="93" t="e">
        <f t="shared" ca="1" si="8"/>
        <v>#NAME?</v>
      </c>
      <c r="C46" s="90" t="e">
        <f ca="1">[0]!CSVVLookUP(ROW(行数!A38),配列!$C$5,運転予定時間,3,1)</f>
        <v>#NAME?</v>
      </c>
      <c r="D46" s="90" t="e">
        <f ca="1">[0]!CSVVLookUP(ROW(行数!B38),配列!$C$5,運転予定時間,4,1)</f>
        <v>#NAME?</v>
      </c>
      <c r="E46" s="90" t="e">
        <f ca="1">[0]!CSVVLookUP(ROW(行数!B38),配列!$C$8,利用時間_シフト,3,1)</f>
        <v>#NAME?</v>
      </c>
      <c r="F46" s="90" t="e">
        <f ca="1">[0]!CSVVLookUP(ROW(行数!B38),配列!$C$9,利用時間_シフト,4,1)</f>
        <v>#NAME?</v>
      </c>
      <c r="G46" s="91" t="e">
        <f ca="1">IF(F46="","",SUM(INDEX(利用時間_シフト,[0]!CSVChoose(ROW(行数!A38),配列!$C$8),5):INDEX(利用時間_シフト,[0]!CSVChoose(ROW(行数!A38),配列!$C$9),5)))</f>
        <v>#NAME?</v>
      </c>
      <c r="H46" s="91" t="e">
        <f ca="1">IF(F46="","",SUM(INDEX(利用時間_シフト,[0]!CSVChoose(ROW(行数!A38),配列!$C$8),6):INDEX(利用時間_シフト,[0]!CSVChoose(ROW(行数!A38),配列!$C$9),6)))</f>
        <v>#NAME?</v>
      </c>
      <c r="I46" s="103" t="e">
        <f t="shared" ca="1" si="9"/>
        <v>#NAME?</v>
      </c>
      <c r="J46" s="91" t="e">
        <f ca="1">IF(F46="","",SUM(INDEX(利用時間_シフト,[0]!CSVChoose(ROW(行数!A38),配列!$C$8),8):INDEX(利用時間_シフト,[0]!CSVChoose(ROW(行数!A38),配列!$C$9),8)))</f>
        <v>#NAME?</v>
      </c>
      <c r="K46" s="104" t="e">
        <f ca="1">IF(F46="","",SUM(INDEX(利用時間_シフト,[0]!CSVChoose(ROW(行数!A38),配列!$C$8),9):INDEX(利用時間_シフト,[0]!CSVChoose(ROW(行数!A38),配列!$C$9),9)))</f>
        <v>#NAME?</v>
      </c>
      <c r="L46" s="91" t="e">
        <f ca="1">IF(F46="","",SUM(INDEX(利用時間_シフト,[0]!CSVChoose(ROW(行数!A38),配列!$C$8),10):INDEX(利用時間_シフト,[0]!CSVChoose(ROW(行数!A38),配列!$C$9),10)))</f>
        <v>#NAME?</v>
      </c>
      <c r="M46" s="93" t="e">
        <f ca="1">IF(F46="","",SUM(INDEX(利用時間_シフト,[0]!CSVChoose(ROW(行数!A38),配列!$C$8),11):INDEX(利用時間_シフト,[0]!CSVChoose(ROW(行数!A38),配列!$C$9),11)))</f>
        <v>#NAME?</v>
      </c>
      <c r="N46" s="91" t="e">
        <f t="shared" ca="1" si="10"/>
        <v>#NAME?</v>
      </c>
      <c r="O46" s="92" t="e">
        <f ca="1">[0]!CSVVLookUP(ROW(行数!A38),配列!$C$5,運転予定時間,7,1)</f>
        <v>#NAME?</v>
      </c>
      <c r="P46" s="253"/>
      <c r="Q46" s="254"/>
      <c r="R46" s="255"/>
      <c r="S46" s="254"/>
      <c r="T46" s="78"/>
      <c r="U46" s="186"/>
      <c r="W46" s="166" t="e">
        <f ca="1">[0]!CSVVLookUP(ROW(行数!A38),配列!$C$5,運転予定時間,5,1)</f>
        <v>#NAME?</v>
      </c>
      <c r="Y46" s="92" t="e">
        <f t="shared" ca="1" si="7"/>
        <v>#NAME?</v>
      </c>
      <c r="Z46" s="252"/>
      <c r="AA46" s="251"/>
      <c r="AB46" s="252"/>
      <c r="AC46" s="251"/>
    </row>
    <row r="47" spans="2:29" x14ac:dyDescent="0.2">
      <c r="B47" s="93" t="e">
        <f t="shared" ca="1" si="8"/>
        <v>#NAME?</v>
      </c>
      <c r="C47" s="90" t="e">
        <f ca="1">[0]!CSVVLookUP(ROW(行数!A39),配列!$C$5,運転予定時間,3,1)</f>
        <v>#NAME?</v>
      </c>
      <c r="D47" s="90" t="e">
        <f ca="1">[0]!CSVVLookUP(ROW(行数!B39),配列!$C$5,運転予定時間,4,1)</f>
        <v>#NAME?</v>
      </c>
      <c r="E47" s="90" t="e">
        <f ca="1">[0]!CSVVLookUP(ROW(行数!B39),配列!$C$8,利用時間_シフト,3,1)</f>
        <v>#NAME?</v>
      </c>
      <c r="F47" s="90" t="e">
        <f ca="1">[0]!CSVVLookUP(ROW(行数!B39),配列!$C$9,利用時間_シフト,4,1)</f>
        <v>#NAME?</v>
      </c>
      <c r="G47" s="91" t="e">
        <f ca="1">IF(F47="","",SUM(INDEX(利用時間_シフト,[0]!CSVChoose(ROW(行数!A39),配列!$C$8),5):INDEX(利用時間_シフト,[0]!CSVChoose(ROW(行数!A39),配列!$C$9),5)))</f>
        <v>#NAME?</v>
      </c>
      <c r="H47" s="91" t="e">
        <f ca="1">IF(F47="","",SUM(INDEX(利用時間_シフト,[0]!CSVChoose(ROW(行数!A39),配列!$C$8),6):INDEX(利用時間_シフト,[0]!CSVChoose(ROW(行数!A39),配列!$C$9),6)))</f>
        <v>#NAME?</v>
      </c>
      <c r="I47" s="103" t="e">
        <f t="shared" ca="1" si="9"/>
        <v>#NAME?</v>
      </c>
      <c r="J47" s="91" t="e">
        <f ca="1">IF(F47="","",SUM(INDEX(利用時間_シフト,[0]!CSVChoose(ROW(行数!A39),配列!$C$8),8):INDEX(利用時間_シフト,[0]!CSVChoose(ROW(行数!A39),配列!$C$9),8)))</f>
        <v>#NAME?</v>
      </c>
      <c r="K47" s="104" t="e">
        <f ca="1">IF(F47="","",SUM(INDEX(利用時間_シフト,[0]!CSVChoose(ROW(行数!A39),配列!$C$8),9):INDEX(利用時間_シフト,[0]!CSVChoose(ROW(行数!A39),配列!$C$9),9)))</f>
        <v>#NAME?</v>
      </c>
      <c r="L47" s="91" t="e">
        <f ca="1">IF(F47="","",SUM(INDEX(利用時間_シフト,[0]!CSVChoose(ROW(行数!A39),配列!$C$8),10):INDEX(利用時間_シフト,[0]!CSVChoose(ROW(行数!A39),配列!$C$9),10)))</f>
        <v>#NAME?</v>
      </c>
      <c r="M47" s="93" t="e">
        <f ca="1">IF(F47="","",SUM(INDEX(利用時間_シフト,[0]!CSVChoose(ROW(行数!A39),配列!$C$8),11):INDEX(利用時間_シフト,[0]!CSVChoose(ROW(行数!A39),配列!$C$9),11)))</f>
        <v>#NAME?</v>
      </c>
      <c r="N47" s="91" t="e">
        <f t="shared" ca="1" si="10"/>
        <v>#NAME?</v>
      </c>
      <c r="O47" s="92" t="e">
        <f ca="1">[0]!CSVVLookUP(ROW(行数!A39),配列!$C$5,運転予定時間,7,1)</f>
        <v>#NAME?</v>
      </c>
      <c r="P47" s="253"/>
      <c r="Q47" s="254"/>
      <c r="R47" s="255"/>
      <c r="S47" s="254"/>
      <c r="T47" s="78"/>
      <c r="U47" s="186"/>
      <c r="W47" s="166" t="e">
        <f ca="1">[0]!CSVVLookUP(ROW(行数!A39),配列!$C$5,運転予定時間,5,1)</f>
        <v>#NAME?</v>
      </c>
      <c r="Y47" s="92" t="e">
        <f t="shared" ca="1" si="7"/>
        <v>#NAME?</v>
      </c>
      <c r="Z47" s="252"/>
      <c r="AA47" s="251"/>
      <c r="AB47" s="252"/>
      <c r="AC47" s="251"/>
    </row>
    <row r="48" spans="2:29" x14ac:dyDescent="0.2">
      <c r="B48" s="93" t="e">
        <f t="shared" ca="1" si="8"/>
        <v>#NAME?</v>
      </c>
      <c r="C48" s="90" t="e">
        <f ca="1">[0]!CSVVLookUP(ROW(行数!A40),配列!$C$5,運転予定時間,3,1)</f>
        <v>#NAME?</v>
      </c>
      <c r="D48" s="90" t="e">
        <f ca="1">[0]!CSVVLookUP(ROW(行数!B40),配列!$C$5,運転予定時間,4,1)</f>
        <v>#NAME?</v>
      </c>
      <c r="E48" s="90" t="e">
        <f ca="1">[0]!CSVVLookUP(ROW(行数!B40),配列!$C$8,利用時間_シフト,3,1)</f>
        <v>#NAME?</v>
      </c>
      <c r="F48" s="90" t="e">
        <f ca="1">[0]!CSVVLookUP(ROW(行数!B40),配列!$C$9,利用時間_シフト,4,1)</f>
        <v>#NAME?</v>
      </c>
      <c r="G48" s="91" t="e">
        <f ca="1">IF(F48="","",SUM(INDEX(利用時間_シフト,[0]!CSVChoose(ROW(行数!A40),配列!$C$8),5):INDEX(利用時間_シフト,[0]!CSVChoose(ROW(行数!A40),配列!$C$9),5)))</f>
        <v>#NAME?</v>
      </c>
      <c r="H48" s="91" t="e">
        <f ca="1">IF(F48="","",SUM(INDEX(利用時間_シフト,[0]!CSVChoose(ROW(行数!A40),配列!$C$8),6):INDEX(利用時間_シフト,[0]!CSVChoose(ROW(行数!A40),配列!$C$9),6)))</f>
        <v>#NAME?</v>
      </c>
      <c r="I48" s="103" t="e">
        <f t="shared" ca="1" si="9"/>
        <v>#NAME?</v>
      </c>
      <c r="J48" s="91" t="e">
        <f ca="1">IF(F48="","",SUM(INDEX(利用時間_シフト,[0]!CSVChoose(ROW(行数!A40),配列!$C$8),8):INDEX(利用時間_シフト,[0]!CSVChoose(ROW(行数!A40),配列!$C$9),8)))</f>
        <v>#NAME?</v>
      </c>
      <c r="K48" s="104" t="e">
        <f ca="1">IF(F48="","",SUM(INDEX(利用時間_シフト,[0]!CSVChoose(ROW(行数!A40),配列!$C$8),9):INDEX(利用時間_シフト,[0]!CSVChoose(ROW(行数!A40),配列!$C$9),9)))</f>
        <v>#NAME?</v>
      </c>
      <c r="L48" s="91" t="e">
        <f ca="1">IF(F48="","",SUM(INDEX(利用時間_シフト,[0]!CSVChoose(ROW(行数!A40),配列!$C$8),10):INDEX(利用時間_シフト,[0]!CSVChoose(ROW(行数!A40),配列!$C$9),10)))</f>
        <v>#NAME?</v>
      </c>
      <c r="M48" s="93" t="e">
        <f ca="1">IF(F48="","",SUM(INDEX(利用時間_シフト,[0]!CSVChoose(ROW(行数!A40),配列!$C$8),11):INDEX(利用時間_シフト,[0]!CSVChoose(ROW(行数!A40),配列!$C$9),11)))</f>
        <v>#NAME?</v>
      </c>
      <c r="N48" s="91" t="e">
        <f t="shared" ca="1" si="10"/>
        <v>#NAME?</v>
      </c>
      <c r="O48" s="92" t="e">
        <f ca="1">[0]!CSVVLookUP(ROW(行数!A40),配列!$C$5,運転予定時間,7,1)</f>
        <v>#NAME?</v>
      </c>
      <c r="P48" s="253"/>
      <c r="Q48" s="254"/>
      <c r="R48" s="255"/>
      <c r="S48" s="254"/>
      <c r="T48" s="78"/>
      <c r="U48" s="186"/>
      <c r="W48" s="166" t="e">
        <f ca="1">[0]!CSVVLookUP(ROW(行数!A40),配列!$C$5,運転予定時間,5,1)</f>
        <v>#NAME?</v>
      </c>
      <c r="Y48" s="92" t="e">
        <f t="shared" ca="1" si="7"/>
        <v>#NAME?</v>
      </c>
      <c r="Z48" s="252"/>
      <c r="AA48" s="251"/>
      <c r="AB48" s="252"/>
      <c r="AC48" s="251"/>
    </row>
    <row r="49" spans="2:29" x14ac:dyDescent="0.2">
      <c r="B49" s="93" t="e">
        <f t="shared" ca="1" si="8"/>
        <v>#NAME?</v>
      </c>
      <c r="C49" s="90" t="e">
        <f ca="1">[0]!CSVVLookUP(ROW(行数!A41),配列!$C$5,運転予定時間,3,1)</f>
        <v>#NAME?</v>
      </c>
      <c r="D49" s="90" t="e">
        <f ca="1">[0]!CSVVLookUP(ROW(行数!B41),配列!$C$5,運転予定時間,4,1)</f>
        <v>#NAME?</v>
      </c>
      <c r="E49" s="90" t="e">
        <f ca="1">[0]!CSVVLookUP(ROW(行数!B41),配列!$C$8,利用時間_シフト,3,1)</f>
        <v>#NAME?</v>
      </c>
      <c r="F49" s="90" t="e">
        <f ca="1">[0]!CSVVLookUP(ROW(行数!B41),配列!$C$9,利用時間_シフト,4,1)</f>
        <v>#NAME?</v>
      </c>
      <c r="G49" s="91" t="e">
        <f ca="1">IF(F49="","",SUM(INDEX(利用時間_シフト,[0]!CSVChoose(ROW(行数!A41),配列!$C$8),5):INDEX(利用時間_シフト,[0]!CSVChoose(ROW(行数!A41),配列!$C$9),5)))</f>
        <v>#NAME?</v>
      </c>
      <c r="H49" s="91" t="e">
        <f ca="1">IF(F49="","",SUM(INDEX(利用時間_シフト,[0]!CSVChoose(ROW(行数!A41),配列!$C$8),6):INDEX(利用時間_シフト,[0]!CSVChoose(ROW(行数!A41),配列!$C$9),6)))</f>
        <v>#NAME?</v>
      </c>
      <c r="I49" s="103" t="e">
        <f t="shared" ca="1" si="9"/>
        <v>#NAME?</v>
      </c>
      <c r="J49" s="91" t="e">
        <f ca="1">IF(F49="","",SUM(INDEX(利用時間_シフト,[0]!CSVChoose(ROW(行数!A41),配列!$C$8),8):INDEX(利用時間_シフト,[0]!CSVChoose(ROW(行数!A41),配列!$C$9),8)))</f>
        <v>#NAME?</v>
      </c>
      <c r="K49" s="104" t="e">
        <f ca="1">IF(F49="","",SUM(INDEX(利用時間_シフト,[0]!CSVChoose(ROW(行数!A41),配列!$C$8),9):INDEX(利用時間_シフト,[0]!CSVChoose(ROW(行数!A41),配列!$C$9),9)))</f>
        <v>#NAME?</v>
      </c>
      <c r="L49" s="91" t="e">
        <f ca="1">IF(F49="","",SUM(INDEX(利用時間_シフト,[0]!CSVChoose(ROW(行数!A41),配列!$C$8),10):INDEX(利用時間_シフト,[0]!CSVChoose(ROW(行数!A41),配列!$C$9),10)))</f>
        <v>#NAME?</v>
      </c>
      <c r="M49" s="93" t="e">
        <f ca="1">IF(F49="","",SUM(INDEX(利用時間_シフト,[0]!CSVChoose(ROW(行数!A41),配列!$C$8),11):INDEX(利用時間_シフト,[0]!CSVChoose(ROW(行数!A41),配列!$C$9),11)))</f>
        <v>#NAME?</v>
      </c>
      <c r="N49" s="91" t="e">
        <f t="shared" ca="1" si="10"/>
        <v>#NAME?</v>
      </c>
      <c r="O49" s="92" t="e">
        <f ca="1">[0]!CSVVLookUP(ROW(行数!A41),配列!$C$5,運転予定時間,7,1)</f>
        <v>#NAME?</v>
      </c>
      <c r="P49" s="253"/>
      <c r="Q49" s="254"/>
      <c r="R49" s="255"/>
      <c r="S49" s="254"/>
      <c r="T49" s="78"/>
      <c r="U49" s="186"/>
      <c r="W49" s="166" t="e">
        <f ca="1">[0]!CSVVLookUP(ROW(行数!A41),配列!$C$5,運転予定時間,5,1)</f>
        <v>#NAME?</v>
      </c>
      <c r="Y49" s="92" t="e">
        <f t="shared" ca="1" si="7"/>
        <v>#NAME?</v>
      </c>
      <c r="Z49" s="252"/>
      <c r="AA49" s="251"/>
      <c r="AB49" s="252"/>
      <c r="AC49" s="251"/>
    </row>
    <row r="50" spans="2:29" x14ac:dyDescent="0.2">
      <c r="B50" s="93" t="e">
        <f t="shared" ca="1" si="8"/>
        <v>#NAME?</v>
      </c>
      <c r="C50" s="90" t="e">
        <f ca="1">[0]!CSVVLookUP(ROW(行数!A42),配列!$C$5,運転予定時間,3,1)</f>
        <v>#NAME?</v>
      </c>
      <c r="D50" s="90" t="e">
        <f ca="1">[0]!CSVVLookUP(ROW(行数!B42),配列!$C$5,運転予定時間,4,1)</f>
        <v>#NAME?</v>
      </c>
      <c r="E50" s="90" t="e">
        <f ca="1">[0]!CSVVLookUP(ROW(行数!B42),配列!$C$8,利用時間_シフト,3,1)</f>
        <v>#NAME?</v>
      </c>
      <c r="F50" s="90" t="e">
        <f ca="1">[0]!CSVVLookUP(ROW(行数!B42),配列!$C$9,利用時間_シフト,4,1)</f>
        <v>#NAME?</v>
      </c>
      <c r="G50" s="91" t="e">
        <f ca="1">IF(F50="","",SUM(INDEX(利用時間_シフト,[0]!CSVChoose(ROW(行数!A42),配列!$C$8),5):INDEX(利用時間_シフト,[0]!CSVChoose(ROW(行数!A42),配列!$C$9),5)))</f>
        <v>#NAME?</v>
      </c>
      <c r="H50" s="91" t="e">
        <f ca="1">IF(F50="","",SUM(INDEX(利用時間_シフト,[0]!CSVChoose(ROW(行数!A42),配列!$C$8),6):INDEX(利用時間_シフト,[0]!CSVChoose(ROW(行数!A42),配列!$C$9),6)))</f>
        <v>#NAME?</v>
      </c>
      <c r="I50" s="103" t="e">
        <f t="shared" ca="1" si="9"/>
        <v>#NAME?</v>
      </c>
      <c r="J50" s="91" t="e">
        <f ca="1">IF(F50="","",SUM(INDEX(利用時間_シフト,[0]!CSVChoose(ROW(行数!A42),配列!$C$8),8):INDEX(利用時間_シフト,[0]!CSVChoose(ROW(行数!A42),配列!$C$9),8)))</f>
        <v>#NAME?</v>
      </c>
      <c r="K50" s="104" t="e">
        <f ca="1">IF(F50="","",SUM(INDEX(利用時間_シフト,[0]!CSVChoose(ROW(行数!A42),配列!$C$8),9):INDEX(利用時間_シフト,[0]!CSVChoose(ROW(行数!A42),配列!$C$9),9)))</f>
        <v>#NAME?</v>
      </c>
      <c r="L50" s="91" t="e">
        <f ca="1">IF(F50="","",SUM(INDEX(利用時間_シフト,[0]!CSVChoose(ROW(行数!A42),配列!$C$8),10):INDEX(利用時間_シフト,[0]!CSVChoose(ROW(行数!A42),配列!$C$9),10)))</f>
        <v>#NAME?</v>
      </c>
      <c r="M50" s="93" t="e">
        <f ca="1">IF(F50="","",SUM(INDEX(利用時間_シフト,[0]!CSVChoose(ROW(行数!A42),配列!$C$8),11):INDEX(利用時間_シフト,[0]!CSVChoose(ROW(行数!A42),配列!$C$9),11)))</f>
        <v>#NAME?</v>
      </c>
      <c r="N50" s="91" t="e">
        <f t="shared" ca="1" si="10"/>
        <v>#NAME?</v>
      </c>
      <c r="O50" s="92" t="e">
        <f ca="1">[0]!CSVVLookUP(ROW(行数!A42),配列!$C$5,運転予定時間,7,1)</f>
        <v>#NAME?</v>
      </c>
      <c r="P50" s="253"/>
      <c r="Q50" s="254"/>
      <c r="R50" s="255"/>
      <c r="S50" s="254"/>
      <c r="T50" s="78"/>
      <c r="U50" s="186"/>
      <c r="W50" s="166" t="e">
        <f ca="1">[0]!CSVVLookUP(ROW(行数!A42),配列!$C$5,運転予定時間,5,1)</f>
        <v>#NAME?</v>
      </c>
      <c r="Y50" s="92" t="e">
        <f t="shared" ca="1" si="7"/>
        <v>#NAME?</v>
      </c>
      <c r="Z50" s="252"/>
      <c r="AA50" s="251"/>
      <c r="AB50" s="252"/>
      <c r="AC50" s="251"/>
    </row>
    <row r="51" spans="2:29" x14ac:dyDescent="0.2">
      <c r="B51" s="93" t="e">
        <f t="shared" ca="1" si="8"/>
        <v>#NAME?</v>
      </c>
      <c r="C51" s="90" t="e">
        <f ca="1">[0]!CSVVLookUP(ROW(行数!A43),配列!$C$5,運転予定時間,3,1)</f>
        <v>#NAME?</v>
      </c>
      <c r="D51" s="90" t="e">
        <f ca="1">[0]!CSVVLookUP(ROW(行数!B43),配列!$C$5,運転予定時間,4,1)</f>
        <v>#NAME?</v>
      </c>
      <c r="E51" s="90" t="e">
        <f ca="1">[0]!CSVVLookUP(ROW(行数!B43),配列!$C$8,利用時間_シフト,3,1)</f>
        <v>#NAME?</v>
      </c>
      <c r="F51" s="90" t="e">
        <f ca="1">[0]!CSVVLookUP(ROW(行数!B43),配列!$C$9,利用時間_シフト,4,1)</f>
        <v>#NAME?</v>
      </c>
      <c r="G51" s="91" t="e">
        <f ca="1">IF(F51="","",SUM(INDEX(利用時間_シフト,[0]!CSVChoose(ROW(行数!A43),配列!$C$8),5):INDEX(利用時間_シフト,[0]!CSVChoose(ROW(行数!A43),配列!$C$9),5)))</f>
        <v>#NAME?</v>
      </c>
      <c r="H51" s="91" t="e">
        <f ca="1">IF(F51="","",SUM(INDEX(利用時間_シフト,[0]!CSVChoose(ROW(行数!A43),配列!$C$8),6):INDEX(利用時間_シフト,[0]!CSVChoose(ROW(行数!A43),配列!$C$9),6)))</f>
        <v>#NAME?</v>
      </c>
      <c r="I51" s="103" t="e">
        <f t="shared" ca="1" si="9"/>
        <v>#NAME?</v>
      </c>
      <c r="J51" s="91" t="e">
        <f ca="1">IF(F51="","",SUM(INDEX(利用時間_シフト,[0]!CSVChoose(ROW(行数!A43),配列!$C$8),8):INDEX(利用時間_シフト,[0]!CSVChoose(ROW(行数!A43),配列!$C$9),8)))</f>
        <v>#NAME?</v>
      </c>
      <c r="K51" s="104" t="e">
        <f ca="1">IF(F51="","",SUM(INDEX(利用時間_シフト,[0]!CSVChoose(ROW(行数!A43),配列!$C$8),9):INDEX(利用時間_シフト,[0]!CSVChoose(ROW(行数!A43),配列!$C$9),9)))</f>
        <v>#NAME?</v>
      </c>
      <c r="L51" s="91" t="e">
        <f ca="1">IF(F51="","",SUM(INDEX(利用時間_シフト,[0]!CSVChoose(ROW(行数!A43),配列!$C$8),10):INDEX(利用時間_シフト,[0]!CSVChoose(ROW(行数!A43),配列!$C$9),10)))</f>
        <v>#NAME?</v>
      </c>
      <c r="M51" s="93" t="e">
        <f ca="1">IF(F51="","",SUM(INDEX(利用時間_シフト,[0]!CSVChoose(ROW(行数!A43),配列!$C$8),11):INDEX(利用時間_シフト,[0]!CSVChoose(ROW(行数!A43),配列!$C$9),11)))</f>
        <v>#NAME?</v>
      </c>
      <c r="N51" s="91" t="e">
        <f t="shared" ca="1" si="10"/>
        <v>#NAME?</v>
      </c>
      <c r="O51" s="92" t="e">
        <f ca="1">[0]!CSVVLookUP(ROW(行数!A43),配列!$C$5,運転予定時間,7,1)</f>
        <v>#NAME?</v>
      </c>
      <c r="P51" s="253"/>
      <c r="Q51" s="254"/>
      <c r="R51" s="255"/>
      <c r="S51" s="254"/>
      <c r="T51" s="78"/>
      <c r="U51" s="186"/>
      <c r="W51" s="166" t="e">
        <f ca="1">[0]!CSVVLookUP(ROW(行数!A43),配列!$C$5,運転予定時間,5,1)</f>
        <v>#NAME?</v>
      </c>
      <c r="Y51" s="92" t="e">
        <f t="shared" ca="1" si="7"/>
        <v>#NAME?</v>
      </c>
      <c r="Z51" s="252"/>
      <c r="AA51" s="251"/>
      <c r="AB51" s="252"/>
      <c r="AC51" s="251"/>
    </row>
    <row r="52" spans="2:29" x14ac:dyDescent="0.2">
      <c r="B52" s="93" t="e">
        <f t="shared" ca="1" si="8"/>
        <v>#NAME?</v>
      </c>
      <c r="C52" s="90" t="e">
        <f ca="1">[0]!CSVVLookUP(ROW(行数!A44),配列!$C$5,運転予定時間,3,1)</f>
        <v>#NAME?</v>
      </c>
      <c r="D52" s="90" t="e">
        <f ca="1">[0]!CSVVLookUP(ROW(行数!B44),配列!$C$5,運転予定時間,4,1)</f>
        <v>#NAME?</v>
      </c>
      <c r="E52" s="90" t="e">
        <f ca="1">[0]!CSVVLookUP(ROW(行数!B44),配列!$C$8,利用時間_シフト,3,1)</f>
        <v>#NAME?</v>
      </c>
      <c r="F52" s="90" t="e">
        <f ca="1">[0]!CSVVLookUP(ROW(行数!B44),配列!$C$9,利用時間_シフト,4,1)</f>
        <v>#NAME?</v>
      </c>
      <c r="G52" s="91" t="e">
        <f ca="1">IF(F52="","",SUM(INDEX(利用時間_シフト,[0]!CSVChoose(ROW(行数!A44),配列!$C$8),5):INDEX(利用時間_シフト,[0]!CSVChoose(ROW(行数!A44),配列!$C$9),5)))</f>
        <v>#NAME?</v>
      </c>
      <c r="H52" s="91" t="e">
        <f ca="1">IF(F52="","",SUM(INDEX(利用時間_シフト,[0]!CSVChoose(ROW(行数!A44),配列!$C$8),6):INDEX(利用時間_シフト,[0]!CSVChoose(ROW(行数!A44),配列!$C$9),6)))</f>
        <v>#NAME?</v>
      </c>
      <c r="I52" s="103" t="e">
        <f t="shared" ca="1" si="9"/>
        <v>#NAME?</v>
      </c>
      <c r="J52" s="91" t="e">
        <f ca="1">IF(F52="","",SUM(INDEX(利用時間_シフト,[0]!CSVChoose(ROW(行数!A44),配列!$C$8),8):INDEX(利用時間_シフト,[0]!CSVChoose(ROW(行数!A44),配列!$C$9),8)))</f>
        <v>#NAME?</v>
      </c>
      <c r="K52" s="104" t="e">
        <f ca="1">IF(F52="","",SUM(INDEX(利用時間_シフト,[0]!CSVChoose(ROW(行数!A44),配列!$C$8),9):INDEX(利用時間_シフト,[0]!CSVChoose(ROW(行数!A44),配列!$C$9),9)))</f>
        <v>#NAME?</v>
      </c>
      <c r="L52" s="91" t="e">
        <f ca="1">IF(F52="","",SUM(INDEX(利用時間_シフト,[0]!CSVChoose(ROW(行数!A44),配列!$C$8),10):INDEX(利用時間_シフト,[0]!CSVChoose(ROW(行数!A44),配列!$C$9),10)))</f>
        <v>#NAME?</v>
      </c>
      <c r="M52" s="93" t="e">
        <f ca="1">IF(F52="","",SUM(INDEX(利用時間_シフト,[0]!CSVChoose(ROW(行数!A44),配列!$C$8),11):INDEX(利用時間_シフト,[0]!CSVChoose(ROW(行数!A44),配列!$C$9),11)))</f>
        <v>#NAME?</v>
      </c>
      <c r="N52" s="91" t="e">
        <f t="shared" ca="1" si="10"/>
        <v>#NAME?</v>
      </c>
      <c r="O52" s="92" t="e">
        <f ca="1">[0]!CSVVLookUP(ROW(行数!A44),配列!$C$5,運転予定時間,7,1)</f>
        <v>#NAME?</v>
      </c>
      <c r="P52" s="253"/>
      <c r="Q52" s="254"/>
      <c r="R52" s="255"/>
      <c r="S52" s="254"/>
      <c r="T52" s="78"/>
      <c r="U52" s="186"/>
      <c r="W52" s="166" t="e">
        <f ca="1">[0]!CSVVLookUP(ROW(行数!A44),配列!$C$5,運転予定時間,5,1)</f>
        <v>#NAME?</v>
      </c>
      <c r="Y52" s="92" t="e">
        <f t="shared" ca="1" si="7"/>
        <v>#NAME?</v>
      </c>
      <c r="Z52" s="252"/>
      <c r="AA52" s="251"/>
      <c r="AB52" s="252"/>
      <c r="AC52" s="251"/>
    </row>
    <row r="53" spans="2:29" x14ac:dyDescent="0.2">
      <c r="B53" s="93" t="e">
        <f t="shared" ca="1" si="8"/>
        <v>#NAME?</v>
      </c>
      <c r="C53" s="90" t="e">
        <f ca="1">[0]!CSVVLookUP(ROW(行数!A45),配列!$C$5,運転予定時間,3,1)</f>
        <v>#NAME?</v>
      </c>
      <c r="D53" s="90" t="e">
        <f ca="1">[0]!CSVVLookUP(ROW(行数!B45),配列!$C$5,運転予定時間,4,1)</f>
        <v>#NAME?</v>
      </c>
      <c r="E53" s="90" t="e">
        <f ca="1">[0]!CSVVLookUP(ROW(行数!B45),配列!$C$8,利用時間_シフト,3,1)</f>
        <v>#NAME?</v>
      </c>
      <c r="F53" s="90" t="e">
        <f ca="1">[0]!CSVVLookUP(ROW(行数!B45),配列!$C$9,利用時間_シフト,4,1)</f>
        <v>#NAME?</v>
      </c>
      <c r="G53" s="91" t="e">
        <f ca="1">IF(F53="","",SUM(INDEX(利用時間_シフト,[0]!CSVChoose(ROW(行数!A45),配列!$C$8),5):INDEX(利用時間_シフト,[0]!CSVChoose(ROW(行数!A45),配列!$C$9),5)))</f>
        <v>#NAME?</v>
      </c>
      <c r="H53" s="91" t="e">
        <f ca="1">IF(F53="","",SUM(INDEX(利用時間_シフト,[0]!CSVChoose(ROW(行数!A45),配列!$C$8),6):INDEX(利用時間_シフト,[0]!CSVChoose(ROW(行数!A45),配列!$C$9),6)))</f>
        <v>#NAME?</v>
      </c>
      <c r="I53" s="103" t="e">
        <f t="shared" ca="1" si="9"/>
        <v>#NAME?</v>
      </c>
      <c r="J53" s="91" t="e">
        <f ca="1">IF(F53="","",SUM(INDEX(利用時間_シフト,[0]!CSVChoose(ROW(行数!A45),配列!$C$8),8):INDEX(利用時間_シフト,[0]!CSVChoose(ROW(行数!A45),配列!$C$9),8)))</f>
        <v>#NAME?</v>
      </c>
      <c r="K53" s="104" t="e">
        <f ca="1">IF(F53="","",SUM(INDEX(利用時間_シフト,[0]!CSVChoose(ROW(行数!A45),配列!$C$8),9):INDEX(利用時間_シフト,[0]!CSVChoose(ROW(行数!A45),配列!$C$9),9)))</f>
        <v>#NAME?</v>
      </c>
      <c r="L53" s="91" t="e">
        <f ca="1">IF(F53="","",SUM(INDEX(利用時間_シフト,[0]!CSVChoose(ROW(行数!A45),配列!$C$8),10):INDEX(利用時間_シフト,[0]!CSVChoose(ROW(行数!A45),配列!$C$9),10)))</f>
        <v>#NAME?</v>
      </c>
      <c r="M53" s="93" t="e">
        <f ca="1">IF(F53="","",SUM(INDEX(利用時間_シフト,[0]!CSVChoose(ROW(行数!A45),配列!$C$8),11):INDEX(利用時間_シフト,[0]!CSVChoose(ROW(行数!A45),配列!$C$9),11)))</f>
        <v>#NAME?</v>
      </c>
      <c r="N53" s="91" t="e">
        <f t="shared" ca="1" si="10"/>
        <v>#NAME?</v>
      </c>
      <c r="O53" s="92" t="e">
        <f ca="1">[0]!CSVVLookUP(ROW(行数!A45),配列!$C$5,運転予定時間,7,1)</f>
        <v>#NAME?</v>
      </c>
      <c r="P53" s="253"/>
      <c r="Q53" s="254"/>
      <c r="R53" s="255"/>
      <c r="S53" s="254"/>
      <c r="T53" s="78"/>
      <c r="U53" s="186"/>
      <c r="W53" s="166" t="e">
        <f ca="1">[0]!CSVVLookUP(ROW(行数!A45),配列!$C$5,運転予定時間,5,1)</f>
        <v>#NAME?</v>
      </c>
      <c r="Y53" s="92" t="e">
        <f t="shared" ca="1" si="7"/>
        <v>#NAME?</v>
      </c>
      <c r="Z53" s="252"/>
      <c r="AA53" s="251"/>
      <c r="AB53" s="252"/>
      <c r="AC53" s="251"/>
    </row>
    <row r="54" spans="2:29" x14ac:dyDescent="0.2">
      <c r="B54" s="93" t="e">
        <f t="shared" ca="1" si="8"/>
        <v>#NAME?</v>
      </c>
      <c r="C54" s="90" t="e">
        <f ca="1">[0]!CSVVLookUP(ROW(行数!A46),配列!$C$5,運転予定時間,3,1)</f>
        <v>#NAME?</v>
      </c>
      <c r="D54" s="90" t="e">
        <f ca="1">[0]!CSVVLookUP(ROW(行数!B46),配列!$C$5,運転予定時間,4,1)</f>
        <v>#NAME?</v>
      </c>
      <c r="E54" s="90" t="e">
        <f ca="1">[0]!CSVVLookUP(ROW(行数!B46),配列!$C$8,利用時間_シフト,3,1)</f>
        <v>#NAME?</v>
      </c>
      <c r="F54" s="90" t="e">
        <f ca="1">[0]!CSVVLookUP(ROW(行数!B46),配列!$C$9,利用時間_シフト,4,1)</f>
        <v>#NAME?</v>
      </c>
      <c r="G54" s="91" t="e">
        <f ca="1">IF(F54="","",SUM(INDEX(利用時間_シフト,[0]!CSVChoose(ROW(行数!A46),配列!$C$8),5):INDEX(利用時間_シフト,[0]!CSVChoose(ROW(行数!A46),配列!$C$9),5)))</f>
        <v>#NAME?</v>
      </c>
      <c r="H54" s="91" t="e">
        <f ca="1">IF(F54="","",SUM(INDEX(利用時間_シフト,[0]!CSVChoose(ROW(行数!A46),配列!$C$8),6):INDEX(利用時間_シフト,[0]!CSVChoose(ROW(行数!A46),配列!$C$9),6)))</f>
        <v>#NAME?</v>
      </c>
      <c r="I54" s="103" t="e">
        <f t="shared" ca="1" si="9"/>
        <v>#NAME?</v>
      </c>
      <c r="J54" s="91" t="e">
        <f ca="1">IF(F54="","",SUM(INDEX(利用時間_シフト,[0]!CSVChoose(ROW(行数!A46),配列!$C$8),8):INDEX(利用時間_シフト,[0]!CSVChoose(ROW(行数!A46),配列!$C$9),8)))</f>
        <v>#NAME?</v>
      </c>
      <c r="K54" s="104" t="e">
        <f ca="1">IF(F54="","",SUM(INDEX(利用時間_シフト,[0]!CSVChoose(ROW(行数!A46),配列!$C$8),9):INDEX(利用時間_シフト,[0]!CSVChoose(ROW(行数!A46),配列!$C$9),9)))</f>
        <v>#NAME?</v>
      </c>
      <c r="L54" s="91" t="e">
        <f ca="1">IF(F54="","",SUM(INDEX(利用時間_シフト,[0]!CSVChoose(ROW(行数!A46),配列!$C$8),10):INDEX(利用時間_シフト,[0]!CSVChoose(ROW(行数!A46),配列!$C$9),10)))</f>
        <v>#NAME?</v>
      </c>
      <c r="M54" s="93" t="e">
        <f ca="1">IF(F54="","",SUM(INDEX(利用時間_シフト,[0]!CSVChoose(ROW(行数!A46),配列!$C$8),11):INDEX(利用時間_シフト,[0]!CSVChoose(ROW(行数!A46),配列!$C$9),11)))</f>
        <v>#NAME?</v>
      </c>
      <c r="N54" s="91" t="e">
        <f t="shared" ca="1" si="10"/>
        <v>#NAME?</v>
      </c>
      <c r="O54" s="92" t="e">
        <f ca="1">[0]!CSVVLookUP(ROW(行数!A46),配列!$C$5,運転予定時間,7,1)</f>
        <v>#NAME?</v>
      </c>
      <c r="P54" s="253"/>
      <c r="Q54" s="254"/>
      <c r="R54" s="255"/>
      <c r="S54" s="254"/>
      <c r="T54" s="78"/>
      <c r="U54" s="186"/>
      <c r="W54" s="166" t="e">
        <f ca="1">[0]!CSVVLookUP(ROW(行数!A46),配列!$C$5,運転予定時間,5,1)</f>
        <v>#NAME?</v>
      </c>
      <c r="Y54" s="92" t="e">
        <f t="shared" ca="1" si="7"/>
        <v>#NAME?</v>
      </c>
      <c r="Z54" s="252"/>
      <c r="AA54" s="251"/>
      <c r="AB54" s="252"/>
      <c r="AC54" s="251"/>
    </row>
    <row r="55" spans="2:29" x14ac:dyDescent="0.2">
      <c r="B55" s="93" t="e">
        <f t="shared" ca="1" si="8"/>
        <v>#NAME?</v>
      </c>
      <c r="C55" s="90" t="e">
        <f ca="1">[0]!CSVVLookUP(ROW(行数!A47),配列!$C$5,運転予定時間,3,1)</f>
        <v>#NAME?</v>
      </c>
      <c r="D55" s="90" t="e">
        <f ca="1">[0]!CSVVLookUP(ROW(行数!B47),配列!$C$5,運転予定時間,4,1)</f>
        <v>#NAME?</v>
      </c>
      <c r="E55" s="90" t="e">
        <f ca="1">[0]!CSVVLookUP(ROW(行数!B47),配列!$C$8,利用時間_シフト,3,1)</f>
        <v>#NAME?</v>
      </c>
      <c r="F55" s="90" t="e">
        <f ca="1">[0]!CSVVLookUP(ROW(行数!B47),配列!$C$9,利用時間_シフト,4,1)</f>
        <v>#NAME?</v>
      </c>
      <c r="G55" s="91" t="e">
        <f ca="1">IF(F55="","",SUM(INDEX(利用時間_シフト,[0]!CSVChoose(ROW(行数!A47),配列!$C$8),5):INDEX(利用時間_シフト,[0]!CSVChoose(ROW(行数!A47),配列!$C$9),5)))</f>
        <v>#NAME?</v>
      </c>
      <c r="H55" s="91" t="e">
        <f ca="1">IF(F55="","",SUM(INDEX(利用時間_シフト,[0]!CSVChoose(ROW(行数!A47),配列!$C$8),6):INDEX(利用時間_シフト,[0]!CSVChoose(ROW(行数!A47),配列!$C$9),6)))</f>
        <v>#NAME?</v>
      </c>
      <c r="I55" s="103" t="e">
        <f t="shared" ca="1" si="9"/>
        <v>#NAME?</v>
      </c>
      <c r="J55" s="91" t="e">
        <f ca="1">IF(F55="","",SUM(INDEX(利用時間_シフト,[0]!CSVChoose(ROW(行数!A47),配列!$C$8),8):INDEX(利用時間_シフト,[0]!CSVChoose(ROW(行数!A47),配列!$C$9),8)))</f>
        <v>#NAME?</v>
      </c>
      <c r="K55" s="104" t="e">
        <f ca="1">IF(F55="","",SUM(INDEX(利用時間_シフト,[0]!CSVChoose(ROW(行数!A47),配列!$C$8),9):INDEX(利用時間_シフト,[0]!CSVChoose(ROW(行数!A47),配列!$C$9),9)))</f>
        <v>#NAME?</v>
      </c>
      <c r="L55" s="91" t="e">
        <f ca="1">IF(F55="","",SUM(INDEX(利用時間_シフト,[0]!CSVChoose(ROW(行数!A47),配列!$C$8),10):INDEX(利用時間_シフト,[0]!CSVChoose(ROW(行数!A47),配列!$C$9),10)))</f>
        <v>#NAME?</v>
      </c>
      <c r="M55" s="93" t="e">
        <f ca="1">IF(F55="","",SUM(INDEX(利用時間_シフト,[0]!CSVChoose(ROW(行数!A47),配列!$C$8),11):INDEX(利用時間_シフト,[0]!CSVChoose(ROW(行数!A47),配列!$C$9),11)))</f>
        <v>#NAME?</v>
      </c>
      <c r="N55" s="91" t="e">
        <f t="shared" ca="1" si="10"/>
        <v>#NAME?</v>
      </c>
      <c r="O55" s="92" t="e">
        <f ca="1">[0]!CSVVLookUP(ROW(行数!A47),配列!$C$5,運転予定時間,7,1)</f>
        <v>#NAME?</v>
      </c>
      <c r="P55" s="253"/>
      <c r="Q55" s="254"/>
      <c r="R55" s="255"/>
      <c r="S55" s="254"/>
      <c r="T55" s="78"/>
      <c r="U55" s="186"/>
      <c r="W55" s="166" t="e">
        <f ca="1">[0]!CSVVLookUP(ROW(行数!A47),配列!$C$5,運転予定時間,5,1)</f>
        <v>#NAME?</v>
      </c>
      <c r="Y55" s="92" t="e">
        <f t="shared" ca="1" si="7"/>
        <v>#NAME?</v>
      </c>
      <c r="Z55" s="252"/>
      <c r="AA55" s="251"/>
      <c r="AB55" s="252"/>
      <c r="AC55" s="251"/>
    </row>
    <row r="56" spans="2:29" x14ac:dyDescent="0.2">
      <c r="B56" s="93" t="e">
        <f t="shared" ca="1" si="8"/>
        <v>#NAME?</v>
      </c>
      <c r="C56" s="90" t="e">
        <f ca="1">[0]!CSVVLookUP(ROW(行数!A48),配列!$C$5,運転予定時間,3,1)</f>
        <v>#NAME?</v>
      </c>
      <c r="D56" s="90" t="e">
        <f ca="1">[0]!CSVVLookUP(ROW(行数!B48),配列!$C$5,運転予定時間,4,1)</f>
        <v>#NAME?</v>
      </c>
      <c r="E56" s="90" t="e">
        <f ca="1">[0]!CSVVLookUP(ROW(行数!B48),配列!$C$8,利用時間_シフト,3,1)</f>
        <v>#NAME?</v>
      </c>
      <c r="F56" s="90" t="e">
        <f ca="1">[0]!CSVVLookUP(ROW(行数!B48),配列!$C$9,利用時間_シフト,4,1)</f>
        <v>#NAME?</v>
      </c>
      <c r="G56" s="91" t="e">
        <f ca="1">IF(F56="","",SUM(INDEX(利用時間_シフト,[0]!CSVChoose(ROW(行数!A48),配列!$C$8),5):INDEX(利用時間_シフト,[0]!CSVChoose(ROW(行数!A48),配列!$C$9),5)))</f>
        <v>#NAME?</v>
      </c>
      <c r="H56" s="91" t="e">
        <f ca="1">IF(F56="","",SUM(INDEX(利用時間_シフト,[0]!CSVChoose(ROW(行数!A48),配列!$C$8),6):INDEX(利用時間_シフト,[0]!CSVChoose(ROW(行数!A48),配列!$C$9),6)))</f>
        <v>#NAME?</v>
      </c>
      <c r="I56" s="103" t="e">
        <f t="shared" ca="1" si="9"/>
        <v>#NAME?</v>
      </c>
      <c r="J56" s="91" t="e">
        <f ca="1">IF(F56="","",SUM(INDEX(利用時間_シフト,[0]!CSVChoose(ROW(行数!A48),配列!$C$8),8):INDEX(利用時間_シフト,[0]!CSVChoose(ROW(行数!A48),配列!$C$9),8)))</f>
        <v>#NAME?</v>
      </c>
      <c r="K56" s="104" t="e">
        <f ca="1">IF(F56="","",SUM(INDEX(利用時間_シフト,[0]!CSVChoose(ROW(行数!A48),配列!$C$8),9):INDEX(利用時間_シフト,[0]!CSVChoose(ROW(行数!A48),配列!$C$9),9)))</f>
        <v>#NAME?</v>
      </c>
      <c r="L56" s="91" t="e">
        <f ca="1">IF(F56="","",SUM(INDEX(利用時間_シフト,[0]!CSVChoose(ROW(行数!A48),配列!$C$8),10):INDEX(利用時間_シフト,[0]!CSVChoose(ROW(行数!A48),配列!$C$9),10)))</f>
        <v>#NAME?</v>
      </c>
      <c r="M56" s="93" t="e">
        <f ca="1">IF(F56="","",SUM(INDEX(利用時間_シフト,[0]!CSVChoose(ROW(行数!A48),配列!$C$8),11):INDEX(利用時間_シフト,[0]!CSVChoose(ROW(行数!A48),配列!$C$9),11)))</f>
        <v>#NAME?</v>
      </c>
      <c r="N56" s="91" t="e">
        <f t="shared" ca="1" si="10"/>
        <v>#NAME?</v>
      </c>
      <c r="O56" s="92" t="e">
        <f ca="1">[0]!CSVVLookUP(ROW(行数!A48),配列!$C$5,運転予定時間,7,1)</f>
        <v>#NAME?</v>
      </c>
      <c r="P56" s="253"/>
      <c r="Q56" s="254"/>
      <c r="R56" s="255"/>
      <c r="S56" s="254"/>
      <c r="T56" s="78"/>
      <c r="U56" s="186"/>
      <c r="W56" s="166" t="e">
        <f ca="1">[0]!CSVVLookUP(ROW(行数!A48),配列!$C$5,運転予定時間,5,1)</f>
        <v>#NAME?</v>
      </c>
      <c r="Y56" s="92" t="e">
        <f t="shared" ca="1" si="7"/>
        <v>#NAME?</v>
      </c>
      <c r="Z56" s="252"/>
      <c r="AA56" s="251"/>
      <c r="AB56" s="252"/>
      <c r="AC56" s="251"/>
    </row>
    <row r="57" spans="2:29" x14ac:dyDescent="0.2">
      <c r="B57" s="93" t="e">
        <f ca="1">IF(C57="","",VLOOKUP(C57,ユニット判定用,3))</f>
        <v>#NAME?</v>
      </c>
      <c r="C57" s="90" t="e">
        <f ca="1">[0]!CSVVLookUP(ROW(行数!A49),配列!$C$5,運転予定時間,3,1)</f>
        <v>#NAME?</v>
      </c>
      <c r="D57" s="90" t="e">
        <f ca="1">[0]!CSVVLookUP(ROW(行数!B49),配列!$C$5,運転予定時間,4,1)</f>
        <v>#NAME?</v>
      </c>
      <c r="E57" s="90" t="e">
        <f ca="1">[0]!CSVVLookUP(ROW(行数!B49),配列!$C$8,利用時間_シフト,3,1)</f>
        <v>#NAME?</v>
      </c>
      <c r="F57" s="90" t="e">
        <f ca="1">[0]!CSVVLookUP(ROW(行数!B49),配列!$C$9,利用時間_シフト,4,1)</f>
        <v>#NAME?</v>
      </c>
      <c r="G57" s="91" t="e">
        <f ca="1">IF(F57="","",SUM(INDEX(利用時間_シフト,[0]!CSVChoose(ROW(行数!A49),配列!$C$8),5):INDEX(利用時間_シフト,[0]!CSVChoose(ROW(行数!A49),配列!$C$9),5)))</f>
        <v>#NAME?</v>
      </c>
      <c r="H57" s="91" t="e">
        <f ca="1">IF(F57="","",SUM(INDEX(利用時間_シフト,[0]!CSVChoose(ROW(行数!A49),配列!$C$8),6):INDEX(利用時間_シフト,[0]!CSVChoose(ROW(行数!A49),配列!$C$9),6)))</f>
        <v>#NAME?</v>
      </c>
      <c r="I57" s="103" t="e">
        <f t="shared" ca="1" si="9"/>
        <v>#NAME?</v>
      </c>
      <c r="J57" s="91" t="e">
        <f ca="1">IF(F57="","",SUM(INDEX(利用時間_シフト,[0]!CSVChoose(ROW(行数!A49),配列!$C$8),8):INDEX(利用時間_シフト,[0]!CSVChoose(ROW(行数!A49),配列!$C$9),8)))</f>
        <v>#NAME?</v>
      </c>
      <c r="K57" s="104" t="e">
        <f ca="1">IF(F57="","",SUM(INDEX(利用時間_シフト,[0]!CSVChoose(ROW(行数!A49),配列!$C$8),9):INDEX(利用時間_シフト,[0]!CSVChoose(ROW(行数!A49),配列!$C$9),9)))</f>
        <v>#NAME?</v>
      </c>
      <c r="L57" s="91" t="e">
        <f ca="1">IF(F57="","",SUM(INDEX(利用時間_シフト,[0]!CSVChoose(ROW(行数!A49),配列!$C$8),10):INDEX(利用時間_シフト,[0]!CSVChoose(ROW(行数!A49),配列!$C$9),10)))</f>
        <v>#NAME?</v>
      </c>
      <c r="M57" s="93" t="e">
        <f ca="1">IF(F57="","",SUM(INDEX(利用時間_シフト,[0]!CSVChoose(ROW(行数!A49),配列!$C$8),11):INDEX(利用時間_シフト,[0]!CSVChoose(ROW(行数!A49),配列!$C$9),11)))</f>
        <v>#NAME?</v>
      </c>
      <c r="N57" s="91" t="e">
        <f t="shared" ca="1" si="10"/>
        <v>#NAME?</v>
      </c>
      <c r="O57" s="92" t="e">
        <f ca="1">[0]!CSVVLookUP(ROW(行数!A49),配列!$C$5,運転予定時間,7,1)</f>
        <v>#NAME?</v>
      </c>
      <c r="P57" s="253"/>
      <c r="Q57" s="254"/>
      <c r="R57" s="255"/>
      <c r="S57" s="254"/>
      <c r="T57" s="78"/>
      <c r="U57" s="186"/>
      <c r="W57" s="166" t="e">
        <f ca="1">[0]!CSVVLookUP(ROW(行数!A49),配列!$C$5,運転予定時間,5,1)</f>
        <v>#NAME?</v>
      </c>
      <c r="Y57" s="92" t="e">
        <f t="shared" ca="1" si="7"/>
        <v>#NAME?</v>
      </c>
      <c r="Z57" s="252"/>
      <c r="AA57" s="251"/>
      <c r="AB57" s="252"/>
      <c r="AC57" s="251"/>
    </row>
    <row r="58" spans="2:29" x14ac:dyDescent="0.2">
      <c r="B58" s="93" t="e">
        <f t="shared" ca="1" si="8"/>
        <v>#NAME?</v>
      </c>
      <c r="C58" s="90" t="e">
        <f ca="1">[0]!CSVVLookUP(ROW(行数!A50),配列!$C$5,運転予定時間,3,1)</f>
        <v>#NAME?</v>
      </c>
      <c r="D58" s="90" t="e">
        <f ca="1">[0]!CSVVLookUP(ROW(行数!B50),配列!$C$5,運転予定時間,4,1)</f>
        <v>#NAME?</v>
      </c>
      <c r="E58" s="90" t="e">
        <f ca="1">[0]!CSVVLookUP(ROW(行数!B50),配列!$C$8,利用時間_シフト,3,1)</f>
        <v>#NAME?</v>
      </c>
      <c r="F58" s="90" t="e">
        <f ca="1">[0]!CSVVLookUP(ROW(行数!B50),配列!$C$9,利用時間_シフト,4,1)</f>
        <v>#NAME?</v>
      </c>
      <c r="G58" s="91" t="e">
        <f ca="1">IF(F58="","",SUM(INDEX(利用時間_シフト,[0]!CSVChoose(ROW(行数!A50),配列!$C$8),5):INDEX(利用時間_シフト,[0]!CSVChoose(ROW(行数!A50),配列!$C$9),5)))</f>
        <v>#NAME?</v>
      </c>
      <c r="H58" s="91" t="e">
        <f ca="1">IF(F58="","",SUM(INDEX(利用時間_シフト,[0]!CSVChoose(ROW(行数!A50),配列!$C$8),6):INDEX(利用時間_シフト,[0]!CSVChoose(ROW(行数!A50),配列!$C$9),6)))</f>
        <v>#NAME?</v>
      </c>
      <c r="I58" s="103" t="e">
        <f t="shared" ca="1" si="9"/>
        <v>#NAME?</v>
      </c>
      <c r="J58" s="91" t="e">
        <f ca="1">IF(F58="","",SUM(INDEX(利用時間_シフト,[0]!CSVChoose(ROW(行数!A50),配列!$C$8),8):INDEX(利用時間_シフト,[0]!CSVChoose(ROW(行数!A50),配列!$C$9),8)))</f>
        <v>#NAME?</v>
      </c>
      <c r="K58" s="104" t="e">
        <f ca="1">IF(F58="","",SUM(INDEX(利用時間_シフト,[0]!CSVChoose(ROW(行数!A50),配列!$C$8),9):INDEX(利用時間_シフト,[0]!CSVChoose(ROW(行数!A50),配列!$C$9),9)))</f>
        <v>#NAME?</v>
      </c>
      <c r="L58" s="91" t="e">
        <f ca="1">IF(F58="","",SUM(INDEX(利用時間_シフト,[0]!CSVChoose(ROW(行数!A50),配列!$C$8),10):INDEX(利用時間_シフト,[0]!CSVChoose(ROW(行数!A50),配列!$C$9),10)))</f>
        <v>#NAME?</v>
      </c>
      <c r="M58" s="93" t="e">
        <f ca="1">IF(F58="","",SUM(INDEX(利用時間_シフト,[0]!CSVChoose(ROW(行数!A50),配列!$C$8),11):INDEX(利用時間_シフト,[0]!CSVChoose(ROW(行数!A50),配列!$C$9),11)))</f>
        <v>#NAME?</v>
      </c>
      <c r="N58" s="91" t="e">
        <f t="shared" ca="1" si="10"/>
        <v>#NAME?</v>
      </c>
      <c r="O58" s="92" t="e">
        <f ca="1">[0]!CSVVLookUP(ROW(行数!A50),配列!$C$5,運転予定時間,7,1)</f>
        <v>#NAME?</v>
      </c>
      <c r="P58" s="253"/>
      <c r="Q58" s="254"/>
      <c r="R58" s="255"/>
      <c r="S58" s="254"/>
      <c r="T58" s="78"/>
      <c r="U58" s="186"/>
      <c r="W58" s="166" t="e">
        <f ca="1">[0]!CSVVLookUP(ROW(行数!A50),配列!$C$5,運転予定時間,5,1)</f>
        <v>#NAME?</v>
      </c>
      <c r="Y58" s="92" t="e">
        <f t="shared" ca="1" si="7"/>
        <v>#NAME?</v>
      </c>
      <c r="Z58" s="252"/>
      <c r="AA58" s="251"/>
      <c r="AB58" s="252"/>
      <c r="AC58" s="251"/>
    </row>
    <row r="59" spans="2:29" x14ac:dyDescent="0.2">
      <c r="B59" s="93" t="e">
        <f t="shared" ca="1" si="8"/>
        <v>#NAME?</v>
      </c>
      <c r="C59" s="90" t="e">
        <f ca="1">[0]!CSVVLookUP(ROW(行数!A51),配列!$C$5,運転予定時間,3,1)</f>
        <v>#NAME?</v>
      </c>
      <c r="D59" s="90" t="e">
        <f ca="1">[0]!CSVVLookUP(ROW(行数!B51),配列!$C$5,運転予定時間,4,1)</f>
        <v>#NAME?</v>
      </c>
      <c r="E59" s="90" t="e">
        <f ca="1">[0]!CSVVLookUP(ROW(行数!B51),配列!$C$8,利用時間_シフト,3,1)</f>
        <v>#NAME?</v>
      </c>
      <c r="F59" s="90" t="e">
        <f ca="1">[0]!CSVVLookUP(ROW(行数!B51),配列!$C$9,利用時間_シフト,4,1)</f>
        <v>#NAME?</v>
      </c>
      <c r="G59" s="91" t="e">
        <f ca="1">IF(F59="","",SUM(INDEX(利用時間_シフト,[0]!CSVChoose(ROW(行数!A51),配列!$C$8),5):INDEX(利用時間_シフト,[0]!CSVChoose(ROW(行数!A51),配列!$C$9),5)))</f>
        <v>#NAME?</v>
      </c>
      <c r="H59" s="91" t="e">
        <f ca="1">IF(F59="","",SUM(INDEX(利用時間_シフト,[0]!CSVChoose(ROW(行数!A51),配列!$C$8),6):INDEX(利用時間_シフト,[0]!CSVChoose(ROW(行数!A51),配列!$C$9),6)))</f>
        <v>#NAME?</v>
      </c>
      <c r="I59" s="103" t="e">
        <f t="shared" ca="1" si="9"/>
        <v>#NAME?</v>
      </c>
      <c r="J59" s="91" t="e">
        <f ca="1">IF(F59="","",SUM(INDEX(利用時間_シフト,[0]!CSVChoose(ROW(行数!A51),配列!$C$8),8):INDEX(利用時間_シフト,[0]!CSVChoose(ROW(行数!A51),配列!$C$9),8)))</f>
        <v>#NAME?</v>
      </c>
      <c r="K59" s="104" t="e">
        <f ca="1">IF(F59="","",SUM(INDEX(利用時間_シフト,[0]!CSVChoose(ROW(行数!A51),配列!$C$8),9):INDEX(利用時間_シフト,[0]!CSVChoose(ROW(行数!A51),配列!$C$9),9)))</f>
        <v>#NAME?</v>
      </c>
      <c r="L59" s="91" t="e">
        <f ca="1">IF(F59="","",SUM(INDEX(利用時間_シフト,[0]!CSVChoose(ROW(行数!A51),配列!$C$8),10):INDEX(利用時間_シフト,[0]!CSVChoose(ROW(行数!A51),配列!$C$9),10)))</f>
        <v>#NAME?</v>
      </c>
      <c r="M59" s="93" t="e">
        <f ca="1">IF(F59="","",SUM(INDEX(利用時間_シフト,[0]!CSVChoose(ROW(行数!A51),配列!$C$8),11):INDEX(利用時間_シフト,[0]!CSVChoose(ROW(行数!A51),配列!$C$9),11)))</f>
        <v>#NAME?</v>
      </c>
      <c r="N59" s="91" t="e">
        <f t="shared" ca="1" si="10"/>
        <v>#NAME?</v>
      </c>
      <c r="O59" s="92" t="e">
        <f ca="1">[0]!CSVVLookUP(ROW(行数!A51),配列!$C$5,運転予定時間,7,1)</f>
        <v>#NAME?</v>
      </c>
      <c r="P59" s="253"/>
      <c r="Q59" s="254"/>
      <c r="R59" s="255"/>
      <c r="S59" s="254"/>
      <c r="T59" s="78"/>
      <c r="U59" s="186"/>
      <c r="W59" s="166" t="e">
        <f ca="1">[0]!CSVVLookUP(ROW(行数!A51),配列!$C$5,運転予定時間,5,1)</f>
        <v>#NAME?</v>
      </c>
      <c r="Y59" s="92" t="e">
        <f t="shared" ca="1" si="7"/>
        <v>#NAME?</v>
      </c>
      <c r="Z59" s="252"/>
      <c r="AA59" s="251"/>
      <c r="AB59" s="252"/>
      <c r="AC59" s="251"/>
    </row>
    <row r="60" spans="2:29" x14ac:dyDescent="0.2">
      <c r="B60" s="93" t="e">
        <f t="shared" ca="1" si="8"/>
        <v>#NAME?</v>
      </c>
      <c r="C60" s="90" t="e">
        <f ca="1">[0]!CSVVLookUP(ROW(行数!A52),配列!$C$5,運転予定時間,3,1)</f>
        <v>#NAME?</v>
      </c>
      <c r="D60" s="90" t="e">
        <f ca="1">[0]!CSVVLookUP(ROW(行数!B52),配列!$C$5,運転予定時間,4,1)</f>
        <v>#NAME?</v>
      </c>
      <c r="E60" s="90" t="e">
        <f ca="1">[0]!CSVVLookUP(ROW(行数!B52),配列!$C$8,利用時間_シフト,3,1)</f>
        <v>#NAME?</v>
      </c>
      <c r="F60" s="90" t="e">
        <f ca="1">[0]!CSVVLookUP(ROW(行数!B52),配列!$C$9,利用時間_シフト,4,1)</f>
        <v>#NAME?</v>
      </c>
      <c r="G60" s="91" t="e">
        <f ca="1">IF(F60="","",SUM(INDEX(利用時間_シフト,[0]!CSVChoose(ROW(行数!A52),配列!$C$8),5):INDEX(利用時間_シフト,[0]!CSVChoose(ROW(行数!A52),配列!$C$9),5)))</f>
        <v>#NAME?</v>
      </c>
      <c r="H60" s="91" t="e">
        <f ca="1">IF(F60="","",SUM(INDEX(利用時間_シフト,[0]!CSVChoose(ROW(行数!A52),配列!$C$8),6):INDEX(利用時間_シフト,[0]!CSVChoose(ROW(行数!A52),配列!$C$9),6)))</f>
        <v>#NAME?</v>
      </c>
      <c r="I60" s="103" t="e">
        <f t="shared" ca="1" si="9"/>
        <v>#NAME?</v>
      </c>
      <c r="J60" s="91" t="e">
        <f ca="1">IF(F60="","",SUM(INDEX(利用時間_シフト,[0]!CSVChoose(ROW(行数!A52),配列!$C$8),8):INDEX(利用時間_シフト,[0]!CSVChoose(ROW(行数!A52),配列!$C$9),8)))</f>
        <v>#NAME?</v>
      </c>
      <c r="K60" s="104" t="e">
        <f ca="1">IF(F60="","",SUM(INDEX(利用時間_シフト,[0]!CSVChoose(ROW(行数!A52),配列!$C$8),9):INDEX(利用時間_シフト,[0]!CSVChoose(ROW(行数!A52),配列!$C$9),9)))</f>
        <v>#NAME?</v>
      </c>
      <c r="L60" s="91" t="e">
        <f ca="1">IF(F60="","",SUM(INDEX(利用時間_シフト,[0]!CSVChoose(ROW(行数!A52),配列!$C$8),10):INDEX(利用時間_シフト,[0]!CSVChoose(ROW(行数!A52),配列!$C$9),10)))</f>
        <v>#NAME?</v>
      </c>
      <c r="M60" s="93" t="e">
        <f ca="1">IF(F60="","",SUM(INDEX(利用時間_シフト,[0]!CSVChoose(ROW(行数!A52),配列!$C$8),11):INDEX(利用時間_シフト,[0]!CSVChoose(ROW(行数!A52),配列!$C$9),11)))</f>
        <v>#NAME?</v>
      </c>
      <c r="N60" s="91" t="e">
        <f t="shared" ca="1" si="10"/>
        <v>#NAME?</v>
      </c>
      <c r="O60" s="92" t="e">
        <f ca="1">[0]!CSVVLookUP(ROW(行数!A52),配列!$C$5,運転予定時間,7,1)</f>
        <v>#NAME?</v>
      </c>
      <c r="P60" s="253"/>
      <c r="Q60" s="254"/>
      <c r="R60" s="255"/>
      <c r="S60" s="254"/>
      <c r="T60" s="78"/>
      <c r="U60" s="186"/>
      <c r="W60" s="166" t="e">
        <f ca="1">[0]!CSVVLookUP(ROW(行数!A52),配列!$C$5,運転予定時間,5,1)</f>
        <v>#NAME?</v>
      </c>
      <c r="Y60" s="92" t="e">
        <f t="shared" ca="1" si="7"/>
        <v>#NAME?</v>
      </c>
      <c r="Z60" s="252"/>
      <c r="AA60" s="251"/>
      <c r="AB60" s="252"/>
      <c r="AC60" s="251"/>
    </row>
    <row r="61" spans="2:29" x14ac:dyDescent="0.2">
      <c r="B61" s="93" t="e">
        <f t="shared" ca="1" si="8"/>
        <v>#NAME?</v>
      </c>
      <c r="C61" s="90" t="e">
        <f ca="1">[0]!CSVVLookUP(ROW(行数!A53),配列!$C$5,運転予定時間,3,1)</f>
        <v>#NAME?</v>
      </c>
      <c r="D61" s="90" t="e">
        <f ca="1">[0]!CSVVLookUP(ROW(行数!B53),配列!$C$5,運転予定時間,4,1)</f>
        <v>#NAME?</v>
      </c>
      <c r="E61" s="90" t="e">
        <f ca="1">[0]!CSVVLookUP(ROW(行数!B53),配列!$C$8,利用時間_シフト,3,1)</f>
        <v>#NAME?</v>
      </c>
      <c r="F61" s="90" t="e">
        <f ca="1">[0]!CSVVLookUP(ROW(行数!B53),配列!$C$9,利用時間_シフト,4,1)</f>
        <v>#NAME?</v>
      </c>
      <c r="G61" s="91" t="e">
        <f ca="1">IF(F61="","",SUM(INDEX(利用時間_シフト,[0]!CSVChoose(ROW(行数!A53),配列!$C$8),5):INDEX(利用時間_シフト,[0]!CSVChoose(ROW(行数!A53),配列!$C$9),5)))</f>
        <v>#NAME?</v>
      </c>
      <c r="H61" s="91" t="e">
        <f ca="1">IF(F61="","",SUM(INDEX(利用時間_シフト,[0]!CSVChoose(ROW(行数!A53),配列!$C$8),6):INDEX(利用時間_シフト,[0]!CSVChoose(ROW(行数!A53),配列!$C$9),6)))</f>
        <v>#NAME?</v>
      </c>
      <c r="I61" s="103" t="e">
        <f t="shared" ca="1" si="9"/>
        <v>#NAME?</v>
      </c>
      <c r="J61" s="91" t="e">
        <f ca="1">IF(F61="","",SUM(INDEX(利用時間_シフト,[0]!CSVChoose(ROW(行数!A53),配列!$C$8),8):INDEX(利用時間_シフト,[0]!CSVChoose(ROW(行数!A53),配列!$C$9),8)))</f>
        <v>#NAME?</v>
      </c>
      <c r="K61" s="104" t="e">
        <f ca="1">IF(F61="","",SUM(INDEX(利用時間_シフト,[0]!CSVChoose(ROW(行数!A53),配列!$C$8),9):INDEX(利用時間_シフト,[0]!CSVChoose(ROW(行数!A53),配列!$C$9),9)))</f>
        <v>#NAME?</v>
      </c>
      <c r="L61" s="91" t="e">
        <f ca="1">IF(F61="","",SUM(INDEX(利用時間_シフト,[0]!CSVChoose(ROW(行数!A53),配列!$C$8),10):INDEX(利用時間_シフト,[0]!CSVChoose(ROW(行数!A53),配列!$C$9),10)))</f>
        <v>#NAME?</v>
      </c>
      <c r="M61" s="93" t="e">
        <f ca="1">IF(F61="","",SUM(INDEX(利用時間_シフト,[0]!CSVChoose(ROW(行数!A53),配列!$C$8),11):INDEX(利用時間_シフト,[0]!CSVChoose(ROW(行数!A53),配列!$C$9),11)))</f>
        <v>#NAME?</v>
      </c>
      <c r="N61" s="91" t="e">
        <f t="shared" ca="1" si="10"/>
        <v>#NAME?</v>
      </c>
      <c r="O61" s="92" t="e">
        <f ca="1">[0]!CSVVLookUP(ROW(行数!A53),配列!$C$5,運転予定時間,7,1)</f>
        <v>#NAME?</v>
      </c>
      <c r="P61" s="253"/>
      <c r="Q61" s="254"/>
      <c r="R61" s="255"/>
      <c r="S61" s="254"/>
      <c r="T61" s="78"/>
      <c r="U61" s="186"/>
      <c r="W61" s="166" t="e">
        <f ca="1">[0]!CSVVLookUP(ROW(行数!A53),配列!$C$5,運転予定時間,5,1)</f>
        <v>#NAME?</v>
      </c>
      <c r="Y61" s="92" t="e">
        <f t="shared" ca="1" si="7"/>
        <v>#NAME?</v>
      </c>
      <c r="Z61" s="252"/>
      <c r="AA61" s="251"/>
      <c r="AB61" s="252"/>
      <c r="AC61" s="251"/>
    </row>
    <row r="62" spans="2:29" x14ac:dyDescent="0.2">
      <c r="B62" s="93" t="e">
        <f t="shared" ca="1" si="8"/>
        <v>#NAME?</v>
      </c>
      <c r="C62" s="90" t="e">
        <f ca="1">[0]!CSVVLookUP(ROW(行数!A54),配列!$C$5,運転予定時間,3,1)</f>
        <v>#NAME?</v>
      </c>
      <c r="D62" s="90" t="e">
        <f ca="1">[0]!CSVVLookUP(ROW(行数!B54),配列!$C$5,運転予定時間,4,1)</f>
        <v>#NAME?</v>
      </c>
      <c r="E62" s="90" t="e">
        <f ca="1">[0]!CSVVLookUP(ROW(行数!B54),配列!$C$8,利用時間_シフト,3,1)</f>
        <v>#NAME?</v>
      </c>
      <c r="F62" s="90" t="e">
        <f ca="1">[0]!CSVVLookUP(ROW(行数!B54),配列!$C$9,利用時間_シフト,4,1)</f>
        <v>#NAME?</v>
      </c>
      <c r="G62" s="91" t="e">
        <f ca="1">IF(F62="","",SUM(INDEX(利用時間_シフト,[0]!CSVChoose(ROW(行数!A54),配列!$C$8),5):INDEX(利用時間_シフト,[0]!CSVChoose(ROW(行数!A54),配列!$C$9),5)))</f>
        <v>#NAME?</v>
      </c>
      <c r="H62" s="91" t="e">
        <f ca="1">IF(F62="","",SUM(INDEX(利用時間_シフト,[0]!CSVChoose(ROW(行数!A54),配列!$C$8),6):INDEX(利用時間_シフト,[0]!CSVChoose(ROW(行数!A54),配列!$C$9),6)))</f>
        <v>#NAME?</v>
      </c>
      <c r="I62" s="103" t="e">
        <f t="shared" ca="1" si="9"/>
        <v>#NAME?</v>
      </c>
      <c r="J62" s="91" t="e">
        <f ca="1">IF(F62="","",SUM(INDEX(利用時間_シフト,[0]!CSVChoose(ROW(行数!A54),配列!$C$8),8):INDEX(利用時間_シフト,[0]!CSVChoose(ROW(行数!A54),配列!$C$9),8)))</f>
        <v>#NAME?</v>
      </c>
      <c r="K62" s="104" t="e">
        <f ca="1">IF(F62="","",SUM(INDEX(利用時間_シフト,[0]!CSVChoose(ROW(行数!A54),配列!$C$8),9):INDEX(利用時間_シフト,[0]!CSVChoose(ROW(行数!A54),配列!$C$9),9)))</f>
        <v>#NAME?</v>
      </c>
      <c r="L62" s="91" t="e">
        <f ca="1">IF(F62="","",SUM(INDEX(利用時間_シフト,[0]!CSVChoose(ROW(行数!A54),配列!$C$8),10):INDEX(利用時間_シフト,[0]!CSVChoose(ROW(行数!A54),配列!$C$9),10)))</f>
        <v>#NAME?</v>
      </c>
      <c r="M62" s="93" t="e">
        <f ca="1">IF(F62="","",SUM(INDEX(利用時間_シフト,[0]!CSVChoose(ROW(行数!A54),配列!$C$8),11):INDEX(利用時間_シフト,[0]!CSVChoose(ROW(行数!A54),配列!$C$9),11)))</f>
        <v>#NAME?</v>
      </c>
      <c r="N62" s="91" t="e">
        <f t="shared" ca="1" si="10"/>
        <v>#NAME?</v>
      </c>
      <c r="O62" s="92" t="e">
        <f ca="1">[0]!CSVVLookUP(ROW(行数!A54),配列!$C$5,運転予定時間,7,1)</f>
        <v>#NAME?</v>
      </c>
      <c r="P62" s="253"/>
      <c r="Q62" s="254"/>
      <c r="R62" s="255"/>
      <c r="S62" s="254"/>
      <c r="T62" s="78"/>
      <c r="U62" s="186"/>
      <c r="W62" s="166" t="e">
        <f ca="1">[0]!CSVVLookUP(ROW(行数!A54),配列!$C$5,運転予定時間,5,1)</f>
        <v>#NAME?</v>
      </c>
      <c r="Y62" s="92" t="e">
        <f t="shared" ca="1" si="7"/>
        <v>#NAME?</v>
      </c>
      <c r="Z62" s="252"/>
      <c r="AA62" s="251"/>
      <c r="AB62" s="252"/>
      <c r="AC62" s="251"/>
    </row>
    <row r="63" spans="2:29" x14ac:dyDescent="0.2">
      <c r="B63" s="93" t="e">
        <f t="shared" ca="1" si="8"/>
        <v>#NAME?</v>
      </c>
      <c r="C63" s="90" t="e">
        <f ca="1">[0]!CSVVLookUP(ROW(行数!A55),配列!$C$5,運転予定時間,3,1)</f>
        <v>#NAME?</v>
      </c>
      <c r="D63" s="90" t="e">
        <f ca="1">[0]!CSVVLookUP(ROW(行数!B55),配列!$C$5,運転予定時間,4,1)</f>
        <v>#NAME?</v>
      </c>
      <c r="E63" s="90" t="e">
        <f ca="1">[0]!CSVVLookUP(ROW(行数!B55),配列!$C$8,利用時間_シフト,3,1)</f>
        <v>#NAME?</v>
      </c>
      <c r="F63" s="90" t="e">
        <f ca="1">[0]!CSVVLookUP(ROW(行数!B55),配列!$C$9,利用時間_シフト,4,1)</f>
        <v>#NAME?</v>
      </c>
      <c r="G63" s="91" t="e">
        <f ca="1">IF(F63="","",SUM(INDEX(利用時間_シフト,[0]!CSVChoose(ROW(行数!A55),配列!$C$8),5):INDEX(利用時間_シフト,[0]!CSVChoose(ROW(行数!A55),配列!$C$9),5)))</f>
        <v>#NAME?</v>
      </c>
      <c r="H63" s="91" t="e">
        <f ca="1">IF(F63="","",SUM(INDEX(利用時間_シフト,[0]!CSVChoose(ROW(行数!A55),配列!$C$8),6):INDEX(利用時間_シフト,[0]!CSVChoose(ROW(行数!A55),配列!$C$9),6)))</f>
        <v>#NAME?</v>
      </c>
      <c r="I63" s="103" t="e">
        <f t="shared" ca="1" si="9"/>
        <v>#NAME?</v>
      </c>
      <c r="J63" s="91" t="e">
        <f ca="1">IF(F63="","",SUM(INDEX(利用時間_シフト,[0]!CSVChoose(ROW(行数!A55),配列!$C$8),8):INDEX(利用時間_シフト,[0]!CSVChoose(ROW(行数!A55),配列!$C$9),8)))</f>
        <v>#NAME?</v>
      </c>
      <c r="K63" s="104" t="e">
        <f ca="1">IF(F63="","",SUM(INDEX(利用時間_シフト,[0]!CSVChoose(ROW(行数!A55),配列!$C$8),9):INDEX(利用時間_シフト,[0]!CSVChoose(ROW(行数!A55),配列!$C$9),9)))</f>
        <v>#NAME?</v>
      </c>
      <c r="L63" s="91" t="e">
        <f ca="1">IF(F63="","",SUM(INDEX(利用時間_シフト,[0]!CSVChoose(ROW(行数!A55),配列!$C$8),10):INDEX(利用時間_シフト,[0]!CSVChoose(ROW(行数!A55),配列!$C$9),10)))</f>
        <v>#NAME?</v>
      </c>
      <c r="M63" s="93" t="e">
        <f ca="1">IF(F63="","",SUM(INDEX(利用時間_シフト,[0]!CSVChoose(ROW(行数!A55),配列!$C$8),11):INDEX(利用時間_シフト,[0]!CSVChoose(ROW(行数!A55),配列!$C$9),11)))</f>
        <v>#NAME?</v>
      </c>
      <c r="N63" s="91" t="e">
        <f t="shared" ca="1" si="10"/>
        <v>#NAME?</v>
      </c>
      <c r="O63" s="92" t="e">
        <f ca="1">[0]!CSVVLookUP(ROW(行数!A55),配列!$C$5,運転予定時間,7,1)</f>
        <v>#NAME?</v>
      </c>
      <c r="P63" s="253"/>
      <c r="Q63" s="254"/>
      <c r="R63" s="255"/>
      <c r="S63" s="254"/>
      <c r="T63" s="78"/>
      <c r="U63" s="186"/>
      <c r="W63" s="166" t="e">
        <f ca="1">[0]!CSVVLookUP(ROW(行数!A55),配列!$C$5,運転予定時間,5,1)</f>
        <v>#NAME?</v>
      </c>
      <c r="Y63" s="92" t="e">
        <f t="shared" ca="1" si="7"/>
        <v>#NAME?</v>
      </c>
      <c r="Z63" s="252"/>
      <c r="AA63" s="251"/>
      <c r="AB63" s="252"/>
      <c r="AC63" s="251"/>
    </row>
    <row r="64" spans="2:29" x14ac:dyDescent="0.2">
      <c r="B64" s="93" t="e">
        <f t="shared" ca="1" si="8"/>
        <v>#NAME?</v>
      </c>
      <c r="C64" s="90" t="e">
        <f ca="1">[0]!CSVVLookUP(ROW(行数!A56),配列!$C$5,運転予定時間,3,1)</f>
        <v>#NAME?</v>
      </c>
      <c r="D64" s="90" t="e">
        <f ca="1">[0]!CSVVLookUP(ROW(行数!B56),配列!$C$5,運転予定時間,4,1)</f>
        <v>#NAME?</v>
      </c>
      <c r="E64" s="90" t="e">
        <f ca="1">[0]!CSVVLookUP(ROW(行数!B56),配列!$C$8,利用時間_シフト,3,1)</f>
        <v>#NAME?</v>
      </c>
      <c r="F64" s="90" t="e">
        <f ca="1">[0]!CSVVLookUP(ROW(行数!B56),配列!$C$9,利用時間_シフト,4,1)</f>
        <v>#NAME?</v>
      </c>
      <c r="G64" s="91" t="e">
        <f ca="1">IF(F64="","",SUM(INDEX(利用時間_シフト,[0]!CSVChoose(ROW(行数!A56),配列!$C$8),5):INDEX(利用時間_シフト,[0]!CSVChoose(ROW(行数!A56),配列!$C$9),5)))</f>
        <v>#NAME?</v>
      </c>
      <c r="H64" s="91" t="e">
        <f ca="1">IF(F64="","",SUM(INDEX(利用時間_シフト,[0]!CSVChoose(ROW(行数!A56),配列!$C$8),6):INDEX(利用時間_シフト,[0]!CSVChoose(ROW(行数!A56),配列!$C$9),6)))</f>
        <v>#NAME?</v>
      </c>
      <c r="I64" s="103" t="e">
        <f t="shared" ca="1" si="9"/>
        <v>#NAME?</v>
      </c>
      <c r="J64" s="91" t="e">
        <f ca="1">IF(F64="","",SUM(INDEX(利用時間_シフト,[0]!CSVChoose(ROW(行数!A56),配列!$C$8),8):INDEX(利用時間_シフト,[0]!CSVChoose(ROW(行数!A56),配列!$C$9),8)))</f>
        <v>#NAME?</v>
      </c>
      <c r="K64" s="104" t="e">
        <f ca="1">IF(F64="","",SUM(INDEX(利用時間_シフト,[0]!CSVChoose(ROW(行数!A56),配列!$C$8),9):INDEX(利用時間_シフト,[0]!CSVChoose(ROW(行数!A56),配列!$C$9),9)))</f>
        <v>#NAME?</v>
      </c>
      <c r="L64" s="91" t="e">
        <f ca="1">IF(F64="","",SUM(INDEX(利用時間_シフト,[0]!CSVChoose(ROW(行数!A56),配列!$C$8),10):INDEX(利用時間_シフト,[0]!CSVChoose(ROW(行数!A56),配列!$C$9),10)))</f>
        <v>#NAME?</v>
      </c>
      <c r="M64" s="93" t="e">
        <f ca="1">IF(F64="","",SUM(INDEX(利用時間_シフト,[0]!CSVChoose(ROW(行数!A56),配列!$C$8),11):INDEX(利用時間_シフト,[0]!CSVChoose(ROW(行数!A56),配列!$C$9),11)))</f>
        <v>#NAME?</v>
      </c>
      <c r="N64" s="91" t="e">
        <f t="shared" ca="1" si="10"/>
        <v>#NAME?</v>
      </c>
      <c r="O64" s="92" t="e">
        <f ca="1">[0]!CSVVLookUP(ROW(行数!A56),配列!$C$5,運転予定時間,7,1)</f>
        <v>#NAME?</v>
      </c>
      <c r="P64" s="253"/>
      <c r="Q64" s="254"/>
      <c r="R64" s="255"/>
      <c r="S64" s="254"/>
      <c r="T64" s="78"/>
      <c r="U64" s="186"/>
      <c r="W64" s="166" t="e">
        <f ca="1">[0]!CSVVLookUP(ROW(行数!A56),配列!$C$5,運転予定時間,5,1)</f>
        <v>#NAME?</v>
      </c>
      <c r="Y64" s="92" t="e">
        <f t="shared" ca="1" si="7"/>
        <v>#NAME?</v>
      </c>
      <c r="Z64" s="252"/>
      <c r="AA64" s="251"/>
      <c r="AB64" s="252"/>
      <c r="AC64" s="251"/>
    </row>
    <row r="65" spans="2:29" x14ac:dyDescent="0.2">
      <c r="B65" s="93" t="e">
        <f t="shared" ca="1" si="8"/>
        <v>#NAME?</v>
      </c>
      <c r="C65" s="90" t="e">
        <f ca="1">[0]!CSVVLookUP(ROW(行数!A57),配列!$C$5,運転予定時間,3,1)</f>
        <v>#NAME?</v>
      </c>
      <c r="D65" s="90" t="e">
        <f ca="1">[0]!CSVVLookUP(ROW(行数!B57),配列!$C$5,運転予定時間,4,1)</f>
        <v>#NAME?</v>
      </c>
      <c r="E65" s="90" t="e">
        <f ca="1">[0]!CSVVLookUP(ROW(行数!B57),配列!$C$8,利用時間_シフト,3,1)</f>
        <v>#NAME?</v>
      </c>
      <c r="F65" s="90" t="e">
        <f ca="1">[0]!CSVVLookUP(ROW(行数!B57),配列!$C$9,利用時間_シフト,4,1)</f>
        <v>#NAME?</v>
      </c>
      <c r="G65" s="91" t="e">
        <f ca="1">IF(F65="","",SUM(INDEX(利用時間_シフト,[0]!CSVChoose(ROW(行数!A57),配列!$C$8),5):INDEX(利用時間_シフト,[0]!CSVChoose(ROW(行数!A57),配列!$C$9),5)))</f>
        <v>#NAME?</v>
      </c>
      <c r="H65" s="91" t="e">
        <f ca="1">IF(F65="","",SUM(INDEX(利用時間_シフト,[0]!CSVChoose(ROW(行数!A57),配列!$C$8),6):INDEX(利用時間_シフト,[0]!CSVChoose(ROW(行数!A57),配列!$C$9),6)))</f>
        <v>#NAME?</v>
      </c>
      <c r="I65" s="103" t="e">
        <f t="shared" ca="1" si="9"/>
        <v>#NAME?</v>
      </c>
      <c r="J65" s="91" t="e">
        <f ca="1">IF(F65="","",SUM(INDEX(利用時間_シフト,[0]!CSVChoose(ROW(行数!A57),配列!$C$8),8):INDEX(利用時間_シフト,[0]!CSVChoose(ROW(行数!A57),配列!$C$9),8)))</f>
        <v>#NAME?</v>
      </c>
      <c r="K65" s="104" t="e">
        <f ca="1">IF(F65="","",SUM(INDEX(利用時間_シフト,[0]!CSVChoose(ROW(行数!A57),配列!$C$8),9):INDEX(利用時間_シフト,[0]!CSVChoose(ROW(行数!A57),配列!$C$9),9)))</f>
        <v>#NAME?</v>
      </c>
      <c r="L65" s="91" t="e">
        <f ca="1">IF(F65="","",SUM(INDEX(利用時間_シフト,[0]!CSVChoose(ROW(行数!A57),配列!$C$8),10):INDEX(利用時間_シフト,[0]!CSVChoose(ROW(行数!A57),配列!$C$9),10)))</f>
        <v>#NAME?</v>
      </c>
      <c r="M65" s="93" t="e">
        <f ca="1">IF(F65="","",SUM(INDEX(利用時間_シフト,[0]!CSVChoose(ROW(行数!A57),配列!$C$8),11):INDEX(利用時間_シフト,[0]!CSVChoose(ROW(行数!A57),配列!$C$9),11)))</f>
        <v>#NAME?</v>
      </c>
      <c r="N65" s="91" t="e">
        <f t="shared" ca="1" si="10"/>
        <v>#NAME?</v>
      </c>
      <c r="O65" s="92" t="e">
        <f ca="1">[0]!CSVVLookUP(ROW(行数!A57),配列!$C$5,運転予定時間,7,1)</f>
        <v>#NAME?</v>
      </c>
      <c r="P65" s="253"/>
      <c r="Q65" s="254"/>
      <c r="R65" s="255"/>
      <c r="S65" s="254"/>
      <c r="T65" s="78"/>
      <c r="U65" s="186"/>
      <c r="W65" s="166" t="e">
        <f ca="1">[0]!CSVVLookUP(ROW(行数!A57),配列!$C$5,運転予定時間,5,1)</f>
        <v>#NAME?</v>
      </c>
      <c r="Y65" s="92" t="e">
        <f t="shared" ca="1" si="7"/>
        <v>#NAME?</v>
      </c>
      <c r="Z65" s="252"/>
      <c r="AA65" s="251"/>
      <c r="AB65" s="252"/>
      <c r="AC65" s="251"/>
    </row>
    <row r="66" spans="2:29" x14ac:dyDescent="0.2">
      <c r="B66" s="93" t="e">
        <f t="shared" ca="1" si="8"/>
        <v>#NAME?</v>
      </c>
      <c r="C66" s="90" t="e">
        <f ca="1">[0]!CSVVLookUP(ROW(行数!A58),配列!$C$5,運転予定時間,3,1)</f>
        <v>#NAME?</v>
      </c>
      <c r="D66" s="90" t="e">
        <f ca="1">[0]!CSVVLookUP(ROW(行数!B58),配列!$C$5,運転予定時間,4,1)</f>
        <v>#NAME?</v>
      </c>
      <c r="E66" s="90" t="e">
        <f ca="1">[0]!CSVVLookUP(ROW(行数!B58),配列!$C$8,利用時間_シフト,3,1)</f>
        <v>#NAME?</v>
      </c>
      <c r="F66" s="90" t="e">
        <f ca="1">[0]!CSVVLookUP(ROW(行数!B58),配列!$C$9,利用時間_シフト,4,1)</f>
        <v>#NAME?</v>
      </c>
      <c r="G66" s="91" t="e">
        <f ca="1">IF(F66="","",SUM(INDEX(利用時間_シフト,[0]!CSVChoose(ROW(行数!A58),配列!$C$8),5):INDEX(利用時間_シフト,[0]!CSVChoose(ROW(行数!A58),配列!$C$9),5)))</f>
        <v>#NAME?</v>
      </c>
      <c r="H66" s="91" t="e">
        <f ca="1">IF(F66="","",SUM(INDEX(利用時間_シフト,[0]!CSVChoose(ROW(行数!A58),配列!$C$8),6):INDEX(利用時間_シフト,[0]!CSVChoose(ROW(行数!A58),配列!$C$9),6)))</f>
        <v>#NAME?</v>
      </c>
      <c r="I66" s="103" t="e">
        <f t="shared" ca="1" si="9"/>
        <v>#NAME?</v>
      </c>
      <c r="J66" s="91" t="e">
        <f ca="1">IF(F66="","",SUM(INDEX(利用時間_シフト,[0]!CSVChoose(ROW(行数!A58),配列!$C$8),8):INDEX(利用時間_シフト,[0]!CSVChoose(ROW(行数!A58),配列!$C$9),8)))</f>
        <v>#NAME?</v>
      </c>
      <c r="K66" s="104" t="e">
        <f ca="1">IF(F66="","",SUM(INDEX(利用時間_シフト,[0]!CSVChoose(ROW(行数!A58),配列!$C$8),9):INDEX(利用時間_シフト,[0]!CSVChoose(ROW(行数!A58),配列!$C$9),9)))</f>
        <v>#NAME?</v>
      </c>
      <c r="L66" s="91" t="e">
        <f ca="1">IF(F66="","",SUM(INDEX(利用時間_シフト,[0]!CSVChoose(ROW(行数!A58),配列!$C$8),10):INDEX(利用時間_シフト,[0]!CSVChoose(ROW(行数!A58),配列!$C$9),10)))</f>
        <v>#NAME?</v>
      </c>
      <c r="M66" s="93" t="e">
        <f ca="1">IF(F66="","",SUM(INDEX(利用時間_シフト,[0]!CSVChoose(ROW(行数!A58),配列!$C$8),11):INDEX(利用時間_シフト,[0]!CSVChoose(ROW(行数!A58),配列!$C$9),11)))</f>
        <v>#NAME?</v>
      </c>
      <c r="N66" s="91" t="e">
        <f t="shared" ca="1" si="10"/>
        <v>#NAME?</v>
      </c>
      <c r="O66" s="92" t="e">
        <f ca="1">[0]!CSVVLookUP(ROW(行数!A58),配列!$C$5,運転予定時間,7,1)</f>
        <v>#NAME?</v>
      </c>
      <c r="P66" s="253"/>
      <c r="Q66" s="254"/>
      <c r="R66" s="255"/>
      <c r="S66" s="254"/>
      <c r="T66" s="78"/>
      <c r="U66" s="186"/>
      <c r="W66" s="166" t="e">
        <f ca="1">[0]!CSVVLookUP(ROW(行数!A58),配列!$C$5,運転予定時間,5,1)</f>
        <v>#NAME?</v>
      </c>
      <c r="Y66" s="92" t="e">
        <f t="shared" ca="1" si="7"/>
        <v>#NAME?</v>
      </c>
      <c r="Z66" s="252"/>
      <c r="AA66" s="251"/>
      <c r="AB66" s="252"/>
      <c r="AC66" s="251"/>
    </row>
    <row r="67" spans="2:29" x14ac:dyDescent="0.2">
      <c r="B67" s="93" t="e">
        <f t="shared" ca="1" si="8"/>
        <v>#NAME?</v>
      </c>
      <c r="C67" s="90" t="e">
        <f ca="1">[0]!CSVVLookUP(ROW(行数!A59),配列!$C$5,運転予定時間,3,1)</f>
        <v>#NAME?</v>
      </c>
      <c r="D67" s="90" t="e">
        <f ca="1">[0]!CSVVLookUP(ROW(行数!B59),配列!$C$5,運転予定時間,4,1)</f>
        <v>#NAME?</v>
      </c>
      <c r="E67" s="90" t="e">
        <f ca="1">[0]!CSVVLookUP(ROW(行数!B59),配列!$C$8,利用時間_シフト,3,1)</f>
        <v>#NAME?</v>
      </c>
      <c r="F67" s="90" t="e">
        <f ca="1">[0]!CSVVLookUP(ROW(行数!B59),配列!$C$9,利用時間_シフト,4,1)</f>
        <v>#NAME?</v>
      </c>
      <c r="G67" s="91" t="e">
        <f ca="1">IF(F67="","",SUM(INDEX(利用時間_シフト,[0]!CSVChoose(ROW(行数!A59),配列!$C$8),5):INDEX(利用時間_シフト,[0]!CSVChoose(ROW(行数!A59),配列!$C$9),5)))</f>
        <v>#NAME?</v>
      </c>
      <c r="H67" s="91" t="e">
        <f ca="1">IF(F67="","",SUM(INDEX(利用時間_シフト,[0]!CSVChoose(ROW(行数!A59),配列!$C$8),6):INDEX(利用時間_シフト,[0]!CSVChoose(ROW(行数!A59),配列!$C$9),6)))</f>
        <v>#NAME?</v>
      </c>
      <c r="I67" s="103" t="e">
        <f t="shared" ca="1" si="9"/>
        <v>#NAME?</v>
      </c>
      <c r="J67" s="91" t="e">
        <f ca="1">IF(F67="","",SUM(INDEX(利用時間_シフト,[0]!CSVChoose(ROW(行数!A59),配列!$C$8),8):INDEX(利用時間_シフト,[0]!CSVChoose(ROW(行数!A59),配列!$C$9),8)))</f>
        <v>#NAME?</v>
      </c>
      <c r="K67" s="104" t="e">
        <f ca="1">IF(F67="","",SUM(INDEX(利用時間_シフト,[0]!CSVChoose(ROW(行数!A59),配列!$C$8),9):INDEX(利用時間_シフト,[0]!CSVChoose(ROW(行数!A59),配列!$C$9),9)))</f>
        <v>#NAME?</v>
      </c>
      <c r="L67" s="91" t="e">
        <f ca="1">IF(F67="","",SUM(INDEX(利用時間_シフト,[0]!CSVChoose(ROW(行数!A59),配列!$C$8),10):INDEX(利用時間_シフト,[0]!CSVChoose(ROW(行数!A59),配列!$C$9),10)))</f>
        <v>#NAME?</v>
      </c>
      <c r="M67" s="93" t="e">
        <f ca="1">IF(F67="","",SUM(INDEX(利用時間_シフト,[0]!CSVChoose(ROW(行数!A59),配列!$C$8),11):INDEX(利用時間_シフト,[0]!CSVChoose(ROW(行数!A59),配列!$C$9),11)))</f>
        <v>#NAME?</v>
      </c>
      <c r="N67" s="91" t="e">
        <f t="shared" ca="1" si="10"/>
        <v>#NAME?</v>
      </c>
      <c r="O67" s="92" t="e">
        <f ca="1">[0]!CSVVLookUP(ROW(行数!A59),配列!$C$5,運転予定時間,7,1)</f>
        <v>#NAME?</v>
      </c>
      <c r="P67" s="253"/>
      <c r="Q67" s="254"/>
      <c r="R67" s="255"/>
      <c r="S67" s="254"/>
      <c r="T67" s="78"/>
      <c r="U67" s="186"/>
      <c r="W67" s="166" t="e">
        <f ca="1">[0]!CSVVLookUP(ROW(行数!A59),配列!$C$5,運転予定時間,5,1)</f>
        <v>#NAME?</v>
      </c>
      <c r="Y67" s="92" t="e">
        <f t="shared" ca="1" si="7"/>
        <v>#NAME?</v>
      </c>
      <c r="Z67" s="252"/>
      <c r="AA67" s="251"/>
      <c r="AB67" s="252"/>
      <c r="AC67" s="251"/>
    </row>
    <row r="68" spans="2:29" x14ac:dyDescent="0.2">
      <c r="B68" s="93" t="e">
        <f t="shared" ca="1" si="8"/>
        <v>#NAME?</v>
      </c>
      <c r="C68" s="90" t="e">
        <f ca="1">[0]!CSVVLookUP(ROW(行数!A60),配列!$C$5,運転予定時間,3,1)</f>
        <v>#NAME?</v>
      </c>
      <c r="D68" s="90" t="e">
        <f ca="1">[0]!CSVVLookUP(ROW(行数!B60),配列!$C$5,運転予定時間,4,1)</f>
        <v>#NAME?</v>
      </c>
      <c r="E68" s="90" t="e">
        <f ca="1">[0]!CSVVLookUP(ROW(行数!B60),配列!$C$8,利用時間_シフト,3,1)</f>
        <v>#NAME?</v>
      </c>
      <c r="F68" s="90" t="e">
        <f ca="1">[0]!CSVVLookUP(ROW(行数!B60),配列!$C$9,利用時間_シフト,4,1)</f>
        <v>#NAME?</v>
      </c>
      <c r="G68" s="91" t="e">
        <f ca="1">IF(F68="","",SUM(INDEX(利用時間_シフト,[0]!CSVChoose(ROW(行数!A60),配列!$C$8),5):INDEX(利用時間_シフト,[0]!CSVChoose(ROW(行数!A60),配列!$C$9),5)))</f>
        <v>#NAME?</v>
      </c>
      <c r="H68" s="91" t="e">
        <f ca="1">IF(F68="","",SUM(INDEX(利用時間_シフト,[0]!CSVChoose(ROW(行数!A60),配列!$C$8),6):INDEX(利用時間_シフト,[0]!CSVChoose(ROW(行数!A60),配列!$C$9),6)))</f>
        <v>#NAME?</v>
      </c>
      <c r="I68" s="103" t="e">
        <f t="shared" ca="1" si="9"/>
        <v>#NAME?</v>
      </c>
      <c r="J68" s="91" t="e">
        <f ca="1">IF(F68="","",SUM(INDEX(利用時間_シフト,[0]!CSVChoose(ROW(行数!A60),配列!$C$8),8):INDEX(利用時間_シフト,[0]!CSVChoose(ROW(行数!A60),配列!$C$9),8)))</f>
        <v>#NAME?</v>
      </c>
      <c r="K68" s="104" t="e">
        <f ca="1">IF(F68="","",SUM(INDEX(利用時間_シフト,[0]!CSVChoose(ROW(行数!A60),配列!$C$8),9):INDEX(利用時間_シフト,[0]!CSVChoose(ROW(行数!A60),配列!$C$9),9)))</f>
        <v>#NAME?</v>
      </c>
      <c r="L68" s="91" t="e">
        <f ca="1">IF(F68="","",SUM(INDEX(利用時間_シフト,[0]!CSVChoose(ROW(行数!A60),配列!$C$8),10):INDEX(利用時間_シフト,[0]!CSVChoose(ROW(行数!A60),配列!$C$9),10)))</f>
        <v>#NAME?</v>
      </c>
      <c r="M68" s="93" t="e">
        <f ca="1">IF(F68="","",SUM(INDEX(利用時間_シフト,[0]!CSVChoose(ROW(行数!A60),配列!$C$8),11):INDEX(利用時間_シフト,[0]!CSVChoose(ROW(行数!A60),配列!$C$9),11)))</f>
        <v>#NAME?</v>
      </c>
      <c r="N68" s="91" t="e">
        <f t="shared" ca="1" si="10"/>
        <v>#NAME?</v>
      </c>
      <c r="O68" s="92" t="e">
        <f ca="1">[0]!CSVVLookUP(ROW(行数!A60),配列!$C$5,運転予定時間,7,1)</f>
        <v>#NAME?</v>
      </c>
      <c r="P68" s="253"/>
      <c r="Q68" s="254"/>
      <c r="R68" s="255"/>
      <c r="S68" s="254"/>
      <c r="T68" s="78"/>
      <c r="U68" s="186"/>
      <c r="W68" s="166" t="e">
        <f ca="1">[0]!CSVVLookUP(ROW(行数!A60),配列!$C$5,運転予定時間,5,1)</f>
        <v>#NAME?</v>
      </c>
      <c r="Y68" s="92" t="e">
        <f t="shared" ca="1" si="7"/>
        <v>#NAME?</v>
      </c>
      <c r="Z68" s="252"/>
      <c r="AA68" s="251"/>
      <c r="AB68" s="252"/>
      <c r="AC68" s="251"/>
    </row>
    <row r="69" spans="2:29" x14ac:dyDescent="0.2">
      <c r="B69" s="93" t="e">
        <f t="shared" ca="1" si="8"/>
        <v>#NAME?</v>
      </c>
      <c r="C69" s="90" t="e">
        <f ca="1">[0]!CSVVLookUP(ROW(行数!A61),配列!$C$5,運転予定時間,3,1)</f>
        <v>#NAME?</v>
      </c>
      <c r="D69" s="90" t="e">
        <f ca="1">[0]!CSVVLookUP(ROW(行数!B61),配列!$C$5,運転予定時間,4,1)</f>
        <v>#NAME?</v>
      </c>
      <c r="E69" s="90" t="e">
        <f ca="1">[0]!CSVVLookUP(ROW(行数!B61),配列!$C$8,利用時間_シフト,3,1)</f>
        <v>#NAME?</v>
      </c>
      <c r="F69" s="90" t="e">
        <f ca="1">[0]!CSVVLookUP(ROW(行数!B61),配列!$C$9,利用時間_シフト,4,1)</f>
        <v>#NAME?</v>
      </c>
      <c r="G69" s="91" t="e">
        <f ca="1">IF(F69="","",SUM(INDEX(利用時間_シフト,[0]!CSVChoose(ROW(行数!A61),配列!$C$8),5):INDEX(利用時間_シフト,[0]!CSVChoose(ROW(行数!A61),配列!$C$9),5)))</f>
        <v>#NAME?</v>
      </c>
      <c r="H69" s="91" t="e">
        <f ca="1">IF(F69="","",SUM(INDEX(利用時間_シフト,[0]!CSVChoose(ROW(行数!A61),配列!$C$8),6):INDEX(利用時間_シフト,[0]!CSVChoose(ROW(行数!A61),配列!$C$9),6)))</f>
        <v>#NAME?</v>
      </c>
      <c r="I69" s="103" t="e">
        <f t="shared" ca="1" si="9"/>
        <v>#NAME?</v>
      </c>
      <c r="J69" s="91" t="e">
        <f ca="1">IF(F69="","",SUM(INDEX(利用時間_シフト,[0]!CSVChoose(ROW(行数!A61),配列!$C$8),8):INDEX(利用時間_シフト,[0]!CSVChoose(ROW(行数!A61),配列!$C$9),8)))</f>
        <v>#NAME?</v>
      </c>
      <c r="K69" s="104" t="e">
        <f ca="1">IF(F69="","",SUM(INDEX(利用時間_シフト,[0]!CSVChoose(ROW(行数!A61),配列!$C$8),9):INDEX(利用時間_シフト,[0]!CSVChoose(ROW(行数!A61),配列!$C$9),9)))</f>
        <v>#NAME?</v>
      </c>
      <c r="L69" s="91" t="e">
        <f ca="1">IF(F69="","",SUM(INDEX(利用時間_シフト,[0]!CSVChoose(ROW(行数!A61),配列!$C$8),10):INDEX(利用時間_シフト,[0]!CSVChoose(ROW(行数!A61),配列!$C$9),10)))</f>
        <v>#NAME?</v>
      </c>
      <c r="M69" s="93" t="e">
        <f ca="1">IF(F69="","",SUM(INDEX(利用時間_シフト,[0]!CSVChoose(ROW(行数!A61),配列!$C$8),11):INDEX(利用時間_シフト,[0]!CSVChoose(ROW(行数!A61),配列!$C$9),11)))</f>
        <v>#NAME?</v>
      </c>
      <c r="N69" s="91" t="e">
        <f t="shared" ca="1" si="10"/>
        <v>#NAME?</v>
      </c>
      <c r="O69" s="92" t="e">
        <f ca="1">[0]!CSVVLookUP(ROW(行数!A61),配列!$C$5,運転予定時間,7,1)</f>
        <v>#NAME?</v>
      </c>
      <c r="P69" s="253"/>
      <c r="Q69" s="254"/>
      <c r="R69" s="255"/>
      <c r="S69" s="254"/>
      <c r="T69" s="78"/>
      <c r="U69" s="186"/>
      <c r="W69" s="166" t="e">
        <f ca="1">[0]!CSVVLookUP(ROW(行数!A61),配列!$C$5,運転予定時間,5,1)</f>
        <v>#NAME?</v>
      </c>
      <c r="Y69" s="92" t="e">
        <f t="shared" ca="1" si="7"/>
        <v>#NAME?</v>
      </c>
      <c r="Z69" s="252"/>
      <c r="AA69" s="251"/>
      <c r="AB69" s="252"/>
      <c r="AC69" s="251"/>
    </row>
    <row r="70" spans="2:29" x14ac:dyDescent="0.2">
      <c r="B70" s="93" t="e">
        <f t="shared" ca="1" si="8"/>
        <v>#NAME?</v>
      </c>
      <c r="C70" s="90" t="e">
        <f ca="1">[0]!CSVVLookUP(ROW(行数!A62),配列!$C$5,運転予定時間,3,1)</f>
        <v>#NAME?</v>
      </c>
      <c r="D70" s="90" t="e">
        <f ca="1">[0]!CSVVLookUP(ROW(行数!B62),配列!$C$5,運転予定時間,4,1)</f>
        <v>#NAME?</v>
      </c>
      <c r="E70" s="90" t="e">
        <f ca="1">[0]!CSVVLookUP(ROW(行数!B62),配列!$C$8,利用時間_シフト,3,1)</f>
        <v>#NAME?</v>
      </c>
      <c r="F70" s="90" t="e">
        <f ca="1">[0]!CSVVLookUP(ROW(行数!B62),配列!$C$9,利用時間_シフト,4,1)</f>
        <v>#NAME?</v>
      </c>
      <c r="G70" s="91" t="e">
        <f ca="1">IF(F70="","",SUM(INDEX(利用時間_シフト,[0]!CSVChoose(ROW(行数!A62),配列!$C$8),5):INDEX(利用時間_シフト,[0]!CSVChoose(ROW(行数!A62),配列!$C$9),5)))</f>
        <v>#NAME?</v>
      </c>
      <c r="H70" s="91" t="e">
        <f ca="1">IF(F70="","",SUM(INDEX(利用時間_シフト,[0]!CSVChoose(ROW(行数!A62),配列!$C$8),6):INDEX(利用時間_シフト,[0]!CSVChoose(ROW(行数!A62),配列!$C$9),6)))</f>
        <v>#NAME?</v>
      </c>
      <c r="I70" s="103" t="e">
        <f t="shared" ca="1" si="9"/>
        <v>#NAME?</v>
      </c>
      <c r="J70" s="91" t="e">
        <f ca="1">IF(F70="","",SUM(INDEX(利用時間_シフト,[0]!CSVChoose(ROW(行数!A62),配列!$C$8),8):INDEX(利用時間_シフト,[0]!CSVChoose(ROW(行数!A62),配列!$C$9),8)))</f>
        <v>#NAME?</v>
      </c>
      <c r="K70" s="104" t="e">
        <f ca="1">IF(F70="","",SUM(INDEX(利用時間_シフト,[0]!CSVChoose(ROW(行数!A62),配列!$C$8),9):INDEX(利用時間_シフト,[0]!CSVChoose(ROW(行数!A62),配列!$C$9),9)))</f>
        <v>#NAME?</v>
      </c>
      <c r="L70" s="91" t="e">
        <f ca="1">IF(F70="","",SUM(INDEX(利用時間_シフト,[0]!CSVChoose(ROW(行数!A62),配列!$C$8),10):INDEX(利用時間_シフト,[0]!CSVChoose(ROW(行数!A62),配列!$C$9),10)))</f>
        <v>#NAME?</v>
      </c>
      <c r="M70" s="93" t="e">
        <f ca="1">IF(F70="","",SUM(INDEX(利用時間_シフト,[0]!CSVChoose(ROW(行数!A62),配列!$C$8),11):INDEX(利用時間_シフト,[0]!CSVChoose(ROW(行数!A62),配列!$C$9),11)))</f>
        <v>#NAME?</v>
      </c>
      <c r="N70" s="91" t="e">
        <f t="shared" ca="1" si="10"/>
        <v>#NAME?</v>
      </c>
      <c r="O70" s="92" t="e">
        <f ca="1">[0]!CSVVLookUP(ROW(行数!A62),配列!$C$5,運転予定時間,7,1)</f>
        <v>#NAME?</v>
      </c>
      <c r="P70" s="253"/>
      <c r="Q70" s="254"/>
      <c r="R70" s="255"/>
      <c r="S70" s="254"/>
      <c r="T70" s="78"/>
      <c r="U70" s="186"/>
      <c r="W70" s="166" t="e">
        <f ca="1">[0]!CSVVLookUP(ROW(行数!A62),配列!$C$5,運転予定時間,5,1)</f>
        <v>#NAME?</v>
      </c>
      <c r="Y70" s="92" t="e">
        <f t="shared" ca="1" si="7"/>
        <v>#NAME?</v>
      </c>
      <c r="Z70" s="252"/>
      <c r="AA70" s="251"/>
      <c r="AB70" s="252"/>
      <c r="AC70" s="251"/>
    </row>
    <row r="71" spans="2:29" x14ac:dyDescent="0.2">
      <c r="B71" s="93" t="e">
        <f t="shared" ca="1" si="8"/>
        <v>#NAME?</v>
      </c>
      <c r="C71" s="90" t="e">
        <f ca="1">[0]!CSVVLookUP(ROW(行数!A63),配列!$C$5,運転予定時間,3,1)</f>
        <v>#NAME?</v>
      </c>
      <c r="D71" s="90" t="e">
        <f ca="1">[0]!CSVVLookUP(ROW(行数!B63),配列!$C$5,運転予定時間,4,1)</f>
        <v>#NAME?</v>
      </c>
      <c r="E71" s="90" t="e">
        <f ca="1">[0]!CSVVLookUP(ROW(行数!B63),配列!$C$8,利用時間_シフト,3,1)</f>
        <v>#NAME?</v>
      </c>
      <c r="F71" s="90" t="e">
        <f ca="1">[0]!CSVVLookUP(ROW(行数!B63),配列!$C$9,利用時間_シフト,4,1)</f>
        <v>#NAME?</v>
      </c>
      <c r="G71" s="91" t="e">
        <f ca="1">IF(F71="","",SUM(INDEX(利用時間_シフト,[0]!CSVChoose(ROW(行数!A63),配列!$C$8),5):INDEX(利用時間_シフト,[0]!CSVChoose(ROW(行数!A63),配列!$C$9),5)))</f>
        <v>#NAME?</v>
      </c>
      <c r="H71" s="91" t="e">
        <f ca="1">IF(F71="","",SUM(INDEX(利用時間_シフト,[0]!CSVChoose(ROW(行数!A63),配列!$C$8),6):INDEX(利用時間_シフト,[0]!CSVChoose(ROW(行数!A63),配列!$C$9),6)))</f>
        <v>#NAME?</v>
      </c>
      <c r="I71" s="103" t="e">
        <f t="shared" ca="1" si="9"/>
        <v>#NAME?</v>
      </c>
      <c r="J71" s="91" t="e">
        <f ca="1">IF(F71="","",SUM(INDEX(利用時間_シフト,[0]!CSVChoose(ROW(行数!A63),配列!$C$8),8):INDEX(利用時間_シフト,[0]!CSVChoose(ROW(行数!A63),配列!$C$9),8)))</f>
        <v>#NAME?</v>
      </c>
      <c r="K71" s="104" t="e">
        <f ca="1">IF(F71="","",SUM(INDEX(利用時間_シフト,[0]!CSVChoose(ROW(行数!A63),配列!$C$8),9):INDEX(利用時間_シフト,[0]!CSVChoose(ROW(行数!A63),配列!$C$9),9)))</f>
        <v>#NAME?</v>
      </c>
      <c r="L71" s="91" t="e">
        <f ca="1">IF(F71="","",SUM(INDEX(利用時間_シフト,[0]!CSVChoose(ROW(行数!A63),配列!$C$8),10):INDEX(利用時間_シフト,[0]!CSVChoose(ROW(行数!A63),配列!$C$9),10)))</f>
        <v>#NAME?</v>
      </c>
      <c r="M71" s="93" t="e">
        <f ca="1">IF(F71="","",SUM(INDEX(利用時間_シフト,[0]!CSVChoose(ROW(行数!A63),配列!$C$8),11):INDEX(利用時間_シフト,[0]!CSVChoose(ROW(行数!A63),配列!$C$9),11)))</f>
        <v>#NAME?</v>
      </c>
      <c r="N71" s="91" t="e">
        <f t="shared" ca="1" si="10"/>
        <v>#NAME?</v>
      </c>
      <c r="O71" s="92" t="e">
        <f ca="1">[0]!CSVVLookUP(ROW(行数!A63),配列!$C$5,運転予定時間,7,1)</f>
        <v>#NAME?</v>
      </c>
      <c r="P71" s="253"/>
      <c r="Q71" s="254"/>
      <c r="R71" s="255"/>
      <c r="S71" s="254"/>
      <c r="T71" s="78"/>
      <c r="U71" s="186"/>
      <c r="W71" s="166" t="e">
        <f ca="1">[0]!CSVVLookUP(ROW(行数!A63),配列!$C$5,運転予定時間,5,1)</f>
        <v>#NAME?</v>
      </c>
      <c r="Y71" s="92" t="e">
        <f t="shared" ca="1" si="7"/>
        <v>#NAME?</v>
      </c>
      <c r="Z71" s="252"/>
      <c r="AA71" s="251"/>
      <c r="AB71" s="252"/>
      <c r="AC71" s="251"/>
    </row>
    <row r="72" spans="2:29" x14ac:dyDescent="0.2">
      <c r="B72" s="93" t="e">
        <f t="shared" ca="1" si="8"/>
        <v>#NAME?</v>
      </c>
      <c r="C72" s="90" t="e">
        <f ca="1">[0]!CSVVLookUP(ROW(行数!A64),配列!$C$5,運転予定時間,3,1)</f>
        <v>#NAME?</v>
      </c>
      <c r="D72" s="90" t="e">
        <f ca="1">[0]!CSVVLookUP(ROW(行数!B64),配列!$C$5,運転予定時間,4,1)</f>
        <v>#NAME?</v>
      </c>
      <c r="E72" s="90" t="e">
        <f ca="1">[0]!CSVVLookUP(ROW(行数!B64),配列!$C$8,利用時間_シフト,3,1)</f>
        <v>#NAME?</v>
      </c>
      <c r="F72" s="90" t="e">
        <f ca="1">[0]!CSVVLookUP(ROW(行数!B64),配列!$C$9,利用時間_シフト,4,1)</f>
        <v>#NAME?</v>
      </c>
      <c r="G72" s="91" t="e">
        <f ca="1">IF(F72="","",SUM(INDEX(利用時間_シフト,[0]!CSVChoose(ROW(行数!A64),配列!$C$8),5):INDEX(利用時間_シフト,[0]!CSVChoose(ROW(行数!A64),配列!$C$9),5)))</f>
        <v>#NAME?</v>
      </c>
      <c r="H72" s="91" t="e">
        <f ca="1">IF(F72="","",SUM(INDEX(利用時間_シフト,[0]!CSVChoose(ROW(行数!A64),配列!$C$8),6):INDEX(利用時間_シフト,[0]!CSVChoose(ROW(行数!A64),配列!$C$9),6)))</f>
        <v>#NAME?</v>
      </c>
      <c r="I72" s="103" t="e">
        <f t="shared" ca="1" si="9"/>
        <v>#NAME?</v>
      </c>
      <c r="J72" s="91" t="e">
        <f ca="1">IF(F72="","",SUM(INDEX(利用時間_シフト,[0]!CSVChoose(ROW(行数!A64),配列!$C$8),8):INDEX(利用時間_シフト,[0]!CSVChoose(ROW(行数!A64),配列!$C$9),8)))</f>
        <v>#NAME?</v>
      </c>
      <c r="K72" s="104" t="e">
        <f ca="1">IF(F72="","",SUM(INDEX(利用時間_シフト,[0]!CSVChoose(ROW(行数!A64),配列!$C$8),9):INDEX(利用時間_シフト,[0]!CSVChoose(ROW(行数!A64),配列!$C$9),9)))</f>
        <v>#NAME?</v>
      </c>
      <c r="L72" s="91" t="e">
        <f ca="1">IF(F72="","",SUM(INDEX(利用時間_シフト,[0]!CSVChoose(ROW(行数!A64),配列!$C$8),10):INDEX(利用時間_シフト,[0]!CSVChoose(ROW(行数!A64),配列!$C$9),10)))</f>
        <v>#NAME?</v>
      </c>
      <c r="M72" s="93" t="e">
        <f ca="1">IF(F72="","",SUM(INDEX(利用時間_シフト,[0]!CSVChoose(ROW(行数!A64),配列!$C$8),11):INDEX(利用時間_シフト,[0]!CSVChoose(ROW(行数!A64),配列!$C$9),11)))</f>
        <v>#NAME?</v>
      </c>
      <c r="N72" s="91" t="e">
        <f t="shared" ca="1" si="10"/>
        <v>#NAME?</v>
      </c>
      <c r="O72" s="92" t="e">
        <f ca="1">[0]!CSVVLookUP(ROW(行数!A64),配列!$C$5,運転予定時間,7,1)</f>
        <v>#NAME?</v>
      </c>
      <c r="P72" s="253"/>
      <c r="Q72" s="254"/>
      <c r="R72" s="255"/>
      <c r="S72" s="254"/>
      <c r="T72" s="78"/>
      <c r="U72" s="186"/>
      <c r="W72" s="166" t="e">
        <f ca="1">[0]!CSVVLookUP(ROW(行数!A64),配列!$C$5,運転予定時間,5,1)</f>
        <v>#NAME?</v>
      </c>
      <c r="Y72" s="92" t="e">
        <f t="shared" ca="1" si="7"/>
        <v>#NAME?</v>
      </c>
      <c r="Z72" s="252"/>
      <c r="AA72" s="251"/>
      <c r="AB72" s="252"/>
      <c r="AC72" s="251"/>
    </row>
    <row r="73" spans="2:29" x14ac:dyDescent="0.2">
      <c r="B73" s="93" t="e">
        <f t="shared" ref="B73:B104" ca="1" si="11">IF(C73="","",VLOOKUP(C73,ユニット判定用,3))</f>
        <v>#NAME?</v>
      </c>
      <c r="C73" s="90" t="e">
        <f ca="1">[0]!CSVVLookUP(ROW(行数!A65),配列!$C$5,運転予定時間,3,1)</f>
        <v>#NAME?</v>
      </c>
      <c r="D73" s="90" t="e">
        <f ca="1">[0]!CSVVLookUP(ROW(行数!B65),配列!$C$5,運転予定時間,4,1)</f>
        <v>#NAME?</v>
      </c>
      <c r="E73" s="90" t="e">
        <f ca="1">[0]!CSVVLookUP(ROW(行数!B65),配列!$C$8,利用時間_シフト,3,1)</f>
        <v>#NAME?</v>
      </c>
      <c r="F73" s="90" t="e">
        <f ca="1">[0]!CSVVLookUP(ROW(行数!B65),配列!$C$9,利用時間_シフト,4,1)</f>
        <v>#NAME?</v>
      </c>
      <c r="G73" s="91" t="e">
        <f ca="1">IF(F73="","",SUM(INDEX(利用時間_シフト,[0]!CSVChoose(ROW(行数!A65),配列!$C$8),5):INDEX(利用時間_シフト,[0]!CSVChoose(ROW(行数!A65),配列!$C$9),5)))</f>
        <v>#NAME?</v>
      </c>
      <c r="H73" s="91" t="e">
        <f ca="1">IF(F73="","",SUM(INDEX(利用時間_シフト,[0]!CSVChoose(ROW(行数!A65),配列!$C$8),6):INDEX(利用時間_シフト,[0]!CSVChoose(ROW(行数!A65),配列!$C$9),6)))</f>
        <v>#NAME?</v>
      </c>
      <c r="I73" s="103" t="e">
        <f t="shared" ref="I73:I104" ca="1" si="12">IF(E73="","",H73/G73)</f>
        <v>#NAME?</v>
      </c>
      <c r="J73" s="91" t="e">
        <f ca="1">IF(F73="","",SUM(INDEX(利用時間_シフト,[0]!CSVChoose(ROW(行数!A65),配列!$C$8),8):INDEX(利用時間_シフト,[0]!CSVChoose(ROW(行数!A65),配列!$C$9),8)))</f>
        <v>#NAME?</v>
      </c>
      <c r="K73" s="104" t="e">
        <f ca="1">IF(F73="","",SUM(INDEX(利用時間_シフト,[0]!CSVChoose(ROW(行数!A65),配列!$C$8),9):INDEX(利用時間_シフト,[0]!CSVChoose(ROW(行数!A65),配列!$C$9),9)))</f>
        <v>#NAME?</v>
      </c>
      <c r="L73" s="91" t="e">
        <f ca="1">IF(F73="","",SUM(INDEX(利用時間_シフト,[0]!CSVChoose(ROW(行数!A65),配列!$C$8),10):INDEX(利用時間_シフト,[0]!CSVChoose(ROW(行数!A65),配列!$C$9),10)))</f>
        <v>#NAME?</v>
      </c>
      <c r="M73" s="93" t="e">
        <f ca="1">IF(F73="","",SUM(INDEX(利用時間_シフト,[0]!CSVChoose(ROW(行数!A65),配列!$C$8),11):INDEX(利用時間_シフト,[0]!CSVChoose(ROW(行数!A65),配列!$C$9),11)))</f>
        <v>#NAME?</v>
      </c>
      <c r="N73" s="91" t="e">
        <f t="shared" ref="N73:N104" ca="1" si="13">IF(F73="","",MROUND(G73/(M73+1),"00:01"))</f>
        <v>#NAME?</v>
      </c>
      <c r="O73" s="92" t="e">
        <f ca="1">[0]!CSVVLookUP(ROW(行数!A65),配列!$C$5,運転予定時間,7,1)</f>
        <v>#NAME?</v>
      </c>
      <c r="P73" s="253"/>
      <c r="Q73" s="254"/>
      <c r="R73" s="255"/>
      <c r="S73" s="254"/>
      <c r="T73" s="78"/>
      <c r="U73" s="161"/>
      <c r="W73" s="166" t="e">
        <f ca="1">[0]!CSVVLookUP(ROW(行数!A65),配列!$C$5,運転予定時間,5,1)</f>
        <v>#NAME?</v>
      </c>
      <c r="Y73" s="92" t="e">
        <f t="shared" ca="1" si="7"/>
        <v>#NAME?</v>
      </c>
      <c r="Z73" s="81"/>
      <c r="AA73" s="251"/>
      <c r="AB73" s="81"/>
      <c r="AC73" s="251"/>
    </row>
    <row r="74" spans="2:29" x14ac:dyDescent="0.2">
      <c r="B74" s="93" t="e">
        <f t="shared" ca="1" si="11"/>
        <v>#NAME?</v>
      </c>
      <c r="C74" s="90" t="e">
        <f ca="1">[0]!CSVVLookUP(ROW(行数!A66),配列!$C$5,運転予定時間,3,1)</f>
        <v>#NAME?</v>
      </c>
      <c r="D74" s="90" t="e">
        <f ca="1">[0]!CSVVLookUP(ROW(行数!B66),配列!$C$5,運転予定時間,4,1)</f>
        <v>#NAME?</v>
      </c>
      <c r="E74" s="90" t="e">
        <f ca="1">[0]!CSVVLookUP(ROW(行数!B66),配列!$C$8,利用時間_シフト,3,1)</f>
        <v>#NAME?</v>
      </c>
      <c r="F74" s="90" t="e">
        <f ca="1">[0]!CSVVLookUP(ROW(行数!B66),配列!$C$9,利用時間_シフト,4,1)</f>
        <v>#NAME?</v>
      </c>
      <c r="G74" s="91" t="e">
        <f ca="1">IF(F74="","",SUM(INDEX(利用時間_シフト,[0]!CSVChoose(ROW(行数!A66),配列!$C$8),5):INDEX(利用時間_シフト,[0]!CSVChoose(ROW(行数!A66),配列!$C$9),5)))</f>
        <v>#NAME?</v>
      </c>
      <c r="H74" s="91" t="e">
        <f ca="1">IF(F74="","",SUM(INDEX(利用時間_シフト,[0]!CSVChoose(ROW(行数!A66),配列!$C$8),6):INDEX(利用時間_シフト,[0]!CSVChoose(ROW(行数!A66),配列!$C$9),6)))</f>
        <v>#NAME?</v>
      </c>
      <c r="I74" s="103" t="e">
        <f t="shared" ca="1" si="12"/>
        <v>#NAME?</v>
      </c>
      <c r="J74" s="91" t="e">
        <f ca="1">IF(F74="","",SUM(INDEX(利用時間_シフト,[0]!CSVChoose(ROW(行数!A66),配列!$C$8),8):INDEX(利用時間_シフト,[0]!CSVChoose(ROW(行数!A66),配列!$C$9),8)))</f>
        <v>#NAME?</v>
      </c>
      <c r="K74" s="104" t="e">
        <f ca="1">IF(F74="","",SUM(INDEX(利用時間_シフト,[0]!CSVChoose(ROW(行数!A66),配列!$C$8),9):INDEX(利用時間_シフト,[0]!CSVChoose(ROW(行数!A66),配列!$C$9),9)))</f>
        <v>#NAME?</v>
      </c>
      <c r="L74" s="91" t="e">
        <f ca="1">IF(F74="","",SUM(INDEX(利用時間_シフト,[0]!CSVChoose(ROW(行数!A66),配列!$C$8),10):INDEX(利用時間_シフト,[0]!CSVChoose(ROW(行数!A66),配列!$C$9),10)))</f>
        <v>#NAME?</v>
      </c>
      <c r="M74" s="93" t="e">
        <f ca="1">IF(F74="","",SUM(INDEX(利用時間_シフト,[0]!CSVChoose(ROW(行数!A66),配列!$C$8),11):INDEX(利用時間_シフト,[0]!CSVChoose(ROW(行数!A66),配列!$C$9),11)))</f>
        <v>#NAME?</v>
      </c>
      <c r="N74" s="91" t="e">
        <f t="shared" ca="1" si="13"/>
        <v>#NAME?</v>
      </c>
      <c r="O74" s="92" t="e">
        <f ca="1">[0]!CSVVLookUP(ROW(行数!A66),配列!$C$5,運転予定時間,7,1)</f>
        <v>#NAME?</v>
      </c>
      <c r="P74" s="253"/>
      <c r="Q74" s="254"/>
      <c r="R74" s="255"/>
      <c r="S74" s="254"/>
      <c r="T74" s="78"/>
      <c r="U74" s="161"/>
      <c r="W74" s="166" t="e">
        <f ca="1">[0]!CSVVLookUP(ROW(行数!A66),配列!$C$5,運転予定時間,5,1)</f>
        <v>#NAME?</v>
      </c>
      <c r="Y74" s="92" t="e">
        <f t="shared" ref="Y74:Y104" ca="1" si="14">IF(O74="","",O74)</f>
        <v>#NAME?</v>
      </c>
      <c r="Z74" s="81"/>
      <c r="AA74" s="251"/>
      <c r="AB74" s="81"/>
      <c r="AC74" s="251"/>
    </row>
    <row r="75" spans="2:29" x14ac:dyDescent="0.2">
      <c r="B75" s="93" t="e">
        <f t="shared" ca="1" si="11"/>
        <v>#NAME?</v>
      </c>
      <c r="C75" s="90" t="e">
        <f ca="1">[0]!CSVVLookUP(ROW(行数!A67),配列!$C$5,運転予定時間,3,1)</f>
        <v>#NAME?</v>
      </c>
      <c r="D75" s="90" t="e">
        <f ca="1">[0]!CSVVLookUP(ROW(行数!B67),配列!$C$5,運転予定時間,4,1)</f>
        <v>#NAME?</v>
      </c>
      <c r="E75" s="90" t="e">
        <f ca="1">[0]!CSVVLookUP(ROW(行数!B67),配列!$C$8,利用時間_シフト,3,1)</f>
        <v>#NAME?</v>
      </c>
      <c r="F75" s="90" t="e">
        <f ca="1">[0]!CSVVLookUP(ROW(行数!B67),配列!$C$9,利用時間_シフト,4,1)</f>
        <v>#NAME?</v>
      </c>
      <c r="G75" s="91" t="e">
        <f ca="1">IF(F75="","",SUM(INDEX(利用時間_シフト,[0]!CSVChoose(ROW(行数!A67),配列!$C$8),5):INDEX(利用時間_シフト,[0]!CSVChoose(ROW(行数!A67),配列!$C$9),5)))</f>
        <v>#NAME?</v>
      </c>
      <c r="H75" s="91" t="e">
        <f ca="1">IF(F75="","",SUM(INDEX(利用時間_シフト,[0]!CSVChoose(ROW(行数!A67),配列!$C$8),6):INDEX(利用時間_シフト,[0]!CSVChoose(ROW(行数!A67),配列!$C$9),6)))</f>
        <v>#NAME?</v>
      </c>
      <c r="I75" s="103" t="e">
        <f t="shared" ca="1" si="12"/>
        <v>#NAME?</v>
      </c>
      <c r="J75" s="91" t="e">
        <f ca="1">IF(F75="","",SUM(INDEX(利用時間_シフト,[0]!CSVChoose(ROW(行数!A67),配列!$C$8),8):INDEX(利用時間_シフト,[0]!CSVChoose(ROW(行数!A67),配列!$C$9),8)))</f>
        <v>#NAME?</v>
      </c>
      <c r="K75" s="104" t="e">
        <f ca="1">IF(F75="","",SUM(INDEX(利用時間_シフト,[0]!CSVChoose(ROW(行数!A67),配列!$C$8),9):INDEX(利用時間_シフト,[0]!CSVChoose(ROW(行数!A67),配列!$C$9),9)))</f>
        <v>#NAME?</v>
      </c>
      <c r="L75" s="91" t="e">
        <f ca="1">IF(F75="","",SUM(INDEX(利用時間_シフト,[0]!CSVChoose(ROW(行数!A67),配列!$C$8),10):INDEX(利用時間_シフト,[0]!CSVChoose(ROW(行数!A67),配列!$C$9),10)))</f>
        <v>#NAME?</v>
      </c>
      <c r="M75" s="93" t="e">
        <f ca="1">IF(F75="","",SUM(INDEX(利用時間_シフト,[0]!CSVChoose(ROW(行数!A67),配列!$C$8),11):INDEX(利用時間_シフト,[0]!CSVChoose(ROW(行数!A67),配列!$C$9),11)))</f>
        <v>#NAME?</v>
      </c>
      <c r="N75" s="91" t="e">
        <f t="shared" ca="1" si="13"/>
        <v>#NAME?</v>
      </c>
      <c r="O75" s="92" t="e">
        <f ca="1">[0]!CSVVLookUP(ROW(行数!A67),配列!$C$5,運転予定時間,7,1)</f>
        <v>#NAME?</v>
      </c>
      <c r="P75" s="253" t="str">
        <f t="shared" ref="P75:P77" si="15">IF(Z75="","",Z75)</f>
        <v/>
      </c>
      <c r="Q75" s="254" t="str">
        <f t="shared" ref="Q75:Q77" si="16">IF(AA75="","",AA75)</f>
        <v/>
      </c>
      <c r="R75" s="255" t="str">
        <f t="shared" ref="R75:R77" si="17">IF(AC75="","",AC75)</f>
        <v/>
      </c>
      <c r="S75" s="254" t="str">
        <f t="shared" ref="S75:S77" si="18">IF(AB75="","",AB75)</f>
        <v/>
      </c>
      <c r="T75" s="78"/>
      <c r="U75" s="161"/>
      <c r="W75" s="166" t="e">
        <f ca="1">[0]!CSVVLookUP(ROW(行数!A67),配列!$C$5,運転予定時間,5,1)</f>
        <v>#NAME?</v>
      </c>
      <c r="Y75" s="92" t="e">
        <f t="shared" ca="1" si="14"/>
        <v>#NAME?</v>
      </c>
      <c r="Z75" s="81"/>
      <c r="AA75" s="251"/>
      <c r="AB75" s="81"/>
      <c r="AC75" s="251"/>
    </row>
    <row r="76" spans="2:29" x14ac:dyDescent="0.2">
      <c r="B76" s="93" t="e">
        <f t="shared" ca="1" si="11"/>
        <v>#NAME?</v>
      </c>
      <c r="C76" s="90" t="e">
        <f ca="1">[0]!CSVVLookUP(ROW(行数!A68),配列!$C$5,運転予定時間,3,1)</f>
        <v>#NAME?</v>
      </c>
      <c r="D76" s="90" t="e">
        <f ca="1">[0]!CSVVLookUP(ROW(行数!B68),配列!$C$5,運転予定時間,4,1)</f>
        <v>#NAME?</v>
      </c>
      <c r="E76" s="90" t="e">
        <f ca="1">[0]!CSVVLookUP(ROW(行数!B68),配列!$C$8,利用時間_シフト,3,1)</f>
        <v>#NAME?</v>
      </c>
      <c r="F76" s="90" t="e">
        <f ca="1">[0]!CSVVLookUP(ROW(行数!B68),配列!$C$9,利用時間_シフト,4,1)</f>
        <v>#NAME?</v>
      </c>
      <c r="G76" s="91" t="e">
        <f ca="1">IF(F76="","",SUM(INDEX(利用時間_シフト,[0]!CSVChoose(ROW(行数!A68),配列!$C$8),5):INDEX(利用時間_シフト,[0]!CSVChoose(ROW(行数!A68),配列!$C$9),5)))</f>
        <v>#NAME?</v>
      </c>
      <c r="H76" s="91" t="e">
        <f ca="1">IF(F76="","",SUM(INDEX(利用時間_シフト,[0]!CSVChoose(ROW(行数!A68),配列!$C$8),6):INDEX(利用時間_シフト,[0]!CSVChoose(ROW(行数!A68),配列!$C$9),6)))</f>
        <v>#NAME?</v>
      </c>
      <c r="I76" s="103" t="e">
        <f t="shared" ca="1" si="12"/>
        <v>#NAME?</v>
      </c>
      <c r="J76" s="91" t="e">
        <f ca="1">IF(F76="","",SUM(INDEX(利用時間_シフト,[0]!CSVChoose(ROW(行数!A68),配列!$C$8),8):INDEX(利用時間_シフト,[0]!CSVChoose(ROW(行数!A68),配列!$C$9),8)))</f>
        <v>#NAME?</v>
      </c>
      <c r="K76" s="104" t="e">
        <f ca="1">IF(F76="","",SUM(INDEX(利用時間_シフト,[0]!CSVChoose(ROW(行数!A68),配列!$C$8),9):INDEX(利用時間_シフト,[0]!CSVChoose(ROW(行数!A68),配列!$C$9),9)))</f>
        <v>#NAME?</v>
      </c>
      <c r="L76" s="91" t="e">
        <f ca="1">IF(F76="","",SUM(INDEX(利用時間_シフト,[0]!CSVChoose(ROW(行数!A68),配列!$C$8),10):INDEX(利用時間_シフト,[0]!CSVChoose(ROW(行数!A68),配列!$C$9),10)))</f>
        <v>#NAME?</v>
      </c>
      <c r="M76" s="93" t="e">
        <f ca="1">IF(F76="","",SUM(INDEX(利用時間_シフト,[0]!CSVChoose(ROW(行数!A68),配列!$C$8),11):INDEX(利用時間_シフト,[0]!CSVChoose(ROW(行数!A68),配列!$C$9),11)))</f>
        <v>#NAME?</v>
      </c>
      <c r="N76" s="91" t="e">
        <f t="shared" ca="1" si="13"/>
        <v>#NAME?</v>
      </c>
      <c r="O76" s="92" t="e">
        <f ca="1">[0]!CSVVLookUP(ROW(行数!A68),配列!$C$5,運転予定時間,7,1)</f>
        <v>#NAME?</v>
      </c>
      <c r="P76" s="253" t="str">
        <f t="shared" si="15"/>
        <v/>
      </c>
      <c r="Q76" s="254" t="str">
        <f t="shared" si="16"/>
        <v/>
      </c>
      <c r="R76" s="255" t="str">
        <f t="shared" si="17"/>
        <v/>
      </c>
      <c r="S76" s="254" t="str">
        <f t="shared" si="18"/>
        <v/>
      </c>
      <c r="T76" s="78"/>
      <c r="U76" s="161"/>
      <c r="W76" s="166" t="e">
        <f ca="1">[0]!CSVVLookUP(ROW(行数!A68),配列!$C$5,運転予定時間,5,1)</f>
        <v>#NAME?</v>
      </c>
      <c r="Y76" s="92" t="e">
        <f t="shared" ca="1" si="14"/>
        <v>#NAME?</v>
      </c>
      <c r="Z76" s="81"/>
      <c r="AA76" s="251"/>
      <c r="AB76" s="81"/>
      <c r="AC76" s="251"/>
    </row>
    <row r="77" spans="2:29" x14ac:dyDescent="0.2">
      <c r="B77" s="93" t="e">
        <f t="shared" ca="1" si="11"/>
        <v>#NAME?</v>
      </c>
      <c r="C77" s="90" t="e">
        <f ca="1">[0]!CSVVLookUP(ROW(行数!A69),配列!$C$5,運転予定時間,3,1)</f>
        <v>#NAME?</v>
      </c>
      <c r="D77" s="90" t="e">
        <f ca="1">[0]!CSVVLookUP(ROW(行数!B69),配列!$C$5,運転予定時間,4,1)</f>
        <v>#NAME?</v>
      </c>
      <c r="E77" s="90" t="e">
        <f ca="1">[0]!CSVVLookUP(ROW(行数!B69),配列!$C$8,利用時間_シフト,3,1)</f>
        <v>#NAME?</v>
      </c>
      <c r="F77" s="90" t="e">
        <f ca="1">[0]!CSVVLookUP(ROW(行数!B69),配列!$C$9,利用時間_シフト,4,1)</f>
        <v>#NAME?</v>
      </c>
      <c r="G77" s="91" t="e">
        <f ca="1">IF(F77="","",SUM(INDEX(利用時間_シフト,[0]!CSVChoose(ROW(行数!A69),配列!$C$8),5):INDEX(利用時間_シフト,[0]!CSVChoose(ROW(行数!A69),配列!$C$9),5)))</f>
        <v>#NAME?</v>
      </c>
      <c r="H77" s="91" t="e">
        <f ca="1">IF(F77="","",SUM(INDEX(利用時間_シフト,[0]!CSVChoose(ROW(行数!A69),配列!$C$8),6):INDEX(利用時間_シフト,[0]!CSVChoose(ROW(行数!A69),配列!$C$9),6)))</f>
        <v>#NAME?</v>
      </c>
      <c r="I77" s="103" t="e">
        <f t="shared" ca="1" si="12"/>
        <v>#NAME?</v>
      </c>
      <c r="J77" s="91" t="e">
        <f ca="1">IF(F77="","",SUM(INDEX(利用時間_シフト,[0]!CSVChoose(ROW(行数!A69),配列!$C$8),8):INDEX(利用時間_シフト,[0]!CSVChoose(ROW(行数!A69),配列!$C$9),8)))</f>
        <v>#NAME?</v>
      </c>
      <c r="K77" s="104" t="e">
        <f ca="1">IF(F77="","",SUM(INDEX(利用時間_シフト,[0]!CSVChoose(ROW(行数!A69),配列!$C$8),9):INDEX(利用時間_シフト,[0]!CSVChoose(ROW(行数!A69),配列!$C$9),9)))</f>
        <v>#NAME?</v>
      </c>
      <c r="L77" s="91" t="e">
        <f ca="1">IF(F77="","",SUM(INDEX(利用時間_シフト,[0]!CSVChoose(ROW(行数!A69),配列!$C$8),10):INDEX(利用時間_シフト,[0]!CSVChoose(ROW(行数!A69),配列!$C$9),10)))</f>
        <v>#NAME?</v>
      </c>
      <c r="M77" s="93" t="e">
        <f ca="1">IF(F77="","",SUM(INDEX(利用時間_シフト,[0]!CSVChoose(ROW(行数!A69),配列!$C$8),11):INDEX(利用時間_シフト,[0]!CSVChoose(ROW(行数!A69),配列!$C$9),11)))</f>
        <v>#NAME?</v>
      </c>
      <c r="N77" s="91" t="e">
        <f t="shared" ca="1" si="13"/>
        <v>#NAME?</v>
      </c>
      <c r="O77" s="92" t="e">
        <f ca="1">[0]!CSVVLookUP(ROW(行数!A69),配列!$C$5,運転予定時間,7,1)</f>
        <v>#NAME?</v>
      </c>
      <c r="P77" s="253" t="str">
        <f t="shared" si="15"/>
        <v/>
      </c>
      <c r="Q77" s="254" t="str">
        <f t="shared" si="16"/>
        <v/>
      </c>
      <c r="R77" s="255" t="str">
        <f t="shared" si="17"/>
        <v/>
      </c>
      <c r="S77" s="254" t="str">
        <f t="shared" si="18"/>
        <v/>
      </c>
      <c r="T77" s="78"/>
      <c r="U77" s="161"/>
      <c r="W77" s="166" t="e">
        <f ca="1">[0]!CSVVLookUP(ROW(行数!A69),配列!$C$5,運転予定時間,5,1)</f>
        <v>#NAME?</v>
      </c>
      <c r="Y77" s="92" t="e">
        <f t="shared" ca="1" si="14"/>
        <v>#NAME?</v>
      </c>
      <c r="Z77" s="81"/>
      <c r="AA77" s="251"/>
      <c r="AB77" s="81"/>
      <c r="AC77" s="251"/>
    </row>
    <row r="78" spans="2:29" x14ac:dyDescent="0.2">
      <c r="B78" s="93" t="e">
        <f t="shared" ca="1" si="11"/>
        <v>#NAME?</v>
      </c>
      <c r="C78" s="90" t="e">
        <f ca="1">[0]!CSVVLookUP(ROW(行数!A70),配列!$C$5,運転予定時間,3,1)</f>
        <v>#NAME?</v>
      </c>
      <c r="D78" s="90" t="e">
        <f ca="1">[0]!CSVVLookUP(ROW(行数!B70),配列!$C$5,運転予定時間,4,1)</f>
        <v>#NAME?</v>
      </c>
      <c r="E78" s="90" t="e">
        <f ca="1">[0]!CSVVLookUP(ROW(行数!B70),配列!$C$8,利用時間_シフト,3,1)</f>
        <v>#NAME?</v>
      </c>
      <c r="F78" s="90" t="e">
        <f ca="1">[0]!CSVVLookUP(ROW(行数!B70),配列!$C$9,利用時間_シフト,4,1)</f>
        <v>#NAME?</v>
      </c>
      <c r="G78" s="91" t="e">
        <f ca="1">IF(F78="","",SUM(INDEX(利用時間_シフト,[0]!CSVChoose(ROW(行数!A70),配列!$C$8),5):INDEX(利用時間_シフト,[0]!CSVChoose(ROW(行数!A70),配列!$C$9),5)))</f>
        <v>#NAME?</v>
      </c>
      <c r="H78" s="91" t="e">
        <f ca="1">IF(F78="","",SUM(INDEX(利用時間_シフト,[0]!CSVChoose(ROW(行数!A70),配列!$C$8),6):INDEX(利用時間_シフト,[0]!CSVChoose(ROW(行数!A70),配列!$C$9),6)))</f>
        <v>#NAME?</v>
      </c>
      <c r="I78" s="103" t="e">
        <f t="shared" ca="1" si="12"/>
        <v>#NAME?</v>
      </c>
      <c r="J78" s="91" t="e">
        <f ca="1">IF(F78="","",SUM(INDEX(利用時間_シフト,[0]!CSVChoose(ROW(行数!A70),配列!$C$8),8):INDEX(利用時間_シフト,[0]!CSVChoose(ROW(行数!A70),配列!$C$9),8)))</f>
        <v>#NAME?</v>
      </c>
      <c r="K78" s="104" t="e">
        <f ca="1">IF(F78="","",SUM(INDEX(利用時間_シフト,[0]!CSVChoose(ROW(行数!A70),配列!$C$8),9):INDEX(利用時間_シフト,[0]!CSVChoose(ROW(行数!A70),配列!$C$9),9)))</f>
        <v>#NAME?</v>
      </c>
      <c r="L78" s="91" t="e">
        <f ca="1">IF(F78="","",SUM(INDEX(利用時間_シフト,[0]!CSVChoose(ROW(行数!A70),配列!$C$8),10):INDEX(利用時間_シフト,[0]!CSVChoose(ROW(行数!A70),配列!$C$9),10)))</f>
        <v>#NAME?</v>
      </c>
      <c r="M78" s="93" t="e">
        <f ca="1">IF(F78="","",SUM(INDEX(利用時間_シフト,[0]!CSVChoose(ROW(行数!A70),配列!$C$8),11):INDEX(利用時間_シフト,[0]!CSVChoose(ROW(行数!A70),配列!$C$9),11)))</f>
        <v>#NAME?</v>
      </c>
      <c r="N78" s="91" t="e">
        <f t="shared" ca="1" si="13"/>
        <v>#NAME?</v>
      </c>
      <c r="O78" s="92" t="e">
        <f ca="1">[0]!CSVVLookUP(ROW(行数!A70),配列!$C$5,運転予定時間,7,1)</f>
        <v>#NAME?</v>
      </c>
      <c r="P78" s="253" t="str">
        <f t="shared" ref="P78:P104" si="19">IF(Z78="","",Z78)</f>
        <v/>
      </c>
      <c r="Q78" s="254" t="str">
        <f t="shared" ref="Q78:Q104" si="20">IF(AA78="","",AA78)</f>
        <v/>
      </c>
      <c r="R78" s="255" t="str">
        <f t="shared" ref="R78:R104" si="21">IF(AC78="","",AC78)</f>
        <v/>
      </c>
      <c r="S78" s="254" t="str">
        <f t="shared" ref="S78:S104" si="22">IF(AB78="","",AB78)</f>
        <v/>
      </c>
      <c r="T78" s="78"/>
      <c r="U78" s="161"/>
      <c r="W78" s="166" t="e">
        <f ca="1">[0]!CSVVLookUP(ROW(行数!A70),配列!$C$5,運転予定時間,5,1)</f>
        <v>#NAME?</v>
      </c>
      <c r="Y78" s="92" t="e">
        <f t="shared" ca="1" si="14"/>
        <v>#NAME?</v>
      </c>
      <c r="Z78" s="81"/>
      <c r="AA78" s="251"/>
      <c r="AB78" s="81"/>
      <c r="AC78" s="251"/>
    </row>
    <row r="79" spans="2:29" x14ac:dyDescent="0.2">
      <c r="B79" s="93" t="e">
        <f t="shared" ca="1" si="11"/>
        <v>#NAME?</v>
      </c>
      <c r="C79" s="90" t="e">
        <f ca="1">[0]!CSVVLookUP(ROW(行数!A71),配列!$C$5,運転予定時間,3,1)</f>
        <v>#NAME?</v>
      </c>
      <c r="D79" s="90" t="e">
        <f ca="1">[0]!CSVVLookUP(ROW(行数!B71),配列!$C$5,運転予定時間,4,1)</f>
        <v>#NAME?</v>
      </c>
      <c r="E79" s="90" t="e">
        <f ca="1">[0]!CSVVLookUP(ROW(行数!B71),配列!$C$8,利用時間_シフト,3,1)</f>
        <v>#NAME?</v>
      </c>
      <c r="F79" s="90" t="e">
        <f ca="1">[0]!CSVVLookUP(ROW(行数!B71),配列!$C$9,利用時間_シフト,4,1)</f>
        <v>#NAME?</v>
      </c>
      <c r="G79" s="91" t="e">
        <f ca="1">IF(F79="","",SUM(INDEX(利用時間_シフト,[0]!CSVChoose(ROW(行数!A71),配列!$C$8),5):INDEX(利用時間_シフト,[0]!CSVChoose(ROW(行数!A71),配列!$C$9),5)))</f>
        <v>#NAME?</v>
      </c>
      <c r="H79" s="91" t="e">
        <f ca="1">IF(F79="","",SUM(INDEX(利用時間_シフト,[0]!CSVChoose(ROW(行数!A71),配列!$C$8),6):INDEX(利用時間_シフト,[0]!CSVChoose(ROW(行数!A71),配列!$C$9),6)))</f>
        <v>#NAME?</v>
      </c>
      <c r="I79" s="103" t="e">
        <f t="shared" ca="1" si="12"/>
        <v>#NAME?</v>
      </c>
      <c r="J79" s="91" t="e">
        <f ca="1">IF(F79="","",SUM(INDEX(利用時間_シフト,[0]!CSVChoose(ROW(行数!A71),配列!$C$8),8):INDEX(利用時間_シフト,[0]!CSVChoose(ROW(行数!A71),配列!$C$9),8)))</f>
        <v>#NAME?</v>
      </c>
      <c r="K79" s="104" t="e">
        <f ca="1">IF(F79="","",SUM(INDEX(利用時間_シフト,[0]!CSVChoose(ROW(行数!A71),配列!$C$8),9):INDEX(利用時間_シフト,[0]!CSVChoose(ROW(行数!A71),配列!$C$9),9)))</f>
        <v>#NAME?</v>
      </c>
      <c r="L79" s="91" t="e">
        <f ca="1">IF(F79="","",SUM(INDEX(利用時間_シフト,[0]!CSVChoose(ROW(行数!A71),配列!$C$8),10):INDEX(利用時間_シフト,[0]!CSVChoose(ROW(行数!A71),配列!$C$9),10)))</f>
        <v>#NAME?</v>
      </c>
      <c r="M79" s="93" t="e">
        <f ca="1">IF(F79="","",SUM(INDEX(利用時間_シフト,[0]!CSVChoose(ROW(行数!A71),配列!$C$8),11):INDEX(利用時間_シフト,[0]!CSVChoose(ROW(行数!A71),配列!$C$9),11)))</f>
        <v>#NAME?</v>
      </c>
      <c r="N79" s="91" t="e">
        <f t="shared" ca="1" si="13"/>
        <v>#NAME?</v>
      </c>
      <c r="O79" s="92" t="e">
        <f ca="1">[0]!CSVVLookUP(ROW(行数!A71),配列!$C$5,運転予定時間,7,1)</f>
        <v>#NAME?</v>
      </c>
      <c r="P79" s="253" t="str">
        <f t="shared" si="19"/>
        <v/>
      </c>
      <c r="Q79" s="254" t="str">
        <f t="shared" si="20"/>
        <v/>
      </c>
      <c r="R79" s="255" t="str">
        <f t="shared" si="21"/>
        <v/>
      </c>
      <c r="S79" s="254" t="str">
        <f t="shared" si="22"/>
        <v/>
      </c>
      <c r="T79" s="78"/>
      <c r="U79" s="161"/>
      <c r="W79" s="166" t="e">
        <f ca="1">[0]!CSVVLookUP(ROW(行数!A71),配列!$C$5,運転予定時間,5,1)</f>
        <v>#NAME?</v>
      </c>
      <c r="Y79" s="92" t="e">
        <f t="shared" ca="1" si="14"/>
        <v>#NAME?</v>
      </c>
      <c r="Z79" s="81"/>
      <c r="AA79" s="251"/>
      <c r="AB79" s="81"/>
      <c r="AC79" s="251"/>
    </row>
    <row r="80" spans="2:29" x14ac:dyDescent="0.2">
      <c r="B80" s="93" t="e">
        <f t="shared" ca="1" si="11"/>
        <v>#NAME?</v>
      </c>
      <c r="C80" s="90" t="e">
        <f ca="1">[0]!CSVVLookUP(ROW(行数!A72),配列!$C$5,運転予定時間,3,1)</f>
        <v>#NAME?</v>
      </c>
      <c r="D80" s="90" t="e">
        <f ca="1">[0]!CSVVLookUP(ROW(行数!B72),配列!$C$5,運転予定時間,4,1)</f>
        <v>#NAME?</v>
      </c>
      <c r="E80" s="90" t="e">
        <f ca="1">[0]!CSVVLookUP(ROW(行数!B72),配列!$C$8,利用時間_シフト,3,1)</f>
        <v>#NAME?</v>
      </c>
      <c r="F80" s="90" t="e">
        <f ca="1">[0]!CSVVLookUP(ROW(行数!B72),配列!$C$9,利用時間_シフト,4,1)</f>
        <v>#NAME?</v>
      </c>
      <c r="G80" s="91" t="e">
        <f ca="1">IF(F80="","",SUM(INDEX(利用時間_シフト,[0]!CSVChoose(ROW(行数!A72),配列!$C$8),5):INDEX(利用時間_シフト,[0]!CSVChoose(ROW(行数!A72),配列!$C$9),5)))</f>
        <v>#NAME?</v>
      </c>
      <c r="H80" s="91" t="e">
        <f ca="1">IF(F80="","",SUM(INDEX(利用時間_シフト,[0]!CSVChoose(ROW(行数!A72),配列!$C$8),6):INDEX(利用時間_シフト,[0]!CSVChoose(ROW(行数!A72),配列!$C$9),6)))</f>
        <v>#NAME?</v>
      </c>
      <c r="I80" s="103" t="e">
        <f t="shared" ca="1" si="12"/>
        <v>#NAME?</v>
      </c>
      <c r="J80" s="91" t="e">
        <f ca="1">IF(F80="","",SUM(INDEX(利用時間_シフト,[0]!CSVChoose(ROW(行数!A72),配列!$C$8),8):INDEX(利用時間_シフト,[0]!CSVChoose(ROW(行数!A72),配列!$C$9),8)))</f>
        <v>#NAME?</v>
      </c>
      <c r="K80" s="104" t="e">
        <f ca="1">IF(F80="","",SUM(INDEX(利用時間_シフト,[0]!CSVChoose(ROW(行数!A72),配列!$C$8),9):INDEX(利用時間_シフト,[0]!CSVChoose(ROW(行数!A72),配列!$C$9),9)))</f>
        <v>#NAME?</v>
      </c>
      <c r="L80" s="91" t="e">
        <f ca="1">IF(F80="","",SUM(INDEX(利用時間_シフト,[0]!CSVChoose(ROW(行数!A72),配列!$C$8),10):INDEX(利用時間_シフト,[0]!CSVChoose(ROW(行数!A72),配列!$C$9),10)))</f>
        <v>#NAME?</v>
      </c>
      <c r="M80" s="93" t="e">
        <f ca="1">IF(F80="","",SUM(INDEX(利用時間_シフト,[0]!CSVChoose(ROW(行数!A72),配列!$C$8),11):INDEX(利用時間_シフト,[0]!CSVChoose(ROW(行数!A72),配列!$C$9),11)))</f>
        <v>#NAME?</v>
      </c>
      <c r="N80" s="91" t="e">
        <f t="shared" ca="1" si="13"/>
        <v>#NAME?</v>
      </c>
      <c r="O80" s="92" t="e">
        <f ca="1">[0]!CSVVLookUP(ROW(行数!A72),配列!$C$5,運転予定時間,7,1)</f>
        <v>#NAME?</v>
      </c>
      <c r="P80" s="253" t="str">
        <f t="shared" si="19"/>
        <v/>
      </c>
      <c r="Q80" s="254" t="str">
        <f t="shared" si="20"/>
        <v/>
      </c>
      <c r="R80" s="255" t="str">
        <f t="shared" si="21"/>
        <v/>
      </c>
      <c r="S80" s="254" t="str">
        <f t="shared" si="22"/>
        <v/>
      </c>
      <c r="T80" s="78"/>
      <c r="U80" s="161"/>
      <c r="W80" s="166" t="e">
        <f ca="1">[0]!CSVVLookUP(ROW(行数!A72),配列!$C$5,運転予定時間,5,1)</f>
        <v>#NAME?</v>
      </c>
      <c r="Y80" s="92" t="e">
        <f t="shared" ca="1" si="14"/>
        <v>#NAME?</v>
      </c>
      <c r="Z80" s="81"/>
      <c r="AA80" s="251"/>
      <c r="AB80" s="81"/>
      <c r="AC80" s="251"/>
    </row>
    <row r="81" spans="2:29" x14ac:dyDescent="0.2">
      <c r="B81" s="93" t="e">
        <f t="shared" ca="1" si="11"/>
        <v>#NAME?</v>
      </c>
      <c r="C81" s="90" t="e">
        <f ca="1">[0]!CSVVLookUP(ROW(行数!A73),配列!$C$5,運転予定時間,3,1)</f>
        <v>#NAME?</v>
      </c>
      <c r="D81" s="90" t="e">
        <f ca="1">[0]!CSVVLookUP(ROW(行数!B73),配列!$C$5,運転予定時間,4,1)</f>
        <v>#NAME?</v>
      </c>
      <c r="E81" s="90" t="e">
        <f ca="1">[0]!CSVVLookUP(ROW(行数!B73),配列!$C$8,利用時間_シフト,3,1)</f>
        <v>#NAME?</v>
      </c>
      <c r="F81" s="90" t="e">
        <f ca="1">[0]!CSVVLookUP(ROW(行数!B73),配列!$C$9,利用時間_シフト,4,1)</f>
        <v>#NAME?</v>
      </c>
      <c r="G81" s="91" t="e">
        <f ca="1">IF(F81="","",SUM(INDEX(利用時間_シフト,[0]!CSVChoose(ROW(行数!A73),配列!$C$8),5):INDEX(利用時間_シフト,[0]!CSVChoose(ROW(行数!A73),配列!$C$9),5)))</f>
        <v>#NAME?</v>
      </c>
      <c r="H81" s="91" t="e">
        <f ca="1">IF(F81="","",SUM(INDEX(利用時間_シフト,[0]!CSVChoose(ROW(行数!A73),配列!$C$8),6):INDEX(利用時間_シフト,[0]!CSVChoose(ROW(行数!A73),配列!$C$9),6)))</f>
        <v>#NAME?</v>
      </c>
      <c r="I81" s="103" t="e">
        <f t="shared" ca="1" si="12"/>
        <v>#NAME?</v>
      </c>
      <c r="J81" s="91" t="e">
        <f ca="1">IF(F81="","",SUM(INDEX(利用時間_シフト,[0]!CSVChoose(ROW(行数!A73),配列!$C$8),8):INDEX(利用時間_シフト,[0]!CSVChoose(ROW(行数!A73),配列!$C$9),8)))</f>
        <v>#NAME?</v>
      </c>
      <c r="K81" s="104" t="e">
        <f ca="1">IF(F81="","",SUM(INDEX(利用時間_シフト,[0]!CSVChoose(ROW(行数!A73),配列!$C$8),9):INDEX(利用時間_シフト,[0]!CSVChoose(ROW(行数!A73),配列!$C$9),9)))</f>
        <v>#NAME?</v>
      </c>
      <c r="L81" s="91" t="e">
        <f ca="1">IF(F81="","",SUM(INDEX(利用時間_シフト,[0]!CSVChoose(ROW(行数!A73),配列!$C$8),10):INDEX(利用時間_シフト,[0]!CSVChoose(ROW(行数!A73),配列!$C$9),10)))</f>
        <v>#NAME?</v>
      </c>
      <c r="M81" s="93" t="e">
        <f ca="1">IF(F81="","",SUM(INDEX(利用時間_シフト,[0]!CSVChoose(ROW(行数!A73),配列!$C$8),11):INDEX(利用時間_シフト,[0]!CSVChoose(ROW(行数!A73),配列!$C$9),11)))</f>
        <v>#NAME?</v>
      </c>
      <c r="N81" s="91" t="e">
        <f t="shared" ca="1" si="13"/>
        <v>#NAME?</v>
      </c>
      <c r="O81" s="92" t="e">
        <f ca="1">[0]!CSVVLookUP(ROW(行数!A73),配列!$C$5,運転予定時間,7,1)</f>
        <v>#NAME?</v>
      </c>
      <c r="P81" s="253" t="str">
        <f t="shared" si="19"/>
        <v/>
      </c>
      <c r="Q81" s="254" t="str">
        <f t="shared" si="20"/>
        <v/>
      </c>
      <c r="R81" s="255" t="str">
        <f t="shared" si="21"/>
        <v/>
      </c>
      <c r="S81" s="254" t="str">
        <f t="shared" si="22"/>
        <v/>
      </c>
      <c r="T81" s="78"/>
      <c r="U81" s="161"/>
      <c r="W81" s="166" t="e">
        <f ca="1">[0]!CSVVLookUP(ROW(行数!A73),配列!$C$5,運転予定時間,5,1)</f>
        <v>#NAME?</v>
      </c>
      <c r="Y81" s="92" t="e">
        <f t="shared" ca="1" si="14"/>
        <v>#NAME?</v>
      </c>
      <c r="Z81" s="81"/>
      <c r="AA81" s="251"/>
      <c r="AB81" s="81"/>
      <c r="AC81" s="251"/>
    </row>
    <row r="82" spans="2:29" x14ac:dyDescent="0.2">
      <c r="B82" s="93" t="e">
        <f t="shared" ca="1" si="11"/>
        <v>#NAME?</v>
      </c>
      <c r="C82" s="90" t="e">
        <f ca="1">[0]!CSVVLookUP(ROW(行数!A74),配列!$C$5,運転予定時間,3,1)</f>
        <v>#NAME?</v>
      </c>
      <c r="D82" s="90" t="e">
        <f ca="1">[0]!CSVVLookUP(ROW(行数!B74),配列!$C$5,運転予定時間,4,1)</f>
        <v>#NAME?</v>
      </c>
      <c r="E82" s="90" t="e">
        <f ca="1">[0]!CSVVLookUP(ROW(行数!B74),配列!$C$8,利用時間_シフト,3,1)</f>
        <v>#NAME?</v>
      </c>
      <c r="F82" s="90" t="e">
        <f ca="1">[0]!CSVVLookUP(ROW(行数!B74),配列!$C$9,利用時間_シフト,4,1)</f>
        <v>#NAME?</v>
      </c>
      <c r="G82" s="91" t="e">
        <f ca="1">IF(F82="","",SUM(INDEX(利用時間_シフト,[0]!CSVChoose(ROW(行数!A74),配列!$C$8),5):INDEX(利用時間_シフト,[0]!CSVChoose(ROW(行数!A74),配列!$C$9),5)))</f>
        <v>#NAME?</v>
      </c>
      <c r="H82" s="91" t="e">
        <f ca="1">IF(F82="","",SUM(INDEX(利用時間_シフト,[0]!CSVChoose(ROW(行数!A74),配列!$C$8),6):INDEX(利用時間_シフト,[0]!CSVChoose(ROW(行数!A74),配列!$C$9),6)))</f>
        <v>#NAME?</v>
      </c>
      <c r="I82" s="103" t="e">
        <f t="shared" ca="1" si="12"/>
        <v>#NAME?</v>
      </c>
      <c r="J82" s="91" t="e">
        <f ca="1">IF(F82="","",SUM(INDEX(利用時間_シフト,[0]!CSVChoose(ROW(行数!A74),配列!$C$8),8):INDEX(利用時間_シフト,[0]!CSVChoose(ROW(行数!A74),配列!$C$9),8)))</f>
        <v>#NAME?</v>
      </c>
      <c r="K82" s="104" t="e">
        <f ca="1">IF(F82="","",SUM(INDEX(利用時間_シフト,[0]!CSVChoose(ROW(行数!A74),配列!$C$8),9):INDEX(利用時間_シフト,[0]!CSVChoose(ROW(行数!A74),配列!$C$9),9)))</f>
        <v>#NAME?</v>
      </c>
      <c r="L82" s="91" t="e">
        <f ca="1">IF(F82="","",SUM(INDEX(利用時間_シフト,[0]!CSVChoose(ROW(行数!A74),配列!$C$8),10):INDEX(利用時間_シフト,[0]!CSVChoose(ROW(行数!A74),配列!$C$9),10)))</f>
        <v>#NAME?</v>
      </c>
      <c r="M82" s="93" t="e">
        <f ca="1">IF(F82="","",SUM(INDEX(利用時間_シフト,[0]!CSVChoose(ROW(行数!A74),配列!$C$8),11):INDEX(利用時間_シフト,[0]!CSVChoose(ROW(行数!A74),配列!$C$9),11)))</f>
        <v>#NAME?</v>
      </c>
      <c r="N82" s="91" t="e">
        <f t="shared" ca="1" si="13"/>
        <v>#NAME?</v>
      </c>
      <c r="O82" s="92" t="e">
        <f ca="1">[0]!CSVVLookUP(ROW(行数!A74),配列!$C$5,運転予定時間,7,1)</f>
        <v>#NAME?</v>
      </c>
      <c r="P82" s="253" t="str">
        <f t="shared" si="19"/>
        <v/>
      </c>
      <c r="Q82" s="254" t="str">
        <f t="shared" si="20"/>
        <v/>
      </c>
      <c r="R82" s="255" t="str">
        <f t="shared" si="21"/>
        <v/>
      </c>
      <c r="S82" s="254" t="str">
        <f t="shared" si="22"/>
        <v/>
      </c>
      <c r="T82" s="78"/>
      <c r="U82" s="161"/>
      <c r="W82" s="166" t="e">
        <f ca="1">[0]!CSVVLookUP(ROW(行数!A74),配列!$C$5,運転予定時間,5,1)</f>
        <v>#NAME?</v>
      </c>
      <c r="Y82" s="92" t="e">
        <f t="shared" ca="1" si="14"/>
        <v>#NAME?</v>
      </c>
      <c r="Z82" s="81"/>
      <c r="AA82" s="251"/>
      <c r="AB82" s="81"/>
      <c r="AC82" s="251"/>
    </row>
    <row r="83" spans="2:29" x14ac:dyDescent="0.2">
      <c r="B83" s="93" t="e">
        <f t="shared" ca="1" si="11"/>
        <v>#NAME?</v>
      </c>
      <c r="C83" s="90" t="e">
        <f ca="1">[0]!CSVVLookUP(ROW(行数!A75),配列!$C$5,運転予定時間,3,1)</f>
        <v>#NAME?</v>
      </c>
      <c r="D83" s="90" t="e">
        <f ca="1">[0]!CSVVLookUP(ROW(行数!B75),配列!$C$5,運転予定時間,4,1)</f>
        <v>#NAME?</v>
      </c>
      <c r="E83" s="90" t="e">
        <f ca="1">[0]!CSVVLookUP(ROW(行数!B75),配列!$C$8,利用時間_シフト,3,1)</f>
        <v>#NAME?</v>
      </c>
      <c r="F83" s="90" t="e">
        <f ca="1">[0]!CSVVLookUP(ROW(行数!B75),配列!$C$9,利用時間_シフト,4,1)</f>
        <v>#NAME?</v>
      </c>
      <c r="G83" s="91" t="e">
        <f ca="1">IF(F83="","",SUM(INDEX(利用時間_シフト,[0]!CSVChoose(ROW(行数!A75),配列!$C$8),5):INDEX(利用時間_シフト,[0]!CSVChoose(ROW(行数!A75),配列!$C$9),5)))</f>
        <v>#NAME?</v>
      </c>
      <c r="H83" s="91" t="e">
        <f ca="1">IF(F83="","",SUM(INDEX(利用時間_シフト,[0]!CSVChoose(ROW(行数!A75),配列!$C$8),6):INDEX(利用時間_シフト,[0]!CSVChoose(ROW(行数!A75),配列!$C$9),6)))</f>
        <v>#NAME?</v>
      </c>
      <c r="I83" s="103" t="e">
        <f t="shared" ca="1" si="12"/>
        <v>#NAME?</v>
      </c>
      <c r="J83" s="91" t="e">
        <f ca="1">IF(F83="","",SUM(INDEX(利用時間_シフト,[0]!CSVChoose(ROW(行数!A75),配列!$C$8),8):INDEX(利用時間_シフト,[0]!CSVChoose(ROW(行数!A75),配列!$C$9),8)))</f>
        <v>#NAME?</v>
      </c>
      <c r="K83" s="104" t="e">
        <f ca="1">IF(F83="","",SUM(INDEX(利用時間_シフト,[0]!CSVChoose(ROW(行数!A75),配列!$C$8),9):INDEX(利用時間_シフト,[0]!CSVChoose(ROW(行数!A75),配列!$C$9),9)))</f>
        <v>#NAME?</v>
      </c>
      <c r="L83" s="91" t="e">
        <f ca="1">IF(F83="","",SUM(INDEX(利用時間_シフト,[0]!CSVChoose(ROW(行数!A75),配列!$C$8),10):INDEX(利用時間_シフト,[0]!CSVChoose(ROW(行数!A75),配列!$C$9),10)))</f>
        <v>#NAME?</v>
      </c>
      <c r="M83" s="93" t="e">
        <f ca="1">IF(F83="","",SUM(INDEX(利用時間_シフト,[0]!CSVChoose(ROW(行数!A75),配列!$C$8),11):INDEX(利用時間_シフト,[0]!CSVChoose(ROW(行数!A75),配列!$C$9),11)))</f>
        <v>#NAME?</v>
      </c>
      <c r="N83" s="91" t="e">
        <f t="shared" ca="1" si="13"/>
        <v>#NAME?</v>
      </c>
      <c r="O83" s="92" t="e">
        <f ca="1">[0]!CSVVLookUP(ROW(行数!A75),配列!$C$5,運転予定時間,7,1)</f>
        <v>#NAME?</v>
      </c>
      <c r="P83" s="253" t="str">
        <f t="shared" si="19"/>
        <v/>
      </c>
      <c r="Q83" s="254" t="str">
        <f t="shared" si="20"/>
        <v/>
      </c>
      <c r="R83" s="255" t="str">
        <f t="shared" si="21"/>
        <v/>
      </c>
      <c r="S83" s="254" t="str">
        <f t="shared" si="22"/>
        <v/>
      </c>
      <c r="T83" s="78"/>
      <c r="U83" s="161"/>
      <c r="W83" s="166" t="e">
        <f ca="1">[0]!CSVVLookUP(ROW(行数!A75),配列!$C$5,運転予定時間,5,1)</f>
        <v>#NAME?</v>
      </c>
      <c r="Y83" s="92" t="e">
        <f t="shared" ca="1" si="14"/>
        <v>#NAME?</v>
      </c>
      <c r="Z83" s="81"/>
      <c r="AA83" s="251"/>
      <c r="AB83" s="81"/>
      <c r="AC83" s="251"/>
    </row>
    <row r="84" spans="2:29" x14ac:dyDescent="0.2">
      <c r="B84" s="93" t="e">
        <f t="shared" ca="1" si="11"/>
        <v>#NAME?</v>
      </c>
      <c r="C84" s="90" t="e">
        <f ca="1">[0]!CSVVLookUP(ROW(行数!A76),配列!$C$5,運転予定時間,3,1)</f>
        <v>#NAME?</v>
      </c>
      <c r="D84" s="90" t="e">
        <f ca="1">[0]!CSVVLookUP(ROW(行数!B76),配列!$C$5,運転予定時間,4,1)</f>
        <v>#NAME?</v>
      </c>
      <c r="E84" s="90" t="e">
        <f ca="1">[0]!CSVVLookUP(ROW(行数!B76),配列!$C$8,利用時間_シフト,3,1)</f>
        <v>#NAME?</v>
      </c>
      <c r="F84" s="90" t="e">
        <f ca="1">[0]!CSVVLookUP(ROW(行数!B76),配列!$C$9,利用時間_シフト,4,1)</f>
        <v>#NAME?</v>
      </c>
      <c r="G84" s="91" t="e">
        <f ca="1">IF(F84="","",SUM(INDEX(利用時間_シフト,[0]!CSVChoose(ROW(行数!A76),配列!$C$8),5):INDEX(利用時間_シフト,[0]!CSVChoose(ROW(行数!A76),配列!$C$9),5)))</f>
        <v>#NAME?</v>
      </c>
      <c r="H84" s="91" t="e">
        <f ca="1">IF(F84="","",SUM(INDEX(利用時間_シフト,[0]!CSVChoose(ROW(行数!A76),配列!$C$8),6):INDEX(利用時間_シフト,[0]!CSVChoose(ROW(行数!A76),配列!$C$9),6)))</f>
        <v>#NAME?</v>
      </c>
      <c r="I84" s="103" t="e">
        <f t="shared" ca="1" si="12"/>
        <v>#NAME?</v>
      </c>
      <c r="J84" s="91" t="e">
        <f ca="1">IF(F84="","",SUM(INDEX(利用時間_シフト,[0]!CSVChoose(ROW(行数!A76),配列!$C$8),8):INDEX(利用時間_シフト,[0]!CSVChoose(ROW(行数!A76),配列!$C$9),8)))</f>
        <v>#NAME?</v>
      </c>
      <c r="K84" s="104" t="e">
        <f ca="1">IF(F84="","",SUM(INDEX(利用時間_シフト,[0]!CSVChoose(ROW(行数!A76),配列!$C$8),9):INDEX(利用時間_シフト,[0]!CSVChoose(ROW(行数!A76),配列!$C$9),9)))</f>
        <v>#NAME?</v>
      </c>
      <c r="L84" s="91" t="e">
        <f ca="1">IF(F84="","",SUM(INDEX(利用時間_シフト,[0]!CSVChoose(ROW(行数!A76),配列!$C$8),10):INDEX(利用時間_シフト,[0]!CSVChoose(ROW(行数!A76),配列!$C$9),10)))</f>
        <v>#NAME?</v>
      </c>
      <c r="M84" s="93" t="e">
        <f ca="1">IF(F84="","",SUM(INDEX(利用時間_シフト,[0]!CSVChoose(ROW(行数!A76),配列!$C$8),11):INDEX(利用時間_シフト,[0]!CSVChoose(ROW(行数!A76),配列!$C$9),11)))</f>
        <v>#NAME?</v>
      </c>
      <c r="N84" s="91" t="e">
        <f t="shared" ca="1" si="13"/>
        <v>#NAME?</v>
      </c>
      <c r="O84" s="92" t="e">
        <f ca="1">[0]!CSVVLookUP(ROW(行数!A76),配列!$C$5,運転予定時間,7,1)</f>
        <v>#NAME?</v>
      </c>
      <c r="P84" s="253" t="str">
        <f t="shared" si="19"/>
        <v/>
      </c>
      <c r="Q84" s="254" t="str">
        <f t="shared" si="20"/>
        <v/>
      </c>
      <c r="R84" s="255" t="str">
        <f t="shared" si="21"/>
        <v/>
      </c>
      <c r="S84" s="254" t="str">
        <f t="shared" si="22"/>
        <v/>
      </c>
      <c r="T84" s="78"/>
      <c r="U84" s="161"/>
      <c r="W84" s="166" t="e">
        <f ca="1">[0]!CSVVLookUP(ROW(行数!A76),配列!$C$5,運転予定時間,5,1)</f>
        <v>#NAME?</v>
      </c>
      <c r="Y84" s="92" t="e">
        <f t="shared" ca="1" si="14"/>
        <v>#NAME?</v>
      </c>
      <c r="Z84" s="81"/>
      <c r="AA84" s="251"/>
      <c r="AB84" s="81"/>
      <c r="AC84" s="251"/>
    </row>
    <row r="85" spans="2:29" x14ac:dyDescent="0.2">
      <c r="B85" s="93" t="e">
        <f t="shared" ca="1" si="11"/>
        <v>#NAME?</v>
      </c>
      <c r="C85" s="90" t="e">
        <f ca="1">[0]!CSVVLookUP(ROW(行数!A77),配列!$C$5,運転予定時間,3,1)</f>
        <v>#NAME?</v>
      </c>
      <c r="D85" s="90" t="e">
        <f ca="1">[0]!CSVVLookUP(ROW(行数!B77),配列!$C$5,運転予定時間,4,1)</f>
        <v>#NAME?</v>
      </c>
      <c r="E85" s="90" t="e">
        <f ca="1">[0]!CSVVLookUP(ROW(行数!B77),配列!$C$8,利用時間_シフト,3,1)</f>
        <v>#NAME?</v>
      </c>
      <c r="F85" s="90" t="e">
        <f ca="1">[0]!CSVVLookUP(ROW(行数!B77),配列!$C$9,利用時間_シフト,4,1)</f>
        <v>#NAME?</v>
      </c>
      <c r="G85" s="91" t="e">
        <f ca="1">IF(F85="","",SUM(INDEX(利用時間_シフト,[0]!CSVChoose(ROW(行数!A77),配列!$C$8),5):INDEX(利用時間_シフト,[0]!CSVChoose(ROW(行数!A77),配列!$C$9),5)))</f>
        <v>#NAME?</v>
      </c>
      <c r="H85" s="91" t="e">
        <f ca="1">IF(F85="","",SUM(INDEX(利用時間_シフト,[0]!CSVChoose(ROW(行数!A77),配列!$C$8),6):INDEX(利用時間_シフト,[0]!CSVChoose(ROW(行数!A77),配列!$C$9),6)))</f>
        <v>#NAME?</v>
      </c>
      <c r="I85" s="103" t="e">
        <f t="shared" ca="1" si="12"/>
        <v>#NAME?</v>
      </c>
      <c r="J85" s="91" t="e">
        <f ca="1">IF(F85="","",SUM(INDEX(利用時間_シフト,[0]!CSVChoose(ROW(行数!A77),配列!$C$8),8):INDEX(利用時間_シフト,[0]!CSVChoose(ROW(行数!A77),配列!$C$9),8)))</f>
        <v>#NAME?</v>
      </c>
      <c r="K85" s="104" t="e">
        <f ca="1">IF(F85="","",SUM(INDEX(利用時間_シフト,[0]!CSVChoose(ROW(行数!A77),配列!$C$8),9):INDEX(利用時間_シフト,[0]!CSVChoose(ROW(行数!A77),配列!$C$9),9)))</f>
        <v>#NAME?</v>
      </c>
      <c r="L85" s="91" t="e">
        <f ca="1">IF(F85="","",SUM(INDEX(利用時間_シフト,[0]!CSVChoose(ROW(行数!A77),配列!$C$8),10):INDEX(利用時間_シフト,[0]!CSVChoose(ROW(行数!A77),配列!$C$9),10)))</f>
        <v>#NAME?</v>
      </c>
      <c r="M85" s="93" t="e">
        <f ca="1">IF(F85="","",SUM(INDEX(利用時間_シフト,[0]!CSVChoose(ROW(行数!A77),配列!$C$8),11):INDEX(利用時間_シフト,[0]!CSVChoose(ROW(行数!A77),配列!$C$9),11)))</f>
        <v>#NAME?</v>
      </c>
      <c r="N85" s="91" t="e">
        <f t="shared" ca="1" si="13"/>
        <v>#NAME?</v>
      </c>
      <c r="O85" s="92" t="e">
        <f ca="1">[0]!CSVVLookUP(ROW(行数!A77),配列!$C$5,運転予定時間,7,1)</f>
        <v>#NAME?</v>
      </c>
      <c r="P85" s="253" t="str">
        <f t="shared" si="19"/>
        <v/>
      </c>
      <c r="Q85" s="254" t="str">
        <f t="shared" si="20"/>
        <v/>
      </c>
      <c r="R85" s="255" t="str">
        <f t="shared" si="21"/>
        <v/>
      </c>
      <c r="S85" s="254" t="str">
        <f t="shared" si="22"/>
        <v/>
      </c>
      <c r="T85" s="78"/>
      <c r="U85" s="161"/>
      <c r="W85" s="166" t="e">
        <f ca="1">[0]!CSVVLookUP(ROW(行数!A77),配列!$C$5,運転予定時間,5,1)</f>
        <v>#NAME?</v>
      </c>
      <c r="Y85" s="92" t="e">
        <f t="shared" ca="1" si="14"/>
        <v>#NAME?</v>
      </c>
      <c r="Z85" s="81"/>
      <c r="AA85" s="251"/>
      <c r="AB85" s="81"/>
      <c r="AC85" s="251"/>
    </row>
    <row r="86" spans="2:29" x14ac:dyDescent="0.2">
      <c r="B86" s="93" t="e">
        <f t="shared" ca="1" si="11"/>
        <v>#NAME?</v>
      </c>
      <c r="C86" s="90" t="e">
        <f ca="1">[0]!CSVVLookUP(ROW(行数!A78),配列!$C$5,運転予定時間,3,1)</f>
        <v>#NAME?</v>
      </c>
      <c r="D86" s="90" t="e">
        <f ca="1">[0]!CSVVLookUP(ROW(行数!B78),配列!$C$5,運転予定時間,4,1)</f>
        <v>#NAME?</v>
      </c>
      <c r="E86" s="90" t="e">
        <f ca="1">[0]!CSVVLookUP(ROW(行数!B78),配列!$C$8,利用時間_シフト,3,1)</f>
        <v>#NAME?</v>
      </c>
      <c r="F86" s="90" t="e">
        <f ca="1">[0]!CSVVLookUP(ROW(行数!B78),配列!$C$9,利用時間_シフト,4,1)</f>
        <v>#NAME?</v>
      </c>
      <c r="G86" s="91" t="e">
        <f ca="1">IF(F86="","",SUM(INDEX(利用時間_シフト,[0]!CSVChoose(ROW(行数!A78),配列!$C$8),5):INDEX(利用時間_シフト,[0]!CSVChoose(ROW(行数!A78),配列!$C$9),5)))</f>
        <v>#NAME?</v>
      </c>
      <c r="H86" s="91" t="e">
        <f ca="1">IF(F86="","",SUM(INDEX(利用時間_シフト,[0]!CSVChoose(ROW(行数!A78),配列!$C$8),6):INDEX(利用時間_シフト,[0]!CSVChoose(ROW(行数!A78),配列!$C$9),6)))</f>
        <v>#NAME?</v>
      </c>
      <c r="I86" s="103" t="e">
        <f t="shared" ca="1" si="12"/>
        <v>#NAME?</v>
      </c>
      <c r="J86" s="91" t="e">
        <f ca="1">IF(F86="","",SUM(INDEX(利用時間_シフト,[0]!CSVChoose(ROW(行数!A78),配列!$C$8),8):INDEX(利用時間_シフト,[0]!CSVChoose(ROW(行数!A78),配列!$C$9),8)))</f>
        <v>#NAME?</v>
      </c>
      <c r="K86" s="104" t="e">
        <f ca="1">IF(F86="","",SUM(INDEX(利用時間_シフト,[0]!CSVChoose(ROW(行数!A78),配列!$C$8),9):INDEX(利用時間_シフト,[0]!CSVChoose(ROW(行数!A78),配列!$C$9),9)))</f>
        <v>#NAME?</v>
      </c>
      <c r="L86" s="91" t="e">
        <f ca="1">IF(F86="","",SUM(INDEX(利用時間_シフト,[0]!CSVChoose(ROW(行数!A78),配列!$C$8),10):INDEX(利用時間_シフト,[0]!CSVChoose(ROW(行数!A78),配列!$C$9),10)))</f>
        <v>#NAME?</v>
      </c>
      <c r="M86" s="93" t="e">
        <f ca="1">IF(F86="","",SUM(INDEX(利用時間_シフト,[0]!CSVChoose(ROW(行数!A78),配列!$C$8),11):INDEX(利用時間_シフト,[0]!CSVChoose(ROW(行数!A78),配列!$C$9),11)))</f>
        <v>#NAME?</v>
      </c>
      <c r="N86" s="91" t="e">
        <f t="shared" ca="1" si="13"/>
        <v>#NAME?</v>
      </c>
      <c r="O86" s="92" t="e">
        <f ca="1">[0]!CSVVLookUP(ROW(行数!A78),配列!$C$5,運転予定時間,7,1)</f>
        <v>#NAME?</v>
      </c>
      <c r="P86" s="253" t="str">
        <f t="shared" si="19"/>
        <v/>
      </c>
      <c r="Q86" s="254" t="str">
        <f t="shared" si="20"/>
        <v/>
      </c>
      <c r="R86" s="255" t="str">
        <f t="shared" si="21"/>
        <v/>
      </c>
      <c r="S86" s="254" t="str">
        <f t="shared" si="22"/>
        <v/>
      </c>
      <c r="T86" s="78"/>
      <c r="U86" s="161"/>
      <c r="W86" s="166" t="e">
        <f ca="1">[0]!CSVVLookUP(ROW(行数!A78),配列!$C$5,運転予定時間,5,1)</f>
        <v>#NAME?</v>
      </c>
      <c r="Y86" s="92" t="e">
        <f t="shared" ca="1" si="14"/>
        <v>#NAME?</v>
      </c>
      <c r="Z86" s="81"/>
      <c r="AA86" s="251"/>
      <c r="AB86" s="81"/>
      <c r="AC86" s="251"/>
    </row>
    <row r="87" spans="2:29" x14ac:dyDescent="0.2">
      <c r="B87" s="93" t="e">
        <f t="shared" ca="1" si="11"/>
        <v>#NAME?</v>
      </c>
      <c r="C87" s="90" t="e">
        <f ca="1">[0]!CSVVLookUP(ROW(行数!A79),配列!$C$5,運転予定時間,3,1)</f>
        <v>#NAME?</v>
      </c>
      <c r="D87" s="90" t="e">
        <f ca="1">[0]!CSVVLookUP(ROW(行数!B79),配列!$C$5,運転予定時間,4,1)</f>
        <v>#NAME?</v>
      </c>
      <c r="E87" s="90" t="e">
        <f ca="1">[0]!CSVVLookUP(ROW(行数!B79),配列!$C$8,利用時間_シフト,3,1)</f>
        <v>#NAME?</v>
      </c>
      <c r="F87" s="90" t="e">
        <f ca="1">[0]!CSVVLookUP(ROW(行数!B79),配列!$C$9,利用時間_シフト,4,1)</f>
        <v>#NAME?</v>
      </c>
      <c r="G87" s="91" t="e">
        <f ca="1">IF(F87="","",SUM(INDEX(利用時間_シフト,[0]!CSVChoose(ROW(行数!A79),配列!$C$8),5):INDEX(利用時間_シフト,[0]!CSVChoose(ROW(行数!A79),配列!$C$9),5)))</f>
        <v>#NAME?</v>
      </c>
      <c r="H87" s="91" t="e">
        <f ca="1">IF(F87="","",SUM(INDEX(利用時間_シフト,[0]!CSVChoose(ROW(行数!A79),配列!$C$8),6):INDEX(利用時間_シフト,[0]!CSVChoose(ROW(行数!A79),配列!$C$9),6)))</f>
        <v>#NAME?</v>
      </c>
      <c r="I87" s="103" t="e">
        <f t="shared" ca="1" si="12"/>
        <v>#NAME?</v>
      </c>
      <c r="J87" s="91" t="e">
        <f ca="1">IF(F87="","",SUM(INDEX(利用時間_シフト,[0]!CSVChoose(ROW(行数!A79),配列!$C$8),8):INDEX(利用時間_シフト,[0]!CSVChoose(ROW(行数!A79),配列!$C$9),8)))</f>
        <v>#NAME?</v>
      </c>
      <c r="K87" s="104" t="e">
        <f ca="1">IF(F87="","",SUM(INDEX(利用時間_シフト,[0]!CSVChoose(ROW(行数!A79),配列!$C$8),9):INDEX(利用時間_シフト,[0]!CSVChoose(ROW(行数!A79),配列!$C$9),9)))</f>
        <v>#NAME?</v>
      </c>
      <c r="L87" s="91" t="e">
        <f ca="1">IF(F87="","",SUM(INDEX(利用時間_シフト,[0]!CSVChoose(ROW(行数!A79),配列!$C$8),10):INDEX(利用時間_シフト,[0]!CSVChoose(ROW(行数!A79),配列!$C$9),10)))</f>
        <v>#NAME?</v>
      </c>
      <c r="M87" s="93" t="e">
        <f ca="1">IF(F87="","",SUM(INDEX(利用時間_シフト,[0]!CSVChoose(ROW(行数!A79),配列!$C$8),11):INDEX(利用時間_シフト,[0]!CSVChoose(ROW(行数!A79),配列!$C$9),11)))</f>
        <v>#NAME?</v>
      </c>
      <c r="N87" s="91" t="e">
        <f t="shared" ca="1" si="13"/>
        <v>#NAME?</v>
      </c>
      <c r="O87" s="92" t="e">
        <f ca="1">[0]!CSVVLookUP(ROW(行数!A79),配列!$C$5,運転予定時間,7,1)</f>
        <v>#NAME?</v>
      </c>
      <c r="P87" s="253" t="str">
        <f t="shared" si="19"/>
        <v/>
      </c>
      <c r="Q87" s="254" t="str">
        <f t="shared" si="20"/>
        <v/>
      </c>
      <c r="R87" s="255" t="str">
        <f t="shared" si="21"/>
        <v/>
      </c>
      <c r="S87" s="254" t="str">
        <f t="shared" si="22"/>
        <v/>
      </c>
      <c r="T87" s="78"/>
      <c r="U87" s="161"/>
      <c r="W87" s="166" t="e">
        <f ca="1">[0]!CSVVLookUP(ROW(行数!A79),配列!$C$5,運転予定時間,5,1)</f>
        <v>#NAME?</v>
      </c>
      <c r="Y87" s="92" t="e">
        <f t="shared" ca="1" si="14"/>
        <v>#NAME?</v>
      </c>
      <c r="Z87" s="81"/>
      <c r="AA87" s="251"/>
      <c r="AB87" s="81"/>
      <c r="AC87" s="251"/>
    </row>
    <row r="88" spans="2:29" x14ac:dyDescent="0.2">
      <c r="B88" s="93" t="e">
        <f t="shared" ca="1" si="11"/>
        <v>#NAME?</v>
      </c>
      <c r="C88" s="90" t="e">
        <f ca="1">[0]!CSVVLookUP(ROW(行数!A80),配列!$C$5,運転予定時間,3,1)</f>
        <v>#NAME?</v>
      </c>
      <c r="D88" s="90" t="e">
        <f ca="1">[0]!CSVVLookUP(ROW(行数!B80),配列!$C$5,運転予定時間,4,1)</f>
        <v>#NAME?</v>
      </c>
      <c r="E88" s="90" t="e">
        <f ca="1">[0]!CSVVLookUP(ROW(行数!B80),配列!$C$8,利用時間_シフト,3,1)</f>
        <v>#NAME?</v>
      </c>
      <c r="F88" s="90" t="e">
        <f ca="1">[0]!CSVVLookUP(ROW(行数!B80),配列!$C$9,利用時間_シフト,4,1)</f>
        <v>#NAME?</v>
      </c>
      <c r="G88" s="91" t="e">
        <f ca="1">IF(F88="","",SUM(INDEX(利用時間_シフト,[0]!CSVChoose(ROW(行数!A80),配列!$C$8),5):INDEX(利用時間_シフト,[0]!CSVChoose(ROW(行数!A80),配列!$C$9),5)))</f>
        <v>#NAME?</v>
      </c>
      <c r="H88" s="91" t="e">
        <f ca="1">IF(F88="","",SUM(INDEX(利用時間_シフト,[0]!CSVChoose(ROW(行数!A80),配列!$C$8),6):INDEX(利用時間_シフト,[0]!CSVChoose(ROW(行数!A80),配列!$C$9),6)))</f>
        <v>#NAME?</v>
      </c>
      <c r="I88" s="103" t="e">
        <f t="shared" ca="1" si="12"/>
        <v>#NAME?</v>
      </c>
      <c r="J88" s="91" t="e">
        <f ca="1">IF(F88="","",SUM(INDEX(利用時間_シフト,[0]!CSVChoose(ROW(行数!A80),配列!$C$8),8):INDEX(利用時間_シフト,[0]!CSVChoose(ROW(行数!A80),配列!$C$9),8)))</f>
        <v>#NAME?</v>
      </c>
      <c r="K88" s="104" t="e">
        <f ca="1">IF(F88="","",SUM(INDEX(利用時間_シフト,[0]!CSVChoose(ROW(行数!A80),配列!$C$8),9):INDEX(利用時間_シフト,[0]!CSVChoose(ROW(行数!A80),配列!$C$9),9)))</f>
        <v>#NAME?</v>
      </c>
      <c r="L88" s="91" t="e">
        <f ca="1">IF(F88="","",SUM(INDEX(利用時間_シフト,[0]!CSVChoose(ROW(行数!A80),配列!$C$8),10):INDEX(利用時間_シフト,[0]!CSVChoose(ROW(行数!A80),配列!$C$9),10)))</f>
        <v>#NAME?</v>
      </c>
      <c r="M88" s="93" t="e">
        <f ca="1">IF(F88="","",SUM(INDEX(利用時間_シフト,[0]!CSVChoose(ROW(行数!A80),配列!$C$8),11):INDEX(利用時間_シフト,[0]!CSVChoose(ROW(行数!A80),配列!$C$9),11)))</f>
        <v>#NAME?</v>
      </c>
      <c r="N88" s="91" t="e">
        <f t="shared" ca="1" si="13"/>
        <v>#NAME?</v>
      </c>
      <c r="O88" s="92" t="e">
        <f ca="1">[0]!CSVVLookUP(ROW(行数!A80),配列!$C$5,運転予定時間,7,1)</f>
        <v>#NAME?</v>
      </c>
      <c r="P88" s="253" t="str">
        <f t="shared" si="19"/>
        <v/>
      </c>
      <c r="Q88" s="254" t="str">
        <f t="shared" si="20"/>
        <v/>
      </c>
      <c r="R88" s="255" t="str">
        <f t="shared" si="21"/>
        <v/>
      </c>
      <c r="S88" s="254" t="str">
        <f t="shared" si="22"/>
        <v/>
      </c>
      <c r="T88" s="78"/>
      <c r="U88" s="161"/>
      <c r="W88" s="166" t="e">
        <f ca="1">[0]!CSVVLookUP(ROW(行数!A80),配列!$C$5,運転予定時間,5,1)</f>
        <v>#NAME?</v>
      </c>
      <c r="Y88" s="92" t="e">
        <f t="shared" ca="1" si="14"/>
        <v>#NAME?</v>
      </c>
      <c r="Z88" s="81"/>
      <c r="AA88" s="251"/>
      <c r="AB88" s="81"/>
      <c r="AC88" s="251"/>
    </row>
    <row r="89" spans="2:29" x14ac:dyDescent="0.2">
      <c r="B89" s="93" t="e">
        <f t="shared" ca="1" si="11"/>
        <v>#NAME?</v>
      </c>
      <c r="C89" s="90" t="e">
        <f ca="1">[0]!CSVVLookUP(ROW(行数!A81),配列!$C$5,運転予定時間,3,1)</f>
        <v>#NAME?</v>
      </c>
      <c r="D89" s="90" t="e">
        <f ca="1">[0]!CSVVLookUP(ROW(行数!B81),配列!$C$5,運転予定時間,4,1)</f>
        <v>#NAME?</v>
      </c>
      <c r="E89" s="90" t="e">
        <f ca="1">[0]!CSVVLookUP(ROW(行数!B81),配列!$C$8,利用時間_シフト,3,1)</f>
        <v>#NAME?</v>
      </c>
      <c r="F89" s="90" t="e">
        <f ca="1">[0]!CSVVLookUP(ROW(行数!B81),配列!$C$9,利用時間_シフト,4,1)</f>
        <v>#NAME?</v>
      </c>
      <c r="G89" s="91" t="e">
        <f ca="1">IF(F89="","",SUM(INDEX(利用時間_シフト,[0]!CSVChoose(ROW(行数!A81),配列!$C$8),5):INDEX(利用時間_シフト,[0]!CSVChoose(ROW(行数!A81),配列!$C$9),5)))</f>
        <v>#NAME?</v>
      </c>
      <c r="H89" s="91" t="e">
        <f ca="1">IF(F89="","",SUM(INDEX(利用時間_シフト,[0]!CSVChoose(ROW(行数!A81),配列!$C$8),6):INDEX(利用時間_シフト,[0]!CSVChoose(ROW(行数!A81),配列!$C$9),6)))</f>
        <v>#NAME?</v>
      </c>
      <c r="I89" s="103" t="e">
        <f t="shared" ca="1" si="12"/>
        <v>#NAME?</v>
      </c>
      <c r="J89" s="91" t="e">
        <f ca="1">IF(F89="","",SUM(INDEX(利用時間_シフト,[0]!CSVChoose(ROW(行数!A81),配列!$C$8),8):INDEX(利用時間_シフト,[0]!CSVChoose(ROW(行数!A81),配列!$C$9),8)))</f>
        <v>#NAME?</v>
      </c>
      <c r="K89" s="104" t="e">
        <f ca="1">IF(F89="","",SUM(INDEX(利用時間_シフト,[0]!CSVChoose(ROW(行数!A81),配列!$C$8),9):INDEX(利用時間_シフト,[0]!CSVChoose(ROW(行数!A81),配列!$C$9),9)))</f>
        <v>#NAME?</v>
      </c>
      <c r="L89" s="91" t="e">
        <f ca="1">IF(F89="","",SUM(INDEX(利用時間_シフト,[0]!CSVChoose(ROW(行数!A81),配列!$C$8),10):INDEX(利用時間_シフト,[0]!CSVChoose(ROW(行数!A81),配列!$C$9),10)))</f>
        <v>#NAME?</v>
      </c>
      <c r="M89" s="93" t="e">
        <f ca="1">IF(F89="","",SUM(INDEX(利用時間_シフト,[0]!CSVChoose(ROW(行数!A81),配列!$C$8),11):INDEX(利用時間_シフト,[0]!CSVChoose(ROW(行数!A81),配列!$C$9),11)))</f>
        <v>#NAME?</v>
      </c>
      <c r="N89" s="91" t="e">
        <f t="shared" ca="1" si="13"/>
        <v>#NAME?</v>
      </c>
      <c r="O89" s="92" t="e">
        <f ca="1">[0]!CSVVLookUP(ROW(行数!A81),配列!$C$5,運転予定時間,7,1)</f>
        <v>#NAME?</v>
      </c>
      <c r="P89" s="253" t="str">
        <f t="shared" si="19"/>
        <v/>
      </c>
      <c r="Q89" s="254" t="str">
        <f t="shared" si="20"/>
        <v/>
      </c>
      <c r="R89" s="255" t="str">
        <f t="shared" si="21"/>
        <v/>
      </c>
      <c r="S89" s="254" t="str">
        <f t="shared" si="22"/>
        <v/>
      </c>
      <c r="T89" s="78"/>
      <c r="U89" s="161"/>
      <c r="W89" s="166" t="e">
        <f ca="1">[0]!CSVVLookUP(ROW(行数!A81),配列!$C$5,運転予定時間,5,1)</f>
        <v>#NAME?</v>
      </c>
      <c r="Y89" s="92" t="e">
        <f t="shared" ca="1" si="14"/>
        <v>#NAME?</v>
      </c>
      <c r="Z89" s="81"/>
      <c r="AA89" s="251"/>
      <c r="AB89" s="81"/>
      <c r="AC89" s="251"/>
    </row>
    <row r="90" spans="2:29" x14ac:dyDescent="0.2">
      <c r="B90" s="93" t="e">
        <f t="shared" ca="1" si="11"/>
        <v>#NAME?</v>
      </c>
      <c r="C90" s="90" t="e">
        <f ca="1">[0]!CSVVLookUP(ROW(行数!A82),配列!$C$5,運転予定時間,3,1)</f>
        <v>#NAME?</v>
      </c>
      <c r="D90" s="90" t="e">
        <f ca="1">[0]!CSVVLookUP(ROW(行数!B82),配列!$C$5,運転予定時間,4,1)</f>
        <v>#NAME?</v>
      </c>
      <c r="E90" s="90" t="e">
        <f ca="1">[0]!CSVVLookUP(ROW(行数!B82),配列!$C$8,利用時間_シフト,3,1)</f>
        <v>#NAME?</v>
      </c>
      <c r="F90" s="90" t="e">
        <f ca="1">[0]!CSVVLookUP(ROW(行数!B82),配列!$C$9,利用時間_シフト,4,1)</f>
        <v>#NAME?</v>
      </c>
      <c r="G90" s="91" t="e">
        <f ca="1">IF(F90="","",SUM(INDEX(利用時間_シフト,[0]!CSVChoose(ROW(行数!A82),配列!$C$8),5):INDEX(利用時間_シフト,[0]!CSVChoose(ROW(行数!A82),配列!$C$9),5)))</f>
        <v>#NAME?</v>
      </c>
      <c r="H90" s="91" t="e">
        <f ca="1">IF(F90="","",SUM(INDEX(利用時間_シフト,[0]!CSVChoose(ROW(行数!A82),配列!$C$8),6):INDEX(利用時間_シフト,[0]!CSVChoose(ROW(行数!A82),配列!$C$9),6)))</f>
        <v>#NAME?</v>
      </c>
      <c r="I90" s="103" t="e">
        <f t="shared" ca="1" si="12"/>
        <v>#NAME?</v>
      </c>
      <c r="J90" s="91" t="e">
        <f ca="1">IF(F90="","",SUM(INDEX(利用時間_シフト,[0]!CSVChoose(ROW(行数!A82),配列!$C$8),8):INDEX(利用時間_シフト,[0]!CSVChoose(ROW(行数!A82),配列!$C$9),8)))</f>
        <v>#NAME?</v>
      </c>
      <c r="K90" s="104" t="e">
        <f ca="1">IF(F90="","",SUM(INDEX(利用時間_シフト,[0]!CSVChoose(ROW(行数!A82),配列!$C$8),9):INDEX(利用時間_シフト,[0]!CSVChoose(ROW(行数!A82),配列!$C$9),9)))</f>
        <v>#NAME?</v>
      </c>
      <c r="L90" s="91" t="e">
        <f ca="1">IF(F90="","",SUM(INDEX(利用時間_シフト,[0]!CSVChoose(ROW(行数!A82),配列!$C$8),10):INDEX(利用時間_シフト,[0]!CSVChoose(ROW(行数!A82),配列!$C$9),10)))</f>
        <v>#NAME?</v>
      </c>
      <c r="M90" s="93" t="e">
        <f ca="1">IF(F90="","",SUM(INDEX(利用時間_シフト,[0]!CSVChoose(ROW(行数!A82),配列!$C$8),11):INDEX(利用時間_シフト,[0]!CSVChoose(ROW(行数!A82),配列!$C$9),11)))</f>
        <v>#NAME?</v>
      </c>
      <c r="N90" s="91" t="e">
        <f t="shared" ca="1" si="13"/>
        <v>#NAME?</v>
      </c>
      <c r="O90" s="92" t="e">
        <f ca="1">[0]!CSVVLookUP(ROW(行数!A82),配列!$C$5,運転予定時間,7,1)</f>
        <v>#NAME?</v>
      </c>
      <c r="P90" s="253" t="str">
        <f t="shared" si="19"/>
        <v/>
      </c>
      <c r="Q90" s="254" t="str">
        <f t="shared" si="20"/>
        <v/>
      </c>
      <c r="R90" s="255" t="str">
        <f t="shared" si="21"/>
        <v/>
      </c>
      <c r="S90" s="254" t="str">
        <f t="shared" si="22"/>
        <v/>
      </c>
      <c r="T90" s="78"/>
      <c r="U90" s="161"/>
      <c r="W90" s="166" t="e">
        <f ca="1">[0]!CSVVLookUP(ROW(行数!A82),配列!$C$5,運転予定時間,5,1)</f>
        <v>#NAME?</v>
      </c>
      <c r="Y90" s="92" t="e">
        <f t="shared" ca="1" si="14"/>
        <v>#NAME?</v>
      </c>
      <c r="Z90" s="81"/>
      <c r="AA90" s="251"/>
      <c r="AB90" s="81"/>
      <c r="AC90" s="251"/>
    </row>
    <row r="91" spans="2:29" x14ac:dyDescent="0.2">
      <c r="B91" s="93" t="e">
        <f t="shared" ca="1" si="11"/>
        <v>#NAME?</v>
      </c>
      <c r="C91" s="90" t="e">
        <f ca="1">[0]!CSVVLookUP(ROW(行数!A83),配列!$C$5,運転予定時間,3,1)</f>
        <v>#NAME?</v>
      </c>
      <c r="D91" s="90" t="e">
        <f ca="1">[0]!CSVVLookUP(ROW(行数!B83),配列!$C$5,運転予定時間,4,1)</f>
        <v>#NAME?</v>
      </c>
      <c r="E91" s="90" t="e">
        <f ca="1">[0]!CSVVLookUP(ROW(行数!B83),配列!$C$8,利用時間_シフト,3,1)</f>
        <v>#NAME?</v>
      </c>
      <c r="F91" s="90" t="e">
        <f ca="1">[0]!CSVVLookUP(ROW(行数!B83),配列!$C$9,利用時間_シフト,4,1)</f>
        <v>#NAME?</v>
      </c>
      <c r="G91" s="91" t="e">
        <f ca="1">IF(F91="","",SUM(INDEX(利用時間_シフト,[0]!CSVChoose(ROW(行数!A83),配列!$C$8),5):INDEX(利用時間_シフト,[0]!CSVChoose(ROW(行数!A83),配列!$C$9),5)))</f>
        <v>#NAME?</v>
      </c>
      <c r="H91" s="91" t="e">
        <f ca="1">IF(F91="","",SUM(INDEX(利用時間_シフト,[0]!CSVChoose(ROW(行数!A83),配列!$C$8),6):INDEX(利用時間_シフト,[0]!CSVChoose(ROW(行数!A83),配列!$C$9),6)))</f>
        <v>#NAME?</v>
      </c>
      <c r="I91" s="103" t="e">
        <f t="shared" ca="1" si="12"/>
        <v>#NAME?</v>
      </c>
      <c r="J91" s="91" t="e">
        <f ca="1">IF(F91="","",SUM(INDEX(利用時間_シフト,[0]!CSVChoose(ROW(行数!A83),配列!$C$8),8):INDEX(利用時間_シフト,[0]!CSVChoose(ROW(行数!A83),配列!$C$9),8)))</f>
        <v>#NAME?</v>
      </c>
      <c r="K91" s="104" t="e">
        <f ca="1">IF(F91="","",SUM(INDEX(利用時間_シフト,[0]!CSVChoose(ROW(行数!A83),配列!$C$8),9):INDEX(利用時間_シフト,[0]!CSVChoose(ROW(行数!A83),配列!$C$9),9)))</f>
        <v>#NAME?</v>
      </c>
      <c r="L91" s="91" t="e">
        <f ca="1">IF(F91="","",SUM(INDEX(利用時間_シフト,[0]!CSVChoose(ROW(行数!A83),配列!$C$8),10):INDEX(利用時間_シフト,[0]!CSVChoose(ROW(行数!A83),配列!$C$9),10)))</f>
        <v>#NAME?</v>
      </c>
      <c r="M91" s="93" t="e">
        <f ca="1">IF(F91="","",SUM(INDEX(利用時間_シフト,[0]!CSVChoose(ROW(行数!A83),配列!$C$8),11):INDEX(利用時間_シフト,[0]!CSVChoose(ROW(行数!A83),配列!$C$9),11)))</f>
        <v>#NAME?</v>
      </c>
      <c r="N91" s="91" t="e">
        <f t="shared" ca="1" si="13"/>
        <v>#NAME?</v>
      </c>
      <c r="O91" s="92" t="e">
        <f ca="1">[0]!CSVVLookUP(ROW(行数!A83),配列!$C$5,運転予定時間,7,1)</f>
        <v>#NAME?</v>
      </c>
      <c r="P91" s="253" t="str">
        <f t="shared" si="19"/>
        <v/>
      </c>
      <c r="Q91" s="254" t="str">
        <f t="shared" si="20"/>
        <v/>
      </c>
      <c r="R91" s="255" t="str">
        <f t="shared" si="21"/>
        <v/>
      </c>
      <c r="S91" s="254" t="str">
        <f t="shared" si="22"/>
        <v/>
      </c>
      <c r="T91" s="78"/>
      <c r="U91" s="161"/>
      <c r="W91" s="166" t="e">
        <f ca="1">[0]!CSVVLookUP(ROW(行数!A83),配列!$C$5,運転予定時間,5,1)</f>
        <v>#NAME?</v>
      </c>
      <c r="Y91" s="92" t="e">
        <f t="shared" ca="1" si="14"/>
        <v>#NAME?</v>
      </c>
      <c r="Z91" s="81"/>
      <c r="AA91" s="251"/>
      <c r="AB91" s="81"/>
      <c r="AC91" s="251"/>
    </row>
    <row r="92" spans="2:29" x14ac:dyDescent="0.2">
      <c r="B92" s="93" t="e">
        <f t="shared" ca="1" si="11"/>
        <v>#NAME?</v>
      </c>
      <c r="C92" s="90" t="e">
        <f ca="1">[0]!CSVVLookUP(ROW(行数!A84),配列!$C$5,運転予定時間,3,1)</f>
        <v>#NAME?</v>
      </c>
      <c r="D92" s="90" t="e">
        <f ca="1">[0]!CSVVLookUP(ROW(行数!B84),配列!$C$5,運転予定時間,4,1)</f>
        <v>#NAME?</v>
      </c>
      <c r="E92" s="90" t="e">
        <f ca="1">[0]!CSVVLookUP(ROW(行数!B84),配列!$C$8,利用時間_シフト,3,1)</f>
        <v>#NAME?</v>
      </c>
      <c r="F92" s="90" t="e">
        <f ca="1">[0]!CSVVLookUP(ROW(行数!B84),配列!$C$9,利用時間_シフト,4,1)</f>
        <v>#NAME?</v>
      </c>
      <c r="G92" s="91" t="e">
        <f ca="1">IF(F92="","",SUM(INDEX(利用時間_シフト,[0]!CSVChoose(ROW(行数!A84),配列!$C$8),5):INDEX(利用時間_シフト,[0]!CSVChoose(ROW(行数!A84),配列!$C$9),5)))</f>
        <v>#NAME?</v>
      </c>
      <c r="H92" s="91" t="e">
        <f ca="1">IF(F92="","",SUM(INDEX(利用時間_シフト,[0]!CSVChoose(ROW(行数!A84),配列!$C$8),6):INDEX(利用時間_シフト,[0]!CSVChoose(ROW(行数!A84),配列!$C$9),6)))</f>
        <v>#NAME?</v>
      </c>
      <c r="I92" s="103" t="e">
        <f t="shared" ca="1" si="12"/>
        <v>#NAME?</v>
      </c>
      <c r="J92" s="91" t="e">
        <f ca="1">IF(F92="","",SUM(INDEX(利用時間_シフト,[0]!CSVChoose(ROW(行数!A84),配列!$C$8),8):INDEX(利用時間_シフト,[0]!CSVChoose(ROW(行数!A84),配列!$C$9),8)))</f>
        <v>#NAME?</v>
      </c>
      <c r="K92" s="104" t="e">
        <f ca="1">IF(F92="","",SUM(INDEX(利用時間_シフト,[0]!CSVChoose(ROW(行数!A84),配列!$C$8),9):INDEX(利用時間_シフト,[0]!CSVChoose(ROW(行数!A84),配列!$C$9),9)))</f>
        <v>#NAME?</v>
      </c>
      <c r="L92" s="91" t="e">
        <f ca="1">IF(F92="","",SUM(INDEX(利用時間_シフト,[0]!CSVChoose(ROW(行数!A84),配列!$C$8),10):INDEX(利用時間_シフト,[0]!CSVChoose(ROW(行数!A84),配列!$C$9),10)))</f>
        <v>#NAME?</v>
      </c>
      <c r="M92" s="93" t="e">
        <f ca="1">IF(F92="","",SUM(INDEX(利用時間_シフト,[0]!CSVChoose(ROW(行数!A84),配列!$C$8),11):INDEX(利用時間_シフト,[0]!CSVChoose(ROW(行数!A84),配列!$C$9),11)))</f>
        <v>#NAME?</v>
      </c>
      <c r="N92" s="91" t="e">
        <f t="shared" ca="1" si="13"/>
        <v>#NAME?</v>
      </c>
      <c r="O92" s="92" t="e">
        <f ca="1">[0]!CSVVLookUP(ROW(行数!A84),配列!$C$5,運転予定時間,7,1)</f>
        <v>#NAME?</v>
      </c>
      <c r="P92" s="253" t="str">
        <f t="shared" si="19"/>
        <v/>
      </c>
      <c r="Q92" s="254" t="str">
        <f t="shared" si="20"/>
        <v/>
      </c>
      <c r="R92" s="255" t="str">
        <f t="shared" si="21"/>
        <v/>
      </c>
      <c r="S92" s="254" t="str">
        <f t="shared" si="22"/>
        <v/>
      </c>
      <c r="T92" s="78"/>
      <c r="U92" s="161"/>
      <c r="W92" s="166" t="e">
        <f ca="1">[0]!CSVVLookUP(ROW(行数!A84),配列!$C$5,運転予定時間,5,1)</f>
        <v>#NAME?</v>
      </c>
      <c r="Y92" s="92" t="e">
        <f t="shared" ca="1" si="14"/>
        <v>#NAME?</v>
      </c>
      <c r="Z92" s="81"/>
      <c r="AA92" s="251"/>
      <c r="AB92" s="81"/>
      <c r="AC92" s="251"/>
    </row>
    <row r="93" spans="2:29" x14ac:dyDescent="0.2">
      <c r="B93" s="93" t="e">
        <f t="shared" ca="1" si="11"/>
        <v>#NAME?</v>
      </c>
      <c r="C93" s="90" t="e">
        <f ca="1">[0]!CSVVLookUP(ROW(行数!A85),配列!$C$5,運転予定時間,3,1)</f>
        <v>#NAME?</v>
      </c>
      <c r="D93" s="90" t="e">
        <f ca="1">[0]!CSVVLookUP(ROW(行数!B85),配列!$C$5,運転予定時間,4,1)</f>
        <v>#NAME?</v>
      </c>
      <c r="E93" s="90" t="e">
        <f ca="1">[0]!CSVVLookUP(ROW(行数!B85),配列!$C$8,利用時間_シフト,3,1)</f>
        <v>#NAME?</v>
      </c>
      <c r="F93" s="90" t="e">
        <f ca="1">[0]!CSVVLookUP(ROW(行数!B85),配列!$C$9,利用時間_シフト,4,1)</f>
        <v>#NAME?</v>
      </c>
      <c r="G93" s="91" t="e">
        <f ca="1">IF(F93="","",SUM(INDEX(利用時間_シフト,[0]!CSVChoose(ROW(行数!A85),配列!$C$8),5):INDEX(利用時間_シフト,[0]!CSVChoose(ROW(行数!A85),配列!$C$9),5)))</f>
        <v>#NAME?</v>
      </c>
      <c r="H93" s="91" t="e">
        <f ca="1">IF(F93="","",SUM(INDEX(利用時間_シフト,[0]!CSVChoose(ROW(行数!A85),配列!$C$8),6):INDEX(利用時間_シフト,[0]!CSVChoose(ROW(行数!A85),配列!$C$9),6)))</f>
        <v>#NAME?</v>
      </c>
      <c r="I93" s="103" t="e">
        <f t="shared" ca="1" si="12"/>
        <v>#NAME?</v>
      </c>
      <c r="J93" s="91" t="e">
        <f ca="1">IF(F93="","",SUM(INDEX(利用時間_シフト,[0]!CSVChoose(ROW(行数!A85),配列!$C$8),8):INDEX(利用時間_シフト,[0]!CSVChoose(ROW(行数!A85),配列!$C$9),8)))</f>
        <v>#NAME?</v>
      </c>
      <c r="K93" s="104" t="e">
        <f ca="1">IF(F93="","",SUM(INDEX(利用時間_シフト,[0]!CSVChoose(ROW(行数!A85),配列!$C$8),9):INDEX(利用時間_シフト,[0]!CSVChoose(ROW(行数!A85),配列!$C$9),9)))</f>
        <v>#NAME?</v>
      </c>
      <c r="L93" s="91" t="e">
        <f ca="1">IF(F93="","",SUM(INDEX(利用時間_シフト,[0]!CSVChoose(ROW(行数!A85),配列!$C$8),10):INDEX(利用時間_シフト,[0]!CSVChoose(ROW(行数!A85),配列!$C$9),10)))</f>
        <v>#NAME?</v>
      </c>
      <c r="M93" s="93" t="e">
        <f ca="1">IF(F93="","",SUM(INDEX(利用時間_シフト,[0]!CSVChoose(ROW(行数!A85),配列!$C$8),11):INDEX(利用時間_シフト,[0]!CSVChoose(ROW(行数!A85),配列!$C$9),11)))</f>
        <v>#NAME?</v>
      </c>
      <c r="N93" s="91" t="e">
        <f t="shared" ca="1" si="13"/>
        <v>#NAME?</v>
      </c>
      <c r="O93" s="92" t="e">
        <f ca="1">[0]!CSVVLookUP(ROW(行数!A85),配列!$C$5,運転予定時間,7,1)</f>
        <v>#NAME?</v>
      </c>
      <c r="P93" s="253" t="str">
        <f t="shared" si="19"/>
        <v/>
      </c>
      <c r="Q93" s="254" t="str">
        <f t="shared" si="20"/>
        <v/>
      </c>
      <c r="R93" s="255" t="str">
        <f t="shared" si="21"/>
        <v/>
      </c>
      <c r="S93" s="254" t="str">
        <f t="shared" si="22"/>
        <v/>
      </c>
      <c r="T93" s="78"/>
      <c r="U93" s="161"/>
      <c r="W93" s="166" t="e">
        <f ca="1">[0]!CSVVLookUP(ROW(行数!A85),配列!$C$5,運転予定時間,5,1)</f>
        <v>#NAME?</v>
      </c>
      <c r="Y93" s="92" t="e">
        <f t="shared" ca="1" si="14"/>
        <v>#NAME?</v>
      </c>
      <c r="Z93" s="81"/>
      <c r="AA93" s="251"/>
      <c r="AB93" s="81"/>
      <c r="AC93" s="251"/>
    </row>
    <row r="94" spans="2:29" x14ac:dyDescent="0.2">
      <c r="B94" s="93" t="e">
        <f t="shared" ca="1" si="11"/>
        <v>#NAME?</v>
      </c>
      <c r="C94" s="90" t="e">
        <f ca="1">[0]!CSVVLookUP(ROW(行数!A86),配列!$C$5,運転予定時間,3,1)</f>
        <v>#NAME?</v>
      </c>
      <c r="D94" s="90" t="e">
        <f ca="1">[0]!CSVVLookUP(ROW(行数!B86),配列!$C$5,運転予定時間,4,1)</f>
        <v>#NAME?</v>
      </c>
      <c r="E94" s="90" t="e">
        <f ca="1">[0]!CSVVLookUP(ROW(行数!B86),配列!$C$8,利用時間_シフト,3,1)</f>
        <v>#NAME?</v>
      </c>
      <c r="F94" s="90" t="e">
        <f ca="1">[0]!CSVVLookUP(ROW(行数!B86),配列!$C$9,利用時間_シフト,4,1)</f>
        <v>#NAME?</v>
      </c>
      <c r="G94" s="91" t="e">
        <f ca="1">IF(F94="","",SUM(INDEX(利用時間_シフト,[0]!CSVChoose(ROW(行数!A86),配列!$C$8),5):INDEX(利用時間_シフト,[0]!CSVChoose(ROW(行数!A86),配列!$C$9),5)))</f>
        <v>#NAME?</v>
      </c>
      <c r="H94" s="91" t="e">
        <f ca="1">IF(F94="","",SUM(INDEX(利用時間_シフト,[0]!CSVChoose(ROW(行数!A86),配列!$C$8),6):INDEX(利用時間_シフト,[0]!CSVChoose(ROW(行数!A86),配列!$C$9),6)))</f>
        <v>#NAME?</v>
      </c>
      <c r="I94" s="103" t="e">
        <f t="shared" ca="1" si="12"/>
        <v>#NAME?</v>
      </c>
      <c r="J94" s="91" t="e">
        <f ca="1">IF(F94="","",SUM(INDEX(利用時間_シフト,[0]!CSVChoose(ROW(行数!A86),配列!$C$8),8):INDEX(利用時間_シフト,[0]!CSVChoose(ROW(行数!A86),配列!$C$9),8)))</f>
        <v>#NAME?</v>
      </c>
      <c r="K94" s="104" t="e">
        <f ca="1">IF(F94="","",SUM(INDEX(利用時間_シフト,[0]!CSVChoose(ROW(行数!A86),配列!$C$8),9):INDEX(利用時間_シフト,[0]!CSVChoose(ROW(行数!A86),配列!$C$9),9)))</f>
        <v>#NAME?</v>
      </c>
      <c r="L94" s="91" t="e">
        <f ca="1">IF(F94="","",SUM(INDEX(利用時間_シフト,[0]!CSVChoose(ROW(行数!A86),配列!$C$8),10):INDEX(利用時間_シフト,[0]!CSVChoose(ROW(行数!A86),配列!$C$9),10)))</f>
        <v>#NAME?</v>
      </c>
      <c r="M94" s="93" t="e">
        <f ca="1">IF(F94="","",SUM(INDEX(利用時間_シフト,[0]!CSVChoose(ROW(行数!A86),配列!$C$8),11):INDEX(利用時間_シフト,[0]!CSVChoose(ROW(行数!A86),配列!$C$9),11)))</f>
        <v>#NAME?</v>
      </c>
      <c r="N94" s="91" t="e">
        <f t="shared" ca="1" si="13"/>
        <v>#NAME?</v>
      </c>
      <c r="O94" s="92" t="e">
        <f ca="1">[0]!CSVVLookUP(ROW(行数!A86),配列!$C$5,運転予定時間,7,1)</f>
        <v>#NAME?</v>
      </c>
      <c r="P94" s="253" t="str">
        <f t="shared" si="19"/>
        <v/>
      </c>
      <c r="Q94" s="254" t="str">
        <f t="shared" si="20"/>
        <v/>
      </c>
      <c r="R94" s="255" t="str">
        <f t="shared" si="21"/>
        <v/>
      </c>
      <c r="S94" s="254" t="str">
        <f t="shared" si="22"/>
        <v/>
      </c>
      <c r="T94" s="78"/>
      <c r="U94" s="161"/>
      <c r="W94" s="166" t="e">
        <f ca="1">[0]!CSVVLookUP(ROW(行数!A86),配列!$C$5,運転予定時間,5,1)</f>
        <v>#NAME?</v>
      </c>
      <c r="Y94" s="92" t="e">
        <f t="shared" ca="1" si="14"/>
        <v>#NAME?</v>
      </c>
      <c r="Z94" s="81"/>
      <c r="AA94" s="251"/>
      <c r="AB94" s="81"/>
      <c r="AC94" s="251"/>
    </row>
    <row r="95" spans="2:29" x14ac:dyDescent="0.2">
      <c r="B95" s="93" t="e">
        <f t="shared" ca="1" si="11"/>
        <v>#NAME?</v>
      </c>
      <c r="C95" s="90" t="e">
        <f ca="1">[0]!CSVVLookUP(ROW(行数!A87),配列!$C$5,運転予定時間,3,1)</f>
        <v>#NAME?</v>
      </c>
      <c r="D95" s="90" t="e">
        <f ca="1">[0]!CSVVLookUP(ROW(行数!B87),配列!$C$5,運転予定時間,4,1)</f>
        <v>#NAME?</v>
      </c>
      <c r="E95" s="90" t="e">
        <f ca="1">[0]!CSVVLookUP(ROW(行数!B87),配列!$C$8,利用時間_シフト,3,1)</f>
        <v>#NAME?</v>
      </c>
      <c r="F95" s="90" t="e">
        <f ca="1">[0]!CSVVLookUP(ROW(行数!B87),配列!$C$9,利用時間_シフト,4,1)</f>
        <v>#NAME?</v>
      </c>
      <c r="G95" s="91" t="e">
        <f ca="1">IF(F95="","",SUM(INDEX(利用時間_シフト,[0]!CSVChoose(ROW(行数!A87),配列!$C$8),5):INDEX(利用時間_シフト,[0]!CSVChoose(ROW(行数!A87),配列!$C$9),5)))</f>
        <v>#NAME?</v>
      </c>
      <c r="H95" s="91" t="e">
        <f ca="1">IF(F95="","",SUM(INDEX(利用時間_シフト,[0]!CSVChoose(ROW(行数!A87),配列!$C$8),6):INDEX(利用時間_シフト,[0]!CSVChoose(ROW(行数!A87),配列!$C$9),6)))</f>
        <v>#NAME?</v>
      </c>
      <c r="I95" s="103" t="e">
        <f t="shared" ca="1" si="12"/>
        <v>#NAME?</v>
      </c>
      <c r="J95" s="91" t="e">
        <f ca="1">IF(F95="","",SUM(INDEX(利用時間_シフト,[0]!CSVChoose(ROW(行数!A87),配列!$C$8),8):INDEX(利用時間_シフト,[0]!CSVChoose(ROW(行数!A87),配列!$C$9),8)))</f>
        <v>#NAME?</v>
      </c>
      <c r="K95" s="104" t="e">
        <f ca="1">IF(F95="","",SUM(INDEX(利用時間_シフト,[0]!CSVChoose(ROW(行数!A87),配列!$C$8),9):INDEX(利用時間_シフト,[0]!CSVChoose(ROW(行数!A87),配列!$C$9),9)))</f>
        <v>#NAME?</v>
      </c>
      <c r="L95" s="91" t="e">
        <f ca="1">IF(F95="","",SUM(INDEX(利用時間_シフト,[0]!CSVChoose(ROW(行数!A87),配列!$C$8),10):INDEX(利用時間_シフト,[0]!CSVChoose(ROW(行数!A87),配列!$C$9),10)))</f>
        <v>#NAME?</v>
      </c>
      <c r="M95" s="93" t="e">
        <f ca="1">IF(F95="","",SUM(INDEX(利用時間_シフト,[0]!CSVChoose(ROW(行数!A87),配列!$C$8),11):INDEX(利用時間_シフト,[0]!CSVChoose(ROW(行数!A87),配列!$C$9),11)))</f>
        <v>#NAME?</v>
      </c>
      <c r="N95" s="91" t="e">
        <f t="shared" ca="1" si="13"/>
        <v>#NAME?</v>
      </c>
      <c r="O95" s="92" t="e">
        <f ca="1">[0]!CSVVLookUP(ROW(行数!A87),配列!$C$5,運転予定時間,7,1)</f>
        <v>#NAME?</v>
      </c>
      <c r="P95" s="253" t="str">
        <f t="shared" si="19"/>
        <v/>
      </c>
      <c r="Q95" s="254" t="str">
        <f t="shared" si="20"/>
        <v/>
      </c>
      <c r="R95" s="255" t="str">
        <f t="shared" si="21"/>
        <v/>
      </c>
      <c r="S95" s="254" t="str">
        <f t="shared" si="22"/>
        <v/>
      </c>
      <c r="T95" s="78"/>
      <c r="U95" s="161"/>
      <c r="W95" s="166" t="e">
        <f ca="1">[0]!CSVVLookUP(ROW(行数!A87),配列!$C$5,運転予定時間,5,1)</f>
        <v>#NAME?</v>
      </c>
      <c r="Y95" s="92" t="e">
        <f t="shared" ca="1" si="14"/>
        <v>#NAME?</v>
      </c>
      <c r="Z95" s="81"/>
      <c r="AA95" s="251"/>
      <c r="AB95" s="81"/>
      <c r="AC95" s="251"/>
    </row>
    <row r="96" spans="2:29" x14ac:dyDescent="0.2">
      <c r="B96" s="93" t="e">
        <f t="shared" ca="1" si="11"/>
        <v>#NAME?</v>
      </c>
      <c r="C96" s="90" t="e">
        <f ca="1">[0]!CSVVLookUP(ROW(行数!A88),配列!$C$5,運転予定時間,3,1)</f>
        <v>#NAME?</v>
      </c>
      <c r="D96" s="90" t="e">
        <f ca="1">[0]!CSVVLookUP(ROW(行数!B88),配列!$C$5,運転予定時間,4,1)</f>
        <v>#NAME?</v>
      </c>
      <c r="E96" s="90" t="e">
        <f ca="1">[0]!CSVVLookUP(ROW(行数!B88),配列!$C$8,利用時間_シフト,3,1)</f>
        <v>#NAME?</v>
      </c>
      <c r="F96" s="90" t="e">
        <f ca="1">[0]!CSVVLookUP(ROW(行数!B88),配列!$C$9,利用時間_シフト,4,1)</f>
        <v>#NAME?</v>
      </c>
      <c r="G96" s="91" t="e">
        <f ca="1">IF(F96="","",SUM(INDEX(利用時間_シフト,[0]!CSVChoose(ROW(行数!A88),配列!$C$8),5):INDEX(利用時間_シフト,[0]!CSVChoose(ROW(行数!A88),配列!$C$9),5)))</f>
        <v>#NAME?</v>
      </c>
      <c r="H96" s="91" t="e">
        <f ca="1">IF(F96="","",SUM(INDEX(利用時間_シフト,[0]!CSVChoose(ROW(行数!A88),配列!$C$8),6):INDEX(利用時間_シフト,[0]!CSVChoose(ROW(行数!A88),配列!$C$9),6)))</f>
        <v>#NAME?</v>
      </c>
      <c r="I96" s="103" t="e">
        <f t="shared" ca="1" si="12"/>
        <v>#NAME?</v>
      </c>
      <c r="J96" s="91" t="e">
        <f ca="1">IF(F96="","",SUM(INDEX(利用時間_シフト,[0]!CSVChoose(ROW(行数!A88),配列!$C$8),8):INDEX(利用時間_シフト,[0]!CSVChoose(ROW(行数!A88),配列!$C$9),8)))</f>
        <v>#NAME?</v>
      </c>
      <c r="K96" s="104" t="e">
        <f ca="1">IF(F96="","",SUM(INDEX(利用時間_シフト,[0]!CSVChoose(ROW(行数!A88),配列!$C$8),9):INDEX(利用時間_シフト,[0]!CSVChoose(ROW(行数!A88),配列!$C$9),9)))</f>
        <v>#NAME?</v>
      </c>
      <c r="L96" s="91" t="e">
        <f ca="1">IF(F96="","",SUM(INDEX(利用時間_シフト,[0]!CSVChoose(ROW(行数!A88),配列!$C$8),10):INDEX(利用時間_シフト,[0]!CSVChoose(ROW(行数!A88),配列!$C$9),10)))</f>
        <v>#NAME?</v>
      </c>
      <c r="M96" s="93" t="e">
        <f ca="1">IF(F96="","",SUM(INDEX(利用時間_シフト,[0]!CSVChoose(ROW(行数!A88),配列!$C$8),11):INDEX(利用時間_シフト,[0]!CSVChoose(ROW(行数!A88),配列!$C$9),11)))</f>
        <v>#NAME?</v>
      </c>
      <c r="N96" s="91" t="e">
        <f t="shared" ca="1" si="13"/>
        <v>#NAME?</v>
      </c>
      <c r="O96" s="92" t="e">
        <f ca="1">[0]!CSVVLookUP(ROW(行数!A88),配列!$C$5,運転予定時間,7,1)</f>
        <v>#NAME?</v>
      </c>
      <c r="P96" s="253" t="str">
        <f t="shared" si="19"/>
        <v/>
      </c>
      <c r="Q96" s="254" t="str">
        <f t="shared" si="20"/>
        <v/>
      </c>
      <c r="R96" s="255" t="str">
        <f t="shared" si="21"/>
        <v/>
      </c>
      <c r="S96" s="254" t="str">
        <f t="shared" si="22"/>
        <v/>
      </c>
      <c r="T96" s="78"/>
      <c r="U96" s="161"/>
      <c r="W96" s="166" t="e">
        <f ca="1">[0]!CSVVLookUP(ROW(行数!A88),配列!$C$5,運転予定時間,5,1)</f>
        <v>#NAME?</v>
      </c>
      <c r="Y96" s="92" t="e">
        <f t="shared" ca="1" si="14"/>
        <v>#NAME?</v>
      </c>
      <c r="Z96" s="81"/>
      <c r="AA96" s="251"/>
      <c r="AB96" s="81"/>
      <c r="AC96" s="251"/>
    </row>
    <row r="97" spans="2:29" x14ac:dyDescent="0.2">
      <c r="B97" s="93" t="e">
        <f t="shared" ca="1" si="11"/>
        <v>#NAME?</v>
      </c>
      <c r="C97" s="90" t="e">
        <f ca="1">[0]!CSVVLookUP(ROW(行数!A89),配列!$C$5,運転予定時間,3,1)</f>
        <v>#NAME?</v>
      </c>
      <c r="D97" s="90" t="e">
        <f ca="1">[0]!CSVVLookUP(ROW(行数!B89),配列!$C$5,運転予定時間,4,1)</f>
        <v>#NAME?</v>
      </c>
      <c r="E97" s="90" t="e">
        <f ca="1">[0]!CSVVLookUP(ROW(行数!B89),配列!$C$8,利用時間_シフト,3,1)</f>
        <v>#NAME?</v>
      </c>
      <c r="F97" s="90" t="e">
        <f ca="1">[0]!CSVVLookUP(ROW(行数!B89),配列!$C$9,利用時間_シフト,4,1)</f>
        <v>#NAME?</v>
      </c>
      <c r="G97" s="91" t="e">
        <f ca="1">IF(F97="","",SUM(INDEX(利用時間_シフト,[0]!CSVChoose(ROW(行数!A89),配列!$C$8),5):INDEX(利用時間_シフト,[0]!CSVChoose(ROW(行数!A89),配列!$C$9),5)))</f>
        <v>#NAME?</v>
      </c>
      <c r="H97" s="91" t="e">
        <f ca="1">IF(F97="","",SUM(INDEX(利用時間_シフト,[0]!CSVChoose(ROW(行数!A89),配列!$C$8),6):INDEX(利用時間_シフト,[0]!CSVChoose(ROW(行数!A89),配列!$C$9),6)))</f>
        <v>#NAME?</v>
      </c>
      <c r="I97" s="103" t="e">
        <f t="shared" ca="1" si="12"/>
        <v>#NAME?</v>
      </c>
      <c r="J97" s="91" t="e">
        <f ca="1">IF(F97="","",SUM(INDEX(利用時間_シフト,[0]!CSVChoose(ROW(行数!A89),配列!$C$8),8):INDEX(利用時間_シフト,[0]!CSVChoose(ROW(行数!A89),配列!$C$9),8)))</f>
        <v>#NAME?</v>
      </c>
      <c r="K97" s="104" t="e">
        <f ca="1">IF(F97="","",SUM(INDEX(利用時間_シフト,[0]!CSVChoose(ROW(行数!A89),配列!$C$8),9):INDEX(利用時間_シフト,[0]!CSVChoose(ROW(行数!A89),配列!$C$9),9)))</f>
        <v>#NAME?</v>
      </c>
      <c r="L97" s="91" t="e">
        <f ca="1">IF(F97="","",SUM(INDEX(利用時間_シフト,[0]!CSVChoose(ROW(行数!A89),配列!$C$8),10):INDEX(利用時間_シフト,[0]!CSVChoose(ROW(行数!A89),配列!$C$9),10)))</f>
        <v>#NAME?</v>
      </c>
      <c r="M97" s="93" t="e">
        <f ca="1">IF(F97="","",SUM(INDEX(利用時間_シフト,[0]!CSVChoose(ROW(行数!A89),配列!$C$8),11):INDEX(利用時間_シフト,[0]!CSVChoose(ROW(行数!A89),配列!$C$9),11)))</f>
        <v>#NAME?</v>
      </c>
      <c r="N97" s="91" t="e">
        <f t="shared" ca="1" si="13"/>
        <v>#NAME?</v>
      </c>
      <c r="O97" s="92" t="e">
        <f ca="1">[0]!CSVVLookUP(ROW(行数!A89),配列!$C$5,運転予定時間,7,1)</f>
        <v>#NAME?</v>
      </c>
      <c r="P97" s="253" t="str">
        <f t="shared" si="19"/>
        <v/>
      </c>
      <c r="Q97" s="254" t="str">
        <f t="shared" si="20"/>
        <v/>
      </c>
      <c r="R97" s="255" t="str">
        <f t="shared" si="21"/>
        <v/>
      </c>
      <c r="S97" s="254" t="str">
        <f t="shared" si="22"/>
        <v/>
      </c>
      <c r="T97" s="78"/>
      <c r="U97" s="161"/>
      <c r="W97" s="166" t="e">
        <f ca="1">[0]!CSVVLookUP(ROW(行数!A89),配列!$C$5,運転予定時間,5,1)</f>
        <v>#NAME?</v>
      </c>
      <c r="Y97" s="92" t="e">
        <f t="shared" ca="1" si="14"/>
        <v>#NAME?</v>
      </c>
      <c r="Z97" s="81"/>
      <c r="AA97" s="251"/>
      <c r="AB97" s="81"/>
      <c r="AC97" s="251"/>
    </row>
    <row r="98" spans="2:29" x14ac:dyDescent="0.2">
      <c r="B98" s="93" t="e">
        <f t="shared" ca="1" si="11"/>
        <v>#NAME?</v>
      </c>
      <c r="C98" s="90" t="e">
        <f ca="1">[0]!CSVVLookUP(ROW(行数!A90),配列!$C$5,運転予定時間,3,1)</f>
        <v>#NAME?</v>
      </c>
      <c r="D98" s="90" t="e">
        <f ca="1">[0]!CSVVLookUP(ROW(行数!B90),配列!$C$5,運転予定時間,4,1)</f>
        <v>#NAME?</v>
      </c>
      <c r="E98" s="90" t="e">
        <f ca="1">[0]!CSVVLookUP(ROW(行数!B90),配列!$C$8,利用時間_シフト,3,1)</f>
        <v>#NAME?</v>
      </c>
      <c r="F98" s="90" t="e">
        <f ca="1">[0]!CSVVLookUP(ROW(行数!B90),配列!$C$9,利用時間_シフト,4,1)</f>
        <v>#NAME?</v>
      </c>
      <c r="G98" s="91" t="e">
        <f ca="1">IF(F98="","",SUM(INDEX(利用時間_シフト,[0]!CSVChoose(ROW(行数!A90),配列!$C$8),5):INDEX(利用時間_シフト,[0]!CSVChoose(ROW(行数!A90),配列!$C$9),5)))</f>
        <v>#NAME?</v>
      </c>
      <c r="H98" s="91" t="e">
        <f ca="1">IF(F98="","",SUM(INDEX(利用時間_シフト,[0]!CSVChoose(ROW(行数!A90),配列!$C$8),6):INDEX(利用時間_シフト,[0]!CSVChoose(ROW(行数!A90),配列!$C$9),6)))</f>
        <v>#NAME?</v>
      </c>
      <c r="I98" s="103" t="e">
        <f t="shared" ca="1" si="12"/>
        <v>#NAME?</v>
      </c>
      <c r="J98" s="91" t="e">
        <f ca="1">IF(F98="","",SUM(INDEX(利用時間_シフト,[0]!CSVChoose(ROW(行数!A90),配列!$C$8),8):INDEX(利用時間_シフト,[0]!CSVChoose(ROW(行数!A90),配列!$C$9),8)))</f>
        <v>#NAME?</v>
      </c>
      <c r="K98" s="104" t="e">
        <f ca="1">IF(F98="","",SUM(INDEX(利用時間_シフト,[0]!CSVChoose(ROW(行数!A90),配列!$C$8),9):INDEX(利用時間_シフト,[0]!CSVChoose(ROW(行数!A90),配列!$C$9),9)))</f>
        <v>#NAME?</v>
      </c>
      <c r="L98" s="91" t="e">
        <f ca="1">IF(F98="","",SUM(INDEX(利用時間_シフト,[0]!CSVChoose(ROW(行数!A90),配列!$C$8),10):INDEX(利用時間_シフト,[0]!CSVChoose(ROW(行数!A90),配列!$C$9),10)))</f>
        <v>#NAME?</v>
      </c>
      <c r="M98" s="93" t="e">
        <f ca="1">IF(F98="","",SUM(INDEX(利用時間_シフト,[0]!CSVChoose(ROW(行数!A90),配列!$C$8),11):INDEX(利用時間_シフト,[0]!CSVChoose(ROW(行数!A90),配列!$C$9),11)))</f>
        <v>#NAME?</v>
      </c>
      <c r="N98" s="91" t="e">
        <f t="shared" ca="1" si="13"/>
        <v>#NAME?</v>
      </c>
      <c r="O98" s="92" t="e">
        <f ca="1">[0]!CSVVLookUP(ROW(行数!A90),配列!$C$5,運転予定時間,7,1)</f>
        <v>#NAME?</v>
      </c>
      <c r="P98" s="253" t="str">
        <f t="shared" si="19"/>
        <v/>
      </c>
      <c r="Q98" s="254" t="str">
        <f t="shared" si="20"/>
        <v/>
      </c>
      <c r="R98" s="255" t="str">
        <f t="shared" si="21"/>
        <v/>
      </c>
      <c r="S98" s="254" t="str">
        <f t="shared" si="22"/>
        <v/>
      </c>
      <c r="T98" s="78"/>
      <c r="U98" s="161"/>
      <c r="W98" s="166" t="e">
        <f ca="1">[0]!CSVVLookUP(ROW(行数!A90),配列!$C$5,運転予定時間,5,1)</f>
        <v>#NAME?</v>
      </c>
      <c r="Y98" s="92" t="e">
        <f t="shared" ca="1" si="14"/>
        <v>#NAME?</v>
      </c>
      <c r="Z98" s="81"/>
      <c r="AA98" s="251"/>
      <c r="AB98" s="81"/>
      <c r="AC98" s="251"/>
    </row>
    <row r="99" spans="2:29" x14ac:dyDescent="0.2">
      <c r="B99" s="93" t="e">
        <f t="shared" ca="1" si="11"/>
        <v>#NAME?</v>
      </c>
      <c r="C99" s="90" t="e">
        <f ca="1">[0]!CSVVLookUP(ROW(行数!A91),配列!$C$5,運転予定時間,3,1)</f>
        <v>#NAME?</v>
      </c>
      <c r="D99" s="90" t="e">
        <f ca="1">[0]!CSVVLookUP(ROW(行数!B91),配列!$C$5,運転予定時間,4,1)</f>
        <v>#NAME?</v>
      </c>
      <c r="E99" s="90" t="e">
        <f ca="1">[0]!CSVVLookUP(ROW(行数!B91),配列!$C$8,利用時間_シフト,3,1)</f>
        <v>#NAME?</v>
      </c>
      <c r="F99" s="90" t="e">
        <f ca="1">[0]!CSVVLookUP(ROW(行数!B91),配列!$C$9,利用時間_シフト,4,1)</f>
        <v>#NAME?</v>
      </c>
      <c r="G99" s="91" t="e">
        <f ca="1">IF(F99="","",SUM(INDEX(利用時間_シフト,[0]!CSVChoose(ROW(行数!A91),配列!$C$8),5):INDEX(利用時間_シフト,[0]!CSVChoose(ROW(行数!A91),配列!$C$9),5)))</f>
        <v>#NAME?</v>
      </c>
      <c r="H99" s="91" t="e">
        <f ca="1">IF(F99="","",SUM(INDEX(利用時間_シフト,[0]!CSVChoose(ROW(行数!A91),配列!$C$8),6):INDEX(利用時間_シフト,[0]!CSVChoose(ROW(行数!A91),配列!$C$9),6)))</f>
        <v>#NAME?</v>
      </c>
      <c r="I99" s="103" t="e">
        <f t="shared" ca="1" si="12"/>
        <v>#NAME?</v>
      </c>
      <c r="J99" s="91" t="e">
        <f ca="1">IF(F99="","",SUM(INDEX(利用時間_シフト,[0]!CSVChoose(ROW(行数!A91),配列!$C$8),8):INDEX(利用時間_シフト,[0]!CSVChoose(ROW(行数!A91),配列!$C$9),8)))</f>
        <v>#NAME?</v>
      </c>
      <c r="K99" s="104" t="e">
        <f ca="1">IF(F99="","",SUM(INDEX(利用時間_シフト,[0]!CSVChoose(ROW(行数!A91),配列!$C$8),9):INDEX(利用時間_シフト,[0]!CSVChoose(ROW(行数!A91),配列!$C$9),9)))</f>
        <v>#NAME?</v>
      </c>
      <c r="L99" s="91" t="e">
        <f ca="1">IF(F99="","",SUM(INDEX(利用時間_シフト,[0]!CSVChoose(ROW(行数!A91),配列!$C$8),10):INDEX(利用時間_シフト,[0]!CSVChoose(ROW(行数!A91),配列!$C$9),10)))</f>
        <v>#NAME?</v>
      </c>
      <c r="M99" s="93" t="e">
        <f ca="1">IF(F99="","",SUM(INDEX(利用時間_シフト,[0]!CSVChoose(ROW(行数!A91),配列!$C$8),11):INDEX(利用時間_シフト,[0]!CSVChoose(ROW(行数!A91),配列!$C$9),11)))</f>
        <v>#NAME?</v>
      </c>
      <c r="N99" s="91" t="e">
        <f t="shared" ca="1" si="13"/>
        <v>#NAME?</v>
      </c>
      <c r="O99" s="92" t="e">
        <f ca="1">[0]!CSVVLookUP(ROW(行数!A91),配列!$C$5,運転予定時間,7,1)</f>
        <v>#NAME?</v>
      </c>
      <c r="P99" s="253" t="str">
        <f t="shared" si="19"/>
        <v/>
      </c>
      <c r="Q99" s="254" t="str">
        <f t="shared" si="20"/>
        <v/>
      </c>
      <c r="R99" s="255" t="str">
        <f t="shared" si="21"/>
        <v/>
      </c>
      <c r="S99" s="254" t="str">
        <f t="shared" si="22"/>
        <v/>
      </c>
      <c r="T99" s="78"/>
      <c r="U99" s="161"/>
      <c r="W99" s="166" t="e">
        <f ca="1">[0]!CSVVLookUP(ROW(行数!A91),配列!$C$5,運転予定時間,5,1)</f>
        <v>#NAME?</v>
      </c>
      <c r="Y99" s="92" t="e">
        <f t="shared" ca="1" si="14"/>
        <v>#NAME?</v>
      </c>
      <c r="Z99" s="81"/>
      <c r="AA99" s="251"/>
      <c r="AB99" s="81"/>
      <c r="AC99" s="251"/>
    </row>
    <row r="100" spans="2:29" x14ac:dyDescent="0.2">
      <c r="B100" s="93" t="e">
        <f t="shared" ca="1" si="11"/>
        <v>#NAME?</v>
      </c>
      <c r="C100" s="90" t="e">
        <f ca="1">[0]!CSVVLookUP(ROW(行数!A92),配列!$C$5,運転予定時間,3,1)</f>
        <v>#NAME?</v>
      </c>
      <c r="D100" s="90" t="e">
        <f ca="1">[0]!CSVVLookUP(ROW(行数!B92),配列!$C$5,運転予定時間,4,1)</f>
        <v>#NAME?</v>
      </c>
      <c r="E100" s="90" t="e">
        <f ca="1">[0]!CSVVLookUP(ROW(行数!B92),配列!$C$8,利用時間_シフト,3,1)</f>
        <v>#NAME?</v>
      </c>
      <c r="F100" s="90" t="e">
        <f ca="1">[0]!CSVVLookUP(ROW(行数!B92),配列!$C$9,利用時間_シフト,4,1)</f>
        <v>#NAME?</v>
      </c>
      <c r="G100" s="91" t="e">
        <f ca="1">IF(F100="","",SUM(INDEX(利用時間_シフト,[0]!CSVChoose(ROW(行数!A92),配列!$C$8),5):INDEX(利用時間_シフト,[0]!CSVChoose(ROW(行数!A92),配列!$C$9),5)))</f>
        <v>#NAME?</v>
      </c>
      <c r="H100" s="91" t="e">
        <f ca="1">IF(F100="","",SUM(INDEX(利用時間_シフト,[0]!CSVChoose(ROW(行数!A92),配列!$C$8),6):INDEX(利用時間_シフト,[0]!CSVChoose(ROW(行数!A92),配列!$C$9),6)))</f>
        <v>#NAME?</v>
      </c>
      <c r="I100" s="103" t="e">
        <f t="shared" ca="1" si="12"/>
        <v>#NAME?</v>
      </c>
      <c r="J100" s="91" t="e">
        <f ca="1">IF(F100="","",SUM(INDEX(利用時間_シフト,[0]!CSVChoose(ROW(行数!A92),配列!$C$8),8):INDEX(利用時間_シフト,[0]!CSVChoose(ROW(行数!A92),配列!$C$9),8)))</f>
        <v>#NAME?</v>
      </c>
      <c r="K100" s="104" t="e">
        <f ca="1">IF(F100="","",SUM(INDEX(利用時間_シフト,[0]!CSVChoose(ROW(行数!A92),配列!$C$8),9):INDEX(利用時間_シフト,[0]!CSVChoose(ROW(行数!A92),配列!$C$9),9)))</f>
        <v>#NAME?</v>
      </c>
      <c r="L100" s="91" t="e">
        <f ca="1">IF(F100="","",SUM(INDEX(利用時間_シフト,[0]!CSVChoose(ROW(行数!A92),配列!$C$8),10):INDEX(利用時間_シフト,[0]!CSVChoose(ROW(行数!A92),配列!$C$9),10)))</f>
        <v>#NAME?</v>
      </c>
      <c r="M100" s="93" t="e">
        <f ca="1">IF(F100="","",SUM(INDEX(利用時間_シフト,[0]!CSVChoose(ROW(行数!A92),配列!$C$8),11):INDEX(利用時間_シフト,[0]!CSVChoose(ROW(行数!A92),配列!$C$9),11)))</f>
        <v>#NAME?</v>
      </c>
      <c r="N100" s="91" t="e">
        <f t="shared" ca="1" si="13"/>
        <v>#NAME?</v>
      </c>
      <c r="O100" s="92" t="e">
        <f ca="1">[0]!CSVVLookUP(ROW(行数!A92),配列!$C$5,運転予定時間,7,1)</f>
        <v>#NAME?</v>
      </c>
      <c r="P100" s="253" t="str">
        <f t="shared" si="19"/>
        <v/>
      </c>
      <c r="Q100" s="254" t="str">
        <f t="shared" si="20"/>
        <v/>
      </c>
      <c r="R100" s="255" t="str">
        <f t="shared" si="21"/>
        <v/>
      </c>
      <c r="S100" s="254" t="str">
        <f t="shared" si="22"/>
        <v/>
      </c>
      <c r="T100" s="78"/>
      <c r="U100" s="161"/>
      <c r="W100" s="166" t="e">
        <f ca="1">[0]!CSVVLookUP(ROW(行数!A92),配列!$C$5,運転予定時間,5,1)</f>
        <v>#NAME?</v>
      </c>
      <c r="Y100" s="92" t="e">
        <f t="shared" ca="1" si="14"/>
        <v>#NAME?</v>
      </c>
      <c r="Z100" s="81"/>
      <c r="AA100" s="251"/>
      <c r="AB100" s="81"/>
      <c r="AC100" s="251"/>
    </row>
    <row r="101" spans="2:29" x14ac:dyDescent="0.2">
      <c r="B101" s="93" t="e">
        <f t="shared" ca="1" si="11"/>
        <v>#NAME?</v>
      </c>
      <c r="C101" s="90" t="e">
        <f ca="1">[0]!CSVVLookUP(ROW(行数!A93),配列!$C$5,運転予定時間,3,1)</f>
        <v>#NAME?</v>
      </c>
      <c r="D101" s="90" t="e">
        <f ca="1">[0]!CSVVLookUP(ROW(行数!B93),配列!$C$5,運転予定時間,4,1)</f>
        <v>#NAME?</v>
      </c>
      <c r="E101" s="90" t="e">
        <f ca="1">[0]!CSVVLookUP(ROW(行数!B93),配列!$C$8,利用時間_シフト,3,1)</f>
        <v>#NAME?</v>
      </c>
      <c r="F101" s="90" t="e">
        <f ca="1">[0]!CSVVLookUP(ROW(行数!B93),配列!$C$9,利用時間_シフト,4,1)</f>
        <v>#NAME?</v>
      </c>
      <c r="G101" s="91" t="e">
        <f ca="1">IF(F101="","",SUM(INDEX(利用時間_シフト,[0]!CSVChoose(ROW(行数!A93),配列!$C$8),5):INDEX(利用時間_シフト,[0]!CSVChoose(ROW(行数!A93),配列!$C$9),5)))</f>
        <v>#NAME?</v>
      </c>
      <c r="H101" s="91" t="e">
        <f ca="1">IF(F101="","",SUM(INDEX(利用時間_シフト,[0]!CSVChoose(ROW(行数!A93),配列!$C$8),6):INDEX(利用時間_シフト,[0]!CSVChoose(ROW(行数!A93),配列!$C$9),6)))</f>
        <v>#NAME?</v>
      </c>
      <c r="I101" s="103" t="e">
        <f t="shared" ca="1" si="12"/>
        <v>#NAME?</v>
      </c>
      <c r="J101" s="91" t="e">
        <f ca="1">IF(F101="","",SUM(INDEX(利用時間_シフト,[0]!CSVChoose(ROW(行数!A93),配列!$C$8),8):INDEX(利用時間_シフト,[0]!CSVChoose(ROW(行数!A93),配列!$C$9),8)))</f>
        <v>#NAME?</v>
      </c>
      <c r="K101" s="104" t="e">
        <f ca="1">IF(F101="","",SUM(INDEX(利用時間_シフト,[0]!CSVChoose(ROW(行数!A93),配列!$C$8),9):INDEX(利用時間_シフト,[0]!CSVChoose(ROW(行数!A93),配列!$C$9),9)))</f>
        <v>#NAME?</v>
      </c>
      <c r="L101" s="91" t="e">
        <f ca="1">IF(F101="","",SUM(INDEX(利用時間_シフト,[0]!CSVChoose(ROW(行数!A93),配列!$C$8),10):INDEX(利用時間_シフト,[0]!CSVChoose(ROW(行数!A93),配列!$C$9),10)))</f>
        <v>#NAME?</v>
      </c>
      <c r="M101" s="93" t="e">
        <f ca="1">IF(F101="","",SUM(INDEX(利用時間_シフト,[0]!CSVChoose(ROW(行数!A93),配列!$C$8),11):INDEX(利用時間_シフト,[0]!CSVChoose(ROW(行数!A93),配列!$C$9),11)))</f>
        <v>#NAME?</v>
      </c>
      <c r="N101" s="91" t="e">
        <f t="shared" ca="1" si="13"/>
        <v>#NAME?</v>
      </c>
      <c r="O101" s="92" t="e">
        <f ca="1">[0]!CSVVLookUP(ROW(行数!A93),配列!$C$5,運転予定時間,7,1)</f>
        <v>#NAME?</v>
      </c>
      <c r="P101" s="253" t="str">
        <f t="shared" si="19"/>
        <v/>
      </c>
      <c r="Q101" s="254" t="str">
        <f t="shared" si="20"/>
        <v/>
      </c>
      <c r="R101" s="255" t="str">
        <f t="shared" si="21"/>
        <v/>
      </c>
      <c r="S101" s="254" t="str">
        <f t="shared" si="22"/>
        <v/>
      </c>
      <c r="T101" s="78"/>
      <c r="U101" s="161"/>
      <c r="W101" s="166" t="e">
        <f ca="1">[0]!CSVVLookUP(ROW(行数!A93),配列!$C$5,運転予定時間,5,1)</f>
        <v>#NAME?</v>
      </c>
      <c r="Y101" s="92" t="e">
        <f t="shared" ca="1" si="14"/>
        <v>#NAME?</v>
      </c>
      <c r="Z101" s="81"/>
      <c r="AA101" s="251"/>
      <c r="AB101" s="81"/>
      <c r="AC101" s="251"/>
    </row>
    <row r="102" spans="2:29" x14ac:dyDescent="0.2">
      <c r="B102" s="93" t="e">
        <f t="shared" ca="1" si="11"/>
        <v>#NAME?</v>
      </c>
      <c r="C102" s="90" t="e">
        <f ca="1">[0]!CSVVLookUP(ROW(行数!A94),配列!$C$5,運転予定時間,3,1)</f>
        <v>#NAME?</v>
      </c>
      <c r="D102" s="90" t="e">
        <f ca="1">[0]!CSVVLookUP(ROW(行数!B94),配列!$C$5,運転予定時間,4,1)</f>
        <v>#NAME?</v>
      </c>
      <c r="E102" s="90" t="e">
        <f ca="1">[0]!CSVVLookUP(ROW(行数!B94),配列!$C$8,利用時間_シフト,3,1)</f>
        <v>#NAME?</v>
      </c>
      <c r="F102" s="90" t="e">
        <f ca="1">[0]!CSVVLookUP(ROW(行数!B94),配列!$C$9,利用時間_シフト,4,1)</f>
        <v>#NAME?</v>
      </c>
      <c r="G102" s="91" t="e">
        <f ca="1">IF(F102="","",SUM(INDEX(利用時間_シフト,[0]!CSVChoose(ROW(行数!A94),配列!$C$8),5):INDEX(利用時間_シフト,[0]!CSVChoose(ROW(行数!A94),配列!$C$9),5)))</f>
        <v>#NAME?</v>
      </c>
      <c r="H102" s="91" t="e">
        <f ca="1">IF(F102="","",SUM(INDEX(利用時間_シフト,[0]!CSVChoose(ROW(行数!A94),配列!$C$8),6):INDEX(利用時間_シフト,[0]!CSVChoose(ROW(行数!A94),配列!$C$9),6)))</f>
        <v>#NAME?</v>
      </c>
      <c r="I102" s="103" t="e">
        <f t="shared" ca="1" si="12"/>
        <v>#NAME?</v>
      </c>
      <c r="J102" s="91" t="e">
        <f ca="1">IF(F102="","",SUM(INDEX(利用時間_シフト,[0]!CSVChoose(ROW(行数!A94),配列!$C$8),8):INDEX(利用時間_シフト,[0]!CSVChoose(ROW(行数!A94),配列!$C$9),8)))</f>
        <v>#NAME?</v>
      </c>
      <c r="K102" s="104" t="e">
        <f ca="1">IF(F102="","",SUM(INDEX(利用時間_シフト,[0]!CSVChoose(ROW(行数!A94),配列!$C$8),9):INDEX(利用時間_シフト,[0]!CSVChoose(ROW(行数!A94),配列!$C$9),9)))</f>
        <v>#NAME?</v>
      </c>
      <c r="L102" s="91" t="e">
        <f ca="1">IF(F102="","",SUM(INDEX(利用時間_シフト,[0]!CSVChoose(ROW(行数!A94),配列!$C$8),10):INDEX(利用時間_シフト,[0]!CSVChoose(ROW(行数!A94),配列!$C$9),10)))</f>
        <v>#NAME?</v>
      </c>
      <c r="M102" s="93" t="e">
        <f ca="1">IF(F102="","",SUM(INDEX(利用時間_シフト,[0]!CSVChoose(ROW(行数!A94),配列!$C$8),11):INDEX(利用時間_シフト,[0]!CSVChoose(ROW(行数!A94),配列!$C$9),11)))</f>
        <v>#NAME?</v>
      </c>
      <c r="N102" s="91" t="e">
        <f t="shared" ca="1" si="13"/>
        <v>#NAME?</v>
      </c>
      <c r="O102" s="92" t="e">
        <f ca="1">[0]!CSVVLookUP(ROW(行数!A94),配列!$C$5,運転予定時間,7,1)</f>
        <v>#NAME?</v>
      </c>
      <c r="P102" s="253" t="str">
        <f t="shared" si="19"/>
        <v/>
      </c>
      <c r="Q102" s="254" t="str">
        <f t="shared" si="20"/>
        <v/>
      </c>
      <c r="R102" s="255" t="str">
        <f t="shared" si="21"/>
        <v/>
      </c>
      <c r="S102" s="254" t="str">
        <f t="shared" si="22"/>
        <v/>
      </c>
      <c r="T102" s="78"/>
      <c r="U102" s="161"/>
      <c r="W102" s="166" t="e">
        <f ca="1">[0]!CSVVLookUP(ROW(行数!A94),配列!$C$5,運転予定時間,5,1)</f>
        <v>#NAME?</v>
      </c>
      <c r="Y102" s="92" t="e">
        <f t="shared" ca="1" si="14"/>
        <v>#NAME?</v>
      </c>
      <c r="Z102" s="81"/>
      <c r="AA102" s="251"/>
      <c r="AB102" s="81"/>
      <c r="AC102" s="251"/>
    </row>
    <row r="103" spans="2:29" x14ac:dyDescent="0.2">
      <c r="B103" s="93" t="e">
        <f t="shared" ca="1" si="11"/>
        <v>#NAME?</v>
      </c>
      <c r="C103" s="90" t="e">
        <f ca="1">[0]!CSVVLookUP(ROW(行数!A95),配列!$C$5,運転予定時間,3,1)</f>
        <v>#NAME?</v>
      </c>
      <c r="D103" s="90" t="e">
        <f ca="1">[0]!CSVVLookUP(ROW(行数!B95),配列!$C$5,運転予定時間,4,1)</f>
        <v>#NAME?</v>
      </c>
      <c r="E103" s="90" t="e">
        <f ca="1">[0]!CSVVLookUP(ROW(行数!B95),配列!$C$8,利用時間_シフト,3,1)</f>
        <v>#NAME?</v>
      </c>
      <c r="F103" s="90" t="e">
        <f ca="1">[0]!CSVVLookUP(ROW(行数!B95),配列!$C$9,利用時間_シフト,4,1)</f>
        <v>#NAME?</v>
      </c>
      <c r="G103" s="91" t="e">
        <f ca="1">IF(F103="","",SUM(INDEX(利用時間_シフト,[0]!CSVChoose(ROW(行数!A95),配列!$C$8),5):INDEX(利用時間_シフト,[0]!CSVChoose(ROW(行数!A95),配列!$C$9),5)))</f>
        <v>#NAME?</v>
      </c>
      <c r="H103" s="91" t="e">
        <f ca="1">IF(F103="","",SUM(INDEX(利用時間_シフト,[0]!CSVChoose(ROW(行数!A95),配列!$C$8),6):INDEX(利用時間_シフト,[0]!CSVChoose(ROW(行数!A95),配列!$C$9),6)))</f>
        <v>#NAME?</v>
      </c>
      <c r="I103" s="103" t="e">
        <f t="shared" ca="1" si="12"/>
        <v>#NAME?</v>
      </c>
      <c r="J103" s="91" t="e">
        <f ca="1">IF(F103="","",SUM(INDEX(利用時間_シフト,[0]!CSVChoose(ROW(行数!A95),配列!$C$8),8):INDEX(利用時間_シフト,[0]!CSVChoose(ROW(行数!A95),配列!$C$9),8)))</f>
        <v>#NAME?</v>
      </c>
      <c r="K103" s="104" t="e">
        <f ca="1">IF(F103="","",SUM(INDEX(利用時間_シフト,[0]!CSVChoose(ROW(行数!A95),配列!$C$8),9):INDEX(利用時間_シフト,[0]!CSVChoose(ROW(行数!A95),配列!$C$9),9)))</f>
        <v>#NAME?</v>
      </c>
      <c r="L103" s="91" t="e">
        <f ca="1">IF(F103="","",SUM(INDEX(利用時間_シフト,[0]!CSVChoose(ROW(行数!A95),配列!$C$8),10):INDEX(利用時間_シフト,[0]!CSVChoose(ROW(行数!A95),配列!$C$9),10)))</f>
        <v>#NAME?</v>
      </c>
      <c r="M103" s="93" t="e">
        <f ca="1">IF(F103="","",SUM(INDEX(利用時間_シフト,[0]!CSVChoose(ROW(行数!A95),配列!$C$8),11):INDEX(利用時間_シフト,[0]!CSVChoose(ROW(行数!A95),配列!$C$9),11)))</f>
        <v>#NAME?</v>
      </c>
      <c r="N103" s="91" t="e">
        <f t="shared" ca="1" si="13"/>
        <v>#NAME?</v>
      </c>
      <c r="O103" s="92" t="e">
        <f ca="1">[0]!CSVVLookUP(ROW(行数!A95),配列!$C$5,運転予定時間,7,1)</f>
        <v>#NAME?</v>
      </c>
      <c r="P103" s="253" t="str">
        <f t="shared" si="19"/>
        <v/>
      </c>
      <c r="Q103" s="254" t="str">
        <f t="shared" si="20"/>
        <v/>
      </c>
      <c r="R103" s="255" t="str">
        <f t="shared" si="21"/>
        <v/>
      </c>
      <c r="S103" s="254" t="str">
        <f t="shared" si="22"/>
        <v/>
      </c>
      <c r="T103" s="78"/>
      <c r="U103" s="161"/>
      <c r="W103" s="166" t="e">
        <f ca="1">[0]!CSVVLookUP(ROW(行数!A95),配列!$C$5,運転予定時間,5,1)</f>
        <v>#NAME?</v>
      </c>
      <c r="Y103" s="92" t="e">
        <f t="shared" ca="1" si="14"/>
        <v>#NAME?</v>
      </c>
      <c r="Z103" s="81"/>
      <c r="AA103" s="251"/>
      <c r="AB103" s="81"/>
      <c r="AC103" s="251"/>
    </row>
    <row r="104" spans="2:29" x14ac:dyDescent="0.2">
      <c r="B104" s="93" t="e">
        <f t="shared" ca="1" si="11"/>
        <v>#NAME?</v>
      </c>
      <c r="C104" s="90" t="e">
        <f ca="1">[0]!CSVVLookUP(ROW(行数!A96),配列!$C$5,運転予定時間,3,1)</f>
        <v>#NAME?</v>
      </c>
      <c r="D104" s="90" t="e">
        <f ca="1">[0]!CSVVLookUP(ROW(行数!B96),配列!$C$5,運転予定時間,4,1)</f>
        <v>#NAME?</v>
      </c>
      <c r="E104" s="90" t="e">
        <f ca="1">[0]!CSVVLookUP(ROW(行数!B96),配列!$C$8,利用時間_シフト,3,1)</f>
        <v>#NAME?</v>
      </c>
      <c r="F104" s="90" t="e">
        <f ca="1">[0]!CSVVLookUP(ROW(行数!B96),配列!$C$9,利用時間_シフト,4,1)</f>
        <v>#NAME?</v>
      </c>
      <c r="G104" s="91" t="e">
        <f ca="1">IF(F104="","",SUM(INDEX(利用時間_シフト,[0]!CSVChoose(ROW(行数!A96),配列!$C$8),5):INDEX(利用時間_シフト,[0]!CSVChoose(ROW(行数!A96),配列!$C$9),5)))</f>
        <v>#NAME?</v>
      </c>
      <c r="H104" s="91" t="e">
        <f ca="1">IF(F104="","",SUM(INDEX(利用時間_シフト,[0]!CSVChoose(ROW(行数!A96),配列!$C$8),6):INDEX(利用時間_シフト,[0]!CSVChoose(ROW(行数!A96),配列!$C$9),6)))</f>
        <v>#NAME?</v>
      </c>
      <c r="I104" s="105" t="e">
        <f t="shared" ca="1" si="12"/>
        <v>#NAME?</v>
      </c>
      <c r="J104" s="91" t="e">
        <f ca="1">IF(F104="","",SUM(INDEX(利用時間_シフト,[0]!CSVChoose(ROW(行数!A96),配列!$C$8),8):INDEX(利用時間_シフト,[0]!CSVChoose(ROW(行数!A96),配列!$C$9),8)))</f>
        <v>#NAME?</v>
      </c>
      <c r="K104" s="104" t="e">
        <f ca="1">IF(F104="","",SUM(INDEX(利用時間_シフト,[0]!CSVChoose(ROW(行数!A96),配列!$C$8),9):INDEX(利用時間_シフト,[0]!CSVChoose(ROW(行数!A96),配列!$C$9),9)))</f>
        <v>#NAME?</v>
      </c>
      <c r="L104" s="91" t="e">
        <f ca="1">IF(F104="","",SUM(INDEX(利用時間_シフト,[0]!CSVChoose(ROW(行数!A96),配列!$C$8),10):INDEX(利用時間_シフト,[0]!CSVChoose(ROW(行数!A96),配列!$C$9),10)))</f>
        <v>#NAME?</v>
      </c>
      <c r="M104" s="93" t="e">
        <f ca="1">IF(F104="","",SUM(INDEX(利用時間_シフト,[0]!CSVChoose(ROW(行数!A96),配列!$C$8),11):INDEX(利用時間_シフト,[0]!CSVChoose(ROW(行数!A96),配列!$C$9),11)))</f>
        <v>#NAME?</v>
      </c>
      <c r="N104" s="91" t="e">
        <f t="shared" ca="1" si="13"/>
        <v>#NAME?</v>
      </c>
      <c r="O104" s="92" t="e">
        <f ca="1">[0]!CSVVLookUP(ROW(行数!A96),配列!$C$5,運転予定時間,7,1)</f>
        <v>#NAME?</v>
      </c>
      <c r="P104" s="253" t="str">
        <f t="shared" si="19"/>
        <v/>
      </c>
      <c r="Q104" s="254" t="str">
        <f t="shared" si="20"/>
        <v/>
      </c>
      <c r="R104" s="255" t="str">
        <f t="shared" si="21"/>
        <v/>
      </c>
      <c r="S104" s="254" t="str">
        <f t="shared" si="22"/>
        <v/>
      </c>
      <c r="T104" s="78"/>
      <c r="U104" s="161"/>
      <c r="W104" s="166" t="e">
        <f ca="1">[0]!CSVVLookUP(ROW(行数!A96),配列!$C$5,運転予定時間,5,1)</f>
        <v>#NAME?</v>
      </c>
      <c r="Y104" s="92" t="e">
        <f t="shared" ca="1" si="14"/>
        <v>#NAME?</v>
      </c>
      <c r="Z104" s="81"/>
      <c r="AA104" s="251"/>
      <c r="AB104" s="81"/>
      <c r="AC104" s="251"/>
    </row>
    <row r="106" spans="2:29" x14ac:dyDescent="0.2">
      <c r="K106" s="106"/>
    </row>
    <row r="107" spans="2:29" x14ac:dyDescent="0.2">
      <c r="K107" s="96"/>
    </row>
    <row r="108" spans="2:29" x14ac:dyDescent="0.2">
      <c r="J108" s="96"/>
      <c r="K108" s="96"/>
      <c r="L108" s="96"/>
    </row>
    <row r="109" spans="2:29" x14ac:dyDescent="0.2">
      <c r="K109" s="96"/>
    </row>
    <row r="110" spans="2:29" x14ac:dyDescent="0.2">
      <c r="K110" s="96"/>
    </row>
    <row r="111" spans="2:29" x14ac:dyDescent="0.2">
      <c r="K111" s="96"/>
    </row>
    <row r="112" spans="2:29" x14ac:dyDescent="0.2">
      <c r="K112" s="96"/>
    </row>
    <row r="113" spans="11:11" x14ac:dyDescent="0.2">
      <c r="K113" s="96"/>
    </row>
    <row r="114" spans="11:11" x14ac:dyDescent="0.2">
      <c r="K114" s="96"/>
    </row>
    <row r="115" spans="11:11" x14ac:dyDescent="0.2">
      <c r="K115" s="96"/>
    </row>
    <row r="116" spans="11:11" x14ac:dyDescent="0.2">
      <c r="K116" s="96"/>
    </row>
    <row r="117" spans="11:11" x14ac:dyDescent="0.2">
      <c r="K117" s="96"/>
    </row>
    <row r="118" spans="11:11" x14ac:dyDescent="0.2">
      <c r="K118" s="96"/>
    </row>
    <row r="119" spans="11:11" x14ac:dyDescent="0.2">
      <c r="K119" s="96"/>
    </row>
    <row r="120" spans="11:11" x14ac:dyDescent="0.2">
      <c r="K120" s="96"/>
    </row>
    <row r="121" spans="11:11" x14ac:dyDescent="0.2">
      <c r="K121" s="96"/>
    </row>
    <row r="122" spans="11:11" x14ac:dyDescent="0.2">
      <c r="K122" s="96"/>
    </row>
    <row r="123" spans="11:11" x14ac:dyDescent="0.2">
      <c r="K123" s="96"/>
    </row>
    <row r="124" spans="11:11" x14ac:dyDescent="0.2">
      <c r="K124" s="96"/>
    </row>
    <row r="125" spans="11:11" x14ac:dyDescent="0.2">
      <c r="K125" s="96"/>
    </row>
    <row r="126" spans="11:11" x14ac:dyDescent="0.2">
      <c r="K126" s="96"/>
    </row>
    <row r="127" spans="11:11" x14ac:dyDescent="0.2">
      <c r="K127" s="96"/>
    </row>
    <row r="128" spans="11:11" x14ac:dyDescent="0.2">
      <c r="K128" s="96"/>
    </row>
    <row r="129" spans="11:11" x14ac:dyDescent="0.2">
      <c r="K129" s="96"/>
    </row>
    <row r="130" spans="11:11" x14ac:dyDescent="0.2">
      <c r="K130" s="96"/>
    </row>
    <row r="131" spans="11:11" x14ac:dyDescent="0.2">
      <c r="K131" s="96"/>
    </row>
    <row r="132" spans="11:11" x14ac:dyDescent="0.2">
      <c r="K132" s="96"/>
    </row>
    <row r="133" spans="11:11" x14ac:dyDescent="0.2">
      <c r="K133" s="96"/>
    </row>
    <row r="134" spans="11:11" x14ac:dyDescent="0.2">
      <c r="K134" s="96"/>
    </row>
    <row r="135" spans="11:11" x14ac:dyDescent="0.2">
      <c r="K135" s="96"/>
    </row>
    <row r="136" spans="11:11" x14ac:dyDescent="0.2">
      <c r="K136" s="96"/>
    </row>
    <row r="137" spans="11:11" x14ac:dyDescent="0.2">
      <c r="K137" s="96"/>
    </row>
    <row r="138" spans="11:11" x14ac:dyDescent="0.2">
      <c r="K138" s="96"/>
    </row>
    <row r="139" spans="11:11" x14ac:dyDescent="0.2">
      <c r="K139" s="96"/>
    </row>
    <row r="140" spans="11:11" x14ac:dyDescent="0.2">
      <c r="K140" s="96"/>
    </row>
    <row r="141" spans="11:11" x14ac:dyDescent="0.2">
      <c r="K141" s="96"/>
    </row>
    <row r="142" spans="11:11" x14ac:dyDescent="0.2">
      <c r="K142" s="96"/>
    </row>
    <row r="143" spans="11:11" x14ac:dyDescent="0.2">
      <c r="K143" s="96"/>
    </row>
    <row r="144" spans="11:11" x14ac:dyDescent="0.2">
      <c r="K144" s="96"/>
    </row>
    <row r="145" spans="11:11" x14ac:dyDescent="0.2">
      <c r="K145" s="96"/>
    </row>
    <row r="146" spans="11:11" x14ac:dyDescent="0.2">
      <c r="K146" s="96"/>
    </row>
    <row r="147" spans="11:11" x14ac:dyDescent="0.2">
      <c r="K147" s="96"/>
    </row>
    <row r="148" spans="11:11" x14ac:dyDescent="0.2">
      <c r="K148" s="96"/>
    </row>
    <row r="149" spans="11:11" x14ac:dyDescent="0.2">
      <c r="K149" s="96"/>
    </row>
    <row r="150" spans="11:11" x14ac:dyDescent="0.2">
      <c r="K150" s="96"/>
    </row>
    <row r="151" spans="11:11" x14ac:dyDescent="0.2">
      <c r="K151" s="96"/>
    </row>
    <row r="152" spans="11:11" x14ac:dyDescent="0.2">
      <c r="K152" s="96"/>
    </row>
    <row r="153" spans="11:11" x14ac:dyDescent="0.2">
      <c r="K153" s="96"/>
    </row>
    <row r="154" spans="11:11" x14ac:dyDescent="0.2">
      <c r="K154" s="96"/>
    </row>
    <row r="155" spans="11:11" x14ac:dyDescent="0.2">
      <c r="K155" s="96"/>
    </row>
    <row r="156" spans="11:11" x14ac:dyDescent="0.2">
      <c r="K156" s="96"/>
    </row>
    <row r="157" spans="11:11" x14ac:dyDescent="0.2">
      <c r="K157" s="96"/>
    </row>
    <row r="158" spans="11:11" x14ac:dyDescent="0.2">
      <c r="K158" s="96"/>
    </row>
    <row r="159" spans="11:11" x14ac:dyDescent="0.2">
      <c r="K159" s="96"/>
    </row>
    <row r="160" spans="11:11" x14ac:dyDescent="0.2">
      <c r="K160" s="96"/>
    </row>
    <row r="161" spans="11:11" x14ac:dyDescent="0.2">
      <c r="K161" s="96"/>
    </row>
    <row r="162" spans="11:11" x14ac:dyDescent="0.2">
      <c r="K162" s="96"/>
    </row>
    <row r="163" spans="11:11" x14ac:dyDescent="0.2">
      <c r="K163" s="96"/>
    </row>
    <row r="164" spans="11:11" x14ac:dyDescent="0.2">
      <c r="K164" s="96"/>
    </row>
    <row r="165" spans="11:11" x14ac:dyDescent="0.2">
      <c r="K165" s="96"/>
    </row>
    <row r="166" spans="11:11" x14ac:dyDescent="0.2">
      <c r="K166" s="96"/>
    </row>
    <row r="167" spans="11:11" x14ac:dyDescent="0.2">
      <c r="K167" s="96"/>
    </row>
    <row r="168" spans="11:11" x14ac:dyDescent="0.2">
      <c r="K168" s="96"/>
    </row>
    <row r="169" spans="11:11" x14ac:dyDescent="0.2">
      <c r="K169" s="96"/>
    </row>
    <row r="170" spans="11:11" x14ac:dyDescent="0.2">
      <c r="K170" s="96"/>
    </row>
    <row r="171" spans="11:11" x14ac:dyDescent="0.2">
      <c r="K171" s="96"/>
    </row>
    <row r="172" spans="11:11" x14ac:dyDescent="0.2">
      <c r="K172" s="96"/>
    </row>
    <row r="173" spans="11:11" x14ac:dyDescent="0.2">
      <c r="K173" s="96"/>
    </row>
    <row r="174" spans="11:11" x14ac:dyDescent="0.2">
      <c r="K174" s="96"/>
    </row>
    <row r="175" spans="11:11" x14ac:dyDescent="0.2">
      <c r="K175" s="96"/>
    </row>
    <row r="176" spans="11:11" x14ac:dyDescent="0.2">
      <c r="K176" s="96"/>
    </row>
    <row r="177" spans="11:11" x14ac:dyDescent="0.2">
      <c r="K177" s="96"/>
    </row>
    <row r="178" spans="11:11" x14ac:dyDescent="0.2">
      <c r="K178" s="96"/>
    </row>
    <row r="179" spans="11:11" x14ac:dyDescent="0.2">
      <c r="K179" s="96"/>
    </row>
    <row r="180" spans="11:11" x14ac:dyDescent="0.2">
      <c r="K180" s="96"/>
    </row>
    <row r="181" spans="11:11" x14ac:dyDescent="0.2">
      <c r="K181" s="96"/>
    </row>
    <row r="182" spans="11:11" x14ac:dyDescent="0.2">
      <c r="K182" s="96"/>
    </row>
    <row r="183" spans="11:11" x14ac:dyDescent="0.2">
      <c r="K183" s="96"/>
    </row>
    <row r="184" spans="11:11" x14ac:dyDescent="0.2">
      <c r="K184" s="96"/>
    </row>
    <row r="185" spans="11:11" x14ac:dyDescent="0.2">
      <c r="K185" s="96"/>
    </row>
    <row r="186" spans="11:11" x14ac:dyDescent="0.2">
      <c r="K186" s="96"/>
    </row>
    <row r="187" spans="11:11" x14ac:dyDescent="0.2">
      <c r="K187" s="96"/>
    </row>
    <row r="188" spans="11:11" x14ac:dyDescent="0.2">
      <c r="K188" s="96"/>
    </row>
    <row r="189" spans="11:11" x14ac:dyDescent="0.2">
      <c r="K189" s="96"/>
    </row>
    <row r="190" spans="11:11" x14ac:dyDescent="0.2">
      <c r="K190" s="96"/>
    </row>
    <row r="191" spans="11:11" x14ac:dyDescent="0.2">
      <c r="K191" s="96"/>
    </row>
    <row r="192" spans="11:11" x14ac:dyDescent="0.2">
      <c r="K192" s="96"/>
    </row>
    <row r="193" spans="11:11" x14ac:dyDescent="0.2">
      <c r="K193" s="96"/>
    </row>
    <row r="194" spans="11:11" x14ac:dyDescent="0.2">
      <c r="K194" s="96"/>
    </row>
    <row r="195" spans="11:11" x14ac:dyDescent="0.2">
      <c r="K195" s="96"/>
    </row>
    <row r="196" spans="11:11" x14ac:dyDescent="0.2">
      <c r="K196" s="96"/>
    </row>
    <row r="197" spans="11:11" x14ac:dyDescent="0.2">
      <c r="K197" s="96"/>
    </row>
    <row r="198" spans="11:11" x14ac:dyDescent="0.2">
      <c r="K198" s="96"/>
    </row>
    <row r="199" spans="11:11" x14ac:dyDescent="0.2">
      <c r="K199" s="96"/>
    </row>
    <row r="200" spans="11:11" x14ac:dyDescent="0.2">
      <c r="K200" s="96"/>
    </row>
    <row r="201" spans="11:11" x14ac:dyDescent="0.2">
      <c r="K201" s="96"/>
    </row>
    <row r="202" spans="11:11" x14ac:dyDescent="0.2">
      <c r="K202" s="96"/>
    </row>
    <row r="203" spans="11:11" x14ac:dyDescent="0.2">
      <c r="K203" s="96"/>
    </row>
  </sheetData>
  <phoneticPr fontId="1"/>
  <conditionalFormatting sqref="E9:F104">
    <cfRule type="expression" dxfId="108" priority="49">
      <formula>E9&lt;&gt;C9</formula>
    </cfRule>
  </conditionalFormatting>
  <conditionalFormatting sqref="C9:H104 J9:L104">
    <cfRule type="expression" dxfId="107" priority="48">
      <formula>SECOND(C9)&gt;0</formula>
    </cfRule>
  </conditionalFormatting>
  <conditionalFormatting sqref="K107:K202">
    <cfRule type="expression" dxfId="106" priority="47">
      <formula>SECOND(K107)&gt;0</formula>
    </cfRule>
  </conditionalFormatting>
  <conditionalFormatting sqref="N9:N104">
    <cfRule type="expression" dxfId="105" priority="46">
      <formula>SECOND(N9)&gt;0</formula>
    </cfRule>
  </conditionalFormatting>
  <conditionalFormatting sqref="W9:W104">
    <cfRule type="expression" dxfId="104" priority="45">
      <formula>SECOND(W9)&gt;0</formula>
    </cfRule>
  </conditionalFormatting>
  <conditionalFormatting sqref="G9:G104">
    <cfRule type="cellIs" dxfId="103" priority="44" operator="notEqual">
      <formula>$W9</formula>
    </cfRule>
  </conditionalFormatting>
  <conditionalFormatting sqref="N6:N7">
    <cfRule type="expression" dxfId="102" priority="10">
      <formula>SECOND(N6)&gt;0</formula>
    </cfRule>
  </conditionalFormatting>
  <conditionalFormatting sqref="G7:H7 J7:M7">
    <cfRule type="expression" dxfId="101" priority="6">
      <formula>SECOND(G7)&gt;0</formula>
    </cfRule>
  </conditionalFormatting>
  <conditionalFormatting sqref="G7">
    <cfRule type="cellIs" dxfId="100" priority="5" operator="notEqual">
      <formula>$W7</formula>
    </cfRule>
  </conditionalFormatting>
  <conditionalFormatting sqref="G6:H6 J6:M6">
    <cfRule type="expression" dxfId="99" priority="2">
      <formula>SECOND(G6)&gt;0</formula>
    </cfRule>
  </conditionalFormatting>
  <conditionalFormatting sqref="G6">
    <cfRule type="cellIs" dxfId="98" priority="1" operator="notEqual">
      <formula>$W6</formula>
    </cfRule>
  </conditionalFormatting>
  <dataValidations count="1">
    <dataValidation type="list" allowBlank="1" showInputMessage="1" showErrorMessage="1" sqref="T9:T104" xr:uid="{00000000-0002-0000-0500-000000000000}">
      <formula1>"BL1,BL2,BL3"</formula1>
    </dataValidation>
  </dataValidations>
  <pageMargins left="0.7" right="0.7" top="0.75" bottom="0.75" header="0.3" footer="0.3"/>
  <pageSetup paperSize="9" scale="39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1000"/>
  <sheetViews>
    <sheetView view="pageBreakPreview" zoomScale="80" zoomScaleNormal="100" zoomScaleSheetLayoutView="80" workbookViewId="0">
      <pane ySplit="8" topLeftCell="A91" activePane="bottomLeft" state="frozen"/>
      <selection activeCell="C195" sqref="C195"/>
      <selection pane="bottomLeft" activeCell="P96" sqref="O96:P98"/>
    </sheetView>
  </sheetViews>
  <sheetFormatPr defaultRowHeight="13" x14ac:dyDescent="0.2"/>
  <cols>
    <col min="1" max="1" width="7.08984375" bestFit="1" customWidth="1"/>
    <col min="2" max="2" width="6.6328125" style="99" bestFit="1" customWidth="1"/>
    <col min="3" max="4" width="17.08984375" style="100" bestFit="1" customWidth="1"/>
    <col min="5" max="5" width="9" style="89"/>
    <col min="6" max="6" width="8.6328125" style="89" bestFit="1" customWidth="1"/>
    <col min="7" max="7" width="6.36328125" style="101" bestFit="1" customWidth="1"/>
    <col min="8" max="8" width="8.90625" style="102" bestFit="1" customWidth="1"/>
    <col min="9" max="9" width="7.08984375" style="102" bestFit="1" customWidth="1"/>
    <col min="10" max="10" width="7.36328125" style="102" bestFit="1" customWidth="1"/>
    <col min="11" max="11" width="6.453125" style="88" bestFit="1" customWidth="1"/>
    <col min="12" max="12" width="6.36328125" style="102" bestFit="1" customWidth="1"/>
    <col min="13" max="13" width="14" style="88" bestFit="1" customWidth="1"/>
    <col min="14" max="14" width="66.36328125" style="88" bestFit="1" customWidth="1"/>
    <col min="15" max="15" width="13.08984375" style="88" bestFit="1" customWidth="1"/>
    <col min="16" max="16" width="13.08984375" style="88" customWidth="1"/>
    <col min="17" max="17" width="9" customWidth="1"/>
  </cols>
  <sheetData>
    <row r="1" spans="1:19" x14ac:dyDescent="0.2">
      <c r="B1" s="45"/>
      <c r="C1" s="22"/>
      <c r="D1" s="22"/>
      <c r="E1" s="76"/>
      <c r="F1" s="76"/>
      <c r="G1" s="107"/>
      <c r="H1" s="108"/>
      <c r="I1" s="108"/>
      <c r="J1" s="108"/>
      <c r="K1"/>
      <c r="L1" s="108"/>
      <c r="M1"/>
      <c r="N1"/>
    </row>
    <row r="2" spans="1:19" x14ac:dyDescent="0.2">
      <c r="B2" s="45"/>
      <c r="C2" s="22"/>
      <c r="D2" s="76"/>
      <c r="E2" s="76"/>
      <c r="F2" s="76"/>
      <c r="G2" s="107"/>
      <c r="H2" s="108"/>
      <c r="I2" s="108"/>
      <c r="J2" s="108"/>
      <c r="K2"/>
      <c r="L2"/>
      <c r="M2" s="2"/>
      <c r="N2"/>
    </row>
    <row r="3" spans="1:19" x14ac:dyDescent="0.2">
      <c r="B3" s="45"/>
      <c r="C3" s="22"/>
      <c r="D3" s="22"/>
      <c r="E3" s="76"/>
      <c r="F3" s="76"/>
      <c r="G3" s="107"/>
      <c r="H3" s="108"/>
      <c r="I3" s="108"/>
      <c r="J3" s="108"/>
      <c r="K3"/>
      <c r="L3"/>
      <c r="M3" s="2"/>
      <c r="N3"/>
    </row>
    <row r="4" spans="1:19" x14ac:dyDescent="0.2">
      <c r="B4" s="45"/>
      <c r="C4" s="22"/>
      <c r="D4" s="22"/>
      <c r="E4" s="76"/>
      <c r="F4" s="76"/>
      <c r="G4" s="107"/>
      <c r="H4" s="108"/>
      <c r="I4" s="108"/>
      <c r="J4" s="108"/>
      <c r="K4"/>
      <c r="L4" s="108"/>
      <c r="M4"/>
      <c r="N4"/>
    </row>
    <row r="5" spans="1:19" x14ac:dyDescent="0.2">
      <c r="B5"/>
      <c r="C5" s="22"/>
      <c r="D5" s="22"/>
      <c r="E5" s="76"/>
      <c r="F5" s="76"/>
      <c r="G5" s="107"/>
      <c r="H5" s="108"/>
      <c r="I5" s="108"/>
      <c r="J5" s="108"/>
      <c r="K5"/>
      <c r="L5" s="108"/>
      <c r="M5"/>
      <c r="N5"/>
    </row>
    <row r="6" spans="1:19" ht="21.5" thickBot="1" x14ac:dyDescent="0.25">
      <c r="B6" s="87" t="s">
        <v>98</v>
      </c>
      <c r="C6" s="22"/>
      <c r="D6" s="22"/>
      <c r="E6" s="76" t="s">
        <v>107</v>
      </c>
      <c r="F6" s="76"/>
      <c r="G6" s="107"/>
      <c r="H6" s="108"/>
      <c r="I6" s="108"/>
      <c r="J6" s="108"/>
      <c r="K6"/>
      <c r="L6" s="108"/>
      <c r="M6"/>
      <c r="N6"/>
      <c r="S6" s="45"/>
    </row>
    <row r="7" spans="1:19" ht="13.5" thickBot="1" x14ac:dyDescent="0.25">
      <c r="B7" s="45"/>
      <c r="C7" s="22"/>
      <c r="D7" s="22"/>
      <c r="E7" s="173" t="e">
        <f ca="1">SUM(E9:E1000)</f>
        <v>#NAME?</v>
      </c>
      <c r="F7" s="172" t="e">
        <f t="shared" ref="F7:K7" ca="1" si="0">SUM(F9:F1000)</f>
        <v>#NAME?</v>
      </c>
      <c r="G7" s="175" t="e">
        <f ca="1">F7/E7</f>
        <v>#NAME?</v>
      </c>
      <c r="H7" s="172" t="e">
        <f t="shared" ca="1" si="0"/>
        <v>#NAME?</v>
      </c>
      <c r="I7" s="173" t="e">
        <f t="shared" ca="1" si="0"/>
        <v>#NAME?</v>
      </c>
      <c r="J7" s="173" t="e">
        <f t="shared" ca="1" si="0"/>
        <v>#NAME?</v>
      </c>
      <c r="K7" s="174" t="e">
        <f t="shared" ca="1" si="0"/>
        <v>#NAME?</v>
      </c>
      <c r="L7" s="173" t="e">
        <f ca="1">MROUND(E7/(K7+1),"00:01")</f>
        <v>#NAME?</v>
      </c>
      <c r="M7"/>
      <c r="N7"/>
    </row>
    <row r="8" spans="1:19" ht="24.5" thickBot="1" x14ac:dyDescent="0.25">
      <c r="A8" s="171" t="s">
        <v>140</v>
      </c>
      <c r="B8" s="121" t="s">
        <v>56</v>
      </c>
      <c r="C8" s="111" t="s">
        <v>76</v>
      </c>
      <c r="D8" s="111" t="s">
        <v>77</v>
      </c>
      <c r="E8" s="111" t="s">
        <v>75</v>
      </c>
      <c r="F8" s="111" t="s">
        <v>78</v>
      </c>
      <c r="G8" s="113" t="s">
        <v>28</v>
      </c>
      <c r="H8" s="114" t="s">
        <v>91</v>
      </c>
      <c r="I8" s="114" t="s">
        <v>90</v>
      </c>
      <c r="J8" s="122" t="s">
        <v>93</v>
      </c>
      <c r="K8" s="123" t="s">
        <v>89</v>
      </c>
      <c r="L8" s="114" t="s">
        <v>88</v>
      </c>
      <c r="M8" s="44" t="s">
        <v>92</v>
      </c>
      <c r="N8" s="59" t="s">
        <v>94</v>
      </c>
      <c r="S8" s="46"/>
    </row>
    <row r="9" spans="1:19" x14ac:dyDescent="0.2">
      <c r="A9" s="170" t="e">
        <f ca="1">IF(C9="","",ROW(行数!A1))</f>
        <v>#NAME?</v>
      </c>
      <c r="B9" s="168" t="e">
        <f ca="1">IF(C9="","",VLOOKUP(C9,ユニット判定用,3))</f>
        <v>#NAME?</v>
      </c>
      <c r="C9" s="90" t="e">
        <f ca="1">[0]!CSVVLookUP(ROW(行数!A1),配列!$C$4,集計記録,3,1)</f>
        <v>#NAME?</v>
      </c>
      <c r="D9" s="90" t="e">
        <f ca="1">[0]!CSVVLookUP(ROW(行数!B1),配列!$C$4,集計記録,4,1)</f>
        <v>#NAME?</v>
      </c>
      <c r="E9" s="118" t="e">
        <f t="shared" ref="E9" ca="1" si="1">IF(C9="","",D9-C9)</f>
        <v>#NAME?</v>
      </c>
      <c r="F9" s="118" t="e">
        <f ca="1">IF(C9="","",E9-H9-I9)</f>
        <v>#NAME?</v>
      </c>
      <c r="G9" s="103" t="e">
        <f ca="1">IF(C9="","",F9/E9)</f>
        <v>#NAME?</v>
      </c>
      <c r="H9" s="104" t="e">
        <f ca="1">IF(C9="","",MROUND([0]!CSVVLookUP(ROW(行数!A1),配列!$C$4,集計記録,8,1),"0:01"))</f>
        <v>#NAME?</v>
      </c>
      <c r="I9" s="104" t="e">
        <f ca="1">IF(C9="","",MROUND(J9-H9,"0:01"))</f>
        <v>#NAME?</v>
      </c>
      <c r="J9" s="119" t="e">
        <f ca="1">IF(C9="","",MROUND([0]!CSVVLookUP(ROW(行数!A1),配列!$C$4,集計記録,7,1),"0:01"))</f>
        <v>#NAME?</v>
      </c>
      <c r="K9" s="92" t="e">
        <f ca="1">IF(C9="","",[0]!CSVVLookUP(ROW(行数!A1),配列!$C$4,集計記録,5,1))</f>
        <v>#NAME?</v>
      </c>
      <c r="L9" s="104" t="e">
        <f ca="1">IF(C9="","",MROUND(E9/(K9+1),"00:01"))</f>
        <v>#NAME?</v>
      </c>
      <c r="M9" s="120" t="e">
        <f ca="1">IF(C9="","",VLOOKUP(C9,運転条件判定,13,1))</f>
        <v>#NAME?</v>
      </c>
      <c r="N9" s="120" t="e">
        <f ca="1">IF([0]!CSVVLookUP(ROW(行数!A1),配列!$C$4,集計記録,6,1)=0,"",[0]!CSVVLookUP(ROW(行数!A1),配列!$C$4,集計記録,6,1))</f>
        <v>#NAME?</v>
      </c>
      <c r="O9" s="88" t="e">
        <f ca="1">IF(INDIRECT("M"&amp;ROW()-1)&lt;&gt;INDIRECT("M"&amp;ROW()),リスト!$I$5,"")</f>
        <v>#NAME?</v>
      </c>
      <c r="P9" s="88" t="e">
        <f ca="1">IF(INDIRECT("M"&amp;ROW())&lt;&gt;INDIRECT("M"&amp;ROW()+1),リスト!$I$6,"")</f>
        <v>#NAME?</v>
      </c>
    </row>
    <row r="10" spans="1:19" x14ac:dyDescent="0.2">
      <c r="A10" s="169" t="e">
        <f ca="1">IF(C10="","",ROW(行数!A2))</f>
        <v>#NAME?</v>
      </c>
      <c r="B10" s="168" t="e">
        <f t="shared" ref="B10:B73" ca="1" si="2">IF(C10="","",VLOOKUP(C10,ユニット判定用,3))</f>
        <v>#NAME?</v>
      </c>
      <c r="C10" s="90" t="e">
        <f ca="1">[0]!CSVVLookUP(ROW(行数!A2),配列!$C$4,集計記録,3,1)</f>
        <v>#NAME?</v>
      </c>
      <c r="D10" s="90" t="e">
        <f ca="1">[0]!CSVVLookUP(ROW(行数!B2),配列!$C$4,集計記録,4,1)</f>
        <v>#NAME?</v>
      </c>
      <c r="E10" s="118" t="e">
        <f t="shared" ref="E10:E73" ca="1" si="3">IF(C10="","",D10-C10)</f>
        <v>#NAME?</v>
      </c>
      <c r="F10" s="118" t="e">
        <f t="shared" ref="F10:F73" ca="1" si="4">IF(C10="","",E10-H10-I10)</f>
        <v>#NAME?</v>
      </c>
      <c r="G10" s="103" t="e">
        <f t="shared" ref="G10:G73" ca="1" si="5">IF(C10="","",F10/E10)</f>
        <v>#NAME?</v>
      </c>
      <c r="H10" s="104" t="e">
        <f ca="1">IF(C10="","",MROUND([0]!CSVVLookUP(ROW(行数!A2),配列!$C$4,集計記録,8,1),"0:01"))</f>
        <v>#NAME?</v>
      </c>
      <c r="I10" s="104" t="e">
        <f t="shared" ref="I10:I73" ca="1" si="6">IF(C10="","",MROUND(J10-H10,"0:01"))</f>
        <v>#NAME?</v>
      </c>
      <c r="J10" s="119" t="e">
        <f ca="1">IF(C10="","",MROUND([0]!CSVVLookUP(ROW(行数!A2),配列!$C$4,集計記録,7,1),"0:01"))</f>
        <v>#NAME?</v>
      </c>
      <c r="K10" s="92" t="e">
        <f ca="1">IF(C10="","",[0]!CSVVLookUP(ROW(行数!A2),配列!$C$4,集計記録,5,1))</f>
        <v>#NAME?</v>
      </c>
      <c r="L10" s="104" t="e">
        <f t="shared" ref="L10:L73" ca="1" si="7">IF(C10="","",MROUND(E10/(K10+1),"00:01"))</f>
        <v>#NAME?</v>
      </c>
      <c r="M10" s="120" t="e">
        <f t="shared" ref="M10:M72" ca="1" si="8">IF(C10="","",VLOOKUP(C10,運転条件判定,13,1))</f>
        <v>#NAME?</v>
      </c>
      <c r="N10" s="120" t="e">
        <f ca="1">IF([0]!CSVVLookUP(ROW(行数!A2),配列!$C$4,集計記録,6,1)=0,"",[0]!CSVVLookUP(ROW(行数!A2),配列!$C$4,集計記録,6,1))</f>
        <v>#NAME?</v>
      </c>
      <c r="O10" s="88" t="e">
        <f ca="1">IF(INDIRECT("M"&amp;ROW()-1)&lt;&gt;INDIRECT("M"&amp;ROW()),リスト!$I$5,"")</f>
        <v>#NAME?</v>
      </c>
      <c r="P10" s="88" t="e">
        <f ca="1">IF(INDIRECT("M"&amp;ROW())&lt;&gt;INDIRECT("M"&amp;ROW()+1),リスト!$I$6,"")</f>
        <v>#NAME?</v>
      </c>
    </row>
    <row r="11" spans="1:19" x14ac:dyDescent="0.2">
      <c r="A11" s="169" t="e">
        <f ca="1">IF(C11="","",ROW(行数!A3))</f>
        <v>#NAME?</v>
      </c>
      <c r="B11" s="168" t="e">
        <f t="shared" ca="1" si="2"/>
        <v>#NAME?</v>
      </c>
      <c r="C11" s="90" t="e">
        <f ca="1">[0]!CSVVLookUP(ROW(行数!A3),配列!$C$4,集計記録,3,1)</f>
        <v>#NAME?</v>
      </c>
      <c r="D11" s="90" t="e">
        <f ca="1">[0]!CSVVLookUP(ROW(行数!B3),配列!$C$4,集計記録,4,1)</f>
        <v>#NAME?</v>
      </c>
      <c r="E11" s="118" t="e">
        <f t="shared" ca="1" si="3"/>
        <v>#NAME?</v>
      </c>
      <c r="F11" s="118" t="e">
        <f t="shared" ca="1" si="4"/>
        <v>#NAME?</v>
      </c>
      <c r="G11" s="103" t="e">
        <f t="shared" ca="1" si="5"/>
        <v>#NAME?</v>
      </c>
      <c r="H11" s="104" t="e">
        <f ca="1">IF(C11="","",MROUND([0]!CSVVLookUP(ROW(行数!A3),配列!$C$4,集計記録,8,1),"0:01"))</f>
        <v>#NAME?</v>
      </c>
      <c r="I11" s="104" t="e">
        <f t="shared" ca="1" si="6"/>
        <v>#NAME?</v>
      </c>
      <c r="J11" s="119" t="e">
        <f ca="1">IF(C11="","",MROUND([0]!CSVVLookUP(ROW(行数!A3),配列!$C$4,集計記録,7,1),"0:01"))</f>
        <v>#NAME?</v>
      </c>
      <c r="K11" s="92" t="e">
        <f ca="1">IF(C11="","",[0]!CSVVLookUP(ROW(行数!A3),配列!$C$4,集計記録,5,1))</f>
        <v>#NAME?</v>
      </c>
      <c r="L11" s="104" t="e">
        <f ca="1">IF(C11="","",MROUND(E11/(K11+1),"00:01"))</f>
        <v>#NAME?</v>
      </c>
      <c r="M11" s="120" t="e">
        <f t="shared" ca="1" si="8"/>
        <v>#NAME?</v>
      </c>
      <c r="N11" s="120" t="e">
        <f ca="1">IF([0]!CSVVLookUP(ROW(行数!A3),配列!$C$4,集計記録,6,1)=0,"",[0]!CSVVLookUP(ROW(行数!A3),配列!$C$4,集計記録,6,1))</f>
        <v>#NAME?</v>
      </c>
      <c r="O11" s="88" t="e">
        <f ca="1">IF(INDIRECT("M"&amp;ROW()-1)&lt;&gt;INDIRECT("M"&amp;ROW()),リスト!$I$5,"")</f>
        <v>#NAME?</v>
      </c>
      <c r="P11" s="88" t="e">
        <f ca="1">IF(INDIRECT("M"&amp;ROW())&lt;&gt;INDIRECT("M"&amp;ROW()+1),リスト!$I$6,"")</f>
        <v>#NAME?</v>
      </c>
    </row>
    <row r="12" spans="1:19" x14ac:dyDescent="0.2">
      <c r="A12" s="169" t="e">
        <f ca="1">IF(C12="","",ROW(行数!A4))</f>
        <v>#NAME?</v>
      </c>
      <c r="B12" s="168" t="e">
        <f t="shared" ca="1" si="2"/>
        <v>#NAME?</v>
      </c>
      <c r="C12" s="90" t="e">
        <f ca="1">[0]!CSVVLookUP(ROW(行数!A4),配列!$C$4,集計記録,3,1)</f>
        <v>#NAME?</v>
      </c>
      <c r="D12" s="90" t="e">
        <f ca="1">[0]!CSVVLookUP(ROW(行数!B4),配列!$C$4,集計記録,4,1)</f>
        <v>#NAME?</v>
      </c>
      <c r="E12" s="118" t="e">
        <f t="shared" ca="1" si="3"/>
        <v>#NAME?</v>
      </c>
      <c r="F12" s="118" t="e">
        <f t="shared" ca="1" si="4"/>
        <v>#NAME?</v>
      </c>
      <c r="G12" s="103" t="e">
        <f t="shared" ca="1" si="5"/>
        <v>#NAME?</v>
      </c>
      <c r="H12" s="104" t="e">
        <f ca="1">IF(C12="","",MROUND([0]!CSVVLookUP(ROW(行数!A4),配列!$C$4,集計記録,8,1),"0:01"))</f>
        <v>#NAME?</v>
      </c>
      <c r="I12" s="104" t="e">
        <f t="shared" ca="1" si="6"/>
        <v>#NAME?</v>
      </c>
      <c r="J12" s="119" t="e">
        <f ca="1">IF(C12="","",MROUND([0]!CSVVLookUP(ROW(行数!A4),配列!$C$4,集計記録,7,1),"0:01"))</f>
        <v>#NAME?</v>
      </c>
      <c r="K12" s="92" t="e">
        <f ca="1">IF(C12="","",[0]!CSVVLookUP(ROW(行数!A4),配列!$C$4,集計記録,5,1))</f>
        <v>#NAME?</v>
      </c>
      <c r="L12" s="104" t="e">
        <f t="shared" ca="1" si="7"/>
        <v>#NAME?</v>
      </c>
      <c r="M12" s="120" t="e">
        <f t="shared" ca="1" si="8"/>
        <v>#NAME?</v>
      </c>
      <c r="N12" s="120" t="e">
        <f ca="1">IF([0]!CSVVLookUP(ROW(行数!A4),配列!$C$4,集計記録,6,1)=0,"",[0]!CSVVLookUP(ROW(行数!A4),配列!$C$4,集計記録,6,1))</f>
        <v>#NAME?</v>
      </c>
      <c r="O12" s="88" t="e">
        <f ca="1">IF(INDIRECT("M"&amp;ROW()-1)&lt;&gt;INDIRECT("M"&amp;ROW()),リスト!$I$5,"")</f>
        <v>#NAME?</v>
      </c>
      <c r="P12" s="88" t="e">
        <f ca="1">IF(INDIRECT("M"&amp;ROW())&lt;&gt;INDIRECT("M"&amp;ROW()+1),リスト!$I$6,"")</f>
        <v>#NAME?</v>
      </c>
    </row>
    <row r="13" spans="1:19" x14ac:dyDescent="0.2">
      <c r="A13" s="169" t="e">
        <f ca="1">IF(C13="","",ROW(行数!A5))</f>
        <v>#NAME?</v>
      </c>
      <c r="B13" s="168" t="e">
        <f t="shared" ca="1" si="2"/>
        <v>#NAME?</v>
      </c>
      <c r="C13" s="90" t="e">
        <f ca="1">[0]!CSVVLookUP(ROW(行数!A5),配列!$C$4,集計記録,3,1)</f>
        <v>#NAME?</v>
      </c>
      <c r="D13" s="90" t="e">
        <f ca="1">[0]!CSVVLookUP(ROW(行数!B5),配列!$C$4,集計記録,4,1)</f>
        <v>#NAME?</v>
      </c>
      <c r="E13" s="118" t="e">
        <f t="shared" ca="1" si="3"/>
        <v>#NAME?</v>
      </c>
      <c r="F13" s="118" t="e">
        <f t="shared" ca="1" si="4"/>
        <v>#NAME?</v>
      </c>
      <c r="G13" s="103" t="e">
        <f t="shared" ca="1" si="5"/>
        <v>#NAME?</v>
      </c>
      <c r="H13" s="104" t="e">
        <f ca="1">IF(C13="","",MROUND([0]!CSVVLookUP(ROW(行数!A5),配列!$C$4,集計記録,8,1),"0:01"))</f>
        <v>#NAME?</v>
      </c>
      <c r="I13" s="104" t="e">
        <f t="shared" ca="1" si="6"/>
        <v>#NAME?</v>
      </c>
      <c r="J13" s="119" t="e">
        <f ca="1">IF(C13="","",MROUND([0]!CSVVLookUP(ROW(行数!A5),配列!$C$4,集計記録,7,1),"0:01"))</f>
        <v>#NAME?</v>
      </c>
      <c r="K13" s="92" t="e">
        <f ca="1">IF(C13="","",[0]!CSVVLookUP(ROW(行数!A5),配列!$C$4,集計記録,5,1))</f>
        <v>#NAME?</v>
      </c>
      <c r="L13" s="104" t="e">
        <f t="shared" ca="1" si="7"/>
        <v>#NAME?</v>
      </c>
      <c r="M13" s="120" t="e">
        <f t="shared" ca="1" si="8"/>
        <v>#NAME?</v>
      </c>
      <c r="N13" s="120" t="e">
        <f ca="1">IF([0]!CSVVLookUP(ROW(行数!A5),配列!$C$4,集計記録,6,1)=0,"",[0]!CSVVLookUP(ROW(行数!A5),配列!$C$4,集計記録,6,1))</f>
        <v>#NAME?</v>
      </c>
      <c r="O13" s="88" t="e">
        <f ca="1">IF(INDIRECT("M"&amp;ROW()-1)&lt;&gt;INDIRECT("M"&amp;ROW()),リスト!$I$5,"")</f>
        <v>#NAME?</v>
      </c>
      <c r="P13" s="88" t="e">
        <f ca="1">IF(INDIRECT("M"&amp;ROW())&lt;&gt;INDIRECT("M"&amp;ROW()+1),リスト!$I$6,"")</f>
        <v>#NAME?</v>
      </c>
    </row>
    <row r="14" spans="1:19" x14ac:dyDescent="0.2">
      <c r="A14" s="169" t="e">
        <f ca="1">IF(C14="","",ROW(行数!A6))</f>
        <v>#NAME?</v>
      </c>
      <c r="B14" s="168" t="e">
        <f t="shared" ca="1" si="2"/>
        <v>#NAME?</v>
      </c>
      <c r="C14" s="90" t="e">
        <f ca="1">[0]!CSVVLookUP(ROW(行数!A6),配列!$C$4,集計記録,3,1)</f>
        <v>#NAME?</v>
      </c>
      <c r="D14" s="90" t="e">
        <f ca="1">[0]!CSVVLookUP(ROW(行数!B6),配列!$C$4,集計記録,4,1)</f>
        <v>#NAME?</v>
      </c>
      <c r="E14" s="118" t="e">
        <f t="shared" ca="1" si="3"/>
        <v>#NAME?</v>
      </c>
      <c r="F14" s="118" t="e">
        <f t="shared" ca="1" si="4"/>
        <v>#NAME?</v>
      </c>
      <c r="G14" s="103" t="e">
        <f t="shared" ca="1" si="5"/>
        <v>#NAME?</v>
      </c>
      <c r="H14" s="104" t="e">
        <f ca="1">IF(C14="","",MROUND([0]!CSVVLookUP(ROW(行数!A6),配列!$C$4,集計記録,8,1),"0:01"))</f>
        <v>#NAME?</v>
      </c>
      <c r="I14" s="104" t="e">
        <f t="shared" ca="1" si="6"/>
        <v>#NAME?</v>
      </c>
      <c r="J14" s="119" t="e">
        <f ca="1">IF(C14="","",MROUND([0]!CSVVLookUP(ROW(行数!A6),配列!$C$4,集計記録,7,1),"0:01"))</f>
        <v>#NAME?</v>
      </c>
      <c r="K14" s="92" t="e">
        <f ca="1">IF(C14="","",[0]!CSVVLookUP(ROW(行数!A6),配列!$C$4,集計記録,5,1))</f>
        <v>#NAME?</v>
      </c>
      <c r="L14" s="104" t="e">
        <f t="shared" ca="1" si="7"/>
        <v>#NAME?</v>
      </c>
      <c r="M14" s="120" t="e">
        <f t="shared" ca="1" si="8"/>
        <v>#NAME?</v>
      </c>
      <c r="N14" s="120" t="e">
        <f ca="1">IF([0]!CSVVLookUP(ROW(行数!A6),配列!$C$4,集計記録,6,1)=0,"",[0]!CSVVLookUP(ROW(行数!A6),配列!$C$4,集計記録,6,1))</f>
        <v>#NAME?</v>
      </c>
      <c r="O14" s="88" t="e">
        <f ca="1">IF(INDIRECT("M"&amp;ROW()-1)&lt;&gt;INDIRECT("M"&amp;ROW()),リスト!$I$5,"")</f>
        <v>#NAME?</v>
      </c>
      <c r="P14" s="88" t="e">
        <f ca="1">IF(INDIRECT("M"&amp;ROW())&lt;&gt;INDIRECT("M"&amp;ROW()+1),リスト!$I$6,"")</f>
        <v>#NAME?</v>
      </c>
    </row>
    <row r="15" spans="1:19" x14ac:dyDescent="0.2">
      <c r="A15" s="169" t="e">
        <f ca="1">IF(C15="","",ROW(行数!A7))</f>
        <v>#NAME?</v>
      </c>
      <c r="B15" s="168" t="e">
        <f t="shared" ca="1" si="2"/>
        <v>#NAME?</v>
      </c>
      <c r="C15" s="90" t="e">
        <f ca="1">[0]!CSVVLookUP(ROW(行数!A7),配列!$C$4,集計記録,3,1)</f>
        <v>#NAME?</v>
      </c>
      <c r="D15" s="90" t="e">
        <f ca="1">[0]!CSVVLookUP(ROW(行数!B7),配列!$C$4,集計記録,4,1)</f>
        <v>#NAME?</v>
      </c>
      <c r="E15" s="118" t="e">
        <f t="shared" ca="1" si="3"/>
        <v>#NAME?</v>
      </c>
      <c r="F15" s="118" t="e">
        <f t="shared" ca="1" si="4"/>
        <v>#NAME?</v>
      </c>
      <c r="G15" s="103" t="e">
        <f t="shared" ca="1" si="5"/>
        <v>#NAME?</v>
      </c>
      <c r="H15" s="104" t="e">
        <f ca="1">IF(C15="","",MROUND([0]!CSVVLookUP(ROW(行数!A7),配列!$C$4,集計記録,8,1),"0:01"))</f>
        <v>#NAME?</v>
      </c>
      <c r="I15" s="104" t="e">
        <f t="shared" ca="1" si="6"/>
        <v>#NAME?</v>
      </c>
      <c r="J15" s="119" t="e">
        <f ca="1">IF(C15="","",MROUND([0]!CSVVLookUP(ROW(行数!A7),配列!$C$4,集計記録,7,1),"0:01"))</f>
        <v>#NAME?</v>
      </c>
      <c r="K15" s="92" t="e">
        <f ca="1">IF(C15="","",[0]!CSVVLookUP(ROW(行数!A7),配列!$C$4,集計記録,5,1))</f>
        <v>#NAME?</v>
      </c>
      <c r="L15" s="104" t="e">
        <f t="shared" ca="1" si="7"/>
        <v>#NAME?</v>
      </c>
      <c r="M15" s="120" t="e">
        <f t="shared" ca="1" si="8"/>
        <v>#NAME?</v>
      </c>
      <c r="N15" s="120" t="e">
        <f ca="1">IF([0]!CSVVLookUP(ROW(行数!A7),配列!$C$4,集計記録,6,1)=0,"",[0]!CSVVLookUP(ROW(行数!A7),配列!$C$4,集計記録,6,1))</f>
        <v>#NAME?</v>
      </c>
      <c r="O15" s="88" t="e">
        <f ca="1">IF(INDIRECT("M"&amp;ROW()-1)&lt;&gt;INDIRECT("M"&amp;ROW()),リスト!$I$5,"")</f>
        <v>#NAME?</v>
      </c>
      <c r="P15" s="88" t="e">
        <f ca="1">IF(INDIRECT("M"&amp;ROW())&lt;&gt;INDIRECT("M"&amp;ROW()+1),リスト!$I$6,"")</f>
        <v>#NAME?</v>
      </c>
    </row>
    <row r="16" spans="1:19" x14ac:dyDescent="0.2">
      <c r="A16" s="169" t="e">
        <f ca="1">IF(C16="","",ROW(行数!A8))</f>
        <v>#NAME?</v>
      </c>
      <c r="B16" s="168" t="e">
        <f t="shared" ca="1" si="2"/>
        <v>#NAME?</v>
      </c>
      <c r="C16" s="90" t="e">
        <f ca="1">[0]!CSVVLookUP(ROW(行数!A8),配列!$C$4,集計記録,3,1)</f>
        <v>#NAME?</v>
      </c>
      <c r="D16" s="90" t="e">
        <f ca="1">[0]!CSVVLookUP(ROW(行数!B8),配列!$C$4,集計記録,4,1)</f>
        <v>#NAME?</v>
      </c>
      <c r="E16" s="118" t="e">
        <f t="shared" ca="1" si="3"/>
        <v>#NAME?</v>
      </c>
      <c r="F16" s="118" t="e">
        <f t="shared" ca="1" si="4"/>
        <v>#NAME?</v>
      </c>
      <c r="G16" s="103" t="e">
        <f t="shared" ca="1" si="5"/>
        <v>#NAME?</v>
      </c>
      <c r="H16" s="104" t="e">
        <f ca="1">IF(C16="","",MROUND([0]!CSVVLookUP(ROW(行数!A8),配列!$C$4,集計記録,8,1),"0:01"))</f>
        <v>#NAME?</v>
      </c>
      <c r="I16" s="104" t="e">
        <f t="shared" ca="1" si="6"/>
        <v>#NAME?</v>
      </c>
      <c r="J16" s="119" t="e">
        <f ca="1">IF(C16="","",MROUND([0]!CSVVLookUP(ROW(行数!A8),配列!$C$4,集計記録,7,1),"0:01"))</f>
        <v>#NAME?</v>
      </c>
      <c r="K16" s="92" t="e">
        <f ca="1">IF(C16="","",[0]!CSVVLookUP(ROW(行数!A8),配列!$C$4,集計記録,5,1))</f>
        <v>#NAME?</v>
      </c>
      <c r="L16" s="104" t="e">
        <f t="shared" ca="1" si="7"/>
        <v>#NAME?</v>
      </c>
      <c r="M16" s="120" t="e">
        <f t="shared" ca="1" si="8"/>
        <v>#NAME?</v>
      </c>
      <c r="N16" s="120" t="e">
        <f ca="1">IF([0]!CSVVLookUP(ROW(行数!A8),配列!$C$4,集計記録,6,1)=0,"",[0]!CSVVLookUP(ROW(行数!A8),配列!$C$4,集計記録,6,1))</f>
        <v>#NAME?</v>
      </c>
      <c r="O16" s="88" t="e">
        <f ca="1">IF(INDIRECT("M"&amp;ROW()-1)&lt;&gt;INDIRECT("M"&amp;ROW()),リスト!$I$5,"")</f>
        <v>#NAME?</v>
      </c>
      <c r="P16" s="88" t="e">
        <f ca="1">IF(INDIRECT("M"&amp;ROW())&lt;&gt;INDIRECT("M"&amp;ROW()+1),リスト!$I$6,"")</f>
        <v>#NAME?</v>
      </c>
    </row>
    <row r="17" spans="1:16" x14ac:dyDescent="0.2">
      <c r="A17" s="169" t="e">
        <f ca="1">IF(C17="","",ROW(行数!A9))</f>
        <v>#NAME?</v>
      </c>
      <c r="B17" s="168" t="e">
        <f t="shared" ca="1" si="2"/>
        <v>#NAME?</v>
      </c>
      <c r="C17" s="90" t="e">
        <f ca="1">[0]!CSVVLookUP(ROW(行数!A9),配列!$C$4,集計記録,3,1)</f>
        <v>#NAME?</v>
      </c>
      <c r="D17" s="90" t="e">
        <f ca="1">[0]!CSVVLookUP(ROW(行数!B9),配列!$C$4,集計記録,4,1)</f>
        <v>#NAME?</v>
      </c>
      <c r="E17" s="118" t="e">
        <f t="shared" ca="1" si="3"/>
        <v>#NAME?</v>
      </c>
      <c r="F17" s="118" t="e">
        <f t="shared" ca="1" si="4"/>
        <v>#NAME?</v>
      </c>
      <c r="G17" s="103" t="e">
        <f t="shared" ca="1" si="5"/>
        <v>#NAME?</v>
      </c>
      <c r="H17" s="104" t="e">
        <f ca="1">IF(C17="","",MROUND([0]!CSVVLookUP(ROW(行数!A9),配列!$C$4,集計記録,8,1),"0:01"))</f>
        <v>#NAME?</v>
      </c>
      <c r="I17" s="104" t="e">
        <f t="shared" ca="1" si="6"/>
        <v>#NAME?</v>
      </c>
      <c r="J17" s="119" t="e">
        <f ca="1">IF(C17="","",MROUND([0]!CSVVLookUP(ROW(行数!A9),配列!$C$4,集計記録,7,1),"0:01"))</f>
        <v>#NAME?</v>
      </c>
      <c r="K17" s="92" t="e">
        <f ca="1">IF(C17="","",[0]!CSVVLookUP(ROW(行数!A9),配列!$C$4,集計記録,5,1))</f>
        <v>#NAME?</v>
      </c>
      <c r="L17" s="104" t="e">
        <f t="shared" ca="1" si="7"/>
        <v>#NAME?</v>
      </c>
      <c r="M17" s="120" t="e">
        <f t="shared" ca="1" si="8"/>
        <v>#NAME?</v>
      </c>
      <c r="N17" s="120" t="e">
        <f ca="1">IF([0]!CSVVLookUP(ROW(行数!A9),配列!$C$4,集計記録,6,1)=0,"",[0]!CSVVLookUP(ROW(行数!A9),配列!$C$4,集計記録,6,1))</f>
        <v>#NAME?</v>
      </c>
      <c r="O17" s="88" t="e">
        <f ca="1">IF(INDIRECT("M"&amp;ROW()-1)&lt;&gt;INDIRECT("M"&amp;ROW()),リスト!$I$5,"")</f>
        <v>#NAME?</v>
      </c>
      <c r="P17" s="88" t="e">
        <f ca="1">IF(INDIRECT("M"&amp;ROW())&lt;&gt;INDIRECT("M"&amp;ROW()+1),リスト!$I$6,"")</f>
        <v>#NAME?</v>
      </c>
    </row>
    <row r="18" spans="1:16" x14ac:dyDescent="0.2">
      <c r="A18" s="169" t="e">
        <f ca="1">IF(C18="","",ROW(行数!A10))</f>
        <v>#NAME?</v>
      </c>
      <c r="B18" s="168" t="e">
        <f t="shared" ca="1" si="2"/>
        <v>#NAME?</v>
      </c>
      <c r="C18" s="90" t="e">
        <f ca="1">[0]!CSVVLookUP(ROW(行数!A10),配列!$C$4,集計記録,3,1)</f>
        <v>#NAME?</v>
      </c>
      <c r="D18" s="90" t="e">
        <f ca="1">[0]!CSVVLookUP(ROW(行数!B10),配列!$C$4,集計記録,4,1)</f>
        <v>#NAME?</v>
      </c>
      <c r="E18" s="118" t="e">
        <f t="shared" ca="1" si="3"/>
        <v>#NAME?</v>
      </c>
      <c r="F18" s="118" t="e">
        <f t="shared" ca="1" si="4"/>
        <v>#NAME?</v>
      </c>
      <c r="G18" s="103" t="e">
        <f t="shared" ca="1" si="5"/>
        <v>#NAME?</v>
      </c>
      <c r="H18" s="104" t="e">
        <f ca="1">IF(C18="","",MROUND([0]!CSVVLookUP(ROW(行数!A10),配列!$C$4,集計記録,8,1),"0:01"))</f>
        <v>#NAME?</v>
      </c>
      <c r="I18" s="104" t="e">
        <f t="shared" ca="1" si="6"/>
        <v>#NAME?</v>
      </c>
      <c r="J18" s="119" t="e">
        <f ca="1">IF(C18="","",MROUND([0]!CSVVLookUP(ROW(行数!A10),配列!$C$4,集計記録,7,1),"0:01"))</f>
        <v>#NAME?</v>
      </c>
      <c r="K18" s="92" t="e">
        <f ca="1">IF(C18="","",[0]!CSVVLookUP(ROW(行数!A10),配列!$C$4,集計記録,5,1))</f>
        <v>#NAME?</v>
      </c>
      <c r="L18" s="104" t="e">
        <f t="shared" ca="1" si="7"/>
        <v>#NAME?</v>
      </c>
      <c r="M18" s="120" t="e">
        <f t="shared" ca="1" si="8"/>
        <v>#NAME?</v>
      </c>
      <c r="N18" s="120" t="e">
        <f ca="1">IF([0]!CSVVLookUP(ROW(行数!A10),配列!$C$4,集計記録,6,1)=0,"",[0]!CSVVLookUP(ROW(行数!A10),配列!$C$4,集計記録,6,1))</f>
        <v>#NAME?</v>
      </c>
      <c r="O18" s="88" t="e">
        <f ca="1">IF(INDIRECT("M"&amp;ROW()-1)&lt;&gt;INDIRECT("M"&amp;ROW()),リスト!$I$5,"")</f>
        <v>#NAME?</v>
      </c>
      <c r="P18" s="88" t="e">
        <f ca="1">IF(INDIRECT("M"&amp;ROW())&lt;&gt;INDIRECT("M"&amp;ROW()+1),リスト!$I$6,"")</f>
        <v>#NAME?</v>
      </c>
    </row>
    <row r="19" spans="1:16" x14ac:dyDescent="0.2">
      <c r="A19" s="169" t="e">
        <f ca="1">IF(C19="","",ROW(行数!A11))</f>
        <v>#NAME?</v>
      </c>
      <c r="B19" s="168" t="e">
        <f t="shared" ca="1" si="2"/>
        <v>#NAME?</v>
      </c>
      <c r="C19" s="90" t="e">
        <f ca="1">[0]!CSVVLookUP(ROW(行数!A11),配列!$C$4,集計記録,3,1)</f>
        <v>#NAME?</v>
      </c>
      <c r="D19" s="90" t="e">
        <f ca="1">[0]!CSVVLookUP(ROW(行数!B11),配列!$C$4,集計記録,4,1)</f>
        <v>#NAME?</v>
      </c>
      <c r="E19" s="118" t="e">
        <f t="shared" ca="1" si="3"/>
        <v>#NAME?</v>
      </c>
      <c r="F19" s="118" t="e">
        <f t="shared" ca="1" si="4"/>
        <v>#NAME?</v>
      </c>
      <c r="G19" s="103" t="e">
        <f t="shared" ca="1" si="5"/>
        <v>#NAME?</v>
      </c>
      <c r="H19" s="104" t="e">
        <f ca="1">IF(C19="","",MROUND([0]!CSVVLookUP(ROW(行数!A11),配列!$C$4,集計記録,8,1),"0:01"))</f>
        <v>#NAME?</v>
      </c>
      <c r="I19" s="104" t="e">
        <f t="shared" ca="1" si="6"/>
        <v>#NAME?</v>
      </c>
      <c r="J19" s="119" t="e">
        <f ca="1">IF(C19="","",MROUND([0]!CSVVLookUP(ROW(行数!A11),配列!$C$4,集計記録,7,1),"0:01"))</f>
        <v>#NAME?</v>
      </c>
      <c r="K19" s="92" t="e">
        <f ca="1">IF(C19="","",[0]!CSVVLookUP(ROW(行数!A11),配列!$C$4,集計記録,5,1))</f>
        <v>#NAME?</v>
      </c>
      <c r="L19" s="104" t="e">
        <f t="shared" ca="1" si="7"/>
        <v>#NAME?</v>
      </c>
      <c r="M19" s="120" t="e">
        <f t="shared" ca="1" si="8"/>
        <v>#NAME?</v>
      </c>
      <c r="N19" s="120" t="e">
        <f ca="1">IF([0]!CSVVLookUP(ROW(行数!A11),配列!$C$4,集計記録,6,1)=0,"",[0]!CSVVLookUP(ROW(行数!A11),配列!$C$4,集計記録,6,1))</f>
        <v>#NAME?</v>
      </c>
      <c r="O19" s="88" t="e">
        <f ca="1">IF(INDIRECT("M"&amp;ROW()-1)&lt;&gt;INDIRECT("M"&amp;ROW()),リスト!$I$5,"")</f>
        <v>#NAME?</v>
      </c>
      <c r="P19" s="88" t="e">
        <f ca="1">IF(INDIRECT("M"&amp;ROW())&lt;&gt;INDIRECT("M"&amp;ROW()+1),リスト!$I$6,"")</f>
        <v>#NAME?</v>
      </c>
    </row>
    <row r="20" spans="1:16" x14ac:dyDescent="0.2">
      <c r="A20" s="169" t="e">
        <f ca="1">IF(C20="","",ROW(行数!A12))</f>
        <v>#NAME?</v>
      </c>
      <c r="B20" s="168" t="e">
        <f t="shared" ca="1" si="2"/>
        <v>#NAME?</v>
      </c>
      <c r="C20" s="90" t="e">
        <f ca="1">[0]!CSVVLookUP(ROW(行数!A12),配列!$C$4,集計記録,3,1)</f>
        <v>#NAME?</v>
      </c>
      <c r="D20" s="90" t="e">
        <f ca="1">[0]!CSVVLookUP(ROW(行数!B12),配列!$C$4,集計記録,4,1)</f>
        <v>#NAME?</v>
      </c>
      <c r="E20" s="118" t="e">
        <f t="shared" ca="1" si="3"/>
        <v>#NAME?</v>
      </c>
      <c r="F20" s="118" t="e">
        <f t="shared" ca="1" si="4"/>
        <v>#NAME?</v>
      </c>
      <c r="G20" s="103" t="e">
        <f t="shared" ca="1" si="5"/>
        <v>#NAME?</v>
      </c>
      <c r="H20" s="104" t="e">
        <f ca="1">IF(C20="","",MROUND([0]!CSVVLookUP(ROW(行数!A12),配列!$C$4,集計記録,8,1),"0:01"))</f>
        <v>#NAME?</v>
      </c>
      <c r="I20" s="104" t="e">
        <f t="shared" ca="1" si="6"/>
        <v>#NAME?</v>
      </c>
      <c r="J20" s="119" t="e">
        <f ca="1">IF(C20="","",MROUND([0]!CSVVLookUP(ROW(行数!A12),配列!$C$4,集計記録,7,1),"0:01"))</f>
        <v>#NAME?</v>
      </c>
      <c r="K20" s="92" t="e">
        <f ca="1">IF(C20="","",[0]!CSVVLookUP(ROW(行数!A12),配列!$C$4,集計記録,5,1))</f>
        <v>#NAME?</v>
      </c>
      <c r="L20" s="104" t="e">
        <f t="shared" ca="1" si="7"/>
        <v>#NAME?</v>
      </c>
      <c r="M20" s="120" t="e">
        <f t="shared" ca="1" si="8"/>
        <v>#NAME?</v>
      </c>
      <c r="N20" s="120" t="e">
        <f ca="1">IF([0]!CSVVLookUP(ROW(行数!A12),配列!$C$4,集計記録,6,1)=0,"",[0]!CSVVLookUP(ROW(行数!A12),配列!$C$4,集計記録,6,1))</f>
        <v>#NAME?</v>
      </c>
      <c r="O20" s="88" t="e">
        <f ca="1">IF(INDIRECT("M"&amp;ROW()-1)&lt;&gt;INDIRECT("M"&amp;ROW()),リスト!$I$5,"")</f>
        <v>#NAME?</v>
      </c>
      <c r="P20" s="88" t="e">
        <f ca="1">IF(INDIRECT("M"&amp;ROW())&lt;&gt;INDIRECT("M"&amp;ROW()+1),リスト!$I$6,"")</f>
        <v>#NAME?</v>
      </c>
    </row>
    <row r="21" spans="1:16" x14ac:dyDescent="0.2">
      <c r="A21" s="169" t="e">
        <f ca="1">IF(C21="","",ROW(行数!A13))</f>
        <v>#NAME?</v>
      </c>
      <c r="B21" s="168" t="e">
        <f t="shared" ca="1" si="2"/>
        <v>#NAME?</v>
      </c>
      <c r="C21" s="90" t="e">
        <f ca="1">[0]!CSVVLookUP(ROW(行数!A13),配列!$C$4,集計記録,3,1)</f>
        <v>#NAME?</v>
      </c>
      <c r="D21" s="90" t="e">
        <f ca="1">[0]!CSVVLookUP(ROW(行数!B13),配列!$C$4,集計記録,4,1)</f>
        <v>#NAME?</v>
      </c>
      <c r="E21" s="118" t="e">
        <f t="shared" ca="1" si="3"/>
        <v>#NAME?</v>
      </c>
      <c r="F21" s="118" t="e">
        <f t="shared" ca="1" si="4"/>
        <v>#NAME?</v>
      </c>
      <c r="G21" s="103" t="e">
        <f t="shared" ca="1" si="5"/>
        <v>#NAME?</v>
      </c>
      <c r="H21" s="104" t="e">
        <f ca="1">IF(C21="","",MROUND([0]!CSVVLookUP(ROW(行数!A13),配列!$C$4,集計記録,8,1),"0:01"))</f>
        <v>#NAME?</v>
      </c>
      <c r="I21" s="104" t="e">
        <f t="shared" ca="1" si="6"/>
        <v>#NAME?</v>
      </c>
      <c r="J21" s="119" t="e">
        <f ca="1">IF(C21="","",MROUND([0]!CSVVLookUP(ROW(行数!A13),配列!$C$4,集計記録,7,1),"0:01"))</f>
        <v>#NAME?</v>
      </c>
      <c r="K21" s="92" t="e">
        <f ca="1">IF(C21="","",[0]!CSVVLookUP(ROW(行数!A13),配列!$C$4,集計記録,5,1))</f>
        <v>#NAME?</v>
      </c>
      <c r="L21" s="104" t="e">
        <f t="shared" ca="1" si="7"/>
        <v>#NAME?</v>
      </c>
      <c r="M21" s="120" t="e">
        <f t="shared" ca="1" si="8"/>
        <v>#NAME?</v>
      </c>
      <c r="N21" s="120" t="e">
        <f ca="1">IF([0]!CSVVLookUP(ROW(行数!A13),配列!$C$4,集計記録,6,1)=0,"",[0]!CSVVLookUP(ROW(行数!A13),配列!$C$4,集計記録,6,1))</f>
        <v>#NAME?</v>
      </c>
      <c r="O21" s="88" t="e">
        <f ca="1">IF(INDIRECT("M"&amp;ROW()-1)&lt;&gt;INDIRECT("M"&amp;ROW()),リスト!$I$5,"")</f>
        <v>#NAME?</v>
      </c>
      <c r="P21" s="88" t="e">
        <f ca="1">IF(INDIRECT("M"&amp;ROW())&lt;&gt;INDIRECT("M"&amp;ROW()+1),リスト!$I$6,"")</f>
        <v>#NAME?</v>
      </c>
    </row>
    <row r="22" spans="1:16" x14ac:dyDescent="0.2">
      <c r="A22" s="169" t="e">
        <f ca="1">IF(C22="","",ROW(行数!A14))</f>
        <v>#NAME?</v>
      </c>
      <c r="B22" s="168" t="e">
        <f t="shared" ca="1" si="2"/>
        <v>#NAME?</v>
      </c>
      <c r="C22" s="90" t="e">
        <f ca="1">[0]!CSVVLookUP(ROW(行数!A14),配列!$C$4,集計記録,3,1)</f>
        <v>#NAME?</v>
      </c>
      <c r="D22" s="90" t="e">
        <f ca="1">[0]!CSVVLookUP(ROW(行数!B14),配列!$C$4,集計記録,4,1)</f>
        <v>#NAME?</v>
      </c>
      <c r="E22" s="118" t="e">
        <f t="shared" ca="1" si="3"/>
        <v>#NAME?</v>
      </c>
      <c r="F22" s="118" t="e">
        <f t="shared" ca="1" si="4"/>
        <v>#NAME?</v>
      </c>
      <c r="G22" s="103" t="e">
        <f t="shared" ca="1" si="5"/>
        <v>#NAME?</v>
      </c>
      <c r="H22" s="104" t="e">
        <f ca="1">IF(C22="","",MROUND([0]!CSVVLookUP(ROW(行数!A14),配列!$C$4,集計記録,8,1),"0:01"))</f>
        <v>#NAME?</v>
      </c>
      <c r="I22" s="104" t="e">
        <f t="shared" ca="1" si="6"/>
        <v>#NAME?</v>
      </c>
      <c r="J22" s="119" t="e">
        <f ca="1">IF(C22="","",MROUND([0]!CSVVLookUP(ROW(行数!A14),配列!$C$4,集計記録,7,1),"0:01"))</f>
        <v>#NAME?</v>
      </c>
      <c r="K22" s="92" t="e">
        <f ca="1">IF(C22="","",[0]!CSVVLookUP(ROW(行数!A14),配列!$C$4,集計記録,5,1))</f>
        <v>#NAME?</v>
      </c>
      <c r="L22" s="104" t="e">
        <f t="shared" ca="1" si="7"/>
        <v>#NAME?</v>
      </c>
      <c r="M22" s="120" t="e">
        <f t="shared" ca="1" si="8"/>
        <v>#NAME?</v>
      </c>
      <c r="N22" s="120" t="e">
        <f ca="1">IF([0]!CSVVLookUP(ROW(行数!A14),配列!$C$4,集計記録,6,1)=0,"",[0]!CSVVLookUP(ROW(行数!A14),配列!$C$4,集計記録,6,1))</f>
        <v>#NAME?</v>
      </c>
      <c r="O22" s="88" t="e">
        <f ca="1">IF(INDIRECT("M"&amp;ROW()-1)&lt;&gt;INDIRECT("M"&amp;ROW()),リスト!$I$5,"")</f>
        <v>#NAME?</v>
      </c>
      <c r="P22" s="88" t="e">
        <f ca="1">IF(INDIRECT("M"&amp;ROW())&lt;&gt;INDIRECT("M"&amp;ROW()+1),リスト!$I$6,"")</f>
        <v>#NAME?</v>
      </c>
    </row>
    <row r="23" spans="1:16" x14ac:dyDescent="0.2">
      <c r="A23" s="169" t="e">
        <f ca="1">IF(C23="","",ROW(行数!A15))</f>
        <v>#NAME?</v>
      </c>
      <c r="B23" s="168" t="e">
        <f t="shared" ca="1" si="2"/>
        <v>#NAME?</v>
      </c>
      <c r="C23" s="90" t="e">
        <f ca="1">[0]!CSVVLookUP(ROW(行数!A15),配列!$C$4,集計記録,3,1)</f>
        <v>#NAME?</v>
      </c>
      <c r="D23" s="90" t="e">
        <f ca="1">[0]!CSVVLookUP(ROW(行数!B15),配列!$C$4,集計記録,4,1)</f>
        <v>#NAME?</v>
      </c>
      <c r="E23" s="118" t="e">
        <f t="shared" ca="1" si="3"/>
        <v>#NAME?</v>
      </c>
      <c r="F23" s="118" t="e">
        <f t="shared" ca="1" si="4"/>
        <v>#NAME?</v>
      </c>
      <c r="G23" s="103" t="e">
        <f t="shared" ca="1" si="5"/>
        <v>#NAME?</v>
      </c>
      <c r="H23" s="104" t="e">
        <f ca="1">IF(C23="","",MROUND([0]!CSVVLookUP(ROW(行数!A15),配列!$C$4,集計記録,8,1),"0:01"))</f>
        <v>#NAME?</v>
      </c>
      <c r="I23" s="104" t="e">
        <f t="shared" ca="1" si="6"/>
        <v>#NAME?</v>
      </c>
      <c r="J23" s="119" t="e">
        <f ca="1">IF(C23="","",MROUND([0]!CSVVLookUP(ROW(行数!A15),配列!$C$4,集計記録,7,1),"0:01"))</f>
        <v>#NAME?</v>
      </c>
      <c r="K23" s="92" t="e">
        <f ca="1">IF(C23="","",[0]!CSVVLookUP(ROW(行数!A15),配列!$C$4,集計記録,5,1))</f>
        <v>#NAME?</v>
      </c>
      <c r="L23" s="104" t="e">
        <f t="shared" ca="1" si="7"/>
        <v>#NAME?</v>
      </c>
      <c r="M23" s="120" t="e">
        <f t="shared" ca="1" si="8"/>
        <v>#NAME?</v>
      </c>
      <c r="N23" s="120" t="e">
        <f ca="1">IF([0]!CSVVLookUP(ROW(行数!A15),配列!$C$4,集計記録,6,1)=0,"",[0]!CSVVLookUP(ROW(行数!A15),配列!$C$4,集計記録,6,1))</f>
        <v>#NAME?</v>
      </c>
      <c r="O23" s="88" t="e">
        <f ca="1">IF(INDIRECT("M"&amp;ROW()-1)&lt;&gt;INDIRECT("M"&amp;ROW()),リスト!$I$5,"")</f>
        <v>#NAME?</v>
      </c>
      <c r="P23" s="88" t="e">
        <f ca="1">IF(INDIRECT("M"&amp;ROW())&lt;&gt;INDIRECT("M"&amp;ROW()+1),リスト!$I$6,"")</f>
        <v>#NAME?</v>
      </c>
    </row>
    <row r="24" spans="1:16" x14ac:dyDescent="0.2">
      <c r="A24" s="169" t="e">
        <f ca="1">IF(C24="","",ROW(行数!A16))</f>
        <v>#NAME?</v>
      </c>
      <c r="B24" s="168" t="e">
        <f t="shared" ca="1" si="2"/>
        <v>#NAME?</v>
      </c>
      <c r="C24" s="90" t="e">
        <f ca="1">[0]!CSVVLookUP(ROW(行数!A16),配列!$C$4,集計記録,3,1)</f>
        <v>#NAME?</v>
      </c>
      <c r="D24" s="90" t="e">
        <f ca="1">[0]!CSVVLookUP(ROW(行数!B16),配列!$C$4,集計記録,4,1)</f>
        <v>#NAME?</v>
      </c>
      <c r="E24" s="118" t="e">
        <f t="shared" ca="1" si="3"/>
        <v>#NAME?</v>
      </c>
      <c r="F24" s="118" t="e">
        <f t="shared" ca="1" si="4"/>
        <v>#NAME?</v>
      </c>
      <c r="G24" s="103" t="e">
        <f t="shared" ca="1" si="5"/>
        <v>#NAME?</v>
      </c>
      <c r="H24" s="104" t="e">
        <f ca="1">IF(C24="","",MROUND([0]!CSVVLookUP(ROW(行数!A16),配列!$C$4,集計記録,8,1),"0:01"))</f>
        <v>#NAME?</v>
      </c>
      <c r="I24" s="104" t="e">
        <f t="shared" ca="1" si="6"/>
        <v>#NAME?</v>
      </c>
      <c r="J24" s="119" t="e">
        <f ca="1">IF(C24="","",MROUND([0]!CSVVLookUP(ROW(行数!A16),配列!$C$4,集計記録,7,1),"0:01"))</f>
        <v>#NAME?</v>
      </c>
      <c r="K24" s="92" t="e">
        <f ca="1">IF(C24="","",[0]!CSVVLookUP(ROW(行数!A16),配列!$C$4,集計記録,5,1))</f>
        <v>#NAME?</v>
      </c>
      <c r="L24" s="104" t="e">
        <f t="shared" ca="1" si="7"/>
        <v>#NAME?</v>
      </c>
      <c r="M24" s="120" t="e">
        <f t="shared" ca="1" si="8"/>
        <v>#NAME?</v>
      </c>
      <c r="N24" s="120" t="e">
        <f ca="1">IF([0]!CSVVLookUP(ROW(行数!A16),配列!$C$4,集計記録,6,1)=0,"",[0]!CSVVLookUP(ROW(行数!A16),配列!$C$4,集計記録,6,1))</f>
        <v>#NAME?</v>
      </c>
      <c r="O24" s="88" t="e">
        <f ca="1">IF(INDIRECT("M"&amp;ROW()-1)&lt;&gt;INDIRECT("M"&amp;ROW()),リスト!$I$5,"")</f>
        <v>#NAME?</v>
      </c>
      <c r="P24" s="88" t="e">
        <f ca="1">IF(INDIRECT("M"&amp;ROW())&lt;&gt;INDIRECT("M"&amp;ROW()+1),リスト!$I$6,"")</f>
        <v>#NAME?</v>
      </c>
    </row>
    <row r="25" spans="1:16" x14ac:dyDescent="0.2">
      <c r="A25" s="169" t="e">
        <f ca="1">IF(C25="","",ROW(行数!A17))</f>
        <v>#NAME?</v>
      </c>
      <c r="B25" s="168" t="e">
        <f t="shared" ca="1" si="2"/>
        <v>#NAME?</v>
      </c>
      <c r="C25" s="90" t="e">
        <f ca="1">[0]!CSVVLookUP(ROW(行数!A17),配列!$C$4,集計記録,3,1)</f>
        <v>#NAME?</v>
      </c>
      <c r="D25" s="90" t="e">
        <f ca="1">[0]!CSVVLookUP(ROW(行数!B17),配列!$C$4,集計記録,4,1)</f>
        <v>#NAME?</v>
      </c>
      <c r="E25" s="118" t="e">
        <f t="shared" ca="1" si="3"/>
        <v>#NAME?</v>
      </c>
      <c r="F25" s="118" t="e">
        <f t="shared" ca="1" si="4"/>
        <v>#NAME?</v>
      </c>
      <c r="G25" s="103" t="e">
        <f t="shared" ca="1" si="5"/>
        <v>#NAME?</v>
      </c>
      <c r="H25" s="104" t="e">
        <f ca="1">IF(C25="","",MROUND([0]!CSVVLookUP(ROW(行数!A17),配列!$C$4,集計記録,8,1),"0:01"))</f>
        <v>#NAME?</v>
      </c>
      <c r="I25" s="104" t="e">
        <f t="shared" ca="1" si="6"/>
        <v>#NAME?</v>
      </c>
      <c r="J25" s="119" t="e">
        <f ca="1">IF(C25="","",MROUND([0]!CSVVLookUP(ROW(行数!A17),配列!$C$4,集計記録,7,1),"0:01"))</f>
        <v>#NAME?</v>
      </c>
      <c r="K25" s="92" t="e">
        <f ca="1">IF(C25="","",[0]!CSVVLookUP(ROW(行数!A17),配列!$C$4,集計記録,5,1))</f>
        <v>#NAME?</v>
      </c>
      <c r="L25" s="104" t="e">
        <f t="shared" ca="1" si="7"/>
        <v>#NAME?</v>
      </c>
      <c r="M25" s="120" t="e">
        <f t="shared" ca="1" si="8"/>
        <v>#NAME?</v>
      </c>
      <c r="N25" s="120" t="e">
        <f ca="1">IF([0]!CSVVLookUP(ROW(行数!A17),配列!$C$4,集計記録,6,1)=0,"",[0]!CSVVLookUP(ROW(行数!A17),配列!$C$4,集計記録,6,1))</f>
        <v>#NAME?</v>
      </c>
      <c r="O25" s="88" t="e">
        <f ca="1">IF(INDIRECT("M"&amp;ROW()-1)&lt;&gt;INDIRECT("M"&amp;ROW()),リスト!$I$5,"")</f>
        <v>#NAME?</v>
      </c>
      <c r="P25" s="88" t="e">
        <f ca="1">IF(INDIRECT("M"&amp;ROW())&lt;&gt;INDIRECT("M"&amp;ROW()+1),リスト!$I$6,"")</f>
        <v>#NAME?</v>
      </c>
    </row>
    <row r="26" spans="1:16" x14ac:dyDescent="0.2">
      <c r="A26" s="169" t="e">
        <f ca="1">IF(C26="","",ROW(行数!A18))</f>
        <v>#NAME?</v>
      </c>
      <c r="B26" s="168" t="e">
        <f t="shared" ca="1" si="2"/>
        <v>#NAME?</v>
      </c>
      <c r="C26" s="90" t="e">
        <f ca="1">[0]!CSVVLookUP(ROW(行数!A18),配列!$C$4,集計記録,3,1)</f>
        <v>#NAME?</v>
      </c>
      <c r="D26" s="90" t="e">
        <f ca="1">[0]!CSVVLookUP(ROW(行数!B18),配列!$C$4,集計記録,4,1)</f>
        <v>#NAME?</v>
      </c>
      <c r="E26" s="118" t="e">
        <f t="shared" ca="1" si="3"/>
        <v>#NAME?</v>
      </c>
      <c r="F26" s="118" t="e">
        <f t="shared" ca="1" si="4"/>
        <v>#NAME?</v>
      </c>
      <c r="G26" s="103" t="e">
        <f t="shared" ca="1" si="5"/>
        <v>#NAME?</v>
      </c>
      <c r="H26" s="104" t="e">
        <f ca="1">IF(C26="","",MROUND([0]!CSVVLookUP(ROW(行数!A18),配列!$C$4,集計記録,8,1),"0:01"))</f>
        <v>#NAME?</v>
      </c>
      <c r="I26" s="104" t="e">
        <f t="shared" ca="1" si="6"/>
        <v>#NAME?</v>
      </c>
      <c r="J26" s="119" t="e">
        <f ca="1">IF(C26="","",MROUND([0]!CSVVLookUP(ROW(行数!A18),配列!$C$4,集計記録,7,1),"0:01"))</f>
        <v>#NAME?</v>
      </c>
      <c r="K26" s="92" t="e">
        <f ca="1">IF(C26="","",[0]!CSVVLookUP(ROW(行数!A18),配列!$C$4,集計記録,5,1))</f>
        <v>#NAME?</v>
      </c>
      <c r="L26" s="104" t="e">
        <f t="shared" ca="1" si="7"/>
        <v>#NAME?</v>
      </c>
      <c r="M26" s="120" t="e">
        <f t="shared" ca="1" si="8"/>
        <v>#NAME?</v>
      </c>
      <c r="N26" s="120" t="e">
        <f ca="1">IF([0]!CSVVLookUP(ROW(行数!A18),配列!$C$4,集計記録,6,1)=0,"",[0]!CSVVLookUP(ROW(行数!A18),配列!$C$4,集計記録,6,1))</f>
        <v>#NAME?</v>
      </c>
      <c r="O26" s="88" t="e">
        <f ca="1">IF(INDIRECT("M"&amp;ROW()-1)&lt;&gt;INDIRECT("M"&amp;ROW()),リスト!$I$5,"")</f>
        <v>#NAME?</v>
      </c>
      <c r="P26" s="88" t="e">
        <f ca="1">IF(INDIRECT("M"&amp;ROW())&lt;&gt;INDIRECT("M"&amp;ROW()+1),リスト!$I$6,"")</f>
        <v>#NAME?</v>
      </c>
    </row>
    <row r="27" spans="1:16" x14ac:dyDescent="0.2">
      <c r="A27" s="169" t="e">
        <f ca="1">IF(C27="","",ROW(行数!A19))</f>
        <v>#NAME?</v>
      </c>
      <c r="B27" s="168" t="e">
        <f t="shared" ca="1" si="2"/>
        <v>#NAME?</v>
      </c>
      <c r="C27" s="90" t="e">
        <f ca="1">[0]!CSVVLookUP(ROW(行数!A19),配列!$C$4,集計記録,3,1)</f>
        <v>#NAME?</v>
      </c>
      <c r="D27" s="90" t="e">
        <f ca="1">[0]!CSVVLookUP(ROW(行数!B19),配列!$C$4,集計記録,4,1)</f>
        <v>#NAME?</v>
      </c>
      <c r="E27" s="118" t="e">
        <f t="shared" ca="1" si="3"/>
        <v>#NAME?</v>
      </c>
      <c r="F27" s="118" t="e">
        <f t="shared" ca="1" si="4"/>
        <v>#NAME?</v>
      </c>
      <c r="G27" s="103" t="e">
        <f t="shared" ca="1" si="5"/>
        <v>#NAME?</v>
      </c>
      <c r="H27" s="104" t="e">
        <f ca="1">IF(C27="","",MROUND([0]!CSVVLookUP(ROW(行数!A19),配列!$C$4,集計記録,8,1),"0:01"))</f>
        <v>#NAME?</v>
      </c>
      <c r="I27" s="104" t="e">
        <f t="shared" ca="1" si="6"/>
        <v>#NAME?</v>
      </c>
      <c r="J27" s="119" t="e">
        <f ca="1">IF(C27="","",MROUND([0]!CSVVLookUP(ROW(行数!A19),配列!$C$4,集計記録,7,1),"0:01"))</f>
        <v>#NAME?</v>
      </c>
      <c r="K27" s="92" t="e">
        <f ca="1">IF(C27="","",[0]!CSVVLookUP(ROW(行数!A19),配列!$C$4,集計記録,5,1))</f>
        <v>#NAME?</v>
      </c>
      <c r="L27" s="104" t="e">
        <f t="shared" ca="1" si="7"/>
        <v>#NAME?</v>
      </c>
      <c r="M27" s="120" t="e">
        <f t="shared" ca="1" si="8"/>
        <v>#NAME?</v>
      </c>
      <c r="N27" s="120" t="e">
        <f ca="1">IF([0]!CSVVLookUP(ROW(行数!A19),配列!$C$4,集計記録,6,1)=0,"",[0]!CSVVLookUP(ROW(行数!A19),配列!$C$4,集計記録,6,1))</f>
        <v>#NAME?</v>
      </c>
      <c r="O27" s="88" t="e">
        <f ca="1">IF(INDIRECT("M"&amp;ROW()-1)&lt;&gt;INDIRECT("M"&amp;ROW()),リスト!$I$5,"")</f>
        <v>#NAME?</v>
      </c>
      <c r="P27" s="88" t="e">
        <f ca="1">IF(INDIRECT("M"&amp;ROW())&lt;&gt;INDIRECT("M"&amp;ROW()+1),リスト!$I$6,"")</f>
        <v>#NAME?</v>
      </c>
    </row>
    <row r="28" spans="1:16" x14ac:dyDescent="0.2">
      <c r="A28" s="169" t="e">
        <f ca="1">IF(C28="","",ROW(行数!A20))</f>
        <v>#NAME?</v>
      </c>
      <c r="B28" s="168" t="e">
        <f t="shared" ca="1" si="2"/>
        <v>#NAME?</v>
      </c>
      <c r="C28" s="90" t="e">
        <f ca="1">[0]!CSVVLookUP(ROW(行数!A20),配列!$C$4,集計記録,3,1)</f>
        <v>#NAME?</v>
      </c>
      <c r="D28" s="90" t="e">
        <f ca="1">[0]!CSVVLookUP(ROW(行数!B20),配列!$C$4,集計記録,4,1)</f>
        <v>#NAME?</v>
      </c>
      <c r="E28" s="118" t="e">
        <f t="shared" ca="1" si="3"/>
        <v>#NAME?</v>
      </c>
      <c r="F28" s="118" t="e">
        <f t="shared" ca="1" si="4"/>
        <v>#NAME?</v>
      </c>
      <c r="G28" s="103" t="e">
        <f t="shared" ca="1" si="5"/>
        <v>#NAME?</v>
      </c>
      <c r="H28" s="104" t="e">
        <f ca="1">IF(C28="","",MROUND([0]!CSVVLookUP(ROW(行数!A20),配列!$C$4,集計記録,8,1),"0:01"))</f>
        <v>#NAME?</v>
      </c>
      <c r="I28" s="104" t="e">
        <f t="shared" ca="1" si="6"/>
        <v>#NAME?</v>
      </c>
      <c r="J28" s="119" t="e">
        <f ca="1">IF(C28="","",MROUND([0]!CSVVLookUP(ROW(行数!A20),配列!$C$4,集計記録,7,1),"0:01"))</f>
        <v>#NAME?</v>
      </c>
      <c r="K28" s="92" t="e">
        <f ca="1">IF(C28="","",[0]!CSVVLookUP(ROW(行数!A20),配列!$C$4,集計記録,5,1))</f>
        <v>#NAME?</v>
      </c>
      <c r="L28" s="104" t="e">
        <f t="shared" ca="1" si="7"/>
        <v>#NAME?</v>
      </c>
      <c r="M28" s="120" t="e">
        <f t="shared" ca="1" si="8"/>
        <v>#NAME?</v>
      </c>
      <c r="N28" s="120" t="e">
        <f ca="1">IF([0]!CSVVLookUP(ROW(行数!A20),配列!$C$4,集計記録,6,1)=0,"",[0]!CSVVLookUP(ROW(行数!A20),配列!$C$4,集計記録,6,1))</f>
        <v>#NAME?</v>
      </c>
      <c r="O28" s="88" t="e">
        <f ca="1">IF(INDIRECT("M"&amp;ROW()-1)&lt;&gt;INDIRECT("M"&amp;ROW()),リスト!$I$5,"")</f>
        <v>#NAME?</v>
      </c>
      <c r="P28" s="88" t="e">
        <f ca="1">IF(INDIRECT("M"&amp;ROW())&lt;&gt;INDIRECT("M"&amp;ROW()+1),リスト!$I$6,"")</f>
        <v>#NAME?</v>
      </c>
    </row>
    <row r="29" spans="1:16" x14ac:dyDescent="0.2">
      <c r="A29" s="169" t="e">
        <f ca="1">IF(C29="","",ROW(行数!A21))</f>
        <v>#NAME?</v>
      </c>
      <c r="B29" s="168" t="e">
        <f t="shared" ca="1" si="2"/>
        <v>#NAME?</v>
      </c>
      <c r="C29" s="90" t="e">
        <f ca="1">[0]!CSVVLookUP(ROW(行数!A21),配列!$C$4,集計記録,3,1)</f>
        <v>#NAME?</v>
      </c>
      <c r="D29" s="90" t="e">
        <f ca="1">[0]!CSVVLookUP(ROW(行数!B21),配列!$C$4,集計記録,4,1)</f>
        <v>#NAME?</v>
      </c>
      <c r="E29" s="118" t="e">
        <f t="shared" ca="1" si="3"/>
        <v>#NAME?</v>
      </c>
      <c r="F29" s="118" t="e">
        <f t="shared" ca="1" si="4"/>
        <v>#NAME?</v>
      </c>
      <c r="G29" s="103" t="e">
        <f t="shared" ca="1" si="5"/>
        <v>#NAME?</v>
      </c>
      <c r="H29" s="104" t="e">
        <f ca="1">IF(C29="","",MROUND([0]!CSVVLookUP(ROW(行数!A21),配列!$C$4,集計記録,8,1),"0:01"))</f>
        <v>#NAME?</v>
      </c>
      <c r="I29" s="104" t="e">
        <f t="shared" ca="1" si="6"/>
        <v>#NAME?</v>
      </c>
      <c r="J29" s="119" t="e">
        <f ca="1">IF(C29="","",MROUND([0]!CSVVLookUP(ROW(行数!A21),配列!$C$4,集計記録,7,1),"0:01"))</f>
        <v>#NAME?</v>
      </c>
      <c r="K29" s="92" t="e">
        <f ca="1">IF(C29="","",[0]!CSVVLookUP(ROW(行数!A21),配列!$C$4,集計記録,5,1))</f>
        <v>#NAME?</v>
      </c>
      <c r="L29" s="104" t="e">
        <f t="shared" ca="1" si="7"/>
        <v>#NAME?</v>
      </c>
      <c r="M29" s="120" t="e">
        <f t="shared" ca="1" si="8"/>
        <v>#NAME?</v>
      </c>
      <c r="N29" s="120" t="e">
        <f ca="1">IF([0]!CSVVLookUP(ROW(行数!A21),配列!$C$4,集計記録,6,1)=0,"",[0]!CSVVLookUP(ROW(行数!A21),配列!$C$4,集計記録,6,1))</f>
        <v>#NAME?</v>
      </c>
      <c r="O29" s="88" t="e">
        <f ca="1">IF(INDIRECT("M"&amp;ROW()-1)&lt;&gt;INDIRECT("M"&amp;ROW()),リスト!$I$5,"")</f>
        <v>#NAME?</v>
      </c>
      <c r="P29" s="88" t="e">
        <f ca="1">IF(INDIRECT("M"&amp;ROW())&lt;&gt;INDIRECT("M"&amp;ROW()+1),リスト!$I$6,"")</f>
        <v>#NAME?</v>
      </c>
    </row>
    <row r="30" spans="1:16" x14ac:dyDescent="0.2">
      <c r="A30" s="169" t="e">
        <f ca="1">IF(C30="","",ROW(行数!A22))</f>
        <v>#NAME?</v>
      </c>
      <c r="B30" s="168" t="e">
        <f t="shared" ca="1" si="2"/>
        <v>#NAME?</v>
      </c>
      <c r="C30" s="90" t="e">
        <f ca="1">[0]!CSVVLookUP(ROW(行数!A22),配列!$C$4,集計記録,3,1)</f>
        <v>#NAME?</v>
      </c>
      <c r="D30" s="90" t="e">
        <f ca="1">[0]!CSVVLookUP(ROW(行数!B22),配列!$C$4,集計記録,4,1)</f>
        <v>#NAME?</v>
      </c>
      <c r="E30" s="118" t="e">
        <f t="shared" ca="1" si="3"/>
        <v>#NAME?</v>
      </c>
      <c r="F30" s="118" t="e">
        <f t="shared" ca="1" si="4"/>
        <v>#NAME?</v>
      </c>
      <c r="G30" s="103" t="e">
        <f t="shared" ca="1" si="5"/>
        <v>#NAME?</v>
      </c>
      <c r="H30" s="104" t="e">
        <f ca="1">IF(C30="","",MROUND([0]!CSVVLookUP(ROW(行数!A22),配列!$C$4,集計記録,8,1),"0:01"))</f>
        <v>#NAME?</v>
      </c>
      <c r="I30" s="104" t="e">
        <f t="shared" ca="1" si="6"/>
        <v>#NAME?</v>
      </c>
      <c r="J30" s="119" t="e">
        <f ca="1">IF(C30="","",MROUND([0]!CSVVLookUP(ROW(行数!A22),配列!$C$4,集計記録,7,1),"0:01"))</f>
        <v>#NAME?</v>
      </c>
      <c r="K30" s="92" t="e">
        <f ca="1">IF(C30="","",[0]!CSVVLookUP(ROW(行数!A22),配列!$C$4,集計記録,5,1))</f>
        <v>#NAME?</v>
      </c>
      <c r="L30" s="104" t="e">
        <f t="shared" ca="1" si="7"/>
        <v>#NAME?</v>
      </c>
      <c r="M30" s="120" t="e">
        <f t="shared" ca="1" si="8"/>
        <v>#NAME?</v>
      </c>
      <c r="N30" s="120" t="e">
        <f ca="1">IF([0]!CSVVLookUP(ROW(行数!A22),配列!$C$4,集計記録,6,1)=0,"",[0]!CSVVLookUP(ROW(行数!A22),配列!$C$4,集計記録,6,1))</f>
        <v>#NAME?</v>
      </c>
      <c r="O30" s="88" t="e">
        <f ca="1">IF(INDIRECT("M"&amp;ROW()-1)&lt;&gt;INDIRECT("M"&amp;ROW()),リスト!$I$5,"")</f>
        <v>#NAME?</v>
      </c>
      <c r="P30" s="88" t="e">
        <f ca="1">IF(INDIRECT("M"&amp;ROW())&lt;&gt;INDIRECT("M"&amp;ROW()+1),リスト!$I$6,"")</f>
        <v>#NAME?</v>
      </c>
    </row>
    <row r="31" spans="1:16" x14ac:dyDescent="0.2">
      <c r="A31" s="169" t="e">
        <f ca="1">IF(C31="","",ROW(行数!A23))</f>
        <v>#NAME?</v>
      </c>
      <c r="B31" s="168" t="e">
        <f t="shared" ca="1" si="2"/>
        <v>#NAME?</v>
      </c>
      <c r="C31" s="90" t="e">
        <f ca="1">[0]!CSVVLookUP(ROW(行数!A23),配列!$C$4,集計記録,3,1)</f>
        <v>#NAME?</v>
      </c>
      <c r="D31" s="90" t="e">
        <f ca="1">[0]!CSVVLookUP(ROW(行数!B23),配列!$C$4,集計記録,4,1)</f>
        <v>#NAME?</v>
      </c>
      <c r="E31" s="118" t="e">
        <f t="shared" ca="1" si="3"/>
        <v>#NAME?</v>
      </c>
      <c r="F31" s="118" t="e">
        <f t="shared" ca="1" si="4"/>
        <v>#NAME?</v>
      </c>
      <c r="G31" s="103" t="e">
        <f t="shared" ca="1" si="5"/>
        <v>#NAME?</v>
      </c>
      <c r="H31" s="104" t="e">
        <f ca="1">IF(C31="","",MROUND([0]!CSVVLookUP(ROW(行数!A23),配列!$C$4,集計記録,8,1),"0:01"))</f>
        <v>#NAME?</v>
      </c>
      <c r="I31" s="104" t="e">
        <f t="shared" ca="1" si="6"/>
        <v>#NAME?</v>
      </c>
      <c r="J31" s="119" t="e">
        <f ca="1">IF(C31="","",MROUND([0]!CSVVLookUP(ROW(行数!A23),配列!$C$4,集計記録,7,1),"0:01"))</f>
        <v>#NAME?</v>
      </c>
      <c r="K31" s="92" t="e">
        <f ca="1">IF(C31="","",[0]!CSVVLookUP(ROW(行数!A23),配列!$C$4,集計記録,5,1))</f>
        <v>#NAME?</v>
      </c>
      <c r="L31" s="104" t="e">
        <f t="shared" ca="1" si="7"/>
        <v>#NAME?</v>
      </c>
      <c r="M31" s="120" t="e">
        <f t="shared" ca="1" si="8"/>
        <v>#NAME?</v>
      </c>
      <c r="N31" s="120" t="e">
        <f ca="1">IF([0]!CSVVLookUP(ROW(行数!A23),配列!$C$4,集計記録,6,1)=0,"",[0]!CSVVLookUP(ROW(行数!A23),配列!$C$4,集計記録,6,1))</f>
        <v>#NAME?</v>
      </c>
      <c r="O31" s="88" t="e">
        <f ca="1">IF(INDIRECT("M"&amp;ROW()-1)&lt;&gt;INDIRECT("M"&amp;ROW()),リスト!$I$5,"")</f>
        <v>#NAME?</v>
      </c>
      <c r="P31" s="88" t="e">
        <f ca="1">IF(INDIRECT("M"&amp;ROW())&lt;&gt;INDIRECT("M"&amp;ROW()+1),リスト!$I$6,"")</f>
        <v>#NAME?</v>
      </c>
    </row>
    <row r="32" spans="1:16" x14ac:dyDescent="0.2">
      <c r="A32" s="169" t="e">
        <f ca="1">IF(C32="","",ROW(行数!A24))</f>
        <v>#NAME?</v>
      </c>
      <c r="B32" s="168" t="e">
        <f t="shared" ca="1" si="2"/>
        <v>#NAME?</v>
      </c>
      <c r="C32" s="90" t="e">
        <f ca="1">[0]!CSVVLookUP(ROW(行数!A24),配列!$C$4,集計記録,3,1)</f>
        <v>#NAME?</v>
      </c>
      <c r="D32" s="90" t="e">
        <f ca="1">[0]!CSVVLookUP(ROW(行数!B24),配列!$C$4,集計記録,4,1)</f>
        <v>#NAME?</v>
      </c>
      <c r="E32" s="118" t="e">
        <f t="shared" ca="1" si="3"/>
        <v>#NAME?</v>
      </c>
      <c r="F32" s="118" t="e">
        <f t="shared" ca="1" si="4"/>
        <v>#NAME?</v>
      </c>
      <c r="G32" s="103" t="e">
        <f t="shared" ca="1" si="5"/>
        <v>#NAME?</v>
      </c>
      <c r="H32" s="104" t="e">
        <f ca="1">IF(C32="","",MROUND([0]!CSVVLookUP(ROW(行数!A24),配列!$C$4,集計記録,8,1),"0:01"))</f>
        <v>#NAME?</v>
      </c>
      <c r="I32" s="104" t="e">
        <f t="shared" ca="1" si="6"/>
        <v>#NAME?</v>
      </c>
      <c r="J32" s="119" t="e">
        <f ca="1">IF(C32="","",MROUND([0]!CSVVLookUP(ROW(行数!A24),配列!$C$4,集計記録,7,1),"0:01"))</f>
        <v>#NAME?</v>
      </c>
      <c r="K32" s="92" t="e">
        <f ca="1">IF(C32="","",[0]!CSVVLookUP(ROW(行数!A24),配列!$C$4,集計記録,5,1))</f>
        <v>#NAME?</v>
      </c>
      <c r="L32" s="104" t="e">
        <f t="shared" ca="1" si="7"/>
        <v>#NAME?</v>
      </c>
      <c r="M32" s="120" t="e">
        <f t="shared" ca="1" si="8"/>
        <v>#NAME?</v>
      </c>
      <c r="N32" s="120" t="e">
        <f ca="1">IF([0]!CSVVLookUP(ROW(行数!A24),配列!$C$4,集計記録,6,1)=0,"",[0]!CSVVLookUP(ROW(行数!A24),配列!$C$4,集計記録,6,1))</f>
        <v>#NAME?</v>
      </c>
      <c r="O32" s="88" t="e">
        <f ca="1">IF(INDIRECT("M"&amp;ROW()-1)&lt;&gt;INDIRECT("M"&amp;ROW()),リスト!$I$5,"")</f>
        <v>#NAME?</v>
      </c>
      <c r="P32" s="88" t="e">
        <f ca="1">IF(INDIRECT("M"&amp;ROW())&lt;&gt;INDIRECT("M"&amp;ROW()+1),リスト!$I$6,"")</f>
        <v>#NAME?</v>
      </c>
    </row>
    <row r="33" spans="1:16" x14ac:dyDescent="0.2">
      <c r="A33" s="169" t="e">
        <f ca="1">IF(C33="","",ROW(行数!A25))</f>
        <v>#NAME?</v>
      </c>
      <c r="B33" s="168" t="e">
        <f t="shared" ca="1" si="2"/>
        <v>#NAME?</v>
      </c>
      <c r="C33" s="90" t="e">
        <f ca="1">[0]!CSVVLookUP(ROW(行数!A25),配列!$C$4,集計記録,3,1)</f>
        <v>#NAME?</v>
      </c>
      <c r="D33" s="90" t="e">
        <f ca="1">[0]!CSVVLookUP(ROW(行数!B25),配列!$C$4,集計記録,4,1)</f>
        <v>#NAME?</v>
      </c>
      <c r="E33" s="118" t="e">
        <f t="shared" ca="1" si="3"/>
        <v>#NAME?</v>
      </c>
      <c r="F33" s="118" t="e">
        <f t="shared" ca="1" si="4"/>
        <v>#NAME?</v>
      </c>
      <c r="G33" s="103" t="e">
        <f t="shared" ca="1" si="5"/>
        <v>#NAME?</v>
      </c>
      <c r="H33" s="104" t="e">
        <f ca="1">IF(C33="","",MROUND([0]!CSVVLookUP(ROW(行数!A25),配列!$C$4,集計記録,8,1),"0:01"))</f>
        <v>#NAME?</v>
      </c>
      <c r="I33" s="104" t="e">
        <f t="shared" ca="1" si="6"/>
        <v>#NAME?</v>
      </c>
      <c r="J33" s="119" t="e">
        <f ca="1">IF(C33="","",MROUND([0]!CSVVLookUP(ROW(行数!A25),配列!$C$4,集計記録,7,1),"0:01"))</f>
        <v>#NAME?</v>
      </c>
      <c r="K33" s="92" t="e">
        <f ca="1">IF(C33="","",[0]!CSVVLookUP(ROW(行数!A25),配列!$C$4,集計記録,5,1))</f>
        <v>#NAME?</v>
      </c>
      <c r="L33" s="104" t="e">
        <f t="shared" ca="1" si="7"/>
        <v>#NAME?</v>
      </c>
      <c r="M33" s="120" t="e">
        <f t="shared" ca="1" si="8"/>
        <v>#NAME?</v>
      </c>
      <c r="N33" s="120" t="e">
        <f ca="1">IF([0]!CSVVLookUP(ROW(行数!A25),配列!$C$4,集計記録,6,1)=0,"",[0]!CSVVLookUP(ROW(行数!A25),配列!$C$4,集計記録,6,1))</f>
        <v>#NAME?</v>
      </c>
      <c r="O33" s="88" t="e">
        <f ca="1">IF(INDIRECT("M"&amp;ROW()-1)&lt;&gt;INDIRECT("M"&amp;ROW()),リスト!$I$5,"")</f>
        <v>#NAME?</v>
      </c>
      <c r="P33" s="88" t="e">
        <f ca="1">IF(INDIRECT("M"&amp;ROW())&lt;&gt;INDIRECT("M"&amp;ROW()+1),リスト!$I$6,"")</f>
        <v>#NAME?</v>
      </c>
    </row>
    <row r="34" spans="1:16" x14ac:dyDescent="0.2">
      <c r="A34" s="169" t="e">
        <f ca="1">IF(C34="","",ROW(行数!A26))</f>
        <v>#NAME?</v>
      </c>
      <c r="B34" s="168" t="e">
        <f t="shared" ca="1" si="2"/>
        <v>#NAME?</v>
      </c>
      <c r="C34" s="90" t="e">
        <f ca="1">[0]!CSVVLookUP(ROW(行数!A26),配列!$C$4,集計記録,3,1)</f>
        <v>#NAME?</v>
      </c>
      <c r="D34" s="90" t="e">
        <f ca="1">[0]!CSVVLookUP(ROW(行数!B26),配列!$C$4,集計記録,4,1)</f>
        <v>#NAME?</v>
      </c>
      <c r="E34" s="118" t="e">
        <f t="shared" ca="1" si="3"/>
        <v>#NAME?</v>
      </c>
      <c r="F34" s="118" t="e">
        <f t="shared" ca="1" si="4"/>
        <v>#NAME?</v>
      </c>
      <c r="G34" s="103" t="e">
        <f t="shared" ca="1" si="5"/>
        <v>#NAME?</v>
      </c>
      <c r="H34" s="104" t="e">
        <f ca="1">IF(C34="","",MROUND([0]!CSVVLookUP(ROW(行数!A26),配列!$C$4,集計記録,8,1),"0:01"))</f>
        <v>#NAME?</v>
      </c>
      <c r="I34" s="104" t="e">
        <f t="shared" ca="1" si="6"/>
        <v>#NAME?</v>
      </c>
      <c r="J34" s="119" t="e">
        <f ca="1">IF(C34="","",MROUND([0]!CSVVLookUP(ROW(行数!A26),配列!$C$4,集計記録,7,1),"0:01"))</f>
        <v>#NAME?</v>
      </c>
      <c r="K34" s="92" t="e">
        <f ca="1">IF(C34="","",[0]!CSVVLookUP(ROW(行数!A26),配列!$C$4,集計記録,5,1))</f>
        <v>#NAME?</v>
      </c>
      <c r="L34" s="104" t="e">
        <f t="shared" ca="1" si="7"/>
        <v>#NAME?</v>
      </c>
      <c r="M34" s="120" t="e">
        <f t="shared" ca="1" si="8"/>
        <v>#NAME?</v>
      </c>
      <c r="N34" s="120" t="e">
        <f ca="1">IF([0]!CSVVLookUP(ROW(行数!A26),配列!$C$4,集計記録,6,1)=0,"",[0]!CSVVLookUP(ROW(行数!A26),配列!$C$4,集計記録,6,1))</f>
        <v>#NAME?</v>
      </c>
      <c r="O34" s="88" t="e">
        <f ca="1">IF(INDIRECT("M"&amp;ROW()-1)&lt;&gt;INDIRECT("M"&amp;ROW()),リスト!$I$5,"")</f>
        <v>#NAME?</v>
      </c>
      <c r="P34" s="88" t="e">
        <f ca="1">IF(INDIRECT("M"&amp;ROW())&lt;&gt;INDIRECT("M"&amp;ROW()+1),リスト!$I$6,"")</f>
        <v>#NAME?</v>
      </c>
    </row>
    <row r="35" spans="1:16" x14ac:dyDescent="0.2">
      <c r="A35" s="169" t="e">
        <f ca="1">IF(C35="","",ROW(行数!A27))</f>
        <v>#NAME?</v>
      </c>
      <c r="B35" s="168" t="e">
        <f t="shared" ca="1" si="2"/>
        <v>#NAME?</v>
      </c>
      <c r="C35" s="90" t="e">
        <f ca="1">[0]!CSVVLookUP(ROW(行数!A27),配列!$C$4,集計記録,3,1)</f>
        <v>#NAME?</v>
      </c>
      <c r="D35" s="90" t="e">
        <f ca="1">[0]!CSVVLookUP(ROW(行数!B27),配列!$C$4,集計記録,4,1)</f>
        <v>#NAME?</v>
      </c>
      <c r="E35" s="118" t="e">
        <f t="shared" ca="1" si="3"/>
        <v>#NAME?</v>
      </c>
      <c r="F35" s="118" t="e">
        <f t="shared" ca="1" si="4"/>
        <v>#NAME?</v>
      </c>
      <c r="G35" s="103" t="e">
        <f t="shared" ca="1" si="5"/>
        <v>#NAME?</v>
      </c>
      <c r="H35" s="104" t="e">
        <f ca="1">IF(C35="","",MROUND([0]!CSVVLookUP(ROW(行数!A27),配列!$C$4,集計記録,8,1),"0:01"))</f>
        <v>#NAME?</v>
      </c>
      <c r="I35" s="104" t="e">
        <f t="shared" ca="1" si="6"/>
        <v>#NAME?</v>
      </c>
      <c r="J35" s="119" t="e">
        <f ca="1">IF(C35="","",MROUND([0]!CSVVLookUP(ROW(行数!A27),配列!$C$4,集計記録,7,1),"0:01"))</f>
        <v>#NAME?</v>
      </c>
      <c r="K35" s="92" t="e">
        <f ca="1">IF(C35="","",[0]!CSVVLookUP(ROW(行数!A27),配列!$C$4,集計記録,5,1))</f>
        <v>#NAME?</v>
      </c>
      <c r="L35" s="104" t="e">
        <f t="shared" ca="1" si="7"/>
        <v>#NAME?</v>
      </c>
      <c r="M35" s="120" t="e">
        <f t="shared" ca="1" si="8"/>
        <v>#NAME?</v>
      </c>
      <c r="N35" s="120" t="e">
        <f ca="1">IF([0]!CSVVLookUP(ROW(行数!A27),配列!$C$4,集計記録,6,1)=0,"",[0]!CSVVLookUP(ROW(行数!A27),配列!$C$4,集計記録,6,1))</f>
        <v>#NAME?</v>
      </c>
      <c r="O35" s="88" t="e">
        <f ca="1">IF(INDIRECT("M"&amp;ROW()-1)&lt;&gt;INDIRECT("M"&amp;ROW()),リスト!$I$5,"")</f>
        <v>#NAME?</v>
      </c>
      <c r="P35" s="88" t="e">
        <f ca="1">IF(INDIRECT("M"&amp;ROW())&lt;&gt;INDIRECT("M"&amp;ROW()+1),リスト!$I$6,"")</f>
        <v>#NAME?</v>
      </c>
    </row>
    <row r="36" spans="1:16" x14ac:dyDescent="0.2">
      <c r="A36" s="169" t="e">
        <f ca="1">IF(C36="","",ROW(行数!A28))</f>
        <v>#NAME?</v>
      </c>
      <c r="B36" s="168" t="e">
        <f t="shared" ca="1" si="2"/>
        <v>#NAME?</v>
      </c>
      <c r="C36" s="90" t="e">
        <f ca="1">[0]!CSVVLookUP(ROW(行数!A28),配列!$C$4,集計記録,3,1)</f>
        <v>#NAME?</v>
      </c>
      <c r="D36" s="90" t="e">
        <f ca="1">[0]!CSVVLookUP(ROW(行数!B28),配列!$C$4,集計記録,4,1)</f>
        <v>#NAME?</v>
      </c>
      <c r="E36" s="118" t="e">
        <f t="shared" ca="1" si="3"/>
        <v>#NAME?</v>
      </c>
      <c r="F36" s="118" t="e">
        <f t="shared" ca="1" si="4"/>
        <v>#NAME?</v>
      </c>
      <c r="G36" s="103" t="e">
        <f t="shared" ca="1" si="5"/>
        <v>#NAME?</v>
      </c>
      <c r="H36" s="104" t="e">
        <f ca="1">IF(C36="","",MROUND([0]!CSVVLookUP(ROW(行数!A28),配列!$C$4,集計記録,8,1),"0:01"))</f>
        <v>#NAME?</v>
      </c>
      <c r="I36" s="104" t="e">
        <f t="shared" ca="1" si="6"/>
        <v>#NAME?</v>
      </c>
      <c r="J36" s="119" t="e">
        <f ca="1">IF(C36="","",MROUND([0]!CSVVLookUP(ROW(行数!A28),配列!$C$4,集計記録,7,1),"0:01"))</f>
        <v>#NAME?</v>
      </c>
      <c r="K36" s="92" t="e">
        <f ca="1">IF(C36="","",[0]!CSVVLookUP(ROW(行数!A28),配列!$C$4,集計記録,5,1))</f>
        <v>#NAME?</v>
      </c>
      <c r="L36" s="104" t="e">
        <f t="shared" ca="1" si="7"/>
        <v>#NAME?</v>
      </c>
      <c r="M36" s="120" t="e">
        <f t="shared" ca="1" si="8"/>
        <v>#NAME?</v>
      </c>
      <c r="N36" s="120" t="e">
        <f ca="1">IF([0]!CSVVLookUP(ROW(行数!A28),配列!$C$4,集計記録,6,1)=0,"",[0]!CSVVLookUP(ROW(行数!A28),配列!$C$4,集計記録,6,1))</f>
        <v>#NAME?</v>
      </c>
      <c r="O36" s="88" t="e">
        <f ca="1">IF(INDIRECT("M"&amp;ROW()-1)&lt;&gt;INDIRECT("M"&amp;ROW()),リスト!$I$5,"")</f>
        <v>#NAME?</v>
      </c>
      <c r="P36" s="88" t="e">
        <f ca="1">IF(INDIRECT("M"&amp;ROW())&lt;&gt;INDIRECT("M"&amp;ROW()+1),リスト!$I$6,"")</f>
        <v>#NAME?</v>
      </c>
    </row>
    <row r="37" spans="1:16" x14ac:dyDescent="0.2">
      <c r="A37" s="169" t="e">
        <f ca="1">IF(C37="","",ROW(行数!A29))</f>
        <v>#NAME?</v>
      </c>
      <c r="B37" s="168" t="e">
        <f t="shared" ca="1" si="2"/>
        <v>#NAME?</v>
      </c>
      <c r="C37" s="90" t="e">
        <f ca="1">[0]!CSVVLookUP(ROW(行数!A29),配列!$C$4,集計記録,3,1)</f>
        <v>#NAME?</v>
      </c>
      <c r="D37" s="90" t="e">
        <f ca="1">[0]!CSVVLookUP(ROW(行数!B29),配列!$C$4,集計記録,4,1)</f>
        <v>#NAME?</v>
      </c>
      <c r="E37" s="118" t="e">
        <f t="shared" ca="1" si="3"/>
        <v>#NAME?</v>
      </c>
      <c r="F37" s="118" t="e">
        <f t="shared" ca="1" si="4"/>
        <v>#NAME?</v>
      </c>
      <c r="G37" s="103" t="e">
        <f t="shared" ca="1" si="5"/>
        <v>#NAME?</v>
      </c>
      <c r="H37" s="104" t="e">
        <f ca="1">IF(C37="","",MROUND([0]!CSVVLookUP(ROW(行数!A29),配列!$C$4,集計記録,8,1),"0:01"))</f>
        <v>#NAME?</v>
      </c>
      <c r="I37" s="104" t="e">
        <f t="shared" ca="1" si="6"/>
        <v>#NAME?</v>
      </c>
      <c r="J37" s="119" t="e">
        <f ca="1">IF(C37="","",MROUND([0]!CSVVLookUP(ROW(行数!A29),配列!$C$4,集計記録,7,1),"0:01"))</f>
        <v>#NAME?</v>
      </c>
      <c r="K37" s="92" t="e">
        <f ca="1">IF(C37="","",[0]!CSVVLookUP(ROW(行数!A29),配列!$C$4,集計記録,5,1))</f>
        <v>#NAME?</v>
      </c>
      <c r="L37" s="104" t="e">
        <f t="shared" ca="1" si="7"/>
        <v>#NAME?</v>
      </c>
      <c r="M37" s="120" t="e">
        <f t="shared" ca="1" si="8"/>
        <v>#NAME?</v>
      </c>
      <c r="N37" s="120" t="e">
        <f ca="1">IF([0]!CSVVLookUP(ROW(行数!A29),配列!$C$4,集計記録,6,1)=0,"",[0]!CSVVLookUP(ROW(行数!A29),配列!$C$4,集計記録,6,1))</f>
        <v>#NAME?</v>
      </c>
      <c r="O37" s="88" t="e">
        <f ca="1">IF(INDIRECT("M"&amp;ROW()-1)&lt;&gt;INDIRECT("M"&amp;ROW()),リスト!$I$5,"")</f>
        <v>#NAME?</v>
      </c>
      <c r="P37" s="88" t="e">
        <f ca="1">IF(INDIRECT("M"&amp;ROW())&lt;&gt;INDIRECT("M"&amp;ROW()+1),リスト!$I$6,"")</f>
        <v>#NAME?</v>
      </c>
    </row>
    <row r="38" spans="1:16" x14ac:dyDescent="0.2">
      <c r="A38" s="169" t="e">
        <f ca="1">IF(C38="","",ROW(行数!A30))</f>
        <v>#NAME?</v>
      </c>
      <c r="B38" s="168" t="e">
        <f t="shared" ca="1" si="2"/>
        <v>#NAME?</v>
      </c>
      <c r="C38" s="90" t="e">
        <f ca="1">[0]!CSVVLookUP(ROW(行数!A30),配列!$C$4,集計記録,3,1)</f>
        <v>#NAME?</v>
      </c>
      <c r="D38" s="90" t="e">
        <f ca="1">[0]!CSVVLookUP(ROW(行数!B30),配列!$C$4,集計記録,4,1)</f>
        <v>#NAME?</v>
      </c>
      <c r="E38" s="118" t="e">
        <f t="shared" ca="1" si="3"/>
        <v>#NAME?</v>
      </c>
      <c r="F38" s="118" t="e">
        <f t="shared" ca="1" si="4"/>
        <v>#NAME?</v>
      </c>
      <c r="G38" s="103" t="e">
        <f t="shared" ca="1" si="5"/>
        <v>#NAME?</v>
      </c>
      <c r="H38" s="104" t="e">
        <f ca="1">IF(C38="","",MROUND([0]!CSVVLookUP(ROW(行数!A30),配列!$C$4,集計記録,8,1),"0:01"))</f>
        <v>#NAME?</v>
      </c>
      <c r="I38" s="104" t="e">
        <f t="shared" ca="1" si="6"/>
        <v>#NAME?</v>
      </c>
      <c r="J38" s="119" t="e">
        <f ca="1">IF(C38="","",MROUND([0]!CSVVLookUP(ROW(行数!A30),配列!$C$4,集計記録,7,1),"0:01"))</f>
        <v>#NAME?</v>
      </c>
      <c r="K38" s="92" t="e">
        <f ca="1">IF(C38="","",[0]!CSVVLookUP(ROW(行数!A30),配列!$C$4,集計記録,5,1))</f>
        <v>#NAME?</v>
      </c>
      <c r="L38" s="104" t="e">
        <f t="shared" ca="1" si="7"/>
        <v>#NAME?</v>
      </c>
      <c r="M38" s="120" t="e">
        <f t="shared" ca="1" si="8"/>
        <v>#NAME?</v>
      </c>
      <c r="N38" s="120" t="e">
        <f ca="1">IF([0]!CSVVLookUP(ROW(行数!A30),配列!$C$4,集計記録,6,1)=0,"",[0]!CSVVLookUP(ROW(行数!A30),配列!$C$4,集計記録,6,1))</f>
        <v>#NAME?</v>
      </c>
      <c r="O38" s="88" t="e">
        <f ca="1">IF(INDIRECT("M"&amp;ROW()-1)&lt;&gt;INDIRECT("M"&amp;ROW()),リスト!$I$5,"")</f>
        <v>#NAME?</v>
      </c>
      <c r="P38" s="88" t="e">
        <f ca="1">IF(INDIRECT("M"&amp;ROW())&lt;&gt;INDIRECT("M"&amp;ROW()+1),リスト!$I$6,"")</f>
        <v>#NAME?</v>
      </c>
    </row>
    <row r="39" spans="1:16" x14ac:dyDescent="0.2">
      <c r="A39" s="169" t="e">
        <f ca="1">IF(C39="","",ROW(行数!A31))</f>
        <v>#NAME?</v>
      </c>
      <c r="B39" s="168" t="e">
        <f t="shared" ca="1" si="2"/>
        <v>#NAME?</v>
      </c>
      <c r="C39" s="90" t="e">
        <f ca="1">[0]!CSVVLookUP(ROW(行数!A31),配列!$C$4,集計記録,3,1)</f>
        <v>#NAME?</v>
      </c>
      <c r="D39" s="90" t="e">
        <f ca="1">[0]!CSVVLookUP(ROW(行数!B31),配列!$C$4,集計記録,4,1)</f>
        <v>#NAME?</v>
      </c>
      <c r="E39" s="118" t="e">
        <f t="shared" ca="1" si="3"/>
        <v>#NAME?</v>
      </c>
      <c r="F39" s="118" t="e">
        <f t="shared" ca="1" si="4"/>
        <v>#NAME?</v>
      </c>
      <c r="G39" s="103" t="e">
        <f t="shared" ca="1" si="5"/>
        <v>#NAME?</v>
      </c>
      <c r="H39" s="104" t="e">
        <f ca="1">IF(C39="","",MROUND([0]!CSVVLookUP(ROW(行数!A31),配列!$C$4,集計記録,8,1),"0:01"))</f>
        <v>#NAME?</v>
      </c>
      <c r="I39" s="104" t="e">
        <f t="shared" ca="1" si="6"/>
        <v>#NAME?</v>
      </c>
      <c r="J39" s="119" t="e">
        <f ca="1">IF(C39="","",MROUND([0]!CSVVLookUP(ROW(行数!A31),配列!$C$4,集計記録,7,1),"0:01"))</f>
        <v>#NAME?</v>
      </c>
      <c r="K39" s="92" t="e">
        <f ca="1">IF(C39="","",[0]!CSVVLookUP(ROW(行数!A31),配列!$C$4,集計記録,5,1))</f>
        <v>#NAME?</v>
      </c>
      <c r="L39" s="104" t="e">
        <f t="shared" ca="1" si="7"/>
        <v>#NAME?</v>
      </c>
      <c r="M39" s="120" t="e">
        <f t="shared" ca="1" si="8"/>
        <v>#NAME?</v>
      </c>
      <c r="N39" s="120" t="e">
        <f ca="1">IF([0]!CSVVLookUP(ROW(行数!A31),配列!$C$4,集計記録,6,1)=0,"",[0]!CSVVLookUP(ROW(行数!A31),配列!$C$4,集計記録,6,1))</f>
        <v>#NAME?</v>
      </c>
      <c r="O39" s="88" t="e">
        <f ca="1">IF(INDIRECT("M"&amp;ROW()-1)&lt;&gt;INDIRECT("M"&amp;ROW()),リスト!$I$5,"")</f>
        <v>#NAME?</v>
      </c>
      <c r="P39" s="88" t="e">
        <f ca="1">IF(INDIRECT("M"&amp;ROW())&lt;&gt;INDIRECT("M"&amp;ROW()+1),リスト!$I$6,"")</f>
        <v>#NAME?</v>
      </c>
    </row>
    <row r="40" spans="1:16" x14ac:dyDescent="0.2">
      <c r="A40" s="169" t="e">
        <f ca="1">IF(C40="","",ROW(行数!A32))</f>
        <v>#NAME?</v>
      </c>
      <c r="B40" s="168" t="e">
        <f t="shared" ca="1" si="2"/>
        <v>#NAME?</v>
      </c>
      <c r="C40" s="90" t="e">
        <f ca="1">[0]!CSVVLookUP(ROW(行数!A32),配列!$C$4,集計記録,3,1)</f>
        <v>#NAME?</v>
      </c>
      <c r="D40" s="90" t="e">
        <f ca="1">[0]!CSVVLookUP(ROW(行数!B32),配列!$C$4,集計記録,4,1)</f>
        <v>#NAME?</v>
      </c>
      <c r="E40" s="118" t="e">
        <f t="shared" ca="1" si="3"/>
        <v>#NAME?</v>
      </c>
      <c r="F40" s="118" t="e">
        <f t="shared" ca="1" si="4"/>
        <v>#NAME?</v>
      </c>
      <c r="G40" s="103" t="e">
        <f t="shared" ca="1" si="5"/>
        <v>#NAME?</v>
      </c>
      <c r="H40" s="104" t="e">
        <f ca="1">IF(C40="","",MROUND([0]!CSVVLookUP(ROW(行数!A32),配列!$C$4,集計記録,8,1),"0:01"))</f>
        <v>#NAME?</v>
      </c>
      <c r="I40" s="104" t="e">
        <f t="shared" ca="1" si="6"/>
        <v>#NAME?</v>
      </c>
      <c r="J40" s="119" t="e">
        <f ca="1">IF(C40="","",MROUND([0]!CSVVLookUP(ROW(行数!A32),配列!$C$4,集計記録,7,1),"0:01"))</f>
        <v>#NAME?</v>
      </c>
      <c r="K40" s="92" t="e">
        <f ca="1">IF(C40="","",[0]!CSVVLookUP(ROW(行数!A32),配列!$C$4,集計記録,5,1))</f>
        <v>#NAME?</v>
      </c>
      <c r="L40" s="104" t="e">
        <f t="shared" ca="1" si="7"/>
        <v>#NAME?</v>
      </c>
      <c r="M40" s="120" t="e">
        <f t="shared" ca="1" si="8"/>
        <v>#NAME?</v>
      </c>
      <c r="N40" s="120" t="e">
        <f ca="1">IF([0]!CSVVLookUP(ROW(行数!A32),配列!$C$4,集計記録,6,1)=0,"",[0]!CSVVLookUP(ROW(行数!A32),配列!$C$4,集計記録,6,1))</f>
        <v>#NAME?</v>
      </c>
      <c r="O40" s="88" t="e">
        <f ca="1">IF(INDIRECT("M"&amp;ROW()-1)&lt;&gt;INDIRECT("M"&amp;ROW()),リスト!$I$5,"")</f>
        <v>#NAME?</v>
      </c>
      <c r="P40" s="88" t="e">
        <f ca="1">IF(INDIRECT("M"&amp;ROW())&lt;&gt;INDIRECT("M"&amp;ROW()+1),リスト!$I$6,"")</f>
        <v>#NAME?</v>
      </c>
    </row>
    <row r="41" spans="1:16" x14ac:dyDescent="0.2">
      <c r="A41" s="169" t="e">
        <f ca="1">IF(C41="","",ROW(行数!A33))</f>
        <v>#NAME?</v>
      </c>
      <c r="B41" s="168" t="e">
        <f t="shared" ca="1" si="2"/>
        <v>#NAME?</v>
      </c>
      <c r="C41" s="90" t="e">
        <f ca="1">[0]!CSVVLookUP(ROW(行数!A33),配列!$C$4,集計記録,3,1)</f>
        <v>#NAME?</v>
      </c>
      <c r="D41" s="90" t="e">
        <f ca="1">[0]!CSVVLookUP(ROW(行数!B33),配列!$C$4,集計記録,4,1)</f>
        <v>#NAME?</v>
      </c>
      <c r="E41" s="118" t="e">
        <f t="shared" ca="1" si="3"/>
        <v>#NAME?</v>
      </c>
      <c r="F41" s="118" t="e">
        <f t="shared" ca="1" si="4"/>
        <v>#NAME?</v>
      </c>
      <c r="G41" s="103" t="e">
        <f t="shared" ca="1" si="5"/>
        <v>#NAME?</v>
      </c>
      <c r="H41" s="104" t="e">
        <f ca="1">IF(C41="","",MROUND([0]!CSVVLookUP(ROW(行数!A33),配列!$C$4,集計記録,8,1),"0:01"))</f>
        <v>#NAME?</v>
      </c>
      <c r="I41" s="104" t="e">
        <f t="shared" ca="1" si="6"/>
        <v>#NAME?</v>
      </c>
      <c r="J41" s="119" t="e">
        <f ca="1">IF(C41="","",MROUND([0]!CSVVLookUP(ROW(行数!A33),配列!$C$4,集計記録,7,1),"0:01"))</f>
        <v>#NAME?</v>
      </c>
      <c r="K41" s="92" t="e">
        <f ca="1">IF(C41="","",[0]!CSVVLookUP(ROW(行数!A33),配列!$C$4,集計記録,5,1))</f>
        <v>#NAME?</v>
      </c>
      <c r="L41" s="104" t="e">
        <f t="shared" ca="1" si="7"/>
        <v>#NAME?</v>
      </c>
      <c r="M41" s="120" t="e">
        <f t="shared" ca="1" si="8"/>
        <v>#NAME?</v>
      </c>
      <c r="N41" s="120" t="e">
        <f ca="1">IF([0]!CSVVLookUP(ROW(行数!A33),配列!$C$4,集計記録,6,1)=0,"",[0]!CSVVLookUP(ROW(行数!A33),配列!$C$4,集計記録,6,1))</f>
        <v>#NAME?</v>
      </c>
      <c r="O41" s="88" t="e">
        <f ca="1">IF(INDIRECT("M"&amp;ROW()-1)&lt;&gt;INDIRECT("M"&amp;ROW()),リスト!$I$5,"")</f>
        <v>#NAME?</v>
      </c>
      <c r="P41" s="88" t="e">
        <f ca="1">IF(INDIRECT("M"&amp;ROW())&lt;&gt;INDIRECT("M"&amp;ROW()+1),リスト!$I$6,"")</f>
        <v>#NAME?</v>
      </c>
    </row>
    <row r="42" spans="1:16" x14ac:dyDescent="0.2">
      <c r="A42" s="169" t="e">
        <f ca="1">IF(C42="","",ROW(行数!A34))</f>
        <v>#NAME?</v>
      </c>
      <c r="B42" s="168" t="e">
        <f t="shared" ca="1" si="2"/>
        <v>#NAME?</v>
      </c>
      <c r="C42" s="90" t="e">
        <f ca="1">[0]!CSVVLookUP(ROW(行数!A34),配列!$C$4,集計記録,3,1)</f>
        <v>#NAME?</v>
      </c>
      <c r="D42" s="90" t="e">
        <f ca="1">[0]!CSVVLookUP(ROW(行数!B34),配列!$C$4,集計記録,4,1)</f>
        <v>#NAME?</v>
      </c>
      <c r="E42" s="118" t="e">
        <f t="shared" ca="1" si="3"/>
        <v>#NAME?</v>
      </c>
      <c r="F42" s="118" t="e">
        <f t="shared" ca="1" si="4"/>
        <v>#NAME?</v>
      </c>
      <c r="G42" s="103" t="e">
        <f t="shared" ca="1" si="5"/>
        <v>#NAME?</v>
      </c>
      <c r="H42" s="104" t="e">
        <f ca="1">IF(C42="","",MROUND([0]!CSVVLookUP(ROW(行数!A34),配列!$C$4,集計記録,8,1),"0:01"))</f>
        <v>#NAME?</v>
      </c>
      <c r="I42" s="104" t="e">
        <f t="shared" ca="1" si="6"/>
        <v>#NAME?</v>
      </c>
      <c r="J42" s="119" t="e">
        <f ca="1">IF(C42="","",MROUND([0]!CSVVLookUP(ROW(行数!A34),配列!$C$4,集計記録,7,1),"0:01"))</f>
        <v>#NAME?</v>
      </c>
      <c r="K42" s="92" t="e">
        <f ca="1">IF(C42="","",[0]!CSVVLookUP(ROW(行数!A34),配列!$C$4,集計記録,5,1))</f>
        <v>#NAME?</v>
      </c>
      <c r="L42" s="104" t="e">
        <f t="shared" ca="1" si="7"/>
        <v>#NAME?</v>
      </c>
      <c r="M42" s="120" t="e">
        <f t="shared" ca="1" si="8"/>
        <v>#NAME?</v>
      </c>
      <c r="N42" s="120" t="e">
        <f ca="1">IF([0]!CSVVLookUP(ROW(行数!A34),配列!$C$4,集計記録,6,1)=0,"",[0]!CSVVLookUP(ROW(行数!A34),配列!$C$4,集計記録,6,1))</f>
        <v>#NAME?</v>
      </c>
      <c r="O42" s="88" t="e">
        <f ca="1">IF(INDIRECT("M"&amp;ROW()-1)&lt;&gt;INDIRECT("M"&amp;ROW()),リスト!$I$5,"")</f>
        <v>#NAME?</v>
      </c>
      <c r="P42" s="88" t="e">
        <f ca="1">IF(INDIRECT("M"&amp;ROW())&lt;&gt;INDIRECT("M"&amp;ROW()+1),リスト!$I$6,"")</f>
        <v>#NAME?</v>
      </c>
    </row>
    <row r="43" spans="1:16" x14ac:dyDescent="0.2">
      <c r="A43" s="169" t="e">
        <f ca="1">IF(C43="","",ROW(行数!A35))</f>
        <v>#NAME?</v>
      </c>
      <c r="B43" s="168" t="e">
        <f t="shared" ca="1" si="2"/>
        <v>#NAME?</v>
      </c>
      <c r="C43" s="90" t="e">
        <f ca="1">[0]!CSVVLookUP(ROW(行数!A35),配列!$C$4,集計記録,3,1)</f>
        <v>#NAME?</v>
      </c>
      <c r="D43" s="90" t="e">
        <f ca="1">[0]!CSVVLookUP(ROW(行数!B35),配列!$C$4,集計記録,4,1)</f>
        <v>#NAME?</v>
      </c>
      <c r="E43" s="118" t="e">
        <f t="shared" ca="1" si="3"/>
        <v>#NAME?</v>
      </c>
      <c r="F43" s="118" t="e">
        <f t="shared" ca="1" si="4"/>
        <v>#NAME?</v>
      </c>
      <c r="G43" s="103" t="e">
        <f t="shared" ca="1" si="5"/>
        <v>#NAME?</v>
      </c>
      <c r="H43" s="104" t="e">
        <f ca="1">IF(C43="","",MROUND([0]!CSVVLookUP(ROW(行数!A35),配列!$C$4,集計記録,8,1),"0:01"))</f>
        <v>#NAME?</v>
      </c>
      <c r="I43" s="104" t="e">
        <f t="shared" ca="1" si="6"/>
        <v>#NAME?</v>
      </c>
      <c r="J43" s="119" t="e">
        <f ca="1">IF(C43="","",MROUND([0]!CSVVLookUP(ROW(行数!A35),配列!$C$4,集計記録,7,1),"0:01"))</f>
        <v>#NAME?</v>
      </c>
      <c r="K43" s="92" t="e">
        <f ca="1">IF(C43="","",[0]!CSVVLookUP(ROW(行数!A35),配列!$C$4,集計記録,5,1))</f>
        <v>#NAME?</v>
      </c>
      <c r="L43" s="104" t="e">
        <f t="shared" ca="1" si="7"/>
        <v>#NAME?</v>
      </c>
      <c r="M43" s="120" t="e">
        <f t="shared" ca="1" si="8"/>
        <v>#NAME?</v>
      </c>
      <c r="N43" s="120" t="e">
        <f ca="1">IF([0]!CSVVLookUP(ROW(行数!A35),配列!$C$4,集計記録,6,1)=0,"",[0]!CSVVLookUP(ROW(行数!A35),配列!$C$4,集計記録,6,1))</f>
        <v>#NAME?</v>
      </c>
      <c r="O43" s="88" t="e">
        <f ca="1">IF(INDIRECT("M"&amp;ROW()-1)&lt;&gt;INDIRECT("M"&amp;ROW()),リスト!$I$5,"")</f>
        <v>#NAME?</v>
      </c>
      <c r="P43" s="88" t="e">
        <f ca="1">IF(INDIRECT("M"&amp;ROW())&lt;&gt;INDIRECT("M"&amp;ROW()+1),リスト!$I$6,"")</f>
        <v>#NAME?</v>
      </c>
    </row>
    <row r="44" spans="1:16" x14ac:dyDescent="0.2">
      <c r="A44" s="169" t="e">
        <f ca="1">IF(C44="","",ROW(行数!A36))</f>
        <v>#NAME?</v>
      </c>
      <c r="B44" s="168" t="e">
        <f t="shared" ca="1" si="2"/>
        <v>#NAME?</v>
      </c>
      <c r="C44" s="90" t="e">
        <f ca="1">[0]!CSVVLookUP(ROW(行数!A36),配列!$C$4,集計記録,3,1)</f>
        <v>#NAME?</v>
      </c>
      <c r="D44" s="90" t="e">
        <f ca="1">[0]!CSVVLookUP(ROW(行数!B36),配列!$C$4,集計記録,4,1)</f>
        <v>#NAME?</v>
      </c>
      <c r="E44" s="118" t="e">
        <f t="shared" ca="1" si="3"/>
        <v>#NAME?</v>
      </c>
      <c r="F44" s="118" t="e">
        <f t="shared" ca="1" si="4"/>
        <v>#NAME?</v>
      </c>
      <c r="G44" s="103" t="e">
        <f t="shared" ca="1" si="5"/>
        <v>#NAME?</v>
      </c>
      <c r="H44" s="104" t="e">
        <f ca="1">IF(C44="","",MROUND([0]!CSVVLookUP(ROW(行数!A36),配列!$C$4,集計記録,8,1),"0:01"))</f>
        <v>#NAME?</v>
      </c>
      <c r="I44" s="104" t="e">
        <f t="shared" ca="1" si="6"/>
        <v>#NAME?</v>
      </c>
      <c r="J44" s="119" t="e">
        <f ca="1">IF(C44="","",MROUND([0]!CSVVLookUP(ROW(行数!A36),配列!$C$4,集計記録,7,1),"0:01"))</f>
        <v>#NAME?</v>
      </c>
      <c r="K44" s="92" t="e">
        <f ca="1">IF(C44="","",[0]!CSVVLookUP(ROW(行数!A36),配列!$C$4,集計記録,5,1))</f>
        <v>#NAME?</v>
      </c>
      <c r="L44" s="104" t="e">
        <f t="shared" ca="1" si="7"/>
        <v>#NAME?</v>
      </c>
      <c r="M44" s="120" t="e">
        <f t="shared" ca="1" si="8"/>
        <v>#NAME?</v>
      </c>
      <c r="N44" s="120" t="e">
        <f ca="1">IF([0]!CSVVLookUP(ROW(行数!A36),配列!$C$4,集計記録,6,1)=0,"",[0]!CSVVLookUP(ROW(行数!A36),配列!$C$4,集計記録,6,1))</f>
        <v>#NAME?</v>
      </c>
      <c r="O44" s="88" t="e">
        <f ca="1">IF(INDIRECT("M"&amp;ROW()-1)&lt;&gt;INDIRECT("M"&amp;ROW()),リスト!$I$5,"")</f>
        <v>#NAME?</v>
      </c>
      <c r="P44" s="88" t="e">
        <f ca="1">IF(INDIRECT("M"&amp;ROW())&lt;&gt;INDIRECT("M"&amp;ROW()+1),リスト!$I$6,"")</f>
        <v>#NAME?</v>
      </c>
    </row>
    <row r="45" spans="1:16" x14ac:dyDescent="0.2">
      <c r="A45" s="169" t="e">
        <f ca="1">IF(C45="","",ROW(行数!A37))</f>
        <v>#NAME?</v>
      </c>
      <c r="B45" s="168" t="e">
        <f t="shared" ca="1" si="2"/>
        <v>#NAME?</v>
      </c>
      <c r="C45" s="90" t="e">
        <f ca="1">[0]!CSVVLookUP(ROW(行数!A37),配列!$C$4,集計記録,3,1)</f>
        <v>#NAME?</v>
      </c>
      <c r="D45" s="90" t="e">
        <f ca="1">[0]!CSVVLookUP(ROW(行数!B37),配列!$C$4,集計記録,4,1)</f>
        <v>#NAME?</v>
      </c>
      <c r="E45" s="118" t="e">
        <f t="shared" ca="1" si="3"/>
        <v>#NAME?</v>
      </c>
      <c r="F45" s="118" t="e">
        <f t="shared" ca="1" si="4"/>
        <v>#NAME?</v>
      </c>
      <c r="G45" s="103" t="e">
        <f t="shared" ca="1" si="5"/>
        <v>#NAME?</v>
      </c>
      <c r="H45" s="104" t="e">
        <f ca="1">IF(C45="","",MROUND([0]!CSVVLookUP(ROW(行数!A37),配列!$C$4,集計記録,8,1),"0:01"))</f>
        <v>#NAME?</v>
      </c>
      <c r="I45" s="104" t="e">
        <f t="shared" ca="1" si="6"/>
        <v>#NAME?</v>
      </c>
      <c r="J45" s="119" t="e">
        <f ca="1">IF(C45="","",MROUND([0]!CSVVLookUP(ROW(行数!A37),配列!$C$4,集計記録,7,1),"0:01"))</f>
        <v>#NAME?</v>
      </c>
      <c r="K45" s="92" t="e">
        <f ca="1">IF(C45="","",[0]!CSVVLookUP(ROW(行数!A37),配列!$C$4,集計記録,5,1))</f>
        <v>#NAME?</v>
      </c>
      <c r="L45" s="104" t="e">
        <f t="shared" ca="1" si="7"/>
        <v>#NAME?</v>
      </c>
      <c r="M45" s="120" t="e">
        <f t="shared" ca="1" si="8"/>
        <v>#NAME?</v>
      </c>
      <c r="N45" s="120" t="e">
        <f ca="1">IF([0]!CSVVLookUP(ROW(行数!A37),配列!$C$4,集計記録,6,1)=0,"",[0]!CSVVLookUP(ROW(行数!A37),配列!$C$4,集計記録,6,1))</f>
        <v>#NAME?</v>
      </c>
      <c r="O45" s="88" t="e">
        <f ca="1">IF(INDIRECT("M"&amp;ROW()-1)&lt;&gt;INDIRECT("M"&amp;ROW()),リスト!$I$5,"")</f>
        <v>#NAME?</v>
      </c>
      <c r="P45" s="88" t="e">
        <f ca="1">IF(INDIRECT("M"&amp;ROW())&lt;&gt;INDIRECT("M"&amp;ROW()+1),リスト!$I$6,"")</f>
        <v>#NAME?</v>
      </c>
    </row>
    <row r="46" spans="1:16" x14ac:dyDescent="0.2">
      <c r="A46" s="169" t="e">
        <f ca="1">IF(C46="","",ROW(行数!A38))</f>
        <v>#NAME?</v>
      </c>
      <c r="B46" s="168" t="e">
        <f t="shared" ca="1" si="2"/>
        <v>#NAME?</v>
      </c>
      <c r="C46" s="90" t="e">
        <f ca="1">[0]!CSVVLookUP(ROW(行数!A38),配列!$C$4,集計記録,3,1)</f>
        <v>#NAME?</v>
      </c>
      <c r="D46" s="90" t="e">
        <f ca="1">[0]!CSVVLookUP(ROW(行数!B38),配列!$C$4,集計記録,4,1)</f>
        <v>#NAME?</v>
      </c>
      <c r="E46" s="118" t="e">
        <f t="shared" ca="1" si="3"/>
        <v>#NAME?</v>
      </c>
      <c r="F46" s="118" t="e">
        <f t="shared" ca="1" si="4"/>
        <v>#NAME?</v>
      </c>
      <c r="G46" s="103" t="e">
        <f t="shared" ca="1" si="5"/>
        <v>#NAME?</v>
      </c>
      <c r="H46" s="104" t="e">
        <f ca="1">IF(C46="","",MROUND([0]!CSVVLookUP(ROW(行数!A38),配列!$C$4,集計記録,8,1),"0:01"))</f>
        <v>#NAME?</v>
      </c>
      <c r="I46" s="104" t="e">
        <f t="shared" ca="1" si="6"/>
        <v>#NAME?</v>
      </c>
      <c r="J46" s="119" t="e">
        <f ca="1">IF(C46="","",MROUND([0]!CSVVLookUP(ROW(行数!A38),配列!$C$4,集計記録,7,1),"0:01"))</f>
        <v>#NAME?</v>
      </c>
      <c r="K46" s="92" t="e">
        <f ca="1">IF(C46="","",[0]!CSVVLookUP(ROW(行数!A38),配列!$C$4,集計記録,5,1))</f>
        <v>#NAME?</v>
      </c>
      <c r="L46" s="104" t="e">
        <f t="shared" ca="1" si="7"/>
        <v>#NAME?</v>
      </c>
      <c r="M46" s="120" t="e">
        <f t="shared" ca="1" si="8"/>
        <v>#NAME?</v>
      </c>
      <c r="N46" s="120" t="e">
        <f ca="1">IF([0]!CSVVLookUP(ROW(行数!A38),配列!$C$4,集計記録,6,1)=0,"",[0]!CSVVLookUP(ROW(行数!A38),配列!$C$4,集計記録,6,1))</f>
        <v>#NAME?</v>
      </c>
      <c r="O46" s="88" t="e">
        <f ca="1">IF(INDIRECT("M"&amp;ROW()-1)&lt;&gt;INDIRECT("M"&amp;ROW()),リスト!$I$5,"")</f>
        <v>#NAME?</v>
      </c>
      <c r="P46" s="88" t="e">
        <f ca="1">IF(INDIRECT("M"&amp;ROW())&lt;&gt;INDIRECT("M"&amp;ROW()+1),リスト!$I$6,"")</f>
        <v>#NAME?</v>
      </c>
    </row>
    <row r="47" spans="1:16" x14ac:dyDescent="0.2">
      <c r="A47" s="169" t="e">
        <f ca="1">IF(C47="","",ROW(行数!A39))</f>
        <v>#NAME?</v>
      </c>
      <c r="B47" s="168" t="e">
        <f t="shared" ca="1" si="2"/>
        <v>#NAME?</v>
      </c>
      <c r="C47" s="90" t="e">
        <f ca="1">[0]!CSVVLookUP(ROW(行数!A39),配列!$C$4,集計記録,3,1)</f>
        <v>#NAME?</v>
      </c>
      <c r="D47" s="90" t="e">
        <f ca="1">[0]!CSVVLookUP(ROW(行数!B39),配列!$C$4,集計記録,4,1)</f>
        <v>#NAME?</v>
      </c>
      <c r="E47" s="118" t="e">
        <f t="shared" ca="1" si="3"/>
        <v>#NAME?</v>
      </c>
      <c r="F47" s="118" t="e">
        <f t="shared" ca="1" si="4"/>
        <v>#NAME?</v>
      </c>
      <c r="G47" s="103" t="e">
        <f t="shared" ca="1" si="5"/>
        <v>#NAME?</v>
      </c>
      <c r="H47" s="104" t="e">
        <f ca="1">IF(C47="","",MROUND([0]!CSVVLookUP(ROW(行数!A39),配列!$C$4,集計記録,8,1),"0:01"))</f>
        <v>#NAME?</v>
      </c>
      <c r="I47" s="104" t="e">
        <f t="shared" ca="1" si="6"/>
        <v>#NAME?</v>
      </c>
      <c r="J47" s="119" t="e">
        <f ca="1">IF(C47="","",MROUND([0]!CSVVLookUP(ROW(行数!A39),配列!$C$4,集計記録,7,1),"0:01"))</f>
        <v>#NAME?</v>
      </c>
      <c r="K47" s="92" t="e">
        <f ca="1">IF(C47="","",[0]!CSVVLookUP(ROW(行数!A39),配列!$C$4,集計記録,5,1))</f>
        <v>#NAME?</v>
      </c>
      <c r="L47" s="104" t="e">
        <f t="shared" ca="1" si="7"/>
        <v>#NAME?</v>
      </c>
      <c r="M47" s="120" t="e">
        <f t="shared" ca="1" si="8"/>
        <v>#NAME?</v>
      </c>
      <c r="N47" s="120" t="e">
        <f ca="1">IF([0]!CSVVLookUP(ROW(行数!A39),配列!$C$4,集計記録,6,1)=0,"",[0]!CSVVLookUP(ROW(行数!A39),配列!$C$4,集計記録,6,1))</f>
        <v>#NAME?</v>
      </c>
      <c r="O47" s="88" t="e">
        <f ca="1">IF(INDIRECT("M"&amp;ROW()-1)&lt;&gt;INDIRECT("M"&amp;ROW()),リスト!$I$5,"")</f>
        <v>#NAME?</v>
      </c>
      <c r="P47" s="88" t="e">
        <f ca="1">IF(INDIRECT("M"&amp;ROW())&lt;&gt;INDIRECT("M"&amp;ROW()+1),リスト!$I$6,"")</f>
        <v>#NAME?</v>
      </c>
    </row>
    <row r="48" spans="1:16" x14ac:dyDescent="0.2">
      <c r="A48" s="169" t="e">
        <f ca="1">IF(C48="","",ROW(行数!A40))</f>
        <v>#NAME?</v>
      </c>
      <c r="B48" s="168" t="e">
        <f t="shared" ca="1" si="2"/>
        <v>#NAME?</v>
      </c>
      <c r="C48" s="90" t="e">
        <f ca="1">[0]!CSVVLookUP(ROW(行数!A40),配列!$C$4,集計記録,3,1)</f>
        <v>#NAME?</v>
      </c>
      <c r="D48" s="90" t="e">
        <f ca="1">[0]!CSVVLookUP(ROW(行数!B40),配列!$C$4,集計記録,4,1)</f>
        <v>#NAME?</v>
      </c>
      <c r="E48" s="118" t="e">
        <f t="shared" ca="1" si="3"/>
        <v>#NAME?</v>
      </c>
      <c r="F48" s="118" t="e">
        <f t="shared" ca="1" si="4"/>
        <v>#NAME?</v>
      </c>
      <c r="G48" s="103" t="e">
        <f t="shared" ca="1" si="5"/>
        <v>#NAME?</v>
      </c>
      <c r="H48" s="104" t="e">
        <f ca="1">IF(C48="","",MROUND([0]!CSVVLookUP(ROW(行数!A40),配列!$C$4,集計記録,8,1),"0:01"))</f>
        <v>#NAME?</v>
      </c>
      <c r="I48" s="104" t="e">
        <f t="shared" ca="1" si="6"/>
        <v>#NAME?</v>
      </c>
      <c r="J48" s="119" t="e">
        <f ca="1">IF(C48="","",MROUND([0]!CSVVLookUP(ROW(行数!A40),配列!$C$4,集計記録,7,1),"0:01"))</f>
        <v>#NAME?</v>
      </c>
      <c r="K48" s="92" t="e">
        <f ca="1">IF(C48="","",[0]!CSVVLookUP(ROW(行数!A40),配列!$C$4,集計記録,5,1))</f>
        <v>#NAME?</v>
      </c>
      <c r="L48" s="104" t="e">
        <f t="shared" ca="1" si="7"/>
        <v>#NAME?</v>
      </c>
      <c r="M48" s="120" t="e">
        <f t="shared" ca="1" si="8"/>
        <v>#NAME?</v>
      </c>
      <c r="N48" s="120" t="e">
        <f ca="1">IF([0]!CSVVLookUP(ROW(行数!A40),配列!$C$4,集計記録,6,1)=0,"",[0]!CSVVLookUP(ROW(行数!A40),配列!$C$4,集計記録,6,1))</f>
        <v>#NAME?</v>
      </c>
      <c r="O48" s="88" t="e">
        <f ca="1">IF(INDIRECT("M"&amp;ROW()-1)&lt;&gt;INDIRECT("M"&amp;ROW()),リスト!$I$5,"")</f>
        <v>#NAME?</v>
      </c>
      <c r="P48" s="88" t="e">
        <f ca="1">IF(INDIRECT("M"&amp;ROW())&lt;&gt;INDIRECT("M"&amp;ROW()+1),リスト!$I$6,"")</f>
        <v>#NAME?</v>
      </c>
    </row>
    <row r="49" spans="1:16" x14ac:dyDescent="0.2">
      <c r="A49" s="169" t="e">
        <f ca="1">IF(C49="","",ROW(行数!A41))</f>
        <v>#NAME?</v>
      </c>
      <c r="B49" s="168" t="e">
        <f t="shared" ca="1" si="2"/>
        <v>#NAME?</v>
      </c>
      <c r="C49" s="90" t="e">
        <f ca="1">[0]!CSVVLookUP(ROW(行数!A41),配列!$C$4,集計記録,3,1)</f>
        <v>#NAME?</v>
      </c>
      <c r="D49" s="90" t="e">
        <f ca="1">[0]!CSVVLookUP(ROW(行数!B41),配列!$C$4,集計記録,4,1)</f>
        <v>#NAME?</v>
      </c>
      <c r="E49" s="118" t="e">
        <f t="shared" ca="1" si="3"/>
        <v>#NAME?</v>
      </c>
      <c r="F49" s="118" t="e">
        <f t="shared" ca="1" si="4"/>
        <v>#NAME?</v>
      </c>
      <c r="G49" s="103" t="e">
        <f t="shared" ca="1" si="5"/>
        <v>#NAME?</v>
      </c>
      <c r="H49" s="104" t="e">
        <f ca="1">IF(C49="","",MROUND([0]!CSVVLookUP(ROW(行数!A41),配列!$C$4,集計記録,8,1),"0:01"))</f>
        <v>#NAME?</v>
      </c>
      <c r="I49" s="104" t="e">
        <f t="shared" ca="1" si="6"/>
        <v>#NAME?</v>
      </c>
      <c r="J49" s="119" t="e">
        <f ca="1">IF(C49="","",MROUND([0]!CSVVLookUP(ROW(行数!A41),配列!$C$4,集計記録,7,1),"0:01"))</f>
        <v>#NAME?</v>
      </c>
      <c r="K49" s="92" t="e">
        <f ca="1">IF(C49="","",[0]!CSVVLookUP(ROW(行数!A41),配列!$C$4,集計記録,5,1))</f>
        <v>#NAME?</v>
      </c>
      <c r="L49" s="104" t="e">
        <f t="shared" ca="1" si="7"/>
        <v>#NAME?</v>
      </c>
      <c r="M49" s="120" t="e">
        <f t="shared" ca="1" si="8"/>
        <v>#NAME?</v>
      </c>
      <c r="N49" s="120" t="e">
        <f ca="1">IF([0]!CSVVLookUP(ROW(行数!A41),配列!$C$4,集計記録,6,1)=0,"",[0]!CSVVLookUP(ROW(行数!A41),配列!$C$4,集計記録,6,1))</f>
        <v>#NAME?</v>
      </c>
      <c r="O49" s="88" t="e">
        <f ca="1">IF(INDIRECT("M"&amp;ROW()-1)&lt;&gt;INDIRECT("M"&amp;ROW()),リスト!$I$5,"")</f>
        <v>#NAME?</v>
      </c>
      <c r="P49" s="88" t="e">
        <f ca="1">IF(INDIRECT("M"&amp;ROW())&lt;&gt;INDIRECT("M"&amp;ROW()+1),リスト!$I$6,"")</f>
        <v>#NAME?</v>
      </c>
    </row>
    <row r="50" spans="1:16" x14ac:dyDescent="0.2">
      <c r="A50" s="169" t="e">
        <f ca="1">IF(C50="","",ROW(行数!A42))</f>
        <v>#NAME?</v>
      </c>
      <c r="B50" s="168" t="e">
        <f t="shared" ca="1" si="2"/>
        <v>#NAME?</v>
      </c>
      <c r="C50" s="90" t="e">
        <f ca="1">[0]!CSVVLookUP(ROW(行数!A42),配列!$C$4,集計記録,3,1)</f>
        <v>#NAME?</v>
      </c>
      <c r="D50" s="90" t="e">
        <f ca="1">[0]!CSVVLookUP(ROW(行数!B42),配列!$C$4,集計記録,4,1)</f>
        <v>#NAME?</v>
      </c>
      <c r="E50" s="118" t="e">
        <f t="shared" ca="1" si="3"/>
        <v>#NAME?</v>
      </c>
      <c r="F50" s="118" t="e">
        <f t="shared" ca="1" si="4"/>
        <v>#NAME?</v>
      </c>
      <c r="G50" s="103" t="e">
        <f t="shared" ca="1" si="5"/>
        <v>#NAME?</v>
      </c>
      <c r="H50" s="104" t="e">
        <f ca="1">IF(C50="","",MROUND([0]!CSVVLookUP(ROW(行数!A42),配列!$C$4,集計記録,8,1),"0:01"))</f>
        <v>#NAME?</v>
      </c>
      <c r="I50" s="104" t="e">
        <f t="shared" ca="1" si="6"/>
        <v>#NAME?</v>
      </c>
      <c r="J50" s="119" t="e">
        <f ca="1">IF(C50="","",MROUND([0]!CSVVLookUP(ROW(行数!A42),配列!$C$4,集計記録,7,1),"0:01"))</f>
        <v>#NAME?</v>
      </c>
      <c r="K50" s="92" t="e">
        <f ca="1">IF(C50="","",[0]!CSVVLookUP(ROW(行数!A42),配列!$C$4,集計記録,5,1))</f>
        <v>#NAME?</v>
      </c>
      <c r="L50" s="104" t="e">
        <f t="shared" ca="1" si="7"/>
        <v>#NAME?</v>
      </c>
      <c r="M50" s="120" t="e">
        <f t="shared" ca="1" si="8"/>
        <v>#NAME?</v>
      </c>
      <c r="N50" s="120" t="e">
        <f ca="1">IF([0]!CSVVLookUP(ROW(行数!A42),配列!$C$4,集計記録,6,1)=0,"",[0]!CSVVLookUP(ROW(行数!A42),配列!$C$4,集計記録,6,1))</f>
        <v>#NAME?</v>
      </c>
      <c r="O50" s="88" t="e">
        <f ca="1">IF(INDIRECT("M"&amp;ROW()-1)&lt;&gt;INDIRECT("M"&amp;ROW()),リスト!$I$5,"")</f>
        <v>#NAME?</v>
      </c>
      <c r="P50" s="88" t="e">
        <f ca="1">IF(INDIRECT("M"&amp;ROW())&lt;&gt;INDIRECT("M"&amp;ROW()+1),リスト!$I$6,"")</f>
        <v>#NAME?</v>
      </c>
    </row>
    <row r="51" spans="1:16" x14ac:dyDescent="0.2">
      <c r="A51" s="169" t="e">
        <f ca="1">IF(C51="","",ROW(行数!A43))</f>
        <v>#NAME?</v>
      </c>
      <c r="B51" s="168" t="e">
        <f t="shared" ca="1" si="2"/>
        <v>#NAME?</v>
      </c>
      <c r="C51" s="90" t="e">
        <f ca="1">[0]!CSVVLookUP(ROW(行数!A43),配列!$C$4,集計記録,3,1)</f>
        <v>#NAME?</v>
      </c>
      <c r="D51" s="90" t="e">
        <f ca="1">[0]!CSVVLookUP(ROW(行数!B43),配列!$C$4,集計記録,4,1)</f>
        <v>#NAME?</v>
      </c>
      <c r="E51" s="118" t="e">
        <f t="shared" ca="1" si="3"/>
        <v>#NAME?</v>
      </c>
      <c r="F51" s="118" t="e">
        <f t="shared" ca="1" si="4"/>
        <v>#NAME?</v>
      </c>
      <c r="G51" s="103" t="e">
        <f t="shared" ca="1" si="5"/>
        <v>#NAME?</v>
      </c>
      <c r="H51" s="104" t="e">
        <f ca="1">IF(C51="","",MROUND([0]!CSVVLookUP(ROW(行数!A43),配列!$C$4,集計記録,8,1),"0:01"))</f>
        <v>#NAME?</v>
      </c>
      <c r="I51" s="104" t="e">
        <f t="shared" ca="1" si="6"/>
        <v>#NAME?</v>
      </c>
      <c r="J51" s="119" t="e">
        <f ca="1">IF(C51="","",MROUND([0]!CSVVLookUP(ROW(行数!A43),配列!$C$4,集計記録,7,1),"0:01"))</f>
        <v>#NAME?</v>
      </c>
      <c r="K51" s="92" t="e">
        <f ca="1">IF(C51="","",[0]!CSVVLookUP(ROW(行数!A43),配列!$C$4,集計記録,5,1))</f>
        <v>#NAME?</v>
      </c>
      <c r="L51" s="104" t="e">
        <f t="shared" ca="1" si="7"/>
        <v>#NAME?</v>
      </c>
      <c r="M51" s="120" t="e">
        <f t="shared" ca="1" si="8"/>
        <v>#NAME?</v>
      </c>
      <c r="N51" s="120" t="e">
        <f ca="1">IF([0]!CSVVLookUP(ROW(行数!A43),配列!$C$4,集計記録,6,1)=0,"",[0]!CSVVLookUP(ROW(行数!A43),配列!$C$4,集計記録,6,1))</f>
        <v>#NAME?</v>
      </c>
      <c r="O51" s="88" t="e">
        <f ca="1">IF(INDIRECT("M"&amp;ROW()-1)&lt;&gt;INDIRECT("M"&amp;ROW()),リスト!$I$5,"")</f>
        <v>#NAME?</v>
      </c>
      <c r="P51" s="88" t="e">
        <f ca="1">IF(INDIRECT("M"&amp;ROW())&lt;&gt;INDIRECT("M"&amp;ROW()+1),リスト!$I$6,"")</f>
        <v>#NAME?</v>
      </c>
    </row>
    <row r="52" spans="1:16" x14ac:dyDescent="0.2">
      <c r="A52" s="169" t="e">
        <f ca="1">IF(C52="","",ROW(行数!A44))</f>
        <v>#NAME?</v>
      </c>
      <c r="B52" s="168" t="e">
        <f t="shared" ca="1" si="2"/>
        <v>#NAME?</v>
      </c>
      <c r="C52" s="90" t="e">
        <f ca="1">[0]!CSVVLookUP(ROW(行数!A44),配列!$C$4,集計記録,3,1)</f>
        <v>#NAME?</v>
      </c>
      <c r="D52" s="90" t="e">
        <f ca="1">[0]!CSVVLookUP(ROW(行数!B44),配列!$C$4,集計記録,4,1)</f>
        <v>#NAME?</v>
      </c>
      <c r="E52" s="118" t="e">
        <f t="shared" ca="1" si="3"/>
        <v>#NAME?</v>
      </c>
      <c r="F52" s="118" t="e">
        <f t="shared" ca="1" si="4"/>
        <v>#NAME?</v>
      </c>
      <c r="G52" s="103" t="e">
        <f t="shared" ca="1" si="5"/>
        <v>#NAME?</v>
      </c>
      <c r="H52" s="104" t="e">
        <f ca="1">IF(C52="","",MROUND([0]!CSVVLookUP(ROW(行数!A44),配列!$C$4,集計記録,8,1),"0:01"))</f>
        <v>#NAME?</v>
      </c>
      <c r="I52" s="104" t="e">
        <f t="shared" ca="1" si="6"/>
        <v>#NAME?</v>
      </c>
      <c r="J52" s="119" t="e">
        <f ca="1">IF(C52="","",MROUND([0]!CSVVLookUP(ROW(行数!A44),配列!$C$4,集計記録,7,1),"0:01"))</f>
        <v>#NAME?</v>
      </c>
      <c r="K52" s="92" t="e">
        <f ca="1">IF(C52="","",[0]!CSVVLookUP(ROW(行数!A44),配列!$C$4,集計記録,5,1))</f>
        <v>#NAME?</v>
      </c>
      <c r="L52" s="104" t="e">
        <f t="shared" ca="1" si="7"/>
        <v>#NAME?</v>
      </c>
      <c r="M52" s="120" t="e">
        <f t="shared" ca="1" si="8"/>
        <v>#NAME?</v>
      </c>
      <c r="N52" s="120" t="e">
        <f ca="1">IF([0]!CSVVLookUP(ROW(行数!A44),配列!$C$4,集計記録,6,1)=0,"",[0]!CSVVLookUP(ROW(行数!A44),配列!$C$4,集計記録,6,1))</f>
        <v>#NAME?</v>
      </c>
      <c r="O52" s="88" t="e">
        <f ca="1">IF(INDIRECT("M"&amp;ROW()-1)&lt;&gt;INDIRECT("M"&amp;ROW()),リスト!$I$5,"")</f>
        <v>#NAME?</v>
      </c>
      <c r="P52" s="88" t="e">
        <f ca="1">IF(INDIRECT("M"&amp;ROW())&lt;&gt;INDIRECT("M"&amp;ROW()+1),リスト!$I$6,"")</f>
        <v>#NAME?</v>
      </c>
    </row>
    <row r="53" spans="1:16" x14ac:dyDescent="0.2">
      <c r="A53" s="169" t="e">
        <f ca="1">IF(C53="","",ROW(行数!A45))</f>
        <v>#NAME?</v>
      </c>
      <c r="B53" s="168" t="e">
        <f t="shared" ca="1" si="2"/>
        <v>#NAME?</v>
      </c>
      <c r="C53" s="90" t="e">
        <f ca="1">[0]!CSVVLookUP(ROW(行数!A45),配列!$C$4,集計記録,3,1)</f>
        <v>#NAME?</v>
      </c>
      <c r="D53" s="90" t="e">
        <f ca="1">[0]!CSVVLookUP(ROW(行数!B45),配列!$C$4,集計記録,4,1)</f>
        <v>#NAME?</v>
      </c>
      <c r="E53" s="118" t="e">
        <f t="shared" ca="1" si="3"/>
        <v>#NAME?</v>
      </c>
      <c r="F53" s="118" t="e">
        <f t="shared" ca="1" si="4"/>
        <v>#NAME?</v>
      </c>
      <c r="G53" s="103" t="e">
        <f t="shared" ca="1" si="5"/>
        <v>#NAME?</v>
      </c>
      <c r="H53" s="104" t="e">
        <f ca="1">IF(C53="","",MROUND([0]!CSVVLookUP(ROW(行数!A45),配列!$C$4,集計記録,8,1),"0:01"))</f>
        <v>#NAME?</v>
      </c>
      <c r="I53" s="104" t="e">
        <f t="shared" ca="1" si="6"/>
        <v>#NAME?</v>
      </c>
      <c r="J53" s="119" t="e">
        <f ca="1">IF(C53="","",MROUND([0]!CSVVLookUP(ROW(行数!A45),配列!$C$4,集計記録,7,1),"0:01"))</f>
        <v>#NAME?</v>
      </c>
      <c r="K53" s="92" t="e">
        <f ca="1">IF(C53="","",[0]!CSVVLookUP(ROW(行数!A45),配列!$C$4,集計記録,5,1))</f>
        <v>#NAME?</v>
      </c>
      <c r="L53" s="104" t="e">
        <f t="shared" ca="1" si="7"/>
        <v>#NAME?</v>
      </c>
      <c r="M53" s="120" t="e">
        <f t="shared" ca="1" si="8"/>
        <v>#NAME?</v>
      </c>
      <c r="N53" s="120" t="e">
        <f ca="1">IF([0]!CSVVLookUP(ROW(行数!A45),配列!$C$4,集計記録,6,1)=0,"",[0]!CSVVLookUP(ROW(行数!A45),配列!$C$4,集計記録,6,1))</f>
        <v>#NAME?</v>
      </c>
      <c r="O53" s="88" t="e">
        <f ca="1">IF(INDIRECT("M"&amp;ROW()-1)&lt;&gt;INDIRECT("M"&amp;ROW()),リスト!$I$5,"")</f>
        <v>#NAME?</v>
      </c>
      <c r="P53" s="88" t="e">
        <f ca="1">IF(INDIRECT("M"&amp;ROW())&lt;&gt;INDIRECT("M"&amp;ROW()+1),リスト!$I$6,"")</f>
        <v>#NAME?</v>
      </c>
    </row>
    <row r="54" spans="1:16" x14ac:dyDescent="0.2">
      <c r="A54" s="169" t="e">
        <f ca="1">IF(C54="","",ROW(行数!A46))</f>
        <v>#NAME?</v>
      </c>
      <c r="B54" s="168" t="e">
        <f t="shared" ca="1" si="2"/>
        <v>#NAME?</v>
      </c>
      <c r="C54" s="90" t="e">
        <f ca="1">[0]!CSVVLookUP(ROW(行数!A46),配列!$C$4,集計記録,3,1)</f>
        <v>#NAME?</v>
      </c>
      <c r="D54" s="90" t="e">
        <f ca="1">[0]!CSVVLookUP(ROW(行数!B46),配列!$C$4,集計記録,4,1)</f>
        <v>#NAME?</v>
      </c>
      <c r="E54" s="118" t="e">
        <f t="shared" ca="1" si="3"/>
        <v>#NAME?</v>
      </c>
      <c r="F54" s="118" t="e">
        <f t="shared" ca="1" si="4"/>
        <v>#NAME?</v>
      </c>
      <c r="G54" s="103" t="e">
        <f t="shared" ca="1" si="5"/>
        <v>#NAME?</v>
      </c>
      <c r="H54" s="104" t="e">
        <f ca="1">IF(C54="","",MROUND([0]!CSVVLookUP(ROW(行数!A46),配列!$C$4,集計記録,8,1),"0:01"))</f>
        <v>#NAME?</v>
      </c>
      <c r="I54" s="104" t="e">
        <f t="shared" ca="1" si="6"/>
        <v>#NAME?</v>
      </c>
      <c r="J54" s="119" t="e">
        <f ca="1">IF(C54="","",MROUND([0]!CSVVLookUP(ROW(行数!A46),配列!$C$4,集計記録,7,1),"0:01"))</f>
        <v>#NAME?</v>
      </c>
      <c r="K54" s="92" t="e">
        <f ca="1">IF(C54="","",[0]!CSVVLookUP(ROW(行数!A46),配列!$C$4,集計記録,5,1))</f>
        <v>#NAME?</v>
      </c>
      <c r="L54" s="104" t="e">
        <f t="shared" ca="1" si="7"/>
        <v>#NAME?</v>
      </c>
      <c r="M54" s="120" t="e">
        <f t="shared" ca="1" si="8"/>
        <v>#NAME?</v>
      </c>
      <c r="N54" s="120" t="e">
        <f ca="1">IF([0]!CSVVLookUP(ROW(行数!A46),配列!$C$4,集計記録,6,1)=0,"",[0]!CSVVLookUP(ROW(行数!A46),配列!$C$4,集計記録,6,1))</f>
        <v>#NAME?</v>
      </c>
      <c r="O54" s="88" t="e">
        <f ca="1">IF(INDIRECT("M"&amp;ROW()-1)&lt;&gt;INDIRECT("M"&amp;ROW()),リスト!$I$5,"")</f>
        <v>#NAME?</v>
      </c>
      <c r="P54" s="88" t="e">
        <f ca="1">IF(INDIRECT("M"&amp;ROW())&lt;&gt;INDIRECT("M"&amp;ROW()+1),リスト!$I$6,"")</f>
        <v>#NAME?</v>
      </c>
    </row>
    <row r="55" spans="1:16" x14ac:dyDescent="0.2">
      <c r="A55" s="169" t="e">
        <f ca="1">IF(C55="","",ROW(行数!A47))</f>
        <v>#NAME?</v>
      </c>
      <c r="B55" s="168" t="e">
        <f t="shared" ca="1" si="2"/>
        <v>#NAME?</v>
      </c>
      <c r="C55" s="90" t="e">
        <f ca="1">[0]!CSVVLookUP(ROW(行数!A47),配列!$C$4,集計記録,3,1)</f>
        <v>#NAME?</v>
      </c>
      <c r="D55" s="90" t="e">
        <f ca="1">[0]!CSVVLookUP(ROW(行数!B47),配列!$C$4,集計記録,4,1)</f>
        <v>#NAME?</v>
      </c>
      <c r="E55" s="118" t="e">
        <f t="shared" ca="1" si="3"/>
        <v>#NAME?</v>
      </c>
      <c r="F55" s="118" t="e">
        <f t="shared" ca="1" si="4"/>
        <v>#NAME?</v>
      </c>
      <c r="G55" s="103" t="e">
        <f t="shared" ca="1" si="5"/>
        <v>#NAME?</v>
      </c>
      <c r="H55" s="104" t="e">
        <f ca="1">IF(C55="","",MROUND([0]!CSVVLookUP(ROW(行数!A47),配列!$C$4,集計記録,8,1),"0:01"))</f>
        <v>#NAME?</v>
      </c>
      <c r="I55" s="104" t="e">
        <f t="shared" ca="1" si="6"/>
        <v>#NAME?</v>
      </c>
      <c r="J55" s="119" t="e">
        <f ca="1">IF(C55="","",MROUND([0]!CSVVLookUP(ROW(行数!A47),配列!$C$4,集計記録,7,1),"0:01"))</f>
        <v>#NAME?</v>
      </c>
      <c r="K55" s="92" t="e">
        <f ca="1">IF(C55="","",[0]!CSVVLookUP(ROW(行数!A47),配列!$C$4,集計記録,5,1))</f>
        <v>#NAME?</v>
      </c>
      <c r="L55" s="104" t="e">
        <f t="shared" ca="1" si="7"/>
        <v>#NAME?</v>
      </c>
      <c r="M55" s="120" t="e">
        <f t="shared" ca="1" si="8"/>
        <v>#NAME?</v>
      </c>
      <c r="N55" s="120" t="e">
        <f ca="1">IF([0]!CSVVLookUP(ROW(行数!A47),配列!$C$4,集計記録,6,1)=0,"",[0]!CSVVLookUP(ROW(行数!A47),配列!$C$4,集計記録,6,1))</f>
        <v>#NAME?</v>
      </c>
      <c r="O55" s="88" t="e">
        <f ca="1">IF(INDIRECT("M"&amp;ROW()-1)&lt;&gt;INDIRECT("M"&amp;ROW()),リスト!$I$5,"")</f>
        <v>#NAME?</v>
      </c>
      <c r="P55" s="88" t="e">
        <f ca="1">IF(INDIRECT("M"&amp;ROW())&lt;&gt;INDIRECT("M"&amp;ROW()+1),リスト!$I$6,"")</f>
        <v>#NAME?</v>
      </c>
    </row>
    <row r="56" spans="1:16" x14ac:dyDescent="0.2">
      <c r="A56" s="169" t="e">
        <f ca="1">IF(C56="","",ROW(行数!A48))</f>
        <v>#NAME?</v>
      </c>
      <c r="B56" s="168" t="e">
        <f t="shared" ca="1" si="2"/>
        <v>#NAME?</v>
      </c>
      <c r="C56" s="90" t="e">
        <f ca="1">[0]!CSVVLookUP(ROW(行数!A48),配列!$C$4,集計記録,3,1)</f>
        <v>#NAME?</v>
      </c>
      <c r="D56" s="90" t="e">
        <f ca="1">[0]!CSVVLookUP(ROW(行数!B48),配列!$C$4,集計記録,4,1)</f>
        <v>#NAME?</v>
      </c>
      <c r="E56" s="118" t="e">
        <f t="shared" ca="1" si="3"/>
        <v>#NAME?</v>
      </c>
      <c r="F56" s="118" t="e">
        <f t="shared" ca="1" si="4"/>
        <v>#NAME?</v>
      </c>
      <c r="G56" s="103" t="e">
        <f t="shared" ca="1" si="5"/>
        <v>#NAME?</v>
      </c>
      <c r="H56" s="104" t="e">
        <f ca="1">IF(C56="","",MROUND([0]!CSVVLookUP(ROW(行数!A48),配列!$C$4,集計記録,8,1),"0:01"))</f>
        <v>#NAME?</v>
      </c>
      <c r="I56" s="104" t="e">
        <f t="shared" ca="1" si="6"/>
        <v>#NAME?</v>
      </c>
      <c r="J56" s="119" t="e">
        <f ca="1">IF(C56="","",MROUND([0]!CSVVLookUP(ROW(行数!A48),配列!$C$4,集計記録,7,1),"0:01"))</f>
        <v>#NAME?</v>
      </c>
      <c r="K56" s="92" t="e">
        <f ca="1">IF(C56="","",[0]!CSVVLookUP(ROW(行数!A48),配列!$C$4,集計記録,5,1))</f>
        <v>#NAME?</v>
      </c>
      <c r="L56" s="104" t="e">
        <f t="shared" ca="1" si="7"/>
        <v>#NAME?</v>
      </c>
      <c r="M56" s="120" t="e">
        <f t="shared" ca="1" si="8"/>
        <v>#NAME?</v>
      </c>
      <c r="N56" s="120" t="e">
        <f ca="1">IF([0]!CSVVLookUP(ROW(行数!A48),配列!$C$4,集計記録,6,1)=0,"",[0]!CSVVLookUP(ROW(行数!A48),配列!$C$4,集計記録,6,1))</f>
        <v>#NAME?</v>
      </c>
      <c r="O56" s="88" t="e">
        <f ca="1">IF(INDIRECT("M"&amp;ROW()-1)&lt;&gt;INDIRECT("M"&amp;ROW()),リスト!$I$5,"")</f>
        <v>#NAME?</v>
      </c>
      <c r="P56" s="88" t="e">
        <f ca="1">IF(INDIRECT("M"&amp;ROW())&lt;&gt;INDIRECT("M"&amp;ROW()+1),リスト!$I$6,"")</f>
        <v>#NAME?</v>
      </c>
    </row>
    <row r="57" spans="1:16" x14ac:dyDescent="0.2">
      <c r="A57" s="169" t="e">
        <f ca="1">IF(C57="","",ROW(行数!A49))</f>
        <v>#NAME?</v>
      </c>
      <c r="B57" s="168" t="e">
        <f t="shared" ca="1" si="2"/>
        <v>#NAME?</v>
      </c>
      <c r="C57" s="90" t="e">
        <f ca="1">[0]!CSVVLookUP(ROW(行数!A49),配列!$C$4,集計記録,3,1)</f>
        <v>#NAME?</v>
      </c>
      <c r="D57" s="90" t="e">
        <f ca="1">[0]!CSVVLookUP(ROW(行数!B49),配列!$C$4,集計記録,4,1)</f>
        <v>#NAME?</v>
      </c>
      <c r="E57" s="118" t="e">
        <f t="shared" ca="1" si="3"/>
        <v>#NAME?</v>
      </c>
      <c r="F57" s="118" t="e">
        <f t="shared" ca="1" si="4"/>
        <v>#NAME?</v>
      </c>
      <c r="G57" s="103" t="e">
        <f t="shared" ca="1" si="5"/>
        <v>#NAME?</v>
      </c>
      <c r="H57" s="104" t="e">
        <f ca="1">IF(C57="","",MROUND([0]!CSVVLookUP(ROW(行数!A49),配列!$C$4,集計記録,8,1),"0:01"))</f>
        <v>#NAME?</v>
      </c>
      <c r="I57" s="104" t="e">
        <f t="shared" ca="1" si="6"/>
        <v>#NAME?</v>
      </c>
      <c r="J57" s="119" t="e">
        <f ca="1">IF(C57="","",MROUND([0]!CSVVLookUP(ROW(行数!A49),配列!$C$4,集計記録,7,1),"0:01"))</f>
        <v>#NAME?</v>
      </c>
      <c r="K57" s="92" t="e">
        <f ca="1">IF(C57="","",[0]!CSVVLookUP(ROW(行数!A49),配列!$C$4,集計記録,5,1))</f>
        <v>#NAME?</v>
      </c>
      <c r="L57" s="104" t="e">
        <f t="shared" ca="1" si="7"/>
        <v>#NAME?</v>
      </c>
      <c r="M57" s="120" t="e">
        <f t="shared" ca="1" si="8"/>
        <v>#NAME?</v>
      </c>
      <c r="N57" s="120" t="e">
        <f ca="1">IF([0]!CSVVLookUP(ROW(行数!A49),配列!$C$4,集計記録,6,1)=0,"",[0]!CSVVLookUP(ROW(行数!A49),配列!$C$4,集計記録,6,1))</f>
        <v>#NAME?</v>
      </c>
      <c r="O57" s="88" t="e">
        <f ca="1">IF(INDIRECT("M"&amp;ROW()-1)&lt;&gt;INDIRECT("M"&amp;ROW()),リスト!$I$5,"")</f>
        <v>#NAME?</v>
      </c>
      <c r="P57" s="88" t="e">
        <f ca="1">IF(INDIRECT("M"&amp;ROW())&lt;&gt;INDIRECT("M"&amp;ROW()+1),リスト!$I$6,"")</f>
        <v>#NAME?</v>
      </c>
    </row>
    <row r="58" spans="1:16" x14ac:dyDescent="0.2">
      <c r="A58" s="169" t="e">
        <f ca="1">IF(C58="","",ROW(行数!A50))</f>
        <v>#NAME?</v>
      </c>
      <c r="B58" s="168" t="e">
        <f t="shared" ca="1" si="2"/>
        <v>#NAME?</v>
      </c>
      <c r="C58" s="90" t="e">
        <f ca="1">[0]!CSVVLookUP(ROW(行数!A50),配列!$C$4,集計記録,3,1)</f>
        <v>#NAME?</v>
      </c>
      <c r="D58" s="90" t="e">
        <f ca="1">[0]!CSVVLookUP(ROW(行数!B50),配列!$C$4,集計記録,4,1)</f>
        <v>#NAME?</v>
      </c>
      <c r="E58" s="118" t="e">
        <f t="shared" ca="1" si="3"/>
        <v>#NAME?</v>
      </c>
      <c r="F58" s="118" t="e">
        <f t="shared" ca="1" si="4"/>
        <v>#NAME?</v>
      </c>
      <c r="G58" s="103" t="e">
        <f t="shared" ca="1" si="5"/>
        <v>#NAME?</v>
      </c>
      <c r="H58" s="104" t="e">
        <f ca="1">IF(C58="","",MROUND([0]!CSVVLookUP(ROW(行数!A50),配列!$C$4,集計記録,8,1),"0:01"))</f>
        <v>#NAME?</v>
      </c>
      <c r="I58" s="104" t="e">
        <f t="shared" ca="1" si="6"/>
        <v>#NAME?</v>
      </c>
      <c r="J58" s="119" t="e">
        <f ca="1">IF(C58="","",MROUND([0]!CSVVLookUP(ROW(行数!A50),配列!$C$4,集計記録,7,1),"0:01"))</f>
        <v>#NAME?</v>
      </c>
      <c r="K58" s="92" t="e">
        <f ca="1">IF(C58="","",[0]!CSVVLookUP(ROW(行数!A50),配列!$C$4,集計記録,5,1))</f>
        <v>#NAME?</v>
      </c>
      <c r="L58" s="104" t="e">
        <f t="shared" ca="1" si="7"/>
        <v>#NAME?</v>
      </c>
      <c r="M58" s="120" t="e">
        <f t="shared" ca="1" si="8"/>
        <v>#NAME?</v>
      </c>
      <c r="N58" s="120" t="e">
        <f ca="1">IF([0]!CSVVLookUP(ROW(行数!A50),配列!$C$4,集計記録,6,1)=0,"",[0]!CSVVLookUP(ROW(行数!A50),配列!$C$4,集計記録,6,1))</f>
        <v>#NAME?</v>
      </c>
      <c r="O58" s="88" t="e">
        <f ca="1">IF(INDIRECT("M"&amp;ROW()-1)&lt;&gt;INDIRECT("M"&amp;ROW()),リスト!$I$5,"")</f>
        <v>#NAME?</v>
      </c>
      <c r="P58" s="88" t="e">
        <f ca="1">IF(INDIRECT("M"&amp;ROW())&lt;&gt;INDIRECT("M"&amp;ROW()+1),リスト!$I$6,"")</f>
        <v>#NAME?</v>
      </c>
    </row>
    <row r="59" spans="1:16" x14ac:dyDescent="0.2">
      <c r="A59" s="169" t="e">
        <f ca="1">IF(C59="","",ROW(行数!A51))</f>
        <v>#NAME?</v>
      </c>
      <c r="B59" s="168" t="e">
        <f t="shared" ca="1" si="2"/>
        <v>#NAME?</v>
      </c>
      <c r="C59" s="90" t="e">
        <f ca="1">[0]!CSVVLookUP(ROW(行数!A51),配列!$C$4,集計記録,3,1)</f>
        <v>#NAME?</v>
      </c>
      <c r="D59" s="90" t="e">
        <f ca="1">[0]!CSVVLookUP(ROW(行数!B51),配列!$C$4,集計記録,4,1)</f>
        <v>#NAME?</v>
      </c>
      <c r="E59" s="118" t="e">
        <f t="shared" ca="1" si="3"/>
        <v>#NAME?</v>
      </c>
      <c r="F59" s="118" t="e">
        <f t="shared" ca="1" si="4"/>
        <v>#NAME?</v>
      </c>
      <c r="G59" s="103" t="e">
        <f t="shared" ca="1" si="5"/>
        <v>#NAME?</v>
      </c>
      <c r="H59" s="104" t="e">
        <f ca="1">IF(C59="","",MROUND([0]!CSVVLookUP(ROW(行数!A51),配列!$C$4,集計記録,8,1),"0:01"))</f>
        <v>#NAME?</v>
      </c>
      <c r="I59" s="104" t="e">
        <f t="shared" ca="1" si="6"/>
        <v>#NAME?</v>
      </c>
      <c r="J59" s="119" t="e">
        <f ca="1">IF(C59="","",MROUND([0]!CSVVLookUP(ROW(行数!A51),配列!$C$4,集計記録,7,1),"0:01"))</f>
        <v>#NAME?</v>
      </c>
      <c r="K59" s="92" t="e">
        <f ca="1">IF(C59="","",[0]!CSVVLookUP(ROW(行数!A51),配列!$C$4,集計記録,5,1))</f>
        <v>#NAME?</v>
      </c>
      <c r="L59" s="104" t="e">
        <f t="shared" ca="1" si="7"/>
        <v>#NAME?</v>
      </c>
      <c r="M59" s="120" t="e">
        <f t="shared" ca="1" si="8"/>
        <v>#NAME?</v>
      </c>
      <c r="N59" s="120" t="e">
        <f ca="1">IF([0]!CSVVLookUP(ROW(行数!A51),配列!$C$4,集計記録,6,1)=0,"",[0]!CSVVLookUP(ROW(行数!A51),配列!$C$4,集計記録,6,1))</f>
        <v>#NAME?</v>
      </c>
      <c r="O59" s="88" t="e">
        <f ca="1">IF(INDIRECT("M"&amp;ROW()-1)&lt;&gt;INDIRECT("M"&amp;ROW()),リスト!$I$5,"")</f>
        <v>#NAME?</v>
      </c>
      <c r="P59" s="88" t="e">
        <f ca="1">IF(INDIRECT("M"&amp;ROW())&lt;&gt;INDIRECT("M"&amp;ROW()+1),リスト!$I$6,"")</f>
        <v>#NAME?</v>
      </c>
    </row>
    <row r="60" spans="1:16" x14ac:dyDescent="0.2">
      <c r="A60" s="169" t="e">
        <f ca="1">IF(C60="","",ROW(行数!A52))</f>
        <v>#NAME?</v>
      </c>
      <c r="B60" s="168" t="e">
        <f t="shared" ca="1" si="2"/>
        <v>#NAME?</v>
      </c>
      <c r="C60" s="90" t="e">
        <f ca="1">[0]!CSVVLookUP(ROW(行数!A52),配列!$C$4,集計記録,3,1)</f>
        <v>#NAME?</v>
      </c>
      <c r="D60" s="90" t="e">
        <f ca="1">[0]!CSVVLookUP(ROW(行数!B52),配列!$C$4,集計記録,4,1)</f>
        <v>#NAME?</v>
      </c>
      <c r="E60" s="118" t="e">
        <f t="shared" ca="1" si="3"/>
        <v>#NAME?</v>
      </c>
      <c r="F60" s="118" t="e">
        <f t="shared" ca="1" si="4"/>
        <v>#NAME?</v>
      </c>
      <c r="G60" s="103" t="e">
        <f t="shared" ca="1" si="5"/>
        <v>#NAME?</v>
      </c>
      <c r="H60" s="104" t="e">
        <f ca="1">IF(C60="","",MROUND([0]!CSVVLookUP(ROW(行数!A52),配列!$C$4,集計記録,8,1),"0:01"))</f>
        <v>#NAME?</v>
      </c>
      <c r="I60" s="104" t="e">
        <f t="shared" ca="1" si="6"/>
        <v>#NAME?</v>
      </c>
      <c r="J60" s="119" t="e">
        <f ca="1">IF(C60="","",MROUND([0]!CSVVLookUP(ROW(行数!A52),配列!$C$4,集計記録,7,1),"0:01"))</f>
        <v>#NAME?</v>
      </c>
      <c r="K60" s="92" t="e">
        <f ca="1">IF(C60="","",[0]!CSVVLookUP(ROW(行数!A52),配列!$C$4,集計記録,5,1))</f>
        <v>#NAME?</v>
      </c>
      <c r="L60" s="104" t="e">
        <f t="shared" ca="1" si="7"/>
        <v>#NAME?</v>
      </c>
      <c r="M60" s="120" t="e">
        <f t="shared" ca="1" si="8"/>
        <v>#NAME?</v>
      </c>
      <c r="N60" s="120" t="e">
        <f ca="1">IF([0]!CSVVLookUP(ROW(行数!A52),配列!$C$4,集計記録,6,1)=0,"",[0]!CSVVLookUP(ROW(行数!A52),配列!$C$4,集計記録,6,1))</f>
        <v>#NAME?</v>
      </c>
      <c r="O60" s="88" t="e">
        <f ca="1">IF(INDIRECT("M"&amp;ROW()-1)&lt;&gt;INDIRECT("M"&amp;ROW()),リスト!$I$5,"")</f>
        <v>#NAME?</v>
      </c>
      <c r="P60" s="88" t="e">
        <f ca="1">IF(INDIRECT("M"&amp;ROW())&lt;&gt;INDIRECT("M"&amp;ROW()+1),リスト!$I$6,"")</f>
        <v>#NAME?</v>
      </c>
    </row>
    <row r="61" spans="1:16" x14ac:dyDescent="0.2">
      <c r="A61" s="169" t="e">
        <f ca="1">IF(C61="","",ROW(行数!A53))</f>
        <v>#NAME?</v>
      </c>
      <c r="B61" s="168" t="e">
        <f t="shared" ca="1" si="2"/>
        <v>#NAME?</v>
      </c>
      <c r="C61" s="90" t="e">
        <f ca="1">[0]!CSVVLookUP(ROW(行数!A53),配列!$C$4,集計記録,3,1)</f>
        <v>#NAME?</v>
      </c>
      <c r="D61" s="90" t="e">
        <f ca="1">[0]!CSVVLookUP(ROW(行数!B53),配列!$C$4,集計記録,4,1)</f>
        <v>#NAME?</v>
      </c>
      <c r="E61" s="118" t="e">
        <f t="shared" ca="1" si="3"/>
        <v>#NAME?</v>
      </c>
      <c r="F61" s="118" t="e">
        <f t="shared" ca="1" si="4"/>
        <v>#NAME?</v>
      </c>
      <c r="G61" s="103" t="e">
        <f t="shared" ca="1" si="5"/>
        <v>#NAME?</v>
      </c>
      <c r="H61" s="104" t="e">
        <f ca="1">IF(C61="","",MROUND([0]!CSVVLookUP(ROW(行数!A53),配列!$C$4,集計記録,8,1),"0:01"))</f>
        <v>#NAME?</v>
      </c>
      <c r="I61" s="104" t="e">
        <f t="shared" ca="1" si="6"/>
        <v>#NAME?</v>
      </c>
      <c r="J61" s="119" t="e">
        <f ca="1">IF(C61="","",MROUND([0]!CSVVLookUP(ROW(行数!A53),配列!$C$4,集計記録,7,1),"0:01"))</f>
        <v>#NAME?</v>
      </c>
      <c r="K61" s="92" t="e">
        <f ca="1">IF(C61="","",[0]!CSVVLookUP(ROW(行数!A53),配列!$C$4,集計記録,5,1))</f>
        <v>#NAME?</v>
      </c>
      <c r="L61" s="104" t="e">
        <f t="shared" ca="1" si="7"/>
        <v>#NAME?</v>
      </c>
      <c r="M61" s="120" t="e">
        <f t="shared" ca="1" si="8"/>
        <v>#NAME?</v>
      </c>
      <c r="N61" s="120" t="e">
        <f ca="1">IF([0]!CSVVLookUP(ROW(行数!A53),配列!$C$4,集計記録,6,1)=0,"",[0]!CSVVLookUP(ROW(行数!A53),配列!$C$4,集計記録,6,1))</f>
        <v>#NAME?</v>
      </c>
      <c r="O61" s="88" t="e">
        <f ca="1">IF(INDIRECT("M"&amp;ROW()-1)&lt;&gt;INDIRECT("M"&amp;ROW()),リスト!$I$5,"")</f>
        <v>#NAME?</v>
      </c>
      <c r="P61" s="88" t="e">
        <f ca="1">IF(INDIRECT("M"&amp;ROW())&lt;&gt;INDIRECT("M"&amp;ROW()+1),リスト!$I$6,"")</f>
        <v>#NAME?</v>
      </c>
    </row>
    <row r="62" spans="1:16" x14ac:dyDescent="0.2">
      <c r="A62" s="169" t="e">
        <f ca="1">IF(C62="","",ROW(行数!A54))</f>
        <v>#NAME?</v>
      </c>
      <c r="B62" s="168" t="e">
        <f t="shared" ca="1" si="2"/>
        <v>#NAME?</v>
      </c>
      <c r="C62" s="90" t="e">
        <f ca="1">[0]!CSVVLookUP(ROW(行数!A54),配列!$C$4,集計記録,3,1)</f>
        <v>#NAME?</v>
      </c>
      <c r="D62" s="90" t="e">
        <f ca="1">[0]!CSVVLookUP(ROW(行数!B54),配列!$C$4,集計記録,4,1)</f>
        <v>#NAME?</v>
      </c>
      <c r="E62" s="118" t="e">
        <f t="shared" ca="1" si="3"/>
        <v>#NAME?</v>
      </c>
      <c r="F62" s="118" t="e">
        <f t="shared" ca="1" si="4"/>
        <v>#NAME?</v>
      </c>
      <c r="G62" s="103" t="e">
        <f t="shared" ca="1" si="5"/>
        <v>#NAME?</v>
      </c>
      <c r="H62" s="104" t="e">
        <f ca="1">IF(C62="","",MROUND([0]!CSVVLookUP(ROW(行数!A54),配列!$C$4,集計記録,8,1),"0:01"))</f>
        <v>#NAME?</v>
      </c>
      <c r="I62" s="104" t="e">
        <f t="shared" ca="1" si="6"/>
        <v>#NAME?</v>
      </c>
      <c r="J62" s="119" t="e">
        <f ca="1">IF(C62="","",MROUND([0]!CSVVLookUP(ROW(行数!A54),配列!$C$4,集計記録,7,1),"0:01"))</f>
        <v>#NAME?</v>
      </c>
      <c r="K62" s="92" t="e">
        <f ca="1">IF(C62="","",[0]!CSVVLookUP(ROW(行数!A54),配列!$C$4,集計記録,5,1))</f>
        <v>#NAME?</v>
      </c>
      <c r="L62" s="104" t="e">
        <f t="shared" ca="1" si="7"/>
        <v>#NAME?</v>
      </c>
      <c r="M62" s="120" t="e">
        <f t="shared" ca="1" si="8"/>
        <v>#NAME?</v>
      </c>
      <c r="N62" s="120" t="e">
        <f ca="1">IF([0]!CSVVLookUP(ROW(行数!A54),配列!$C$4,集計記録,6,1)=0,"",[0]!CSVVLookUP(ROW(行数!A54),配列!$C$4,集計記録,6,1))</f>
        <v>#NAME?</v>
      </c>
      <c r="O62" s="88" t="e">
        <f ca="1">IF(INDIRECT("M"&amp;ROW()-1)&lt;&gt;INDIRECT("M"&amp;ROW()),リスト!$I$5,"")</f>
        <v>#NAME?</v>
      </c>
      <c r="P62" s="88" t="e">
        <f ca="1">IF(INDIRECT("M"&amp;ROW())&lt;&gt;INDIRECT("M"&amp;ROW()+1),リスト!$I$6,"")</f>
        <v>#NAME?</v>
      </c>
    </row>
    <row r="63" spans="1:16" x14ac:dyDescent="0.2">
      <c r="A63" s="169" t="e">
        <f ca="1">IF(C63="","",ROW(行数!A55))</f>
        <v>#NAME?</v>
      </c>
      <c r="B63" s="168" t="e">
        <f t="shared" ca="1" si="2"/>
        <v>#NAME?</v>
      </c>
      <c r="C63" s="90" t="e">
        <f ca="1">[0]!CSVVLookUP(ROW(行数!A55),配列!$C$4,集計記録,3,1)</f>
        <v>#NAME?</v>
      </c>
      <c r="D63" s="90" t="e">
        <f ca="1">[0]!CSVVLookUP(ROW(行数!B55),配列!$C$4,集計記録,4,1)</f>
        <v>#NAME?</v>
      </c>
      <c r="E63" s="118" t="e">
        <f t="shared" ca="1" si="3"/>
        <v>#NAME?</v>
      </c>
      <c r="F63" s="118" t="e">
        <f t="shared" ca="1" si="4"/>
        <v>#NAME?</v>
      </c>
      <c r="G63" s="103" t="e">
        <f t="shared" ca="1" si="5"/>
        <v>#NAME?</v>
      </c>
      <c r="H63" s="104" t="e">
        <f ca="1">IF(C63="","",MROUND([0]!CSVVLookUP(ROW(行数!A55),配列!$C$4,集計記録,8,1),"0:01"))</f>
        <v>#NAME?</v>
      </c>
      <c r="I63" s="104" t="e">
        <f t="shared" ca="1" si="6"/>
        <v>#NAME?</v>
      </c>
      <c r="J63" s="119" t="e">
        <f ca="1">IF(C63="","",MROUND([0]!CSVVLookUP(ROW(行数!A55),配列!$C$4,集計記録,7,1),"0:01"))</f>
        <v>#NAME?</v>
      </c>
      <c r="K63" s="92" t="e">
        <f ca="1">IF(C63="","",[0]!CSVVLookUP(ROW(行数!A55),配列!$C$4,集計記録,5,1))</f>
        <v>#NAME?</v>
      </c>
      <c r="L63" s="104" t="e">
        <f t="shared" ca="1" si="7"/>
        <v>#NAME?</v>
      </c>
      <c r="M63" s="120" t="e">
        <f t="shared" ca="1" si="8"/>
        <v>#NAME?</v>
      </c>
      <c r="N63" s="120" t="e">
        <f ca="1">IF([0]!CSVVLookUP(ROW(行数!A55),配列!$C$4,集計記録,6,1)=0,"",[0]!CSVVLookUP(ROW(行数!A55),配列!$C$4,集計記録,6,1))</f>
        <v>#NAME?</v>
      </c>
      <c r="O63" s="88" t="e">
        <f ca="1">IF(INDIRECT("M"&amp;ROW()-1)&lt;&gt;INDIRECT("M"&amp;ROW()),リスト!$I$5,"")</f>
        <v>#NAME?</v>
      </c>
      <c r="P63" s="88" t="e">
        <f ca="1">IF(INDIRECT("M"&amp;ROW())&lt;&gt;INDIRECT("M"&amp;ROW()+1),リスト!$I$6,"")</f>
        <v>#NAME?</v>
      </c>
    </row>
    <row r="64" spans="1:16" x14ac:dyDescent="0.2">
      <c r="A64" s="169" t="e">
        <f ca="1">IF(C64="","",ROW(行数!A56))</f>
        <v>#NAME?</v>
      </c>
      <c r="B64" s="168" t="e">
        <f t="shared" ca="1" si="2"/>
        <v>#NAME?</v>
      </c>
      <c r="C64" s="90" t="e">
        <f ca="1">[0]!CSVVLookUP(ROW(行数!A56),配列!$C$4,集計記録,3,1)</f>
        <v>#NAME?</v>
      </c>
      <c r="D64" s="90" t="e">
        <f ca="1">[0]!CSVVLookUP(ROW(行数!B56),配列!$C$4,集計記録,4,1)</f>
        <v>#NAME?</v>
      </c>
      <c r="E64" s="118" t="e">
        <f t="shared" ca="1" si="3"/>
        <v>#NAME?</v>
      </c>
      <c r="F64" s="118" t="e">
        <f t="shared" ca="1" si="4"/>
        <v>#NAME?</v>
      </c>
      <c r="G64" s="103" t="e">
        <f t="shared" ca="1" si="5"/>
        <v>#NAME?</v>
      </c>
      <c r="H64" s="104" t="e">
        <f ca="1">IF(C64="","",MROUND([0]!CSVVLookUP(ROW(行数!A56),配列!$C$4,集計記録,8,1),"0:01"))</f>
        <v>#NAME?</v>
      </c>
      <c r="I64" s="104" t="e">
        <f t="shared" ca="1" si="6"/>
        <v>#NAME?</v>
      </c>
      <c r="J64" s="119" t="e">
        <f ca="1">IF(C64="","",MROUND([0]!CSVVLookUP(ROW(行数!A56),配列!$C$4,集計記録,7,1),"0:01"))</f>
        <v>#NAME?</v>
      </c>
      <c r="K64" s="92" t="e">
        <f ca="1">IF(C64="","",[0]!CSVVLookUP(ROW(行数!A56),配列!$C$4,集計記録,5,1))</f>
        <v>#NAME?</v>
      </c>
      <c r="L64" s="104" t="e">
        <f t="shared" ca="1" si="7"/>
        <v>#NAME?</v>
      </c>
      <c r="M64" s="120" t="e">
        <f t="shared" ca="1" si="8"/>
        <v>#NAME?</v>
      </c>
      <c r="N64" s="120" t="e">
        <f ca="1">IF([0]!CSVVLookUP(ROW(行数!A56),配列!$C$4,集計記録,6,1)=0,"",[0]!CSVVLookUP(ROW(行数!A56),配列!$C$4,集計記録,6,1))</f>
        <v>#NAME?</v>
      </c>
      <c r="O64" s="88" t="e">
        <f ca="1">IF(INDIRECT("M"&amp;ROW()-1)&lt;&gt;INDIRECT("M"&amp;ROW()),リスト!$I$5,"")</f>
        <v>#NAME?</v>
      </c>
      <c r="P64" s="88" t="e">
        <f ca="1">IF(INDIRECT("M"&amp;ROW())&lt;&gt;INDIRECT("M"&amp;ROW()+1),リスト!$I$6,"")</f>
        <v>#NAME?</v>
      </c>
    </row>
    <row r="65" spans="1:16" x14ac:dyDescent="0.2">
      <c r="A65" s="169" t="e">
        <f ca="1">IF(C65="","",ROW(行数!A57))</f>
        <v>#NAME?</v>
      </c>
      <c r="B65" s="168" t="e">
        <f t="shared" ca="1" si="2"/>
        <v>#NAME?</v>
      </c>
      <c r="C65" s="90" t="e">
        <f ca="1">[0]!CSVVLookUP(ROW(行数!A57),配列!$C$4,集計記録,3,1)</f>
        <v>#NAME?</v>
      </c>
      <c r="D65" s="90" t="e">
        <f ca="1">[0]!CSVVLookUP(ROW(行数!B57),配列!$C$4,集計記録,4,1)</f>
        <v>#NAME?</v>
      </c>
      <c r="E65" s="118" t="e">
        <f t="shared" ca="1" si="3"/>
        <v>#NAME?</v>
      </c>
      <c r="F65" s="118" t="e">
        <f t="shared" ca="1" si="4"/>
        <v>#NAME?</v>
      </c>
      <c r="G65" s="103" t="e">
        <f t="shared" ca="1" si="5"/>
        <v>#NAME?</v>
      </c>
      <c r="H65" s="104" t="e">
        <f ca="1">IF(C65="","",MROUND([0]!CSVVLookUP(ROW(行数!A57),配列!$C$4,集計記録,8,1),"0:01"))</f>
        <v>#NAME?</v>
      </c>
      <c r="I65" s="104" t="e">
        <f t="shared" ca="1" si="6"/>
        <v>#NAME?</v>
      </c>
      <c r="J65" s="119" t="e">
        <f ca="1">IF(C65="","",MROUND([0]!CSVVLookUP(ROW(行数!A57),配列!$C$4,集計記録,7,1),"0:01"))</f>
        <v>#NAME?</v>
      </c>
      <c r="K65" s="92" t="e">
        <f ca="1">IF(C65="","",[0]!CSVVLookUP(ROW(行数!A57),配列!$C$4,集計記録,5,1))</f>
        <v>#NAME?</v>
      </c>
      <c r="L65" s="104" t="e">
        <f t="shared" ca="1" si="7"/>
        <v>#NAME?</v>
      </c>
      <c r="M65" s="120" t="e">
        <f t="shared" ca="1" si="8"/>
        <v>#NAME?</v>
      </c>
      <c r="N65" s="120" t="e">
        <f ca="1">IF([0]!CSVVLookUP(ROW(行数!A57),配列!$C$4,集計記録,6,1)=0,"",[0]!CSVVLookUP(ROW(行数!A57),配列!$C$4,集計記録,6,1))</f>
        <v>#NAME?</v>
      </c>
      <c r="O65" s="88" t="e">
        <f ca="1">IF(INDIRECT("M"&amp;ROW()-1)&lt;&gt;INDIRECT("M"&amp;ROW()),リスト!$I$5,"")</f>
        <v>#NAME?</v>
      </c>
      <c r="P65" s="88" t="e">
        <f ca="1">IF(INDIRECT("M"&amp;ROW())&lt;&gt;INDIRECT("M"&amp;ROW()+1),リスト!$I$6,"")</f>
        <v>#NAME?</v>
      </c>
    </row>
    <row r="66" spans="1:16" x14ac:dyDescent="0.2">
      <c r="A66" s="169" t="e">
        <f ca="1">IF(C66="","",ROW(行数!A58))</f>
        <v>#NAME?</v>
      </c>
      <c r="B66" s="168" t="e">
        <f t="shared" ca="1" si="2"/>
        <v>#NAME?</v>
      </c>
      <c r="C66" s="90" t="e">
        <f ca="1">[0]!CSVVLookUP(ROW(行数!A58),配列!$C$4,集計記録,3,1)</f>
        <v>#NAME?</v>
      </c>
      <c r="D66" s="90" t="e">
        <f ca="1">[0]!CSVVLookUP(ROW(行数!B58),配列!$C$4,集計記録,4,1)</f>
        <v>#NAME?</v>
      </c>
      <c r="E66" s="118" t="e">
        <f t="shared" ca="1" si="3"/>
        <v>#NAME?</v>
      </c>
      <c r="F66" s="118" t="e">
        <f t="shared" ca="1" si="4"/>
        <v>#NAME?</v>
      </c>
      <c r="G66" s="103" t="e">
        <f t="shared" ca="1" si="5"/>
        <v>#NAME?</v>
      </c>
      <c r="H66" s="104" t="e">
        <f ca="1">IF(C66="","",MROUND([0]!CSVVLookUP(ROW(行数!A58),配列!$C$4,集計記録,8,1),"0:01"))</f>
        <v>#NAME?</v>
      </c>
      <c r="I66" s="104" t="e">
        <f t="shared" ca="1" si="6"/>
        <v>#NAME?</v>
      </c>
      <c r="J66" s="119" t="e">
        <f ca="1">IF(C66="","",MROUND([0]!CSVVLookUP(ROW(行数!A58),配列!$C$4,集計記録,7,1),"0:01"))</f>
        <v>#NAME?</v>
      </c>
      <c r="K66" s="92" t="e">
        <f ca="1">IF(C66="","",[0]!CSVVLookUP(ROW(行数!A58),配列!$C$4,集計記録,5,1))</f>
        <v>#NAME?</v>
      </c>
      <c r="L66" s="104" t="e">
        <f t="shared" ca="1" si="7"/>
        <v>#NAME?</v>
      </c>
      <c r="M66" s="120" t="e">
        <f t="shared" ca="1" si="8"/>
        <v>#NAME?</v>
      </c>
      <c r="N66" s="120" t="e">
        <f ca="1">IF([0]!CSVVLookUP(ROW(行数!A58),配列!$C$4,集計記録,6,1)=0,"",[0]!CSVVLookUP(ROW(行数!A58),配列!$C$4,集計記録,6,1))</f>
        <v>#NAME?</v>
      </c>
      <c r="O66" s="88" t="e">
        <f ca="1">IF(INDIRECT("M"&amp;ROW()-1)&lt;&gt;INDIRECT("M"&amp;ROW()),リスト!$I$5,"")</f>
        <v>#NAME?</v>
      </c>
      <c r="P66" s="88" t="e">
        <f ca="1">IF(INDIRECT("M"&amp;ROW())&lt;&gt;INDIRECT("M"&amp;ROW()+1),リスト!$I$6,"")</f>
        <v>#NAME?</v>
      </c>
    </row>
    <row r="67" spans="1:16" x14ac:dyDescent="0.2">
      <c r="A67" s="169" t="e">
        <f ca="1">IF(C67="","",ROW(行数!A59))</f>
        <v>#NAME?</v>
      </c>
      <c r="B67" s="168" t="e">
        <f t="shared" ca="1" si="2"/>
        <v>#NAME?</v>
      </c>
      <c r="C67" s="90" t="e">
        <f ca="1">[0]!CSVVLookUP(ROW(行数!A59),配列!$C$4,集計記録,3,1)</f>
        <v>#NAME?</v>
      </c>
      <c r="D67" s="90" t="e">
        <f ca="1">[0]!CSVVLookUP(ROW(行数!B59),配列!$C$4,集計記録,4,1)</f>
        <v>#NAME?</v>
      </c>
      <c r="E67" s="118" t="e">
        <f t="shared" ca="1" si="3"/>
        <v>#NAME?</v>
      </c>
      <c r="F67" s="118" t="e">
        <f t="shared" ca="1" si="4"/>
        <v>#NAME?</v>
      </c>
      <c r="G67" s="103" t="e">
        <f t="shared" ca="1" si="5"/>
        <v>#NAME?</v>
      </c>
      <c r="H67" s="104" t="e">
        <f ca="1">IF(C67="","",MROUND([0]!CSVVLookUP(ROW(行数!A59),配列!$C$4,集計記録,8,1),"0:01"))</f>
        <v>#NAME?</v>
      </c>
      <c r="I67" s="104" t="e">
        <f t="shared" ca="1" si="6"/>
        <v>#NAME?</v>
      </c>
      <c r="J67" s="119" t="e">
        <f ca="1">IF(C67="","",MROUND([0]!CSVVLookUP(ROW(行数!A59),配列!$C$4,集計記録,7,1),"0:01"))</f>
        <v>#NAME?</v>
      </c>
      <c r="K67" s="92" t="e">
        <f ca="1">IF(C67="","",[0]!CSVVLookUP(ROW(行数!A59),配列!$C$4,集計記録,5,1))</f>
        <v>#NAME?</v>
      </c>
      <c r="L67" s="104" t="e">
        <f t="shared" ca="1" si="7"/>
        <v>#NAME?</v>
      </c>
      <c r="M67" s="120" t="e">
        <f t="shared" ca="1" si="8"/>
        <v>#NAME?</v>
      </c>
      <c r="N67" s="120" t="e">
        <f ca="1">IF([0]!CSVVLookUP(ROW(行数!A59),配列!$C$4,集計記録,6,1)=0,"",[0]!CSVVLookUP(ROW(行数!A59),配列!$C$4,集計記録,6,1))</f>
        <v>#NAME?</v>
      </c>
      <c r="O67" s="88" t="e">
        <f ca="1">IF(INDIRECT("M"&amp;ROW()-1)&lt;&gt;INDIRECT("M"&amp;ROW()),リスト!$I$5,"")</f>
        <v>#NAME?</v>
      </c>
      <c r="P67" s="88" t="e">
        <f ca="1">IF(INDIRECT("M"&amp;ROW())&lt;&gt;INDIRECT("M"&amp;ROW()+1),リスト!$I$6,"")</f>
        <v>#NAME?</v>
      </c>
    </row>
    <row r="68" spans="1:16" x14ac:dyDescent="0.2">
      <c r="A68" s="169" t="e">
        <f ca="1">IF(C68="","",ROW(行数!A60))</f>
        <v>#NAME?</v>
      </c>
      <c r="B68" s="168" t="e">
        <f t="shared" ca="1" si="2"/>
        <v>#NAME?</v>
      </c>
      <c r="C68" s="90" t="e">
        <f ca="1">[0]!CSVVLookUP(ROW(行数!A60),配列!$C$4,集計記録,3,1)</f>
        <v>#NAME?</v>
      </c>
      <c r="D68" s="90" t="e">
        <f ca="1">[0]!CSVVLookUP(ROW(行数!B60),配列!$C$4,集計記録,4,1)</f>
        <v>#NAME?</v>
      </c>
      <c r="E68" s="118" t="e">
        <f t="shared" ca="1" si="3"/>
        <v>#NAME?</v>
      </c>
      <c r="F68" s="118" t="e">
        <f t="shared" ca="1" si="4"/>
        <v>#NAME?</v>
      </c>
      <c r="G68" s="103" t="e">
        <f t="shared" ca="1" si="5"/>
        <v>#NAME?</v>
      </c>
      <c r="H68" s="104" t="e">
        <f ca="1">IF(C68="","",MROUND([0]!CSVVLookUP(ROW(行数!A60),配列!$C$4,集計記録,8,1),"0:01"))</f>
        <v>#NAME?</v>
      </c>
      <c r="I68" s="104" t="e">
        <f t="shared" ca="1" si="6"/>
        <v>#NAME?</v>
      </c>
      <c r="J68" s="119" t="e">
        <f ca="1">IF(C68="","",MROUND([0]!CSVVLookUP(ROW(行数!A60),配列!$C$4,集計記録,7,1),"0:01"))</f>
        <v>#NAME?</v>
      </c>
      <c r="K68" s="92" t="e">
        <f ca="1">IF(C68="","",[0]!CSVVLookUP(ROW(行数!A60),配列!$C$4,集計記録,5,1))</f>
        <v>#NAME?</v>
      </c>
      <c r="L68" s="104" t="e">
        <f t="shared" ca="1" si="7"/>
        <v>#NAME?</v>
      </c>
      <c r="M68" s="120" t="e">
        <f t="shared" ca="1" si="8"/>
        <v>#NAME?</v>
      </c>
      <c r="N68" s="120" t="e">
        <f ca="1">IF([0]!CSVVLookUP(ROW(行数!A60),配列!$C$4,集計記録,6,1)=0,"",[0]!CSVVLookUP(ROW(行数!A60),配列!$C$4,集計記録,6,1))</f>
        <v>#NAME?</v>
      </c>
      <c r="O68" s="88" t="e">
        <f ca="1">IF(INDIRECT("M"&amp;ROW()-1)&lt;&gt;INDIRECT("M"&amp;ROW()),リスト!$I$5,"")</f>
        <v>#NAME?</v>
      </c>
      <c r="P68" s="88" t="e">
        <f ca="1">IF(INDIRECT("M"&amp;ROW())&lt;&gt;INDIRECT("M"&amp;ROW()+1),リスト!$I$6,"")</f>
        <v>#NAME?</v>
      </c>
    </row>
    <row r="69" spans="1:16" x14ac:dyDescent="0.2">
      <c r="A69" s="169" t="e">
        <f ca="1">IF(C69="","",ROW(行数!A61))</f>
        <v>#NAME?</v>
      </c>
      <c r="B69" s="168" t="e">
        <f t="shared" ca="1" si="2"/>
        <v>#NAME?</v>
      </c>
      <c r="C69" s="90" t="e">
        <f ca="1">[0]!CSVVLookUP(ROW(行数!A61),配列!$C$4,集計記録,3,1)</f>
        <v>#NAME?</v>
      </c>
      <c r="D69" s="90" t="e">
        <f ca="1">[0]!CSVVLookUP(ROW(行数!B61),配列!$C$4,集計記録,4,1)</f>
        <v>#NAME?</v>
      </c>
      <c r="E69" s="118" t="e">
        <f t="shared" ca="1" si="3"/>
        <v>#NAME?</v>
      </c>
      <c r="F69" s="118" t="e">
        <f t="shared" ca="1" si="4"/>
        <v>#NAME?</v>
      </c>
      <c r="G69" s="103" t="e">
        <f t="shared" ca="1" si="5"/>
        <v>#NAME?</v>
      </c>
      <c r="H69" s="104" t="e">
        <f ca="1">IF(C69="","",MROUND([0]!CSVVLookUP(ROW(行数!A61),配列!$C$4,集計記録,8,1),"0:01"))</f>
        <v>#NAME?</v>
      </c>
      <c r="I69" s="104" t="e">
        <f t="shared" ca="1" si="6"/>
        <v>#NAME?</v>
      </c>
      <c r="J69" s="119" t="e">
        <f ca="1">IF(C69="","",MROUND([0]!CSVVLookUP(ROW(行数!A61),配列!$C$4,集計記録,7,1),"0:01"))</f>
        <v>#NAME?</v>
      </c>
      <c r="K69" s="92" t="e">
        <f ca="1">IF(C69="","",[0]!CSVVLookUP(ROW(行数!A61),配列!$C$4,集計記録,5,1))</f>
        <v>#NAME?</v>
      </c>
      <c r="L69" s="104" t="e">
        <f t="shared" ca="1" si="7"/>
        <v>#NAME?</v>
      </c>
      <c r="M69" s="120" t="e">
        <f t="shared" ca="1" si="8"/>
        <v>#NAME?</v>
      </c>
      <c r="N69" s="120" t="e">
        <f ca="1">IF([0]!CSVVLookUP(ROW(行数!A61),配列!$C$4,集計記録,6,1)=0,"",[0]!CSVVLookUP(ROW(行数!A61),配列!$C$4,集計記録,6,1))</f>
        <v>#NAME?</v>
      </c>
      <c r="O69" s="88" t="e">
        <f ca="1">IF(INDIRECT("M"&amp;ROW()-1)&lt;&gt;INDIRECT("M"&amp;ROW()),リスト!$I$5,"")</f>
        <v>#NAME?</v>
      </c>
      <c r="P69" s="88" t="e">
        <f ca="1">IF(INDIRECT("M"&amp;ROW())&lt;&gt;INDIRECT("M"&amp;ROW()+1),リスト!$I$6,"")</f>
        <v>#NAME?</v>
      </c>
    </row>
    <row r="70" spans="1:16" x14ac:dyDescent="0.2">
      <c r="A70" s="169" t="e">
        <f ca="1">IF(C70="","",ROW(行数!A62))</f>
        <v>#NAME?</v>
      </c>
      <c r="B70" s="168" t="e">
        <f t="shared" ca="1" si="2"/>
        <v>#NAME?</v>
      </c>
      <c r="C70" s="90" t="e">
        <f ca="1">[0]!CSVVLookUP(ROW(行数!A62),配列!$C$4,集計記録,3,1)</f>
        <v>#NAME?</v>
      </c>
      <c r="D70" s="90" t="e">
        <f ca="1">[0]!CSVVLookUP(ROW(行数!B62),配列!$C$4,集計記録,4,1)</f>
        <v>#NAME?</v>
      </c>
      <c r="E70" s="118" t="e">
        <f t="shared" ca="1" si="3"/>
        <v>#NAME?</v>
      </c>
      <c r="F70" s="118" t="e">
        <f t="shared" ca="1" si="4"/>
        <v>#NAME?</v>
      </c>
      <c r="G70" s="103" t="e">
        <f t="shared" ca="1" si="5"/>
        <v>#NAME?</v>
      </c>
      <c r="H70" s="104" t="e">
        <f ca="1">IF(C70="","",MROUND([0]!CSVVLookUP(ROW(行数!A62),配列!$C$4,集計記録,8,1),"0:01"))</f>
        <v>#NAME?</v>
      </c>
      <c r="I70" s="104" t="e">
        <f t="shared" ca="1" si="6"/>
        <v>#NAME?</v>
      </c>
      <c r="J70" s="119" t="e">
        <f ca="1">IF(C70="","",MROUND([0]!CSVVLookUP(ROW(行数!A62),配列!$C$4,集計記録,7,1),"0:01"))</f>
        <v>#NAME?</v>
      </c>
      <c r="K70" s="92" t="e">
        <f ca="1">IF(C70="","",[0]!CSVVLookUP(ROW(行数!A62),配列!$C$4,集計記録,5,1))</f>
        <v>#NAME?</v>
      </c>
      <c r="L70" s="104" t="e">
        <f t="shared" ca="1" si="7"/>
        <v>#NAME?</v>
      </c>
      <c r="M70" s="120" t="e">
        <f t="shared" ca="1" si="8"/>
        <v>#NAME?</v>
      </c>
      <c r="N70" s="120" t="e">
        <f ca="1">IF([0]!CSVVLookUP(ROW(行数!A62),配列!$C$4,集計記録,6,1)=0,"",[0]!CSVVLookUP(ROW(行数!A62),配列!$C$4,集計記録,6,1))</f>
        <v>#NAME?</v>
      </c>
      <c r="O70" s="88" t="e">
        <f ca="1">IF(INDIRECT("M"&amp;ROW()-1)&lt;&gt;INDIRECT("M"&amp;ROW()),リスト!$I$5,"")</f>
        <v>#NAME?</v>
      </c>
      <c r="P70" s="88" t="e">
        <f ca="1">IF(INDIRECT("M"&amp;ROW())&lt;&gt;INDIRECT("M"&amp;ROW()+1),リスト!$I$6,"")</f>
        <v>#NAME?</v>
      </c>
    </row>
    <row r="71" spans="1:16" x14ac:dyDescent="0.2">
      <c r="A71" s="169" t="e">
        <f ca="1">IF(C71="","",ROW(行数!A63))</f>
        <v>#NAME?</v>
      </c>
      <c r="B71" s="168" t="e">
        <f t="shared" ca="1" si="2"/>
        <v>#NAME?</v>
      </c>
      <c r="C71" s="90" t="e">
        <f ca="1">[0]!CSVVLookUP(ROW(行数!A63),配列!$C$4,集計記録,3,1)</f>
        <v>#NAME?</v>
      </c>
      <c r="D71" s="90" t="e">
        <f ca="1">[0]!CSVVLookUP(ROW(行数!B63),配列!$C$4,集計記録,4,1)</f>
        <v>#NAME?</v>
      </c>
      <c r="E71" s="118" t="e">
        <f t="shared" ca="1" si="3"/>
        <v>#NAME?</v>
      </c>
      <c r="F71" s="118" t="e">
        <f t="shared" ca="1" si="4"/>
        <v>#NAME?</v>
      </c>
      <c r="G71" s="103" t="e">
        <f t="shared" ca="1" si="5"/>
        <v>#NAME?</v>
      </c>
      <c r="H71" s="104" t="e">
        <f ca="1">IF(C71="","",MROUND([0]!CSVVLookUP(ROW(行数!A63),配列!$C$4,集計記録,8,1),"0:01"))</f>
        <v>#NAME?</v>
      </c>
      <c r="I71" s="104" t="e">
        <f t="shared" ca="1" si="6"/>
        <v>#NAME?</v>
      </c>
      <c r="J71" s="119" t="e">
        <f ca="1">IF(C71="","",MROUND([0]!CSVVLookUP(ROW(行数!A63),配列!$C$4,集計記録,7,1),"0:01"))</f>
        <v>#NAME?</v>
      </c>
      <c r="K71" s="92" t="e">
        <f ca="1">IF(C71="","",[0]!CSVVLookUP(ROW(行数!A63),配列!$C$4,集計記録,5,1))</f>
        <v>#NAME?</v>
      </c>
      <c r="L71" s="104" t="e">
        <f t="shared" ca="1" si="7"/>
        <v>#NAME?</v>
      </c>
      <c r="M71" s="120" t="e">
        <f t="shared" ca="1" si="8"/>
        <v>#NAME?</v>
      </c>
      <c r="N71" s="120" t="e">
        <f ca="1">IF([0]!CSVVLookUP(ROW(行数!A63),配列!$C$4,集計記録,6,1)=0,"",[0]!CSVVLookUP(ROW(行数!A63),配列!$C$4,集計記録,6,1))</f>
        <v>#NAME?</v>
      </c>
      <c r="O71" s="88" t="e">
        <f ca="1">IF(INDIRECT("M"&amp;ROW()-1)&lt;&gt;INDIRECT("M"&amp;ROW()),リスト!$I$5,"")</f>
        <v>#NAME?</v>
      </c>
      <c r="P71" s="88" t="e">
        <f ca="1">IF(INDIRECT("M"&amp;ROW())&lt;&gt;INDIRECT("M"&amp;ROW()+1),リスト!$I$6,"")</f>
        <v>#NAME?</v>
      </c>
    </row>
    <row r="72" spans="1:16" x14ac:dyDescent="0.2">
      <c r="A72" s="169" t="e">
        <f ca="1">IF(C72="","",ROW(行数!A64))</f>
        <v>#NAME?</v>
      </c>
      <c r="B72" s="168" t="e">
        <f t="shared" ca="1" si="2"/>
        <v>#NAME?</v>
      </c>
      <c r="C72" s="90" t="e">
        <f ca="1">[0]!CSVVLookUP(ROW(行数!A64),配列!$C$4,集計記録,3,1)</f>
        <v>#NAME?</v>
      </c>
      <c r="D72" s="90" t="e">
        <f ca="1">[0]!CSVVLookUP(ROW(行数!B64),配列!$C$4,集計記録,4,1)</f>
        <v>#NAME?</v>
      </c>
      <c r="E72" s="118" t="e">
        <f t="shared" ca="1" si="3"/>
        <v>#NAME?</v>
      </c>
      <c r="F72" s="118" t="e">
        <f t="shared" ca="1" si="4"/>
        <v>#NAME?</v>
      </c>
      <c r="G72" s="103" t="e">
        <f t="shared" ca="1" si="5"/>
        <v>#NAME?</v>
      </c>
      <c r="H72" s="104" t="e">
        <f ca="1">IF(C72="","",MROUND([0]!CSVVLookUP(ROW(行数!A64),配列!$C$4,集計記録,8,1),"0:01"))</f>
        <v>#NAME?</v>
      </c>
      <c r="I72" s="104" t="e">
        <f t="shared" ca="1" si="6"/>
        <v>#NAME?</v>
      </c>
      <c r="J72" s="119" t="e">
        <f ca="1">IF(C72="","",MROUND([0]!CSVVLookUP(ROW(行数!A64),配列!$C$4,集計記録,7,1),"0:01"))</f>
        <v>#NAME?</v>
      </c>
      <c r="K72" s="92" t="e">
        <f ca="1">IF(C72="","",[0]!CSVVLookUP(ROW(行数!A64),配列!$C$4,集計記録,5,1))</f>
        <v>#NAME?</v>
      </c>
      <c r="L72" s="104" t="e">
        <f t="shared" ca="1" si="7"/>
        <v>#NAME?</v>
      </c>
      <c r="M72" s="120" t="e">
        <f t="shared" ca="1" si="8"/>
        <v>#NAME?</v>
      </c>
      <c r="N72" s="120" t="e">
        <f ca="1">IF([0]!CSVVLookUP(ROW(行数!A64),配列!$C$4,集計記録,6,1)=0,"",[0]!CSVVLookUP(ROW(行数!A64),配列!$C$4,集計記録,6,1))</f>
        <v>#NAME?</v>
      </c>
      <c r="O72" s="88" t="e">
        <f ca="1">IF(INDIRECT("M"&amp;ROW()-1)&lt;&gt;INDIRECT("M"&amp;ROW()),リスト!$I$5,"")</f>
        <v>#NAME?</v>
      </c>
      <c r="P72" s="88" t="e">
        <f ca="1">IF(INDIRECT("M"&amp;ROW())&lt;&gt;INDIRECT("M"&amp;ROW()+1),リスト!$I$6,"")</f>
        <v>#NAME?</v>
      </c>
    </row>
    <row r="73" spans="1:16" x14ac:dyDescent="0.2">
      <c r="A73" s="169" t="e">
        <f ca="1">IF(C73="","",ROW(行数!A65))</f>
        <v>#NAME?</v>
      </c>
      <c r="B73" s="168" t="e">
        <f t="shared" ca="1" si="2"/>
        <v>#NAME?</v>
      </c>
      <c r="C73" s="90" t="e">
        <f ca="1">[0]!CSVVLookUP(ROW(行数!A65),配列!$C$4,集計記録,3,1)</f>
        <v>#NAME?</v>
      </c>
      <c r="D73" s="90" t="e">
        <f ca="1">[0]!CSVVLookUP(ROW(行数!B65),配列!$C$4,集計記録,4,1)</f>
        <v>#NAME?</v>
      </c>
      <c r="E73" s="118" t="e">
        <f t="shared" ca="1" si="3"/>
        <v>#NAME?</v>
      </c>
      <c r="F73" s="118" t="e">
        <f t="shared" ca="1" si="4"/>
        <v>#NAME?</v>
      </c>
      <c r="G73" s="103" t="e">
        <f t="shared" ca="1" si="5"/>
        <v>#NAME?</v>
      </c>
      <c r="H73" s="104" t="e">
        <f ca="1">IF(C73="","",MROUND([0]!CSVVLookUP(ROW(行数!A65),配列!$C$4,集計記録,8,1),"0:01"))</f>
        <v>#NAME?</v>
      </c>
      <c r="I73" s="104" t="e">
        <f t="shared" ca="1" si="6"/>
        <v>#NAME?</v>
      </c>
      <c r="J73" s="119" t="e">
        <f ca="1">IF(C73="","",MROUND([0]!CSVVLookUP(ROW(行数!A65),配列!$C$4,集計記録,7,1),"0:01"))</f>
        <v>#NAME?</v>
      </c>
      <c r="K73" s="92" t="e">
        <f ca="1">IF(C73="","",[0]!CSVVLookUP(ROW(行数!A65),配列!$C$4,集計記録,5,1))</f>
        <v>#NAME?</v>
      </c>
      <c r="L73" s="104" t="e">
        <f t="shared" ca="1" si="7"/>
        <v>#NAME?</v>
      </c>
      <c r="M73" s="120" t="e">
        <f t="shared" ref="M73:M136" ca="1" si="9">IF(C73="","",VLOOKUP(C73,運転条件判定,13,1))</f>
        <v>#NAME?</v>
      </c>
      <c r="N73" s="120" t="e">
        <f ca="1">IF([0]!CSVVLookUP(ROW(行数!A65),配列!$C$4,集計記録,6,1)=0,"",[0]!CSVVLookUP(ROW(行数!A65),配列!$C$4,集計記録,6,1))</f>
        <v>#NAME?</v>
      </c>
      <c r="O73" s="88" t="e">
        <f ca="1">IF(INDIRECT("M"&amp;ROW()-1)&lt;&gt;INDIRECT("M"&amp;ROW()),リスト!$I$5,"")</f>
        <v>#NAME?</v>
      </c>
      <c r="P73" s="88" t="e">
        <f ca="1">IF(INDIRECT("M"&amp;ROW())&lt;&gt;INDIRECT("M"&amp;ROW()+1),リスト!$I$6,"")</f>
        <v>#NAME?</v>
      </c>
    </row>
    <row r="74" spans="1:16" x14ac:dyDescent="0.2">
      <c r="A74" s="169" t="e">
        <f ca="1">IF(C74="","",ROW(行数!A66))</f>
        <v>#NAME?</v>
      </c>
      <c r="B74" s="168" t="e">
        <f t="shared" ref="B74:B137" ca="1" si="10">IF(C74="","",VLOOKUP(C74,ユニット判定用,3))</f>
        <v>#NAME?</v>
      </c>
      <c r="C74" s="90" t="e">
        <f ca="1">[0]!CSVVLookUP(ROW(行数!A66),配列!$C$4,集計記録,3,1)</f>
        <v>#NAME?</v>
      </c>
      <c r="D74" s="90" t="e">
        <f ca="1">[0]!CSVVLookUP(ROW(行数!B66),配列!$C$4,集計記録,4,1)</f>
        <v>#NAME?</v>
      </c>
      <c r="E74" s="118" t="e">
        <f t="shared" ref="E74:E137" ca="1" si="11">IF(C74="","",D74-C74)</f>
        <v>#NAME?</v>
      </c>
      <c r="F74" s="118" t="e">
        <f t="shared" ref="F74:F137" ca="1" si="12">IF(C74="","",E74-H74-I74)</f>
        <v>#NAME?</v>
      </c>
      <c r="G74" s="103" t="e">
        <f t="shared" ref="G74:G137" ca="1" si="13">IF(C74="","",F74/E74)</f>
        <v>#NAME?</v>
      </c>
      <c r="H74" s="104" t="e">
        <f ca="1">IF(C74="","",MROUND([0]!CSVVLookUP(ROW(行数!A66),配列!$C$4,集計記録,8,1),"0:01"))</f>
        <v>#NAME?</v>
      </c>
      <c r="I74" s="104" t="e">
        <f t="shared" ref="I74:I137" ca="1" si="14">IF(C74="","",MROUND(J74-H74,"0:01"))</f>
        <v>#NAME?</v>
      </c>
      <c r="J74" s="119" t="e">
        <f ca="1">IF(C74="","",MROUND([0]!CSVVLookUP(ROW(行数!A66),配列!$C$4,集計記録,7,1),"0:01"))</f>
        <v>#NAME?</v>
      </c>
      <c r="K74" s="92" t="e">
        <f ca="1">IF(C74="","",[0]!CSVVLookUP(ROW(行数!A66),配列!$C$4,集計記録,5,1))</f>
        <v>#NAME?</v>
      </c>
      <c r="L74" s="104" t="e">
        <f t="shared" ref="L74:L137" ca="1" si="15">IF(C74="","",MROUND(E74/(K74+1),"00:01"))</f>
        <v>#NAME?</v>
      </c>
      <c r="M74" s="120" t="e">
        <f t="shared" ca="1" si="9"/>
        <v>#NAME?</v>
      </c>
      <c r="N74" s="120" t="e">
        <f ca="1">IF([0]!CSVVLookUP(ROW(行数!A66),配列!$C$4,集計記録,6,1)=0,"",[0]!CSVVLookUP(ROW(行数!A66),配列!$C$4,集計記録,6,1))</f>
        <v>#NAME?</v>
      </c>
      <c r="O74" s="88" t="e">
        <f ca="1">IF(INDIRECT("M"&amp;ROW()-1)&lt;&gt;INDIRECT("M"&amp;ROW()),リスト!$I$5,"")</f>
        <v>#NAME?</v>
      </c>
      <c r="P74" s="88" t="e">
        <f ca="1">IF(INDIRECT("M"&amp;ROW())&lt;&gt;INDIRECT("M"&amp;ROW()+1),リスト!$I$6,"")</f>
        <v>#NAME?</v>
      </c>
    </row>
    <row r="75" spans="1:16" x14ac:dyDescent="0.2">
      <c r="A75" s="169" t="e">
        <f ca="1">IF(C75="","",ROW(行数!A67))</f>
        <v>#NAME?</v>
      </c>
      <c r="B75" s="168" t="e">
        <f t="shared" ca="1" si="10"/>
        <v>#NAME?</v>
      </c>
      <c r="C75" s="90" t="e">
        <f ca="1">[0]!CSVVLookUP(ROW(行数!A67),配列!$C$4,集計記録,3,1)</f>
        <v>#NAME?</v>
      </c>
      <c r="D75" s="90" t="e">
        <f ca="1">[0]!CSVVLookUP(ROW(行数!B67),配列!$C$4,集計記録,4,1)</f>
        <v>#NAME?</v>
      </c>
      <c r="E75" s="118" t="e">
        <f t="shared" ca="1" si="11"/>
        <v>#NAME?</v>
      </c>
      <c r="F75" s="118" t="e">
        <f t="shared" ca="1" si="12"/>
        <v>#NAME?</v>
      </c>
      <c r="G75" s="103" t="e">
        <f t="shared" ca="1" si="13"/>
        <v>#NAME?</v>
      </c>
      <c r="H75" s="104" t="e">
        <f ca="1">IF(C75="","",MROUND([0]!CSVVLookUP(ROW(行数!A67),配列!$C$4,集計記録,8,1),"0:01"))</f>
        <v>#NAME?</v>
      </c>
      <c r="I75" s="104" t="e">
        <f t="shared" ca="1" si="14"/>
        <v>#NAME?</v>
      </c>
      <c r="J75" s="119" t="e">
        <f ca="1">IF(C75="","",MROUND([0]!CSVVLookUP(ROW(行数!A67),配列!$C$4,集計記録,7,1),"0:01"))</f>
        <v>#NAME?</v>
      </c>
      <c r="K75" s="92" t="e">
        <f ca="1">IF(C75="","",[0]!CSVVLookUP(ROW(行数!A67),配列!$C$4,集計記録,5,1))</f>
        <v>#NAME?</v>
      </c>
      <c r="L75" s="104" t="e">
        <f t="shared" ca="1" si="15"/>
        <v>#NAME?</v>
      </c>
      <c r="M75" s="120" t="e">
        <f t="shared" ca="1" si="9"/>
        <v>#NAME?</v>
      </c>
      <c r="N75" s="120" t="e">
        <f ca="1">IF([0]!CSVVLookUP(ROW(行数!A67),配列!$C$4,集計記録,6,1)=0,"",[0]!CSVVLookUP(ROW(行数!A67),配列!$C$4,集計記録,6,1))</f>
        <v>#NAME?</v>
      </c>
      <c r="O75" s="88" t="e">
        <f ca="1">IF(INDIRECT("M"&amp;ROW()-1)&lt;&gt;INDIRECT("M"&amp;ROW()),リスト!$I$5,"")</f>
        <v>#NAME?</v>
      </c>
      <c r="P75" s="88" t="e">
        <f ca="1">IF(INDIRECT("M"&amp;ROW())&lt;&gt;INDIRECT("M"&amp;ROW()+1),リスト!$I$6,"")</f>
        <v>#NAME?</v>
      </c>
    </row>
    <row r="76" spans="1:16" x14ac:dyDescent="0.2">
      <c r="A76" s="169" t="e">
        <f ca="1">IF(C76="","",ROW(行数!A68))</f>
        <v>#NAME?</v>
      </c>
      <c r="B76" s="168" t="e">
        <f t="shared" ca="1" si="10"/>
        <v>#NAME?</v>
      </c>
      <c r="C76" s="90" t="e">
        <f ca="1">[0]!CSVVLookUP(ROW(行数!A68),配列!$C$4,集計記録,3,1)</f>
        <v>#NAME?</v>
      </c>
      <c r="D76" s="90" t="e">
        <f ca="1">[0]!CSVVLookUP(ROW(行数!B68),配列!$C$4,集計記録,4,1)</f>
        <v>#NAME?</v>
      </c>
      <c r="E76" s="118" t="e">
        <f t="shared" ca="1" si="11"/>
        <v>#NAME?</v>
      </c>
      <c r="F76" s="118" t="e">
        <f t="shared" ca="1" si="12"/>
        <v>#NAME?</v>
      </c>
      <c r="G76" s="103" t="e">
        <f t="shared" ca="1" si="13"/>
        <v>#NAME?</v>
      </c>
      <c r="H76" s="104" t="e">
        <f ca="1">IF(C76="","",MROUND([0]!CSVVLookUP(ROW(行数!A68),配列!$C$4,集計記録,8,1),"0:01"))</f>
        <v>#NAME?</v>
      </c>
      <c r="I76" s="104" t="e">
        <f t="shared" ca="1" si="14"/>
        <v>#NAME?</v>
      </c>
      <c r="J76" s="119" t="e">
        <f ca="1">IF(C76="","",MROUND([0]!CSVVLookUP(ROW(行数!A68),配列!$C$4,集計記録,7,1),"0:01"))</f>
        <v>#NAME?</v>
      </c>
      <c r="K76" s="92" t="e">
        <f ca="1">IF(C76="","",[0]!CSVVLookUP(ROW(行数!A68),配列!$C$4,集計記録,5,1))</f>
        <v>#NAME?</v>
      </c>
      <c r="L76" s="104" t="e">
        <f t="shared" ca="1" si="15"/>
        <v>#NAME?</v>
      </c>
      <c r="M76" s="120" t="e">
        <f t="shared" ca="1" si="9"/>
        <v>#NAME?</v>
      </c>
      <c r="N76" s="120" t="e">
        <f ca="1">IF([0]!CSVVLookUP(ROW(行数!A68),配列!$C$4,集計記録,6,1)=0,"",[0]!CSVVLookUP(ROW(行数!A68),配列!$C$4,集計記録,6,1))</f>
        <v>#NAME?</v>
      </c>
      <c r="O76" s="88" t="e">
        <f ca="1">IF(INDIRECT("M"&amp;ROW()-1)&lt;&gt;INDIRECT("M"&amp;ROW()),リスト!$I$5,"")</f>
        <v>#NAME?</v>
      </c>
      <c r="P76" s="88" t="e">
        <f ca="1">IF(INDIRECT("M"&amp;ROW())&lt;&gt;INDIRECT("M"&amp;ROW()+1),リスト!$I$6,"")</f>
        <v>#NAME?</v>
      </c>
    </row>
    <row r="77" spans="1:16" x14ac:dyDescent="0.2">
      <c r="A77" s="169" t="e">
        <f ca="1">IF(C77="","",ROW(行数!A69))</f>
        <v>#NAME?</v>
      </c>
      <c r="B77" s="168" t="e">
        <f t="shared" ca="1" si="10"/>
        <v>#NAME?</v>
      </c>
      <c r="C77" s="90" t="e">
        <f ca="1">[0]!CSVVLookUP(ROW(行数!A69),配列!$C$4,集計記録,3,1)</f>
        <v>#NAME?</v>
      </c>
      <c r="D77" s="90" t="e">
        <f ca="1">[0]!CSVVLookUP(ROW(行数!B69),配列!$C$4,集計記録,4,1)</f>
        <v>#NAME?</v>
      </c>
      <c r="E77" s="118" t="e">
        <f t="shared" ca="1" si="11"/>
        <v>#NAME?</v>
      </c>
      <c r="F77" s="118" t="e">
        <f t="shared" ca="1" si="12"/>
        <v>#NAME?</v>
      </c>
      <c r="G77" s="103" t="e">
        <f t="shared" ca="1" si="13"/>
        <v>#NAME?</v>
      </c>
      <c r="H77" s="104" t="e">
        <f ca="1">IF(C77="","",MROUND([0]!CSVVLookUP(ROW(行数!A69),配列!$C$4,集計記録,8,1),"0:01"))</f>
        <v>#NAME?</v>
      </c>
      <c r="I77" s="104" t="e">
        <f t="shared" ca="1" si="14"/>
        <v>#NAME?</v>
      </c>
      <c r="J77" s="119" t="e">
        <f ca="1">IF(C77="","",MROUND([0]!CSVVLookUP(ROW(行数!A69),配列!$C$4,集計記録,7,1),"0:01"))</f>
        <v>#NAME?</v>
      </c>
      <c r="K77" s="92" t="e">
        <f ca="1">IF(C77="","",[0]!CSVVLookUP(ROW(行数!A69),配列!$C$4,集計記録,5,1))</f>
        <v>#NAME?</v>
      </c>
      <c r="L77" s="104" t="e">
        <f t="shared" ca="1" si="15"/>
        <v>#NAME?</v>
      </c>
      <c r="M77" s="120" t="e">
        <f t="shared" ca="1" si="9"/>
        <v>#NAME?</v>
      </c>
      <c r="N77" s="120" t="e">
        <f ca="1">IF([0]!CSVVLookUP(ROW(行数!A69),配列!$C$4,集計記録,6,1)=0,"",[0]!CSVVLookUP(ROW(行数!A69),配列!$C$4,集計記録,6,1))</f>
        <v>#NAME?</v>
      </c>
      <c r="O77" s="88" t="e">
        <f ca="1">IF(INDIRECT("M"&amp;ROW()-1)&lt;&gt;INDIRECT("M"&amp;ROW()),リスト!$I$5,"")</f>
        <v>#NAME?</v>
      </c>
      <c r="P77" s="88" t="e">
        <f ca="1">IF(INDIRECT("M"&amp;ROW())&lt;&gt;INDIRECT("M"&amp;ROW()+1),リスト!$I$6,"")</f>
        <v>#NAME?</v>
      </c>
    </row>
    <row r="78" spans="1:16" x14ac:dyDescent="0.2">
      <c r="A78" s="169" t="e">
        <f ca="1">IF(C78="","",ROW(行数!A70))</f>
        <v>#NAME?</v>
      </c>
      <c r="B78" s="168" t="e">
        <f t="shared" ca="1" si="10"/>
        <v>#NAME?</v>
      </c>
      <c r="C78" s="90" t="e">
        <f ca="1">[0]!CSVVLookUP(ROW(行数!A70),配列!$C$4,集計記録,3,1)</f>
        <v>#NAME?</v>
      </c>
      <c r="D78" s="90" t="e">
        <f ca="1">[0]!CSVVLookUP(ROW(行数!B70),配列!$C$4,集計記録,4,1)</f>
        <v>#NAME?</v>
      </c>
      <c r="E78" s="118" t="e">
        <f t="shared" ca="1" si="11"/>
        <v>#NAME?</v>
      </c>
      <c r="F78" s="118" t="e">
        <f t="shared" ca="1" si="12"/>
        <v>#NAME?</v>
      </c>
      <c r="G78" s="103" t="e">
        <f t="shared" ca="1" si="13"/>
        <v>#NAME?</v>
      </c>
      <c r="H78" s="104" t="e">
        <f ca="1">IF(C78="","",MROUND([0]!CSVVLookUP(ROW(行数!A70),配列!$C$4,集計記録,8,1),"0:01"))</f>
        <v>#NAME?</v>
      </c>
      <c r="I78" s="104" t="e">
        <f t="shared" ca="1" si="14"/>
        <v>#NAME?</v>
      </c>
      <c r="J78" s="119" t="e">
        <f ca="1">IF(C78="","",MROUND([0]!CSVVLookUP(ROW(行数!A70),配列!$C$4,集計記録,7,1),"0:01"))</f>
        <v>#NAME?</v>
      </c>
      <c r="K78" s="92" t="e">
        <f ca="1">IF(C78="","",[0]!CSVVLookUP(ROW(行数!A70),配列!$C$4,集計記録,5,1))</f>
        <v>#NAME?</v>
      </c>
      <c r="L78" s="104" t="e">
        <f t="shared" ca="1" si="15"/>
        <v>#NAME?</v>
      </c>
      <c r="M78" s="120" t="e">
        <f t="shared" ca="1" si="9"/>
        <v>#NAME?</v>
      </c>
      <c r="N78" s="120" t="e">
        <f ca="1">IF([0]!CSVVLookUP(ROW(行数!A70),配列!$C$4,集計記録,6,1)=0,"",[0]!CSVVLookUP(ROW(行数!A70),配列!$C$4,集計記録,6,1))</f>
        <v>#NAME?</v>
      </c>
      <c r="O78" s="88" t="e">
        <f ca="1">IF(INDIRECT("M"&amp;ROW()-1)&lt;&gt;INDIRECT("M"&amp;ROW()),リスト!$I$5,"")</f>
        <v>#NAME?</v>
      </c>
      <c r="P78" s="88" t="e">
        <f ca="1">IF(INDIRECT("M"&amp;ROW())&lt;&gt;INDIRECT("M"&amp;ROW()+1),リスト!$I$6,"")</f>
        <v>#NAME?</v>
      </c>
    </row>
    <row r="79" spans="1:16" x14ac:dyDescent="0.2">
      <c r="A79" s="169" t="e">
        <f ca="1">IF(C79="","",ROW(行数!A71))</f>
        <v>#NAME?</v>
      </c>
      <c r="B79" s="168" t="e">
        <f t="shared" ca="1" si="10"/>
        <v>#NAME?</v>
      </c>
      <c r="C79" s="90" t="e">
        <f ca="1">[0]!CSVVLookUP(ROW(行数!A71),配列!$C$4,集計記録,3,1)</f>
        <v>#NAME?</v>
      </c>
      <c r="D79" s="90" t="e">
        <f ca="1">[0]!CSVVLookUP(ROW(行数!B71),配列!$C$4,集計記録,4,1)</f>
        <v>#NAME?</v>
      </c>
      <c r="E79" s="118" t="e">
        <f t="shared" ca="1" si="11"/>
        <v>#NAME?</v>
      </c>
      <c r="F79" s="118" t="e">
        <f t="shared" ca="1" si="12"/>
        <v>#NAME?</v>
      </c>
      <c r="G79" s="103" t="e">
        <f t="shared" ca="1" si="13"/>
        <v>#NAME?</v>
      </c>
      <c r="H79" s="104" t="e">
        <f ca="1">IF(C79="","",MROUND([0]!CSVVLookUP(ROW(行数!A71),配列!$C$4,集計記録,8,1),"0:01"))</f>
        <v>#NAME?</v>
      </c>
      <c r="I79" s="104" t="e">
        <f t="shared" ca="1" si="14"/>
        <v>#NAME?</v>
      </c>
      <c r="J79" s="119" t="e">
        <f ca="1">IF(C79="","",MROUND([0]!CSVVLookUP(ROW(行数!A71),配列!$C$4,集計記録,7,1),"0:01"))</f>
        <v>#NAME?</v>
      </c>
      <c r="K79" s="92" t="e">
        <f ca="1">IF(C79="","",[0]!CSVVLookUP(ROW(行数!A71),配列!$C$4,集計記録,5,1))</f>
        <v>#NAME?</v>
      </c>
      <c r="L79" s="104" t="e">
        <f t="shared" ca="1" si="15"/>
        <v>#NAME?</v>
      </c>
      <c r="M79" s="120" t="e">
        <f t="shared" ca="1" si="9"/>
        <v>#NAME?</v>
      </c>
      <c r="N79" s="120" t="e">
        <f ca="1">IF([0]!CSVVLookUP(ROW(行数!A71),配列!$C$4,集計記録,6,1)=0,"",[0]!CSVVLookUP(ROW(行数!A71),配列!$C$4,集計記録,6,1))</f>
        <v>#NAME?</v>
      </c>
      <c r="O79" s="88" t="e">
        <f ca="1">IF(INDIRECT("M"&amp;ROW()-1)&lt;&gt;INDIRECT("M"&amp;ROW()),リスト!$I$5,"")</f>
        <v>#NAME?</v>
      </c>
      <c r="P79" s="88" t="e">
        <f ca="1">IF(INDIRECT("M"&amp;ROW())&lt;&gt;INDIRECT("M"&amp;ROW()+1),リスト!$I$6,"")</f>
        <v>#NAME?</v>
      </c>
    </row>
    <row r="80" spans="1:16" x14ac:dyDescent="0.2">
      <c r="A80" s="169" t="e">
        <f ca="1">IF(C80="","",ROW(行数!A72))</f>
        <v>#NAME?</v>
      </c>
      <c r="B80" s="168" t="e">
        <f t="shared" ca="1" si="10"/>
        <v>#NAME?</v>
      </c>
      <c r="C80" s="90" t="e">
        <f ca="1">[0]!CSVVLookUP(ROW(行数!A72),配列!$C$4,集計記録,3,1)</f>
        <v>#NAME?</v>
      </c>
      <c r="D80" s="90" t="e">
        <f ca="1">[0]!CSVVLookUP(ROW(行数!B72),配列!$C$4,集計記録,4,1)</f>
        <v>#NAME?</v>
      </c>
      <c r="E80" s="118" t="e">
        <f t="shared" ca="1" si="11"/>
        <v>#NAME?</v>
      </c>
      <c r="F80" s="118" t="e">
        <f t="shared" ca="1" si="12"/>
        <v>#NAME?</v>
      </c>
      <c r="G80" s="103" t="e">
        <f t="shared" ca="1" si="13"/>
        <v>#NAME?</v>
      </c>
      <c r="H80" s="104" t="e">
        <f ca="1">IF(C80="","",MROUND([0]!CSVVLookUP(ROW(行数!A72),配列!$C$4,集計記録,8,1),"0:01"))</f>
        <v>#NAME?</v>
      </c>
      <c r="I80" s="104" t="e">
        <f t="shared" ca="1" si="14"/>
        <v>#NAME?</v>
      </c>
      <c r="J80" s="119" t="e">
        <f ca="1">IF(C80="","",MROUND([0]!CSVVLookUP(ROW(行数!A72),配列!$C$4,集計記録,7,1),"0:01"))</f>
        <v>#NAME?</v>
      </c>
      <c r="K80" s="92" t="e">
        <f ca="1">IF(C80="","",[0]!CSVVLookUP(ROW(行数!A72),配列!$C$4,集計記録,5,1))</f>
        <v>#NAME?</v>
      </c>
      <c r="L80" s="104" t="e">
        <f t="shared" ca="1" si="15"/>
        <v>#NAME?</v>
      </c>
      <c r="M80" s="120" t="e">
        <f t="shared" ca="1" si="9"/>
        <v>#NAME?</v>
      </c>
      <c r="N80" s="120" t="e">
        <f ca="1">IF([0]!CSVVLookUP(ROW(行数!A72),配列!$C$4,集計記録,6,1)=0,"",[0]!CSVVLookUP(ROW(行数!A72),配列!$C$4,集計記録,6,1))</f>
        <v>#NAME?</v>
      </c>
      <c r="O80" s="88" t="e">
        <f ca="1">IF(INDIRECT("M"&amp;ROW()-1)&lt;&gt;INDIRECT("M"&amp;ROW()),リスト!$I$5,"")</f>
        <v>#NAME?</v>
      </c>
      <c r="P80" s="88" t="e">
        <f ca="1">IF(INDIRECT("M"&amp;ROW())&lt;&gt;INDIRECT("M"&amp;ROW()+1),リスト!$I$6,"")</f>
        <v>#NAME?</v>
      </c>
    </row>
    <row r="81" spans="1:16" x14ac:dyDescent="0.2">
      <c r="A81" s="169" t="e">
        <f ca="1">IF(C81="","",ROW(行数!A73))</f>
        <v>#NAME?</v>
      </c>
      <c r="B81" s="168" t="e">
        <f t="shared" ca="1" si="10"/>
        <v>#NAME?</v>
      </c>
      <c r="C81" s="90" t="e">
        <f ca="1">[0]!CSVVLookUP(ROW(行数!A73),配列!$C$4,集計記録,3,1)</f>
        <v>#NAME?</v>
      </c>
      <c r="D81" s="90" t="e">
        <f ca="1">[0]!CSVVLookUP(ROW(行数!B73),配列!$C$4,集計記録,4,1)</f>
        <v>#NAME?</v>
      </c>
      <c r="E81" s="118" t="e">
        <f t="shared" ca="1" si="11"/>
        <v>#NAME?</v>
      </c>
      <c r="F81" s="118" t="e">
        <f t="shared" ca="1" si="12"/>
        <v>#NAME?</v>
      </c>
      <c r="G81" s="103" t="e">
        <f t="shared" ca="1" si="13"/>
        <v>#NAME?</v>
      </c>
      <c r="H81" s="104" t="e">
        <f ca="1">IF(C81="","",MROUND([0]!CSVVLookUP(ROW(行数!A73),配列!$C$4,集計記録,8,1),"0:01"))</f>
        <v>#NAME?</v>
      </c>
      <c r="I81" s="104" t="e">
        <f t="shared" ca="1" si="14"/>
        <v>#NAME?</v>
      </c>
      <c r="J81" s="119" t="e">
        <f ca="1">IF(C81="","",MROUND([0]!CSVVLookUP(ROW(行数!A73),配列!$C$4,集計記録,7,1),"0:01"))</f>
        <v>#NAME?</v>
      </c>
      <c r="K81" s="92" t="e">
        <f ca="1">IF(C81="","",[0]!CSVVLookUP(ROW(行数!A73),配列!$C$4,集計記録,5,1))</f>
        <v>#NAME?</v>
      </c>
      <c r="L81" s="104" t="e">
        <f t="shared" ca="1" si="15"/>
        <v>#NAME?</v>
      </c>
      <c r="M81" s="120" t="e">
        <f t="shared" ca="1" si="9"/>
        <v>#NAME?</v>
      </c>
      <c r="N81" s="120" t="e">
        <f ca="1">IF([0]!CSVVLookUP(ROW(行数!A73),配列!$C$4,集計記録,6,1)=0,"",[0]!CSVVLookUP(ROW(行数!A73),配列!$C$4,集計記録,6,1))</f>
        <v>#NAME?</v>
      </c>
      <c r="O81" s="88" t="e">
        <f ca="1">IF(INDIRECT("M"&amp;ROW()-1)&lt;&gt;INDIRECT("M"&amp;ROW()),リスト!$I$5,"")</f>
        <v>#NAME?</v>
      </c>
      <c r="P81" s="88" t="e">
        <f ca="1">IF(INDIRECT("M"&amp;ROW())&lt;&gt;INDIRECT("M"&amp;ROW()+1),リスト!$I$6,"")</f>
        <v>#NAME?</v>
      </c>
    </row>
    <row r="82" spans="1:16" x14ac:dyDescent="0.2">
      <c r="A82" s="169" t="e">
        <f ca="1">IF(C82="","",ROW(行数!A74))</f>
        <v>#NAME?</v>
      </c>
      <c r="B82" s="168" t="e">
        <f t="shared" ca="1" si="10"/>
        <v>#NAME?</v>
      </c>
      <c r="C82" s="90" t="e">
        <f ca="1">[0]!CSVVLookUP(ROW(行数!A74),配列!$C$4,集計記録,3,1)</f>
        <v>#NAME?</v>
      </c>
      <c r="D82" s="90" t="e">
        <f ca="1">[0]!CSVVLookUP(ROW(行数!B74),配列!$C$4,集計記録,4,1)</f>
        <v>#NAME?</v>
      </c>
      <c r="E82" s="118" t="e">
        <f t="shared" ca="1" si="11"/>
        <v>#NAME?</v>
      </c>
      <c r="F82" s="118" t="e">
        <f t="shared" ca="1" si="12"/>
        <v>#NAME?</v>
      </c>
      <c r="G82" s="103" t="e">
        <f t="shared" ca="1" si="13"/>
        <v>#NAME?</v>
      </c>
      <c r="H82" s="104" t="e">
        <f ca="1">IF(C82="","",MROUND([0]!CSVVLookUP(ROW(行数!A74),配列!$C$4,集計記録,8,1),"0:01"))</f>
        <v>#NAME?</v>
      </c>
      <c r="I82" s="104" t="e">
        <f t="shared" ca="1" si="14"/>
        <v>#NAME?</v>
      </c>
      <c r="J82" s="119" t="e">
        <f ca="1">IF(C82="","",MROUND([0]!CSVVLookUP(ROW(行数!A74),配列!$C$4,集計記録,7,1),"0:01"))</f>
        <v>#NAME?</v>
      </c>
      <c r="K82" s="92" t="e">
        <f ca="1">IF(C82="","",[0]!CSVVLookUP(ROW(行数!A74),配列!$C$4,集計記録,5,1))</f>
        <v>#NAME?</v>
      </c>
      <c r="L82" s="104" t="e">
        <f t="shared" ca="1" si="15"/>
        <v>#NAME?</v>
      </c>
      <c r="M82" s="120" t="e">
        <f t="shared" ca="1" si="9"/>
        <v>#NAME?</v>
      </c>
      <c r="N82" s="120" t="e">
        <f ca="1">IF([0]!CSVVLookUP(ROW(行数!A74),配列!$C$4,集計記録,6,1)=0,"",[0]!CSVVLookUP(ROW(行数!A74),配列!$C$4,集計記録,6,1))</f>
        <v>#NAME?</v>
      </c>
      <c r="O82" s="88" t="e">
        <f ca="1">IF(INDIRECT("M"&amp;ROW()-1)&lt;&gt;INDIRECT("M"&amp;ROW()),リスト!$I$5,"")</f>
        <v>#NAME?</v>
      </c>
      <c r="P82" s="88" t="e">
        <f ca="1">IF(INDIRECT("M"&amp;ROW())&lt;&gt;INDIRECT("M"&amp;ROW()+1),リスト!$I$6,"")</f>
        <v>#NAME?</v>
      </c>
    </row>
    <row r="83" spans="1:16" x14ac:dyDescent="0.2">
      <c r="A83" s="169" t="e">
        <f ca="1">IF(C83="","",ROW(行数!A75))</f>
        <v>#NAME?</v>
      </c>
      <c r="B83" s="168" t="e">
        <f t="shared" ca="1" si="10"/>
        <v>#NAME?</v>
      </c>
      <c r="C83" s="90" t="e">
        <f ca="1">[0]!CSVVLookUP(ROW(行数!A75),配列!$C$4,集計記録,3,1)</f>
        <v>#NAME?</v>
      </c>
      <c r="D83" s="90" t="e">
        <f ca="1">[0]!CSVVLookUP(ROW(行数!B75),配列!$C$4,集計記録,4,1)</f>
        <v>#NAME?</v>
      </c>
      <c r="E83" s="118" t="e">
        <f t="shared" ca="1" si="11"/>
        <v>#NAME?</v>
      </c>
      <c r="F83" s="118" t="e">
        <f t="shared" ca="1" si="12"/>
        <v>#NAME?</v>
      </c>
      <c r="G83" s="103" t="e">
        <f t="shared" ca="1" si="13"/>
        <v>#NAME?</v>
      </c>
      <c r="H83" s="104" t="e">
        <f ca="1">IF(C83="","",MROUND([0]!CSVVLookUP(ROW(行数!A75),配列!$C$4,集計記録,8,1),"0:01"))</f>
        <v>#NAME?</v>
      </c>
      <c r="I83" s="104" t="e">
        <f t="shared" ca="1" si="14"/>
        <v>#NAME?</v>
      </c>
      <c r="J83" s="119" t="e">
        <f ca="1">IF(C83="","",MROUND([0]!CSVVLookUP(ROW(行数!A75),配列!$C$4,集計記録,7,1),"0:01"))</f>
        <v>#NAME?</v>
      </c>
      <c r="K83" s="92" t="e">
        <f ca="1">IF(C83="","",[0]!CSVVLookUP(ROW(行数!A75),配列!$C$4,集計記録,5,1))</f>
        <v>#NAME?</v>
      </c>
      <c r="L83" s="104" t="e">
        <f t="shared" ca="1" si="15"/>
        <v>#NAME?</v>
      </c>
      <c r="M83" s="120" t="e">
        <f t="shared" ca="1" si="9"/>
        <v>#NAME?</v>
      </c>
      <c r="N83" s="120" t="e">
        <f ca="1">IF([0]!CSVVLookUP(ROW(行数!A75),配列!$C$4,集計記録,6,1)=0,"",[0]!CSVVLookUP(ROW(行数!A75),配列!$C$4,集計記録,6,1))</f>
        <v>#NAME?</v>
      </c>
      <c r="O83" s="88" t="e">
        <f ca="1">IF(INDIRECT("M"&amp;ROW()-1)&lt;&gt;INDIRECT("M"&amp;ROW()),リスト!$I$5,"")</f>
        <v>#NAME?</v>
      </c>
      <c r="P83" s="88" t="e">
        <f ca="1">IF(INDIRECT("M"&amp;ROW())&lt;&gt;INDIRECT("M"&amp;ROW()+1),リスト!$I$6,"")</f>
        <v>#NAME?</v>
      </c>
    </row>
    <row r="84" spans="1:16" x14ac:dyDescent="0.2">
      <c r="A84" s="169" t="e">
        <f ca="1">IF(C84="","",ROW(行数!A76))</f>
        <v>#NAME?</v>
      </c>
      <c r="B84" s="168" t="e">
        <f t="shared" ca="1" si="10"/>
        <v>#NAME?</v>
      </c>
      <c r="C84" s="90" t="e">
        <f ca="1">[0]!CSVVLookUP(ROW(行数!A76),配列!$C$4,集計記録,3,1)</f>
        <v>#NAME?</v>
      </c>
      <c r="D84" s="90" t="e">
        <f ca="1">[0]!CSVVLookUP(ROW(行数!B76),配列!$C$4,集計記録,4,1)</f>
        <v>#NAME?</v>
      </c>
      <c r="E84" s="118" t="e">
        <f t="shared" ca="1" si="11"/>
        <v>#NAME?</v>
      </c>
      <c r="F84" s="118" t="e">
        <f t="shared" ca="1" si="12"/>
        <v>#NAME?</v>
      </c>
      <c r="G84" s="103" t="e">
        <f t="shared" ca="1" si="13"/>
        <v>#NAME?</v>
      </c>
      <c r="H84" s="104" t="e">
        <f ca="1">IF(C84="","",MROUND([0]!CSVVLookUP(ROW(行数!A76),配列!$C$4,集計記録,8,1),"0:01"))</f>
        <v>#NAME?</v>
      </c>
      <c r="I84" s="104" t="e">
        <f t="shared" ca="1" si="14"/>
        <v>#NAME?</v>
      </c>
      <c r="J84" s="119" t="e">
        <f ca="1">IF(C84="","",MROUND([0]!CSVVLookUP(ROW(行数!A76),配列!$C$4,集計記録,7,1),"0:01"))</f>
        <v>#NAME?</v>
      </c>
      <c r="K84" s="92" t="e">
        <f ca="1">IF(C84="","",[0]!CSVVLookUP(ROW(行数!A76),配列!$C$4,集計記録,5,1))</f>
        <v>#NAME?</v>
      </c>
      <c r="L84" s="104" t="e">
        <f t="shared" ca="1" si="15"/>
        <v>#NAME?</v>
      </c>
      <c r="M84" s="120" t="e">
        <f t="shared" ca="1" si="9"/>
        <v>#NAME?</v>
      </c>
      <c r="N84" s="120" t="e">
        <f ca="1">IF([0]!CSVVLookUP(ROW(行数!A76),配列!$C$4,集計記録,6,1)=0,"",[0]!CSVVLookUP(ROW(行数!A76),配列!$C$4,集計記録,6,1))</f>
        <v>#NAME?</v>
      </c>
      <c r="O84" s="88" t="e">
        <f ca="1">IF(INDIRECT("M"&amp;ROW()-1)&lt;&gt;INDIRECT("M"&amp;ROW()),リスト!$I$5,"")</f>
        <v>#NAME?</v>
      </c>
      <c r="P84" s="88" t="e">
        <f ca="1">IF(INDIRECT("M"&amp;ROW())&lt;&gt;INDIRECT("M"&amp;ROW()+1),リスト!$I$6,"")</f>
        <v>#NAME?</v>
      </c>
    </row>
    <row r="85" spans="1:16" x14ac:dyDescent="0.2">
      <c r="A85" s="169" t="e">
        <f ca="1">IF(C85="","",ROW(行数!A77))</f>
        <v>#NAME?</v>
      </c>
      <c r="B85" s="168" t="e">
        <f t="shared" ca="1" si="10"/>
        <v>#NAME?</v>
      </c>
      <c r="C85" s="90" t="e">
        <f ca="1">[0]!CSVVLookUP(ROW(行数!A77),配列!$C$4,集計記録,3,1)</f>
        <v>#NAME?</v>
      </c>
      <c r="D85" s="90" t="e">
        <f ca="1">[0]!CSVVLookUP(ROW(行数!B77),配列!$C$4,集計記録,4,1)</f>
        <v>#NAME?</v>
      </c>
      <c r="E85" s="118" t="e">
        <f t="shared" ca="1" si="11"/>
        <v>#NAME?</v>
      </c>
      <c r="F85" s="118" t="e">
        <f t="shared" ca="1" si="12"/>
        <v>#NAME?</v>
      </c>
      <c r="G85" s="103" t="e">
        <f t="shared" ca="1" si="13"/>
        <v>#NAME?</v>
      </c>
      <c r="H85" s="104" t="e">
        <f ca="1">IF(C85="","",MROUND([0]!CSVVLookUP(ROW(行数!A77),配列!$C$4,集計記録,8,1),"0:01"))</f>
        <v>#NAME?</v>
      </c>
      <c r="I85" s="104" t="e">
        <f t="shared" ca="1" si="14"/>
        <v>#NAME?</v>
      </c>
      <c r="J85" s="119" t="e">
        <f ca="1">IF(C85="","",MROUND([0]!CSVVLookUP(ROW(行数!A77),配列!$C$4,集計記録,7,1),"0:01"))</f>
        <v>#NAME?</v>
      </c>
      <c r="K85" s="92" t="e">
        <f ca="1">IF(C85="","",[0]!CSVVLookUP(ROW(行数!A77),配列!$C$4,集計記録,5,1))</f>
        <v>#NAME?</v>
      </c>
      <c r="L85" s="104" t="e">
        <f t="shared" ca="1" si="15"/>
        <v>#NAME?</v>
      </c>
      <c r="M85" s="120" t="e">
        <f t="shared" ca="1" si="9"/>
        <v>#NAME?</v>
      </c>
      <c r="N85" s="120" t="e">
        <f ca="1">IF([0]!CSVVLookUP(ROW(行数!A77),配列!$C$4,集計記録,6,1)=0,"",[0]!CSVVLookUP(ROW(行数!A77),配列!$C$4,集計記録,6,1))</f>
        <v>#NAME?</v>
      </c>
      <c r="O85" s="88" t="e">
        <f ca="1">IF(INDIRECT("M"&amp;ROW()-1)&lt;&gt;INDIRECT("M"&amp;ROW()),リスト!$I$5,"")</f>
        <v>#NAME?</v>
      </c>
      <c r="P85" s="88" t="e">
        <f ca="1">IF(INDIRECT("M"&amp;ROW())&lt;&gt;INDIRECT("M"&amp;ROW()+1),リスト!$I$6,"")</f>
        <v>#NAME?</v>
      </c>
    </row>
    <row r="86" spans="1:16" x14ac:dyDescent="0.2">
      <c r="A86" s="169" t="e">
        <f ca="1">IF(C86="","",ROW(行数!A78))</f>
        <v>#NAME?</v>
      </c>
      <c r="B86" s="168" t="e">
        <f t="shared" ca="1" si="10"/>
        <v>#NAME?</v>
      </c>
      <c r="C86" s="90" t="e">
        <f ca="1">[0]!CSVVLookUP(ROW(行数!A78),配列!$C$4,集計記録,3,1)</f>
        <v>#NAME?</v>
      </c>
      <c r="D86" s="90" t="e">
        <f ca="1">[0]!CSVVLookUP(ROW(行数!B78),配列!$C$4,集計記録,4,1)</f>
        <v>#NAME?</v>
      </c>
      <c r="E86" s="118" t="e">
        <f t="shared" ca="1" si="11"/>
        <v>#NAME?</v>
      </c>
      <c r="F86" s="118" t="e">
        <f t="shared" ca="1" si="12"/>
        <v>#NAME?</v>
      </c>
      <c r="G86" s="103" t="e">
        <f t="shared" ca="1" si="13"/>
        <v>#NAME?</v>
      </c>
      <c r="H86" s="104" t="e">
        <f ca="1">IF(C86="","",MROUND([0]!CSVVLookUP(ROW(行数!A78),配列!$C$4,集計記録,8,1),"0:01"))</f>
        <v>#NAME?</v>
      </c>
      <c r="I86" s="104" t="e">
        <f t="shared" ca="1" si="14"/>
        <v>#NAME?</v>
      </c>
      <c r="J86" s="119" t="e">
        <f ca="1">IF(C86="","",MROUND([0]!CSVVLookUP(ROW(行数!A78),配列!$C$4,集計記録,7,1),"0:01"))</f>
        <v>#NAME?</v>
      </c>
      <c r="K86" s="92" t="e">
        <f ca="1">IF(C86="","",[0]!CSVVLookUP(ROW(行数!A78),配列!$C$4,集計記録,5,1))</f>
        <v>#NAME?</v>
      </c>
      <c r="L86" s="104" t="e">
        <f t="shared" ca="1" si="15"/>
        <v>#NAME?</v>
      </c>
      <c r="M86" s="120" t="e">
        <f t="shared" ca="1" si="9"/>
        <v>#NAME?</v>
      </c>
      <c r="N86" s="120" t="e">
        <f ca="1">IF([0]!CSVVLookUP(ROW(行数!A78),配列!$C$4,集計記録,6,1)=0,"",[0]!CSVVLookUP(ROW(行数!A78),配列!$C$4,集計記録,6,1))</f>
        <v>#NAME?</v>
      </c>
      <c r="O86" s="88" t="e">
        <f ca="1">IF(INDIRECT("M"&amp;ROW()-1)&lt;&gt;INDIRECT("M"&amp;ROW()),リスト!$I$5,"")</f>
        <v>#NAME?</v>
      </c>
      <c r="P86" s="88" t="e">
        <f ca="1">IF(INDIRECT("M"&amp;ROW())&lt;&gt;INDIRECT("M"&amp;ROW()+1),リスト!$I$6,"")</f>
        <v>#NAME?</v>
      </c>
    </row>
    <row r="87" spans="1:16" x14ac:dyDescent="0.2">
      <c r="A87" s="169" t="e">
        <f ca="1">IF(C87="","",ROW(行数!A79))</f>
        <v>#NAME?</v>
      </c>
      <c r="B87" s="168" t="e">
        <f t="shared" ca="1" si="10"/>
        <v>#NAME?</v>
      </c>
      <c r="C87" s="90" t="e">
        <f ca="1">[0]!CSVVLookUP(ROW(行数!A79),配列!$C$4,集計記録,3,1)</f>
        <v>#NAME?</v>
      </c>
      <c r="D87" s="90" t="e">
        <f ca="1">[0]!CSVVLookUP(ROW(行数!B79),配列!$C$4,集計記録,4,1)</f>
        <v>#NAME?</v>
      </c>
      <c r="E87" s="118" t="e">
        <f t="shared" ca="1" si="11"/>
        <v>#NAME?</v>
      </c>
      <c r="F87" s="118" t="e">
        <f t="shared" ca="1" si="12"/>
        <v>#NAME?</v>
      </c>
      <c r="G87" s="103" t="e">
        <f t="shared" ca="1" si="13"/>
        <v>#NAME?</v>
      </c>
      <c r="H87" s="104" t="e">
        <f ca="1">IF(C87="","",MROUND([0]!CSVVLookUP(ROW(行数!A79),配列!$C$4,集計記録,8,1),"0:01"))</f>
        <v>#NAME?</v>
      </c>
      <c r="I87" s="104" t="e">
        <f t="shared" ca="1" si="14"/>
        <v>#NAME?</v>
      </c>
      <c r="J87" s="119" t="e">
        <f ca="1">IF(C87="","",MROUND([0]!CSVVLookUP(ROW(行数!A79),配列!$C$4,集計記録,7,1),"0:01"))</f>
        <v>#NAME?</v>
      </c>
      <c r="K87" s="92" t="e">
        <f ca="1">IF(C87="","",[0]!CSVVLookUP(ROW(行数!A79),配列!$C$4,集計記録,5,1))</f>
        <v>#NAME?</v>
      </c>
      <c r="L87" s="104" t="e">
        <f t="shared" ca="1" si="15"/>
        <v>#NAME?</v>
      </c>
      <c r="M87" s="120" t="e">
        <f t="shared" ca="1" si="9"/>
        <v>#NAME?</v>
      </c>
      <c r="N87" s="120" t="e">
        <f ca="1">IF([0]!CSVVLookUP(ROW(行数!A79),配列!$C$4,集計記録,6,1)=0,"",[0]!CSVVLookUP(ROW(行数!A79),配列!$C$4,集計記録,6,1))</f>
        <v>#NAME?</v>
      </c>
      <c r="O87" s="88" t="e">
        <f ca="1">IF(INDIRECT("M"&amp;ROW()-1)&lt;&gt;INDIRECT("M"&amp;ROW()),リスト!$I$5,"")</f>
        <v>#NAME?</v>
      </c>
      <c r="P87" s="88" t="e">
        <f ca="1">IF(INDIRECT("M"&amp;ROW())&lt;&gt;INDIRECT("M"&amp;ROW()+1),リスト!$I$6,"")</f>
        <v>#NAME?</v>
      </c>
    </row>
    <row r="88" spans="1:16" x14ac:dyDescent="0.2">
      <c r="A88" s="169" t="e">
        <f ca="1">IF(C88="","",ROW(行数!A80))</f>
        <v>#NAME?</v>
      </c>
      <c r="B88" s="168" t="e">
        <f t="shared" ca="1" si="10"/>
        <v>#NAME?</v>
      </c>
      <c r="C88" s="90" t="e">
        <f ca="1">[0]!CSVVLookUP(ROW(行数!A80),配列!$C$4,集計記録,3,1)</f>
        <v>#NAME?</v>
      </c>
      <c r="D88" s="90" t="e">
        <f ca="1">[0]!CSVVLookUP(ROW(行数!B80),配列!$C$4,集計記録,4,1)</f>
        <v>#NAME?</v>
      </c>
      <c r="E88" s="118" t="e">
        <f t="shared" ca="1" si="11"/>
        <v>#NAME?</v>
      </c>
      <c r="F88" s="118" t="e">
        <f t="shared" ca="1" si="12"/>
        <v>#NAME?</v>
      </c>
      <c r="G88" s="103" t="e">
        <f t="shared" ca="1" si="13"/>
        <v>#NAME?</v>
      </c>
      <c r="H88" s="104" t="e">
        <f ca="1">IF(C88="","",MROUND([0]!CSVVLookUP(ROW(行数!A80),配列!$C$4,集計記録,8,1),"0:01"))</f>
        <v>#NAME?</v>
      </c>
      <c r="I88" s="104" t="e">
        <f t="shared" ca="1" si="14"/>
        <v>#NAME?</v>
      </c>
      <c r="J88" s="119" t="e">
        <f ca="1">IF(C88="","",MROUND([0]!CSVVLookUP(ROW(行数!A80),配列!$C$4,集計記録,7,1),"0:01"))</f>
        <v>#NAME?</v>
      </c>
      <c r="K88" s="92" t="e">
        <f ca="1">IF(C88="","",[0]!CSVVLookUP(ROW(行数!A80),配列!$C$4,集計記録,5,1))</f>
        <v>#NAME?</v>
      </c>
      <c r="L88" s="104" t="e">
        <f t="shared" ca="1" si="15"/>
        <v>#NAME?</v>
      </c>
      <c r="M88" s="120" t="e">
        <f t="shared" ca="1" si="9"/>
        <v>#NAME?</v>
      </c>
      <c r="N88" s="120" t="e">
        <f ca="1">IF([0]!CSVVLookUP(ROW(行数!A80),配列!$C$4,集計記録,6,1)=0,"",[0]!CSVVLookUP(ROW(行数!A80),配列!$C$4,集計記録,6,1))</f>
        <v>#NAME?</v>
      </c>
      <c r="O88" s="88" t="e">
        <f ca="1">IF(INDIRECT("M"&amp;ROW()-1)&lt;&gt;INDIRECT("M"&amp;ROW()),リスト!$I$5,"")</f>
        <v>#NAME?</v>
      </c>
      <c r="P88" s="88" t="e">
        <f ca="1">IF(INDIRECT("M"&amp;ROW())&lt;&gt;INDIRECT("M"&amp;ROW()+1),リスト!$I$6,"")</f>
        <v>#NAME?</v>
      </c>
    </row>
    <row r="89" spans="1:16" x14ac:dyDescent="0.2">
      <c r="A89" s="169" t="e">
        <f ca="1">IF(C89="","",ROW(行数!A81))</f>
        <v>#NAME?</v>
      </c>
      <c r="B89" s="168" t="e">
        <f t="shared" ca="1" si="10"/>
        <v>#NAME?</v>
      </c>
      <c r="C89" s="90" t="e">
        <f ca="1">[0]!CSVVLookUP(ROW(行数!A81),配列!$C$4,集計記録,3,1)</f>
        <v>#NAME?</v>
      </c>
      <c r="D89" s="90" t="e">
        <f ca="1">[0]!CSVVLookUP(ROW(行数!B81),配列!$C$4,集計記録,4,1)</f>
        <v>#NAME?</v>
      </c>
      <c r="E89" s="118" t="e">
        <f t="shared" ca="1" si="11"/>
        <v>#NAME?</v>
      </c>
      <c r="F89" s="118" t="e">
        <f t="shared" ca="1" si="12"/>
        <v>#NAME?</v>
      </c>
      <c r="G89" s="103" t="e">
        <f t="shared" ca="1" si="13"/>
        <v>#NAME?</v>
      </c>
      <c r="H89" s="104" t="e">
        <f ca="1">IF(C89="","",MROUND([0]!CSVVLookUP(ROW(行数!A81),配列!$C$4,集計記録,8,1),"0:01"))</f>
        <v>#NAME?</v>
      </c>
      <c r="I89" s="104" t="e">
        <f t="shared" ca="1" si="14"/>
        <v>#NAME?</v>
      </c>
      <c r="J89" s="119" t="e">
        <f ca="1">IF(C89="","",MROUND([0]!CSVVLookUP(ROW(行数!A81),配列!$C$4,集計記録,7,1),"0:01"))</f>
        <v>#NAME?</v>
      </c>
      <c r="K89" s="92" t="e">
        <f ca="1">IF(C89="","",[0]!CSVVLookUP(ROW(行数!A81),配列!$C$4,集計記録,5,1))</f>
        <v>#NAME?</v>
      </c>
      <c r="L89" s="104" t="e">
        <f t="shared" ca="1" si="15"/>
        <v>#NAME?</v>
      </c>
      <c r="M89" s="120" t="e">
        <f t="shared" ca="1" si="9"/>
        <v>#NAME?</v>
      </c>
      <c r="N89" s="120" t="e">
        <f ca="1">IF([0]!CSVVLookUP(ROW(行数!A81),配列!$C$4,集計記録,6,1)=0,"",[0]!CSVVLookUP(ROW(行数!A81),配列!$C$4,集計記録,6,1))</f>
        <v>#NAME?</v>
      </c>
      <c r="O89" s="88" t="e">
        <f ca="1">IF(INDIRECT("M"&amp;ROW()-1)&lt;&gt;INDIRECT("M"&amp;ROW()),リスト!$I$5,"")</f>
        <v>#NAME?</v>
      </c>
      <c r="P89" s="88" t="e">
        <f ca="1">IF(INDIRECT("M"&amp;ROW())&lt;&gt;INDIRECT("M"&amp;ROW()+1),リスト!$I$6,"")</f>
        <v>#NAME?</v>
      </c>
    </row>
    <row r="90" spans="1:16" x14ac:dyDescent="0.2">
      <c r="A90" s="169" t="e">
        <f ca="1">IF(C90="","",ROW(行数!A82))</f>
        <v>#NAME?</v>
      </c>
      <c r="B90" s="168" t="e">
        <f t="shared" ca="1" si="10"/>
        <v>#NAME?</v>
      </c>
      <c r="C90" s="90" t="e">
        <f ca="1">[0]!CSVVLookUP(ROW(行数!A82),配列!$C$4,集計記録,3,1)</f>
        <v>#NAME?</v>
      </c>
      <c r="D90" s="90" t="e">
        <f ca="1">[0]!CSVVLookUP(ROW(行数!B82),配列!$C$4,集計記録,4,1)</f>
        <v>#NAME?</v>
      </c>
      <c r="E90" s="118" t="e">
        <f t="shared" ca="1" si="11"/>
        <v>#NAME?</v>
      </c>
      <c r="F90" s="118" t="e">
        <f t="shared" ca="1" si="12"/>
        <v>#NAME?</v>
      </c>
      <c r="G90" s="103" t="e">
        <f t="shared" ca="1" si="13"/>
        <v>#NAME?</v>
      </c>
      <c r="H90" s="104" t="e">
        <f ca="1">IF(C90="","",MROUND([0]!CSVVLookUP(ROW(行数!A82),配列!$C$4,集計記録,8,1),"0:01"))</f>
        <v>#NAME?</v>
      </c>
      <c r="I90" s="104" t="e">
        <f t="shared" ca="1" si="14"/>
        <v>#NAME?</v>
      </c>
      <c r="J90" s="119" t="e">
        <f ca="1">IF(C90="","",MROUND([0]!CSVVLookUP(ROW(行数!A82),配列!$C$4,集計記録,7,1),"0:01"))</f>
        <v>#NAME?</v>
      </c>
      <c r="K90" s="92" t="e">
        <f ca="1">IF(C90="","",[0]!CSVVLookUP(ROW(行数!A82),配列!$C$4,集計記録,5,1))</f>
        <v>#NAME?</v>
      </c>
      <c r="L90" s="104" t="e">
        <f t="shared" ca="1" si="15"/>
        <v>#NAME?</v>
      </c>
      <c r="M90" s="120" t="e">
        <f t="shared" ca="1" si="9"/>
        <v>#NAME?</v>
      </c>
      <c r="N90" s="120" t="e">
        <f ca="1">IF([0]!CSVVLookUP(ROW(行数!A82),配列!$C$4,集計記録,6,1)=0,"",[0]!CSVVLookUP(ROW(行数!A82),配列!$C$4,集計記録,6,1))</f>
        <v>#NAME?</v>
      </c>
      <c r="O90" s="88" t="e">
        <f ca="1">IF(INDIRECT("M"&amp;ROW()-1)&lt;&gt;INDIRECT("M"&amp;ROW()),リスト!$I$5,"")</f>
        <v>#NAME?</v>
      </c>
      <c r="P90" s="88" t="e">
        <f ca="1">IF(INDIRECT("M"&amp;ROW())&lt;&gt;INDIRECT("M"&amp;ROW()+1),リスト!$I$6,"")</f>
        <v>#NAME?</v>
      </c>
    </row>
    <row r="91" spans="1:16" x14ac:dyDescent="0.2">
      <c r="A91" s="169" t="e">
        <f ca="1">IF(C91="","",ROW(行数!A83))</f>
        <v>#NAME?</v>
      </c>
      <c r="B91" s="168" t="e">
        <f t="shared" ca="1" si="10"/>
        <v>#NAME?</v>
      </c>
      <c r="C91" s="90" t="e">
        <f ca="1">[0]!CSVVLookUP(ROW(行数!A83),配列!$C$4,集計記録,3,1)</f>
        <v>#NAME?</v>
      </c>
      <c r="D91" s="90" t="e">
        <f ca="1">[0]!CSVVLookUP(ROW(行数!B83),配列!$C$4,集計記録,4,1)</f>
        <v>#NAME?</v>
      </c>
      <c r="E91" s="118" t="e">
        <f t="shared" ca="1" si="11"/>
        <v>#NAME?</v>
      </c>
      <c r="F91" s="118" t="e">
        <f t="shared" ca="1" si="12"/>
        <v>#NAME?</v>
      </c>
      <c r="G91" s="103" t="e">
        <f t="shared" ca="1" si="13"/>
        <v>#NAME?</v>
      </c>
      <c r="H91" s="104" t="e">
        <f ca="1">IF(C91="","",MROUND([0]!CSVVLookUP(ROW(行数!A83),配列!$C$4,集計記録,8,1),"0:01"))</f>
        <v>#NAME?</v>
      </c>
      <c r="I91" s="104" t="e">
        <f t="shared" ca="1" si="14"/>
        <v>#NAME?</v>
      </c>
      <c r="J91" s="119" t="e">
        <f ca="1">IF(C91="","",MROUND([0]!CSVVLookUP(ROW(行数!A83),配列!$C$4,集計記録,7,1),"0:01"))</f>
        <v>#NAME?</v>
      </c>
      <c r="K91" s="92" t="e">
        <f ca="1">IF(C91="","",[0]!CSVVLookUP(ROW(行数!A83),配列!$C$4,集計記録,5,1))</f>
        <v>#NAME?</v>
      </c>
      <c r="L91" s="104" t="e">
        <f t="shared" ca="1" si="15"/>
        <v>#NAME?</v>
      </c>
      <c r="M91" s="120" t="e">
        <f t="shared" ca="1" si="9"/>
        <v>#NAME?</v>
      </c>
      <c r="N91" s="120" t="e">
        <f ca="1">IF([0]!CSVVLookUP(ROW(行数!A83),配列!$C$4,集計記録,6,1)=0,"",[0]!CSVVLookUP(ROW(行数!A83),配列!$C$4,集計記録,6,1))</f>
        <v>#NAME?</v>
      </c>
      <c r="O91" s="88" t="e">
        <f ca="1">IF(INDIRECT("M"&amp;ROW()-1)&lt;&gt;INDIRECT("M"&amp;ROW()),リスト!$I$5,"")</f>
        <v>#NAME?</v>
      </c>
      <c r="P91" s="88" t="e">
        <f ca="1">IF(INDIRECT("M"&amp;ROW())&lt;&gt;INDIRECT("M"&amp;ROW()+1),リスト!$I$6,"")</f>
        <v>#NAME?</v>
      </c>
    </row>
    <row r="92" spans="1:16" x14ac:dyDescent="0.2">
      <c r="A92" s="169" t="e">
        <f ca="1">IF(C92="","",ROW(行数!A84))</f>
        <v>#NAME?</v>
      </c>
      <c r="B92" s="168" t="e">
        <f t="shared" ca="1" si="10"/>
        <v>#NAME?</v>
      </c>
      <c r="C92" s="90" t="e">
        <f ca="1">[0]!CSVVLookUP(ROW(行数!A84),配列!$C$4,集計記録,3,1)</f>
        <v>#NAME?</v>
      </c>
      <c r="D92" s="90" t="e">
        <f ca="1">[0]!CSVVLookUP(ROW(行数!B84),配列!$C$4,集計記録,4,1)</f>
        <v>#NAME?</v>
      </c>
      <c r="E92" s="118" t="e">
        <f t="shared" ca="1" si="11"/>
        <v>#NAME?</v>
      </c>
      <c r="F92" s="118" t="e">
        <f t="shared" ca="1" si="12"/>
        <v>#NAME?</v>
      </c>
      <c r="G92" s="103" t="e">
        <f t="shared" ca="1" si="13"/>
        <v>#NAME?</v>
      </c>
      <c r="H92" s="104" t="e">
        <f ca="1">IF(C92="","",MROUND([0]!CSVVLookUP(ROW(行数!A84),配列!$C$4,集計記録,8,1),"0:01"))</f>
        <v>#NAME?</v>
      </c>
      <c r="I92" s="104" t="e">
        <f t="shared" ca="1" si="14"/>
        <v>#NAME?</v>
      </c>
      <c r="J92" s="119" t="e">
        <f ca="1">IF(C92="","",MROUND([0]!CSVVLookUP(ROW(行数!A84),配列!$C$4,集計記録,7,1),"0:01"))</f>
        <v>#NAME?</v>
      </c>
      <c r="K92" s="92" t="e">
        <f ca="1">IF(C92="","",[0]!CSVVLookUP(ROW(行数!A84),配列!$C$4,集計記録,5,1))</f>
        <v>#NAME?</v>
      </c>
      <c r="L92" s="104" t="e">
        <f t="shared" ca="1" si="15"/>
        <v>#NAME?</v>
      </c>
      <c r="M92" s="120" t="e">
        <f t="shared" ca="1" si="9"/>
        <v>#NAME?</v>
      </c>
      <c r="N92" s="120" t="e">
        <f ca="1">IF([0]!CSVVLookUP(ROW(行数!A84),配列!$C$4,集計記録,6,1)=0,"",[0]!CSVVLookUP(ROW(行数!A84),配列!$C$4,集計記録,6,1))</f>
        <v>#NAME?</v>
      </c>
      <c r="O92" s="88" t="e">
        <f ca="1">IF(INDIRECT("M"&amp;ROW()-1)&lt;&gt;INDIRECT("M"&amp;ROW()),リスト!$I$5,"")</f>
        <v>#NAME?</v>
      </c>
      <c r="P92" s="88" t="e">
        <f ca="1">IF(INDIRECT("M"&amp;ROW())&lt;&gt;INDIRECT("M"&amp;ROW()+1),リスト!$I$6,"")</f>
        <v>#NAME?</v>
      </c>
    </row>
    <row r="93" spans="1:16" x14ac:dyDescent="0.2">
      <c r="A93" s="169" t="e">
        <f ca="1">IF(C93="","",ROW(行数!A85))</f>
        <v>#NAME?</v>
      </c>
      <c r="B93" s="168" t="e">
        <f t="shared" ca="1" si="10"/>
        <v>#NAME?</v>
      </c>
      <c r="C93" s="90" t="e">
        <f ca="1">[0]!CSVVLookUP(ROW(行数!A85),配列!$C$4,集計記録,3,1)</f>
        <v>#NAME?</v>
      </c>
      <c r="D93" s="90" t="e">
        <f ca="1">[0]!CSVVLookUP(ROW(行数!B85),配列!$C$4,集計記録,4,1)</f>
        <v>#NAME?</v>
      </c>
      <c r="E93" s="118" t="e">
        <f t="shared" ca="1" si="11"/>
        <v>#NAME?</v>
      </c>
      <c r="F93" s="118" t="e">
        <f t="shared" ca="1" si="12"/>
        <v>#NAME?</v>
      </c>
      <c r="G93" s="103" t="e">
        <f t="shared" ca="1" si="13"/>
        <v>#NAME?</v>
      </c>
      <c r="H93" s="104" t="e">
        <f ca="1">IF(C93="","",MROUND([0]!CSVVLookUP(ROW(行数!A85),配列!$C$4,集計記録,8,1),"0:01"))</f>
        <v>#NAME?</v>
      </c>
      <c r="I93" s="104" t="e">
        <f t="shared" ca="1" si="14"/>
        <v>#NAME?</v>
      </c>
      <c r="J93" s="119" t="e">
        <f ca="1">IF(C93="","",MROUND([0]!CSVVLookUP(ROW(行数!A85),配列!$C$4,集計記録,7,1),"0:01"))</f>
        <v>#NAME?</v>
      </c>
      <c r="K93" s="92" t="e">
        <f ca="1">IF(C93="","",[0]!CSVVLookUP(ROW(行数!A85),配列!$C$4,集計記録,5,1))</f>
        <v>#NAME?</v>
      </c>
      <c r="L93" s="104" t="e">
        <f t="shared" ca="1" si="15"/>
        <v>#NAME?</v>
      </c>
      <c r="M93" s="120" t="e">
        <f t="shared" ca="1" si="9"/>
        <v>#NAME?</v>
      </c>
      <c r="N93" s="120" t="e">
        <f ca="1">IF([0]!CSVVLookUP(ROW(行数!A85),配列!$C$4,集計記録,6,1)=0,"",[0]!CSVVLookUP(ROW(行数!A85),配列!$C$4,集計記録,6,1))</f>
        <v>#NAME?</v>
      </c>
      <c r="O93" s="88" t="e">
        <f ca="1">IF(INDIRECT("M"&amp;ROW()-1)&lt;&gt;INDIRECT("M"&amp;ROW()),リスト!$I$5,"")</f>
        <v>#NAME?</v>
      </c>
      <c r="P93" s="88" t="e">
        <f ca="1">IF(INDIRECT("M"&amp;ROW())&lt;&gt;INDIRECT("M"&amp;ROW()+1),リスト!$I$6,"")</f>
        <v>#NAME?</v>
      </c>
    </row>
    <row r="94" spans="1:16" x14ac:dyDescent="0.2">
      <c r="A94" s="169" t="e">
        <f ca="1">IF(C94="","",ROW(行数!A86))</f>
        <v>#NAME?</v>
      </c>
      <c r="B94" s="168" t="e">
        <f t="shared" ca="1" si="10"/>
        <v>#NAME?</v>
      </c>
      <c r="C94" s="90" t="e">
        <f ca="1">[0]!CSVVLookUP(ROW(行数!A86),配列!$C$4,集計記録,3,1)</f>
        <v>#NAME?</v>
      </c>
      <c r="D94" s="90" t="e">
        <f ca="1">[0]!CSVVLookUP(ROW(行数!B86),配列!$C$4,集計記録,4,1)</f>
        <v>#NAME?</v>
      </c>
      <c r="E94" s="118" t="e">
        <f t="shared" ca="1" si="11"/>
        <v>#NAME?</v>
      </c>
      <c r="F94" s="118" t="e">
        <f t="shared" ca="1" si="12"/>
        <v>#NAME?</v>
      </c>
      <c r="G94" s="103" t="e">
        <f t="shared" ca="1" si="13"/>
        <v>#NAME?</v>
      </c>
      <c r="H94" s="104" t="e">
        <f ca="1">IF(C94="","",MROUND([0]!CSVVLookUP(ROW(行数!A86),配列!$C$4,集計記録,8,1),"0:01"))</f>
        <v>#NAME?</v>
      </c>
      <c r="I94" s="104" t="e">
        <f t="shared" ca="1" si="14"/>
        <v>#NAME?</v>
      </c>
      <c r="J94" s="119" t="e">
        <f ca="1">IF(C94="","",MROUND([0]!CSVVLookUP(ROW(行数!A86),配列!$C$4,集計記録,7,1),"0:01"))</f>
        <v>#NAME?</v>
      </c>
      <c r="K94" s="92" t="e">
        <f ca="1">IF(C94="","",[0]!CSVVLookUP(ROW(行数!A86),配列!$C$4,集計記録,5,1))</f>
        <v>#NAME?</v>
      </c>
      <c r="L94" s="104" t="e">
        <f t="shared" ca="1" si="15"/>
        <v>#NAME?</v>
      </c>
      <c r="M94" s="120" t="e">
        <f t="shared" ca="1" si="9"/>
        <v>#NAME?</v>
      </c>
      <c r="N94" s="120" t="e">
        <f ca="1">IF([0]!CSVVLookUP(ROW(行数!A86),配列!$C$4,集計記録,6,1)=0,"",[0]!CSVVLookUP(ROW(行数!A86),配列!$C$4,集計記録,6,1))</f>
        <v>#NAME?</v>
      </c>
      <c r="O94" s="88" t="e">
        <f ca="1">IF(INDIRECT("M"&amp;ROW()-1)&lt;&gt;INDIRECT("M"&amp;ROW()),リスト!$I$5,"")</f>
        <v>#NAME?</v>
      </c>
      <c r="P94" s="88" t="e">
        <f ca="1">IF(INDIRECT("M"&amp;ROW())&lt;&gt;INDIRECT("M"&amp;ROW()+1),リスト!$I$6,"")</f>
        <v>#NAME?</v>
      </c>
    </row>
    <row r="95" spans="1:16" x14ac:dyDescent="0.2">
      <c r="A95" s="169" t="e">
        <f ca="1">IF(C95="","",ROW(行数!A87))</f>
        <v>#NAME?</v>
      </c>
      <c r="B95" s="168" t="e">
        <f t="shared" ca="1" si="10"/>
        <v>#NAME?</v>
      </c>
      <c r="C95" s="90" t="e">
        <f ca="1">[0]!CSVVLookUP(ROW(行数!A87),配列!$C$4,集計記録,3,1)</f>
        <v>#NAME?</v>
      </c>
      <c r="D95" s="90" t="e">
        <f ca="1">[0]!CSVVLookUP(ROW(行数!B87),配列!$C$4,集計記録,4,1)</f>
        <v>#NAME?</v>
      </c>
      <c r="E95" s="118" t="e">
        <f t="shared" ca="1" si="11"/>
        <v>#NAME?</v>
      </c>
      <c r="F95" s="118" t="e">
        <f t="shared" ca="1" si="12"/>
        <v>#NAME?</v>
      </c>
      <c r="G95" s="103" t="e">
        <f t="shared" ca="1" si="13"/>
        <v>#NAME?</v>
      </c>
      <c r="H95" s="104" t="e">
        <f ca="1">IF(C95="","",MROUND([0]!CSVVLookUP(ROW(行数!A87),配列!$C$4,集計記録,8,1),"0:01"))</f>
        <v>#NAME?</v>
      </c>
      <c r="I95" s="104" t="e">
        <f t="shared" ca="1" si="14"/>
        <v>#NAME?</v>
      </c>
      <c r="J95" s="119" t="e">
        <f ca="1">IF(C95="","",MROUND([0]!CSVVLookUP(ROW(行数!A87),配列!$C$4,集計記録,7,1),"0:01"))</f>
        <v>#NAME?</v>
      </c>
      <c r="K95" s="92" t="e">
        <f ca="1">IF(C95="","",[0]!CSVVLookUP(ROW(行数!A87),配列!$C$4,集計記録,5,1))</f>
        <v>#NAME?</v>
      </c>
      <c r="L95" s="104" t="e">
        <f t="shared" ca="1" si="15"/>
        <v>#NAME?</v>
      </c>
      <c r="M95" s="120" t="e">
        <f t="shared" ca="1" si="9"/>
        <v>#NAME?</v>
      </c>
      <c r="N95" s="120" t="e">
        <f ca="1">IF([0]!CSVVLookUP(ROW(行数!A87),配列!$C$4,集計記録,6,1)=0,"",[0]!CSVVLookUP(ROW(行数!A87),配列!$C$4,集計記録,6,1))</f>
        <v>#NAME?</v>
      </c>
      <c r="O95" s="88" t="e">
        <f ca="1">IF(INDIRECT("M"&amp;ROW()-1)&lt;&gt;INDIRECT("M"&amp;ROW()),リスト!$I$5,"")</f>
        <v>#NAME?</v>
      </c>
      <c r="P95" s="88" t="e">
        <f ca="1">IF(INDIRECT("M"&amp;ROW())&lt;&gt;INDIRECT("M"&amp;ROW()+1),リスト!$I$6,"")</f>
        <v>#NAME?</v>
      </c>
    </row>
    <row r="96" spans="1:16" x14ac:dyDescent="0.2">
      <c r="A96" s="169" t="e">
        <f ca="1">IF(C96="","",ROW(行数!A88))</f>
        <v>#NAME?</v>
      </c>
      <c r="B96" s="168" t="e">
        <f t="shared" ca="1" si="10"/>
        <v>#NAME?</v>
      </c>
      <c r="C96" s="90" t="e">
        <f ca="1">[0]!CSVVLookUP(ROW(行数!A88),配列!$C$4,集計記録,3,1)</f>
        <v>#NAME?</v>
      </c>
      <c r="D96" s="90" t="e">
        <f ca="1">[0]!CSVVLookUP(ROW(行数!B88),配列!$C$4,集計記録,4,1)</f>
        <v>#NAME?</v>
      </c>
      <c r="E96" s="118" t="e">
        <f t="shared" ca="1" si="11"/>
        <v>#NAME?</v>
      </c>
      <c r="F96" s="118" t="e">
        <f t="shared" ca="1" si="12"/>
        <v>#NAME?</v>
      </c>
      <c r="G96" s="103" t="e">
        <f t="shared" ca="1" si="13"/>
        <v>#NAME?</v>
      </c>
      <c r="H96" s="104" t="e">
        <f ca="1">IF(C96="","",MROUND([0]!CSVVLookUP(ROW(行数!A88),配列!$C$4,集計記録,8,1),"0:01"))</f>
        <v>#NAME?</v>
      </c>
      <c r="I96" s="104" t="e">
        <f t="shared" ca="1" si="14"/>
        <v>#NAME?</v>
      </c>
      <c r="J96" s="119" t="e">
        <f ca="1">IF(C96="","",MROUND([0]!CSVVLookUP(ROW(行数!A88),配列!$C$4,集計記録,7,1),"0:01"))</f>
        <v>#NAME?</v>
      </c>
      <c r="K96" s="92" t="e">
        <f ca="1">IF(C96="","",[0]!CSVVLookUP(ROW(行数!A88),配列!$C$4,集計記録,5,1))</f>
        <v>#NAME?</v>
      </c>
      <c r="L96" s="104" t="e">
        <f t="shared" ca="1" si="15"/>
        <v>#NAME?</v>
      </c>
      <c r="M96" s="120" t="e">
        <f t="shared" ca="1" si="9"/>
        <v>#NAME?</v>
      </c>
      <c r="N96" s="120" t="e">
        <f ca="1">IF([0]!CSVVLookUP(ROW(行数!A88),配列!$C$4,集計記録,6,1)=0,"",[0]!CSVVLookUP(ROW(行数!A88),配列!$C$4,集計記録,6,1))</f>
        <v>#NAME?</v>
      </c>
      <c r="O96" s="88" t="e">
        <f ca="1">IF(INDIRECT("M"&amp;ROW()-1)&lt;&gt;INDIRECT("M"&amp;ROW()),リスト!$I$5,"")</f>
        <v>#NAME?</v>
      </c>
      <c r="P96" s="88" t="s">
        <v>321</v>
      </c>
    </row>
    <row r="97" spans="1:16" x14ac:dyDescent="0.2">
      <c r="A97" s="169" t="e">
        <f ca="1">IF(C97="","",ROW(行数!A89))</f>
        <v>#NAME?</v>
      </c>
      <c r="B97" s="168" t="e">
        <f t="shared" ca="1" si="10"/>
        <v>#NAME?</v>
      </c>
      <c r="C97" s="90" t="e">
        <f ca="1">[0]!CSVVLookUP(ROW(行数!A89),配列!$C$4,集計記録,3,1)</f>
        <v>#NAME?</v>
      </c>
      <c r="D97" s="90" t="e">
        <f ca="1">[0]!CSVVLookUP(ROW(行数!B89),配列!$C$4,集計記録,4,1)</f>
        <v>#NAME?</v>
      </c>
      <c r="E97" s="118" t="e">
        <f t="shared" ca="1" si="11"/>
        <v>#NAME?</v>
      </c>
      <c r="F97" s="118" t="e">
        <f t="shared" ca="1" si="12"/>
        <v>#NAME?</v>
      </c>
      <c r="G97" s="103" t="e">
        <f t="shared" ca="1" si="13"/>
        <v>#NAME?</v>
      </c>
      <c r="H97" s="104" t="e">
        <f ca="1">IF(C97="","",MROUND([0]!CSVVLookUP(ROW(行数!A89),配列!$C$4,集計記録,8,1),"0:01"))</f>
        <v>#NAME?</v>
      </c>
      <c r="I97" s="104" t="e">
        <f t="shared" ca="1" si="14"/>
        <v>#NAME?</v>
      </c>
      <c r="J97" s="119" t="e">
        <f ca="1">IF(C97="","",MROUND([0]!CSVVLookUP(ROW(行数!A89),配列!$C$4,集計記録,7,1),"0:01"))</f>
        <v>#NAME?</v>
      </c>
      <c r="K97" s="92" t="e">
        <f ca="1">IF(C97="","",[0]!CSVVLookUP(ROW(行数!A89),配列!$C$4,集計記録,5,1))</f>
        <v>#NAME?</v>
      </c>
      <c r="L97" s="104" t="e">
        <f t="shared" ca="1" si="15"/>
        <v>#NAME?</v>
      </c>
      <c r="M97" s="120" t="e">
        <f t="shared" ca="1" si="9"/>
        <v>#NAME?</v>
      </c>
      <c r="N97" s="120" t="e">
        <f ca="1">IF([0]!CSVVLookUP(ROW(行数!A89),配列!$C$4,集計記録,6,1)=0,"",[0]!CSVVLookUP(ROW(行数!A89),配列!$C$4,集計記録,6,1))</f>
        <v>#NAME?</v>
      </c>
      <c r="O97" s="88" t="s">
        <v>322</v>
      </c>
      <c r="P97" s="88" t="s">
        <v>321</v>
      </c>
    </row>
    <row r="98" spans="1:16" x14ac:dyDescent="0.2">
      <c r="A98" s="169" t="e">
        <f ca="1">IF(C98="","",ROW(行数!A90))</f>
        <v>#NAME?</v>
      </c>
      <c r="B98" s="168" t="e">
        <f t="shared" ca="1" si="10"/>
        <v>#NAME?</v>
      </c>
      <c r="C98" s="90" t="e">
        <f ca="1">[0]!CSVVLookUP(ROW(行数!A90),配列!$C$4,集計記録,3,1)</f>
        <v>#NAME?</v>
      </c>
      <c r="D98" s="90" t="e">
        <f ca="1">[0]!CSVVLookUP(ROW(行数!B90),配列!$C$4,集計記録,4,1)</f>
        <v>#NAME?</v>
      </c>
      <c r="E98" s="118" t="e">
        <f t="shared" ca="1" si="11"/>
        <v>#NAME?</v>
      </c>
      <c r="F98" s="118" t="e">
        <f t="shared" ca="1" si="12"/>
        <v>#NAME?</v>
      </c>
      <c r="G98" s="103" t="e">
        <f t="shared" ca="1" si="13"/>
        <v>#NAME?</v>
      </c>
      <c r="H98" s="104" t="e">
        <f ca="1">IF(C98="","",MROUND([0]!CSVVLookUP(ROW(行数!A90),配列!$C$4,集計記録,8,1),"0:01"))</f>
        <v>#NAME?</v>
      </c>
      <c r="I98" s="104" t="e">
        <f t="shared" ca="1" si="14"/>
        <v>#NAME?</v>
      </c>
      <c r="J98" s="119" t="e">
        <f ca="1">IF(C98="","",MROUND([0]!CSVVLookUP(ROW(行数!A90),配列!$C$4,集計記録,7,1),"0:01"))</f>
        <v>#NAME?</v>
      </c>
      <c r="K98" s="92" t="e">
        <f ca="1">IF(C98="","",[0]!CSVVLookUP(ROW(行数!A90),配列!$C$4,集計記録,5,1))</f>
        <v>#NAME?</v>
      </c>
      <c r="L98" s="104" t="e">
        <f t="shared" ca="1" si="15"/>
        <v>#NAME?</v>
      </c>
      <c r="M98" s="120" t="e">
        <f t="shared" ca="1" si="9"/>
        <v>#NAME?</v>
      </c>
      <c r="N98" s="120" t="e">
        <f ca="1">IF([0]!CSVVLookUP(ROW(行数!A90),配列!$C$4,集計記録,6,1)=0,"",[0]!CSVVLookUP(ROW(行数!A90),配列!$C$4,集計記録,6,1))</f>
        <v>#NAME?</v>
      </c>
      <c r="O98" s="88" t="s">
        <v>322</v>
      </c>
      <c r="P98" s="88" t="e">
        <f ca="1">IF(INDIRECT("M"&amp;ROW())&lt;&gt;INDIRECT("M"&amp;ROW()+1),リスト!$I$6,"")</f>
        <v>#NAME?</v>
      </c>
    </row>
    <row r="99" spans="1:16" x14ac:dyDescent="0.2">
      <c r="A99" s="169" t="e">
        <f ca="1">IF(C99="","",ROW(行数!A91))</f>
        <v>#NAME?</v>
      </c>
      <c r="B99" s="168" t="e">
        <f t="shared" ca="1" si="10"/>
        <v>#NAME?</v>
      </c>
      <c r="C99" s="90" t="e">
        <f ca="1">[0]!CSVVLookUP(ROW(行数!A91),配列!$C$4,集計記録,3,1)</f>
        <v>#NAME?</v>
      </c>
      <c r="D99" s="90" t="e">
        <f ca="1">[0]!CSVVLookUP(ROW(行数!B91),配列!$C$4,集計記録,4,1)</f>
        <v>#NAME?</v>
      </c>
      <c r="E99" s="118" t="e">
        <f t="shared" ca="1" si="11"/>
        <v>#NAME?</v>
      </c>
      <c r="F99" s="118" t="e">
        <f t="shared" ca="1" si="12"/>
        <v>#NAME?</v>
      </c>
      <c r="G99" s="103" t="e">
        <f t="shared" ca="1" si="13"/>
        <v>#NAME?</v>
      </c>
      <c r="H99" s="104" t="e">
        <f ca="1">IF(C99="","",MROUND([0]!CSVVLookUP(ROW(行数!A91),配列!$C$4,集計記録,8,1),"0:01"))</f>
        <v>#NAME?</v>
      </c>
      <c r="I99" s="104" t="e">
        <f t="shared" ca="1" si="14"/>
        <v>#NAME?</v>
      </c>
      <c r="J99" s="119" t="e">
        <f ca="1">IF(C99="","",MROUND([0]!CSVVLookUP(ROW(行数!A91),配列!$C$4,集計記録,7,1),"0:01"))</f>
        <v>#NAME?</v>
      </c>
      <c r="K99" s="92" t="e">
        <f ca="1">IF(C99="","",[0]!CSVVLookUP(ROW(行数!A91),配列!$C$4,集計記録,5,1))</f>
        <v>#NAME?</v>
      </c>
      <c r="L99" s="104" t="e">
        <f t="shared" ca="1" si="15"/>
        <v>#NAME?</v>
      </c>
      <c r="M99" s="120" t="e">
        <f t="shared" ca="1" si="9"/>
        <v>#NAME?</v>
      </c>
      <c r="N99" s="120" t="e">
        <f ca="1">IF([0]!CSVVLookUP(ROW(行数!A91),配列!$C$4,集計記録,6,1)=0,"",[0]!CSVVLookUP(ROW(行数!A91),配列!$C$4,集計記録,6,1))</f>
        <v>#NAME?</v>
      </c>
      <c r="O99" s="88" t="e">
        <f ca="1">IF(INDIRECT("M"&amp;ROW()-1)&lt;&gt;INDIRECT("M"&amp;ROW()),リスト!$I$5,"")</f>
        <v>#NAME?</v>
      </c>
      <c r="P99" s="88" t="e">
        <f ca="1">IF(INDIRECT("M"&amp;ROW())&lt;&gt;INDIRECT("M"&amp;ROW()+1),リスト!$I$6,"")</f>
        <v>#NAME?</v>
      </c>
    </row>
    <row r="100" spans="1:16" x14ac:dyDescent="0.2">
      <c r="A100" s="169" t="e">
        <f ca="1">IF(C100="","",ROW(行数!A92))</f>
        <v>#NAME?</v>
      </c>
      <c r="B100" s="168" t="e">
        <f t="shared" ca="1" si="10"/>
        <v>#NAME?</v>
      </c>
      <c r="C100" s="90" t="e">
        <f ca="1">[0]!CSVVLookUP(ROW(行数!A92),配列!$C$4,集計記録,3,1)</f>
        <v>#NAME?</v>
      </c>
      <c r="D100" s="90" t="e">
        <f ca="1">[0]!CSVVLookUP(ROW(行数!B92),配列!$C$4,集計記録,4,1)</f>
        <v>#NAME?</v>
      </c>
      <c r="E100" s="118" t="e">
        <f t="shared" ca="1" si="11"/>
        <v>#NAME?</v>
      </c>
      <c r="F100" s="118" t="e">
        <f t="shared" ca="1" si="12"/>
        <v>#NAME?</v>
      </c>
      <c r="G100" s="103" t="e">
        <f t="shared" ca="1" si="13"/>
        <v>#NAME?</v>
      </c>
      <c r="H100" s="104" t="e">
        <f ca="1">IF(C100="","",MROUND([0]!CSVVLookUP(ROW(行数!A92),配列!$C$4,集計記録,8,1),"0:01"))</f>
        <v>#NAME?</v>
      </c>
      <c r="I100" s="104" t="e">
        <f t="shared" ca="1" si="14"/>
        <v>#NAME?</v>
      </c>
      <c r="J100" s="119" t="e">
        <f ca="1">IF(C100="","",MROUND([0]!CSVVLookUP(ROW(行数!A92),配列!$C$4,集計記録,7,1),"0:01"))</f>
        <v>#NAME?</v>
      </c>
      <c r="K100" s="92" t="e">
        <f ca="1">IF(C100="","",[0]!CSVVLookUP(ROW(行数!A92),配列!$C$4,集計記録,5,1))</f>
        <v>#NAME?</v>
      </c>
      <c r="L100" s="104" t="e">
        <f t="shared" ca="1" si="15"/>
        <v>#NAME?</v>
      </c>
      <c r="M100" s="120" t="e">
        <f t="shared" ca="1" si="9"/>
        <v>#NAME?</v>
      </c>
      <c r="N100" s="120" t="e">
        <f ca="1">IF([0]!CSVVLookUP(ROW(行数!A92),配列!$C$4,集計記録,6,1)=0,"",[0]!CSVVLookUP(ROW(行数!A92),配列!$C$4,集計記録,6,1))</f>
        <v>#NAME?</v>
      </c>
      <c r="O100" s="88" t="e">
        <f ca="1">IF(INDIRECT("M"&amp;ROW()-1)&lt;&gt;INDIRECT("M"&amp;ROW()),リスト!$I$5,"")</f>
        <v>#NAME?</v>
      </c>
      <c r="P100" s="88" t="e">
        <f ca="1">IF(INDIRECT("M"&amp;ROW())&lt;&gt;INDIRECT("M"&amp;ROW()+1),リスト!$I$6,"")</f>
        <v>#NAME?</v>
      </c>
    </row>
    <row r="101" spans="1:16" x14ac:dyDescent="0.2">
      <c r="A101" s="169" t="e">
        <f ca="1">IF(C101="","",ROW(行数!A93))</f>
        <v>#NAME?</v>
      </c>
      <c r="B101" s="168" t="e">
        <f t="shared" ca="1" si="10"/>
        <v>#NAME?</v>
      </c>
      <c r="C101" s="90" t="e">
        <f ca="1">[0]!CSVVLookUP(ROW(行数!A93),配列!$C$4,集計記録,3,1)</f>
        <v>#NAME?</v>
      </c>
      <c r="D101" s="90" t="e">
        <f ca="1">[0]!CSVVLookUP(ROW(行数!B93),配列!$C$4,集計記録,4,1)</f>
        <v>#NAME?</v>
      </c>
      <c r="E101" s="118" t="e">
        <f t="shared" ca="1" si="11"/>
        <v>#NAME?</v>
      </c>
      <c r="F101" s="118" t="e">
        <f t="shared" ca="1" si="12"/>
        <v>#NAME?</v>
      </c>
      <c r="G101" s="103" t="e">
        <f t="shared" ca="1" si="13"/>
        <v>#NAME?</v>
      </c>
      <c r="H101" s="104" t="e">
        <f ca="1">IF(C101="","",MROUND([0]!CSVVLookUP(ROW(行数!A93),配列!$C$4,集計記録,8,1),"0:01"))</f>
        <v>#NAME?</v>
      </c>
      <c r="I101" s="104" t="e">
        <f t="shared" ca="1" si="14"/>
        <v>#NAME?</v>
      </c>
      <c r="J101" s="119" t="e">
        <f ca="1">IF(C101="","",MROUND([0]!CSVVLookUP(ROW(行数!A93),配列!$C$4,集計記録,7,1),"0:01"))</f>
        <v>#NAME?</v>
      </c>
      <c r="K101" s="92" t="e">
        <f ca="1">IF(C101="","",[0]!CSVVLookUP(ROW(行数!A93),配列!$C$4,集計記録,5,1))</f>
        <v>#NAME?</v>
      </c>
      <c r="L101" s="104" t="e">
        <f t="shared" ca="1" si="15"/>
        <v>#NAME?</v>
      </c>
      <c r="M101" s="120" t="e">
        <f t="shared" ca="1" si="9"/>
        <v>#NAME?</v>
      </c>
      <c r="N101" s="120" t="e">
        <f ca="1">IF([0]!CSVVLookUP(ROW(行数!A93),配列!$C$4,集計記録,6,1)=0,"",[0]!CSVVLookUP(ROW(行数!A93),配列!$C$4,集計記録,6,1))</f>
        <v>#NAME?</v>
      </c>
      <c r="O101" s="88" t="e">
        <f ca="1">IF(INDIRECT("M"&amp;ROW()-1)&lt;&gt;INDIRECT("M"&amp;ROW()),リスト!$I$5,"")</f>
        <v>#NAME?</v>
      </c>
      <c r="P101" s="88" t="e">
        <f ca="1">IF(INDIRECT("M"&amp;ROW())&lt;&gt;INDIRECT("M"&amp;ROW()+1),リスト!$I$6,"")</f>
        <v>#NAME?</v>
      </c>
    </row>
    <row r="102" spans="1:16" x14ac:dyDescent="0.2">
      <c r="A102" s="169" t="e">
        <f ca="1">IF(C102="","",ROW(行数!A94))</f>
        <v>#NAME?</v>
      </c>
      <c r="B102" s="168" t="e">
        <f t="shared" ca="1" si="10"/>
        <v>#NAME?</v>
      </c>
      <c r="C102" s="90" t="e">
        <f ca="1">[0]!CSVVLookUP(ROW(行数!A94),配列!$C$4,集計記録,3,1)</f>
        <v>#NAME?</v>
      </c>
      <c r="D102" s="90" t="e">
        <f ca="1">[0]!CSVVLookUP(ROW(行数!B94),配列!$C$4,集計記録,4,1)</f>
        <v>#NAME?</v>
      </c>
      <c r="E102" s="118" t="e">
        <f t="shared" ca="1" si="11"/>
        <v>#NAME?</v>
      </c>
      <c r="F102" s="118" t="e">
        <f t="shared" ca="1" si="12"/>
        <v>#NAME?</v>
      </c>
      <c r="G102" s="103" t="e">
        <f t="shared" ca="1" si="13"/>
        <v>#NAME?</v>
      </c>
      <c r="H102" s="104" t="e">
        <f ca="1">IF(C102="","",MROUND([0]!CSVVLookUP(ROW(行数!A94),配列!$C$4,集計記録,8,1),"0:01"))</f>
        <v>#NAME?</v>
      </c>
      <c r="I102" s="104" t="e">
        <f t="shared" ca="1" si="14"/>
        <v>#NAME?</v>
      </c>
      <c r="J102" s="119" t="e">
        <f ca="1">IF(C102="","",MROUND([0]!CSVVLookUP(ROW(行数!A94),配列!$C$4,集計記録,7,1),"0:01"))</f>
        <v>#NAME?</v>
      </c>
      <c r="K102" s="92" t="e">
        <f ca="1">IF(C102="","",[0]!CSVVLookUP(ROW(行数!A94),配列!$C$4,集計記録,5,1))</f>
        <v>#NAME?</v>
      </c>
      <c r="L102" s="104" t="e">
        <f t="shared" ca="1" si="15"/>
        <v>#NAME?</v>
      </c>
      <c r="M102" s="120" t="e">
        <f t="shared" ca="1" si="9"/>
        <v>#NAME?</v>
      </c>
      <c r="N102" s="120" t="e">
        <f ca="1">IF([0]!CSVVLookUP(ROW(行数!A94),配列!$C$4,集計記録,6,1)=0,"",[0]!CSVVLookUP(ROW(行数!A94),配列!$C$4,集計記録,6,1))</f>
        <v>#NAME?</v>
      </c>
      <c r="O102" s="88" t="e">
        <f ca="1">IF(INDIRECT("M"&amp;ROW()-1)&lt;&gt;INDIRECT("M"&amp;ROW()),リスト!$I$5,"")</f>
        <v>#NAME?</v>
      </c>
      <c r="P102" s="88" t="e">
        <f ca="1">IF(INDIRECT("M"&amp;ROW())&lt;&gt;INDIRECT("M"&amp;ROW()+1),リスト!$I$6,"")</f>
        <v>#NAME?</v>
      </c>
    </row>
    <row r="103" spans="1:16" x14ac:dyDescent="0.2">
      <c r="A103" s="169" t="e">
        <f ca="1">IF(C103="","",ROW(行数!A95))</f>
        <v>#NAME?</v>
      </c>
      <c r="B103" s="168" t="e">
        <f t="shared" ca="1" si="10"/>
        <v>#NAME?</v>
      </c>
      <c r="C103" s="90" t="e">
        <f ca="1">[0]!CSVVLookUP(ROW(行数!A95),配列!$C$4,集計記録,3,1)</f>
        <v>#NAME?</v>
      </c>
      <c r="D103" s="90" t="e">
        <f ca="1">[0]!CSVVLookUP(ROW(行数!B95),配列!$C$4,集計記録,4,1)</f>
        <v>#NAME?</v>
      </c>
      <c r="E103" s="118" t="e">
        <f t="shared" ca="1" si="11"/>
        <v>#NAME?</v>
      </c>
      <c r="F103" s="118" t="e">
        <f t="shared" ca="1" si="12"/>
        <v>#NAME?</v>
      </c>
      <c r="G103" s="103" t="e">
        <f t="shared" ca="1" si="13"/>
        <v>#NAME?</v>
      </c>
      <c r="H103" s="104" t="e">
        <f ca="1">IF(C103="","",MROUND([0]!CSVVLookUP(ROW(行数!A95),配列!$C$4,集計記録,8,1),"0:01"))</f>
        <v>#NAME?</v>
      </c>
      <c r="I103" s="104" t="e">
        <f t="shared" ca="1" si="14"/>
        <v>#NAME?</v>
      </c>
      <c r="J103" s="119" t="e">
        <f ca="1">IF(C103="","",MROUND([0]!CSVVLookUP(ROW(行数!A95),配列!$C$4,集計記録,7,1),"0:01"))</f>
        <v>#NAME?</v>
      </c>
      <c r="K103" s="92" t="e">
        <f ca="1">IF(C103="","",[0]!CSVVLookUP(ROW(行数!A95),配列!$C$4,集計記録,5,1))</f>
        <v>#NAME?</v>
      </c>
      <c r="L103" s="104" t="e">
        <f t="shared" ca="1" si="15"/>
        <v>#NAME?</v>
      </c>
      <c r="M103" s="120" t="e">
        <f t="shared" ca="1" si="9"/>
        <v>#NAME?</v>
      </c>
      <c r="N103" s="120" t="e">
        <f ca="1">IF([0]!CSVVLookUP(ROW(行数!A95),配列!$C$4,集計記録,6,1)=0,"",[0]!CSVVLookUP(ROW(行数!A95),配列!$C$4,集計記録,6,1))</f>
        <v>#NAME?</v>
      </c>
      <c r="O103" s="88" t="e">
        <f ca="1">IF(INDIRECT("M"&amp;ROW()-1)&lt;&gt;INDIRECT("M"&amp;ROW()),リスト!$I$5,"")</f>
        <v>#NAME?</v>
      </c>
      <c r="P103" s="88" t="e">
        <f ca="1">IF(INDIRECT("M"&amp;ROW())&lt;&gt;INDIRECT("M"&amp;ROW()+1),リスト!$I$6,"")</f>
        <v>#NAME?</v>
      </c>
    </row>
    <row r="104" spans="1:16" x14ac:dyDescent="0.2">
      <c r="A104" s="169" t="e">
        <f ca="1">IF(C104="","",ROW(行数!A96))</f>
        <v>#NAME?</v>
      </c>
      <c r="B104" s="168" t="e">
        <f t="shared" ca="1" si="10"/>
        <v>#NAME?</v>
      </c>
      <c r="C104" s="90" t="e">
        <f ca="1">[0]!CSVVLookUP(ROW(行数!A96),配列!$C$4,集計記録,3,1)</f>
        <v>#NAME?</v>
      </c>
      <c r="D104" s="90" t="e">
        <f ca="1">[0]!CSVVLookUP(ROW(行数!B96),配列!$C$4,集計記録,4,1)</f>
        <v>#NAME?</v>
      </c>
      <c r="E104" s="118" t="e">
        <f t="shared" ca="1" si="11"/>
        <v>#NAME?</v>
      </c>
      <c r="F104" s="118" t="e">
        <f t="shared" ca="1" si="12"/>
        <v>#NAME?</v>
      </c>
      <c r="G104" s="103" t="e">
        <f t="shared" ca="1" si="13"/>
        <v>#NAME?</v>
      </c>
      <c r="H104" s="104" t="e">
        <f ca="1">IF(C104="","",MROUND([0]!CSVVLookUP(ROW(行数!A96),配列!$C$4,集計記録,8,1),"0:01"))</f>
        <v>#NAME?</v>
      </c>
      <c r="I104" s="104" t="e">
        <f t="shared" ca="1" si="14"/>
        <v>#NAME?</v>
      </c>
      <c r="J104" s="119" t="e">
        <f ca="1">IF(C104="","",MROUND([0]!CSVVLookUP(ROW(行数!A96),配列!$C$4,集計記録,7,1),"0:01"))</f>
        <v>#NAME?</v>
      </c>
      <c r="K104" s="92" t="e">
        <f ca="1">IF(C104="","",[0]!CSVVLookUP(ROW(行数!A96),配列!$C$4,集計記録,5,1))</f>
        <v>#NAME?</v>
      </c>
      <c r="L104" s="104" t="e">
        <f t="shared" ca="1" si="15"/>
        <v>#NAME?</v>
      </c>
      <c r="M104" s="120" t="e">
        <f t="shared" ca="1" si="9"/>
        <v>#NAME?</v>
      </c>
      <c r="N104" s="120" t="e">
        <f ca="1">IF([0]!CSVVLookUP(ROW(行数!A96),配列!$C$4,集計記録,6,1)=0,"",[0]!CSVVLookUP(ROW(行数!A96),配列!$C$4,集計記録,6,1))</f>
        <v>#NAME?</v>
      </c>
      <c r="O104" s="88" t="e">
        <f ca="1">IF(INDIRECT("M"&amp;ROW()-1)&lt;&gt;INDIRECT("M"&amp;ROW()),リスト!$I$5,"")</f>
        <v>#NAME?</v>
      </c>
      <c r="P104" s="88" t="e">
        <f ca="1">IF(INDIRECT("M"&amp;ROW())&lt;&gt;INDIRECT("M"&amp;ROW()+1),リスト!$I$6,"")</f>
        <v>#NAME?</v>
      </c>
    </row>
    <row r="105" spans="1:16" x14ac:dyDescent="0.2">
      <c r="A105" s="169" t="e">
        <f ca="1">IF(C105="","",ROW(行数!A97))</f>
        <v>#NAME?</v>
      </c>
      <c r="B105" s="168" t="e">
        <f t="shared" ca="1" si="10"/>
        <v>#NAME?</v>
      </c>
      <c r="C105" s="90" t="e">
        <f ca="1">[0]!CSVVLookUP(ROW(行数!A97),配列!$C$4,集計記録,3,1)</f>
        <v>#NAME?</v>
      </c>
      <c r="D105" s="90" t="e">
        <f ca="1">[0]!CSVVLookUP(ROW(行数!B97),配列!$C$4,集計記録,4,1)</f>
        <v>#NAME?</v>
      </c>
      <c r="E105" s="118" t="e">
        <f t="shared" ca="1" si="11"/>
        <v>#NAME?</v>
      </c>
      <c r="F105" s="118" t="e">
        <f t="shared" ca="1" si="12"/>
        <v>#NAME?</v>
      </c>
      <c r="G105" s="103" t="e">
        <f t="shared" ca="1" si="13"/>
        <v>#NAME?</v>
      </c>
      <c r="H105" s="104" t="e">
        <f ca="1">IF(C105="","",MROUND([0]!CSVVLookUP(ROW(行数!A97),配列!$C$4,集計記録,8,1),"0:01"))</f>
        <v>#NAME?</v>
      </c>
      <c r="I105" s="104" t="e">
        <f t="shared" ca="1" si="14"/>
        <v>#NAME?</v>
      </c>
      <c r="J105" s="119" t="e">
        <f ca="1">IF(C105="","",MROUND([0]!CSVVLookUP(ROW(行数!A97),配列!$C$4,集計記録,7,1),"0:01"))</f>
        <v>#NAME?</v>
      </c>
      <c r="K105" s="92" t="e">
        <f ca="1">IF(C105="","",[0]!CSVVLookUP(ROW(行数!A97),配列!$C$4,集計記録,5,1))</f>
        <v>#NAME?</v>
      </c>
      <c r="L105" s="104" t="e">
        <f t="shared" ca="1" si="15"/>
        <v>#NAME?</v>
      </c>
      <c r="M105" s="120" t="e">
        <f t="shared" ca="1" si="9"/>
        <v>#NAME?</v>
      </c>
      <c r="N105" s="120" t="e">
        <f ca="1">IF([0]!CSVVLookUP(ROW(行数!A97),配列!$C$4,集計記録,6,1)=0,"",[0]!CSVVLookUP(ROW(行数!A97),配列!$C$4,集計記録,6,1))</f>
        <v>#NAME?</v>
      </c>
      <c r="O105" s="88" t="e">
        <f ca="1">IF(INDIRECT("M"&amp;ROW()-1)&lt;&gt;INDIRECT("M"&amp;ROW()),リスト!$I$5,"")</f>
        <v>#NAME?</v>
      </c>
      <c r="P105" s="88" t="e">
        <f ca="1">IF(INDIRECT("M"&amp;ROW())&lt;&gt;INDIRECT("M"&amp;ROW()+1),リスト!$I$6,"")</f>
        <v>#NAME?</v>
      </c>
    </row>
    <row r="106" spans="1:16" x14ac:dyDescent="0.2">
      <c r="A106" s="169" t="e">
        <f ca="1">IF(C106="","",ROW(行数!A98))</f>
        <v>#NAME?</v>
      </c>
      <c r="B106" s="168" t="e">
        <f t="shared" ca="1" si="10"/>
        <v>#NAME?</v>
      </c>
      <c r="C106" s="90" t="e">
        <f ca="1">[0]!CSVVLookUP(ROW(行数!A98),配列!$C$4,集計記録,3,1)</f>
        <v>#NAME?</v>
      </c>
      <c r="D106" s="90" t="e">
        <f ca="1">[0]!CSVVLookUP(ROW(行数!B98),配列!$C$4,集計記録,4,1)</f>
        <v>#NAME?</v>
      </c>
      <c r="E106" s="118" t="e">
        <f t="shared" ca="1" si="11"/>
        <v>#NAME?</v>
      </c>
      <c r="F106" s="118" t="e">
        <f t="shared" ca="1" si="12"/>
        <v>#NAME?</v>
      </c>
      <c r="G106" s="103" t="e">
        <f t="shared" ca="1" si="13"/>
        <v>#NAME?</v>
      </c>
      <c r="H106" s="104" t="e">
        <f ca="1">IF(C106="","",MROUND([0]!CSVVLookUP(ROW(行数!A98),配列!$C$4,集計記録,8,1),"0:01"))</f>
        <v>#NAME?</v>
      </c>
      <c r="I106" s="104" t="e">
        <f t="shared" ca="1" si="14"/>
        <v>#NAME?</v>
      </c>
      <c r="J106" s="119" t="e">
        <f ca="1">IF(C106="","",MROUND([0]!CSVVLookUP(ROW(行数!A98),配列!$C$4,集計記録,7,1),"0:01"))</f>
        <v>#NAME?</v>
      </c>
      <c r="K106" s="92" t="e">
        <f ca="1">IF(C106="","",[0]!CSVVLookUP(ROW(行数!A98),配列!$C$4,集計記録,5,1))</f>
        <v>#NAME?</v>
      </c>
      <c r="L106" s="104" t="e">
        <f t="shared" ca="1" si="15"/>
        <v>#NAME?</v>
      </c>
      <c r="M106" s="120" t="e">
        <f t="shared" ca="1" si="9"/>
        <v>#NAME?</v>
      </c>
      <c r="N106" s="120" t="e">
        <f ca="1">IF([0]!CSVVLookUP(ROW(行数!A98),配列!$C$4,集計記録,6,1)=0,"",[0]!CSVVLookUP(ROW(行数!A98),配列!$C$4,集計記録,6,1))</f>
        <v>#NAME?</v>
      </c>
      <c r="O106" s="88" t="e">
        <f ca="1">IF(INDIRECT("M"&amp;ROW()-1)&lt;&gt;INDIRECT("M"&amp;ROW()),リスト!$I$5,"")</f>
        <v>#NAME?</v>
      </c>
      <c r="P106" s="88" t="e">
        <f ca="1">IF(INDIRECT("M"&amp;ROW())&lt;&gt;INDIRECT("M"&amp;ROW()+1),リスト!$I$6,"")</f>
        <v>#NAME?</v>
      </c>
    </row>
    <row r="107" spans="1:16" x14ac:dyDescent="0.2">
      <c r="A107" s="169" t="e">
        <f ca="1">IF(C107="","",ROW(行数!A99))</f>
        <v>#NAME?</v>
      </c>
      <c r="B107" s="168" t="e">
        <f t="shared" ca="1" si="10"/>
        <v>#NAME?</v>
      </c>
      <c r="C107" s="90" t="e">
        <f ca="1">[0]!CSVVLookUP(ROW(行数!A99),配列!$C$4,集計記録,3,1)</f>
        <v>#NAME?</v>
      </c>
      <c r="D107" s="90" t="e">
        <f ca="1">[0]!CSVVLookUP(ROW(行数!B99),配列!$C$4,集計記録,4,1)</f>
        <v>#NAME?</v>
      </c>
      <c r="E107" s="118" t="e">
        <f t="shared" ca="1" si="11"/>
        <v>#NAME?</v>
      </c>
      <c r="F107" s="118" t="e">
        <f t="shared" ca="1" si="12"/>
        <v>#NAME?</v>
      </c>
      <c r="G107" s="103" t="e">
        <f t="shared" ca="1" si="13"/>
        <v>#NAME?</v>
      </c>
      <c r="H107" s="104" t="e">
        <f ca="1">IF(C107="","",MROUND([0]!CSVVLookUP(ROW(行数!A99),配列!$C$4,集計記録,8,1),"0:01"))</f>
        <v>#NAME?</v>
      </c>
      <c r="I107" s="104" t="e">
        <f t="shared" ca="1" si="14"/>
        <v>#NAME?</v>
      </c>
      <c r="J107" s="119" t="e">
        <f ca="1">IF(C107="","",MROUND([0]!CSVVLookUP(ROW(行数!A99),配列!$C$4,集計記録,7,1),"0:01"))</f>
        <v>#NAME?</v>
      </c>
      <c r="K107" s="92" t="e">
        <f ca="1">IF(C107="","",[0]!CSVVLookUP(ROW(行数!A99),配列!$C$4,集計記録,5,1))</f>
        <v>#NAME?</v>
      </c>
      <c r="L107" s="104" t="e">
        <f t="shared" ca="1" si="15"/>
        <v>#NAME?</v>
      </c>
      <c r="M107" s="120" t="e">
        <f t="shared" ca="1" si="9"/>
        <v>#NAME?</v>
      </c>
      <c r="N107" s="120" t="e">
        <f ca="1">IF([0]!CSVVLookUP(ROW(行数!A99),配列!$C$4,集計記録,6,1)=0,"",[0]!CSVVLookUP(ROW(行数!A99),配列!$C$4,集計記録,6,1))</f>
        <v>#NAME?</v>
      </c>
      <c r="O107" s="88" t="e">
        <f ca="1">IF(INDIRECT("M"&amp;ROW()-1)&lt;&gt;INDIRECT("M"&amp;ROW()),リスト!$I$5,"")</f>
        <v>#NAME?</v>
      </c>
      <c r="P107" s="88" t="e">
        <f ca="1">IF(INDIRECT("M"&amp;ROW())&lt;&gt;INDIRECT("M"&amp;ROW()+1),リスト!$I$6,"")</f>
        <v>#NAME?</v>
      </c>
    </row>
    <row r="108" spans="1:16" x14ac:dyDescent="0.2">
      <c r="A108" s="169" t="e">
        <f ca="1">IF(C108="","",ROW(行数!A100))</f>
        <v>#NAME?</v>
      </c>
      <c r="B108" s="168" t="e">
        <f t="shared" ca="1" si="10"/>
        <v>#NAME?</v>
      </c>
      <c r="C108" s="90" t="e">
        <f ca="1">[0]!CSVVLookUP(ROW(行数!A100),配列!$C$4,集計記録,3,1)</f>
        <v>#NAME?</v>
      </c>
      <c r="D108" s="90" t="e">
        <f ca="1">[0]!CSVVLookUP(ROW(行数!B100),配列!$C$4,集計記録,4,1)</f>
        <v>#NAME?</v>
      </c>
      <c r="E108" s="118" t="e">
        <f t="shared" ca="1" si="11"/>
        <v>#NAME?</v>
      </c>
      <c r="F108" s="118" t="e">
        <f t="shared" ca="1" si="12"/>
        <v>#NAME?</v>
      </c>
      <c r="G108" s="103" t="e">
        <f t="shared" ca="1" si="13"/>
        <v>#NAME?</v>
      </c>
      <c r="H108" s="104" t="e">
        <f ca="1">IF(C108="","",MROUND([0]!CSVVLookUP(ROW(行数!A100),配列!$C$4,集計記録,8,1),"0:01"))</f>
        <v>#NAME?</v>
      </c>
      <c r="I108" s="104" t="e">
        <f t="shared" ca="1" si="14"/>
        <v>#NAME?</v>
      </c>
      <c r="J108" s="119" t="e">
        <f ca="1">IF(C108="","",MROUND([0]!CSVVLookUP(ROW(行数!A100),配列!$C$4,集計記録,7,1),"0:01"))</f>
        <v>#NAME?</v>
      </c>
      <c r="K108" s="92" t="e">
        <f ca="1">IF(C108="","",[0]!CSVVLookUP(ROW(行数!A100),配列!$C$4,集計記録,5,1))</f>
        <v>#NAME?</v>
      </c>
      <c r="L108" s="104" t="e">
        <f t="shared" ca="1" si="15"/>
        <v>#NAME?</v>
      </c>
      <c r="M108" s="120" t="e">
        <f t="shared" ca="1" si="9"/>
        <v>#NAME?</v>
      </c>
      <c r="N108" s="120" t="e">
        <f ca="1">IF([0]!CSVVLookUP(ROW(行数!A100),配列!$C$4,集計記録,6,1)=0,"",[0]!CSVVLookUP(ROW(行数!A100),配列!$C$4,集計記録,6,1))</f>
        <v>#NAME?</v>
      </c>
      <c r="O108" s="88" t="e">
        <f ca="1">IF(INDIRECT("M"&amp;ROW()-1)&lt;&gt;INDIRECT("M"&amp;ROW()),リスト!$I$5,"")</f>
        <v>#NAME?</v>
      </c>
      <c r="P108" s="88" t="e">
        <f ca="1">IF(INDIRECT("M"&amp;ROW())&lt;&gt;INDIRECT("M"&amp;ROW()+1),リスト!$I$6,"")</f>
        <v>#NAME?</v>
      </c>
    </row>
    <row r="109" spans="1:16" x14ac:dyDescent="0.2">
      <c r="A109" s="169" t="e">
        <f ca="1">IF(C109="","",ROW(行数!A101))</f>
        <v>#NAME?</v>
      </c>
      <c r="B109" s="168" t="e">
        <f t="shared" ca="1" si="10"/>
        <v>#NAME?</v>
      </c>
      <c r="C109" s="90" t="e">
        <f ca="1">[0]!CSVVLookUP(ROW(行数!A101),配列!$C$4,集計記録,3,1)</f>
        <v>#NAME?</v>
      </c>
      <c r="D109" s="90" t="e">
        <f ca="1">[0]!CSVVLookUP(ROW(行数!B101),配列!$C$4,集計記録,4,1)</f>
        <v>#NAME?</v>
      </c>
      <c r="E109" s="118" t="e">
        <f t="shared" ca="1" si="11"/>
        <v>#NAME?</v>
      </c>
      <c r="F109" s="118" t="e">
        <f t="shared" ca="1" si="12"/>
        <v>#NAME?</v>
      </c>
      <c r="G109" s="103" t="e">
        <f t="shared" ca="1" si="13"/>
        <v>#NAME?</v>
      </c>
      <c r="H109" s="104" t="e">
        <f ca="1">IF(C109="","",MROUND([0]!CSVVLookUP(ROW(行数!A101),配列!$C$4,集計記録,8,1),"0:01"))</f>
        <v>#NAME?</v>
      </c>
      <c r="I109" s="104" t="e">
        <f t="shared" ca="1" si="14"/>
        <v>#NAME?</v>
      </c>
      <c r="J109" s="119" t="e">
        <f ca="1">IF(C109="","",MROUND([0]!CSVVLookUP(ROW(行数!A101),配列!$C$4,集計記録,7,1),"0:01"))</f>
        <v>#NAME?</v>
      </c>
      <c r="K109" s="92" t="e">
        <f ca="1">IF(C109="","",[0]!CSVVLookUP(ROW(行数!A101),配列!$C$4,集計記録,5,1))</f>
        <v>#NAME?</v>
      </c>
      <c r="L109" s="104" t="e">
        <f t="shared" ca="1" si="15"/>
        <v>#NAME?</v>
      </c>
      <c r="M109" s="120" t="e">
        <f t="shared" ca="1" si="9"/>
        <v>#NAME?</v>
      </c>
      <c r="N109" s="120" t="e">
        <f ca="1">IF([0]!CSVVLookUP(ROW(行数!A101),配列!$C$4,集計記録,6,1)=0,"",[0]!CSVVLookUP(ROW(行数!A101),配列!$C$4,集計記録,6,1))</f>
        <v>#NAME?</v>
      </c>
      <c r="O109" s="88" t="e">
        <f ca="1">IF(INDIRECT("M"&amp;ROW()-1)&lt;&gt;INDIRECT("M"&amp;ROW()),リスト!$I$5,"")</f>
        <v>#NAME?</v>
      </c>
      <c r="P109" s="88" t="e">
        <f ca="1">IF(INDIRECT("M"&amp;ROW())&lt;&gt;INDIRECT("M"&amp;ROW()+1),リスト!$I$6,"")</f>
        <v>#NAME?</v>
      </c>
    </row>
    <row r="110" spans="1:16" x14ac:dyDescent="0.2">
      <c r="A110" s="169" t="e">
        <f ca="1">IF(C110="","",ROW(行数!A102))</f>
        <v>#NAME?</v>
      </c>
      <c r="B110" s="168" t="e">
        <f t="shared" ca="1" si="10"/>
        <v>#NAME?</v>
      </c>
      <c r="C110" s="90" t="e">
        <f ca="1">[0]!CSVVLookUP(ROW(行数!A102),配列!$C$4,集計記録,3,1)</f>
        <v>#NAME?</v>
      </c>
      <c r="D110" s="90" t="e">
        <f ca="1">[0]!CSVVLookUP(ROW(行数!B102),配列!$C$4,集計記録,4,1)</f>
        <v>#NAME?</v>
      </c>
      <c r="E110" s="118" t="e">
        <f t="shared" ca="1" si="11"/>
        <v>#NAME?</v>
      </c>
      <c r="F110" s="118" t="e">
        <f t="shared" ca="1" si="12"/>
        <v>#NAME?</v>
      </c>
      <c r="G110" s="103" t="e">
        <f t="shared" ca="1" si="13"/>
        <v>#NAME?</v>
      </c>
      <c r="H110" s="104" t="e">
        <f ca="1">IF(C110="","",MROUND([0]!CSVVLookUP(ROW(行数!A102),配列!$C$4,集計記録,8,1),"0:01"))</f>
        <v>#NAME?</v>
      </c>
      <c r="I110" s="104" t="e">
        <f t="shared" ca="1" si="14"/>
        <v>#NAME?</v>
      </c>
      <c r="J110" s="119" t="e">
        <f ca="1">IF(C110="","",MROUND([0]!CSVVLookUP(ROW(行数!A102),配列!$C$4,集計記録,7,1),"0:01"))</f>
        <v>#NAME?</v>
      </c>
      <c r="K110" s="92" t="e">
        <f ca="1">IF(C110="","",[0]!CSVVLookUP(ROW(行数!A102),配列!$C$4,集計記録,5,1))</f>
        <v>#NAME?</v>
      </c>
      <c r="L110" s="104" t="e">
        <f t="shared" ca="1" si="15"/>
        <v>#NAME?</v>
      </c>
      <c r="M110" s="120" t="e">
        <f t="shared" ca="1" si="9"/>
        <v>#NAME?</v>
      </c>
      <c r="N110" s="120" t="e">
        <f ca="1">IF([0]!CSVVLookUP(ROW(行数!A102),配列!$C$4,集計記録,6,1)=0,"",[0]!CSVVLookUP(ROW(行数!A102),配列!$C$4,集計記録,6,1))</f>
        <v>#NAME?</v>
      </c>
      <c r="O110" s="88" t="e">
        <f ca="1">IF(INDIRECT("M"&amp;ROW()-1)&lt;&gt;INDIRECT("M"&amp;ROW()),リスト!$I$5,"")</f>
        <v>#NAME?</v>
      </c>
      <c r="P110" s="88" t="e">
        <f ca="1">IF(INDIRECT("M"&amp;ROW())&lt;&gt;INDIRECT("M"&amp;ROW()+1),リスト!$I$6,"")</f>
        <v>#NAME?</v>
      </c>
    </row>
    <row r="111" spans="1:16" x14ac:dyDescent="0.2">
      <c r="A111" s="169" t="e">
        <f ca="1">IF(C111="","",ROW(行数!A103))</f>
        <v>#NAME?</v>
      </c>
      <c r="B111" s="168" t="e">
        <f t="shared" ca="1" si="10"/>
        <v>#NAME?</v>
      </c>
      <c r="C111" s="90" t="e">
        <f ca="1">[0]!CSVVLookUP(ROW(行数!A103),配列!$C$4,集計記録,3,1)</f>
        <v>#NAME?</v>
      </c>
      <c r="D111" s="90" t="e">
        <f ca="1">[0]!CSVVLookUP(ROW(行数!B103),配列!$C$4,集計記録,4,1)</f>
        <v>#NAME?</v>
      </c>
      <c r="E111" s="118" t="e">
        <f t="shared" ca="1" si="11"/>
        <v>#NAME?</v>
      </c>
      <c r="F111" s="118" t="e">
        <f t="shared" ca="1" si="12"/>
        <v>#NAME?</v>
      </c>
      <c r="G111" s="103" t="e">
        <f t="shared" ca="1" si="13"/>
        <v>#NAME?</v>
      </c>
      <c r="H111" s="104" t="e">
        <f ca="1">IF(C111="","",MROUND([0]!CSVVLookUP(ROW(行数!A103),配列!$C$4,集計記録,8,1),"0:01"))</f>
        <v>#NAME?</v>
      </c>
      <c r="I111" s="104" t="e">
        <f t="shared" ca="1" si="14"/>
        <v>#NAME?</v>
      </c>
      <c r="J111" s="119" t="e">
        <f ca="1">IF(C111="","",MROUND([0]!CSVVLookUP(ROW(行数!A103),配列!$C$4,集計記録,7,1),"0:01"))</f>
        <v>#NAME?</v>
      </c>
      <c r="K111" s="92" t="e">
        <f ca="1">IF(C111="","",[0]!CSVVLookUP(ROW(行数!A103),配列!$C$4,集計記録,5,1))</f>
        <v>#NAME?</v>
      </c>
      <c r="L111" s="104" t="e">
        <f t="shared" ca="1" si="15"/>
        <v>#NAME?</v>
      </c>
      <c r="M111" s="120" t="e">
        <f t="shared" ca="1" si="9"/>
        <v>#NAME?</v>
      </c>
      <c r="N111" s="120" t="e">
        <f ca="1">IF([0]!CSVVLookUP(ROW(行数!A103),配列!$C$4,集計記録,6,1)=0,"",[0]!CSVVLookUP(ROW(行数!A103),配列!$C$4,集計記録,6,1))</f>
        <v>#NAME?</v>
      </c>
      <c r="O111" s="88" t="e">
        <f ca="1">IF(INDIRECT("M"&amp;ROW()-1)&lt;&gt;INDIRECT("M"&amp;ROW()),リスト!$I$5,"")</f>
        <v>#NAME?</v>
      </c>
      <c r="P111" s="88" t="e">
        <f ca="1">IF(INDIRECT("M"&amp;ROW())&lt;&gt;INDIRECT("M"&amp;ROW()+1),リスト!$I$6,"")</f>
        <v>#NAME?</v>
      </c>
    </row>
    <row r="112" spans="1:16" x14ac:dyDescent="0.2">
      <c r="A112" s="169" t="e">
        <f ca="1">IF(C112="","",ROW(行数!A104))</f>
        <v>#NAME?</v>
      </c>
      <c r="B112" s="168" t="e">
        <f t="shared" ca="1" si="10"/>
        <v>#NAME?</v>
      </c>
      <c r="C112" s="90" t="e">
        <f ca="1">[0]!CSVVLookUP(ROW(行数!A104),配列!$C$4,集計記録,3,1)</f>
        <v>#NAME?</v>
      </c>
      <c r="D112" s="90" t="e">
        <f ca="1">[0]!CSVVLookUP(ROW(行数!B104),配列!$C$4,集計記録,4,1)</f>
        <v>#NAME?</v>
      </c>
      <c r="E112" s="118" t="e">
        <f t="shared" ca="1" si="11"/>
        <v>#NAME?</v>
      </c>
      <c r="F112" s="118" t="e">
        <f t="shared" ca="1" si="12"/>
        <v>#NAME?</v>
      </c>
      <c r="G112" s="103" t="e">
        <f t="shared" ca="1" si="13"/>
        <v>#NAME?</v>
      </c>
      <c r="H112" s="104" t="e">
        <f ca="1">IF(C112="","",MROUND([0]!CSVVLookUP(ROW(行数!A104),配列!$C$4,集計記録,8,1),"0:01"))</f>
        <v>#NAME?</v>
      </c>
      <c r="I112" s="104" t="e">
        <f t="shared" ca="1" si="14"/>
        <v>#NAME?</v>
      </c>
      <c r="J112" s="119" t="e">
        <f ca="1">IF(C112="","",MROUND([0]!CSVVLookUP(ROW(行数!A104),配列!$C$4,集計記録,7,1),"0:01"))</f>
        <v>#NAME?</v>
      </c>
      <c r="K112" s="92" t="e">
        <f ca="1">IF(C112="","",[0]!CSVVLookUP(ROW(行数!A104),配列!$C$4,集計記録,5,1))</f>
        <v>#NAME?</v>
      </c>
      <c r="L112" s="104" t="e">
        <f t="shared" ca="1" si="15"/>
        <v>#NAME?</v>
      </c>
      <c r="M112" s="120" t="e">
        <f t="shared" ca="1" si="9"/>
        <v>#NAME?</v>
      </c>
      <c r="N112" s="120" t="e">
        <f ca="1">IF([0]!CSVVLookUP(ROW(行数!A104),配列!$C$4,集計記録,6,1)=0,"",[0]!CSVVLookUP(ROW(行数!A104),配列!$C$4,集計記録,6,1))</f>
        <v>#NAME?</v>
      </c>
      <c r="O112" s="88" t="e">
        <f ca="1">IF(INDIRECT("M"&amp;ROW()-1)&lt;&gt;INDIRECT("M"&amp;ROW()),リスト!$I$5,"")</f>
        <v>#NAME?</v>
      </c>
      <c r="P112" s="88" t="e">
        <f ca="1">IF(INDIRECT("M"&amp;ROW())&lt;&gt;INDIRECT("M"&amp;ROW()+1),リスト!$I$6,"")</f>
        <v>#NAME?</v>
      </c>
    </row>
    <row r="113" spans="1:16" x14ac:dyDescent="0.2">
      <c r="A113" s="169" t="e">
        <f ca="1">IF(C113="","",ROW(行数!A105))</f>
        <v>#NAME?</v>
      </c>
      <c r="B113" s="168" t="e">
        <f t="shared" ca="1" si="10"/>
        <v>#NAME?</v>
      </c>
      <c r="C113" s="90" t="e">
        <f ca="1">[0]!CSVVLookUP(ROW(行数!A105),配列!$C$4,集計記録,3,1)</f>
        <v>#NAME?</v>
      </c>
      <c r="D113" s="90" t="e">
        <f ca="1">[0]!CSVVLookUP(ROW(行数!B105),配列!$C$4,集計記録,4,1)</f>
        <v>#NAME?</v>
      </c>
      <c r="E113" s="118" t="e">
        <f t="shared" ca="1" si="11"/>
        <v>#NAME?</v>
      </c>
      <c r="F113" s="118" t="e">
        <f t="shared" ca="1" si="12"/>
        <v>#NAME?</v>
      </c>
      <c r="G113" s="103" t="e">
        <f t="shared" ca="1" si="13"/>
        <v>#NAME?</v>
      </c>
      <c r="H113" s="104" t="e">
        <f ca="1">IF(C113="","",MROUND([0]!CSVVLookUP(ROW(行数!A105),配列!$C$4,集計記録,8,1),"0:01"))</f>
        <v>#NAME?</v>
      </c>
      <c r="I113" s="104" t="e">
        <f t="shared" ca="1" si="14"/>
        <v>#NAME?</v>
      </c>
      <c r="J113" s="119" t="e">
        <f ca="1">IF(C113="","",MROUND([0]!CSVVLookUP(ROW(行数!A105),配列!$C$4,集計記録,7,1),"0:01"))</f>
        <v>#NAME?</v>
      </c>
      <c r="K113" s="92" t="e">
        <f ca="1">IF(C113="","",[0]!CSVVLookUP(ROW(行数!A105),配列!$C$4,集計記録,5,1))</f>
        <v>#NAME?</v>
      </c>
      <c r="L113" s="104" t="e">
        <f t="shared" ca="1" si="15"/>
        <v>#NAME?</v>
      </c>
      <c r="M113" s="120" t="e">
        <f t="shared" ca="1" si="9"/>
        <v>#NAME?</v>
      </c>
      <c r="N113" s="120" t="e">
        <f ca="1">IF([0]!CSVVLookUP(ROW(行数!A105),配列!$C$4,集計記録,6,1)=0,"",[0]!CSVVLookUP(ROW(行数!A105),配列!$C$4,集計記録,6,1))</f>
        <v>#NAME?</v>
      </c>
      <c r="O113" s="88" t="e">
        <f ca="1">IF(INDIRECT("M"&amp;ROW()-1)&lt;&gt;INDIRECT("M"&amp;ROW()),リスト!$I$5,"")</f>
        <v>#NAME?</v>
      </c>
      <c r="P113" s="88" t="e">
        <f ca="1">IF(INDIRECT("M"&amp;ROW())&lt;&gt;INDIRECT("M"&amp;ROW()+1),リスト!$I$6,"")</f>
        <v>#NAME?</v>
      </c>
    </row>
    <row r="114" spans="1:16" x14ac:dyDescent="0.2">
      <c r="A114" s="169" t="e">
        <f ca="1">IF(C114="","",ROW(行数!A106))</f>
        <v>#NAME?</v>
      </c>
      <c r="B114" s="168" t="e">
        <f t="shared" ca="1" si="10"/>
        <v>#NAME?</v>
      </c>
      <c r="C114" s="90" t="e">
        <f ca="1">[0]!CSVVLookUP(ROW(行数!A106),配列!$C$4,集計記録,3,1)</f>
        <v>#NAME?</v>
      </c>
      <c r="D114" s="90" t="e">
        <f ca="1">[0]!CSVVLookUP(ROW(行数!B106),配列!$C$4,集計記録,4,1)</f>
        <v>#NAME?</v>
      </c>
      <c r="E114" s="118" t="e">
        <f t="shared" ca="1" si="11"/>
        <v>#NAME?</v>
      </c>
      <c r="F114" s="118" t="e">
        <f t="shared" ca="1" si="12"/>
        <v>#NAME?</v>
      </c>
      <c r="G114" s="103" t="e">
        <f t="shared" ca="1" si="13"/>
        <v>#NAME?</v>
      </c>
      <c r="H114" s="104" t="e">
        <f ca="1">IF(C114="","",MROUND([0]!CSVVLookUP(ROW(行数!A106),配列!$C$4,集計記録,8,1),"0:01"))</f>
        <v>#NAME?</v>
      </c>
      <c r="I114" s="104" t="e">
        <f t="shared" ca="1" si="14"/>
        <v>#NAME?</v>
      </c>
      <c r="J114" s="119" t="e">
        <f ca="1">IF(C114="","",MROUND([0]!CSVVLookUP(ROW(行数!A106),配列!$C$4,集計記録,7,1),"0:01"))</f>
        <v>#NAME?</v>
      </c>
      <c r="K114" s="92" t="e">
        <f ca="1">IF(C114="","",[0]!CSVVLookUP(ROW(行数!A106),配列!$C$4,集計記録,5,1))</f>
        <v>#NAME?</v>
      </c>
      <c r="L114" s="104" t="e">
        <f t="shared" ca="1" si="15"/>
        <v>#NAME?</v>
      </c>
      <c r="M114" s="120" t="e">
        <f t="shared" ca="1" si="9"/>
        <v>#NAME?</v>
      </c>
      <c r="N114" s="120" t="e">
        <f ca="1">IF([0]!CSVVLookUP(ROW(行数!A106),配列!$C$4,集計記録,6,1)=0,"",[0]!CSVVLookUP(ROW(行数!A106),配列!$C$4,集計記録,6,1))</f>
        <v>#NAME?</v>
      </c>
      <c r="O114" s="88" t="e">
        <f ca="1">IF(INDIRECT("M"&amp;ROW()-1)&lt;&gt;INDIRECT("M"&amp;ROW()),リスト!$I$5,"")</f>
        <v>#NAME?</v>
      </c>
      <c r="P114" s="88" t="e">
        <f ca="1">IF(INDIRECT("M"&amp;ROW())&lt;&gt;INDIRECT("M"&amp;ROW()+1),リスト!$I$6,"")</f>
        <v>#NAME?</v>
      </c>
    </row>
    <row r="115" spans="1:16" x14ac:dyDescent="0.2">
      <c r="A115" s="169" t="e">
        <f ca="1">IF(C115="","",ROW(行数!A107))</f>
        <v>#NAME?</v>
      </c>
      <c r="B115" s="168" t="e">
        <f t="shared" ca="1" si="10"/>
        <v>#NAME?</v>
      </c>
      <c r="C115" s="90" t="e">
        <f ca="1">[0]!CSVVLookUP(ROW(行数!A107),配列!$C$4,集計記録,3,1)</f>
        <v>#NAME?</v>
      </c>
      <c r="D115" s="90" t="e">
        <f ca="1">[0]!CSVVLookUP(ROW(行数!B107),配列!$C$4,集計記録,4,1)</f>
        <v>#NAME?</v>
      </c>
      <c r="E115" s="118" t="e">
        <f t="shared" ca="1" si="11"/>
        <v>#NAME?</v>
      </c>
      <c r="F115" s="118" t="e">
        <f t="shared" ca="1" si="12"/>
        <v>#NAME?</v>
      </c>
      <c r="G115" s="103" t="e">
        <f t="shared" ca="1" si="13"/>
        <v>#NAME?</v>
      </c>
      <c r="H115" s="104" t="e">
        <f ca="1">IF(C115="","",MROUND([0]!CSVVLookUP(ROW(行数!A107),配列!$C$4,集計記録,8,1),"0:01"))</f>
        <v>#NAME?</v>
      </c>
      <c r="I115" s="104" t="e">
        <f t="shared" ca="1" si="14"/>
        <v>#NAME?</v>
      </c>
      <c r="J115" s="119" t="e">
        <f ca="1">IF(C115="","",MROUND([0]!CSVVLookUP(ROW(行数!A107),配列!$C$4,集計記録,7,1),"0:01"))</f>
        <v>#NAME?</v>
      </c>
      <c r="K115" s="92" t="e">
        <f ca="1">IF(C115="","",[0]!CSVVLookUP(ROW(行数!A107),配列!$C$4,集計記録,5,1))</f>
        <v>#NAME?</v>
      </c>
      <c r="L115" s="104" t="e">
        <f t="shared" ca="1" si="15"/>
        <v>#NAME?</v>
      </c>
      <c r="M115" s="120" t="e">
        <f t="shared" ca="1" si="9"/>
        <v>#NAME?</v>
      </c>
      <c r="N115" s="120" t="e">
        <f ca="1">IF([0]!CSVVLookUP(ROW(行数!A107),配列!$C$4,集計記録,6,1)=0,"",[0]!CSVVLookUP(ROW(行数!A107),配列!$C$4,集計記録,6,1))</f>
        <v>#NAME?</v>
      </c>
      <c r="O115" s="88" t="e">
        <f ca="1">IF(INDIRECT("M"&amp;ROW()-1)&lt;&gt;INDIRECT("M"&amp;ROW()),リスト!$I$5,"")</f>
        <v>#NAME?</v>
      </c>
      <c r="P115" s="88" t="e">
        <f ca="1">IF(INDIRECT("M"&amp;ROW())&lt;&gt;INDIRECT("M"&amp;ROW()+1),リスト!$I$6,"")</f>
        <v>#NAME?</v>
      </c>
    </row>
    <row r="116" spans="1:16" x14ac:dyDescent="0.2">
      <c r="A116" s="169" t="e">
        <f ca="1">IF(C116="","",ROW(行数!A108))</f>
        <v>#NAME?</v>
      </c>
      <c r="B116" s="168" t="e">
        <f t="shared" ca="1" si="10"/>
        <v>#NAME?</v>
      </c>
      <c r="C116" s="90" t="e">
        <f ca="1">[0]!CSVVLookUP(ROW(行数!A108),配列!$C$4,集計記録,3,1)</f>
        <v>#NAME?</v>
      </c>
      <c r="D116" s="90" t="e">
        <f ca="1">[0]!CSVVLookUP(ROW(行数!B108),配列!$C$4,集計記録,4,1)</f>
        <v>#NAME?</v>
      </c>
      <c r="E116" s="118" t="e">
        <f t="shared" ca="1" si="11"/>
        <v>#NAME?</v>
      </c>
      <c r="F116" s="118" t="e">
        <f t="shared" ca="1" si="12"/>
        <v>#NAME?</v>
      </c>
      <c r="G116" s="103" t="e">
        <f t="shared" ca="1" si="13"/>
        <v>#NAME?</v>
      </c>
      <c r="H116" s="104" t="e">
        <f ca="1">IF(C116="","",MROUND([0]!CSVVLookUP(ROW(行数!A108),配列!$C$4,集計記録,8,1),"0:01"))</f>
        <v>#NAME?</v>
      </c>
      <c r="I116" s="104" t="e">
        <f t="shared" ca="1" si="14"/>
        <v>#NAME?</v>
      </c>
      <c r="J116" s="119" t="e">
        <f ca="1">IF(C116="","",MROUND([0]!CSVVLookUP(ROW(行数!A108),配列!$C$4,集計記録,7,1),"0:01"))</f>
        <v>#NAME?</v>
      </c>
      <c r="K116" s="92" t="e">
        <f ca="1">IF(C116="","",[0]!CSVVLookUP(ROW(行数!A108),配列!$C$4,集計記録,5,1))</f>
        <v>#NAME?</v>
      </c>
      <c r="L116" s="104" t="e">
        <f t="shared" ca="1" si="15"/>
        <v>#NAME?</v>
      </c>
      <c r="M116" s="120" t="e">
        <f t="shared" ca="1" si="9"/>
        <v>#NAME?</v>
      </c>
      <c r="N116" s="120" t="e">
        <f ca="1">IF([0]!CSVVLookUP(ROW(行数!A108),配列!$C$4,集計記録,6,1)=0,"",[0]!CSVVLookUP(ROW(行数!A108),配列!$C$4,集計記録,6,1))</f>
        <v>#NAME?</v>
      </c>
      <c r="O116" s="88" t="e">
        <f ca="1">IF(INDIRECT("M"&amp;ROW()-1)&lt;&gt;INDIRECT("M"&amp;ROW()),リスト!$I$5,"")</f>
        <v>#NAME?</v>
      </c>
      <c r="P116" s="88" t="e">
        <f ca="1">IF(INDIRECT("M"&amp;ROW())&lt;&gt;INDIRECT("M"&amp;ROW()+1),リスト!$I$6,"")</f>
        <v>#NAME?</v>
      </c>
    </row>
    <row r="117" spans="1:16" x14ac:dyDescent="0.2">
      <c r="A117" s="169" t="e">
        <f ca="1">IF(C117="","",ROW(行数!A109))</f>
        <v>#NAME?</v>
      </c>
      <c r="B117" s="168" t="e">
        <f t="shared" ca="1" si="10"/>
        <v>#NAME?</v>
      </c>
      <c r="C117" s="90" t="e">
        <f ca="1">[0]!CSVVLookUP(ROW(行数!A109),配列!$C$4,集計記録,3,1)</f>
        <v>#NAME?</v>
      </c>
      <c r="D117" s="90" t="e">
        <f ca="1">[0]!CSVVLookUP(ROW(行数!B109),配列!$C$4,集計記録,4,1)</f>
        <v>#NAME?</v>
      </c>
      <c r="E117" s="118" t="e">
        <f t="shared" ca="1" si="11"/>
        <v>#NAME?</v>
      </c>
      <c r="F117" s="118" t="e">
        <f t="shared" ca="1" si="12"/>
        <v>#NAME?</v>
      </c>
      <c r="G117" s="103" t="e">
        <f t="shared" ca="1" si="13"/>
        <v>#NAME?</v>
      </c>
      <c r="H117" s="104" t="e">
        <f ca="1">IF(C117="","",MROUND([0]!CSVVLookUP(ROW(行数!A109),配列!$C$4,集計記録,8,1),"0:01"))</f>
        <v>#NAME?</v>
      </c>
      <c r="I117" s="104" t="e">
        <f t="shared" ca="1" si="14"/>
        <v>#NAME?</v>
      </c>
      <c r="J117" s="119" t="e">
        <f ca="1">IF(C117="","",MROUND([0]!CSVVLookUP(ROW(行数!A109),配列!$C$4,集計記録,7,1),"0:01"))</f>
        <v>#NAME?</v>
      </c>
      <c r="K117" s="92" t="e">
        <f ca="1">IF(C117="","",[0]!CSVVLookUP(ROW(行数!A109),配列!$C$4,集計記録,5,1))</f>
        <v>#NAME?</v>
      </c>
      <c r="L117" s="104" t="e">
        <f t="shared" ca="1" si="15"/>
        <v>#NAME?</v>
      </c>
      <c r="M117" s="120" t="e">
        <f t="shared" ca="1" si="9"/>
        <v>#NAME?</v>
      </c>
      <c r="N117" s="120" t="e">
        <f ca="1">IF([0]!CSVVLookUP(ROW(行数!A109),配列!$C$4,集計記録,6,1)=0,"",[0]!CSVVLookUP(ROW(行数!A109),配列!$C$4,集計記録,6,1))</f>
        <v>#NAME?</v>
      </c>
      <c r="O117" s="88" t="e">
        <f ca="1">IF(INDIRECT("M"&amp;ROW()-1)&lt;&gt;INDIRECT("M"&amp;ROW()),リスト!$I$5,"")</f>
        <v>#NAME?</v>
      </c>
      <c r="P117" s="88" t="e">
        <f ca="1">IF(INDIRECT("M"&amp;ROW())&lt;&gt;INDIRECT("M"&amp;ROW()+1),リスト!$I$6,"")</f>
        <v>#NAME?</v>
      </c>
    </row>
    <row r="118" spans="1:16" x14ac:dyDescent="0.2">
      <c r="A118" s="169" t="e">
        <f ca="1">IF(C118="","",ROW(行数!A110))</f>
        <v>#NAME?</v>
      </c>
      <c r="B118" s="168" t="e">
        <f t="shared" ca="1" si="10"/>
        <v>#NAME?</v>
      </c>
      <c r="C118" s="90" t="e">
        <f ca="1">[0]!CSVVLookUP(ROW(行数!A110),配列!$C$4,集計記録,3,1)</f>
        <v>#NAME?</v>
      </c>
      <c r="D118" s="90" t="e">
        <f ca="1">[0]!CSVVLookUP(ROW(行数!B110),配列!$C$4,集計記録,4,1)</f>
        <v>#NAME?</v>
      </c>
      <c r="E118" s="118" t="e">
        <f t="shared" ca="1" si="11"/>
        <v>#NAME?</v>
      </c>
      <c r="F118" s="118" t="e">
        <f t="shared" ca="1" si="12"/>
        <v>#NAME?</v>
      </c>
      <c r="G118" s="103" t="e">
        <f t="shared" ca="1" si="13"/>
        <v>#NAME?</v>
      </c>
      <c r="H118" s="104" t="e">
        <f ca="1">IF(C118="","",MROUND([0]!CSVVLookUP(ROW(行数!A110),配列!$C$4,集計記録,8,1),"0:01"))</f>
        <v>#NAME?</v>
      </c>
      <c r="I118" s="104" t="e">
        <f t="shared" ca="1" si="14"/>
        <v>#NAME?</v>
      </c>
      <c r="J118" s="119" t="e">
        <f ca="1">IF(C118="","",MROUND([0]!CSVVLookUP(ROW(行数!A110),配列!$C$4,集計記録,7,1),"0:01"))</f>
        <v>#NAME?</v>
      </c>
      <c r="K118" s="92" t="e">
        <f ca="1">IF(C118="","",[0]!CSVVLookUP(ROW(行数!A110),配列!$C$4,集計記録,5,1))</f>
        <v>#NAME?</v>
      </c>
      <c r="L118" s="104" t="e">
        <f t="shared" ca="1" si="15"/>
        <v>#NAME?</v>
      </c>
      <c r="M118" s="120" t="e">
        <f t="shared" ca="1" si="9"/>
        <v>#NAME?</v>
      </c>
      <c r="N118" s="120" t="e">
        <f ca="1">IF([0]!CSVVLookUP(ROW(行数!A110),配列!$C$4,集計記録,6,1)=0,"",[0]!CSVVLookUP(ROW(行数!A110),配列!$C$4,集計記録,6,1))</f>
        <v>#NAME?</v>
      </c>
      <c r="O118" s="88" t="e">
        <f ca="1">IF(INDIRECT("M"&amp;ROW()-1)&lt;&gt;INDIRECT("M"&amp;ROW()),リスト!$I$5,"")</f>
        <v>#NAME?</v>
      </c>
      <c r="P118" s="88" t="e">
        <f ca="1">IF(INDIRECT("M"&amp;ROW())&lt;&gt;INDIRECT("M"&amp;ROW()+1),リスト!$I$6,"")</f>
        <v>#NAME?</v>
      </c>
    </row>
    <row r="119" spans="1:16" x14ac:dyDescent="0.2">
      <c r="A119" s="169" t="e">
        <f ca="1">IF(C119="","",ROW(行数!A111))</f>
        <v>#NAME?</v>
      </c>
      <c r="B119" s="168" t="e">
        <f t="shared" ca="1" si="10"/>
        <v>#NAME?</v>
      </c>
      <c r="C119" s="90" t="e">
        <f ca="1">[0]!CSVVLookUP(ROW(行数!A111),配列!$C$4,集計記録,3,1)</f>
        <v>#NAME?</v>
      </c>
      <c r="D119" s="90" t="e">
        <f ca="1">[0]!CSVVLookUP(ROW(行数!B111),配列!$C$4,集計記録,4,1)</f>
        <v>#NAME?</v>
      </c>
      <c r="E119" s="118" t="e">
        <f t="shared" ca="1" si="11"/>
        <v>#NAME?</v>
      </c>
      <c r="F119" s="118" t="e">
        <f t="shared" ca="1" si="12"/>
        <v>#NAME?</v>
      </c>
      <c r="G119" s="103" t="e">
        <f t="shared" ca="1" si="13"/>
        <v>#NAME?</v>
      </c>
      <c r="H119" s="104" t="e">
        <f ca="1">IF(C119="","",MROUND([0]!CSVVLookUP(ROW(行数!A111),配列!$C$4,集計記録,8,1),"0:01"))</f>
        <v>#NAME?</v>
      </c>
      <c r="I119" s="104" t="e">
        <f t="shared" ca="1" si="14"/>
        <v>#NAME?</v>
      </c>
      <c r="J119" s="119" t="e">
        <f ca="1">IF(C119="","",MROUND([0]!CSVVLookUP(ROW(行数!A111),配列!$C$4,集計記録,7,1),"0:01"))</f>
        <v>#NAME?</v>
      </c>
      <c r="K119" s="92" t="e">
        <f ca="1">IF(C119="","",[0]!CSVVLookUP(ROW(行数!A111),配列!$C$4,集計記録,5,1))</f>
        <v>#NAME?</v>
      </c>
      <c r="L119" s="104" t="e">
        <f t="shared" ca="1" si="15"/>
        <v>#NAME?</v>
      </c>
      <c r="M119" s="120" t="e">
        <f t="shared" ca="1" si="9"/>
        <v>#NAME?</v>
      </c>
      <c r="N119" s="120" t="e">
        <f ca="1">IF([0]!CSVVLookUP(ROW(行数!A111),配列!$C$4,集計記録,6,1)=0,"",[0]!CSVVLookUP(ROW(行数!A111),配列!$C$4,集計記録,6,1))</f>
        <v>#NAME?</v>
      </c>
      <c r="O119" s="88" t="e">
        <f ca="1">IF(INDIRECT("M"&amp;ROW()-1)&lt;&gt;INDIRECT("M"&amp;ROW()),リスト!$I$5,"")</f>
        <v>#NAME?</v>
      </c>
      <c r="P119" s="88" t="e">
        <f ca="1">IF(INDIRECT("M"&amp;ROW())&lt;&gt;INDIRECT("M"&amp;ROW()+1),リスト!$I$6,"")</f>
        <v>#NAME?</v>
      </c>
    </row>
    <row r="120" spans="1:16" x14ac:dyDescent="0.2">
      <c r="A120" s="169" t="e">
        <f ca="1">IF(C120="","",ROW(行数!A112))</f>
        <v>#NAME?</v>
      </c>
      <c r="B120" s="168" t="e">
        <f t="shared" ca="1" si="10"/>
        <v>#NAME?</v>
      </c>
      <c r="C120" s="90" t="e">
        <f ca="1">[0]!CSVVLookUP(ROW(行数!A112),配列!$C$4,集計記録,3,1)</f>
        <v>#NAME?</v>
      </c>
      <c r="D120" s="90" t="e">
        <f ca="1">[0]!CSVVLookUP(ROW(行数!B112),配列!$C$4,集計記録,4,1)</f>
        <v>#NAME?</v>
      </c>
      <c r="E120" s="118" t="e">
        <f t="shared" ca="1" si="11"/>
        <v>#NAME?</v>
      </c>
      <c r="F120" s="118" t="e">
        <f t="shared" ca="1" si="12"/>
        <v>#NAME?</v>
      </c>
      <c r="G120" s="103" t="e">
        <f t="shared" ca="1" si="13"/>
        <v>#NAME?</v>
      </c>
      <c r="H120" s="104" t="e">
        <f ca="1">IF(C120="","",MROUND([0]!CSVVLookUP(ROW(行数!A112),配列!$C$4,集計記録,8,1),"0:01"))</f>
        <v>#NAME?</v>
      </c>
      <c r="I120" s="104" t="e">
        <f t="shared" ca="1" si="14"/>
        <v>#NAME?</v>
      </c>
      <c r="J120" s="119" t="e">
        <f ca="1">IF(C120="","",MROUND([0]!CSVVLookUP(ROW(行数!A112),配列!$C$4,集計記録,7,1),"0:01"))</f>
        <v>#NAME?</v>
      </c>
      <c r="K120" s="92" t="e">
        <f ca="1">IF(C120="","",[0]!CSVVLookUP(ROW(行数!A112),配列!$C$4,集計記録,5,1))</f>
        <v>#NAME?</v>
      </c>
      <c r="L120" s="104" t="e">
        <f t="shared" ca="1" si="15"/>
        <v>#NAME?</v>
      </c>
      <c r="M120" s="120" t="e">
        <f t="shared" ca="1" si="9"/>
        <v>#NAME?</v>
      </c>
      <c r="N120" s="120" t="e">
        <f ca="1">IF([0]!CSVVLookUP(ROW(行数!A112),配列!$C$4,集計記録,6,1)=0,"",[0]!CSVVLookUP(ROW(行数!A112),配列!$C$4,集計記録,6,1))</f>
        <v>#NAME?</v>
      </c>
      <c r="O120" s="88" t="e">
        <f ca="1">IF(INDIRECT("M"&amp;ROW()-1)&lt;&gt;INDIRECT("M"&amp;ROW()),リスト!$I$5,"")</f>
        <v>#NAME?</v>
      </c>
      <c r="P120" s="88" t="e">
        <f ca="1">IF(INDIRECT("M"&amp;ROW())&lt;&gt;INDIRECT("M"&amp;ROW()+1),リスト!$I$6,"")</f>
        <v>#NAME?</v>
      </c>
    </row>
    <row r="121" spans="1:16" x14ac:dyDescent="0.2">
      <c r="A121" s="169" t="e">
        <f ca="1">IF(C121="","",ROW(行数!A113))</f>
        <v>#NAME?</v>
      </c>
      <c r="B121" s="168" t="e">
        <f t="shared" ca="1" si="10"/>
        <v>#NAME?</v>
      </c>
      <c r="C121" s="90" t="e">
        <f ca="1">[0]!CSVVLookUP(ROW(行数!A113),配列!$C$4,集計記録,3,1)</f>
        <v>#NAME?</v>
      </c>
      <c r="D121" s="90" t="e">
        <f ca="1">[0]!CSVVLookUP(ROW(行数!B113),配列!$C$4,集計記録,4,1)</f>
        <v>#NAME?</v>
      </c>
      <c r="E121" s="118" t="e">
        <f t="shared" ca="1" si="11"/>
        <v>#NAME?</v>
      </c>
      <c r="F121" s="118" t="e">
        <f t="shared" ca="1" si="12"/>
        <v>#NAME?</v>
      </c>
      <c r="G121" s="103" t="e">
        <f t="shared" ca="1" si="13"/>
        <v>#NAME?</v>
      </c>
      <c r="H121" s="104" t="e">
        <f ca="1">IF(C121="","",MROUND([0]!CSVVLookUP(ROW(行数!A113),配列!$C$4,集計記録,8,1),"0:01"))</f>
        <v>#NAME?</v>
      </c>
      <c r="I121" s="104" t="e">
        <f t="shared" ca="1" si="14"/>
        <v>#NAME?</v>
      </c>
      <c r="J121" s="119" t="e">
        <f ca="1">IF(C121="","",MROUND([0]!CSVVLookUP(ROW(行数!A113),配列!$C$4,集計記録,7,1),"0:01"))</f>
        <v>#NAME?</v>
      </c>
      <c r="K121" s="92" t="e">
        <f ca="1">IF(C121="","",[0]!CSVVLookUP(ROW(行数!A113),配列!$C$4,集計記録,5,1))</f>
        <v>#NAME?</v>
      </c>
      <c r="L121" s="104" t="e">
        <f t="shared" ca="1" si="15"/>
        <v>#NAME?</v>
      </c>
      <c r="M121" s="120" t="e">
        <f t="shared" ca="1" si="9"/>
        <v>#NAME?</v>
      </c>
      <c r="N121" s="120" t="e">
        <f ca="1">IF([0]!CSVVLookUP(ROW(行数!A113),配列!$C$4,集計記録,6,1)=0,"",[0]!CSVVLookUP(ROW(行数!A113),配列!$C$4,集計記録,6,1))</f>
        <v>#NAME?</v>
      </c>
      <c r="O121" s="88" t="e">
        <f ca="1">IF(INDIRECT("M"&amp;ROW()-1)&lt;&gt;INDIRECT("M"&amp;ROW()),リスト!$I$5,"")</f>
        <v>#NAME?</v>
      </c>
      <c r="P121" s="88" t="e">
        <f ca="1">IF(INDIRECT("M"&amp;ROW())&lt;&gt;INDIRECT("M"&amp;ROW()+1),リスト!$I$6,"")</f>
        <v>#NAME?</v>
      </c>
    </row>
    <row r="122" spans="1:16" x14ac:dyDescent="0.2">
      <c r="A122" s="169" t="e">
        <f ca="1">IF(C122="","",ROW(行数!A114))</f>
        <v>#NAME?</v>
      </c>
      <c r="B122" s="168" t="e">
        <f t="shared" ca="1" si="10"/>
        <v>#NAME?</v>
      </c>
      <c r="C122" s="90" t="e">
        <f ca="1">[0]!CSVVLookUP(ROW(行数!A114),配列!$C$4,集計記録,3,1)</f>
        <v>#NAME?</v>
      </c>
      <c r="D122" s="90" t="e">
        <f ca="1">[0]!CSVVLookUP(ROW(行数!B114),配列!$C$4,集計記録,4,1)</f>
        <v>#NAME?</v>
      </c>
      <c r="E122" s="118" t="e">
        <f t="shared" ca="1" si="11"/>
        <v>#NAME?</v>
      </c>
      <c r="F122" s="118" t="e">
        <f t="shared" ca="1" si="12"/>
        <v>#NAME?</v>
      </c>
      <c r="G122" s="103" t="e">
        <f t="shared" ca="1" si="13"/>
        <v>#NAME?</v>
      </c>
      <c r="H122" s="104" t="e">
        <f ca="1">IF(C122="","",MROUND([0]!CSVVLookUP(ROW(行数!A114),配列!$C$4,集計記録,8,1),"0:01"))</f>
        <v>#NAME?</v>
      </c>
      <c r="I122" s="104" t="e">
        <f t="shared" ca="1" si="14"/>
        <v>#NAME?</v>
      </c>
      <c r="J122" s="119" t="e">
        <f ca="1">IF(C122="","",MROUND([0]!CSVVLookUP(ROW(行数!A114),配列!$C$4,集計記録,7,1),"0:01"))</f>
        <v>#NAME?</v>
      </c>
      <c r="K122" s="92" t="e">
        <f ca="1">IF(C122="","",[0]!CSVVLookUP(ROW(行数!A114),配列!$C$4,集計記録,5,1))</f>
        <v>#NAME?</v>
      </c>
      <c r="L122" s="104" t="e">
        <f t="shared" ca="1" si="15"/>
        <v>#NAME?</v>
      </c>
      <c r="M122" s="120" t="e">
        <f t="shared" ca="1" si="9"/>
        <v>#NAME?</v>
      </c>
      <c r="N122" s="120" t="e">
        <f ca="1">IF([0]!CSVVLookUP(ROW(行数!A114),配列!$C$4,集計記録,6,1)=0,"",[0]!CSVVLookUP(ROW(行数!A114),配列!$C$4,集計記録,6,1))</f>
        <v>#NAME?</v>
      </c>
      <c r="O122" s="88" t="e">
        <f ca="1">IF(INDIRECT("M"&amp;ROW()-1)&lt;&gt;INDIRECT("M"&amp;ROW()),リスト!$I$5,"")</f>
        <v>#NAME?</v>
      </c>
      <c r="P122" s="88" t="e">
        <f ca="1">IF(INDIRECT("M"&amp;ROW())&lt;&gt;INDIRECT("M"&amp;ROW()+1),リスト!$I$6,"")</f>
        <v>#NAME?</v>
      </c>
    </row>
    <row r="123" spans="1:16" x14ac:dyDescent="0.2">
      <c r="A123" s="169" t="e">
        <f ca="1">IF(C123="","",ROW(行数!A115))</f>
        <v>#NAME?</v>
      </c>
      <c r="B123" s="168" t="e">
        <f t="shared" ca="1" si="10"/>
        <v>#NAME?</v>
      </c>
      <c r="C123" s="90" t="e">
        <f ca="1">[0]!CSVVLookUP(ROW(行数!A115),配列!$C$4,集計記録,3,1)</f>
        <v>#NAME?</v>
      </c>
      <c r="D123" s="90" t="e">
        <f ca="1">[0]!CSVVLookUP(ROW(行数!B115),配列!$C$4,集計記録,4,1)</f>
        <v>#NAME?</v>
      </c>
      <c r="E123" s="118" t="e">
        <f t="shared" ca="1" si="11"/>
        <v>#NAME?</v>
      </c>
      <c r="F123" s="118" t="e">
        <f t="shared" ca="1" si="12"/>
        <v>#NAME?</v>
      </c>
      <c r="G123" s="103" t="e">
        <f t="shared" ca="1" si="13"/>
        <v>#NAME?</v>
      </c>
      <c r="H123" s="104" t="e">
        <f ca="1">IF(C123="","",MROUND([0]!CSVVLookUP(ROW(行数!A115),配列!$C$4,集計記録,8,1),"0:01"))</f>
        <v>#NAME?</v>
      </c>
      <c r="I123" s="104" t="e">
        <f t="shared" ca="1" si="14"/>
        <v>#NAME?</v>
      </c>
      <c r="J123" s="119" t="e">
        <f ca="1">IF(C123="","",MROUND([0]!CSVVLookUP(ROW(行数!A115),配列!$C$4,集計記録,7,1),"0:01"))</f>
        <v>#NAME?</v>
      </c>
      <c r="K123" s="92" t="e">
        <f ca="1">IF(C123="","",[0]!CSVVLookUP(ROW(行数!A115),配列!$C$4,集計記録,5,1))</f>
        <v>#NAME?</v>
      </c>
      <c r="L123" s="104" t="e">
        <f t="shared" ca="1" si="15"/>
        <v>#NAME?</v>
      </c>
      <c r="M123" s="120" t="e">
        <f t="shared" ca="1" si="9"/>
        <v>#NAME?</v>
      </c>
      <c r="N123" s="120" t="e">
        <f ca="1">IF([0]!CSVVLookUP(ROW(行数!A115),配列!$C$4,集計記録,6,1)=0,"",[0]!CSVVLookUP(ROW(行数!A115),配列!$C$4,集計記録,6,1))</f>
        <v>#NAME?</v>
      </c>
      <c r="O123" s="88" t="e">
        <f ca="1">IF(INDIRECT("M"&amp;ROW()-1)&lt;&gt;INDIRECT("M"&amp;ROW()),リスト!$I$5,"")</f>
        <v>#NAME?</v>
      </c>
      <c r="P123" s="88" t="e">
        <f ca="1">IF(INDIRECT("M"&amp;ROW())&lt;&gt;INDIRECT("M"&amp;ROW()+1),リスト!$I$6,"")</f>
        <v>#NAME?</v>
      </c>
    </row>
    <row r="124" spans="1:16" x14ac:dyDescent="0.2">
      <c r="A124" s="169" t="e">
        <f ca="1">IF(C124="","",ROW(行数!A116))</f>
        <v>#NAME?</v>
      </c>
      <c r="B124" s="168" t="e">
        <f t="shared" ca="1" si="10"/>
        <v>#NAME?</v>
      </c>
      <c r="C124" s="90" t="e">
        <f ca="1">[0]!CSVVLookUP(ROW(行数!A116),配列!$C$4,集計記録,3,1)</f>
        <v>#NAME?</v>
      </c>
      <c r="D124" s="90" t="e">
        <f ca="1">[0]!CSVVLookUP(ROW(行数!B116),配列!$C$4,集計記録,4,1)</f>
        <v>#NAME?</v>
      </c>
      <c r="E124" s="118" t="e">
        <f t="shared" ca="1" si="11"/>
        <v>#NAME?</v>
      </c>
      <c r="F124" s="118" t="e">
        <f t="shared" ca="1" si="12"/>
        <v>#NAME?</v>
      </c>
      <c r="G124" s="103" t="e">
        <f t="shared" ca="1" si="13"/>
        <v>#NAME?</v>
      </c>
      <c r="H124" s="104" t="e">
        <f ca="1">IF(C124="","",MROUND([0]!CSVVLookUP(ROW(行数!A116),配列!$C$4,集計記録,8,1),"0:01"))</f>
        <v>#NAME?</v>
      </c>
      <c r="I124" s="104" t="e">
        <f t="shared" ca="1" si="14"/>
        <v>#NAME?</v>
      </c>
      <c r="J124" s="119" t="e">
        <f ca="1">IF(C124="","",MROUND([0]!CSVVLookUP(ROW(行数!A116),配列!$C$4,集計記録,7,1),"0:01"))</f>
        <v>#NAME?</v>
      </c>
      <c r="K124" s="92" t="e">
        <f ca="1">IF(C124="","",[0]!CSVVLookUP(ROW(行数!A116),配列!$C$4,集計記録,5,1))</f>
        <v>#NAME?</v>
      </c>
      <c r="L124" s="104" t="e">
        <f t="shared" ca="1" si="15"/>
        <v>#NAME?</v>
      </c>
      <c r="M124" s="120" t="e">
        <f t="shared" ca="1" si="9"/>
        <v>#NAME?</v>
      </c>
      <c r="N124" s="120" t="e">
        <f ca="1">IF([0]!CSVVLookUP(ROW(行数!A116),配列!$C$4,集計記録,6,1)=0,"",[0]!CSVVLookUP(ROW(行数!A116),配列!$C$4,集計記録,6,1))</f>
        <v>#NAME?</v>
      </c>
      <c r="O124" s="88" t="e">
        <f ca="1">IF(INDIRECT("M"&amp;ROW()-1)&lt;&gt;INDIRECT("M"&amp;ROW()),リスト!$I$5,"")</f>
        <v>#NAME?</v>
      </c>
      <c r="P124" s="88" t="e">
        <f ca="1">IF(INDIRECT("M"&amp;ROW())&lt;&gt;INDIRECT("M"&amp;ROW()+1),リスト!$I$6,"")</f>
        <v>#NAME?</v>
      </c>
    </row>
    <row r="125" spans="1:16" x14ac:dyDescent="0.2">
      <c r="A125" s="169" t="e">
        <f ca="1">IF(C125="","",ROW(行数!A117))</f>
        <v>#NAME?</v>
      </c>
      <c r="B125" s="168" t="e">
        <f t="shared" ca="1" si="10"/>
        <v>#NAME?</v>
      </c>
      <c r="C125" s="90" t="e">
        <f ca="1">[0]!CSVVLookUP(ROW(行数!A117),配列!$C$4,集計記録,3,1)</f>
        <v>#NAME?</v>
      </c>
      <c r="D125" s="90" t="e">
        <f ca="1">[0]!CSVVLookUP(ROW(行数!B117),配列!$C$4,集計記録,4,1)</f>
        <v>#NAME?</v>
      </c>
      <c r="E125" s="118" t="e">
        <f t="shared" ca="1" si="11"/>
        <v>#NAME?</v>
      </c>
      <c r="F125" s="118" t="e">
        <f t="shared" ca="1" si="12"/>
        <v>#NAME?</v>
      </c>
      <c r="G125" s="103" t="e">
        <f t="shared" ca="1" si="13"/>
        <v>#NAME?</v>
      </c>
      <c r="H125" s="104" t="e">
        <f ca="1">IF(C125="","",MROUND([0]!CSVVLookUP(ROW(行数!A117),配列!$C$4,集計記録,8,1),"0:01"))</f>
        <v>#NAME?</v>
      </c>
      <c r="I125" s="104" t="e">
        <f t="shared" ca="1" si="14"/>
        <v>#NAME?</v>
      </c>
      <c r="J125" s="119" t="e">
        <f ca="1">IF(C125="","",MROUND([0]!CSVVLookUP(ROW(行数!A117),配列!$C$4,集計記録,7,1),"0:01"))</f>
        <v>#NAME?</v>
      </c>
      <c r="K125" s="92" t="e">
        <f ca="1">IF(C125="","",[0]!CSVVLookUP(ROW(行数!A117),配列!$C$4,集計記録,5,1))</f>
        <v>#NAME?</v>
      </c>
      <c r="L125" s="104" t="e">
        <f t="shared" ca="1" si="15"/>
        <v>#NAME?</v>
      </c>
      <c r="M125" s="120" t="e">
        <f t="shared" ca="1" si="9"/>
        <v>#NAME?</v>
      </c>
      <c r="N125" s="120" t="e">
        <f ca="1">IF([0]!CSVVLookUP(ROW(行数!A117),配列!$C$4,集計記録,6,1)=0,"",[0]!CSVVLookUP(ROW(行数!A117),配列!$C$4,集計記録,6,1))</f>
        <v>#NAME?</v>
      </c>
      <c r="O125" s="88" t="e">
        <f ca="1">IF(INDIRECT("M"&amp;ROW()-1)&lt;&gt;INDIRECT("M"&amp;ROW()),リスト!$I$5,"")</f>
        <v>#NAME?</v>
      </c>
      <c r="P125" s="88" t="e">
        <f ca="1">IF(INDIRECT("M"&amp;ROW())&lt;&gt;INDIRECT("M"&amp;ROW()+1),リスト!$I$6,"")</f>
        <v>#NAME?</v>
      </c>
    </row>
    <row r="126" spans="1:16" x14ac:dyDescent="0.2">
      <c r="A126" s="169" t="e">
        <f ca="1">IF(C126="","",ROW(行数!A118))</f>
        <v>#NAME?</v>
      </c>
      <c r="B126" s="168" t="e">
        <f t="shared" ca="1" si="10"/>
        <v>#NAME?</v>
      </c>
      <c r="C126" s="90" t="e">
        <f ca="1">[0]!CSVVLookUP(ROW(行数!A118),配列!$C$4,集計記録,3,1)</f>
        <v>#NAME?</v>
      </c>
      <c r="D126" s="90" t="e">
        <f ca="1">[0]!CSVVLookUP(ROW(行数!B118),配列!$C$4,集計記録,4,1)</f>
        <v>#NAME?</v>
      </c>
      <c r="E126" s="118" t="e">
        <f t="shared" ca="1" si="11"/>
        <v>#NAME?</v>
      </c>
      <c r="F126" s="118" t="e">
        <f t="shared" ca="1" si="12"/>
        <v>#NAME?</v>
      </c>
      <c r="G126" s="103" t="e">
        <f t="shared" ca="1" si="13"/>
        <v>#NAME?</v>
      </c>
      <c r="H126" s="104" t="e">
        <f ca="1">IF(C126="","",MROUND([0]!CSVVLookUP(ROW(行数!A118),配列!$C$4,集計記録,8,1),"0:01"))</f>
        <v>#NAME?</v>
      </c>
      <c r="I126" s="104" t="e">
        <f t="shared" ca="1" si="14"/>
        <v>#NAME?</v>
      </c>
      <c r="J126" s="119" t="e">
        <f ca="1">IF(C126="","",MROUND([0]!CSVVLookUP(ROW(行数!A118),配列!$C$4,集計記録,7,1),"0:01"))</f>
        <v>#NAME?</v>
      </c>
      <c r="K126" s="92" t="e">
        <f ca="1">IF(C126="","",[0]!CSVVLookUP(ROW(行数!A118),配列!$C$4,集計記録,5,1))</f>
        <v>#NAME?</v>
      </c>
      <c r="L126" s="104" t="e">
        <f t="shared" ca="1" si="15"/>
        <v>#NAME?</v>
      </c>
      <c r="M126" s="120" t="e">
        <f t="shared" ca="1" si="9"/>
        <v>#NAME?</v>
      </c>
      <c r="N126" s="120" t="e">
        <f ca="1">IF([0]!CSVVLookUP(ROW(行数!A118),配列!$C$4,集計記録,6,1)=0,"",[0]!CSVVLookUP(ROW(行数!A118),配列!$C$4,集計記録,6,1))</f>
        <v>#NAME?</v>
      </c>
      <c r="O126" s="88" t="e">
        <f ca="1">IF(INDIRECT("M"&amp;ROW()-1)&lt;&gt;INDIRECT("M"&amp;ROW()),リスト!$I$5,"")</f>
        <v>#NAME?</v>
      </c>
      <c r="P126" s="88" t="e">
        <f ca="1">IF(INDIRECT("M"&amp;ROW())&lt;&gt;INDIRECT("M"&amp;ROW()+1),リスト!$I$6,"")</f>
        <v>#NAME?</v>
      </c>
    </row>
    <row r="127" spans="1:16" x14ac:dyDescent="0.2">
      <c r="A127" s="169" t="e">
        <f ca="1">IF(C127="","",ROW(行数!A119))</f>
        <v>#NAME?</v>
      </c>
      <c r="B127" s="168" t="e">
        <f t="shared" ca="1" si="10"/>
        <v>#NAME?</v>
      </c>
      <c r="C127" s="90" t="e">
        <f ca="1">[0]!CSVVLookUP(ROW(行数!A119),配列!$C$4,集計記録,3,1)</f>
        <v>#NAME?</v>
      </c>
      <c r="D127" s="90" t="e">
        <f ca="1">[0]!CSVVLookUP(ROW(行数!B119),配列!$C$4,集計記録,4,1)</f>
        <v>#NAME?</v>
      </c>
      <c r="E127" s="118" t="e">
        <f t="shared" ca="1" si="11"/>
        <v>#NAME?</v>
      </c>
      <c r="F127" s="118" t="e">
        <f t="shared" ca="1" si="12"/>
        <v>#NAME?</v>
      </c>
      <c r="G127" s="103" t="e">
        <f t="shared" ca="1" si="13"/>
        <v>#NAME?</v>
      </c>
      <c r="H127" s="104" t="e">
        <f ca="1">IF(C127="","",MROUND([0]!CSVVLookUP(ROW(行数!A119),配列!$C$4,集計記録,8,1),"0:01"))</f>
        <v>#NAME?</v>
      </c>
      <c r="I127" s="104" t="e">
        <f t="shared" ca="1" si="14"/>
        <v>#NAME?</v>
      </c>
      <c r="J127" s="119" t="e">
        <f ca="1">IF(C127="","",MROUND([0]!CSVVLookUP(ROW(行数!A119),配列!$C$4,集計記録,7,1),"0:01"))</f>
        <v>#NAME?</v>
      </c>
      <c r="K127" s="92" t="e">
        <f ca="1">IF(C127="","",[0]!CSVVLookUP(ROW(行数!A119),配列!$C$4,集計記録,5,1))</f>
        <v>#NAME?</v>
      </c>
      <c r="L127" s="104" t="e">
        <f t="shared" ca="1" si="15"/>
        <v>#NAME?</v>
      </c>
      <c r="M127" s="120" t="e">
        <f t="shared" ca="1" si="9"/>
        <v>#NAME?</v>
      </c>
      <c r="N127" s="120" t="e">
        <f ca="1">IF([0]!CSVVLookUP(ROW(行数!A119),配列!$C$4,集計記録,6,1)=0,"",[0]!CSVVLookUP(ROW(行数!A119),配列!$C$4,集計記録,6,1))</f>
        <v>#NAME?</v>
      </c>
      <c r="O127" s="88" t="e">
        <f ca="1">IF(INDIRECT("M"&amp;ROW()-1)&lt;&gt;INDIRECT("M"&amp;ROW()),リスト!$I$5,"")</f>
        <v>#NAME?</v>
      </c>
      <c r="P127" s="88" t="e">
        <f ca="1">IF(INDIRECT("M"&amp;ROW())&lt;&gt;INDIRECT("M"&amp;ROW()+1),リスト!$I$6,"")</f>
        <v>#NAME?</v>
      </c>
    </row>
    <row r="128" spans="1:16" x14ac:dyDescent="0.2">
      <c r="A128" s="169" t="e">
        <f ca="1">IF(C128="","",ROW(行数!A120))</f>
        <v>#NAME?</v>
      </c>
      <c r="B128" s="168" t="e">
        <f t="shared" ca="1" si="10"/>
        <v>#NAME?</v>
      </c>
      <c r="C128" s="90" t="e">
        <f ca="1">[0]!CSVVLookUP(ROW(行数!A120),配列!$C$4,集計記録,3,1)</f>
        <v>#NAME?</v>
      </c>
      <c r="D128" s="90" t="e">
        <f ca="1">[0]!CSVVLookUP(ROW(行数!B120),配列!$C$4,集計記録,4,1)</f>
        <v>#NAME?</v>
      </c>
      <c r="E128" s="118" t="e">
        <f t="shared" ca="1" si="11"/>
        <v>#NAME?</v>
      </c>
      <c r="F128" s="118" t="e">
        <f t="shared" ca="1" si="12"/>
        <v>#NAME?</v>
      </c>
      <c r="G128" s="103" t="e">
        <f t="shared" ca="1" si="13"/>
        <v>#NAME?</v>
      </c>
      <c r="H128" s="104" t="e">
        <f ca="1">IF(C128="","",MROUND([0]!CSVVLookUP(ROW(行数!A120),配列!$C$4,集計記録,8,1),"0:01"))</f>
        <v>#NAME?</v>
      </c>
      <c r="I128" s="104" t="e">
        <f t="shared" ca="1" si="14"/>
        <v>#NAME?</v>
      </c>
      <c r="J128" s="119" t="e">
        <f ca="1">IF(C128="","",MROUND([0]!CSVVLookUP(ROW(行数!A120),配列!$C$4,集計記録,7,1),"0:01"))</f>
        <v>#NAME?</v>
      </c>
      <c r="K128" s="92" t="e">
        <f ca="1">IF(C128="","",[0]!CSVVLookUP(ROW(行数!A120),配列!$C$4,集計記録,5,1))</f>
        <v>#NAME?</v>
      </c>
      <c r="L128" s="104" t="e">
        <f t="shared" ca="1" si="15"/>
        <v>#NAME?</v>
      </c>
      <c r="M128" s="120" t="e">
        <f t="shared" ca="1" si="9"/>
        <v>#NAME?</v>
      </c>
      <c r="N128" s="120" t="e">
        <f ca="1">IF([0]!CSVVLookUP(ROW(行数!A120),配列!$C$4,集計記録,6,1)=0,"",[0]!CSVVLookUP(ROW(行数!A120),配列!$C$4,集計記録,6,1))</f>
        <v>#NAME?</v>
      </c>
      <c r="O128" s="88" t="e">
        <f ca="1">IF(INDIRECT("M"&amp;ROW()-1)&lt;&gt;INDIRECT("M"&amp;ROW()),リスト!$I$5,"")</f>
        <v>#NAME?</v>
      </c>
      <c r="P128" s="88" t="e">
        <f ca="1">IF(INDIRECT("M"&amp;ROW())&lt;&gt;INDIRECT("M"&amp;ROW()+1),リスト!$I$6,"")</f>
        <v>#NAME?</v>
      </c>
    </row>
    <row r="129" spans="1:16" x14ac:dyDescent="0.2">
      <c r="A129" s="169" t="e">
        <f ca="1">IF(C129="","",ROW(行数!A121))</f>
        <v>#NAME?</v>
      </c>
      <c r="B129" s="168" t="e">
        <f t="shared" ca="1" si="10"/>
        <v>#NAME?</v>
      </c>
      <c r="C129" s="90" t="e">
        <f ca="1">[0]!CSVVLookUP(ROW(行数!A121),配列!$C$4,集計記録,3,1)</f>
        <v>#NAME?</v>
      </c>
      <c r="D129" s="90" t="e">
        <f ca="1">[0]!CSVVLookUP(ROW(行数!B121),配列!$C$4,集計記録,4,1)</f>
        <v>#NAME?</v>
      </c>
      <c r="E129" s="118" t="e">
        <f t="shared" ca="1" si="11"/>
        <v>#NAME?</v>
      </c>
      <c r="F129" s="118" t="e">
        <f t="shared" ca="1" si="12"/>
        <v>#NAME?</v>
      </c>
      <c r="G129" s="103" t="e">
        <f t="shared" ca="1" si="13"/>
        <v>#NAME?</v>
      </c>
      <c r="H129" s="104" t="e">
        <f ca="1">IF(C129="","",MROUND([0]!CSVVLookUP(ROW(行数!A121),配列!$C$4,集計記録,8,1),"0:01"))</f>
        <v>#NAME?</v>
      </c>
      <c r="I129" s="104" t="e">
        <f t="shared" ca="1" si="14"/>
        <v>#NAME?</v>
      </c>
      <c r="J129" s="119" t="e">
        <f ca="1">IF(C129="","",MROUND([0]!CSVVLookUP(ROW(行数!A121),配列!$C$4,集計記録,7,1),"0:01"))</f>
        <v>#NAME?</v>
      </c>
      <c r="K129" s="92" t="e">
        <f ca="1">IF(C129="","",[0]!CSVVLookUP(ROW(行数!A121),配列!$C$4,集計記録,5,1))</f>
        <v>#NAME?</v>
      </c>
      <c r="L129" s="104" t="e">
        <f t="shared" ca="1" si="15"/>
        <v>#NAME?</v>
      </c>
      <c r="M129" s="120" t="e">
        <f t="shared" ca="1" si="9"/>
        <v>#NAME?</v>
      </c>
      <c r="N129" s="120" t="e">
        <f ca="1">IF([0]!CSVVLookUP(ROW(行数!A121),配列!$C$4,集計記録,6,1)=0,"",[0]!CSVVLookUP(ROW(行数!A121),配列!$C$4,集計記録,6,1))</f>
        <v>#NAME?</v>
      </c>
      <c r="O129" s="88" t="e">
        <f ca="1">IF(INDIRECT("M"&amp;ROW()-1)&lt;&gt;INDIRECT("M"&amp;ROW()),リスト!$I$5,"")</f>
        <v>#NAME?</v>
      </c>
      <c r="P129" s="88" t="e">
        <f ca="1">IF(INDIRECT("M"&amp;ROW())&lt;&gt;INDIRECT("M"&amp;ROW()+1),リスト!$I$6,"")</f>
        <v>#NAME?</v>
      </c>
    </row>
    <row r="130" spans="1:16" x14ac:dyDescent="0.2">
      <c r="A130" s="169" t="e">
        <f ca="1">IF(C130="","",ROW(行数!A122))</f>
        <v>#NAME?</v>
      </c>
      <c r="B130" s="168" t="e">
        <f t="shared" ca="1" si="10"/>
        <v>#NAME?</v>
      </c>
      <c r="C130" s="90" t="e">
        <f ca="1">[0]!CSVVLookUP(ROW(行数!A122),配列!$C$4,集計記録,3,1)</f>
        <v>#NAME?</v>
      </c>
      <c r="D130" s="90" t="e">
        <f ca="1">[0]!CSVVLookUP(ROW(行数!B122),配列!$C$4,集計記録,4,1)</f>
        <v>#NAME?</v>
      </c>
      <c r="E130" s="118" t="e">
        <f t="shared" ca="1" si="11"/>
        <v>#NAME?</v>
      </c>
      <c r="F130" s="118" t="e">
        <f t="shared" ca="1" si="12"/>
        <v>#NAME?</v>
      </c>
      <c r="G130" s="103" t="e">
        <f t="shared" ca="1" si="13"/>
        <v>#NAME?</v>
      </c>
      <c r="H130" s="104" t="e">
        <f ca="1">IF(C130="","",MROUND([0]!CSVVLookUP(ROW(行数!A122),配列!$C$4,集計記録,8,1),"0:01"))</f>
        <v>#NAME?</v>
      </c>
      <c r="I130" s="104" t="e">
        <f t="shared" ca="1" si="14"/>
        <v>#NAME?</v>
      </c>
      <c r="J130" s="119" t="e">
        <f ca="1">IF(C130="","",MROUND([0]!CSVVLookUP(ROW(行数!A122),配列!$C$4,集計記録,7,1),"0:01"))</f>
        <v>#NAME?</v>
      </c>
      <c r="K130" s="92" t="e">
        <f ca="1">IF(C130="","",[0]!CSVVLookUP(ROW(行数!A122),配列!$C$4,集計記録,5,1))</f>
        <v>#NAME?</v>
      </c>
      <c r="L130" s="104" t="e">
        <f t="shared" ca="1" si="15"/>
        <v>#NAME?</v>
      </c>
      <c r="M130" s="120" t="e">
        <f t="shared" ca="1" si="9"/>
        <v>#NAME?</v>
      </c>
      <c r="N130" s="120" t="e">
        <f ca="1">IF([0]!CSVVLookUP(ROW(行数!A122),配列!$C$4,集計記録,6,1)=0,"",[0]!CSVVLookUP(ROW(行数!A122),配列!$C$4,集計記録,6,1))</f>
        <v>#NAME?</v>
      </c>
      <c r="O130" s="88" t="e">
        <f ca="1">IF(INDIRECT("M"&amp;ROW()-1)&lt;&gt;INDIRECT("M"&amp;ROW()),リスト!$I$5,"")</f>
        <v>#NAME?</v>
      </c>
      <c r="P130" s="88" t="e">
        <f ca="1">IF(INDIRECT("M"&amp;ROW())&lt;&gt;INDIRECT("M"&amp;ROW()+1),リスト!$I$6,"")</f>
        <v>#NAME?</v>
      </c>
    </row>
    <row r="131" spans="1:16" x14ac:dyDescent="0.2">
      <c r="A131" s="169" t="e">
        <f ca="1">IF(C131="","",ROW(行数!A123))</f>
        <v>#NAME?</v>
      </c>
      <c r="B131" s="168" t="e">
        <f t="shared" ca="1" si="10"/>
        <v>#NAME?</v>
      </c>
      <c r="C131" s="90" t="e">
        <f ca="1">[0]!CSVVLookUP(ROW(行数!A123),配列!$C$4,集計記録,3,1)</f>
        <v>#NAME?</v>
      </c>
      <c r="D131" s="90" t="e">
        <f ca="1">[0]!CSVVLookUP(ROW(行数!B123),配列!$C$4,集計記録,4,1)</f>
        <v>#NAME?</v>
      </c>
      <c r="E131" s="118" t="e">
        <f t="shared" ca="1" si="11"/>
        <v>#NAME?</v>
      </c>
      <c r="F131" s="118" t="e">
        <f t="shared" ca="1" si="12"/>
        <v>#NAME?</v>
      </c>
      <c r="G131" s="103" t="e">
        <f t="shared" ca="1" si="13"/>
        <v>#NAME?</v>
      </c>
      <c r="H131" s="104" t="e">
        <f ca="1">IF(C131="","",MROUND([0]!CSVVLookUP(ROW(行数!A123),配列!$C$4,集計記録,8,1),"0:01"))</f>
        <v>#NAME?</v>
      </c>
      <c r="I131" s="104" t="e">
        <f t="shared" ca="1" si="14"/>
        <v>#NAME?</v>
      </c>
      <c r="J131" s="119" t="e">
        <f ca="1">IF(C131="","",MROUND([0]!CSVVLookUP(ROW(行数!A123),配列!$C$4,集計記録,7,1),"0:01"))</f>
        <v>#NAME?</v>
      </c>
      <c r="K131" s="92" t="e">
        <f ca="1">IF(C131="","",[0]!CSVVLookUP(ROW(行数!A123),配列!$C$4,集計記録,5,1))</f>
        <v>#NAME?</v>
      </c>
      <c r="L131" s="104" t="e">
        <f t="shared" ca="1" si="15"/>
        <v>#NAME?</v>
      </c>
      <c r="M131" s="120" t="e">
        <f t="shared" ca="1" si="9"/>
        <v>#NAME?</v>
      </c>
      <c r="N131" s="120" t="e">
        <f ca="1">IF([0]!CSVVLookUP(ROW(行数!A123),配列!$C$4,集計記録,6,1)=0,"",[0]!CSVVLookUP(ROW(行数!A123),配列!$C$4,集計記録,6,1))</f>
        <v>#NAME?</v>
      </c>
      <c r="O131" s="88" t="e">
        <f ca="1">IF(INDIRECT("M"&amp;ROW()-1)&lt;&gt;INDIRECT("M"&amp;ROW()),リスト!$I$5,"")</f>
        <v>#NAME?</v>
      </c>
      <c r="P131" s="88" t="e">
        <f ca="1">IF(INDIRECT("M"&amp;ROW())&lt;&gt;INDIRECT("M"&amp;ROW()+1),リスト!$I$6,"")</f>
        <v>#NAME?</v>
      </c>
    </row>
    <row r="132" spans="1:16" x14ac:dyDescent="0.2">
      <c r="A132" s="169" t="e">
        <f ca="1">IF(C132="","",ROW(行数!A124))</f>
        <v>#NAME?</v>
      </c>
      <c r="B132" s="168" t="e">
        <f t="shared" ca="1" si="10"/>
        <v>#NAME?</v>
      </c>
      <c r="C132" s="90" t="e">
        <f ca="1">[0]!CSVVLookUP(ROW(行数!A124),配列!$C$4,集計記録,3,1)</f>
        <v>#NAME?</v>
      </c>
      <c r="D132" s="90" t="e">
        <f ca="1">[0]!CSVVLookUP(ROW(行数!B124),配列!$C$4,集計記録,4,1)</f>
        <v>#NAME?</v>
      </c>
      <c r="E132" s="118" t="e">
        <f t="shared" ca="1" si="11"/>
        <v>#NAME?</v>
      </c>
      <c r="F132" s="118" t="e">
        <f t="shared" ca="1" si="12"/>
        <v>#NAME?</v>
      </c>
      <c r="G132" s="103" t="e">
        <f t="shared" ca="1" si="13"/>
        <v>#NAME?</v>
      </c>
      <c r="H132" s="104" t="e">
        <f ca="1">IF(C132="","",MROUND([0]!CSVVLookUP(ROW(行数!A124),配列!$C$4,集計記録,8,1),"0:01"))</f>
        <v>#NAME?</v>
      </c>
      <c r="I132" s="104" t="e">
        <f t="shared" ca="1" si="14"/>
        <v>#NAME?</v>
      </c>
      <c r="J132" s="119" t="e">
        <f ca="1">IF(C132="","",MROUND([0]!CSVVLookUP(ROW(行数!A124),配列!$C$4,集計記録,7,1),"0:01"))</f>
        <v>#NAME?</v>
      </c>
      <c r="K132" s="92" t="e">
        <f ca="1">IF(C132="","",[0]!CSVVLookUP(ROW(行数!A124),配列!$C$4,集計記録,5,1))</f>
        <v>#NAME?</v>
      </c>
      <c r="L132" s="104" t="e">
        <f t="shared" ca="1" si="15"/>
        <v>#NAME?</v>
      </c>
      <c r="M132" s="120" t="e">
        <f t="shared" ca="1" si="9"/>
        <v>#NAME?</v>
      </c>
      <c r="N132" s="120" t="e">
        <f ca="1">IF([0]!CSVVLookUP(ROW(行数!A124),配列!$C$4,集計記録,6,1)=0,"",[0]!CSVVLookUP(ROW(行数!A124),配列!$C$4,集計記録,6,1))</f>
        <v>#NAME?</v>
      </c>
      <c r="O132" s="88" t="e">
        <f ca="1">IF(INDIRECT("M"&amp;ROW()-1)&lt;&gt;INDIRECT("M"&amp;ROW()),リスト!$I$5,"")</f>
        <v>#NAME?</v>
      </c>
      <c r="P132" s="88" t="e">
        <f ca="1">IF(INDIRECT("M"&amp;ROW())&lt;&gt;INDIRECT("M"&amp;ROW()+1),リスト!$I$6,"")</f>
        <v>#NAME?</v>
      </c>
    </row>
    <row r="133" spans="1:16" x14ac:dyDescent="0.2">
      <c r="A133" s="169" t="e">
        <f ca="1">IF(C133="","",ROW(行数!A125))</f>
        <v>#NAME?</v>
      </c>
      <c r="B133" s="168" t="e">
        <f t="shared" ca="1" si="10"/>
        <v>#NAME?</v>
      </c>
      <c r="C133" s="90" t="e">
        <f ca="1">[0]!CSVVLookUP(ROW(行数!A125),配列!$C$4,集計記録,3,1)</f>
        <v>#NAME?</v>
      </c>
      <c r="D133" s="90" t="e">
        <f ca="1">[0]!CSVVLookUP(ROW(行数!B125),配列!$C$4,集計記録,4,1)</f>
        <v>#NAME?</v>
      </c>
      <c r="E133" s="118" t="e">
        <f t="shared" ca="1" si="11"/>
        <v>#NAME?</v>
      </c>
      <c r="F133" s="118" t="e">
        <f t="shared" ca="1" si="12"/>
        <v>#NAME?</v>
      </c>
      <c r="G133" s="103" t="e">
        <f t="shared" ca="1" si="13"/>
        <v>#NAME?</v>
      </c>
      <c r="H133" s="104" t="e">
        <f ca="1">IF(C133="","",MROUND([0]!CSVVLookUP(ROW(行数!A125),配列!$C$4,集計記録,8,1),"0:01"))</f>
        <v>#NAME?</v>
      </c>
      <c r="I133" s="104" t="e">
        <f t="shared" ca="1" si="14"/>
        <v>#NAME?</v>
      </c>
      <c r="J133" s="119" t="e">
        <f ca="1">IF(C133="","",MROUND([0]!CSVVLookUP(ROW(行数!A125),配列!$C$4,集計記録,7,1),"0:01"))</f>
        <v>#NAME?</v>
      </c>
      <c r="K133" s="92" t="e">
        <f ca="1">IF(C133="","",[0]!CSVVLookUP(ROW(行数!A125),配列!$C$4,集計記録,5,1))</f>
        <v>#NAME?</v>
      </c>
      <c r="L133" s="104" t="e">
        <f t="shared" ca="1" si="15"/>
        <v>#NAME?</v>
      </c>
      <c r="M133" s="120" t="e">
        <f t="shared" ca="1" si="9"/>
        <v>#NAME?</v>
      </c>
      <c r="N133" s="120" t="e">
        <f ca="1">IF([0]!CSVVLookUP(ROW(行数!A125),配列!$C$4,集計記録,6,1)=0,"",[0]!CSVVLookUP(ROW(行数!A125),配列!$C$4,集計記録,6,1))</f>
        <v>#NAME?</v>
      </c>
      <c r="O133" s="88" t="e">
        <f ca="1">IF(INDIRECT("M"&amp;ROW()-1)&lt;&gt;INDIRECT("M"&amp;ROW()),リスト!$I$5,"")</f>
        <v>#NAME?</v>
      </c>
      <c r="P133" s="88" t="e">
        <f ca="1">IF(INDIRECT("M"&amp;ROW())&lt;&gt;INDIRECT("M"&amp;ROW()+1),リスト!$I$6,"")</f>
        <v>#NAME?</v>
      </c>
    </row>
    <row r="134" spans="1:16" x14ac:dyDescent="0.2">
      <c r="A134" s="169" t="e">
        <f ca="1">IF(C134="","",ROW(行数!A126))</f>
        <v>#NAME?</v>
      </c>
      <c r="B134" s="168" t="e">
        <f t="shared" ca="1" si="10"/>
        <v>#NAME?</v>
      </c>
      <c r="C134" s="90" t="e">
        <f ca="1">[0]!CSVVLookUP(ROW(行数!A126),配列!$C$4,集計記録,3,1)</f>
        <v>#NAME?</v>
      </c>
      <c r="D134" s="90" t="e">
        <f ca="1">[0]!CSVVLookUP(ROW(行数!B126),配列!$C$4,集計記録,4,1)</f>
        <v>#NAME?</v>
      </c>
      <c r="E134" s="118" t="e">
        <f t="shared" ca="1" si="11"/>
        <v>#NAME?</v>
      </c>
      <c r="F134" s="118" t="e">
        <f t="shared" ca="1" si="12"/>
        <v>#NAME?</v>
      </c>
      <c r="G134" s="103" t="e">
        <f t="shared" ca="1" si="13"/>
        <v>#NAME?</v>
      </c>
      <c r="H134" s="104" t="e">
        <f ca="1">IF(C134="","",MROUND([0]!CSVVLookUP(ROW(行数!A126),配列!$C$4,集計記録,8,1),"0:01"))</f>
        <v>#NAME?</v>
      </c>
      <c r="I134" s="104" t="e">
        <f t="shared" ca="1" si="14"/>
        <v>#NAME?</v>
      </c>
      <c r="J134" s="119" t="e">
        <f ca="1">IF(C134="","",MROUND([0]!CSVVLookUP(ROW(行数!A126),配列!$C$4,集計記録,7,1),"0:01"))</f>
        <v>#NAME?</v>
      </c>
      <c r="K134" s="92" t="e">
        <f ca="1">IF(C134="","",[0]!CSVVLookUP(ROW(行数!A126),配列!$C$4,集計記録,5,1))</f>
        <v>#NAME?</v>
      </c>
      <c r="L134" s="104" t="e">
        <f t="shared" ca="1" si="15"/>
        <v>#NAME?</v>
      </c>
      <c r="M134" s="120" t="e">
        <f t="shared" ca="1" si="9"/>
        <v>#NAME?</v>
      </c>
      <c r="N134" s="120" t="e">
        <f ca="1">IF([0]!CSVVLookUP(ROW(行数!A126),配列!$C$4,集計記録,6,1)=0,"",[0]!CSVVLookUP(ROW(行数!A126),配列!$C$4,集計記録,6,1))</f>
        <v>#NAME?</v>
      </c>
      <c r="O134" s="88" t="e">
        <f ca="1">IF(INDIRECT("M"&amp;ROW()-1)&lt;&gt;INDIRECT("M"&amp;ROW()),リスト!$I$5,"")</f>
        <v>#NAME?</v>
      </c>
      <c r="P134" s="88" t="e">
        <f ca="1">IF(INDIRECT("M"&amp;ROW())&lt;&gt;INDIRECT("M"&amp;ROW()+1),リスト!$I$6,"")</f>
        <v>#NAME?</v>
      </c>
    </row>
    <row r="135" spans="1:16" x14ac:dyDescent="0.2">
      <c r="A135" s="169" t="e">
        <f ca="1">IF(C135="","",ROW(行数!A127))</f>
        <v>#NAME?</v>
      </c>
      <c r="B135" s="168" t="e">
        <f t="shared" ca="1" si="10"/>
        <v>#NAME?</v>
      </c>
      <c r="C135" s="90" t="e">
        <f ca="1">[0]!CSVVLookUP(ROW(行数!A127),配列!$C$4,集計記録,3,1)</f>
        <v>#NAME?</v>
      </c>
      <c r="D135" s="90" t="e">
        <f ca="1">[0]!CSVVLookUP(ROW(行数!B127),配列!$C$4,集計記録,4,1)</f>
        <v>#NAME?</v>
      </c>
      <c r="E135" s="118" t="e">
        <f t="shared" ca="1" si="11"/>
        <v>#NAME?</v>
      </c>
      <c r="F135" s="118" t="e">
        <f t="shared" ca="1" si="12"/>
        <v>#NAME?</v>
      </c>
      <c r="G135" s="103" t="e">
        <f t="shared" ca="1" si="13"/>
        <v>#NAME?</v>
      </c>
      <c r="H135" s="104" t="e">
        <f ca="1">IF(C135="","",MROUND([0]!CSVVLookUP(ROW(行数!A127),配列!$C$4,集計記録,8,1),"0:01"))</f>
        <v>#NAME?</v>
      </c>
      <c r="I135" s="104" t="e">
        <f t="shared" ca="1" si="14"/>
        <v>#NAME?</v>
      </c>
      <c r="J135" s="119" t="e">
        <f ca="1">IF(C135="","",MROUND([0]!CSVVLookUP(ROW(行数!A127),配列!$C$4,集計記録,7,1),"0:01"))</f>
        <v>#NAME?</v>
      </c>
      <c r="K135" s="92" t="e">
        <f ca="1">IF(C135="","",[0]!CSVVLookUP(ROW(行数!A127),配列!$C$4,集計記録,5,1))</f>
        <v>#NAME?</v>
      </c>
      <c r="L135" s="104" t="e">
        <f t="shared" ca="1" si="15"/>
        <v>#NAME?</v>
      </c>
      <c r="M135" s="120" t="e">
        <f t="shared" ca="1" si="9"/>
        <v>#NAME?</v>
      </c>
      <c r="N135" s="120" t="e">
        <f ca="1">IF([0]!CSVVLookUP(ROW(行数!A127),配列!$C$4,集計記録,6,1)=0,"",[0]!CSVVLookUP(ROW(行数!A127),配列!$C$4,集計記録,6,1))</f>
        <v>#NAME?</v>
      </c>
      <c r="O135" s="88" t="e">
        <f ca="1">IF(INDIRECT("M"&amp;ROW()-1)&lt;&gt;INDIRECT("M"&amp;ROW()),リスト!$I$5,"")</f>
        <v>#NAME?</v>
      </c>
      <c r="P135" s="88" t="e">
        <f ca="1">IF(INDIRECT("M"&amp;ROW())&lt;&gt;INDIRECT("M"&amp;ROW()+1),リスト!$I$6,"")</f>
        <v>#NAME?</v>
      </c>
    </row>
    <row r="136" spans="1:16" x14ac:dyDescent="0.2">
      <c r="A136" s="169" t="e">
        <f ca="1">IF(C136="","",ROW(行数!A128))</f>
        <v>#NAME?</v>
      </c>
      <c r="B136" s="168" t="e">
        <f t="shared" ca="1" si="10"/>
        <v>#NAME?</v>
      </c>
      <c r="C136" s="90" t="e">
        <f ca="1">[0]!CSVVLookUP(ROW(行数!A128),配列!$C$4,集計記録,3,1)</f>
        <v>#NAME?</v>
      </c>
      <c r="D136" s="90" t="e">
        <f ca="1">[0]!CSVVLookUP(ROW(行数!B128),配列!$C$4,集計記録,4,1)</f>
        <v>#NAME?</v>
      </c>
      <c r="E136" s="118" t="e">
        <f t="shared" ca="1" si="11"/>
        <v>#NAME?</v>
      </c>
      <c r="F136" s="118" t="e">
        <f t="shared" ca="1" si="12"/>
        <v>#NAME?</v>
      </c>
      <c r="G136" s="103" t="e">
        <f t="shared" ca="1" si="13"/>
        <v>#NAME?</v>
      </c>
      <c r="H136" s="104" t="e">
        <f ca="1">IF(C136="","",MROUND([0]!CSVVLookUP(ROW(行数!A128),配列!$C$4,集計記録,8,1),"0:01"))</f>
        <v>#NAME?</v>
      </c>
      <c r="I136" s="104" t="e">
        <f t="shared" ca="1" si="14"/>
        <v>#NAME?</v>
      </c>
      <c r="J136" s="119" t="e">
        <f ca="1">IF(C136="","",MROUND([0]!CSVVLookUP(ROW(行数!A128),配列!$C$4,集計記録,7,1),"0:01"))</f>
        <v>#NAME?</v>
      </c>
      <c r="K136" s="92" t="e">
        <f ca="1">IF(C136="","",[0]!CSVVLookUP(ROW(行数!A128),配列!$C$4,集計記録,5,1))</f>
        <v>#NAME?</v>
      </c>
      <c r="L136" s="104" t="e">
        <f t="shared" ca="1" si="15"/>
        <v>#NAME?</v>
      </c>
      <c r="M136" s="120" t="e">
        <f t="shared" ca="1" si="9"/>
        <v>#NAME?</v>
      </c>
      <c r="N136" s="120" t="e">
        <f ca="1">IF([0]!CSVVLookUP(ROW(行数!A128),配列!$C$4,集計記録,6,1)=0,"",[0]!CSVVLookUP(ROW(行数!A128),配列!$C$4,集計記録,6,1))</f>
        <v>#NAME?</v>
      </c>
      <c r="O136" s="88" t="e">
        <f ca="1">IF(INDIRECT("M"&amp;ROW()-1)&lt;&gt;INDIRECT("M"&amp;ROW()),リスト!$I$5,"")</f>
        <v>#NAME?</v>
      </c>
      <c r="P136" s="88" t="e">
        <f ca="1">IF(INDIRECT("M"&amp;ROW())&lt;&gt;INDIRECT("M"&amp;ROW()+1),リスト!$I$6,"")</f>
        <v>#NAME?</v>
      </c>
    </row>
    <row r="137" spans="1:16" x14ac:dyDescent="0.2">
      <c r="A137" s="169" t="e">
        <f ca="1">IF(C137="","",ROW(行数!A129))</f>
        <v>#NAME?</v>
      </c>
      <c r="B137" s="168" t="e">
        <f t="shared" ca="1" si="10"/>
        <v>#NAME?</v>
      </c>
      <c r="C137" s="90" t="e">
        <f ca="1">[0]!CSVVLookUP(ROW(行数!A129),配列!$C$4,集計記録,3,1)</f>
        <v>#NAME?</v>
      </c>
      <c r="D137" s="90" t="e">
        <f ca="1">[0]!CSVVLookUP(ROW(行数!B129),配列!$C$4,集計記録,4,1)</f>
        <v>#NAME?</v>
      </c>
      <c r="E137" s="118" t="e">
        <f t="shared" ca="1" si="11"/>
        <v>#NAME?</v>
      </c>
      <c r="F137" s="118" t="e">
        <f t="shared" ca="1" si="12"/>
        <v>#NAME?</v>
      </c>
      <c r="G137" s="103" t="e">
        <f t="shared" ca="1" si="13"/>
        <v>#NAME?</v>
      </c>
      <c r="H137" s="104" t="e">
        <f ca="1">IF(C137="","",MROUND([0]!CSVVLookUP(ROW(行数!A129),配列!$C$4,集計記録,8,1),"0:01"))</f>
        <v>#NAME?</v>
      </c>
      <c r="I137" s="104" t="e">
        <f t="shared" ca="1" si="14"/>
        <v>#NAME?</v>
      </c>
      <c r="J137" s="119" t="e">
        <f ca="1">IF(C137="","",MROUND([0]!CSVVLookUP(ROW(行数!A129),配列!$C$4,集計記録,7,1),"0:01"))</f>
        <v>#NAME?</v>
      </c>
      <c r="K137" s="92" t="e">
        <f ca="1">IF(C137="","",[0]!CSVVLookUP(ROW(行数!A129),配列!$C$4,集計記録,5,1))</f>
        <v>#NAME?</v>
      </c>
      <c r="L137" s="104" t="e">
        <f t="shared" ca="1" si="15"/>
        <v>#NAME?</v>
      </c>
      <c r="M137" s="120" t="e">
        <f t="shared" ref="M137:M200" ca="1" si="16">IF(C137="","",VLOOKUP(C137,運転条件判定,13,1))</f>
        <v>#NAME?</v>
      </c>
      <c r="N137" s="120" t="e">
        <f ca="1">IF([0]!CSVVLookUP(ROW(行数!A129),配列!$C$4,集計記録,6,1)=0,"",[0]!CSVVLookUP(ROW(行数!A129),配列!$C$4,集計記録,6,1))</f>
        <v>#NAME?</v>
      </c>
      <c r="O137" s="88" t="e">
        <f ca="1">IF(INDIRECT("M"&amp;ROW()-1)&lt;&gt;INDIRECT("M"&amp;ROW()),リスト!$I$5,"")</f>
        <v>#NAME?</v>
      </c>
      <c r="P137" s="88" t="e">
        <f ca="1">IF(INDIRECT("M"&amp;ROW())&lt;&gt;INDIRECT("M"&amp;ROW()+1),リスト!$I$6,"")</f>
        <v>#NAME?</v>
      </c>
    </row>
    <row r="138" spans="1:16" x14ac:dyDescent="0.2">
      <c r="A138" s="169" t="e">
        <f ca="1">IF(C138="","",ROW(行数!A130))</f>
        <v>#NAME?</v>
      </c>
      <c r="B138" s="168" t="e">
        <f t="shared" ref="B138:B201" ca="1" si="17">IF(C138="","",VLOOKUP(C138,ユニット判定用,3))</f>
        <v>#NAME?</v>
      </c>
      <c r="C138" s="90" t="e">
        <f ca="1">[0]!CSVVLookUP(ROW(行数!A130),配列!$C$4,集計記録,3,1)</f>
        <v>#NAME?</v>
      </c>
      <c r="D138" s="90" t="e">
        <f ca="1">[0]!CSVVLookUP(ROW(行数!B130),配列!$C$4,集計記録,4,1)</f>
        <v>#NAME?</v>
      </c>
      <c r="E138" s="118" t="e">
        <f t="shared" ref="E138:E201" ca="1" si="18">IF(C138="","",D138-C138)</f>
        <v>#NAME?</v>
      </c>
      <c r="F138" s="118" t="e">
        <f t="shared" ref="F138:F201" ca="1" si="19">IF(C138="","",E138-H138-I138)</f>
        <v>#NAME?</v>
      </c>
      <c r="G138" s="103" t="e">
        <f t="shared" ref="G138:G201" ca="1" si="20">IF(C138="","",F138/E138)</f>
        <v>#NAME?</v>
      </c>
      <c r="H138" s="104" t="e">
        <f ca="1">IF(C138="","",MROUND([0]!CSVVLookUP(ROW(行数!A130),配列!$C$4,集計記録,8,1),"0:01"))</f>
        <v>#NAME?</v>
      </c>
      <c r="I138" s="104" t="e">
        <f t="shared" ref="I138:I201" ca="1" si="21">IF(C138="","",MROUND(J138-H138,"0:01"))</f>
        <v>#NAME?</v>
      </c>
      <c r="J138" s="119" t="e">
        <f ca="1">IF(C138="","",MROUND([0]!CSVVLookUP(ROW(行数!A130),配列!$C$4,集計記録,7,1),"0:01"))</f>
        <v>#NAME?</v>
      </c>
      <c r="K138" s="92" t="e">
        <f ca="1">IF(C138="","",[0]!CSVVLookUP(ROW(行数!A130),配列!$C$4,集計記録,5,1))</f>
        <v>#NAME?</v>
      </c>
      <c r="L138" s="104" t="e">
        <f t="shared" ref="L138:L201" ca="1" si="22">IF(C138="","",MROUND(E138/(K138+1),"00:01"))</f>
        <v>#NAME?</v>
      </c>
      <c r="M138" s="120" t="e">
        <f t="shared" ca="1" si="16"/>
        <v>#NAME?</v>
      </c>
      <c r="N138" s="120" t="e">
        <f ca="1">IF([0]!CSVVLookUP(ROW(行数!A130),配列!$C$4,集計記録,6,1)=0,"",[0]!CSVVLookUP(ROW(行数!A130),配列!$C$4,集計記録,6,1))</f>
        <v>#NAME?</v>
      </c>
      <c r="O138" s="88" t="e">
        <f ca="1">IF(INDIRECT("M"&amp;ROW()-1)&lt;&gt;INDIRECT("M"&amp;ROW()),リスト!$I$5,"")</f>
        <v>#NAME?</v>
      </c>
      <c r="P138" s="88" t="e">
        <f ca="1">IF(INDIRECT("M"&amp;ROW())&lt;&gt;INDIRECT("M"&amp;ROW()+1),リスト!$I$6,"")</f>
        <v>#NAME?</v>
      </c>
    </row>
    <row r="139" spans="1:16" x14ac:dyDescent="0.2">
      <c r="A139" s="169" t="e">
        <f ca="1">IF(C139="","",ROW(行数!A131))</f>
        <v>#NAME?</v>
      </c>
      <c r="B139" s="168" t="e">
        <f t="shared" ca="1" si="17"/>
        <v>#NAME?</v>
      </c>
      <c r="C139" s="90" t="e">
        <f ca="1">[0]!CSVVLookUP(ROW(行数!A131),配列!$C$4,集計記録,3,1)</f>
        <v>#NAME?</v>
      </c>
      <c r="D139" s="90" t="e">
        <f ca="1">[0]!CSVVLookUP(ROW(行数!B131),配列!$C$4,集計記録,4,1)</f>
        <v>#NAME?</v>
      </c>
      <c r="E139" s="118" t="e">
        <f t="shared" ca="1" si="18"/>
        <v>#NAME?</v>
      </c>
      <c r="F139" s="118" t="e">
        <f t="shared" ca="1" si="19"/>
        <v>#NAME?</v>
      </c>
      <c r="G139" s="103" t="e">
        <f t="shared" ca="1" si="20"/>
        <v>#NAME?</v>
      </c>
      <c r="H139" s="104" t="e">
        <f ca="1">IF(C139="","",MROUND([0]!CSVVLookUP(ROW(行数!A131),配列!$C$4,集計記録,8,1),"0:01"))</f>
        <v>#NAME?</v>
      </c>
      <c r="I139" s="104" t="e">
        <f t="shared" ca="1" si="21"/>
        <v>#NAME?</v>
      </c>
      <c r="J139" s="119" t="e">
        <f ca="1">IF(C139="","",MROUND([0]!CSVVLookUP(ROW(行数!A131),配列!$C$4,集計記録,7,1),"0:01"))</f>
        <v>#NAME?</v>
      </c>
      <c r="K139" s="92" t="e">
        <f ca="1">IF(C139="","",[0]!CSVVLookUP(ROW(行数!A131),配列!$C$4,集計記録,5,1))</f>
        <v>#NAME?</v>
      </c>
      <c r="L139" s="104" t="e">
        <f t="shared" ca="1" si="22"/>
        <v>#NAME?</v>
      </c>
      <c r="M139" s="120" t="e">
        <f t="shared" ca="1" si="16"/>
        <v>#NAME?</v>
      </c>
      <c r="N139" s="120" t="e">
        <f ca="1">IF([0]!CSVVLookUP(ROW(行数!A131),配列!$C$4,集計記録,6,1)=0,"",[0]!CSVVLookUP(ROW(行数!A131),配列!$C$4,集計記録,6,1))</f>
        <v>#NAME?</v>
      </c>
      <c r="O139" s="88" t="e">
        <f ca="1">IF(INDIRECT("M"&amp;ROW()-1)&lt;&gt;INDIRECT("M"&amp;ROW()),リスト!$I$5,"")</f>
        <v>#NAME?</v>
      </c>
      <c r="P139" s="88" t="e">
        <f ca="1">IF(INDIRECT("M"&amp;ROW())&lt;&gt;INDIRECT("M"&amp;ROW()+1),リスト!$I$6,"")</f>
        <v>#NAME?</v>
      </c>
    </row>
    <row r="140" spans="1:16" x14ac:dyDescent="0.2">
      <c r="A140" s="169" t="e">
        <f ca="1">IF(C140="","",ROW(行数!A132))</f>
        <v>#NAME?</v>
      </c>
      <c r="B140" s="168" t="e">
        <f t="shared" ca="1" si="17"/>
        <v>#NAME?</v>
      </c>
      <c r="C140" s="90" t="e">
        <f ca="1">[0]!CSVVLookUP(ROW(行数!A132),配列!$C$4,集計記録,3,1)</f>
        <v>#NAME?</v>
      </c>
      <c r="D140" s="90" t="e">
        <f ca="1">[0]!CSVVLookUP(ROW(行数!B132),配列!$C$4,集計記録,4,1)</f>
        <v>#NAME?</v>
      </c>
      <c r="E140" s="118" t="e">
        <f t="shared" ca="1" si="18"/>
        <v>#NAME?</v>
      </c>
      <c r="F140" s="118" t="e">
        <f t="shared" ca="1" si="19"/>
        <v>#NAME?</v>
      </c>
      <c r="G140" s="103" t="e">
        <f t="shared" ca="1" si="20"/>
        <v>#NAME?</v>
      </c>
      <c r="H140" s="104" t="e">
        <f ca="1">IF(C140="","",MROUND([0]!CSVVLookUP(ROW(行数!A132),配列!$C$4,集計記録,8,1),"0:01"))</f>
        <v>#NAME?</v>
      </c>
      <c r="I140" s="104" t="e">
        <f t="shared" ca="1" si="21"/>
        <v>#NAME?</v>
      </c>
      <c r="J140" s="119" t="e">
        <f ca="1">IF(C140="","",MROUND([0]!CSVVLookUP(ROW(行数!A132),配列!$C$4,集計記録,7,1),"0:01"))</f>
        <v>#NAME?</v>
      </c>
      <c r="K140" s="92" t="e">
        <f ca="1">IF(C140="","",[0]!CSVVLookUP(ROW(行数!A132),配列!$C$4,集計記録,5,1))</f>
        <v>#NAME?</v>
      </c>
      <c r="L140" s="104" t="e">
        <f t="shared" ca="1" si="22"/>
        <v>#NAME?</v>
      </c>
      <c r="M140" s="120" t="e">
        <f t="shared" ca="1" si="16"/>
        <v>#NAME?</v>
      </c>
      <c r="N140" s="120" t="e">
        <f ca="1">IF([0]!CSVVLookUP(ROW(行数!A132),配列!$C$4,集計記録,6,1)=0,"",[0]!CSVVLookUP(ROW(行数!A132),配列!$C$4,集計記録,6,1))</f>
        <v>#NAME?</v>
      </c>
      <c r="O140" s="88" t="e">
        <f ca="1">IF(INDIRECT("M"&amp;ROW()-1)&lt;&gt;INDIRECT("M"&amp;ROW()),リスト!$I$5,"")</f>
        <v>#NAME?</v>
      </c>
      <c r="P140" s="88" t="e">
        <f ca="1">IF(INDIRECT("M"&amp;ROW())&lt;&gt;INDIRECT("M"&amp;ROW()+1),リスト!$I$6,"")</f>
        <v>#NAME?</v>
      </c>
    </row>
    <row r="141" spans="1:16" x14ac:dyDescent="0.2">
      <c r="A141" s="169" t="e">
        <f ca="1">IF(C141="","",ROW(行数!A133))</f>
        <v>#NAME?</v>
      </c>
      <c r="B141" s="168" t="e">
        <f t="shared" ca="1" si="17"/>
        <v>#NAME?</v>
      </c>
      <c r="C141" s="90" t="e">
        <f ca="1">[0]!CSVVLookUP(ROW(行数!A133),配列!$C$4,集計記録,3,1)</f>
        <v>#NAME?</v>
      </c>
      <c r="D141" s="90" t="e">
        <f ca="1">[0]!CSVVLookUP(ROW(行数!B133),配列!$C$4,集計記録,4,1)</f>
        <v>#NAME?</v>
      </c>
      <c r="E141" s="118" t="e">
        <f t="shared" ca="1" si="18"/>
        <v>#NAME?</v>
      </c>
      <c r="F141" s="118" t="e">
        <f t="shared" ca="1" si="19"/>
        <v>#NAME?</v>
      </c>
      <c r="G141" s="103" t="e">
        <f t="shared" ca="1" si="20"/>
        <v>#NAME?</v>
      </c>
      <c r="H141" s="104" t="e">
        <f ca="1">IF(C141="","",MROUND([0]!CSVVLookUP(ROW(行数!A133),配列!$C$4,集計記録,8,1),"0:01"))</f>
        <v>#NAME?</v>
      </c>
      <c r="I141" s="104" t="e">
        <f t="shared" ca="1" si="21"/>
        <v>#NAME?</v>
      </c>
      <c r="J141" s="119" t="e">
        <f ca="1">IF(C141="","",MROUND([0]!CSVVLookUP(ROW(行数!A133),配列!$C$4,集計記録,7,1),"0:01"))</f>
        <v>#NAME?</v>
      </c>
      <c r="K141" s="92" t="e">
        <f ca="1">IF(C141="","",[0]!CSVVLookUP(ROW(行数!A133),配列!$C$4,集計記録,5,1))</f>
        <v>#NAME?</v>
      </c>
      <c r="L141" s="104" t="e">
        <f t="shared" ca="1" si="22"/>
        <v>#NAME?</v>
      </c>
      <c r="M141" s="120" t="e">
        <f t="shared" ca="1" si="16"/>
        <v>#NAME?</v>
      </c>
      <c r="N141" s="120" t="e">
        <f ca="1">IF([0]!CSVVLookUP(ROW(行数!A133),配列!$C$4,集計記録,6,1)=0,"",[0]!CSVVLookUP(ROW(行数!A133),配列!$C$4,集計記録,6,1))</f>
        <v>#NAME?</v>
      </c>
      <c r="O141" s="88" t="e">
        <f ca="1">IF(INDIRECT("M"&amp;ROW()-1)&lt;&gt;INDIRECT("M"&amp;ROW()),リスト!$I$5,"")</f>
        <v>#NAME?</v>
      </c>
      <c r="P141" s="88" t="e">
        <f ca="1">IF(INDIRECT("M"&amp;ROW())&lt;&gt;INDIRECT("M"&amp;ROW()+1),リスト!$I$6,"")</f>
        <v>#NAME?</v>
      </c>
    </row>
    <row r="142" spans="1:16" x14ac:dyDescent="0.2">
      <c r="A142" s="169" t="e">
        <f ca="1">IF(C142="","",ROW(行数!A134))</f>
        <v>#NAME?</v>
      </c>
      <c r="B142" s="168" t="e">
        <f t="shared" ca="1" si="17"/>
        <v>#NAME?</v>
      </c>
      <c r="C142" s="90" t="e">
        <f ca="1">[0]!CSVVLookUP(ROW(行数!A134),配列!$C$4,集計記録,3,1)</f>
        <v>#NAME?</v>
      </c>
      <c r="D142" s="90" t="e">
        <f ca="1">[0]!CSVVLookUP(ROW(行数!B134),配列!$C$4,集計記録,4,1)</f>
        <v>#NAME?</v>
      </c>
      <c r="E142" s="118" t="e">
        <f t="shared" ca="1" si="18"/>
        <v>#NAME?</v>
      </c>
      <c r="F142" s="118" t="e">
        <f t="shared" ca="1" si="19"/>
        <v>#NAME?</v>
      </c>
      <c r="G142" s="103" t="e">
        <f t="shared" ca="1" si="20"/>
        <v>#NAME?</v>
      </c>
      <c r="H142" s="104" t="e">
        <f ca="1">IF(C142="","",MROUND([0]!CSVVLookUP(ROW(行数!A134),配列!$C$4,集計記録,8,1),"0:01"))</f>
        <v>#NAME?</v>
      </c>
      <c r="I142" s="104" t="e">
        <f t="shared" ca="1" si="21"/>
        <v>#NAME?</v>
      </c>
      <c r="J142" s="119" t="e">
        <f ca="1">IF(C142="","",MROUND([0]!CSVVLookUP(ROW(行数!A134),配列!$C$4,集計記録,7,1),"0:01"))</f>
        <v>#NAME?</v>
      </c>
      <c r="K142" s="92" t="e">
        <f ca="1">IF(C142="","",[0]!CSVVLookUP(ROW(行数!A134),配列!$C$4,集計記録,5,1))</f>
        <v>#NAME?</v>
      </c>
      <c r="L142" s="104" t="e">
        <f t="shared" ca="1" si="22"/>
        <v>#NAME?</v>
      </c>
      <c r="M142" s="120" t="e">
        <f t="shared" ca="1" si="16"/>
        <v>#NAME?</v>
      </c>
      <c r="N142" s="120" t="e">
        <f ca="1">IF([0]!CSVVLookUP(ROW(行数!A134),配列!$C$4,集計記録,6,1)=0,"",[0]!CSVVLookUP(ROW(行数!A134),配列!$C$4,集計記録,6,1))</f>
        <v>#NAME?</v>
      </c>
      <c r="O142" s="88" t="e">
        <f ca="1">IF(INDIRECT("M"&amp;ROW()-1)&lt;&gt;INDIRECT("M"&amp;ROW()),リスト!$I$5,"")</f>
        <v>#NAME?</v>
      </c>
      <c r="P142" s="88" t="e">
        <f ca="1">IF(INDIRECT("M"&amp;ROW())&lt;&gt;INDIRECT("M"&amp;ROW()+1),リスト!$I$6,"")</f>
        <v>#NAME?</v>
      </c>
    </row>
    <row r="143" spans="1:16" x14ac:dyDescent="0.2">
      <c r="A143" s="169" t="e">
        <f ca="1">IF(C143="","",ROW(行数!A135))</f>
        <v>#NAME?</v>
      </c>
      <c r="B143" s="168" t="e">
        <f t="shared" ca="1" si="17"/>
        <v>#NAME?</v>
      </c>
      <c r="C143" s="90" t="e">
        <f ca="1">[0]!CSVVLookUP(ROW(行数!A135),配列!$C$4,集計記録,3,1)</f>
        <v>#NAME?</v>
      </c>
      <c r="D143" s="90" t="e">
        <f ca="1">[0]!CSVVLookUP(ROW(行数!B135),配列!$C$4,集計記録,4,1)</f>
        <v>#NAME?</v>
      </c>
      <c r="E143" s="118" t="e">
        <f t="shared" ca="1" si="18"/>
        <v>#NAME?</v>
      </c>
      <c r="F143" s="118" t="e">
        <f t="shared" ca="1" si="19"/>
        <v>#NAME?</v>
      </c>
      <c r="G143" s="103" t="e">
        <f t="shared" ca="1" si="20"/>
        <v>#NAME?</v>
      </c>
      <c r="H143" s="104" t="e">
        <f ca="1">IF(C143="","",MROUND([0]!CSVVLookUP(ROW(行数!A135),配列!$C$4,集計記録,8,1),"0:01"))</f>
        <v>#NAME?</v>
      </c>
      <c r="I143" s="104" t="e">
        <f t="shared" ca="1" si="21"/>
        <v>#NAME?</v>
      </c>
      <c r="J143" s="119" t="e">
        <f ca="1">IF(C143="","",MROUND([0]!CSVVLookUP(ROW(行数!A135),配列!$C$4,集計記録,7,1),"0:01"))</f>
        <v>#NAME?</v>
      </c>
      <c r="K143" s="92" t="e">
        <f ca="1">IF(C143="","",[0]!CSVVLookUP(ROW(行数!A135),配列!$C$4,集計記録,5,1))</f>
        <v>#NAME?</v>
      </c>
      <c r="L143" s="104" t="e">
        <f t="shared" ca="1" si="22"/>
        <v>#NAME?</v>
      </c>
      <c r="M143" s="120" t="e">
        <f t="shared" ca="1" si="16"/>
        <v>#NAME?</v>
      </c>
      <c r="N143" s="120" t="e">
        <f ca="1">IF([0]!CSVVLookUP(ROW(行数!A135),配列!$C$4,集計記録,6,1)=0,"",[0]!CSVVLookUP(ROW(行数!A135),配列!$C$4,集計記録,6,1))</f>
        <v>#NAME?</v>
      </c>
      <c r="O143" s="88" t="e">
        <f ca="1">IF(INDIRECT("M"&amp;ROW()-1)&lt;&gt;INDIRECT("M"&amp;ROW()),リスト!$I$5,"")</f>
        <v>#NAME?</v>
      </c>
      <c r="P143" s="88" t="e">
        <f ca="1">IF(INDIRECT("M"&amp;ROW())&lt;&gt;INDIRECT("M"&amp;ROW()+1),リスト!$I$6,"")</f>
        <v>#NAME?</v>
      </c>
    </row>
    <row r="144" spans="1:16" x14ac:dyDescent="0.2">
      <c r="A144" s="169" t="e">
        <f ca="1">IF(C144="","",ROW(行数!A136))</f>
        <v>#NAME?</v>
      </c>
      <c r="B144" s="168" t="e">
        <f t="shared" ca="1" si="17"/>
        <v>#NAME?</v>
      </c>
      <c r="C144" s="90" t="e">
        <f ca="1">[0]!CSVVLookUP(ROW(行数!A136),配列!$C$4,集計記録,3,1)</f>
        <v>#NAME?</v>
      </c>
      <c r="D144" s="90" t="e">
        <f ca="1">[0]!CSVVLookUP(ROW(行数!B136),配列!$C$4,集計記録,4,1)</f>
        <v>#NAME?</v>
      </c>
      <c r="E144" s="118" t="e">
        <f t="shared" ca="1" si="18"/>
        <v>#NAME?</v>
      </c>
      <c r="F144" s="118" t="e">
        <f t="shared" ca="1" si="19"/>
        <v>#NAME?</v>
      </c>
      <c r="G144" s="103" t="e">
        <f t="shared" ca="1" si="20"/>
        <v>#NAME?</v>
      </c>
      <c r="H144" s="104" t="e">
        <f ca="1">IF(C144="","",MROUND([0]!CSVVLookUP(ROW(行数!A136),配列!$C$4,集計記録,8,1),"0:01"))</f>
        <v>#NAME?</v>
      </c>
      <c r="I144" s="104" t="e">
        <f t="shared" ca="1" si="21"/>
        <v>#NAME?</v>
      </c>
      <c r="J144" s="119" t="e">
        <f ca="1">IF(C144="","",MROUND([0]!CSVVLookUP(ROW(行数!A136),配列!$C$4,集計記録,7,1),"0:01"))</f>
        <v>#NAME?</v>
      </c>
      <c r="K144" s="92" t="e">
        <f ca="1">IF(C144="","",[0]!CSVVLookUP(ROW(行数!A136),配列!$C$4,集計記録,5,1))</f>
        <v>#NAME?</v>
      </c>
      <c r="L144" s="104" t="e">
        <f t="shared" ca="1" si="22"/>
        <v>#NAME?</v>
      </c>
      <c r="M144" s="120" t="e">
        <f t="shared" ca="1" si="16"/>
        <v>#NAME?</v>
      </c>
      <c r="N144" s="120" t="e">
        <f ca="1">IF([0]!CSVVLookUP(ROW(行数!A136),配列!$C$4,集計記録,6,1)=0,"",[0]!CSVVLookUP(ROW(行数!A136),配列!$C$4,集計記録,6,1))</f>
        <v>#NAME?</v>
      </c>
      <c r="O144" s="88" t="e">
        <f ca="1">IF(INDIRECT("M"&amp;ROW()-1)&lt;&gt;INDIRECT("M"&amp;ROW()),リスト!$I$5,"")</f>
        <v>#NAME?</v>
      </c>
      <c r="P144" s="88" t="e">
        <f ca="1">IF(INDIRECT("M"&amp;ROW())&lt;&gt;INDIRECT("M"&amp;ROW()+1),リスト!$I$6,"")</f>
        <v>#NAME?</v>
      </c>
    </row>
    <row r="145" spans="1:16" x14ac:dyDescent="0.2">
      <c r="A145" s="169" t="e">
        <f ca="1">IF(C145="","",ROW(行数!A137))</f>
        <v>#NAME?</v>
      </c>
      <c r="B145" s="168" t="e">
        <f t="shared" ca="1" si="17"/>
        <v>#NAME?</v>
      </c>
      <c r="C145" s="90" t="e">
        <f ca="1">[0]!CSVVLookUP(ROW(行数!A137),配列!$C$4,集計記録,3,1)</f>
        <v>#NAME?</v>
      </c>
      <c r="D145" s="90" t="e">
        <f ca="1">[0]!CSVVLookUP(ROW(行数!B137),配列!$C$4,集計記録,4,1)</f>
        <v>#NAME?</v>
      </c>
      <c r="E145" s="118" t="e">
        <f t="shared" ca="1" si="18"/>
        <v>#NAME?</v>
      </c>
      <c r="F145" s="118" t="e">
        <f t="shared" ca="1" si="19"/>
        <v>#NAME?</v>
      </c>
      <c r="G145" s="103" t="e">
        <f t="shared" ca="1" si="20"/>
        <v>#NAME?</v>
      </c>
      <c r="H145" s="104" t="e">
        <f ca="1">IF(C145="","",MROUND([0]!CSVVLookUP(ROW(行数!A137),配列!$C$4,集計記録,8,1),"0:01"))</f>
        <v>#NAME?</v>
      </c>
      <c r="I145" s="104" t="e">
        <f t="shared" ca="1" si="21"/>
        <v>#NAME?</v>
      </c>
      <c r="J145" s="119" t="e">
        <f ca="1">IF(C145="","",MROUND([0]!CSVVLookUP(ROW(行数!A137),配列!$C$4,集計記録,7,1),"0:01"))</f>
        <v>#NAME?</v>
      </c>
      <c r="K145" s="92" t="e">
        <f ca="1">IF(C145="","",[0]!CSVVLookUP(ROW(行数!A137),配列!$C$4,集計記録,5,1))</f>
        <v>#NAME?</v>
      </c>
      <c r="L145" s="104" t="e">
        <f t="shared" ca="1" si="22"/>
        <v>#NAME?</v>
      </c>
      <c r="M145" s="120" t="e">
        <f t="shared" ca="1" si="16"/>
        <v>#NAME?</v>
      </c>
      <c r="N145" s="120" t="e">
        <f ca="1">IF([0]!CSVVLookUP(ROW(行数!A137),配列!$C$4,集計記録,6,1)=0,"",[0]!CSVVLookUP(ROW(行数!A137),配列!$C$4,集計記録,6,1))</f>
        <v>#NAME?</v>
      </c>
      <c r="O145" s="88" t="e">
        <f ca="1">IF(INDIRECT("M"&amp;ROW()-1)&lt;&gt;INDIRECT("M"&amp;ROW()),リスト!$I$5,"")</f>
        <v>#NAME?</v>
      </c>
      <c r="P145" s="88" t="e">
        <f ca="1">IF(INDIRECT("M"&amp;ROW())&lt;&gt;INDIRECT("M"&amp;ROW()+1),リスト!$I$6,"")</f>
        <v>#NAME?</v>
      </c>
    </row>
    <row r="146" spans="1:16" x14ac:dyDescent="0.2">
      <c r="A146" s="169" t="e">
        <f ca="1">IF(C146="","",ROW(行数!A138))</f>
        <v>#NAME?</v>
      </c>
      <c r="B146" s="168" t="e">
        <f t="shared" ca="1" si="17"/>
        <v>#NAME?</v>
      </c>
      <c r="C146" s="90" t="e">
        <f ca="1">[0]!CSVVLookUP(ROW(行数!A138),配列!$C$4,集計記録,3,1)</f>
        <v>#NAME?</v>
      </c>
      <c r="D146" s="90" t="e">
        <f ca="1">[0]!CSVVLookUP(ROW(行数!B138),配列!$C$4,集計記録,4,1)</f>
        <v>#NAME?</v>
      </c>
      <c r="E146" s="118" t="e">
        <f t="shared" ca="1" si="18"/>
        <v>#NAME?</v>
      </c>
      <c r="F146" s="118" t="e">
        <f t="shared" ca="1" si="19"/>
        <v>#NAME?</v>
      </c>
      <c r="G146" s="103" t="e">
        <f t="shared" ca="1" si="20"/>
        <v>#NAME?</v>
      </c>
      <c r="H146" s="104" t="e">
        <f ca="1">IF(C146="","",MROUND([0]!CSVVLookUP(ROW(行数!A138),配列!$C$4,集計記録,8,1),"0:01"))</f>
        <v>#NAME?</v>
      </c>
      <c r="I146" s="104" t="e">
        <f t="shared" ca="1" si="21"/>
        <v>#NAME?</v>
      </c>
      <c r="J146" s="119" t="e">
        <f ca="1">IF(C146="","",MROUND([0]!CSVVLookUP(ROW(行数!A138),配列!$C$4,集計記録,7,1),"0:01"))</f>
        <v>#NAME?</v>
      </c>
      <c r="K146" s="92" t="e">
        <f ca="1">IF(C146="","",[0]!CSVVLookUP(ROW(行数!A138),配列!$C$4,集計記録,5,1))</f>
        <v>#NAME?</v>
      </c>
      <c r="L146" s="104" t="e">
        <f t="shared" ca="1" si="22"/>
        <v>#NAME?</v>
      </c>
      <c r="M146" s="120" t="e">
        <f t="shared" ca="1" si="16"/>
        <v>#NAME?</v>
      </c>
      <c r="N146" s="120" t="e">
        <f ca="1">IF([0]!CSVVLookUP(ROW(行数!A138),配列!$C$4,集計記録,6,1)=0,"",[0]!CSVVLookUP(ROW(行数!A138),配列!$C$4,集計記録,6,1))</f>
        <v>#NAME?</v>
      </c>
      <c r="O146" s="88" t="e">
        <f ca="1">IF(INDIRECT("M"&amp;ROW()-1)&lt;&gt;INDIRECT("M"&amp;ROW()),リスト!$I$5,"")</f>
        <v>#NAME?</v>
      </c>
      <c r="P146" s="88" t="e">
        <f ca="1">IF(INDIRECT("M"&amp;ROW())&lt;&gt;INDIRECT("M"&amp;ROW()+1),リスト!$I$6,"")</f>
        <v>#NAME?</v>
      </c>
    </row>
    <row r="147" spans="1:16" x14ac:dyDescent="0.2">
      <c r="A147" s="169" t="e">
        <f ca="1">IF(C147="","",ROW(行数!A139))</f>
        <v>#NAME?</v>
      </c>
      <c r="B147" s="168" t="e">
        <f t="shared" ca="1" si="17"/>
        <v>#NAME?</v>
      </c>
      <c r="C147" s="90" t="e">
        <f ca="1">[0]!CSVVLookUP(ROW(行数!A139),配列!$C$4,集計記録,3,1)</f>
        <v>#NAME?</v>
      </c>
      <c r="D147" s="90" t="e">
        <f ca="1">[0]!CSVVLookUP(ROW(行数!B139),配列!$C$4,集計記録,4,1)</f>
        <v>#NAME?</v>
      </c>
      <c r="E147" s="118" t="e">
        <f t="shared" ca="1" si="18"/>
        <v>#NAME?</v>
      </c>
      <c r="F147" s="118" t="e">
        <f t="shared" ca="1" si="19"/>
        <v>#NAME?</v>
      </c>
      <c r="G147" s="103" t="e">
        <f t="shared" ca="1" si="20"/>
        <v>#NAME?</v>
      </c>
      <c r="H147" s="104" t="e">
        <f ca="1">IF(C147="","",MROUND([0]!CSVVLookUP(ROW(行数!A139),配列!$C$4,集計記録,8,1),"0:01"))</f>
        <v>#NAME?</v>
      </c>
      <c r="I147" s="104" t="e">
        <f t="shared" ca="1" si="21"/>
        <v>#NAME?</v>
      </c>
      <c r="J147" s="119" t="e">
        <f ca="1">IF(C147="","",MROUND([0]!CSVVLookUP(ROW(行数!A139),配列!$C$4,集計記録,7,1),"0:01"))</f>
        <v>#NAME?</v>
      </c>
      <c r="K147" s="92" t="e">
        <f ca="1">IF(C147="","",[0]!CSVVLookUP(ROW(行数!A139),配列!$C$4,集計記録,5,1))</f>
        <v>#NAME?</v>
      </c>
      <c r="L147" s="104" t="e">
        <f t="shared" ca="1" si="22"/>
        <v>#NAME?</v>
      </c>
      <c r="M147" s="120" t="e">
        <f t="shared" ca="1" si="16"/>
        <v>#NAME?</v>
      </c>
      <c r="N147" s="120" t="e">
        <f ca="1">IF([0]!CSVVLookUP(ROW(行数!A139),配列!$C$4,集計記録,6,1)=0,"",[0]!CSVVLookUP(ROW(行数!A139),配列!$C$4,集計記録,6,1))</f>
        <v>#NAME?</v>
      </c>
      <c r="O147" s="88" t="e">
        <f ca="1">IF(INDIRECT("M"&amp;ROW()-1)&lt;&gt;INDIRECT("M"&amp;ROW()),リスト!$I$5,"")</f>
        <v>#NAME?</v>
      </c>
      <c r="P147" s="88" t="e">
        <f ca="1">IF(INDIRECT("M"&amp;ROW())&lt;&gt;INDIRECT("M"&amp;ROW()+1),リスト!$I$6,"")</f>
        <v>#NAME?</v>
      </c>
    </row>
    <row r="148" spans="1:16" x14ac:dyDescent="0.2">
      <c r="A148" s="169" t="e">
        <f ca="1">IF(C148="","",ROW(行数!A140))</f>
        <v>#NAME?</v>
      </c>
      <c r="B148" s="168" t="e">
        <f t="shared" ca="1" si="17"/>
        <v>#NAME?</v>
      </c>
      <c r="C148" s="90" t="e">
        <f ca="1">[0]!CSVVLookUP(ROW(行数!A140),配列!$C$4,集計記録,3,1)</f>
        <v>#NAME?</v>
      </c>
      <c r="D148" s="90" t="e">
        <f ca="1">[0]!CSVVLookUP(ROW(行数!B140),配列!$C$4,集計記録,4,1)</f>
        <v>#NAME?</v>
      </c>
      <c r="E148" s="118" t="e">
        <f t="shared" ca="1" si="18"/>
        <v>#NAME?</v>
      </c>
      <c r="F148" s="118" t="e">
        <f t="shared" ca="1" si="19"/>
        <v>#NAME?</v>
      </c>
      <c r="G148" s="103" t="e">
        <f t="shared" ca="1" si="20"/>
        <v>#NAME?</v>
      </c>
      <c r="H148" s="104" t="e">
        <f ca="1">IF(C148="","",MROUND([0]!CSVVLookUP(ROW(行数!A140),配列!$C$4,集計記録,8,1),"0:01"))</f>
        <v>#NAME?</v>
      </c>
      <c r="I148" s="104" t="e">
        <f t="shared" ca="1" si="21"/>
        <v>#NAME?</v>
      </c>
      <c r="J148" s="119" t="e">
        <f ca="1">IF(C148="","",MROUND([0]!CSVVLookUP(ROW(行数!A140),配列!$C$4,集計記録,7,1),"0:01"))</f>
        <v>#NAME?</v>
      </c>
      <c r="K148" s="92" t="e">
        <f ca="1">IF(C148="","",[0]!CSVVLookUP(ROW(行数!A140),配列!$C$4,集計記録,5,1))</f>
        <v>#NAME?</v>
      </c>
      <c r="L148" s="104" t="e">
        <f t="shared" ca="1" si="22"/>
        <v>#NAME?</v>
      </c>
      <c r="M148" s="120" t="e">
        <f t="shared" ca="1" si="16"/>
        <v>#NAME?</v>
      </c>
      <c r="N148" s="120" t="e">
        <f ca="1">IF([0]!CSVVLookUP(ROW(行数!A140),配列!$C$4,集計記録,6,1)=0,"",[0]!CSVVLookUP(ROW(行数!A140),配列!$C$4,集計記録,6,1))</f>
        <v>#NAME?</v>
      </c>
      <c r="O148" s="88" t="e">
        <f ca="1">IF(INDIRECT("M"&amp;ROW()-1)&lt;&gt;INDIRECT("M"&amp;ROW()),リスト!$I$5,"")</f>
        <v>#NAME?</v>
      </c>
      <c r="P148" s="88" t="e">
        <f ca="1">IF(INDIRECT("M"&amp;ROW())&lt;&gt;INDIRECT("M"&amp;ROW()+1),リスト!$I$6,"")</f>
        <v>#NAME?</v>
      </c>
    </row>
    <row r="149" spans="1:16" x14ac:dyDescent="0.2">
      <c r="A149" s="169" t="e">
        <f ca="1">IF(C149="","",ROW(行数!A141))</f>
        <v>#NAME?</v>
      </c>
      <c r="B149" s="168" t="e">
        <f t="shared" ca="1" si="17"/>
        <v>#NAME?</v>
      </c>
      <c r="C149" s="90" t="e">
        <f ca="1">[0]!CSVVLookUP(ROW(行数!A141),配列!$C$4,集計記録,3,1)</f>
        <v>#NAME?</v>
      </c>
      <c r="D149" s="90" t="e">
        <f ca="1">[0]!CSVVLookUP(ROW(行数!B141),配列!$C$4,集計記録,4,1)</f>
        <v>#NAME?</v>
      </c>
      <c r="E149" s="118" t="e">
        <f t="shared" ca="1" si="18"/>
        <v>#NAME?</v>
      </c>
      <c r="F149" s="118" t="e">
        <f t="shared" ca="1" si="19"/>
        <v>#NAME?</v>
      </c>
      <c r="G149" s="103" t="e">
        <f t="shared" ca="1" si="20"/>
        <v>#NAME?</v>
      </c>
      <c r="H149" s="104" t="e">
        <f ca="1">IF(C149="","",MROUND([0]!CSVVLookUP(ROW(行数!A141),配列!$C$4,集計記録,8,1),"0:01"))</f>
        <v>#NAME?</v>
      </c>
      <c r="I149" s="104" t="e">
        <f t="shared" ca="1" si="21"/>
        <v>#NAME?</v>
      </c>
      <c r="J149" s="119" t="e">
        <f ca="1">IF(C149="","",MROUND([0]!CSVVLookUP(ROW(行数!A141),配列!$C$4,集計記録,7,1),"0:01"))</f>
        <v>#NAME?</v>
      </c>
      <c r="K149" s="92" t="e">
        <f ca="1">IF(C149="","",[0]!CSVVLookUP(ROW(行数!A141),配列!$C$4,集計記録,5,1))</f>
        <v>#NAME?</v>
      </c>
      <c r="L149" s="104" t="e">
        <f t="shared" ca="1" si="22"/>
        <v>#NAME?</v>
      </c>
      <c r="M149" s="120" t="e">
        <f t="shared" ca="1" si="16"/>
        <v>#NAME?</v>
      </c>
      <c r="N149" s="120" t="e">
        <f ca="1">IF([0]!CSVVLookUP(ROW(行数!A141),配列!$C$4,集計記録,6,1)=0,"",[0]!CSVVLookUP(ROW(行数!A141),配列!$C$4,集計記録,6,1))</f>
        <v>#NAME?</v>
      </c>
      <c r="O149" s="88" t="e">
        <f ca="1">IF(INDIRECT("M"&amp;ROW()-1)&lt;&gt;INDIRECT("M"&amp;ROW()),リスト!$I$5,"")</f>
        <v>#NAME?</v>
      </c>
      <c r="P149" s="88" t="e">
        <f ca="1">IF(INDIRECT("M"&amp;ROW())&lt;&gt;INDIRECT("M"&amp;ROW()+1),リスト!$I$6,"")</f>
        <v>#NAME?</v>
      </c>
    </row>
    <row r="150" spans="1:16" x14ac:dyDescent="0.2">
      <c r="A150" s="169" t="e">
        <f ca="1">IF(C150="","",ROW(行数!A142))</f>
        <v>#NAME?</v>
      </c>
      <c r="B150" s="168" t="e">
        <f t="shared" ca="1" si="17"/>
        <v>#NAME?</v>
      </c>
      <c r="C150" s="90" t="e">
        <f ca="1">[0]!CSVVLookUP(ROW(行数!A142),配列!$C$4,集計記録,3,1)</f>
        <v>#NAME?</v>
      </c>
      <c r="D150" s="90" t="e">
        <f ca="1">[0]!CSVVLookUP(ROW(行数!B142),配列!$C$4,集計記録,4,1)</f>
        <v>#NAME?</v>
      </c>
      <c r="E150" s="118" t="e">
        <f t="shared" ca="1" si="18"/>
        <v>#NAME?</v>
      </c>
      <c r="F150" s="118" t="e">
        <f t="shared" ca="1" si="19"/>
        <v>#NAME?</v>
      </c>
      <c r="G150" s="103" t="e">
        <f t="shared" ca="1" si="20"/>
        <v>#NAME?</v>
      </c>
      <c r="H150" s="104" t="e">
        <f ca="1">IF(C150="","",MROUND([0]!CSVVLookUP(ROW(行数!A142),配列!$C$4,集計記録,8,1),"0:01"))</f>
        <v>#NAME?</v>
      </c>
      <c r="I150" s="104" t="e">
        <f t="shared" ca="1" si="21"/>
        <v>#NAME?</v>
      </c>
      <c r="J150" s="119" t="e">
        <f ca="1">IF(C150="","",MROUND([0]!CSVVLookUP(ROW(行数!A142),配列!$C$4,集計記録,7,1),"0:01"))</f>
        <v>#NAME?</v>
      </c>
      <c r="K150" s="92" t="e">
        <f ca="1">IF(C150="","",[0]!CSVVLookUP(ROW(行数!A142),配列!$C$4,集計記録,5,1))</f>
        <v>#NAME?</v>
      </c>
      <c r="L150" s="104" t="e">
        <f t="shared" ca="1" si="22"/>
        <v>#NAME?</v>
      </c>
      <c r="M150" s="120" t="e">
        <f t="shared" ca="1" si="16"/>
        <v>#NAME?</v>
      </c>
      <c r="N150" s="120" t="e">
        <f ca="1">IF([0]!CSVVLookUP(ROW(行数!A142),配列!$C$4,集計記録,6,1)=0,"",[0]!CSVVLookUP(ROW(行数!A142),配列!$C$4,集計記録,6,1))</f>
        <v>#NAME?</v>
      </c>
      <c r="O150" s="88" t="e">
        <f ca="1">IF(INDIRECT("M"&amp;ROW()-1)&lt;&gt;INDIRECT("M"&amp;ROW()),リスト!$I$5,"")</f>
        <v>#NAME?</v>
      </c>
      <c r="P150" s="88" t="e">
        <f ca="1">IF(INDIRECT("M"&amp;ROW())&lt;&gt;INDIRECT("M"&amp;ROW()+1),リスト!$I$6,"")</f>
        <v>#NAME?</v>
      </c>
    </row>
    <row r="151" spans="1:16" x14ac:dyDescent="0.2">
      <c r="A151" s="169" t="e">
        <f ca="1">IF(C151="","",ROW(行数!A143))</f>
        <v>#NAME?</v>
      </c>
      <c r="B151" s="168" t="e">
        <f t="shared" ca="1" si="17"/>
        <v>#NAME?</v>
      </c>
      <c r="C151" s="90" t="e">
        <f ca="1">[0]!CSVVLookUP(ROW(行数!A143),配列!$C$4,集計記録,3,1)</f>
        <v>#NAME?</v>
      </c>
      <c r="D151" s="90" t="e">
        <f ca="1">[0]!CSVVLookUP(ROW(行数!B143),配列!$C$4,集計記録,4,1)</f>
        <v>#NAME?</v>
      </c>
      <c r="E151" s="118" t="e">
        <f t="shared" ca="1" si="18"/>
        <v>#NAME?</v>
      </c>
      <c r="F151" s="118" t="e">
        <f t="shared" ca="1" si="19"/>
        <v>#NAME?</v>
      </c>
      <c r="G151" s="103" t="e">
        <f t="shared" ca="1" si="20"/>
        <v>#NAME?</v>
      </c>
      <c r="H151" s="104" t="e">
        <f ca="1">IF(C151="","",MROUND([0]!CSVVLookUP(ROW(行数!A143),配列!$C$4,集計記録,8,1),"0:01"))</f>
        <v>#NAME?</v>
      </c>
      <c r="I151" s="104" t="e">
        <f t="shared" ca="1" si="21"/>
        <v>#NAME?</v>
      </c>
      <c r="J151" s="119" t="e">
        <f ca="1">IF(C151="","",MROUND([0]!CSVVLookUP(ROW(行数!A143),配列!$C$4,集計記録,7,1),"0:01"))</f>
        <v>#NAME?</v>
      </c>
      <c r="K151" s="92" t="e">
        <f ca="1">IF(C151="","",[0]!CSVVLookUP(ROW(行数!A143),配列!$C$4,集計記録,5,1))</f>
        <v>#NAME?</v>
      </c>
      <c r="L151" s="104" t="e">
        <f t="shared" ca="1" si="22"/>
        <v>#NAME?</v>
      </c>
      <c r="M151" s="120" t="e">
        <f t="shared" ca="1" si="16"/>
        <v>#NAME?</v>
      </c>
      <c r="N151" s="120" t="e">
        <f ca="1">IF([0]!CSVVLookUP(ROW(行数!A143),配列!$C$4,集計記録,6,1)=0,"",[0]!CSVVLookUP(ROW(行数!A143),配列!$C$4,集計記録,6,1))</f>
        <v>#NAME?</v>
      </c>
      <c r="O151" s="88" t="e">
        <f ca="1">IF(INDIRECT("M"&amp;ROW()-1)&lt;&gt;INDIRECT("M"&amp;ROW()),リスト!$I$5,"")</f>
        <v>#NAME?</v>
      </c>
      <c r="P151" s="88" t="e">
        <f ca="1">IF(INDIRECT("M"&amp;ROW())&lt;&gt;INDIRECT("M"&amp;ROW()+1),リスト!$I$6,"")</f>
        <v>#NAME?</v>
      </c>
    </row>
    <row r="152" spans="1:16" x14ac:dyDescent="0.2">
      <c r="A152" s="169" t="e">
        <f ca="1">IF(C152="","",ROW(行数!A144))</f>
        <v>#NAME?</v>
      </c>
      <c r="B152" s="168" t="e">
        <f t="shared" ca="1" si="17"/>
        <v>#NAME?</v>
      </c>
      <c r="C152" s="90" t="e">
        <f ca="1">[0]!CSVVLookUP(ROW(行数!A144),配列!$C$4,集計記録,3,1)</f>
        <v>#NAME?</v>
      </c>
      <c r="D152" s="90" t="e">
        <f ca="1">[0]!CSVVLookUP(ROW(行数!B144),配列!$C$4,集計記録,4,1)</f>
        <v>#NAME?</v>
      </c>
      <c r="E152" s="118" t="e">
        <f t="shared" ca="1" si="18"/>
        <v>#NAME?</v>
      </c>
      <c r="F152" s="118" t="e">
        <f t="shared" ca="1" si="19"/>
        <v>#NAME?</v>
      </c>
      <c r="G152" s="103" t="e">
        <f t="shared" ca="1" si="20"/>
        <v>#NAME?</v>
      </c>
      <c r="H152" s="104" t="e">
        <f ca="1">IF(C152="","",MROUND([0]!CSVVLookUP(ROW(行数!A144),配列!$C$4,集計記録,8,1),"0:01"))</f>
        <v>#NAME?</v>
      </c>
      <c r="I152" s="104" t="e">
        <f t="shared" ca="1" si="21"/>
        <v>#NAME?</v>
      </c>
      <c r="J152" s="119" t="e">
        <f ca="1">IF(C152="","",MROUND([0]!CSVVLookUP(ROW(行数!A144),配列!$C$4,集計記録,7,1),"0:01"))</f>
        <v>#NAME?</v>
      </c>
      <c r="K152" s="92" t="e">
        <f ca="1">IF(C152="","",[0]!CSVVLookUP(ROW(行数!A144),配列!$C$4,集計記録,5,1))</f>
        <v>#NAME?</v>
      </c>
      <c r="L152" s="104" t="e">
        <f t="shared" ca="1" si="22"/>
        <v>#NAME?</v>
      </c>
      <c r="M152" s="120" t="e">
        <f t="shared" ca="1" si="16"/>
        <v>#NAME?</v>
      </c>
      <c r="N152" s="120" t="e">
        <f ca="1">IF([0]!CSVVLookUP(ROW(行数!A144),配列!$C$4,集計記録,6,1)=0,"",[0]!CSVVLookUP(ROW(行数!A144),配列!$C$4,集計記録,6,1))</f>
        <v>#NAME?</v>
      </c>
      <c r="O152" s="88" t="e">
        <f ca="1">IF(INDIRECT("M"&amp;ROW()-1)&lt;&gt;INDIRECT("M"&amp;ROW()),リスト!$I$5,"")</f>
        <v>#NAME?</v>
      </c>
      <c r="P152" s="88" t="e">
        <f ca="1">IF(INDIRECT("M"&amp;ROW())&lt;&gt;INDIRECT("M"&amp;ROW()+1),リスト!$I$6,"")</f>
        <v>#NAME?</v>
      </c>
    </row>
    <row r="153" spans="1:16" x14ac:dyDescent="0.2">
      <c r="A153" s="169" t="e">
        <f ca="1">IF(C153="","",ROW(行数!A145))</f>
        <v>#NAME?</v>
      </c>
      <c r="B153" s="168" t="e">
        <f t="shared" ca="1" si="17"/>
        <v>#NAME?</v>
      </c>
      <c r="C153" s="90" t="e">
        <f ca="1">[0]!CSVVLookUP(ROW(行数!A145),配列!$C$4,集計記録,3,1)</f>
        <v>#NAME?</v>
      </c>
      <c r="D153" s="90" t="e">
        <f ca="1">[0]!CSVVLookUP(ROW(行数!B145),配列!$C$4,集計記録,4,1)</f>
        <v>#NAME?</v>
      </c>
      <c r="E153" s="118" t="e">
        <f t="shared" ca="1" si="18"/>
        <v>#NAME?</v>
      </c>
      <c r="F153" s="118" t="e">
        <f t="shared" ca="1" si="19"/>
        <v>#NAME?</v>
      </c>
      <c r="G153" s="103" t="e">
        <f t="shared" ca="1" si="20"/>
        <v>#NAME?</v>
      </c>
      <c r="H153" s="104" t="e">
        <f ca="1">IF(C153="","",MROUND([0]!CSVVLookUP(ROW(行数!A145),配列!$C$4,集計記録,8,1),"0:01"))</f>
        <v>#NAME?</v>
      </c>
      <c r="I153" s="104" t="e">
        <f t="shared" ca="1" si="21"/>
        <v>#NAME?</v>
      </c>
      <c r="J153" s="119" t="e">
        <f ca="1">IF(C153="","",MROUND([0]!CSVVLookUP(ROW(行数!A145),配列!$C$4,集計記録,7,1),"0:01"))</f>
        <v>#NAME?</v>
      </c>
      <c r="K153" s="92" t="e">
        <f ca="1">IF(C153="","",[0]!CSVVLookUP(ROW(行数!A145),配列!$C$4,集計記録,5,1))</f>
        <v>#NAME?</v>
      </c>
      <c r="L153" s="104" t="e">
        <f t="shared" ca="1" si="22"/>
        <v>#NAME?</v>
      </c>
      <c r="M153" s="120" t="e">
        <f t="shared" ca="1" si="16"/>
        <v>#NAME?</v>
      </c>
      <c r="N153" s="120" t="e">
        <f ca="1">IF([0]!CSVVLookUP(ROW(行数!A145),配列!$C$4,集計記録,6,1)=0,"",[0]!CSVVLookUP(ROW(行数!A145),配列!$C$4,集計記録,6,1))</f>
        <v>#NAME?</v>
      </c>
      <c r="O153" s="88" t="e">
        <f ca="1">IF(INDIRECT("M"&amp;ROW()-1)&lt;&gt;INDIRECT("M"&amp;ROW()),リスト!$I$5,"")</f>
        <v>#NAME?</v>
      </c>
      <c r="P153" s="88" t="e">
        <f ca="1">IF(INDIRECT("M"&amp;ROW())&lt;&gt;INDIRECT("M"&amp;ROW()+1),リスト!$I$6,"")</f>
        <v>#NAME?</v>
      </c>
    </row>
    <row r="154" spans="1:16" x14ac:dyDescent="0.2">
      <c r="A154" s="169" t="e">
        <f ca="1">IF(C154="","",ROW(行数!A146))</f>
        <v>#NAME?</v>
      </c>
      <c r="B154" s="168" t="e">
        <f t="shared" ca="1" si="17"/>
        <v>#NAME?</v>
      </c>
      <c r="C154" s="90" t="e">
        <f ca="1">[0]!CSVVLookUP(ROW(行数!A146),配列!$C$4,集計記録,3,1)</f>
        <v>#NAME?</v>
      </c>
      <c r="D154" s="90" t="e">
        <f ca="1">[0]!CSVVLookUP(ROW(行数!B146),配列!$C$4,集計記録,4,1)</f>
        <v>#NAME?</v>
      </c>
      <c r="E154" s="118" t="e">
        <f t="shared" ca="1" si="18"/>
        <v>#NAME?</v>
      </c>
      <c r="F154" s="118" t="e">
        <f t="shared" ca="1" si="19"/>
        <v>#NAME?</v>
      </c>
      <c r="G154" s="103" t="e">
        <f t="shared" ca="1" si="20"/>
        <v>#NAME?</v>
      </c>
      <c r="H154" s="104" t="e">
        <f ca="1">IF(C154="","",MROUND([0]!CSVVLookUP(ROW(行数!A146),配列!$C$4,集計記録,8,1),"0:01"))</f>
        <v>#NAME?</v>
      </c>
      <c r="I154" s="104" t="e">
        <f t="shared" ca="1" si="21"/>
        <v>#NAME?</v>
      </c>
      <c r="J154" s="119">
        <v>0</v>
      </c>
      <c r="K154" s="92" t="e">
        <f ca="1">IF(C154="","",[0]!CSVVLookUP(ROW(行数!A146),配列!$C$4,集計記録,5,1))</f>
        <v>#NAME?</v>
      </c>
      <c r="L154" s="104" t="e">
        <f t="shared" ca="1" si="22"/>
        <v>#NAME?</v>
      </c>
      <c r="M154" s="120" t="e">
        <f t="shared" ca="1" si="16"/>
        <v>#NAME?</v>
      </c>
      <c r="N154" s="120" t="e">
        <f ca="1">IF([0]!CSVVLookUP(ROW(行数!A146),配列!$C$4,集計記録,6,1)=0,"",[0]!CSVVLookUP(ROW(行数!A146),配列!$C$4,集計記録,6,1))</f>
        <v>#NAME?</v>
      </c>
      <c r="O154" s="88" t="e">
        <f ca="1">IF(INDIRECT("M"&amp;ROW()-1)&lt;&gt;INDIRECT("M"&amp;ROW()),リスト!$I$5,"")</f>
        <v>#NAME?</v>
      </c>
      <c r="P154" s="88" t="e">
        <f ca="1">IF(INDIRECT("M"&amp;ROW())&lt;&gt;INDIRECT("M"&amp;ROW()+1),リスト!$I$6,"")</f>
        <v>#NAME?</v>
      </c>
    </row>
    <row r="155" spans="1:16" x14ac:dyDescent="0.2">
      <c r="A155" s="169" t="e">
        <f ca="1">IF(C155="","",ROW(行数!A147))</f>
        <v>#NAME?</v>
      </c>
      <c r="B155" s="168" t="e">
        <f t="shared" ca="1" si="17"/>
        <v>#NAME?</v>
      </c>
      <c r="C155" s="90" t="e">
        <f ca="1">[0]!CSVVLookUP(ROW(行数!A147),配列!$C$4,集計記録,3,1)</f>
        <v>#NAME?</v>
      </c>
      <c r="D155" s="90" t="e">
        <f ca="1">[0]!CSVVLookUP(ROW(行数!B147),配列!$C$4,集計記録,4,1)</f>
        <v>#NAME?</v>
      </c>
      <c r="E155" s="118" t="e">
        <f t="shared" ca="1" si="18"/>
        <v>#NAME?</v>
      </c>
      <c r="F155" s="118" t="e">
        <f t="shared" ca="1" si="19"/>
        <v>#NAME?</v>
      </c>
      <c r="G155" s="103" t="e">
        <f t="shared" ca="1" si="20"/>
        <v>#NAME?</v>
      </c>
      <c r="H155" s="104" t="e">
        <f ca="1">IF(C155="","",MROUND([0]!CSVVLookUP(ROW(行数!A147),配列!$C$4,集計記録,8,1),"0:01"))</f>
        <v>#NAME?</v>
      </c>
      <c r="I155" s="104" t="e">
        <f t="shared" ca="1" si="21"/>
        <v>#NAME?</v>
      </c>
      <c r="J155" s="119" t="e">
        <f ca="1">IF(C155="","",MROUND([0]!CSVVLookUP(ROW(行数!A147),配列!$C$4,集計記録,7,1),"0:01"))</f>
        <v>#NAME?</v>
      </c>
      <c r="K155" s="92" t="e">
        <f ca="1">IF(C155="","",[0]!CSVVLookUP(ROW(行数!A147),配列!$C$4,集計記録,5,1))</f>
        <v>#NAME?</v>
      </c>
      <c r="L155" s="104" t="e">
        <f t="shared" ca="1" si="22"/>
        <v>#NAME?</v>
      </c>
      <c r="M155" s="120" t="e">
        <f t="shared" ca="1" si="16"/>
        <v>#NAME?</v>
      </c>
      <c r="N155" s="120" t="e">
        <f ca="1">IF([0]!CSVVLookUP(ROW(行数!A147),配列!$C$4,集計記録,6,1)=0,"",[0]!CSVVLookUP(ROW(行数!A147),配列!$C$4,集計記録,6,1))</f>
        <v>#NAME?</v>
      </c>
      <c r="O155" s="88" t="e">
        <f ca="1">IF(INDIRECT("M"&amp;ROW()-1)&lt;&gt;INDIRECT("M"&amp;ROW()),リスト!$I$5,"")</f>
        <v>#NAME?</v>
      </c>
      <c r="P155" s="88" t="e">
        <f ca="1">IF(INDIRECT("M"&amp;ROW())&lt;&gt;INDIRECT("M"&amp;ROW()+1),リスト!$I$6,"")</f>
        <v>#NAME?</v>
      </c>
    </row>
    <row r="156" spans="1:16" x14ac:dyDescent="0.2">
      <c r="A156" s="169" t="e">
        <f ca="1">IF(C156="","",ROW(行数!A148))</f>
        <v>#NAME?</v>
      </c>
      <c r="B156" s="168" t="e">
        <f t="shared" ca="1" si="17"/>
        <v>#NAME?</v>
      </c>
      <c r="C156" s="90" t="e">
        <f ca="1">[0]!CSVVLookUP(ROW(行数!A148),配列!$C$4,集計記録,3,1)</f>
        <v>#NAME?</v>
      </c>
      <c r="D156" s="90" t="e">
        <f ca="1">[0]!CSVVLookUP(ROW(行数!B148),配列!$C$4,集計記録,4,1)</f>
        <v>#NAME?</v>
      </c>
      <c r="E156" s="118" t="e">
        <f t="shared" ca="1" si="18"/>
        <v>#NAME?</v>
      </c>
      <c r="F156" s="118" t="e">
        <f t="shared" ca="1" si="19"/>
        <v>#NAME?</v>
      </c>
      <c r="G156" s="103" t="e">
        <f t="shared" ca="1" si="20"/>
        <v>#NAME?</v>
      </c>
      <c r="H156" s="104" t="e">
        <f ca="1">IF(C156="","",MROUND([0]!CSVVLookUP(ROW(行数!A148),配列!$C$4,集計記録,8,1),"0:01"))</f>
        <v>#NAME?</v>
      </c>
      <c r="I156" s="104" t="e">
        <f t="shared" ca="1" si="21"/>
        <v>#NAME?</v>
      </c>
      <c r="J156" s="119" t="e">
        <f ca="1">IF(C156="","",MROUND([0]!CSVVLookUP(ROW(行数!A148),配列!$C$4,集計記録,7,1),"0:01"))</f>
        <v>#NAME?</v>
      </c>
      <c r="K156" s="92" t="e">
        <f ca="1">IF(C156="","",[0]!CSVVLookUP(ROW(行数!A148),配列!$C$4,集計記録,5,1))</f>
        <v>#NAME?</v>
      </c>
      <c r="L156" s="104" t="e">
        <f t="shared" ca="1" si="22"/>
        <v>#NAME?</v>
      </c>
      <c r="M156" s="120" t="e">
        <f t="shared" ca="1" si="16"/>
        <v>#NAME?</v>
      </c>
      <c r="N156" s="120" t="e">
        <f ca="1">IF([0]!CSVVLookUP(ROW(行数!A148),配列!$C$4,集計記録,6,1)=0,"",[0]!CSVVLookUP(ROW(行数!A148),配列!$C$4,集計記録,6,1))</f>
        <v>#NAME?</v>
      </c>
      <c r="O156" s="88" t="e">
        <f ca="1">IF(INDIRECT("M"&amp;ROW()-1)&lt;&gt;INDIRECT("M"&amp;ROW()),リスト!$I$5,"")</f>
        <v>#NAME?</v>
      </c>
      <c r="P156" s="88" t="e">
        <f ca="1">IF(INDIRECT("M"&amp;ROW())&lt;&gt;INDIRECT("M"&amp;ROW()+1),リスト!$I$6,"")</f>
        <v>#NAME?</v>
      </c>
    </row>
    <row r="157" spans="1:16" x14ac:dyDescent="0.2">
      <c r="A157" s="169" t="e">
        <f ca="1">IF(C157="","",ROW(行数!A149))</f>
        <v>#NAME?</v>
      </c>
      <c r="B157" s="168" t="e">
        <f t="shared" ca="1" si="17"/>
        <v>#NAME?</v>
      </c>
      <c r="C157" s="90" t="e">
        <f ca="1">[0]!CSVVLookUP(ROW(行数!A149),配列!$C$4,集計記録,3,1)</f>
        <v>#NAME?</v>
      </c>
      <c r="D157" s="90" t="e">
        <f ca="1">[0]!CSVVLookUP(ROW(行数!B149),配列!$C$4,集計記録,4,1)</f>
        <v>#NAME?</v>
      </c>
      <c r="E157" s="118" t="e">
        <f t="shared" ca="1" si="18"/>
        <v>#NAME?</v>
      </c>
      <c r="F157" s="118" t="e">
        <f t="shared" ca="1" si="19"/>
        <v>#NAME?</v>
      </c>
      <c r="G157" s="103" t="e">
        <f t="shared" ca="1" si="20"/>
        <v>#NAME?</v>
      </c>
      <c r="H157" s="104" t="e">
        <f ca="1">IF(C157="","",MROUND([0]!CSVVLookUP(ROW(行数!A149),配列!$C$4,集計記録,8,1),"0:01"))</f>
        <v>#NAME?</v>
      </c>
      <c r="I157" s="104" t="e">
        <f t="shared" ca="1" si="21"/>
        <v>#NAME?</v>
      </c>
      <c r="J157" s="119" t="e">
        <f ca="1">IF(C157="","",MROUND([0]!CSVVLookUP(ROW(行数!A149),配列!$C$4,集計記録,7,1),"0:01"))</f>
        <v>#NAME?</v>
      </c>
      <c r="K157" s="92" t="e">
        <f ca="1">IF(C157="","",[0]!CSVVLookUP(ROW(行数!A149),配列!$C$4,集計記録,5,1))</f>
        <v>#NAME?</v>
      </c>
      <c r="L157" s="104" t="e">
        <f t="shared" ca="1" si="22"/>
        <v>#NAME?</v>
      </c>
      <c r="M157" s="120" t="e">
        <f t="shared" ca="1" si="16"/>
        <v>#NAME?</v>
      </c>
      <c r="N157" s="120" t="e">
        <f ca="1">IF([0]!CSVVLookUP(ROW(行数!A149),配列!$C$4,集計記録,6,1)=0,"",[0]!CSVVLookUP(ROW(行数!A149),配列!$C$4,集計記録,6,1))</f>
        <v>#NAME?</v>
      </c>
      <c r="O157" s="88" t="e">
        <f ca="1">IF(INDIRECT("M"&amp;ROW()-1)&lt;&gt;INDIRECT("M"&amp;ROW()),リスト!$I$5,"")</f>
        <v>#NAME?</v>
      </c>
      <c r="P157" s="88" t="e">
        <f ca="1">IF(INDIRECT("M"&amp;ROW())&lt;&gt;INDIRECT("M"&amp;ROW()+1),リスト!$I$6,"")</f>
        <v>#NAME?</v>
      </c>
    </row>
    <row r="158" spans="1:16" x14ac:dyDescent="0.2">
      <c r="A158" s="169" t="e">
        <f ca="1">IF(C158="","",ROW(行数!A150))</f>
        <v>#NAME?</v>
      </c>
      <c r="B158" s="168" t="e">
        <f t="shared" ca="1" si="17"/>
        <v>#NAME?</v>
      </c>
      <c r="C158" s="90" t="e">
        <f ca="1">[0]!CSVVLookUP(ROW(行数!A150),配列!$C$4,集計記録,3,1)</f>
        <v>#NAME?</v>
      </c>
      <c r="D158" s="90" t="e">
        <f ca="1">[0]!CSVVLookUP(ROW(行数!B150),配列!$C$4,集計記録,4,1)</f>
        <v>#NAME?</v>
      </c>
      <c r="E158" s="118" t="e">
        <f t="shared" ca="1" si="18"/>
        <v>#NAME?</v>
      </c>
      <c r="F158" s="118" t="e">
        <f t="shared" ca="1" si="19"/>
        <v>#NAME?</v>
      </c>
      <c r="G158" s="103" t="e">
        <f t="shared" ca="1" si="20"/>
        <v>#NAME?</v>
      </c>
      <c r="H158" s="104" t="e">
        <f ca="1">IF(C158="","",MROUND([0]!CSVVLookUP(ROW(行数!A150),配列!$C$4,集計記録,8,1),"0:01"))</f>
        <v>#NAME?</v>
      </c>
      <c r="I158" s="104" t="e">
        <f t="shared" ca="1" si="21"/>
        <v>#NAME?</v>
      </c>
      <c r="J158" s="119" t="e">
        <f ca="1">IF(C158="","",MROUND([0]!CSVVLookUP(ROW(行数!A150),配列!$C$4,集計記録,7,1),"0:01"))</f>
        <v>#NAME?</v>
      </c>
      <c r="K158" s="92" t="e">
        <f ca="1">IF(C158="","",[0]!CSVVLookUP(ROW(行数!A150),配列!$C$4,集計記録,5,1))</f>
        <v>#NAME?</v>
      </c>
      <c r="L158" s="104" t="e">
        <f t="shared" ca="1" si="22"/>
        <v>#NAME?</v>
      </c>
      <c r="M158" s="120" t="e">
        <f t="shared" ca="1" si="16"/>
        <v>#NAME?</v>
      </c>
      <c r="N158" s="120" t="e">
        <f ca="1">IF([0]!CSVVLookUP(ROW(行数!A150),配列!$C$4,集計記録,6,1)=0,"",[0]!CSVVLookUP(ROW(行数!A150),配列!$C$4,集計記録,6,1))</f>
        <v>#NAME?</v>
      </c>
      <c r="O158" s="88" t="e">
        <f ca="1">IF(INDIRECT("M"&amp;ROW()-1)&lt;&gt;INDIRECT("M"&amp;ROW()),リスト!$I$5,"")</f>
        <v>#NAME?</v>
      </c>
      <c r="P158" s="88" t="e">
        <f ca="1">IF(INDIRECT("M"&amp;ROW())&lt;&gt;INDIRECT("M"&amp;ROW()+1),リスト!$I$6,"")</f>
        <v>#NAME?</v>
      </c>
    </row>
    <row r="159" spans="1:16" x14ac:dyDescent="0.2">
      <c r="A159" s="169" t="e">
        <f ca="1">IF(C159="","",ROW(行数!A151))</f>
        <v>#NAME?</v>
      </c>
      <c r="B159" s="168" t="e">
        <f t="shared" ca="1" si="17"/>
        <v>#NAME?</v>
      </c>
      <c r="C159" s="90" t="e">
        <f ca="1">[0]!CSVVLookUP(ROW(行数!A151),配列!$C$4,集計記録,3,1)</f>
        <v>#NAME?</v>
      </c>
      <c r="D159" s="90" t="e">
        <f ca="1">[0]!CSVVLookUP(ROW(行数!B151),配列!$C$4,集計記録,4,1)</f>
        <v>#NAME?</v>
      </c>
      <c r="E159" s="118" t="e">
        <f t="shared" ca="1" si="18"/>
        <v>#NAME?</v>
      </c>
      <c r="F159" s="118" t="e">
        <f t="shared" ca="1" si="19"/>
        <v>#NAME?</v>
      </c>
      <c r="G159" s="103" t="e">
        <f t="shared" ca="1" si="20"/>
        <v>#NAME?</v>
      </c>
      <c r="H159" s="104" t="e">
        <f ca="1">IF(C159="","",MROUND([0]!CSVVLookUP(ROW(行数!A151),配列!$C$4,集計記録,8,1),"0:01"))</f>
        <v>#NAME?</v>
      </c>
      <c r="I159" s="104" t="e">
        <f t="shared" ca="1" si="21"/>
        <v>#NAME?</v>
      </c>
      <c r="J159" s="119" t="e">
        <f ca="1">IF(C159="","",MROUND([0]!CSVVLookUP(ROW(行数!A151),配列!$C$4,集計記録,7,1),"0:01"))</f>
        <v>#NAME?</v>
      </c>
      <c r="K159" s="92" t="e">
        <f ca="1">IF(C159="","",[0]!CSVVLookUP(ROW(行数!A151),配列!$C$4,集計記録,5,1))</f>
        <v>#NAME?</v>
      </c>
      <c r="L159" s="104" t="e">
        <f t="shared" ca="1" si="22"/>
        <v>#NAME?</v>
      </c>
      <c r="M159" s="120" t="e">
        <f t="shared" ca="1" si="16"/>
        <v>#NAME?</v>
      </c>
      <c r="N159" s="120" t="e">
        <f ca="1">IF([0]!CSVVLookUP(ROW(行数!A151),配列!$C$4,集計記録,6,1)=0,"",[0]!CSVVLookUP(ROW(行数!A151),配列!$C$4,集計記録,6,1))</f>
        <v>#NAME?</v>
      </c>
      <c r="O159" s="88" t="e">
        <f ca="1">IF(INDIRECT("M"&amp;ROW()-1)&lt;&gt;INDIRECT("M"&amp;ROW()),リスト!$I$5,"")</f>
        <v>#NAME?</v>
      </c>
      <c r="P159" s="88" t="e">
        <f ca="1">IF(INDIRECT("M"&amp;ROW())&lt;&gt;INDIRECT("M"&amp;ROW()+1),リスト!$I$6,"")</f>
        <v>#NAME?</v>
      </c>
    </row>
    <row r="160" spans="1:16" x14ac:dyDescent="0.2">
      <c r="A160" s="169" t="e">
        <f ca="1">IF(C160="","",ROW(行数!A152))</f>
        <v>#NAME?</v>
      </c>
      <c r="B160" s="168" t="e">
        <f t="shared" ca="1" si="17"/>
        <v>#NAME?</v>
      </c>
      <c r="C160" s="90" t="e">
        <f ca="1">[0]!CSVVLookUP(ROW(行数!A152),配列!$C$4,集計記録,3,1)</f>
        <v>#NAME?</v>
      </c>
      <c r="D160" s="90" t="e">
        <f ca="1">[0]!CSVVLookUP(ROW(行数!B152),配列!$C$4,集計記録,4,1)</f>
        <v>#NAME?</v>
      </c>
      <c r="E160" s="118" t="e">
        <f t="shared" ca="1" si="18"/>
        <v>#NAME?</v>
      </c>
      <c r="F160" s="118" t="e">
        <f t="shared" ca="1" si="19"/>
        <v>#NAME?</v>
      </c>
      <c r="G160" s="103" t="e">
        <f t="shared" ca="1" si="20"/>
        <v>#NAME?</v>
      </c>
      <c r="H160" s="104" t="e">
        <f ca="1">IF(C160="","",MROUND([0]!CSVVLookUP(ROW(行数!A152),配列!$C$4,集計記録,8,1),"0:01"))</f>
        <v>#NAME?</v>
      </c>
      <c r="I160" s="104" t="e">
        <f t="shared" ca="1" si="21"/>
        <v>#NAME?</v>
      </c>
      <c r="J160" s="119" t="e">
        <f ca="1">IF(C160="","",MROUND([0]!CSVVLookUP(ROW(行数!A152),配列!$C$4,集計記録,7,1),"0:01"))</f>
        <v>#NAME?</v>
      </c>
      <c r="K160" s="92" t="e">
        <f ca="1">IF(C160="","",[0]!CSVVLookUP(ROW(行数!A152),配列!$C$4,集計記録,5,1))</f>
        <v>#NAME?</v>
      </c>
      <c r="L160" s="104" t="e">
        <f t="shared" ca="1" si="22"/>
        <v>#NAME?</v>
      </c>
      <c r="M160" s="120" t="e">
        <f t="shared" ca="1" si="16"/>
        <v>#NAME?</v>
      </c>
      <c r="N160" s="120" t="e">
        <f ca="1">IF([0]!CSVVLookUP(ROW(行数!A152),配列!$C$4,集計記録,6,1)=0,"",[0]!CSVVLookUP(ROW(行数!A152),配列!$C$4,集計記録,6,1))</f>
        <v>#NAME?</v>
      </c>
      <c r="O160" s="88" t="e">
        <f ca="1">IF(INDIRECT("M"&amp;ROW()-1)&lt;&gt;INDIRECT("M"&amp;ROW()),リスト!$I$5,"")</f>
        <v>#NAME?</v>
      </c>
      <c r="P160" s="88" t="e">
        <f ca="1">IF(INDIRECT("M"&amp;ROW())&lt;&gt;INDIRECT("M"&amp;ROW()+1),リスト!$I$6,"")</f>
        <v>#NAME?</v>
      </c>
    </row>
    <row r="161" spans="1:16" x14ac:dyDescent="0.2">
      <c r="A161" s="169" t="e">
        <f ca="1">IF(C161="","",ROW(行数!A153))</f>
        <v>#NAME?</v>
      </c>
      <c r="B161" s="168" t="e">
        <f t="shared" ca="1" si="17"/>
        <v>#NAME?</v>
      </c>
      <c r="C161" s="90" t="e">
        <f ca="1">[0]!CSVVLookUP(ROW(行数!A153),配列!$C$4,集計記録,3,1)</f>
        <v>#NAME?</v>
      </c>
      <c r="D161" s="90" t="e">
        <f ca="1">[0]!CSVVLookUP(ROW(行数!B153),配列!$C$4,集計記録,4,1)</f>
        <v>#NAME?</v>
      </c>
      <c r="E161" s="118" t="e">
        <f t="shared" ca="1" si="18"/>
        <v>#NAME?</v>
      </c>
      <c r="F161" s="118" t="e">
        <f t="shared" ca="1" si="19"/>
        <v>#NAME?</v>
      </c>
      <c r="G161" s="103" t="e">
        <f t="shared" ca="1" si="20"/>
        <v>#NAME?</v>
      </c>
      <c r="H161" s="104" t="e">
        <f ca="1">IF(C161="","",MROUND([0]!CSVVLookUP(ROW(行数!A153),配列!$C$4,集計記録,8,1),"0:01"))</f>
        <v>#NAME?</v>
      </c>
      <c r="I161" s="104" t="e">
        <f t="shared" ca="1" si="21"/>
        <v>#NAME?</v>
      </c>
      <c r="J161" s="119" t="e">
        <f ca="1">IF(C161="","",MROUND([0]!CSVVLookUP(ROW(行数!A153),配列!$C$4,集計記録,7,1),"0:01"))</f>
        <v>#NAME?</v>
      </c>
      <c r="K161" s="92" t="e">
        <f ca="1">IF(C161="","",[0]!CSVVLookUP(ROW(行数!A153),配列!$C$4,集計記録,5,1))</f>
        <v>#NAME?</v>
      </c>
      <c r="L161" s="104" t="e">
        <f t="shared" ca="1" si="22"/>
        <v>#NAME?</v>
      </c>
      <c r="M161" s="120" t="e">
        <f t="shared" ca="1" si="16"/>
        <v>#NAME?</v>
      </c>
      <c r="N161" s="120" t="e">
        <f ca="1">IF([0]!CSVVLookUP(ROW(行数!A153),配列!$C$4,集計記録,6,1)=0,"",[0]!CSVVLookUP(ROW(行数!A153),配列!$C$4,集計記録,6,1))</f>
        <v>#NAME?</v>
      </c>
      <c r="O161" s="88" t="e">
        <f ca="1">IF(INDIRECT("M"&amp;ROW()-1)&lt;&gt;INDIRECT("M"&amp;ROW()),リスト!$I$5,"")</f>
        <v>#NAME?</v>
      </c>
      <c r="P161" s="88" t="e">
        <f ca="1">IF(INDIRECT("M"&amp;ROW())&lt;&gt;INDIRECT("M"&amp;ROW()+1),リスト!$I$6,"")</f>
        <v>#NAME?</v>
      </c>
    </row>
    <row r="162" spans="1:16" x14ac:dyDescent="0.2">
      <c r="A162" s="169" t="e">
        <f ca="1">IF(C162="","",ROW(行数!A154))</f>
        <v>#NAME?</v>
      </c>
      <c r="B162" s="168" t="e">
        <f t="shared" ca="1" si="17"/>
        <v>#NAME?</v>
      </c>
      <c r="C162" s="90" t="e">
        <f ca="1">[0]!CSVVLookUP(ROW(行数!A154),配列!$C$4,集計記録,3,1)</f>
        <v>#NAME?</v>
      </c>
      <c r="D162" s="90" t="e">
        <f ca="1">[0]!CSVVLookUP(ROW(行数!B154),配列!$C$4,集計記録,4,1)</f>
        <v>#NAME?</v>
      </c>
      <c r="E162" s="118" t="e">
        <f t="shared" ca="1" si="18"/>
        <v>#NAME?</v>
      </c>
      <c r="F162" s="118" t="e">
        <f t="shared" ca="1" si="19"/>
        <v>#NAME?</v>
      </c>
      <c r="G162" s="103" t="e">
        <f t="shared" ca="1" si="20"/>
        <v>#NAME?</v>
      </c>
      <c r="H162" s="104" t="e">
        <f ca="1">IF(C162="","",MROUND([0]!CSVVLookUP(ROW(行数!A154),配列!$C$4,集計記録,8,1),"0:01"))</f>
        <v>#NAME?</v>
      </c>
      <c r="I162" s="104" t="e">
        <f t="shared" ca="1" si="21"/>
        <v>#NAME?</v>
      </c>
      <c r="J162" s="119" t="e">
        <f ca="1">IF(C162="","",MROUND([0]!CSVVLookUP(ROW(行数!A154),配列!$C$4,集計記録,7,1),"0:01"))</f>
        <v>#NAME?</v>
      </c>
      <c r="K162" s="92" t="e">
        <f ca="1">IF(C162="","",[0]!CSVVLookUP(ROW(行数!A154),配列!$C$4,集計記録,5,1))</f>
        <v>#NAME?</v>
      </c>
      <c r="L162" s="104" t="e">
        <f t="shared" ca="1" si="22"/>
        <v>#NAME?</v>
      </c>
      <c r="M162" s="120" t="e">
        <f t="shared" ca="1" si="16"/>
        <v>#NAME?</v>
      </c>
      <c r="N162" s="120" t="e">
        <f ca="1">IF([0]!CSVVLookUP(ROW(行数!A154),配列!$C$4,集計記録,6,1)=0,"",[0]!CSVVLookUP(ROW(行数!A154),配列!$C$4,集計記録,6,1))</f>
        <v>#NAME?</v>
      </c>
      <c r="O162" s="88" t="e">
        <f ca="1">IF(INDIRECT("M"&amp;ROW()-1)&lt;&gt;INDIRECT("M"&amp;ROW()),リスト!$I$5,"")</f>
        <v>#NAME?</v>
      </c>
      <c r="P162" s="88" t="e">
        <f ca="1">IF(INDIRECT("M"&amp;ROW())&lt;&gt;INDIRECT("M"&amp;ROW()+1),リスト!$I$6,"")</f>
        <v>#NAME?</v>
      </c>
    </row>
    <row r="163" spans="1:16" x14ac:dyDescent="0.2">
      <c r="A163" s="169" t="e">
        <f ca="1">IF(C163="","",ROW(行数!A155))</f>
        <v>#NAME?</v>
      </c>
      <c r="B163" s="168" t="e">
        <f t="shared" ca="1" si="17"/>
        <v>#NAME?</v>
      </c>
      <c r="C163" s="90" t="e">
        <f ca="1">[0]!CSVVLookUP(ROW(行数!A155),配列!$C$4,集計記録,3,1)</f>
        <v>#NAME?</v>
      </c>
      <c r="D163" s="90" t="e">
        <f ca="1">[0]!CSVVLookUP(ROW(行数!B155),配列!$C$4,集計記録,4,1)</f>
        <v>#NAME?</v>
      </c>
      <c r="E163" s="118" t="e">
        <f t="shared" ca="1" si="18"/>
        <v>#NAME?</v>
      </c>
      <c r="F163" s="118" t="e">
        <f t="shared" ca="1" si="19"/>
        <v>#NAME?</v>
      </c>
      <c r="G163" s="103" t="e">
        <f t="shared" ca="1" si="20"/>
        <v>#NAME?</v>
      </c>
      <c r="H163" s="104" t="e">
        <f ca="1">IF(C163="","",MROUND([0]!CSVVLookUP(ROW(行数!A155),配列!$C$4,集計記録,8,1),"0:01"))</f>
        <v>#NAME?</v>
      </c>
      <c r="I163" s="104" t="e">
        <f t="shared" ca="1" si="21"/>
        <v>#NAME?</v>
      </c>
      <c r="J163" s="119" t="e">
        <f ca="1">IF(C163="","",MROUND([0]!CSVVLookUP(ROW(行数!A155),配列!$C$4,集計記録,7,1),"0:01"))</f>
        <v>#NAME?</v>
      </c>
      <c r="K163" s="92" t="e">
        <f ca="1">IF(C163="","",[0]!CSVVLookUP(ROW(行数!A155),配列!$C$4,集計記録,5,1))</f>
        <v>#NAME?</v>
      </c>
      <c r="L163" s="104" t="e">
        <f t="shared" ca="1" si="22"/>
        <v>#NAME?</v>
      </c>
      <c r="M163" s="120" t="e">
        <f t="shared" ca="1" si="16"/>
        <v>#NAME?</v>
      </c>
      <c r="N163" s="120" t="e">
        <f ca="1">IF([0]!CSVVLookUP(ROW(行数!A155),配列!$C$4,集計記録,6,1)=0,"",[0]!CSVVLookUP(ROW(行数!A155),配列!$C$4,集計記録,6,1))</f>
        <v>#NAME?</v>
      </c>
      <c r="O163" s="88" t="e">
        <f ca="1">IF(INDIRECT("M"&amp;ROW()-1)&lt;&gt;INDIRECT("M"&amp;ROW()),リスト!$I$5,"")</f>
        <v>#NAME?</v>
      </c>
      <c r="P163" s="88" t="e">
        <f ca="1">IF(INDIRECT("M"&amp;ROW())&lt;&gt;INDIRECT("M"&amp;ROW()+1),リスト!$I$6,"")</f>
        <v>#NAME?</v>
      </c>
    </row>
    <row r="164" spans="1:16" x14ac:dyDescent="0.2">
      <c r="A164" s="169" t="e">
        <f ca="1">IF(C164="","",ROW(行数!A156))</f>
        <v>#NAME?</v>
      </c>
      <c r="B164" s="168" t="e">
        <f t="shared" ca="1" si="17"/>
        <v>#NAME?</v>
      </c>
      <c r="C164" s="90" t="e">
        <f ca="1">[0]!CSVVLookUP(ROW(行数!A156),配列!$C$4,集計記録,3,1)</f>
        <v>#NAME?</v>
      </c>
      <c r="D164" s="90" t="e">
        <f ca="1">[0]!CSVVLookUP(ROW(行数!B156),配列!$C$4,集計記録,4,1)</f>
        <v>#NAME?</v>
      </c>
      <c r="E164" s="118" t="e">
        <f t="shared" ca="1" si="18"/>
        <v>#NAME?</v>
      </c>
      <c r="F164" s="118" t="e">
        <f t="shared" ca="1" si="19"/>
        <v>#NAME?</v>
      </c>
      <c r="G164" s="103" t="e">
        <f t="shared" ca="1" si="20"/>
        <v>#NAME?</v>
      </c>
      <c r="H164" s="104" t="e">
        <f ca="1">IF(C164="","",MROUND([0]!CSVVLookUP(ROW(行数!A156),配列!$C$4,集計記録,8,1),"0:01"))</f>
        <v>#NAME?</v>
      </c>
      <c r="I164" s="104" t="e">
        <f t="shared" ca="1" si="21"/>
        <v>#NAME?</v>
      </c>
      <c r="J164" s="119" t="e">
        <f ca="1">IF(C164="","",MROUND([0]!CSVVLookUP(ROW(行数!A156),配列!$C$4,集計記録,7,1),"0:01"))</f>
        <v>#NAME?</v>
      </c>
      <c r="K164" s="92" t="e">
        <f ca="1">IF(C164="","",[0]!CSVVLookUP(ROW(行数!A156),配列!$C$4,集計記録,5,1))</f>
        <v>#NAME?</v>
      </c>
      <c r="L164" s="104" t="e">
        <f t="shared" ca="1" si="22"/>
        <v>#NAME?</v>
      </c>
      <c r="M164" s="120" t="e">
        <f t="shared" ca="1" si="16"/>
        <v>#NAME?</v>
      </c>
      <c r="N164" s="120" t="e">
        <f ca="1">IF([0]!CSVVLookUP(ROW(行数!A156),配列!$C$4,集計記録,6,1)=0,"",[0]!CSVVLookUP(ROW(行数!A156),配列!$C$4,集計記録,6,1))</f>
        <v>#NAME?</v>
      </c>
      <c r="O164" s="88" t="e">
        <f ca="1">IF(INDIRECT("M"&amp;ROW()-1)&lt;&gt;INDIRECT("M"&amp;ROW()),リスト!$I$5,"")</f>
        <v>#NAME?</v>
      </c>
      <c r="P164" s="88" t="e">
        <f ca="1">IF(INDIRECT("M"&amp;ROW())&lt;&gt;INDIRECT("M"&amp;ROW()+1),リスト!$I$6,"")</f>
        <v>#NAME?</v>
      </c>
    </row>
    <row r="165" spans="1:16" x14ac:dyDescent="0.2">
      <c r="A165" s="169" t="e">
        <f ca="1">IF(C165="","",ROW(行数!A157))</f>
        <v>#NAME?</v>
      </c>
      <c r="B165" s="168" t="e">
        <f t="shared" ca="1" si="17"/>
        <v>#NAME?</v>
      </c>
      <c r="C165" s="90" t="e">
        <f ca="1">[0]!CSVVLookUP(ROW(行数!A157),配列!$C$4,集計記録,3,1)</f>
        <v>#NAME?</v>
      </c>
      <c r="D165" s="90" t="e">
        <f ca="1">[0]!CSVVLookUP(ROW(行数!B157),配列!$C$4,集計記録,4,1)</f>
        <v>#NAME?</v>
      </c>
      <c r="E165" s="118" t="e">
        <f t="shared" ca="1" si="18"/>
        <v>#NAME?</v>
      </c>
      <c r="F165" s="118" t="e">
        <f t="shared" ca="1" si="19"/>
        <v>#NAME?</v>
      </c>
      <c r="G165" s="103" t="e">
        <f t="shared" ca="1" si="20"/>
        <v>#NAME?</v>
      </c>
      <c r="H165" s="104" t="e">
        <f ca="1">IF(C165="","",MROUND([0]!CSVVLookUP(ROW(行数!A157),配列!$C$4,集計記録,8,1),"0:01"))</f>
        <v>#NAME?</v>
      </c>
      <c r="I165" s="104" t="e">
        <f t="shared" ca="1" si="21"/>
        <v>#NAME?</v>
      </c>
      <c r="J165" s="119" t="e">
        <f ca="1">IF(C165="","",MROUND([0]!CSVVLookUP(ROW(行数!A157),配列!$C$4,集計記録,7,1),"0:01"))</f>
        <v>#NAME?</v>
      </c>
      <c r="K165" s="92" t="e">
        <f ca="1">IF(C165="","",[0]!CSVVLookUP(ROW(行数!A157),配列!$C$4,集計記録,5,1))</f>
        <v>#NAME?</v>
      </c>
      <c r="L165" s="104" t="e">
        <f t="shared" ca="1" si="22"/>
        <v>#NAME?</v>
      </c>
      <c r="M165" s="120" t="e">
        <f ca="1">IF(C165="","",VLOOKUP(C165,運転条件判定,13,1))</f>
        <v>#NAME?</v>
      </c>
      <c r="N165" s="120" t="e">
        <f ca="1">IF([0]!CSVVLookUP(ROW(行数!A157),配列!$C$4,集計記録,6,1)=0,"",[0]!CSVVLookUP(ROW(行数!A157),配列!$C$4,集計記録,6,1))</f>
        <v>#NAME?</v>
      </c>
      <c r="O165" s="88" t="e">
        <f ca="1">IF(INDIRECT("M"&amp;ROW()-1)&lt;&gt;INDIRECT("M"&amp;ROW()),リスト!$I$5,"")</f>
        <v>#NAME?</v>
      </c>
      <c r="P165" s="88" t="e">
        <f ca="1">IF(INDIRECT("M"&amp;ROW())&lt;&gt;INDIRECT("M"&amp;ROW()+1),リスト!$I$6,"")</f>
        <v>#NAME?</v>
      </c>
    </row>
    <row r="166" spans="1:16" x14ac:dyDescent="0.2">
      <c r="A166" s="169" t="e">
        <f ca="1">IF(C166="","",ROW(行数!A158))</f>
        <v>#NAME?</v>
      </c>
      <c r="B166" s="168" t="e">
        <f t="shared" ca="1" si="17"/>
        <v>#NAME?</v>
      </c>
      <c r="C166" s="90" t="e">
        <f ca="1">[0]!CSVVLookUP(ROW(行数!A158),配列!$C$4,集計記録,3,1)</f>
        <v>#NAME?</v>
      </c>
      <c r="D166" s="90" t="e">
        <f ca="1">[0]!CSVVLookUP(ROW(行数!B158),配列!$C$4,集計記録,4,1)</f>
        <v>#NAME?</v>
      </c>
      <c r="E166" s="118" t="e">
        <f t="shared" ca="1" si="18"/>
        <v>#NAME?</v>
      </c>
      <c r="F166" s="118" t="e">
        <f t="shared" ca="1" si="19"/>
        <v>#NAME?</v>
      </c>
      <c r="G166" s="103" t="e">
        <f t="shared" ca="1" si="20"/>
        <v>#NAME?</v>
      </c>
      <c r="H166" s="104" t="e">
        <f ca="1">IF(C166="","",MROUND([0]!CSVVLookUP(ROW(行数!A158),配列!$C$4,集計記録,8,1),"0:01"))</f>
        <v>#NAME?</v>
      </c>
      <c r="I166" s="104" t="e">
        <f t="shared" ca="1" si="21"/>
        <v>#NAME?</v>
      </c>
      <c r="J166" s="119" t="e">
        <f ca="1">IF(C166="","",MROUND([0]!CSVVLookUP(ROW(行数!A158),配列!$C$4,集計記録,7,1),"0:01"))</f>
        <v>#NAME?</v>
      </c>
      <c r="K166" s="92" t="e">
        <f ca="1">IF(C166="","",[0]!CSVVLookUP(ROW(行数!A158),配列!$C$4,集計記録,5,1))</f>
        <v>#NAME?</v>
      </c>
      <c r="L166" s="104" t="e">
        <f t="shared" ca="1" si="22"/>
        <v>#NAME?</v>
      </c>
      <c r="M166" s="120" t="e">
        <f t="shared" ca="1" si="16"/>
        <v>#NAME?</v>
      </c>
      <c r="N166" s="120" t="e">
        <f ca="1">IF([0]!CSVVLookUP(ROW(行数!A158),配列!$C$4,集計記録,6,1)=0,"",[0]!CSVVLookUP(ROW(行数!A158),配列!$C$4,集計記録,6,1))</f>
        <v>#NAME?</v>
      </c>
      <c r="O166" s="88" t="e">
        <f ca="1">IF(INDIRECT("M"&amp;ROW()-1)&lt;&gt;INDIRECT("M"&amp;ROW()),リスト!$I$5,"")</f>
        <v>#NAME?</v>
      </c>
      <c r="P166" s="88" t="e">
        <f ca="1">IF(INDIRECT("M"&amp;ROW())&lt;&gt;INDIRECT("M"&amp;ROW()+1),リスト!$I$6,"")</f>
        <v>#NAME?</v>
      </c>
    </row>
    <row r="167" spans="1:16" x14ac:dyDescent="0.2">
      <c r="A167" s="169" t="e">
        <f ca="1">IF(C167="","",ROW(行数!A159))</f>
        <v>#NAME?</v>
      </c>
      <c r="B167" s="168" t="e">
        <f t="shared" ca="1" si="17"/>
        <v>#NAME?</v>
      </c>
      <c r="C167" s="90" t="e">
        <f ca="1">[0]!CSVVLookUP(ROW(行数!A159),配列!$C$4,集計記録,3,1)</f>
        <v>#NAME?</v>
      </c>
      <c r="D167" s="90" t="e">
        <f ca="1">[0]!CSVVLookUP(ROW(行数!B159),配列!$C$4,集計記録,4,1)</f>
        <v>#NAME?</v>
      </c>
      <c r="E167" s="118" t="e">
        <f t="shared" ca="1" si="18"/>
        <v>#NAME?</v>
      </c>
      <c r="F167" s="118" t="e">
        <f t="shared" ca="1" si="19"/>
        <v>#NAME?</v>
      </c>
      <c r="G167" s="103" t="e">
        <f t="shared" ca="1" si="20"/>
        <v>#NAME?</v>
      </c>
      <c r="H167" s="104" t="e">
        <f ca="1">IF(C167="","",MROUND([0]!CSVVLookUP(ROW(行数!A159),配列!$C$4,集計記録,8,1),"0:01"))</f>
        <v>#NAME?</v>
      </c>
      <c r="I167" s="104" t="e">
        <f t="shared" ca="1" si="21"/>
        <v>#NAME?</v>
      </c>
      <c r="J167" s="119" t="e">
        <f ca="1">IF(C167="","",MROUND([0]!CSVVLookUP(ROW(行数!A159),配列!$C$4,集計記録,7,1),"0:01"))</f>
        <v>#NAME?</v>
      </c>
      <c r="K167" s="92" t="e">
        <f ca="1">IF(C167="","",[0]!CSVVLookUP(ROW(行数!A159),配列!$C$4,集計記録,5,1))</f>
        <v>#NAME?</v>
      </c>
      <c r="L167" s="104" t="e">
        <f t="shared" ca="1" si="22"/>
        <v>#NAME?</v>
      </c>
      <c r="M167" s="120" t="e">
        <f t="shared" ca="1" si="16"/>
        <v>#NAME?</v>
      </c>
      <c r="N167" s="120" t="e">
        <f ca="1">IF([0]!CSVVLookUP(ROW(行数!A159),配列!$C$4,集計記録,6,1)=0,"",[0]!CSVVLookUP(ROW(行数!A159),配列!$C$4,集計記録,6,1))</f>
        <v>#NAME?</v>
      </c>
      <c r="O167" s="88" t="e">
        <f ca="1">IF(INDIRECT("M"&amp;ROW()-1)&lt;&gt;INDIRECT("M"&amp;ROW()),リスト!$I$5,"")</f>
        <v>#NAME?</v>
      </c>
      <c r="P167" s="88" t="e">
        <f ca="1">IF(INDIRECT("M"&amp;ROW())&lt;&gt;INDIRECT("M"&amp;ROW()+1),リスト!$I$6,"")</f>
        <v>#NAME?</v>
      </c>
    </row>
    <row r="168" spans="1:16" x14ac:dyDescent="0.2">
      <c r="A168" s="169" t="e">
        <f ca="1">IF(C168="","",ROW(行数!A160))</f>
        <v>#NAME?</v>
      </c>
      <c r="B168" s="168" t="e">
        <f t="shared" ca="1" si="17"/>
        <v>#NAME?</v>
      </c>
      <c r="C168" s="90" t="e">
        <f ca="1">[0]!CSVVLookUP(ROW(行数!A160),配列!$C$4,集計記録,3,1)</f>
        <v>#NAME?</v>
      </c>
      <c r="D168" s="90" t="e">
        <f ca="1">[0]!CSVVLookUP(ROW(行数!B160),配列!$C$4,集計記録,4,1)</f>
        <v>#NAME?</v>
      </c>
      <c r="E168" s="118" t="e">
        <f t="shared" ca="1" si="18"/>
        <v>#NAME?</v>
      </c>
      <c r="F168" s="118" t="e">
        <f t="shared" ca="1" si="19"/>
        <v>#NAME?</v>
      </c>
      <c r="G168" s="103" t="e">
        <f t="shared" ca="1" si="20"/>
        <v>#NAME?</v>
      </c>
      <c r="H168" s="104" t="e">
        <f ca="1">IF(C168="","",MROUND([0]!CSVVLookUP(ROW(行数!A160),配列!$C$4,集計記録,8,1),"0:01"))</f>
        <v>#NAME?</v>
      </c>
      <c r="I168" s="104" t="e">
        <f t="shared" ca="1" si="21"/>
        <v>#NAME?</v>
      </c>
      <c r="J168" s="119" t="e">
        <f ca="1">IF(C168="","",MROUND([0]!CSVVLookUP(ROW(行数!A160),配列!$C$4,集計記録,7,1),"0:01"))</f>
        <v>#NAME?</v>
      </c>
      <c r="K168" s="92" t="e">
        <f ca="1">IF(C168="","",[0]!CSVVLookUP(ROW(行数!A160),配列!$C$4,集計記録,5,1))</f>
        <v>#NAME?</v>
      </c>
      <c r="L168" s="104" t="e">
        <f t="shared" ca="1" si="22"/>
        <v>#NAME?</v>
      </c>
      <c r="M168" s="120" t="e">
        <f t="shared" ca="1" si="16"/>
        <v>#NAME?</v>
      </c>
      <c r="N168" s="120" t="e">
        <f ca="1">IF([0]!CSVVLookUP(ROW(行数!A160),配列!$C$4,集計記録,6,1)=0,"",[0]!CSVVLookUP(ROW(行数!A160),配列!$C$4,集計記録,6,1))</f>
        <v>#NAME?</v>
      </c>
      <c r="O168" s="88" t="e">
        <f ca="1">IF(INDIRECT("M"&amp;ROW()-1)&lt;&gt;INDIRECT("M"&amp;ROW()),リスト!$I$5,"")</f>
        <v>#NAME?</v>
      </c>
      <c r="P168" s="88" t="e">
        <f ca="1">IF(INDIRECT("M"&amp;ROW())&lt;&gt;INDIRECT("M"&amp;ROW()+1),リスト!$I$6,"")</f>
        <v>#NAME?</v>
      </c>
    </row>
    <row r="169" spans="1:16" x14ac:dyDescent="0.2">
      <c r="A169" s="169" t="e">
        <f ca="1">IF(C169="","",ROW(行数!A161))</f>
        <v>#NAME?</v>
      </c>
      <c r="B169" s="168" t="e">
        <f t="shared" ca="1" si="17"/>
        <v>#NAME?</v>
      </c>
      <c r="C169" s="90" t="e">
        <f ca="1">[0]!CSVVLookUP(ROW(行数!A161),配列!$C$4,集計記録,3,1)</f>
        <v>#NAME?</v>
      </c>
      <c r="D169" s="90" t="e">
        <f ca="1">[0]!CSVVLookUP(ROW(行数!B161),配列!$C$4,集計記録,4,1)</f>
        <v>#NAME?</v>
      </c>
      <c r="E169" s="118" t="e">
        <f t="shared" ca="1" si="18"/>
        <v>#NAME?</v>
      </c>
      <c r="F169" s="118" t="e">
        <f t="shared" ca="1" si="19"/>
        <v>#NAME?</v>
      </c>
      <c r="G169" s="103" t="e">
        <f t="shared" ca="1" si="20"/>
        <v>#NAME?</v>
      </c>
      <c r="H169" s="104" t="e">
        <f ca="1">IF(C169="","",MROUND([0]!CSVVLookUP(ROW(行数!A161),配列!$C$4,集計記録,8,1),"0:01"))</f>
        <v>#NAME?</v>
      </c>
      <c r="I169" s="104" t="e">
        <f t="shared" ca="1" si="21"/>
        <v>#NAME?</v>
      </c>
      <c r="J169" s="119" t="e">
        <f ca="1">IF(C169="","",MROUND([0]!CSVVLookUP(ROW(行数!A161),配列!$C$4,集計記録,7,1),"0:01"))</f>
        <v>#NAME?</v>
      </c>
      <c r="K169" s="92" t="e">
        <f ca="1">IF(C169="","",[0]!CSVVLookUP(ROW(行数!A161),配列!$C$4,集計記録,5,1))</f>
        <v>#NAME?</v>
      </c>
      <c r="L169" s="104" t="e">
        <f t="shared" ca="1" si="22"/>
        <v>#NAME?</v>
      </c>
      <c r="M169" s="120" t="e">
        <f t="shared" ca="1" si="16"/>
        <v>#NAME?</v>
      </c>
      <c r="N169" s="120" t="e">
        <f ca="1">IF([0]!CSVVLookUP(ROW(行数!A161),配列!$C$4,集計記録,6,1)=0,"",[0]!CSVVLookUP(ROW(行数!A161),配列!$C$4,集計記録,6,1))</f>
        <v>#NAME?</v>
      </c>
      <c r="O169" s="88" t="e">
        <f ca="1">IF(INDIRECT("M"&amp;ROW()-1)&lt;&gt;INDIRECT("M"&amp;ROW()),リスト!$I$5,"")</f>
        <v>#NAME?</v>
      </c>
      <c r="P169" s="88" t="e">
        <f ca="1">IF(INDIRECT("M"&amp;ROW())&lt;&gt;INDIRECT("M"&amp;ROW()+1),リスト!$I$6,"")</f>
        <v>#NAME?</v>
      </c>
    </row>
    <row r="170" spans="1:16" x14ac:dyDescent="0.2">
      <c r="A170" s="169" t="e">
        <f ca="1">IF(C170="","",ROW(行数!A162))</f>
        <v>#NAME?</v>
      </c>
      <c r="B170" s="168" t="e">
        <f t="shared" ca="1" si="17"/>
        <v>#NAME?</v>
      </c>
      <c r="C170" s="90" t="e">
        <f ca="1">[0]!CSVVLookUP(ROW(行数!A162),配列!$C$4,集計記録,3,1)</f>
        <v>#NAME?</v>
      </c>
      <c r="D170" s="90" t="e">
        <f ca="1">[0]!CSVVLookUP(ROW(行数!B162),配列!$C$4,集計記録,4,1)</f>
        <v>#NAME?</v>
      </c>
      <c r="E170" s="118" t="e">
        <f t="shared" ca="1" si="18"/>
        <v>#NAME?</v>
      </c>
      <c r="F170" s="118" t="e">
        <f t="shared" ca="1" si="19"/>
        <v>#NAME?</v>
      </c>
      <c r="G170" s="103" t="e">
        <f t="shared" ca="1" si="20"/>
        <v>#NAME?</v>
      </c>
      <c r="H170" s="104" t="e">
        <f ca="1">IF(C170="","",MROUND([0]!CSVVLookUP(ROW(行数!A162),配列!$C$4,集計記録,8,1),"0:01"))</f>
        <v>#NAME?</v>
      </c>
      <c r="I170" s="104" t="e">
        <f t="shared" ca="1" si="21"/>
        <v>#NAME?</v>
      </c>
      <c r="J170" s="119" t="e">
        <f ca="1">IF(C170="","",MROUND([0]!CSVVLookUP(ROW(行数!A162),配列!$C$4,集計記録,7,1),"0:01"))</f>
        <v>#NAME?</v>
      </c>
      <c r="K170" s="92" t="e">
        <f ca="1">IF(C170="","",[0]!CSVVLookUP(ROW(行数!A162),配列!$C$4,集計記録,5,1))</f>
        <v>#NAME?</v>
      </c>
      <c r="L170" s="104" t="e">
        <f t="shared" ca="1" si="22"/>
        <v>#NAME?</v>
      </c>
      <c r="M170" s="120" t="e">
        <f t="shared" ca="1" si="16"/>
        <v>#NAME?</v>
      </c>
      <c r="N170" s="120" t="e">
        <f ca="1">IF([0]!CSVVLookUP(ROW(行数!A162),配列!$C$4,集計記録,6,1)=0,"",[0]!CSVVLookUP(ROW(行数!A162),配列!$C$4,集計記録,6,1))</f>
        <v>#NAME?</v>
      </c>
      <c r="O170" s="88" t="e">
        <f ca="1">IF(INDIRECT("M"&amp;ROW()-1)&lt;&gt;INDIRECT("M"&amp;ROW()),リスト!$I$5,"")</f>
        <v>#NAME?</v>
      </c>
      <c r="P170" s="88" t="e">
        <f ca="1">IF(INDIRECT("M"&amp;ROW())&lt;&gt;INDIRECT("M"&amp;ROW()+1),リスト!$I$6,"")</f>
        <v>#NAME?</v>
      </c>
    </row>
    <row r="171" spans="1:16" x14ac:dyDescent="0.2">
      <c r="A171" s="169" t="e">
        <f ca="1">IF(C171="","",ROW(行数!A163))</f>
        <v>#NAME?</v>
      </c>
      <c r="B171" s="168" t="e">
        <f t="shared" ca="1" si="17"/>
        <v>#NAME?</v>
      </c>
      <c r="C171" s="90" t="e">
        <f ca="1">[0]!CSVVLookUP(ROW(行数!A163),配列!$C$4,集計記録,3,1)</f>
        <v>#NAME?</v>
      </c>
      <c r="D171" s="90" t="e">
        <f ca="1">[0]!CSVVLookUP(ROW(行数!B163),配列!$C$4,集計記録,4,1)</f>
        <v>#NAME?</v>
      </c>
      <c r="E171" s="118" t="e">
        <f t="shared" ca="1" si="18"/>
        <v>#NAME?</v>
      </c>
      <c r="F171" s="118" t="e">
        <f t="shared" ca="1" si="19"/>
        <v>#NAME?</v>
      </c>
      <c r="G171" s="103" t="e">
        <f t="shared" ca="1" si="20"/>
        <v>#NAME?</v>
      </c>
      <c r="H171" s="104" t="e">
        <f ca="1">IF(C171="","",MROUND([0]!CSVVLookUP(ROW(行数!A163),配列!$C$4,集計記録,8,1),"0:01"))</f>
        <v>#NAME?</v>
      </c>
      <c r="I171" s="104" t="e">
        <f t="shared" ca="1" si="21"/>
        <v>#NAME?</v>
      </c>
      <c r="J171" s="119" t="e">
        <f ca="1">IF(C171="","",MROUND([0]!CSVVLookUP(ROW(行数!A163),配列!$C$4,集計記録,7,1),"0:01"))</f>
        <v>#NAME?</v>
      </c>
      <c r="K171" s="92" t="e">
        <f ca="1">IF(C171="","",[0]!CSVVLookUP(ROW(行数!A163),配列!$C$4,集計記録,5,1))</f>
        <v>#NAME?</v>
      </c>
      <c r="L171" s="104" t="e">
        <f t="shared" ca="1" si="22"/>
        <v>#NAME?</v>
      </c>
      <c r="M171" s="120" t="e">
        <f t="shared" ca="1" si="16"/>
        <v>#NAME?</v>
      </c>
      <c r="N171" s="120" t="e">
        <f ca="1">IF([0]!CSVVLookUP(ROW(行数!A163),配列!$C$4,集計記録,6,1)=0,"",[0]!CSVVLookUP(ROW(行数!A163),配列!$C$4,集計記録,6,1))</f>
        <v>#NAME?</v>
      </c>
      <c r="O171" s="88" t="e">
        <f ca="1">IF(INDIRECT("M"&amp;ROW()-1)&lt;&gt;INDIRECT("M"&amp;ROW()),リスト!$I$5,"")</f>
        <v>#NAME?</v>
      </c>
      <c r="P171" s="88" t="e">
        <f ca="1">IF(INDIRECT("M"&amp;ROW())&lt;&gt;INDIRECT("M"&amp;ROW()+1),リスト!$I$6,"")</f>
        <v>#NAME?</v>
      </c>
    </row>
    <row r="172" spans="1:16" x14ac:dyDescent="0.2">
      <c r="A172" s="169" t="e">
        <f ca="1">IF(C172="","",ROW(行数!A164))</f>
        <v>#NAME?</v>
      </c>
      <c r="B172" s="168" t="e">
        <f t="shared" ca="1" si="17"/>
        <v>#NAME?</v>
      </c>
      <c r="C172" s="90" t="e">
        <f ca="1">[0]!CSVVLookUP(ROW(行数!A164),配列!$C$4,集計記録,3,1)</f>
        <v>#NAME?</v>
      </c>
      <c r="D172" s="90" t="e">
        <f ca="1">[0]!CSVVLookUP(ROW(行数!B164),配列!$C$4,集計記録,4,1)</f>
        <v>#NAME?</v>
      </c>
      <c r="E172" s="118" t="e">
        <f t="shared" ca="1" si="18"/>
        <v>#NAME?</v>
      </c>
      <c r="F172" s="118" t="e">
        <f t="shared" ca="1" si="19"/>
        <v>#NAME?</v>
      </c>
      <c r="G172" s="103" t="e">
        <f t="shared" ca="1" si="20"/>
        <v>#NAME?</v>
      </c>
      <c r="H172" s="104" t="e">
        <f ca="1">IF(C172="","",MROUND([0]!CSVVLookUP(ROW(行数!A164),配列!$C$4,集計記録,8,1),"0:01"))</f>
        <v>#NAME?</v>
      </c>
      <c r="I172" s="104" t="e">
        <f t="shared" ca="1" si="21"/>
        <v>#NAME?</v>
      </c>
      <c r="J172" s="119" t="e">
        <f ca="1">IF(C172="","",MROUND([0]!CSVVLookUP(ROW(行数!A164),配列!$C$4,集計記録,7,1),"0:01"))</f>
        <v>#NAME?</v>
      </c>
      <c r="K172" s="92" t="e">
        <f ca="1">IF(C172="","",[0]!CSVVLookUP(ROW(行数!A164),配列!$C$4,集計記録,5,1))</f>
        <v>#NAME?</v>
      </c>
      <c r="L172" s="104" t="e">
        <f t="shared" ca="1" si="22"/>
        <v>#NAME?</v>
      </c>
      <c r="M172" s="120" t="e">
        <f t="shared" ca="1" si="16"/>
        <v>#NAME?</v>
      </c>
      <c r="N172" s="120" t="e">
        <f ca="1">IF([0]!CSVVLookUP(ROW(行数!A164),配列!$C$4,集計記録,6,1)=0,"",[0]!CSVVLookUP(ROW(行数!A164),配列!$C$4,集計記録,6,1))</f>
        <v>#NAME?</v>
      </c>
      <c r="O172" s="88" t="e">
        <f ca="1">IF(INDIRECT("M"&amp;ROW()-1)&lt;&gt;INDIRECT("M"&amp;ROW()),リスト!$I$5,"")</f>
        <v>#NAME?</v>
      </c>
      <c r="P172" s="88" t="e">
        <f ca="1">IF(INDIRECT("M"&amp;ROW())&lt;&gt;INDIRECT("M"&amp;ROW()+1),リスト!$I$6,"")</f>
        <v>#NAME?</v>
      </c>
    </row>
    <row r="173" spans="1:16" x14ac:dyDescent="0.2">
      <c r="A173" s="169" t="e">
        <f ca="1">IF(C173="","",ROW(行数!A165))</f>
        <v>#NAME?</v>
      </c>
      <c r="B173" s="168" t="e">
        <f t="shared" ca="1" si="17"/>
        <v>#NAME?</v>
      </c>
      <c r="C173" s="90" t="e">
        <f ca="1">[0]!CSVVLookUP(ROW(行数!A165),配列!$C$4,集計記録,3,1)</f>
        <v>#NAME?</v>
      </c>
      <c r="D173" s="90" t="e">
        <f ca="1">[0]!CSVVLookUP(ROW(行数!B165),配列!$C$4,集計記録,4,1)</f>
        <v>#NAME?</v>
      </c>
      <c r="E173" s="118" t="e">
        <f t="shared" ca="1" si="18"/>
        <v>#NAME?</v>
      </c>
      <c r="F173" s="118" t="e">
        <f t="shared" ca="1" si="19"/>
        <v>#NAME?</v>
      </c>
      <c r="G173" s="103" t="e">
        <f t="shared" ca="1" si="20"/>
        <v>#NAME?</v>
      </c>
      <c r="H173" s="104" t="e">
        <f ca="1">IF(C173="","",MROUND([0]!CSVVLookUP(ROW(行数!A165),配列!$C$4,集計記録,8,1),"0:01"))</f>
        <v>#NAME?</v>
      </c>
      <c r="I173" s="104" t="e">
        <f t="shared" ca="1" si="21"/>
        <v>#NAME?</v>
      </c>
      <c r="J173" s="119" t="e">
        <f ca="1">IF(C173="","",MROUND([0]!CSVVLookUP(ROW(行数!A165),配列!$C$4,集計記録,7,1),"0:01"))</f>
        <v>#NAME?</v>
      </c>
      <c r="K173" s="92" t="e">
        <f ca="1">IF(C173="","",[0]!CSVVLookUP(ROW(行数!A165),配列!$C$4,集計記録,5,1))</f>
        <v>#NAME?</v>
      </c>
      <c r="L173" s="104" t="e">
        <f t="shared" ca="1" si="22"/>
        <v>#NAME?</v>
      </c>
      <c r="M173" s="120" t="e">
        <f t="shared" ca="1" si="16"/>
        <v>#NAME?</v>
      </c>
      <c r="N173" s="120" t="e">
        <f ca="1">IF([0]!CSVVLookUP(ROW(行数!A165),配列!$C$4,集計記録,6,1)=0,"",[0]!CSVVLookUP(ROW(行数!A165),配列!$C$4,集計記録,6,1))</f>
        <v>#NAME?</v>
      </c>
      <c r="O173" s="88" t="e">
        <f ca="1">IF(INDIRECT("M"&amp;ROW()-1)&lt;&gt;INDIRECT("M"&amp;ROW()),リスト!$I$5,"")</f>
        <v>#NAME?</v>
      </c>
      <c r="P173" s="88" t="e">
        <f ca="1">IF(INDIRECT("M"&amp;ROW())&lt;&gt;INDIRECT("M"&amp;ROW()+1),リスト!$I$6,"")</f>
        <v>#NAME?</v>
      </c>
    </row>
    <row r="174" spans="1:16" x14ac:dyDescent="0.2">
      <c r="A174" s="169" t="e">
        <f ca="1">IF(C174="","",ROW(行数!A166))</f>
        <v>#NAME?</v>
      </c>
      <c r="B174" s="168" t="e">
        <f t="shared" ca="1" si="17"/>
        <v>#NAME?</v>
      </c>
      <c r="C174" s="90" t="e">
        <f ca="1">[0]!CSVVLookUP(ROW(行数!A166),配列!$C$4,集計記録,3,1)</f>
        <v>#NAME?</v>
      </c>
      <c r="D174" s="90" t="e">
        <f ca="1">[0]!CSVVLookUP(ROW(行数!B166),配列!$C$4,集計記録,4,1)</f>
        <v>#NAME?</v>
      </c>
      <c r="E174" s="118" t="e">
        <f t="shared" ca="1" si="18"/>
        <v>#NAME?</v>
      </c>
      <c r="F174" s="118" t="e">
        <f t="shared" ca="1" si="19"/>
        <v>#NAME?</v>
      </c>
      <c r="G174" s="103" t="e">
        <f t="shared" ca="1" si="20"/>
        <v>#NAME?</v>
      </c>
      <c r="H174" s="104" t="e">
        <f ca="1">IF(C174="","",MROUND([0]!CSVVLookUP(ROW(行数!A166),配列!$C$4,集計記録,8,1),"0:01"))</f>
        <v>#NAME?</v>
      </c>
      <c r="I174" s="104" t="e">
        <f t="shared" ca="1" si="21"/>
        <v>#NAME?</v>
      </c>
      <c r="J174" s="119" t="e">
        <f ca="1">IF(C174="","",MROUND([0]!CSVVLookUP(ROW(行数!A166),配列!$C$4,集計記録,7,1),"0:01"))</f>
        <v>#NAME?</v>
      </c>
      <c r="K174" s="92" t="e">
        <f ca="1">IF(C174="","",[0]!CSVVLookUP(ROW(行数!A166),配列!$C$4,集計記録,5,1))</f>
        <v>#NAME?</v>
      </c>
      <c r="L174" s="104" t="e">
        <f t="shared" ca="1" si="22"/>
        <v>#NAME?</v>
      </c>
      <c r="M174" s="120" t="e">
        <f t="shared" ca="1" si="16"/>
        <v>#NAME?</v>
      </c>
      <c r="N174" s="120" t="e">
        <f ca="1">IF([0]!CSVVLookUP(ROW(行数!A166),配列!$C$4,集計記録,6,1)=0,"",[0]!CSVVLookUP(ROW(行数!A166),配列!$C$4,集計記録,6,1))</f>
        <v>#NAME?</v>
      </c>
      <c r="O174" s="88" t="e">
        <f ca="1">IF(INDIRECT("M"&amp;ROW()-1)&lt;&gt;INDIRECT("M"&amp;ROW()),リスト!$I$5,"")</f>
        <v>#NAME?</v>
      </c>
      <c r="P174" s="88" t="e">
        <f ca="1">IF(INDIRECT("M"&amp;ROW())&lt;&gt;INDIRECT("M"&amp;ROW()+1),リスト!$I$6,"")</f>
        <v>#NAME?</v>
      </c>
    </row>
    <row r="175" spans="1:16" x14ac:dyDescent="0.2">
      <c r="A175" s="169" t="e">
        <f ca="1">IF(C175="","",ROW(行数!A167))</f>
        <v>#NAME?</v>
      </c>
      <c r="B175" s="168" t="e">
        <f t="shared" ca="1" si="17"/>
        <v>#NAME?</v>
      </c>
      <c r="C175" s="90" t="e">
        <f ca="1">[0]!CSVVLookUP(ROW(行数!A167),配列!$C$4,集計記録,3,1)</f>
        <v>#NAME?</v>
      </c>
      <c r="D175" s="90" t="e">
        <f ca="1">[0]!CSVVLookUP(ROW(行数!B167),配列!$C$4,集計記録,4,1)</f>
        <v>#NAME?</v>
      </c>
      <c r="E175" s="118" t="e">
        <f t="shared" ca="1" si="18"/>
        <v>#NAME?</v>
      </c>
      <c r="F175" s="118" t="e">
        <f t="shared" ca="1" si="19"/>
        <v>#NAME?</v>
      </c>
      <c r="G175" s="103" t="e">
        <f t="shared" ca="1" si="20"/>
        <v>#NAME?</v>
      </c>
      <c r="H175" s="104" t="e">
        <f ca="1">IF(C175="","",MROUND([0]!CSVVLookUP(ROW(行数!A167),配列!$C$4,集計記録,8,1),"0:01"))</f>
        <v>#NAME?</v>
      </c>
      <c r="I175" s="104" t="e">
        <f t="shared" ca="1" si="21"/>
        <v>#NAME?</v>
      </c>
      <c r="J175" s="119" t="e">
        <f ca="1">IF(C175="","",MROUND([0]!CSVVLookUP(ROW(行数!A167),配列!$C$4,集計記録,7,1),"0:01"))</f>
        <v>#NAME?</v>
      </c>
      <c r="K175" s="92" t="e">
        <f ca="1">IF(C175="","",[0]!CSVVLookUP(ROW(行数!A167),配列!$C$4,集計記録,5,1))</f>
        <v>#NAME?</v>
      </c>
      <c r="L175" s="104" t="e">
        <f t="shared" ca="1" si="22"/>
        <v>#NAME?</v>
      </c>
      <c r="M175" s="120" t="e">
        <f t="shared" ca="1" si="16"/>
        <v>#NAME?</v>
      </c>
      <c r="N175" s="120" t="e">
        <f ca="1">IF([0]!CSVVLookUP(ROW(行数!A167),配列!$C$4,集計記録,6,1)=0,"",[0]!CSVVLookUP(ROW(行数!A167),配列!$C$4,集計記録,6,1))</f>
        <v>#NAME?</v>
      </c>
      <c r="O175" s="88" t="e">
        <f ca="1">IF(INDIRECT("M"&amp;ROW()-1)&lt;&gt;INDIRECT("M"&amp;ROW()),リスト!$I$5,"")</f>
        <v>#NAME?</v>
      </c>
      <c r="P175" s="88" t="e">
        <f ca="1">IF(INDIRECT("M"&amp;ROW())&lt;&gt;INDIRECT("M"&amp;ROW()+1),リスト!$I$6,"")</f>
        <v>#NAME?</v>
      </c>
    </row>
    <row r="176" spans="1:16" x14ac:dyDescent="0.2">
      <c r="A176" s="169" t="e">
        <f ca="1">IF(C176="","",ROW(行数!A168))</f>
        <v>#NAME?</v>
      </c>
      <c r="B176" s="168" t="e">
        <f t="shared" ca="1" si="17"/>
        <v>#NAME?</v>
      </c>
      <c r="C176" s="90" t="e">
        <f ca="1">[0]!CSVVLookUP(ROW(行数!A168),配列!$C$4,集計記録,3,1)</f>
        <v>#NAME?</v>
      </c>
      <c r="D176" s="90" t="e">
        <f ca="1">[0]!CSVVLookUP(ROW(行数!B168),配列!$C$4,集計記録,4,1)</f>
        <v>#NAME?</v>
      </c>
      <c r="E176" s="118" t="e">
        <f t="shared" ca="1" si="18"/>
        <v>#NAME?</v>
      </c>
      <c r="F176" s="118" t="e">
        <f t="shared" ca="1" si="19"/>
        <v>#NAME?</v>
      </c>
      <c r="G176" s="103" t="e">
        <f t="shared" ca="1" si="20"/>
        <v>#NAME?</v>
      </c>
      <c r="H176" s="104" t="e">
        <f ca="1">IF(C176="","",MROUND([0]!CSVVLookUP(ROW(行数!A168),配列!$C$4,集計記録,8,1),"0:01"))</f>
        <v>#NAME?</v>
      </c>
      <c r="I176" s="104" t="e">
        <f t="shared" ca="1" si="21"/>
        <v>#NAME?</v>
      </c>
      <c r="J176" s="119" t="e">
        <f ca="1">IF(C176="","",MROUND([0]!CSVVLookUP(ROW(行数!A168),配列!$C$4,集計記録,7,1),"0:01"))</f>
        <v>#NAME?</v>
      </c>
      <c r="K176" s="92" t="e">
        <f ca="1">IF(C176="","",[0]!CSVVLookUP(ROW(行数!A168),配列!$C$4,集計記録,5,1))</f>
        <v>#NAME?</v>
      </c>
      <c r="L176" s="104" t="e">
        <f t="shared" ca="1" si="22"/>
        <v>#NAME?</v>
      </c>
      <c r="M176" s="120" t="e">
        <f t="shared" ca="1" si="16"/>
        <v>#NAME?</v>
      </c>
      <c r="N176" s="120" t="e">
        <f ca="1">IF([0]!CSVVLookUP(ROW(行数!A168),配列!$C$4,集計記録,6,1)=0,"",[0]!CSVVLookUP(ROW(行数!A168),配列!$C$4,集計記録,6,1))</f>
        <v>#NAME?</v>
      </c>
      <c r="O176" s="88" t="e">
        <f ca="1">IF(INDIRECT("M"&amp;ROW()-1)&lt;&gt;INDIRECT("M"&amp;ROW()),リスト!$I$5,"")</f>
        <v>#NAME?</v>
      </c>
      <c r="P176" s="88" t="e">
        <f ca="1">IF(INDIRECT("M"&amp;ROW())&lt;&gt;INDIRECT("M"&amp;ROW()+1),リスト!$I$6,"")</f>
        <v>#NAME?</v>
      </c>
    </row>
    <row r="177" spans="1:16" x14ac:dyDescent="0.2">
      <c r="A177" s="169" t="e">
        <f ca="1">IF(C177="","",ROW(行数!A169))</f>
        <v>#NAME?</v>
      </c>
      <c r="B177" s="168" t="e">
        <f t="shared" ca="1" si="17"/>
        <v>#NAME?</v>
      </c>
      <c r="C177" s="90" t="e">
        <f ca="1">[0]!CSVVLookUP(ROW(行数!A169),配列!$C$4,集計記録,3,1)</f>
        <v>#NAME?</v>
      </c>
      <c r="D177" s="90" t="e">
        <f ca="1">[0]!CSVVLookUP(ROW(行数!B169),配列!$C$4,集計記録,4,1)</f>
        <v>#NAME?</v>
      </c>
      <c r="E177" s="118" t="e">
        <f t="shared" ca="1" si="18"/>
        <v>#NAME?</v>
      </c>
      <c r="F177" s="118" t="e">
        <f t="shared" ca="1" si="19"/>
        <v>#NAME?</v>
      </c>
      <c r="G177" s="103" t="e">
        <f t="shared" ca="1" si="20"/>
        <v>#NAME?</v>
      </c>
      <c r="H177" s="104" t="e">
        <f ca="1">IF(C177="","",MROUND([0]!CSVVLookUP(ROW(行数!A169),配列!$C$4,集計記録,8,1),"0:01"))</f>
        <v>#NAME?</v>
      </c>
      <c r="I177" s="104" t="e">
        <f t="shared" ca="1" si="21"/>
        <v>#NAME?</v>
      </c>
      <c r="J177" s="119" t="e">
        <f ca="1">IF(C177="","",MROUND([0]!CSVVLookUP(ROW(行数!A169),配列!$C$4,集計記録,7,1),"0:01"))</f>
        <v>#NAME?</v>
      </c>
      <c r="K177" s="92" t="e">
        <f ca="1">IF(C177="","",[0]!CSVVLookUP(ROW(行数!A169),配列!$C$4,集計記録,5,1))</f>
        <v>#NAME?</v>
      </c>
      <c r="L177" s="104" t="e">
        <f t="shared" ca="1" si="22"/>
        <v>#NAME?</v>
      </c>
      <c r="M177" s="120" t="e">
        <f t="shared" ca="1" si="16"/>
        <v>#NAME?</v>
      </c>
      <c r="N177" s="120" t="e">
        <f ca="1">IF([0]!CSVVLookUP(ROW(行数!A169),配列!$C$4,集計記録,6,1)=0,"",[0]!CSVVLookUP(ROW(行数!A169),配列!$C$4,集計記録,6,1))</f>
        <v>#NAME?</v>
      </c>
      <c r="O177" s="88" t="e">
        <f ca="1">IF(INDIRECT("M"&amp;ROW()-1)&lt;&gt;INDIRECT("M"&amp;ROW()),リスト!$I$5,"")</f>
        <v>#NAME?</v>
      </c>
      <c r="P177" s="88" t="e">
        <f ca="1">IF(INDIRECT("M"&amp;ROW())&lt;&gt;INDIRECT("M"&amp;ROW()+1),リスト!$I$6,"")</f>
        <v>#NAME?</v>
      </c>
    </row>
    <row r="178" spans="1:16" x14ac:dyDescent="0.2">
      <c r="A178" s="169" t="e">
        <f ca="1">IF(C178="","",ROW(行数!A170))</f>
        <v>#NAME?</v>
      </c>
      <c r="B178" s="168" t="e">
        <f t="shared" ca="1" si="17"/>
        <v>#NAME?</v>
      </c>
      <c r="C178" s="90" t="e">
        <f ca="1">[0]!CSVVLookUP(ROW(行数!A170),配列!$C$4,集計記録,3,1)</f>
        <v>#NAME?</v>
      </c>
      <c r="D178" s="90" t="e">
        <f ca="1">[0]!CSVVLookUP(ROW(行数!B170),配列!$C$4,集計記録,4,1)</f>
        <v>#NAME?</v>
      </c>
      <c r="E178" s="118" t="e">
        <f t="shared" ca="1" si="18"/>
        <v>#NAME?</v>
      </c>
      <c r="F178" s="118" t="e">
        <f t="shared" ca="1" si="19"/>
        <v>#NAME?</v>
      </c>
      <c r="G178" s="103" t="e">
        <f t="shared" ca="1" si="20"/>
        <v>#NAME?</v>
      </c>
      <c r="H178" s="104" t="e">
        <f ca="1">IF(C178="","",MROUND([0]!CSVVLookUP(ROW(行数!A170),配列!$C$4,集計記録,8,1),"0:01"))</f>
        <v>#NAME?</v>
      </c>
      <c r="I178" s="104" t="e">
        <f t="shared" ca="1" si="21"/>
        <v>#NAME?</v>
      </c>
      <c r="J178" s="119" t="e">
        <f ca="1">IF(C178="","",MROUND([0]!CSVVLookUP(ROW(行数!A170),配列!$C$4,集計記録,7,1),"0:01"))</f>
        <v>#NAME?</v>
      </c>
      <c r="K178" s="92" t="e">
        <f ca="1">IF(C178="","",[0]!CSVVLookUP(ROW(行数!A170),配列!$C$4,集計記録,5,1))</f>
        <v>#NAME?</v>
      </c>
      <c r="L178" s="104" t="e">
        <f t="shared" ca="1" si="22"/>
        <v>#NAME?</v>
      </c>
      <c r="M178" s="120" t="e">
        <f t="shared" ca="1" si="16"/>
        <v>#NAME?</v>
      </c>
      <c r="N178" s="120" t="e">
        <f ca="1">IF([0]!CSVVLookUP(ROW(行数!A170),配列!$C$4,集計記録,6,1)=0,"",[0]!CSVVLookUP(ROW(行数!A170),配列!$C$4,集計記録,6,1))</f>
        <v>#NAME?</v>
      </c>
      <c r="O178" s="88" t="e">
        <f ca="1">IF(INDIRECT("M"&amp;ROW()-1)&lt;&gt;INDIRECT("M"&amp;ROW()),リスト!$I$5,"")</f>
        <v>#NAME?</v>
      </c>
      <c r="P178" s="88" t="e">
        <f ca="1">IF(INDIRECT("M"&amp;ROW())&lt;&gt;INDIRECT("M"&amp;ROW()+1),リスト!$I$6,"")</f>
        <v>#NAME?</v>
      </c>
    </row>
    <row r="179" spans="1:16" x14ac:dyDescent="0.2">
      <c r="A179" s="169" t="e">
        <f ca="1">IF(C179="","",ROW(行数!A171))</f>
        <v>#NAME?</v>
      </c>
      <c r="B179" s="168" t="e">
        <f t="shared" ca="1" si="17"/>
        <v>#NAME?</v>
      </c>
      <c r="C179" s="90" t="e">
        <f ca="1">[0]!CSVVLookUP(ROW(行数!A171),配列!$C$4,集計記録,3,1)</f>
        <v>#NAME?</v>
      </c>
      <c r="D179" s="90" t="e">
        <f ca="1">[0]!CSVVLookUP(ROW(行数!B171),配列!$C$4,集計記録,4,1)</f>
        <v>#NAME?</v>
      </c>
      <c r="E179" s="118" t="e">
        <f t="shared" ca="1" si="18"/>
        <v>#NAME?</v>
      </c>
      <c r="F179" s="118" t="e">
        <f t="shared" ca="1" si="19"/>
        <v>#NAME?</v>
      </c>
      <c r="G179" s="103" t="e">
        <f t="shared" ca="1" si="20"/>
        <v>#NAME?</v>
      </c>
      <c r="H179" s="104" t="e">
        <f ca="1">IF(C179="","",MROUND([0]!CSVVLookUP(ROW(行数!A171),配列!$C$4,集計記録,8,1),"0:01"))</f>
        <v>#NAME?</v>
      </c>
      <c r="I179" s="104" t="e">
        <f t="shared" ca="1" si="21"/>
        <v>#NAME?</v>
      </c>
      <c r="J179" s="119" t="e">
        <f ca="1">IF(C179="","",MROUND([0]!CSVVLookUP(ROW(行数!A171),配列!$C$4,集計記録,7,1),"0:01"))</f>
        <v>#NAME?</v>
      </c>
      <c r="K179" s="92" t="e">
        <f ca="1">IF(C179="","",[0]!CSVVLookUP(ROW(行数!A171),配列!$C$4,集計記録,5,1))</f>
        <v>#NAME?</v>
      </c>
      <c r="L179" s="104" t="e">
        <f t="shared" ca="1" si="22"/>
        <v>#NAME?</v>
      </c>
      <c r="M179" s="120" t="e">
        <f t="shared" ca="1" si="16"/>
        <v>#NAME?</v>
      </c>
      <c r="N179" s="120" t="e">
        <f ca="1">IF([0]!CSVVLookUP(ROW(行数!A171),配列!$C$4,集計記録,6,1)=0,"",[0]!CSVVLookUP(ROW(行数!A171),配列!$C$4,集計記録,6,1))</f>
        <v>#NAME?</v>
      </c>
      <c r="O179" s="88" t="e">
        <f ca="1">IF(INDIRECT("M"&amp;ROW()-1)&lt;&gt;INDIRECT("M"&amp;ROW()),リスト!$I$5,"")</f>
        <v>#NAME?</v>
      </c>
      <c r="P179" s="88" t="e">
        <f ca="1">IF(INDIRECT("M"&amp;ROW())&lt;&gt;INDIRECT("M"&amp;ROW()+1),リスト!$I$6,"")</f>
        <v>#NAME?</v>
      </c>
    </row>
    <row r="180" spans="1:16" x14ac:dyDescent="0.2">
      <c r="A180" s="169" t="e">
        <f ca="1">IF(C180="","",ROW(行数!A172))</f>
        <v>#NAME?</v>
      </c>
      <c r="B180" s="168" t="e">
        <f t="shared" ca="1" si="17"/>
        <v>#NAME?</v>
      </c>
      <c r="C180" s="90" t="e">
        <f ca="1">[0]!CSVVLookUP(ROW(行数!A172),配列!$C$4,集計記録,3,1)</f>
        <v>#NAME?</v>
      </c>
      <c r="D180" s="90" t="e">
        <f ca="1">[0]!CSVVLookUP(ROW(行数!B172),配列!$C$4,集計記録,4,1)</f>
        <v>#NAME?</v>
      </c>
      <c r="E180" s="118" t="e">
        <f t="shared" ca="1" si="18"/>
        <v>#NAME?</v>
      </c>
      <c r="F180" s="118" t="e">
        <f t="shared" ca="1" si="19"/>
        <v>#NAME?</v>
      </c>
      <c r="G180" s="103" t="e">
        <f t="shared" ca="1" si="20"/>
        <v>#NAME?</v>
      </c>
      <c r="H180" s="104" t="e">
        <f ca="1">IF(C180="","",MROUND([0]!CSVVLookUP(ROW(行数!A172),配列!$C$4,集計記録,8,1),"0:01"))</f>
        <v>#NAME?</v>
      </c>
      <c r="I180" s="104" t="e">
        <f t="shared" ca="1" si="21"/>
        <v>#NAME?</v>
      </c>
      <c r="J180" s="119" t="e">
        <f ca="1">IF(C180="","",MROUND([0]!CSVVLookUP(ROW(行数!A172),配列!$C$4,集計記録,7,1),"0:01"))</f>
        <v>#NAME?</v>
      </c>
      <c r="K180" s="92" t="e">
        <f ca="1">IF(C180="","",[0]!CSVVLookUP(ROW(行数!A172),配列!$C$4,集計記録,5,1))</f>
        <v>#NAME?</v>
      </c>
      <c r="L180" s="104" t="e">
        <f t="shared" ca="1" si="22"/>
        <v>#NAME?</v>
      </c>
      <c r="M180" s="120" t="e">
        <f t="shared" ca="1" si="16"/>
        <v>#NAME?</v>
      </c>
      <c r="N180" s="120" t="e">
        <f ca="1">IF([0]!CSVVLookUP(ROW(行数!A172),配列!$C$4,集計記録,6,1)=0,"",[0]!CSVVLookUP(ROW(行数!A172),配列!$C$4,集計記録,6,1))</f>
        <v>#NAME?</v>
      </c>
      <c r="O180" s="88" t="e">
        <f ca="1">IF(INDIRECT("M"&amp;ROW()-1)&lt;&gt;INDIRECT("M"&amp;ROW()),リスト!$I$5,"")</f>
        <v>#NAME?</v>
      </c>
      <c r="P180" s="88" t="e">
        <f ca="1">IF(INDIRECT("M"&amp;ROW())&lt;&gt;INDIRECT("M"&amp;ROW()+1),リスト!$I$6,"")</f>
        <v>#NAME?</v>
      </c>
    </row>
    <row r="181" spans="1:16" x14ac:dyDescent="0.2">
      <c r="A181" s="169" t="e">
        <f ca="1">IF(C181="","",ROW(行数!A173))</f>
        <v>#NAME?</v>
      </c>
      <c r="B181" s="168" t="e">
        <f t="shared" ca="1" si="17"/>
        <v>#NAME?</v>
      </c>
      <c r="C181" s="90" t="e">
        <f ca="1">[0]!CSVVLookUP(ROW(行数!A173),配列!$C$4,集計記録,3,1)</f>
        <v>#NAME?</v>
      </c>
      <c r="D181" s="90" t="e">
        <f ca="1">[0]!CSVVLookUP(ROW(行数!B173),配列!$C$4,集計記録,4,1)</f>
        <v>#NAME?</v>
      </c>
      <c r="E181" s="118" t="e">
        <f t="shared" ca="1" si="18"/>
        <v>#NAME?</v>
      </c>
      <c r="F181" s="118" t="e">
        <f t="shared" ca="1" si="19"/>
        <v>#NAME?</v>
      </c>
      <c r="G181" s="103" t="e">
        <f t="shared" ca="1" si="20"/>
        <v>#NAME?</v>
      </c>
      <c r="H181" s="104" t="e">
        <f ca="1">IF(C181="","",MROUND([0]!CSVVLookUP(ROW(行数!A173),配列!$C$4,集計記録,8,1),"0:01"))</f>
        <v>#NAME?</v>
      </c>
      <c r="I181" s="104" t="e">
        <f t="shared" ca="1" si="21"/>
        <v>#NAME?</v>
      </c>
      <c r="J181" s="119" t="e">
        <f ca="1">IF(C181="","",MROUND([0]!CSVVLookUP(ROW(行数!A173),配列!$C$4,集計記録,7,1),"0:01"))</f>
        <v>#NAME?</v>
      </c>
      <c r="K181" s="92" t="e">
        <f ca="1">IF(C181="","",[0]!CSVVLookUP(ROW(行数!A173),配列!$C$4,集計記録,5,1))</f>
        <v>#NAME?</v>
      </c>
      <c r="L181" s="104" t="e">
        <f t="shared" ca="1" si="22"/>
        <v>#NAME?</v>
      </c>
      <c r="M181" s="120" t="e">
        <f t="shared" ca="1" si="16"/>
        <v>#NAME?</v>
      </c>
      <c r="N181" s="120" t="e">
        <f ca="1">IF([0]!CSVVLookUP(ROW(行数!A173),配列!$C$4,集計記録,6,1)=0,"",[0]!CSVVLookUP(ROW(行数!A173),配列!$C$4,集計記録,6,1))</f>
        <v>#NAME?</v>
      </c>
      <c r="O181" s="88" t="e">
        <f ca="1">IF(INDIRECT("M"&amp;ROW()-1)&lt;&gt;INDIRECT("M"&amp;ROW()),リスト!$I$5,"")</f>
        <v>#NAME?</v>
      </c>
      <c r="P181" s="88" t="e">
        <f ca="1">IF(INDIRECT("M"&amp;ROW())&lt;&gt;INDIRECT("M"&amp;ROW()+1),リスト!$I$6,"")</f>
        <v>#NAME?</v>
      </c>
    </row>
    <row r="182" spans="1:16" x14ac:dyDescent="0.2">
      <c r="A182" s="169" t="e">
        <f ca="1">IF(C182="","",ROW(行数!A174))</f>
        <v>#NAME?</v>
      </c>
      <c r="B182" s="168" t="e">
        <f t="shared" ca="1" si="17"/>
        <v>#NAME?</v>
      </c>
      <c r="C182" s="90" t="e">
        <f ca="1">[0]!CSVVLookUP(ROW(行数!A174),配列!$C$4,集計記録,3,1)</f>
        <v>#NAME?</v>
      </c>
      <c r="D182" s="90" t="e">
        <f ca="1">[0]!CSVVLookUP(ROW(行数!B174),配列!$C$4,集計記録,4,1)</f>
        <v>#NAME?</v>
      </c>
      <c r="E182" s="118" t="e">
        <f t="shared" ca="1" si="18"/>
        <v>#NAME?</v>
      </c>
      <c r="F182" s="118" t="e">
        <f t="shared" ca="1" si="19"/>
        <v>#NAME?</v>
      </c>
      <c r="G182" s="103" t="e">
        <f t="shared" ca="1" si="20"/>
        <v>#NAME?</v>
      </c>
      <c r="H182" s="104" t="e">
        <f ca="1">IF(C182="","",MROUND([0]!CSVVLookUP(ROW(行数!A174),配列!$C$4,集計記録,8,1),"0:01"))</f>
        <v>#NAME?</v>
      </c>
      <c r="I182" s="104" t="e">
        <f t="shared" ca="1" si="21"/>
        <v>#NAME?</v>
      </c>
      <c r="J182" s="119" t="e">
        <f ca="1">IF(C182="","",MROUND([0]!CSVVLookUP(ROW(行数!A174),配列!$C$4,集計記録,7,1),"0:01"))</f>
        <v>#NAME?</v>
      </c>
      <c r="K182" s="92" t="e">
        <f ca="1">IF(C182="","",[0]!CSVVLookUP(ROW(行数!A174),配列!$C$4,集計記録,5,1))</f>
        <v>#NAME?</v>
      </c>
      <c r="L182" s="104" t="e">
        <f t="shared" ca="1" si="22"/>
        <v>#NAME?</v>
      </c>
      <c r="M182" s="120" t="e">
        <f t="shared" ca="1" si="16"/>
        <v>#NAME?</v>
      </c>
      <c r="N182" s="120" t="e">
        <f ca="1">IF([0]!CSVVLookUP(ROW(行数!A174),配列!$C$4,集計記録,6,1)=0,"",[0]!CSVVLookUP(ROW(行数!A174),配列!$C$4,集計記録,6,1))</f>
        <v>#NAME?</v>
      </c>
      <c r="O182" s="88" t="e">
        <f ca="1">IF(INDIRECT("M"&amp;ROW()-1)&lt;&gt;INDIRECT("M"&amp;ROW()),リスト!$I$5,"")</f>
        <v>#NAME?</v>
      </c>
      <c r="P182" s="88" t="e">
        <f ca="1">IF(INDIRECT("M"&amp;ROW())&lt;&gt;INDIRECT("M"&amp;ROW()+1),リスト!$I$6,"")</f>
        <v>#NAME?</v>
      </c>
    </row>
    <row r="183" spans="1:16" x14ac:dyDescent="0.2">
      <c r="A183" s="169" t="e">
        <f ca="1">IF(C183="","",ROW(行数!A175))</f>
        <v>#NAME?</v>
      </c>
      <c r="B183" s="168" t="e">
        <f t="shared" ca="1" si="17"/>
        <v>#NAME?</v>
      </c>
      <c r="C183" s="90" t="e">
        <f ca="1">[0]!CSVVLookUP(ROW(行数!A175),配列!$C$4,集計記録,3,1)</f>
        <v>#NAME?</v>
      </c>
      <c r="D183" s="90" t="e">
        <f ca="1">[0]!CSVVLookUP(ROW(行数!B175),配列!$C$4,集計記録,4,1)</f>
        <v>#NAME?</v>
      </c>
      <c r="E183" s="118" t="e">
        <f t="shared" ca="1" si="18"/>
        <v>#NAME?</v>
      </c>
      <c r="F183" s="118" t="e">
        <f t="shared" ca="1" si="19"/>
        <v>#NAME?</v>
      </c>
      <c r="G183" s="103" t="e">
        <f t="shared" ca="1" si="20"/>
        <v>#NAME?</v>
      </c>
      <c r="H183" s="104" t="e">
        <f ca="1">IF(C183="","",MROUND([0]!CSVVLookUP(ROW(行数!A175),配列!$C$4,集計記録,8,1),"0:01"))</f>
        <v>#NAME?</v>
      </c>
      <c r="I183" s="104" t="e">
        <f t="shared" ca="1" si="21"/>
        <v>#NAME?</v>
      </c>
      <c r="J183" s="119" t="e">
        <f ca="1">IF(C183="","",MROUND([0]!CSVVLookUP(ROW(行数!A175),配列!$C$4,集計記録,7,1),"0:01"))</f>
        <v>#NAME?</v>
      </c>
      <c r="K183" s="92" t="e">
        <f ca="1">IF(C183="","",[0]!CSVVLookUP(ROW(行数!A175),配列!$C$4,集計記録,5,1))</f>
        <v>#NAME?</v>
      </c>
      <c r="L183" s="104" t="e">
        <f t="shared" ca="1" si="22"/>
        <v>#NAME?</v>
      </c>
      <c r="M183" s="120" t="e">
        <f t="shared" ca="1" si="16"/>
        <v>#NAME?</v>
      </c>
      <c r="N183" s="120" t="e">
        <f ca="1">IF([0]!CSVVLookUP(ROW(行数!A175),配列!$C$4,集計記録,6,1)=0,"",[0]!CSVVLookUP(ROW(行数!A175),配列!$C$4,集計記録,6,1))</f>
        <v>#NAME?</v>
      </c>
      <c r="O183" s="88" t="e">
        <f ca="1">IF(INDIRECT("M"&amp;ROW()-1)&lt;&gt;INDIRECT("M"&amp;ROW()),リスト!$I$5,"")</f>
        <v>#NAME?</v>
      </c>
      <c r="P183" s="88" t="e">
        <f ca="1">IF(INDIRECT("M"&amp;ROW())&lt;&gt;INDIRECT("M"&amp;ROW()+1),リスト!$I$6,"")</f>
        <v>#NAME?</v>
      </c>
    </row>
    <row r="184" spans="1:16" x14ac:dyDescent="0.2">
      <c r="A184" s="169" t="e">
        <f ca="1">IF(C184="","",ROW(行数!A176))</f>
        <v>#NAME?</v>
      </c>
      <c r="B184" s="168" t="e">
        <f t="shared" ca="1" si="17"/>
        <v>#NAME?</v>
      </c>
      <c r="C184" s="90" t="e">
        <f ca="1">[0]!CSVVLookUP(ROW(行数!A176),配列!$C$4,集計記録,3,1)</f>
        <v>#NAME?</v>
      </c>
      <c r="D184" s="90" t="e">
        <f ca="1">[0]!CSVVLookUP(ROW(行数!B176),配列!$C$4,集計記録,4,1)</f>
        <v>#NAME?</v>
      </c>
      <c r="E184" s="118" t="e">
        <f t="shared" ca="1" si="18"/>
        <v>#NAME?</v>
      </c>
      <c r="F184" s="118" t="e">
        <f t="shared" ca="1" si="19"/>
        <v>#NAME?</v>
      </c>
      <c r="G184" s="103" t="e">
        <f t="shared" ca="1" si="20"/>
        <v>#NAME?</v>
      </c>
      <c r="H184" s="104" t="e">
        <f ca="1">IF(C184="","",MROUND([0]!CSVVLookUP(ROW(行数!A176),配列!$C$4,集計記録,8,1),"0:01"))</f>
        <v>#NAME?</v>
      </c>
      <c r="I184" s="104" t="e">
        <f t="shared" ca="1" si="21"/>
        <v>#NAME?</v>
      </c>
      <c r="J184" s="119" t="e">
        <f ca="1">IF(C184="","",MROUND([0]!CSVVLookUP(ROW(行数!A176),配列!$C$4,集計記録,7,1),"0:01"))</f>
        <v>#NAME?</v>
      </c>
      <c r="K184" s="92" t="e">
        <f ca="1">IF(C184="","",[0]!CSVVLookUP(ROW(行数!A176),配列!$C$4,集計記録,5,1))</f>
        <v>#NAME?</v>
      </c>
      <c r="L184" s="104" t="e">
        <f t="shared" ca="1" si="22"/>
        <v>#NAME?</v>
      </c>
      <c r="M184" s="120" t="e">
        <f t="shared" ca="1" si="16"/>
        <v>#NAME?</v>
      </c>
      <c r="N184" s="120" t="e">
        <f ca="1">IF([0]!CSVVLookUP(ROW(行数!A176),配列!$C$4,集計記録,6,1)=0,"",[0]!CSVVLookUP(ROW(行数!A176),配列!$C$4,集計記録,6,1))</f>
        <v>#NAME?</v>
      </c>
      <c r="O184" s="88" t="e">
        <f ca="1">IF(INDIRECT("M"&amp;ROW()-1)&lt;&gt;INDIRECT("M"&amp;ROW()),リスト!$I$5,"")</f>
        <v>#NAME?</v>
      </c>
      <c r="P184" s="88" t="e">
        <f ca="1">IF(INDIRECT("M"&amp;ROW())&lt;&gt;INDIRECT("M"&amp;ROW()+1),リスト!$I$6,"")</f>
        <v>#NAME?</v>
      </c>
    </row>
    <row r="185" spans="1:16" x14ac:dyDescent="0.2">
      <c r="A185" s="169" t="e">
        <f ca="1">IF(C185="","",ROW(行数!A177))</f>
        <v>#NAME?</v>
      </c>
      <c r="B185" s="168" t="e">
        <f t="shared" ca="1" si="17"/>
        <v>#NAME?</v>
      </c>
      <c r="C185" s="90" t="e">
        <f ca="1">[0]!CSVVLookUP(ROW(行数!A177),配列!$C$4,集計記録,3,1)</f>
        <v>#NAME?</v>
      </c>
      <c r="D185" s="90" t="e">
        <f ca="1">[0]!CSVVLookUP(ROW(行数!B177),配列!$C$4,集計記録,4,1)</f>
        <v>#NAME?</v>
      </c>
      <c r="E185" s="118" t="e">
        <f t="shared" ca="1" si="18"/>
        <v>#NAME?</v>
      </c>
      <c r="F185" s="118" t="e">
        <f t="shared" ca="1" si="19"/>
        <v>#NAME?</v>
      </c>
      <c r="G185" s="103" t="e">
        <f t="shared" ca="1" si="20"/>
        <v>#NAME?</v>
      </c>
      <c r="H185" s="104" t="e">
        <f ca="1">IF(C185="","",MROUND([0]!CSVVLookUP(ROW(行数!A177),配列!$C$4,集計記録,8,1),"0:01"))</f>
        <v>#NAME?</v>
      </c>
      <c r="I185" s="104" t="e">
        <f t="shared" ca="1" si="21"/>
        <v>#NAME?</v>
      </c>
      <c r="J185" s="119" t="e">
        <f ca="1">IF(C185="","",MROUND([0]!CSVVLookUP(ROW(行数!A177),配列!$C$4,集計記録,7,1),"0:01"))</f>
        <v>#NAME?</v>
      </c>
      <c r="K185" s="92" t="e">
        <f ca="1">IF(C185="","",[0]!CSVVLookUP(ROW(行数!A177),配列!$C$4,集計記録,5,1))</f>
        <v>#NAME?</v>
      </c>
      <c r="L185" s="104" t="e">
        <f t="shared" ca="1" si="22"/>
        <v>#NAME?</v>
      </c>
      <c r="M185" s="120" t="e">
        <f t="shared" ca="1" si="16"/>
        <v>#NAME?</v>
      </c>
      <c r="N185" s="120" t="e">
        <f ca="1">IF([0]!CSVVLookUP(ROW(行数!A177),配列!$C$4,集計記録,6,1)=0,"",[0]!CSVVLookUP(ROW(行数!A177),配列!$C$4,集計記録,6,1))</f>
        <v>#NAME?</v>
      </c>
      <c r="O185" s="88" t="e">
        <f ca="1">IF(INDIRECT("M"&amp;ROW()-1)&lt;&gt;INDIRECT("M"&amp;ROW()),リスト!$I$5,"")</f>
        <v>#NAME?</v>
      </c>
      <c r="P185" s="88" t="e">
        <f ca="1">IF(INDIRECT("M"&amp;ROW())&lt;&gt;INDIRECT("M"&amp;ROW()+1),リスト!$I$6,"")</f>
        <v>#NAME?</v>
      </c>
    </row>
    <row r="186" spans="1:16" x14ac:dyDescent="0.2">
      <c r="A186" s="169" t="e">
        <f ca="1">IF(C186="","",ROW(行数!A178))</f>
        <v>#NAME?</v>
      </c>
      <c r="B186" s="168" t="e">
        <f t="shared" ca="1" si="17"/>
        <v>#NAME?</v>
      </c>
      <c r="C186" s="90" t="e">
        <f ca="1">[0]!CSVVLookUP(ROW(行数!A178),配列!$C$4,集計記録,3,1)</f>
        <v>#NAME?</v>
      </c>
      <c r="D186" s="90" t="e">
        <f ca="1">[0]!CSVVLookUP(ROW(行数!B178),配列!$C$4,集計記録,4,1)</f>
        <v>#NAME?</v>
      </c>
      <c r="E186" s="118" t="e">
        <f t="shared" ca="1" si="18"/>
        <v>#NAME?</v>
      </c>
      <c r="F186" s="118" t="e">
        <f t="shared" ca="1" si="19"/>
        <v>#NAME?</v>
      </c>
      <c r="G186" s="103" t="e">
        <f t="shared" ca="1" si="20"/>
        <v>#NAME?</v>
      </c>
      <c r="H186" s="104" t="e">
        <f ca="1">IF(C186="","",MROUND([0]!CSVVLookUP(ROW(行数!A178),配列!$C$4,集計記録,8,1),"0:01"))</f>
        <v>#NAME?</v>
      </c>
      <c r="I186" s="104" t="e">
        <f t="shared" ca="1" si="21"/>
        <v>#NAME?</v>
      </c>
      <c r="J186" s="119" t="e">
        <f ca="1">IF(C186="","",MROUND([0]!CSVVLookUP(ROW(行数!A178),配列!$C$4,集計記録,7,1),"0:01"))</f>
        <v>#NAME?</v>
      </c>
      <c r="K186" s="92" t="e">
        <f ca="1">IF(C186="","",[0]!CSVVLookUP(ROW(行数!A178),配列!$C$4,集計記録,5,1))</f>
        <v>#NAME?</v>
      </c>
      <c r="L186" s="104" t="e">
        <f t="shared" ca="1" si="22"/>
        <v>#NAME?</v>
      </c>
      <c r="M186" s="120" t="e">
        <f t="shared" ca="1" si="16"/>
        <v>#NAME?</v>
      </c>
      <c r="N186" s="120" t="e">
        <f ca="1">IF([0]!CSVVLookUP(ROW(行数!A178),配列!$C$4,集計記録,6,1)=0,"",[0]!CSVVLookUP(ROW(行数!A178),配列!$C$4,集計記録,6,1))</f>
        <v>#NAME?</v>
      </c>
      <c r="O186" s="88" t="e">
        <f ca="1">IF(INDIRECT("M"&amp;ROW()-1)&lt;&gt;INDIRECT("M"&amp;ROW()),リスト!$I$5,"")</f>
        <v>#NAME?</v>
      </c>
      <c r="P186" s="88" t="e">
        <f ca="1">IF(INDIRECT("M"&amp;ROW())&lt;&gt;INDIRECT("M"&amp;ROW()+1),リスト!$I$6,"")</f>
        <v>#NAME?</v>
      </c>
    </row>
    <row r="187" spans="1:16" x14ac:dyDescent="0.2">
      <c r="A187" s="169" t="e">
        <f ca="1">IF(C187="","",ROW(行数!A179))</f>
        <v>#NAME?</v>
      </c>
      <c r="B187" s="168" t="e">
        <f t="shared" ca="1" si="17"/>
        <v>#NAME?</v>
      </c>
      <c r="C187" s="90" t="e">
        <f ca="1">[0]!CSVVLookUP(ROW(行数!A179),配列!$C$4,集計記録,3,1)</f>
        <v>#NAME?</v>
      </c>
      <c r="D187" s="90" t="e">
        <f ca="1">[0]!CSVVLookUP(ROW(行数!B179),配列!$C$4,集計記録,4,1)</f>
        <v>#NAME?</v>
      </c>
      <c r="E187" s="118" t="e">
        <f t="shared" ca="1" si="18"/>
        <v>#NAME?</v>
      </c>
      <c r="F187" s="118" t="e">
        <f t="shared" ca="1" si="19"/>
        <v>#NAME?</v>
      </c>
      <c r="G187" s="103" t="e">
        <f t="shared" ca="1" si="20"/>
        <v>#NAME?</v>
      </c>
      <c r="H187" s="104" t="e">
        <f ca="1">IF(C187="","",MROUND([0]!CSVVLookUP(ROW(行数!A179),配列!$C$4,集計記録,8,1),"0:01"))</f>
        <v>#NAME?</v>
      </c>
      <c r="I187" s="104" t="e">
        <f t="shared" ca="1" si="21"/>
        <v>#NAME?</v>
      </c>
      <c r="J187" s="119" t="e">
        <f ca="1">IF(C187="","",MROUND([0]!CSVVLookUP(ROW(行数!A179),配列!$C$4,集計記録,7,1),"0:01"))</f>
        <v>#NAME?</v>
      </c>
      <c r="K187" s="92" t="e">
        <f ca="1">IF(C187="","",[0]!CSVVLookUP(ROW(行数!A179),配列!$C$4,集計記録,5,1))</f>
        <v>#NAME?</v>
      </c>
      <c r="L187" s="104" t="e">
        <f t="shared" ca="1" si="22"/>
        <v>#NAME?</v>
      </c>
      <c r="M187" s="120" t="e">
        <f t="shared" ca="1" si="16"/>
        <v>#NAME?</v>
      </c>
      <c r="N187" s="120" t="e">
        <f ca="1">IF([0]!CSVVLookUP(ROW(行数!A179),配列!$C$4,集計記録,6,1)=0,"",[0]!CSVVLookUP(ROW(行数!A179),配列!$C$4,集計記録,6,1))</f>
        <v>#NAME?</v>
      </c>
      <c r="O187" s="88" t="e">
        <f ca="1">IF(INDIRECT("M"&amp;ROW()-1)&lt;&gt;INDIRECT("M"&amp;ROW()),リスト!$I$5,"")</f>
        <v>#NAME?</v>
      </c>
      <c r="P187" s="88" t="e">
        <f ca="1">IF(INDIRECT("M"&amp;ROW())&lt;&gt;INDIRECT("M"&amp;ROW()+1),リスト!$I$6,"")</f>
        <v>#NAME?</v>
      </c>
    </row>
    <row r="188" spans="1:16" x14ac:dyDescent="0.2">
      <c r="A188" s="169" t="e">
        <f ca="1">IF(C188="","",ROW(行数!A180))</f>
        <v>#NAME?</v>
      </c>
      <c r="B188" s="168" t="e">
        <f t="shared" ca="1" si="17"/>
        <v>#NAME?</v>
      </c>
      <c r="C188" s="90" t="e">
        <f ca="1">[0]!CSVVLookUP(ROW(行数!A180),配列!$C$4,集計記録,3,1)</f>
        <v>#NAME?</v>
      </c>
      <c r="D188" s="90" t="e">
        <f ca="1">[0]!CSVVLookUP(ROW(行数!B180),配列!$C$4,集計記録,4,1)</f>
        <v>#NAME?</v>
      </c>
      <c r="E188" s="118" t="e">
        <f t="shared" ca="1" si="18"/>
        <v>#NAME?</v>
      </c>
      <c r="F188" s="118" t="e">
        <f t="shared" ca="1" si="19"/>
        <v>#NAME?</v>
      </c>
      <c r="G188" s="103" t="e">
        <f t="shared" ca="1" si="20"/>
        <v>#NAME?</v>
      </c>
      <c r="H188" s="104" t="e">
        <f ca="1">IF(C188="","",MROUND([0]!CSVVLookUP(ROW(行数!A180),配列!$C$4,集計記録,8,1),"0:01"))</f>
        <v>#NAME?</v>
      </c>
      <c r="I188" s="104" t="e">
        <f t="shared" ca="1" si="21"/>
        <v>#NAME?</v>
      </c>
      <c r="J188" s="119" t="e">
        <f ca="1">IF(C188="","",MROUND([0]!CSVVLookUP(ROW(行数!A180),配列!$C$4,集計記録,7,1),"0:01"))</f>
        <v>#NAME?</v>
      </c>
      <c r="K188" s="92" t="e">
        <f ca="1">IF(C188="","",[0]!CSVVLookUP(ROW(行数!A180),配列!$C$4,集計記録,5,1))</f>
        <v>#NAME?</v>
      </c>
      <c r="L188" s="104" t="e">
        <f t="shared" ca="1" si="22"/>
        <v>#NAME?</v>
      </c>
      <c r="M188" s="120" t="e">
        <f t="shared" ca="1" si="16"/>
        <v>#NAME?</v>
      </c>
      <c r="N188" s="120" t="e">
        <f ca="1">IF([0]!CSVVLookUP(ROW(行数!A180),配列!$C$4,集計記録,6,1)=0,"",[0]!CSVVLookUP(ROW(行数!A180),配列!$C$4,集計記録,6,1))</f>
        <v>#NAME?</v>
      </c>
      <c r="O188" s="88" t="e">
        <f ca="1">IF(INDIRECT("M"&amp;ROW()-1)&lt;&gt;INDIRECT("M"&amp;ROW()),リスト!$I$5,"")</f>
        <v>#NAME?</v>
      </c>
      <c r="P188" s="88" t="e">
        <f ca="1">IF(INDIRECT("M"&amp;ROW())&lt;&gt;INDIRECT("M"&amp;ROW()+1),リスト!$I$6,"")</f>
        <v>#NAME?</v>
      </c>
    </row>
    <row r="189" spans="1:16" x14ac:dyDescent="0.2">
      <c r="A189" s="169" t="e">
        <f ca="1">IF(C189="","",ROW(行数!A181))</f>
        <v>#NAME?</v>
      </c>
      <c r="B189" s="168" t="e">
        <f t="shared" ca="1" si="17"/>
        <v>#NAME?</v>
      </c>
      <c r="C189" s="90" t="e">
        <f ca="1">[0]!CSVVLookUP(ROW(行数!A181),配列!$C$4,集計記録,3,1)</f>
        <v>#NAME?</v>
      </c>
      <c r="D189" s="90" t="e">
        <f ca="1">[0]!CSVVLookUP(ROW(行数!B181),配列!$C$4,集計記録,4,1)</f>
        <v>#NAME?</v>
      </c>
      <c r="E189" s="118" t="e">
        <f t="shared" ca="1" si="18"/>
        <v>#NAME?</v>
      </c>
      <c r="F189" s="118" t="e">
        <f t="shared" ca="1" si="19"/>
        <v>#NAME?</v>
      </c>
      <c r="G189" s="103" t="e">
        <f t="shared" ca="1" si="20"/>
        <v>#NAME?</v>
      </c>
      <c r="H189" s="104" t="e">
        <f ca="1">IF(C189="","",MROUND([0]!CSVVLookUP(ROW(行数!A181),配列!$C$4,集計記録,8,1),"0:01"))</f>
        <v>#NAME?</v>
      </c>
      <c r="I189" s="104" t="e">
        <f t="shared" ca="1" si="21"/>
        <v>#NAME?</v>
      </c>
      <c r="J189" s="119" t="e">
        <f ca="1">IF(C189="","",MROUND([0]!CSVVLookUP(ROW(行数!A181),配列!$C$4,集計記録,7,1),"0:01"))</f>
        <v>#NAME?</v>
      </c>
      <c r="K189" s="92" t="e">
        <f ca="1">IF(C189="","",[0]!CSVVLookUP(ROW(行数!A181),配列!$C$4,集計記録,5,1))</f>
        <v>#NAME?</v>
      </c>
      <c r="L189" s="104" t="e">
        <f t="shared" ca="1" si="22"/>
        <v>#NAME?</v>
      </c>
      <c r="M189" s="120" t="e">
        <f t="shared" ca="1" si="16"/>
        <v>#NAME?</v>
      </c>
      <c r="N189" s="120" t="e">
        <f ca="1">IF([0]!CSVVLookUP(ROW(行数!A181),配列!$C$4,集計記録,6,1)=0,"",[0]!CSVVLookUP(ROW(行数!A181),配列!$C$4,集計記録,6,1))</f>
        <v>#NAME?</v>
      </c>
      <c r="O189" s="88" t="e">
        <f ca="1">IF(INDIRECT("M"&amp;ROW()-1)&lt;&gt;INDIRECT("M"&amp;ROW()),リスト!$I$5,"")</f>
        <v>#NAME?</v>
      </c>
      <c r="P189" s="88" t="e">
        <f ca="1">IF(INDIRECT("M"&amp;ROW())&lt;&gt;INDIRECT("M"&amp;ROW()+1),リスト!$I$6,"")</f>
        <v>#NAME?</v>
      </c>
    </row>
    <row r="190" spans="1:16" x14ac:dyDescent="0.2">
      <c r="A190" s="169" t="e">
        <f ca="1">IF(C190="","",ROW(行数!A182))</f>
        <v>#NAME?</v>
      </c>
      <c r="B190" s="168" t="e">
        <f t="shared" ca="1" si="17"/>
        <v>#NAME?</v>
      </c>
      <c r="C190" s="90" t="e">
        <f ca="1">[0]!CSVVLookUP(ROW(行数!A182),配列!$C$4,集計記録,3,1)</f>
        <v>#NAME?</v>
      </c>
      <c r="D190" s="90" t="e">
        <f ca="1">[0]!CSVVLookUP(ROW(行数!B182),配列!$C$4,集計記録,4,1)</f>
        <v>#NAME?</v>
      </c>
      <c r="E190" s="118" t="e">
        <f t="shared" ca="1" si="18"/>
        <v>#NAME?</v>
      </c>
      <c r="F190" s="118" t="e">
        <f t="shared" ca="1" si="19"/>
        <v>#NAME?</v>
      </c>
      <c r="G190" s="103" t="e">
        <f t="shared" ca="1" si="20"/>
        <v>#NAME?</v>
      </c>
      <c r="H190" s="104" t="e">
        <f ca="1">IF(C190="","",MROUND([0]!CSVVLookUP(ROW(行数!A182),配列!$C$4,集計記録,8,1),"0:01"))</f>
        <v>#NAME?</v>
      </c>
      <c r="I190" s="104" t="e">
        <f t="shared" ca="1" si="21"/>
        <v>#NAME?</v>
      </c>
      <c r="J190" s="119" t="e">
        <f ca="1">IF(C190="","",MROUND([0]!CSVVLookUP(ROW(行数!A182),配列!$C$4,集計記録,7,1),"0:01"))</f>
        <v>#NAME?</v>
      </c>
      <c r="K190" s="92" t="e">
        <f ca="1">IF(C190="","",[0]!CSVVLookUP(ROW(行数!A182),配列!$C$4,集計記録,5,1))</f>
        <v>#NAME?</v>
      </c>
      <c r="L190" s="104" t="e">
        <f t="shared" ca="1" si="22"/>
        <v>#NAME?</v>
      </c>
      <c r="M190" s="120" t="e">
        <f t="shared" ca="1" si="16"/>
        <v>#NAME?</v>
      </c>
      <c r="N190" s="120" t="e">
        <f ca="1">IF([0]!CSVVLookUP(ROW(行数!A182),配列!$C$4,集計記録,6,1)=0,"",[0]!CSVVLookUP(ROW(行数!A182),配列!$C$4,集計記録,6,1))</f>
        <v>#NAME?</v>
      </c>
      <c r="O190" s="88" t="e">
        <f ca="1">IF(INDIRECT("M"&amp;ROW()-1)&lt;&gt;INDIRECT("M"&amp;ROW()),リスト!$I$5,"")</f>
        <v>#NAME?</v>
      </c>
      <c r="P190" s="88" t="e">
        <f ca="1">IF(INDIRECT("M"&amp;ROW())&lt;&gt;INDIRECT("M"&amp;ROW()+1),リスト!$I$6,"")</f>
        <v>#NAME?</v>
      </c>
    </row>
    <row r="191" spans="1:16" x14ac:dyDescent="0.2">
      <c r="A191" s="169" t="e">
        <f ca="1">IF(C191="","",ROW(行数!A183))</f>
        <v>#NAME?</v>
      </c>
      <c r="B191" s="168" t="e">
        <f t="shared" ca="1" si="17"/>
        <v>#NAME?</v>
      </c>
      <c r="C191" s="90" t="e">
        <f ca="1">[0]!CSVVLookUP(ROW(行数!A183),配列!$C$4,集計記録,3,1)</f>
        <v>#NAME?</v>
      </c>
      <c r="D191" s="90" t="e">
        <f ca="1">[0]!CSVVLookUP(ROW(行数!B183),配列!$C$4,集計記録,4,1)</f>
        <v>#NAME?</v>
      </c>
      <c r="E191" s="118" t="e">
        <f t="shared" ca="1" si="18"/>
        <v>#NAME?</v>
      </c>
      <c r="F191" s="118" t="e">
        <f t="shared" ca="1" si="19"/>
        <v>#NAME?</v>
      </c>
      <c r="G191" s="103" t="e">
        <f t="shared" ca="1" si="20"/>
        <v>#NAME?</v>
      </c>
      <c r="H191" s="104" t="e">
        <f ca="1">IF(C191="","",MROUND([0]!CSVVLookUP(ROW(行数!A183),配列!$C$4,集計記録,8,1),"0:01"))</f>
        <v>#NAME?</v>
      </c>
      <c r="I191" s="104" t="e">
        <f t="shared" ca="1" si="21"/>
        <v>#NAME?</v>
      </c>
      <c r="J191" s="119" t="e">
        <f ca="1">IF(C191="","",MROUND([0]!CSVVLookUP(ROW(行数!A183),配列!$C$4,集計記録,7,1),"0:01"))</f>
        <v>#NAME?</v>
      </c>
      <c r="K191" s="92" t="e">
        <f ca="1">IF(C191="","",[0]!CSVVLookUP(ROW(行数!A183),配列!$C$4,集計記録,5,1))</f>
        <v>#NAME?</v>
      </c>
      <c r="L191" s="104" t="e">
        <f t="shared" ca="1" si="22"/>
        <v>#NAME?</v>
      </c>
      <c r="M191" s="120" t="e">
        <f t="shared" ca="1" si="16"/>
        <v>#NAME?</v>
      </c>
      <c r="N191" s="120" t="e">
        <f ca="1">IF([0]!CSVVLookUP(ROW(行数!A183),配列!$C$4,集計記録,6,1)=0,"",[0]!CSVVLookUP(ROW(行数!A183),配列!$C$4,集計記録,6,1))</f>
        <v>#NAME?</v>
      </c>
      <c r="O191" s="88" t="e">
        <f ca="1">IF(INDIRECT("M"&amp;ROW()-1)&lt;&gt;INDIRECT("M"&amp;ROW()),リスト!$I$5,"")</f>
        <v>#NAME?</v>
      </c>
      <c r="P191" s="88" t="e">
        <f ca="1">IF(INDIRECT("M"&amp;ROW())&lt;&gt;INDIRECT("M"&amp;ROW()+1),リスト!$I$6,"")</f>
        <v>#NAME?</v>
      </c>
    </row>
    <row r="192" spans="1:16" x14ac:dyDescent="0.2">
      <c r="A192" s="169" t="e">
        <f ca="1">IF(C192="","",ROW(行数!A184))</f>
        <v>#NAME?</v>
      </c>
      <c r="B192" s="168" t="e">
        <f t="shared" ca="1" si="17"/>
        <v>#NAME?</v>
      </c>
      <c r="C192" s="90" t="e">
        <f ca="1">[0]!CSVVLookUP(ROW(行数!A184),配列!$C$4,集計記録,3,1)</f>
        <v>#NAME?</v>
      </c>
      <c r="D192" s="90" t="e">
        <f ca="1">[0]!CSVVLookUP(ROW(行数!B184),配列!$C$4,集計記録,4,1)</f>
        <v>#NAME?</v>
      </c>
      <c r="E192" s="118" t="e">
        <f t="shared" ca="1" si="18"/>
        <v>#NAME?</v>
      </c>
      <c r="F192" s="118" t="e">
        <f t="shared" ca="1" si="19"/>
        <v>#NAME?</v>
      </c>
      <c r="G192" s="103" t="e">
        <f t="shared" ca="1" si="20"/>
        <v>#NAME?</v>
      </c>
      <c r="H192" s="104" t="e">
        <f ca="1">IF(C192="","",MROUND([0]!CSVVLookUP(ROW(行数!A184),配列!$C$4,集計記録,8,1),"0:01"))</f>
        <v>#NAME?</v>
      </c>
      <c r="I192" s="104" t="e">
        <f t="shared" ca="1" si="21"/>
        <v>#NAME?</v>
      </c>
      <c r="J192" s="119" t="e">
        <f ca="1">IF(C192="","",MROUND([0]!CSVVLookUP(ROW(行数!A184),配列!$C$4,集計記録,7,1),"0:01"))</f>
        <v>#NAME?</v>
      </c>
      <c r="K192" s="92" t="e">
        <f ca="1">IF(C192="","",[0]!CSVVLookUP(ROW(行数!A184),配列!$C$4,集計記録,5,1))</f>
        <v>#NAME?</v>
      </c>
      <c r="L192" s="104" t="e">
        <f t="shared" ca="1" si="22"/>
        <v>#NAME?</v>
      </c>
      <c r="M192" s="120" t="e">
        <f t="shared" ca="1" si="16"/>
        <v>#NAME?</v>
      </c>
      <c r="N192" s="120" t="e">
        <f ca="1">IF([0]!CSVVLookUP(ROW(行数!A184),配列!$C$4,集計記録,6,1)=0,"",[0]!CSVVLookUP(ROW(行数!A184),配列!$C$4,集計記録,6,1))</f>
        <v>#NAME?</v>
      </c>
      <c r="O192" s="88" t="e">
        <f ca="1">IF(INDIRECT("M"&amp;ROW()-1)&lt;&gt;INDIRECT("M"&amp;ROW()),リスト!$I$5,"")</f>
        <v>#NAME?</v>
      </c>
      <c r="P192" s="88" t="e">
        <f ca="1">IF(INDIRECT("M"&amp;ROW())&lt;&gt;INDIRECT("M"&amp;ROW()+1),リスト!$I$6,"")</f>
        <v>#NAME?</v>
      </c>
    </row>
    <row r="193" spans="1:16" x14ac:dyDescent="0.2">
      <c r="A193" s="169" t="e">
        <f ca="1">IF(C193="","",ROW(行数!A185))</f>
        <v>#NAME?</v>
      </c>
      <c r="B193" s="168" t="e">
        <f t="shared" ca="1" si="17"/>
        <v>#NAME?</v>
      </c>
      <c r="C193" s="90" t="e">
        <f ca="1">[0]!CSVVLookUP(ROW(行数!A185),配列!$C$4,集計記録,3,1)</f>
        <v>#NAME?</v>
      </c>
      <c r="D193" s="90" t="e">
        <f ca="1">[0]!CSVVLookUP(ROW(行数!B185),配列!$C$4,集計記録,4,1)</f>
        <v>#NAME?</v>
      </c>
      <c r="E193" s="118" t="e">
        <f t="shared" ca="1" si="18"/>
        <v>#NAME?</v>
      </c>
      <c r="F193" s="118" t="e">
        <f t="shared" ca="1" si="19"/>
        <v>#NAME?</v>
      </c>
      <c r="G193" s="103" t="e">
        <f t="shared" ca="1" si="20"/>
        <v>#NAME?</v>
      </c>
      <c r="H193" s="104" t="e">
        <f ca="1">IF(C193="","",MROUND([0]!CSVVLookUP(ROW(行数!A185),配列!$C$4,集計記録,8,1),"0:01"))</f>
        <v>#NAME?</v>
      </c>
      <c r="I193" s="104" t="e">
        <f t="shared" ca="1" si="21"/>
        <v>#NAME?</v>
      </c>
      <c r="J193" s="119" t="e">
        <f ca="1">IF(C193="","",MROUND([0]!CSVVLookUP(ROW(行数!A185),配列!$C$4,集計記録,7,1),"0:01"))</f>
        <v>#NAME?</v>
      </c>
      <c r="K193" s="92" t="e">
        <f ca="1">IF(C193="","",[0]!CSVVLookUP(ROW(行数!A185),配列!$C$4,集計記録,5,1))</f>
        <v>#NAME?</v>
      </c>
      <c r="L193" s="104" t="e">
        <f t="shared" ca="1" si="22"/>
        <v>#NAME?</v>
      </c>
      <c r="M193" s="120" t="e">
        <f t="shared" ca="1" si="16"/>
        <v>#NAME?</v>
      </c>
      <c r="N193" s="120" t="e">
        <f ca="1">IF([0]!CSVVLookUP(ROW(行数!A185),配列!$C$4,集計記録,6,1)=0,"",[0]!CSVVLookUP(ROW(行数!A185),配列!$C$4,集計記録,6,1))</f>
        <v>#NAME?</v>
      </c>
      <c r="O193" s="88" t="e">
        <f ca="1">IF(INDIRECT("M"&amp;ROW()-1)&lt;&gt;INDIRECT("M"&amp;ROW()),リスト!$I$5,"")</f>
        <v>#NAME?</v>
      </c>
      <c r="P193" s="88" t="e">
        <f ca="1">IF(INDIRECT("M"&amp;ROW())&lt;&gt;INDIRECT("M"&amp;ROW()+1),リスト!$I$6,"")</f>
        <v>#NAME?</v>
      </c>
    </row>
    <row r="194" spans="1:16" x14ac:dyDescent="0.2">
      <c r="A194" s="169" t="e">
        <f ca="1">IF(C194="","",ROW(行数!A186))</f>
        <v>#NAME?</v>
      </c>
      <c r="B194" s="168" t="e">
        <f t="shared" ca="1" si="17"/>
        <v>#NAME?</v>
      </c>
      <c r="C194" s="90" t="e">
        <f ca="1">[0]!CSVVLookUP(ROW(行数!A186),配列!$C$4,集計記録,3,1)</f>
        <v>#NAME?</v>
      </c>
      <c r="D194" s="90" t="e">
        <f ca="1">[0]!CSVVLookUP(ROW(行数!B186),配列!$C$4,集計記録,4,1)</f>
        <v>#NAME?</v>
      </c>
      <c r="E194" s="118" t="e">
        <f t="shared" ca="1" si="18"/>
        <v>#NAME?</v>
      </c>
      <c r="F194" s="118" t="e">
        <f t="shared" ca="1" si="19"/>
        <v>#NAME?</v>
      </c>
      <c r="G194" s="103" t="e">
        <f t="shared" ca="1" si="20"/>
        <v>#NAME?</v>
      </c>
      <c r="H194" s="104" t="e">
        <f ca="1">IF(C194="","",MROUND([0]!CSVVLookUP(ROW(行数!A186),配列!$C$4,集計記録,8,1),"0:01"))</f>
        <v>#NAME?</v>
      </c>
      <c r="I194" s="104" t="e">
        <f t="shared" ca="1" si="21"/>
        <v>#NAME?</v>
      </c>
      <c r="J194" s="119" t="e">
        <f ca="1">IF(C194="","",MROUND([0]!CSVVLookUP(ROW(行数!A186),配列!$C$4,集計記録,7,1),"0:01"))</f>
        <v>#NAME?</v>
      </c>
      <c r="K194" s="92" t="e">
        <f ca="1">IF(C194="","",[0]!CSVVLookUP(ROW(行数!A186),配列!$C$4,集計記録,5,1))</f>
        <v>#NAME?</v>
      </c>
      <c r="L194" s="104" t="e">
        <f t="shared" ca="1" si="22"/>
        <v>#NAME?</v>
      </c>
      <c r="M194" s="120" t="e">
        <f t="shared" ca="1" si="16"/>
        <v>#NAME?</v>
      </c>
      <c r="N194" s="120" t="e">
        <f ca="1">IF([0]!CSVVLookUP(ROW(行数!A186),配列!$C$4,集計記録,6,1)=0,"",[0]!CSVVLookUP(ROW(行数!A186),配列!$C$4,集計記録,6,1))</f>
        <v>#NAME?</v>
      </c>
      <c r="O194" s="88" t="e">
        <f ca="1">IF(INDIRECT("M"&amp;ROW()-1)&lt;&gt;INDIRECT("M"&amp;ROW()),リスト!$I$5,"")</f>
        <v>#NAME?</v>
      </c>
      <c r="P194" s="88" t="e">
        <f ca="1">IF(INDIRECT("M"&amp;ROW())&lt;&gt;INDIRECT("M"&amp;ROW()+1),リスト!$I$6,"")</f>
        <v>#NAME?</v>
      </c>
    </row>
    <row r="195" spans="1:16" x14ac:dyDescent="0.2">
      <c r="A195" s="169" t="e">
        <f ca="1">IF(C195="","",ROW(行数!A187))</f>
        <v>#NAME?</v>
      </c>
      <c r="B195" s="168" t="e">
        <f t="shared" ca="1" si="17"/>
        <v>#NAME?</v>
      </c>
      <c r="C195" s="90" t="e">
        <f ca="1">[0]!CSVVLookUP(ROW(行数!A187),配列!$C$4,集計記録,3,1)</f>
        <v>#NAME?</v>
      </c>
      <c r="D195" s="90" t="e">
        <f ca="1">[0]!CSVVLookUP(ROW(行数!B187),配列!$C$4,集計記録,4,1)</f>
        <v>#NAME?</v>
      </c>
      <c r="E195" s="118" t="e">
        <f t="shared" ca="1" si="18"/>
        <v>#NAME?</v>
      </c>
      <c r="F195" s="118" t="e">
        <f t="shared" ca="1" si="19"/>
        <v>#NAME?</v>
      </c>
      <c r="G195" s="103" t="e">
        <f t="shared" ca="1" si="20"/>
        <v>#NAME?</v>
      </c>
      <c r="H195" s="104" t="e">
        <f ca="1">IF(C195="","",MROUND([0]!CSVVLookUP(ROW(行数!A187),配列!$C$4,集計記録,8,1),"0:01"))</f>
        <v>#NAME?</v>
      </c>
      <c r="I195" s="104" t="e">
        <f t="shared" ca="1" si="21"/>
        <v>#NAME?</v>
      </c>
      <c r="J195" s="119" t="e">
        <f ca="1">IF(C195="","",MROUND([0]!CSVVLookUP(ROW(行数!A187),配列!$C$4,集計記録,7,1),"0:01"))</f>
        <v>#NAME?</v>
      </c>
      <c r="K195" s="92" t="e">
        <f ca="1">IF(C195="","",[0]!CSVVLookUP(ROW(行数!A187),配列!$C$4,集計記録,5,1))</f>
        <v>#NAME?</v>
      </c>
      <c r="L195" s="104" t="e">
        <f t="shared" ca="1" si="22"/>
        <v>#NAME?</v>
      </c>
      <c r="M195" s="120" t="e">
        <f t="shared" ca="1" si="16"/>
        <v>#NAME?</v>
      </c>
      <c r="N195" s="120" t="e">
        <f ca="1">IF([0]!CSVVLookUP(ROW(行数!A187),配列!$C$4,集計記録,6,1)=0,"",[0]!CSVVLookUP(ROW(行数!A187),配列!$C$4,集計記録,6,1))</f>
        <v>#NAME?</v>
      </c>
      <c r="O195" s="88" t="e">
        <f ca="1">IF(INDIRECT("M"&amp;ROW()-1)&lt;&gt;INDIRECT("M"&amp;ROW()),リスト!$I$5,"")</f>
        <v>#NAME?</v>
      </c>
      <c r="P195" s="88" t="e">
        <f ca="1">IF(INDIRECT("M"&amp;ROW())&lt;&gt;INDIRECT("M"&amp;ROW()+1),リスト!$I$6,"")</f>
        <v>#NAME?</v>
      </c>
    </row>
    <row r="196" spans="1:16" x14ac:dyDescent="0.2">
      <c r="A196" s="169" t="e">
        <f ca="1">IF(C196="","",ROW(行数!A188))</f>
        <v>#NAME?</v>
      </c>
      <c r="B196" s="168" t="e">
        <f t="shared" ca="1" si="17"/>
        <v>#NAME?</v>
      </c>
      <c r="C196" s="90" t="e">
        <f ca="1">[0]!CSVVLookUP(ROW(行数!A188),配列!$C$4,集計記録,3,1)</f>
        <v>#NAME?</v>
      </c>
      <c r="D196" s="90" t="e">
        <f ca="1">[0]!CSVVLookUP(ROW(行数!B188),配列!$C$4,集計記録,4,1)</f>
        <v>#NAME?</v>
      </c>
      <c r="E196" s="118" t="e">
        <f t="shared" ca="1" si="18"/>
        <v>#NAME?</v>
      </c>
      <c r="F196" s="118" t="e">
        <f t="shared" ca="1" si="19"/>
        <v>#NAME?</v>
      </c>
      <c r="G196" s="103" t="e">
        <f t="shared" ca="1" si="20"/>
        <v>#NAME?</v>
      </c>
      <c r="H196" s="104" t="e">
        <f ca="1">IF(C196="","",MROUND([0]!CSVVLookUP(ROW(行数!A188),配列!$C$4,集計記録,8,1),"0:01"))</f>
        <v>#NAME?</v>
      </c>
      <c r="I196" s="104" t="e">
        <f t="shared" ca="1" si="21"/>
        <v>#NAME?</v>
      </c>
      <c r="J196" s="119" t="e">
        <f ca="1">IF(C196="","",MROUND([0]!CSVVLookUP(ROW(行数!A188),配列!$C$4,集計記録,7,1),"0:01"))</f>
        <v>#NAME?</v>
      </c>
      <c r="K196" s="92" t="e">
        <f ca="1">IF(C196="","",[0]!CSVVLookUP(ROW(行数!A188),配列!$C$4,集計記録,5,1))</f>
        <v>#NAME?</v>
      </c>
      <c r="L196" s="104" t="e">
        <f t="shared" ca="1" si="22"/>
        <v>#NAME?</v>
      </c>
      <c r="M196" s="120" t="e">
        <f t="shared" ca="1" si="16"/>
        <v>#NAME?</v>
      </c>
      <c r="N196" s="120" t="e">
        <f ca="1">IF([0]!CSVVLookUP(ROW(行数!A188),配列!$C$4,集計記録,6,1)=0,"",[0]!CSVVLookUP(ROW(行数!A188),配列!$C$4,集計記録,6,1))</f>
        <v>#NAME?</v>
      </c>
      <c r="O196" s="88" t="e">
        <f ca="1">IF(INDIRECT("M"&amp;ROW()-1)&lt;&gt;INDIRECT("M"&amp;ROW()),リスト!$I$5,"")</f>
        <v>#NAME?</v>
      </c>
      <c r="P196" s="88" t="e">
        <f ca="1">IF(INDIRECT("M"&amp;ROW())&lt;&gt;INDIRECT("M"&amp;ROW()+1),リスト!$I$6,"")</f>
        <v>#NAME?</v>
      </c>
    </row>
    <row r="197" spans="1:16" x14ac:dyDescent="0.2">
      <c r="A197" s="169" t="e">
        <f ca="1">IF(C197="","",ROW(行数!A189))</f>
        <v>#NAME?</v>
      </c>
      <c r="B197" s="168" t="e">
        <f t="shared" ca="1" si="17"/>
        <v>#NAME?</v>
      </c>
      <c r="C197" s="90" t="e">
        <f ca="1">[0]!CSVVLookUP(ROW(行数!A189),配列!$C$4,集計記録,3,1)</f>
        <v>#NAME?</v>
      </c>
      <c r="D197" s="90" t="e">
        <f ca="1">[0]!CSVVLookUP(ROW(行数!B189),配列!$C$4,集計記録,4,1)</f>
        <v>#NAME?</v>
      </c>
      <c r="E197" s="118" t="e">
        <f t="shared" ca="1" si="18"/>
        <v>#NAME?</v>
      </c>
      <c r="F197" s="118" t="e">
        <f t="shared" ca="1" si="19"/>
        <v>#NAME?</v>
      </c>
      <c r="G197" s="103" t="e">
        <f t="shared" ca="1" si="20"/>
        <v>#NAME?</v>
      </c>
      <c r="H197" s="104" t="e">
        <f ca="1">IF(C197="","",MROUND([0]!CSVVLookUP(ROW(行数!A189),配列!$C$4,集計記録,8,1),"0:01"))</f>
        <v>#NAME?</v>
      </c>
      <c r="I197" s="104" t="e">
        <f t="shared" ca="1" si="21"/>
        <v>#NAME?</v>
      </c>
      <c r="J197" s="119" t="e">
        <f ca="1">IF(C197="","",MROUND([0]!CSVVLookUP(ROW(行数!A189),配列!$C$4,集計記録,7,1),"0:01"))</f>
        <v>#NAME?</v>
      </c>
      <c r="K197" s="92" t="e">
        <f ca="1">IF(C197="","",[0]!CSVVLookUP(ROW(行数!A189),配列!$C$4,集計記録,5,1))</f>
        <v>#NAME?</v>
      </c>
      <c r="L197" s="104" t="e">
        <f t="shared" ca="1" si="22"/>
        <v>#NAME?</v>
      </c>
      <c r="M197" s="120" t="e">
        <f t="shared" ca="1" si="16"/>
        <v>#NAME?</v>
      </c>
      <c r="N197" s="120" t="e">
        <f ca="1">IF([0]!CSVVLookUP(ROW(行数!A189),配列!$C$4,集計記録,6,1)=0,"",[0]!CSVVLookUP(ROW(行数!A189),配列!$C$4,集計記録,6,1))</f>
        <v>#NAME?</v>
      </c>
      <c r="O197" s="88" t="e">
        <f ca="1">IF(INDIRECT("M"&amp;ROW()-1)&lt;&gt;INDIRECT("M"&amp;ROW()),リスト!$I$5,"")</f>
        <v>#NAME?</v>
      </c>
      <c r="P197" s="88" t="e">
        <f ca="1">IF(INDIRECT("M"&amp;ROW())&lt;&gt;INDIRECT("M"&amp;ROW()+1),リスト!$I$6,"")</f>
        <v>#NAME?</v>
      </c>
    </row>
    <row r="198" spans="1:16" x14ac:dyDescent="0.2">
      <c r="A198" s="169" t="e">
        <f ca="1">IF(C198="","",ROW(行数!A190))</f>
        <v>#NAME?</v>
      </c>
      <c r="B198" s="168" t="e">
        <f t="shared" ca="1" si="17"/>
        <v>#NAME?</v>
      </c>
      <c r="C198" s="90" t="e">
        <f ca="1">[0]!CSVVLookUP(ROW(行数!A190),配列!$C$4,集計記録,3,1)</f>
        <v>#NAME?</v>
      </c>
      <c r="D198" s="90" t="e">
        <f ca="1">[0]!CSVVLookUP(ROW(行数!B190),配列!$C$4,集計記録,4,1)</f>
        <v>#NAME?</v>
      </c>
      <c r="E198" s="118" t="e">
        <f t="shared" ca="1" si="18"/>
        <v>#NAME?</v>
      </c>
      <c r="F198" s="118" t="e">
        <f t="shared" ca="1" si="19"/>
        <v>#NAME?</v>
      </c>
      <c r="G198" s="103" t="e">
        <f t="shared" ca="1" si="20"/>
        <v>#NAME?</v>
      </c>
      <c r="H198" s="104" t="e">
        <f ca="1">IF(C198="","",MROUND([0]!CSVVLookUP(ROW(行数!A190),配列!$C$4,集計記録,8,1),"0:01"))</f>
        <v>#NAME?</v>
      </c>
      <c r="I198" s="104" t="e">
        <f t="shared" ca="1" si="21"/>
        <v>#NAME?</v>
      </c>
      <c r="J198" s="119" t="e">
        <f ca="1">IF(C198="","",MROUND([0]!CSVVLookUP(ROW(行数!A190),配列!$C$4,集計記録,7,1),"0:01"))</f>
        <v>#NAME?</v>
      </c>
      <c r="K198" s="92" t="e">
        <f ca="1">IF(C198="","",[0]!CSVVLookUP(ROW(行数!A190),配列!$C$4,集計記録,5,1))</f>
        <v>#NAME?</v>
      </c>
      <c r="L198" s="104" t="e">
        <f t="shared" ca="1" si="22"/>
        <v>#NAME?</v>
      </c>
      <c r="M198" s="120" t="e">
        <f t="shared" ca="1" si="16"/>
        <v>#NAME?</v>
      </c>
      <c r="N198" s="120" t="e">
        <f ca="1">IF([0]!CSVVLookUP(ROW(行数!A190),配列!$C$4,集計記録,6,1)=0,"",[0]!CSVVLookUP(ROW(行数!A190),配列!$C$4,集計記録,6,1))</f>
        <v>#NAME?</v>
      </c>
      <c r="O198" s="88" t="e">
        <f ca="1">IF(INDIRECT("M"&amp;ROW()-1)&lt;&gt;INDIRECT("M"&amp;ROW()),リスト!$I$5,"")</f>
        <v>#NAME?</v>
      </c>
      <c r="P198" s="88" t="e">
        <f ca="1">IF(INDIRECT("M"&amp;ROW())&lt;&gt;INDIRECT("M"&amp;ROW()+1),リスト!$I$6,"")</f>
        <v>#NAME?</v>
      </c>
    </row>
    <row r="199" spans="1:16" x14ac:dyDescent="0.2">
      <c r="A199" s="169" t="e">
        <f ca="1">IF(C199="","",ROW(行数!A191))</f>
        <v>#NAME?</v>
      </c>
      <c r="B199" s="168" t="e">
        <f t="shared" ca="1" si="17"/>
        <v>#NAME?</v>
      </c>
      <c r="C199" s="90" t="e">
        <f ca="1">[0]!CSVVLookUP(ROW(行数!A191),配列!$C$4,集計記録,3,1)</f>
        <v>#NAME?</v>
      </c>
      <c r="D199" s="90" t="e">
        <f ca="1">[0]!CSVVLookUP(ROW(行数!B191),配列!$C$4,集計記録,4,1)</f>
        <v>#NAME?</v>
      </c>
      <c r="E199" s="118" t="e">
        <f t="shared" ca="1" si="18"/>
        <v>#NAME?</v>
      </c>
      <c r="F199" s="118" t="e">
        <f t="shared" ca="1" si="19"/>
        <v>#NAME?</v>
      </c>
      <c r="G199" s="103" t="e">
        <f t="shared" ca="1" si="20"/>
        <v>#NAME?</v>
      </c>
      <c r="H199" s="104" t="e">
        <f ca="1">IF(C199="","",MROUND([0]!CSVVLookUP(ROW(行数!A191),配列!$C$4,集計記録,8,1),"0:01"))</f>
        <v>#NAME?</v>
      </c>
      <c r="I199" s="104" t="e">
        <f t="shared" ca="1" si="21"/>
        <v>#NAME?</v>
      </c>
      <c r="J199" s="119" t="e">
        <f ca="1">IF(C199="","",MROUND([0]!CSVVLookUP(ROW(行数!A191),配列!$C$4,集計記録,7,1),"0:01"))</f>
        <v>#NAME?</v>
      </c>
      <c r="K199" s="92" t="e">
        <f ca="1">IF(C199="","",[0]!CSVVLookUP(ROW(行数!A191),配列!$C$4,集計記録,5,1))</f>
        <v>#NAME?</v>
      </c>
      <c r="L199" s="104" t="e">
        <f t="shared" ca="1" si="22"/>
        <v>#NAME?</v>
      </c>
      <c r="M199" s="120" t="e">
        <f t="shared" ca="1" si="16"/>
        <v>#NAME?</v>
      </c>
      <c r="N199" s="120" t="e">
        <f ca="1">IF([0]!CSVVLookUP(ROW(行数!A191),配列!$C$4,集計記録,6,1)=0,"",[0]!CSVVLookUP(ROW(行数!A191),配列!$C$4,集計記録,6,1))</f>
        <v>#NAME?</v>
      </c>
      <c r="O199" s="88" t="e">
        <f ca="1">IF(INDIRECT("M"&amp;ROW()-1)&lt;&gt;INDIRECT("M"&amp;ROW()),リスト!$I$5,"")</f>
        <v>#NAME?</v>
      </c>
      <c r="P199" s="88" t="e">
        <f ca="1">IF(INDIRECT("M"&amp;ROW())&lt;&gt;INDIRECT("M"&amp;ROW()+1),リスト!$I$6,"")</f>
        <v>#NAME?</v>
      </c>
    </row>
    <row r="200" spans="1:16" x14ac:dyDescent="0.2">
      <c r="A200" s="169" t="e">
        <f ca="1">IF(C200="","",ROW(行数!A192))</f>
        <v>#NAME?</v>
      </c>
      <c r="B200" s="168" t="e">
        <f t="shared" ca="1" si="17"/>
        <v>#NAME?</v>
      </c>
      <c r="C200" s="90" t="e">
        <f ca="1">[0]!CSVVLookUP(ROW(行数!A192),配列!$C$4,集計記録,3,1)</f>
        <v>#NAME?</v>
      </c>
      <c r="D200" s="90" t="e">
        <f ca="1">[0]!CSVVLookUP(ROW(行数!B192),配列!$C$4,集計記録,4,1)</f>
        <v>#NAME?</v>
      </c>
      <c r="E200" s="118" t="e">
        <f t="shared" ca="1" si="18"/>
        <v>#NAME?</v>
      </c>
      <c r="F200" s="118" t="e">
        <f t="shared" ca="1" si="19"/>
        <v>#NAME?</v>
      </c>
      <c r="G200" s="103" t="e">
        <f t="shared" ca="1" si="20"/>
        <v>#NAME?</v>
      </c>
      <c r="H200" s="104" t="e">
        <f ca="1">IF(C200="","",MROUND([0]!CSVVLookUP(ROW(行数!A192),配列!$C$4,集計記録,8,1),"0:01"))</f>
        <v>#NAME?</v>
      </c>
      <c r="I200" s="104" t="e">
        <f t="shared" ca="1" si="21"/>
        <v>#NAME?</v>
      </c>
      <c r="J200" s="119" t="e">
        <f ca="1">IF(C200="","",MROUND([0]!CSVVLookUP(ROW(行数!A192),配列!$C$4,集計記録,7,1),"0:01"))</f>
        <v>#NAME?</v>
      </c>
      <c r="K200" s="92" t="e">
        <f ca="1">IF(C200="","",[0]!CSVVLookUP(ROW(行数!A192),配列!$C$4,集計記録,5,1))</f>
        <v>#NAME?</v>
      </c>
      <c r="L200" s="104" t="e">
        <f t="shared" ca="1" si="22"/>
        <v>#NAME?</v>
      </c>
      <c r="M200" s="120" t="e">
        <f t="shared" ca="1" si="16"/>
        <v>#NAME?</v>
      </c>
      <c r="N200" s="120" t="e">
        <f ca="1">IF([0]!CSVVLookUP(ROW(行数!A192),配列!$C$4,集計記録,6,1)=0,"",[0]!CSVVLookUP(ROW(行数!A192),配列!$C$4,集計記録,6,1))</f>
        <v>#NAME?</v>
      </c>
      <c r="O200" s="88" t="e">
        <f ca="1">IF(INDIRECT("M"&amp;ROW()-1)&lt;&gt;INDIRECT("M"&amp;ROW()),リスト!$I$5,"")</f>
        <v>#NAME?</v>
      </c>
      <c r="P200" s="88" t="e">
        <f ca="1">IF(INDIRECT("M"&amp;ROW())&lt;&gt;INDIRECT("M"&amp;ROW()+1),リスト!$I$6,"")</f>
        <v>#NAME?</v>
      </c>
    </row>
    <row r="201" spans="1:16" x14ac:dyDescent="0.2">
      <c r="A201" s="169" t="e">
        <f ca="1">IF(C201="","",ROW(行数!A193))</f>
        <v>#NAME?</v>
      </c>
      <c r="B201" s="168" t="e">
        <f t="shared" ca="1" si="17"/>
        <v>#NAME?</v>
      </c>
      <c r="C201" s="90" t="e">
        <f ca="1">[0]!CSVVLookUP(ROW(行数!A193),配列!$C$4,集計記録,3,1)</f>
        <v>#NAME?</v>
      </c>
      <c r="D201" s="90" t="e">
        <f ca="1">[0]!CSVVLookUP(ROW(行数!B193),配列!$C$4,集計記録,4,1)</f>
        <v>#NAME?</v>
      </c>
      <c r="E201" s="118" t="e">
        <f t="shared" ca="1" si="18"/>
        <v>#NAME?</v>
      </c>
      <c r="F201" s="118" t="e">
        <f t="shared" ca="1" si="19"/>
        <v>#NAME?</v>
      </c>
      <c r="G201" s="103" t="e">
        <f t="shared" ca="1" si="20"/>
        <v>#NAME?</v>
      </c>
      <c r="H201" s="104" t="e">
        <f ca="1">IF(C201="","",MROUND([0]!CSVVLookUP(ROW(行数!A193),配列!$C$4,集計記録,8,1),"0:01"))</f>
        <v>#NAME?</v>
      </c>
      <c r="I201" s="104" t="e">
        <f t="shared" ca="1" si="21"/>
        <v>#NAME?</v>
      </c>
      <c r="J201" s="119" t="e">
        <f ca="1">IF(C201="","",MROUND([0]!CSVVLookUP(ROW(行数!A193),配列!$C$4,集計記録,7,1),"0:01"))</f>
        <v>#NAME?</v>
      </c>
      <c r="K201" s="92" t="e">
        <f ca="1">IF(C201="","",[0]!CSVVLookUP(ROW(行数!A193),配列!$C$4,集計記録,5,1))</f>
        <v>#NAME?</v>
      </c>
      <c r="L201" s="104" t="e">
        <f t="shared" ca="1" si="22"/>
        <v>#NAME?</v>
      </c>
      <c r="M201" s="120" t="e">
        <f t="shared" ref="M201:M264" ca="1" si="23">IF(C201="","",VLOOKUP(C201,運転条件判定,13,1))</f>
        <v>#NAME?</v>
      </c>
      <c r="N201" s="120" t="e">
        <f ca="1">IF([0]!CSVVLookUP(ROW(行数!A193),配列!$C$4,集計記録,6,1)=0,"",[0]!CSVVLookUP(ROW(行数!A193),配列!$C$4,集計記録,6,1))</f>
        <v>#NAME?</v>
      </c>
      <c r="O201" s="88" t="e">
        <f ca="1">IF(INDIRECT("M"&amp;ROW()-1)&lt;&gt;INDIRECT("M"&amp;ROW()),リスト!$I$5,"")</f>
        <v>#NAME?</v>
      </c>
      <c r="P201" s="88" t="e">
        <f ca="1">IF(INDIRECT("M"&amp;ROW())&lt;&gt;INDIRECT("M"&amp;ROW()+1),リスト!$I$6,"")</f>
        <v>#NAME?</v>
      </c>
    </row>
    <row r="202" spans="1:16" x14ac:dyDescent="0.2">
      <c r="A202" s="169" t="e">
        <f ca="1">IF(C202="","",ROW(行数!A194))</f>
        <v>#NAME?</v>
      </c>
      <c r="B202" s="168" t="e">
        <f t="shared" ref="B202:B265" ca="1" si="24">IF(C202="","",VLOOKUP(C202,ユニット判定用,3))</f>
        <v>#NAME?</v>
      </c>
      <c r="C202" s="90" t="e">
        <f ca="1">[0]!CSVVLookUP(ROW(行数!A194),配列!$C$4,集計記録,3,1)</f>
        <v>#NAME?</v>
      </c>
      <c r="D202" s="90" t="e">
        <f ca="1">[0]!CSVVLookUP(ROW(行数!B194),配列!$C$4,集計記録,4,1)</f>
        <v>#NAME?</v>
      </c>
      <c r="E202" s="118" t="e">
        <f t="shared" ref="E202:E265" ca="1" si="25">IF(C202="","",D202-C202)</f>
        <v>#NAME?</v>
      </c>
      <c r="F202" s="118" t="e">
        <f t="shared" ref="F202:F265" ca="1" si="26">IF(C202="","",E202-H202-I202)</f>
        <v>#NAME?</v>
      </c>
      <c r="G202" s="103" t="e">
        <f t="shared" ref="G202:G265" ca="1" si="27">IF(C202="","",F202/E202)</f>
        <v>#NAME?</v>
      </c>
      <c r="H202" s="104" t="e">
        <f ca="1">IF(C202="","",MROUND([0]!CSVVLookUP(ROW(行数!A194),配列!$C$4,集計記録,8,1),"0:01"))</f>
        <v>#NAME?</v>
      </c>
      <c r="I202" s="104" t="e">
        <f t="shared" ref="I202:I265" ca="1" si="28">IF(C202="","",MROUND(J202-H202,"0:01"))</f>
        <v>#NAME?</v>
      </c>
      <c r="J202" s="119" t="e">
        <f ca="1">IF(C202="","",MROUND([0]!CSVVLookUP(ROW(行数!A194),配列!$C$4,集計記録,7,1),"0:01"))</f>
        <v>#NAME?</v>
      </c>
      <c r="K202" s="92" t="e">
        <f ca="1">IF(C202="","",[0]!CSVVLookUP(ROW(行数!A194),配列!$C$4,集計記録,5,1))</f>
        <v>#NAME?</v>
      </c>
      <c r="L202" s="104" t="e">
        <f t="shared" ref="L202:L265" ca="1" si="29">IF(C202="","",MROUND(E202/(K202+1),"00:01"))</f>
        <v>#NAME?</v>
      </c>
      <c r="M202" s="120" t="e">
        <f t="shared" ca="1" si="23"/>
        <v>#NAME?</v>
      </c>
      <c r="N202" s="120" t="e">
        <f ca="1">IF([0]!CSVVLookUP(ROW(行数!A194),配列!$C$4,集計記録,6,1)=0,"",[0]!CSVVLookUP(ROW(行数!A194),配列!$C$4,集計記録,6,1))</f>
        <v>#NAME?</v>
      </c>
      <c r="O202" s="88" t="e">
        <f ca="1">IF(INDIRECT("M"&amp;ROW()-1)&lt;&gt;INDIRECT("M"&amp;ROW()),リスト!$I$5,"")</f>
        <v>#NAME?</v>
      </c>
      <c r="P202" s="88" t="e">
        <f ca="1">IF(INDIRECT("M"&amp;ROW())&lt;&gt;INDIRECT("M"&amp;ROW()+1),リスト!$I$6,"")</f>
        <v>#NAME?</v>
      </c>
    </row>
    <row r="203" spans="1:16" x14ac:dyDescent="0.2">
      <c r="A203" s="169" t="e">
        <f ca="1">IF(C203="","",ROW(行数!A195))</f>
        <v>#NAME?</v>
      </c>
      <c r="B203" s="168" t="e">
        <f t="shared" ca="1" si="24"/>
        <v>#NAME?</v>
      </c>
      <c r="C203" s="90" t="e">
        <f ca="1">[0]!CSVVLookUP(ROW(行数!A195),配列!$C$4,集計記録,3,1)</f>
        <v>#NAME?</v>
      </c>
      <c r="D203" s="90" t="e">
        <f ca="1">[0]!CSVVLookUP(ROW(行数!B195),配列!$C$4,集計記録,4,1)</f>
        <v>#NAME?</v>
      </c>
      <c r="E203" s="118" t="e">
        <f t="shared" ca="1" si="25"/>
        <v>#NAME?</v>
      </c>
      <c r="F203" s="118" t="e">
        <f t="shared" ca="1" si="26"/>
        <v>#NAME?</v>
      </c>
      <c r="G203" s="103" t="e">
        <f t="shared" ca="1" si="27"/>
        <v>#NAME?</v>
      </c>
      <c r="H203" s="104" t="e">
        <f ca="1">IF(C203="","",MROUND([0]!CSVVLookUP(ROW(行数!A195),配列!$C$4,集計記録,8,1),"0:01"))</f>
        <v>#NAME?</v>
      </c>
      <c r="I203" s="104" t="e">
        <f t="shared" ca="1" si="28"/>
        <v>#NAME?</v>
      </c>
      <c r="J203" s="119" t="e">
        <f ca="1">IF(C203="","",MROUND([0]!CSVVLookUP(ROW(行数!A195),配列!$C$4,集計記録,7,1),"0:01"))</f>
        <v>#NAME?</v>
      </c>
      <c r="K203" s="92" t="e">
        <f ca="1">IF(C203="","",[0]!CSVVLookUP(ROW(行数!A195),配列!$C$4,集計記録,5,1))</f>
        <v>#NAME?</v>
      </c>
      <c r="L203" s="104" t="e">
        <f t="shared" ca="1" si="29"/>
        <v>#NAME?</v>
      </c>
      <c r="M203" s="120" t="e">
        <f t="shared" ca="1" si="23"/>
        <v>#NAME?</v>
      </c>
      <c r="N203" s="120" t="e">
        <f ca="1">IF([0]!CSVVLookUP(ROW(行数!A195),配列!$C$4,集計記録,6,1)=0,"",[0]!CSVVLookUP(ROW(行数!A195),配列!$C$4,集計記録,6,1))</f>
        <v>#NAME?</v>
      </c>
      <c r="O203" s="88" t="e">
        <f ca="1">IF(INDIRECT("M"&amp;ROW()-1)&lt;&gt;INDIRECT("M"&amp;ROW()),リスト!$I$5,"")</f>
        <v>#NAME?</v>
      </c>
      <c r="P203" s="88" t="e">
        <f ca="1">IF(INDIRECT("M"&amp;ROW())&lt;&gt;INDIRECT("M"&amp;ROW()+1),リスト!$I$6,"")</f>
        <v>#NAME?</v>
      </c>
    </row>
    <row r="204" spans="1:16" x14ac:dyDescent="0.2">
      <c r="A204" s="169" t="e">
        <f ca="1">IF(C204="","",ROW(行数!A196))</f>
        <v>#NAME?</v>
      </c>
      <c r="B204" s="168" t="e">
        <f t="shared" ca="1" si="24"/>
        <v>#NAME?</v>
      </c>
      <c r="C204" s="90" t="e">
        <f ca="1">[0]!CSVVLookUP(ROW(行数!A196),配列!$C$4,集計記録,3,1)</f>
        <v>#NAME?</v>
      </c>
      <c r="D204" s="90" t="e">
        <f ca="1">[0]!CSVVLookUP(ROW(行数!B196),配列!$C$4,集計記録,4,1)</f>
        <v>#NAME?</v>
      </c>
      <c r="E204" s="118" t="e">
        <f t="shared" ca="1" si="25"/>
        <v>#NAME?</v>
      </c>
      <c r="F204" s="118" t="e">
        <f t="shared" ca="1" si="26"/>
        <v>#NAME?</v>
      </c>
      <c r="G204" s="103" t="e">
        <f t="shared" ca="1" si="27"/>
        <v>#NAME?</v>
      </c>
      <c r="H204" s="104" t="e">
        <f ca="1">IF(C204="","",MROUND([0]!CSVVLookUP(ROW(行数!A196),配列!$C$4,集計記録,8,1),"0:01"))</f>
        <v>#NAME?</v>
      </c>
      <c r="I204" s="104" t="e">
        <f t="shared" ca="1" si="28"/>
        <v>#NAME?</v>
      </c>
      <c r="J204" s="119" t="e">
        <f ca="1">IF(C204="","",MROUND([0]!CSVVLookUP(ROW(行数!A196),配列!$C$4,集計記録,7,1),"0:01"))</f>
        <v>#NAME?</v>
      </c>
      <c r="K204" s="92" t="e">
        <f ca="1">IF(C204="","",[0]!CSVVLookUP(ROW(行数!A196),配列!$C$4,集計記録,5,1))</f>
        <v>#NAME?</v>
      </c>
      <c r="L204" s="104" t="e">
        <f t="shared" ca="1" si="29"/>
        <v>#NAME?</v>
      </c>
      <c r="M204" s="120" t="e">
        <f t="shared" ca="1" si="23"/>
        <v>#NAME?</v>
      </c>
      <c r="N204" s="120" t="e">
        <f ca="1">IF([0]!CSVVLookUP(ROW(行数!A196),配列!$C$4,集計記録,6,1)=0,"",[0]!CSVVLookUP(ROW(行数!A196),配列!$C$4,集計記録,6,1))</f>
        <v>#NAME?</v>
      </c>
      <c r="O204" s="88" t="e">
        <f ca="1">IF(INDIRECT("M"&amp;ROW()-1)&lt;&gt;INDIRECT("M"&amp;ROW()),リスト!$I$5,"")</f>
        <v>#NAME?</v>
      </c>
      <c r="P204" s="88" t="e">
        <f ca="1">IF(INDIRECT("M"&amp;ROW())&lt;&gt;INDIRECT("M"&amp;ROW()+1),リスト!$I$6,"")</f>
        <v>#NAME?</v>
      </c>
    </row>
    <row r="205" spans="1:16" x14ac:dyDescent="0.2">
      <c r="A205" s="169" t="e">
        <f ca="1">IF(C205="","",ROW(行数!A197))</f>
        <v>#NAME?</v>
      </c>
      <c r="B205" s="168" t="e">
        <f t="shared" ca="1" si="24"/>
        <v>#NAME?</v>
      </c>
      <c r="C205" s="90" t="e">
        <f ca="1">[0]!CSVVLookUP(ROW(行数!A197),配列!$C$4,集計記録,3,1)</f>
        <v>#NAME?</v>
      </c>
      <c r="D205" s="90" t="e">
        <f ca="1">[0]!CSVVLookUP(ROW(行数!B197),配列!$C$4,集計記録,4,1)</f>
        <v>#NAME?</v>
      </c>
      <c r="E205" s="118" t="e">
        <f t="shared" ca="1" si="25"/>
        <v>#NAME?</v>
      </c>
      <c r="F205" s="118" t="e">
        <f t="shared" ca="1" si="26"/>
        <v>#NAME?</v>
      </c>
      <c r="G205" s="103" t="e">
        <f t="shared" ca="1" si="27"/>
        <v>#NAME?</v>
      </c>
      <c r="H205" s="104" t="e">
        <f ca="1">IF(C205="","",MROUND([0]!CSVVLookUP(ROW(行数!A197),配列!$C$4,集計記録,8,1),"0:01"))</f>
        <v>#NAME?</v>
      </c>
      <c r="I205" s="104" t="e">
        <f t="shared" ca="1" si="28"/>
        <v>#NAME?</v>
      </c>
      <c r="J205" s="119" t="e">
        <f ca="1">IF(C205="","",MROUND([0]!CSVVLookUP(ROW(行数!A197),配列!$C$4,集計記録,7,1),"0:01"))</f>
        <v>#NAME?</v>
      </c>
      <c r="K205" s="92" t="e">
        <f ca="1">IF(C205="","",[0]!CSVVLookUP(ROW(行数!A197),配列!$C$4,集計記録,5,1))</f>
        <v>#NAME?</v>
      </c>
      <c r="L205" s="104" t="e">
        <f t="shared" ca="1" si="29"/>
        <v>#NAME?</v>
      </c>
      <c r="M205" s="120" t="e">
        <f t="shared" ca="1" si="23"/>
        <v>#NAME?</v>
      </c>
      <c r="N205" s="120" t="e">
        <f ca="1">IF([0]!CSVVLookUP(ROW(行数!A197),配列!$C$4,集計記録,6,1)=0,"",[0]!CSVVLookUP(ROW(行数!A197),配列!$C$4,集計記録,6,1))</f>
        <v>#NAME?</v>
      </c>
      <c r="O205" s="88" t="e">
        <f ca="1">IF(INDIRECT("M"&amp;ROW()-1)&lt;&gt;INDIRECT("M"&amp;ROW()),リスト!$I$5,"")</f>
        <v>#NAME?</v>
      </c>
      <c r="P205" s="88" t="e">
        <f ca="1">IF(INDIRECT("M"&amp;ROW())&lt;&gt;INDIRECT("M"&amp;ROW()+1),リスト!$I$6,"")</f>
        <v>#NAME?</v>
      </c>
    </row>
    <row r="206" spans="1:16" x14ac:dyDescent="0.2">
      <c r="A206" s="169" t="e">
        <f ca="1">IF(C206="","",ROW(行数!A198))</f>
        <v>#NAME?</v>
      </c>
      <c r="B206" s="168" t="e">
        <f t="shared" ca="1" si="24"/>
        <v>#NAME?</v>
      </c>
      <c r="C206" s="90" t="e">
        <f ca="1">[0]!CSVVLookUP(ROW(行数!A198),配列!$C$4,集計記録,3,1)</f>
        <v>#NAME?</v>
      </c>
      <c r="D206" s="90" t="e">
        <f ca="1">[0]!CSVVLookUP(ROW(行数!B198),配列!$C$4,集計記録,4,1)</f>
        <v>#NAME?</v>
      </c>
      <c r="E206" s="118" t="e">
        <f t="shared" ca="1" si="25"/>
        <v>#NAME?</v>
      </c>
      <c r="F206" s="118" t="e">
        <f t="shared" ca="1" si="26"/>
        <v>#NAME?</v>
      </c>
      <c r="G206" s="103" t="e">
        <f t="shared" ca="1" si="27"/>
        <v>#NAME?</v>
      </c>
      <c r="H206" s="104" t="e">
        <f ca="1">IF(C206="","",MROUND([0]!CSVVLookUP(ROW(行数!A198),配列!$C$4,集計記録,8,1),"0:01"))</f>
        <v>#NAME?</v>
      </c>
      <c r="I206" s="104" t="e">
        <f t="shared" ca="1" si="28"/>
        <v>#NAME?</v>
      </c>
      <c r="J206" s="119" t="e">
        <f ca="1">IF(C206="","",MROUND([0]!CSVVLookUP(ROW(行数!A198),配列!$C$4,集計記録,7,1),"0:01"))</f>
        <v>#NAME?</v>
      </c>
      <c r="K206" s="92" t="e">
        <f ca="1">IF(C206="","",[0]!CSVVLookUP(ROW(行数!A198),配列!$C$4,集計記録,5,1))</f>
        <v>#NAME?</v>
      </c>
      <c r="L206" s="104" t="e">
        <f t="shared" ca="1" si="29"/>
        <v>#NAME?</v>
      </c>
      <c r="M206" s="120" t="e">
        <f t="shared" ca="1" si="23"/>
        <v>#NAME?</v>
      </c>
      <c r="N206" s="120" t="e">
        <f ca="1">IF([0]!CSVVLookUP(ROW(行数!A198),配列!$C$4,集計記録,6,1)=0,"",[0]!CSVVLookUP(ROW(行数!A198),配列!$C$4,集計記録,6,1))</f>
        <v>#NAME?</v>
      </c>
      <c r="O206" s="88" t="e">
        <f ca="1">IF(INDIRECT("M"&amp;ROW()-1)&lt;&gt;INDIRECT("M"&amp;ROW()),リスト!$I$5,"")</f>
        <v>#NAME?</v>
      </c>
      <c r="P206" s="88" t="e">
        <f ca="1">IF(INDIRECT("M"&amp;ROW())&lt;&gt;INDIRECT("M"&amp;ROW()+1),リスト!$I$6,"")</f>
        <v>#NAME?</v>
      </c>
    </row>
    <row r="207" spans="1:16" x14ac:dyDescent="0.2">
      <c r="A207" s="169" t="e">
        <f ca="1">IF(C207="","",ROW(行数!A199))</f>
        <v>#NAME?</v>
      </c>
      <c r="B207" s="168" t="e">
        <f t="shared" ca="1" si="24"/>
        <v>#NAME?</v>
      </c>
      <c r="C207" s="90" t="e">
        <f ca="1">[0]!CSVVLookUP(ROW(行数!A199),配列!$C$4,集計記録,3,1)</f>
        <v>#NAME?</v>
      </c>
      <c r="D207" s="90" t="e">
        <f ca="1">[0]!CSVVLookUP(ROW(行数!B199),配列!$C$4,集計記録,4,1)</f>
        <v>#NAME?</v>
      </c>
      <c r="E207" s="118" t="e">
        <f t="shared" ca="1" si="25"/>
        <v>#NAME?</v>
      </c>
      <c r="F207" s="118" t="e">
        <f t="shared" ca="1" si="26"/>
        <v>#NAME?</v>
      </c>
      <c r="G207" s="103" t="e">
        <f t="shared" ca="1" si="27"/>
        <v>#NAME?</v>
      </c>
      <c r="H207" s="104" t="e">
        <f ca="1">IF(C207="","",MROUND([0]!CSVVLookUP(ROW(行数!A199),配列!$C$4,集計記録,8,1),"0:01"))</f>
        <v>#NAME?</v>
      </c>
      <c r="I207" s="104" t="e">
        <f t="shared" ca="1" si="28"/>
        <v>#NAME?</v>
      </c>
      <c r="J207" s="119" t="e">
        <f ca="1">IF(C207="","",MROUND([0]!CSVVLookUP(ROW(行数!A199),配列!$C$4,集計記録,7,1),"0:01"))</f>
        <v>#NAME?</v>
      </c>
      <c r="K207" s="92" t="e">
        <f ca="1">IF(C207="","",[0]!CSVVLookUP(ROW(行数!A199),配列!$C$4,集計記録,5,1))</f>
        <v>#NAME?</v>
      </c>
      <c r="L207" s="104" t="e">
        <f t="shared" ca="1" si="29"/>
        <v>#NAME?</v>
      </c>
      <c r="M207" s="120" t="e">
        <f t="shared" ca="1" si="23"/>
        <v>#NAME?</v>
      </c>
      <c r="N207" s="120" t="e">
        <f ca="1">IF([0]!CSVVLookUP(ROW(行数!A199),配列!$C$4,集計記録,6,1)=0,"",[0]!CSVVLookUP(ROW(行数!A199),配列!$C$4,集計記録,6,1))</f>
        <v>#NAME?</v>
      </c>
      <c r="O207" s="88" t="e">
        <f ca="1">IF(INDIRECT("M"&amp;ROW()-1)&lt;&gt;INDIRECT("M"&amp;ROW()),リスト!$I$5,"")</f>
        <v>#NAME?</v>
      </c>
      <c r="P207" s="88" t="e">
        <f ca="1">IF(INDIRECT("M"&amp;ROW())&lt;&gt;INDIRECT("M"&amp;ROW()+1),リスト!$I$6,"")</f>
        <v>#NAME?</v>
      </c>
    </row>
    <row r="208" spans="1:16" x14ac:dyDescent="0.2">
      <c r="A208" s="169" t="e">
        <f ca="1">IF(C208="","",ROW(行数!A200))</f>
        <v>#NAME?</v>
      </c>
      <c r="B208" s="168" t="e">
        <f t="shared" ca="1" si="24"/>
        <v>#NAME?</v>
      </c>
      <c r="C208" s="90" t="e">
        <f ca="1">[0]!CSVVLookUP(ROW(行数!A200),配列!$C$4,集計記録,3,1)</f>
        <v>#NAME?</v>
      </c>
      <c r="D208" s="90" t="e">
        <f ca="1">[0]!CSVVLookUP(ROW(行数!B200),配列!$C$4,集計記録,4,1)</f>
        <v>#NAME?</v>
      </c>
      <c r="E208" s="118" t="e">
        <f t="shared" ca="1" si="25"/>
        <v>#NAME?</v>
      </c>
      <c r="F208" s="118" t="e">
        <f t="shared" ca="1" si="26"/>
        <v>#NAME?</v>
      </c>
      <c r="G208" s="103" t="e">
        <f t="shared" ca="1" si="27"/>
        <v>#NAME?</v>
      </c>
      <c r="H208" s="104" t="e">
        <f ca="1">IF(C208="","",MROUND([0]!CSVVLookUP(ROW(行数!A200),配列!$C$4,集計記録,8,1),"0:01"))</f>
        <v>#NAME?</v>
      </c>
      <c r="I208" s="104" t="e">
        <f t="shared" ca="1" si="28"/>
        <v>#NAME?</v>
      </c>
      <c r="J208" s="119" t="e">
        <f ca="1">IF(C208="","",MROUND([0]!CSVVLookUP(ROW(行数!A200),配列!$C$4,集計記録,7,1),"0:01"))</f>
        <v>#NAME?</v>
      </c>
      <c r="K208" s="92" t="e">
        <f ca="1">IF(C208="","",[0]!CSVVLookUP(ROW(行数!A200),配列!$C$4,集計記録,5,1))</f>
        <v>#NAME?</v>
      </c>
      <c r="L208" s="104" t="e">
        <f t="shared" ca="1" si="29"/>
        <v>#NAME?</v>
      </c>
      <c r="M208" s="120" t="e">
        <f t="shared" ca="1" si="23"/>
        <v>#NAME?</v>
      </c>
      <c r="N208" s="120" t="e">
        <f ca="1">IF([0]!CSVVLookUP(ROW(行数!A200),配列!$C$4,集計記録,6,1)=0,"",[0]!CSVVLookUP(ROW(行数!A200),配列!$C$4,集計記録,6,1))</f>
        <v>#NAME?</v>
      </c>
      <c r="O208" s="88" t="e">
        <f ca="1">IF(INDIRECT("M"&amp;ROW()-1)&lt;&gt;INDIRECT("M"&amp;ROW()),リスト!$I$5,"")</f>
        <v>#NAME?</v>
      </c>
      <c r="P208" s="88" t="e">
        <f ca="1">IF(INDIRECT("M"&amp;ROW())&lt;&gt;INDIRECT("M"&amp;ROW()+1),リスト!$I$6,"")</f>
        <v>#NAME?</v>
      </c>
    </row>
    <row r="209" spans="1:16" x14ac:dyDescent="0.2">
      <c r="A209" s="169" t="e">
        <f ca="1">IF(C209="","",ROW(行数!A201))</f>
        <v>#NAME?</v>
      </c>
      <c r="B209" s="168" t="e">
        <f t="shared" ca="1" si="24"/>
        <v>#NAME?</v>
      </c>
      <c r="C209" s="90" t="e">
        <f ca="1">[0]!CSVVLookUP(ROW(行数!A201),配列!$C$4,集計記録,3,1)</f>
        <v>#NAME?</v>
      </c>
      <c r="D209" s="90" t="e">
        <f ca="1">[0]!CSVVLookUP(ROW(行数!B201),配列!$C$4,集計記録,4,1)</f>
        <v>#NAME?</v>
      </c>
      <c r="E209" s="118" t="e">
        <f t="shared" ca="1" si="25"/>
        <v>#NAME?</v>
      </c>
      <c r="F209" s="118" t="e">
        <f t="shared" ca="1" si="26"/>
        <v>#NAME?</v>
      </c>
      <c r="G209" s="103" t="e">
        <f t="shared" ca="1" si="27"/>
        <v>#NAME?</v>
      </c>
      <c r="H209" s="104" t="e">
        <f ca="1">IF(C209="","",MROUND([0]!CSVVLookUP(ROW(行数!A201),配列!$C$4,集計記録,8,1),"0:01"))</f>
        <v>#NAME?</v>
      </c>
      <c r="I209" s="104" t="e">
        <f t="shared" ca="1" si="28"/>
        <v>#NAME?</v>
      </c>
      <c r="J209" s="119" t="e">
        <f ca="1">IF(C209="","",MROUND([0]!CSVVLookUP(ROW(行数!A201),配列!$C$4,集計記録,7,1),"0:01"))</f>
        <v>#NAME?</v>
      </c>
      <c r="K209" s="92" t="e">
        <f ca="1">IF(C209="","",[0]!CSVVLookUP(ROW(行数!A201),配列!$C$4,集計記録,5,1))</f>
        <v>#NAME?</v>
      </c>
      <c r="L209" s="104" t="e">
        <f t="shared" ca="1" si="29"/>
        <v>#NAME?</v>
      </c>
      <c r="M209" s="120" t="e">
        <f t="shared" ca="1" si="23"/>
        <v>#NAME?</v>
      </c>
      <c r="N209" s="120" t="e">
        <f ca="1">IF([0]!CSVVLookUP(ROW(行数!A201),配列!$C$4,集計記録,6,1)=0,"",[0]!CSVVLookUP(ROW(行数!A201),配列!$C$4,集計記録,6,1))</f>
        <v>#NAME?</v>
      </c>
      <c r="O209" s="88" t="e">
        <f ca="1">IF(INDIRECT("M"&amp;ROW()-1)&lt;&gt;INDIRECT("M"&amp;ROW()),リスト!$I$5,"")</f>
        <v>#NAME?</v>
      </c>
      <c r="P209" s="88" t="e">
        <f ca="1">IF(INDIRECT("M"&amp;ROW())&lt;&gt;INDIRECT("M"&amp;ROW()+1),リスト!$I$6,"")</f>
        <v>#NAME?</v>
      </c>
    </row>
    <row r="210" spans="1:16" x14ac:dyDescent="0.2">
      <c r="A210" s="169" t="e">
        <f ca="1">IF(C210="","",ROW(行数!A202))</f>
        <v>#NAME?</v>
      </c>
      <c r="B210" s="168" t="e">
        <f t="shared" ca="1" si="24"/>
        <v>#NAME?</v>
      </c>
      <c r="C210" s="90" t="e">
        <f ca="1">[0]!CSVVLookUP(ROW(行数!A202),配列!$C$4,集計記録,3,1)</f>
        <v>#NAME?</v>
      </c>
      <c r="D210" s="90" t="e">
        <f ca="1">[0]!CSVVLookUP(ROW(行数!B202),配列!$C$4,集計記録,4,1)</f>
        <v>#NAME?</v>
      </c>
      <c r="E210" s="118" t="e">
        <f t="shared" ca="1" si="25"/>
        <v>#NAME?</v>
      </c>
      <c r="F210" s="118" t="e">
        <f t="shared" ca="1" si="26"/>
        <v>#NAME?</v>
      </c>
      <c r="G210" s="103" t="e">
        <f t="shared" ca="1" si="27"/>
        <v>#NAME?</v>
      </c>
      <c r="H210" s="104" t="e">
        <f ca="1">IF(C210="","",MROUND([0]!CSVVLookUP(ROW(行数!A202),配列!$C$4,集計記録,8,1),"0:01"))</f>
        <v>#NAME?</v>
      </c>
      <c r="I210" s="104" t="e">
        <f t="shared" ca="1" si="28"/>
        <v>#NAME?</v>
      </c>
      <c r="J210" s="119" t="e">
        <f ca="1">IF(C210="","",MROUND([0]!CSVVLookUP(ROW(行数!A202),配列!$C$4,集計記録,7,1),"0:01"))</f>
        <v>#NAME?</v>
      </c>
      <c r="K210" s="92" t="e">
        <f ca="1">IF(C210="","",[0]!CSVVLookUP(ROW(行数!A202),配列!$C$4,集計記録,5,1))</f>
        <v>#NAME?</v>
      </c>
      <c r="L210" s="104" t="e">
        <f t="shared" ca="1" si="29"/>
        <v>#NAME?</v>
      </c>
      <c r="M210" s="120" t="e">
        <f t="shared" ca="1" si="23"/>
        <v>#NAME?</v>
      </c>
      <c r="N210" s="120" t="e">
        <f ca="1">IF([0]!CSVVLookUP(ROW(行数!A202),配列!$C$4,集計記録,6,1)=0,"",[0]!CSVVLookUP(ROW(行数!A202),配列!$C$4,集計記録,6,1))</f>
        <v>#NAME?</v>
      </c>
      <c r="O210" s="88" t="e">
        <f ca="1">IF(INDIRECT("M"&amp;ROW()-1)&lt;&gt;INDIRECT("M"&amp;ROW()),リスト!$I$5,"")</f>
        <v>#NAME?</v>
      </c>
      <c r="P210" s="88" t="e">
        <f ca="1">IF(INDIRECT("M"&amp;ROW())&lt;&gt;INDIRECT("M"&amp;ROW()+1),リスト!$I$6,"")</f>
        <v>#NAME?</v>
      </c>
    </row>
    <row r="211" spans="1:16" x14ac:dyDescent="0.2">
      <c r="A211" s="169" t="e">
        <f ca="1">IF(C211="","",ROW(行数!A203))</f>
        <v>#NAME?</v>
      </c>
      <c r="B211" s="168" t="e">
        <f t="shared" ca="1" si="24"/>
        <v>#NAME?</v>
      </c>
      <c r="C211" s="90" t="e">
        <f ca="1">[0]!CSVVLookUP(ROW(行数!A203),配列!$C$4,集計記録,3,1)</f>
        <v>#NAME?</v>
      </c>
      <c r="D211" s="90" t="e">
        <f ca="1">[0]!CSVVLookUP(ROW(行数!B203),配列!$C$4,集計記録,4,1)</f>
        <v>#NAME?</v>
      </c>
      <c r="E211" s="118" t="e">
        <f t="shared" ca="1" si="25"/>
        <v>#NAME?</v>
      </c>
      <c r="F211" s="118" t="e">
        <f t="shared" ca="1" si="26"/>
        <v>#NAME?</v>
      </c>
      <c r="G211" s="103" t="e">
        <f t="shared" ca="1" si="27"/>
        <v>#NAME?</v>
      </c>
      <c r="H211" s="104" t="e">
        <f ca="1">IF(C211="","",MROUND([0]!CSVVLookUP(ROW(行数!A203),配列!$C$4,集計記録,8,1),"0:01"))</f>
        <v>#NAME?</v>
      </c>
      <c r="I211" s="104" t="e">
        <f t="shared" ca="1" si="28"/>
        <v>#NAME?</v>
      </c>
      <c r="J211" s="119" t="e">
        <f ca="1">IF(C211="","",MROUND([0]!CSVVLookUP(ROW(行数!A203),配列!$C$4,集計記録,7,1),"0:01"))</f>
        <v>#NAME?</v>
      </c>
      <c r="K211" s="92" t="e">
        <f ca="1">IF(C211="","",[0]!CSVVLookUP(ROW(行数!A203),配列!$C$4,集計記録,5,1))</f>
        <v>#NAME?</v>
      </c>
      <c r="L211" s="104" t="e">
        <f t="shared" ca="1" si="29"/>
        <v>#NAME?</v>
      </c>
      <c r="M211" s="120" t="e">
        <f t="shared" ca="1" si="23"/>
        <v>#NAME?</v>
      </c>
      <c r="N211" s="120" t="e">
        <f ca="1">IF([0]!CSVVLookUP(ROW(行数!A203),配列!$C$4,集計記録,6,1)=0,"",[0]!CSVVLookUP(ROW(行数!A203),配列!$C$4,集計記録,6,1))</f>
        <v>#NAME?</v>
      </c>
      <c r="O211" s="88" t="e">
        <f ca="1">IF(INDIRECT("M"&amp;ROW()-1)&lt;&gt;INDIRECT("M"&amp;ROW()),リスト!$I$5,"")</f>
        <v>#NAME?</v>
      </c>
      <c r="P211" s="88" t="e">
        <f ca="1">IF(INDIRECT("M"&amp;ROW())&lt;&gt;INDIRECT("M"&amp;ROW()+1),リスト!$I$6,"")</f>
        <v>#NAME?</v>
      </c>
    </row>
    <row r="212" spans="1:16" x14ac:dyDescent="0.2">
      <c r="A212" s="169" t="e">
        <f ca="1">IF(C212="","",ROW(行数!A204))</f>
        <v>#NAME?</v>
      </c>
      <c r="B212" s="168" t="e">
        <f t="shared" ca="1" si="24"/>
        <v>#NAME?</v>
      </c>
      <c r="C212" s="90" t="e">
        <f ca="1">[0]!CSVVLookUP(ROW(行数!A204),配列!$C$4,集計記録,3,1)</f>
        <v>#NAME?</v>
      </c>
      <c r="D212" s="90" t="e">
        <f ca="1">[0]!CSVVLookUP(ROW(行数!B204),配列!$C$4,集計記録,4,1)</f>
        <v>#NAME?</v>
      </c>
      <c r="E212" s="118" t="e">
        <f t="shared" ca="1" si="25"/>
        <v>#NAME?</v>
      </c>
      <c r="F212" s="118" t="e">
        <f t="shared" ca="1" si="26"/>
        <v>#NAME?</v>
      </c>
      <c r="G212" s="103" t="e">
        <f t="shared" ca="1" si="27"/>
        <v>#NAME?</v>
      </c>
      <c r="H212" s="104" t="e">
        <f ca="1">IF(C212="","",MROUND([0]!CSVVLookUP(ROW(行数!A204),配列!$C$4,集計記録,8,1),"0:01"))</f>
        <v>#NAME?</v>
      </c>
      <c r="I212" s="104" t="e">
        <f t="shared" ca="1" si="28"/>
        <v>#NAME?</v>
      </c>
      <c r="J212" s="119" t="e">
        <f ca="1">IF(C212="","",MROUND([0]!CSVVLookUP(ROW(行数!A204),配列!$C$4,集計記録,7,1),"0:01"))</f>
        <v>#NAME?</v>
      </c>
      <c r="K212" s="92" t="e">
        <f ca="1">IF(C212="","",[0]!CSVVLookUP(ROW(行数!A204),配列!$C$4,集計記録,5,1))</f>
        <v>#NAME?</v>
      </c>
      <c r="L212" s="104" t="e">
        <f t="shared" ca="1" si="29"/>
        <v>#NAME?</v>
      </c>
      <c r="M212" s="120" t="e">
        <f t="shared" ca="1" si="23"/>
        <v>#NAME?</v>
      </c>
      <c r="N212" s="120" t="e">
        <f ca="1">IF([0]!CSVVLookUP(ROW(行数!A204),配列!$C$4,集計記録,6,1)=0,"",[0]!CSVVLookUP(ROW(行数!A204),配列!$C$4,集計記録,6,1))</f>
        <v>#NAME?</v>
      </c>
      <c r="O212" s="88" t="e">
        <f ca="1">IF(INDIRECT("M"&amp;ROW()-1)&lt;&gt;INDIRECT("M"&amp;ROW()),リスト!$I$5,"")</f>
        <v>#NAME?</v>
      </c>
      <c r="P212" s="88" t="e">
        <f ca="1">IF(INDIRECT("M"&amp;ROW())&lt;&gt;INDIRECT("M"&amp;ROW()+1),リスト!$I$6,"")</f>
        <v>#NAME?</v>
      </c>
    </row>
    <row r="213" spans="1:16" x14ac:dyDescent="0.2">
      <c r="A213" s="169" t="e">
        <f ca="1">IF(C213="","",ROW(行数!A205))</f>
        <v>#NAME?</v>
      </c>
      <c r="B213" s="168" t="e">
        <f t="shared" ca="1" si="24"/>
        <v>#NAME?</v>
      </c>
      <c r="C213" s="90" t="e">
        <f ca="1">[0]!CSVVLookUP(ROW(行数!A205),配列!$C$4,集計記録,3,1)</f>
        <v>#NAME?</v>
      </c>
      <c r="D213" s="90" t="e">
        <f ca="1">[0]!CSVVLookUP(ROW(行数!B205),配列!$C$4,集計記録,4,1)</f>
        <v>#NAME?</v>
      </c>
      <c r="E213" s="118" t="e">
        <f t="shared" ca="1" si="25"/>
        <v>#NAME?</v>
      </c>
      <c r="F213" s="118" t="e">
        <f t="shared" ca="1" si="26"/>
        <v>#NAME?</v>
      </c>
      <c r="G213" s="103" t="e">
        <f t="shared" ca="1" si="27"/>
        <v>#NAME?</v>
      </c>
      <c r="H213" s="104" t="e">
        <f ca="1">IF(C213="","",MROUND([0]!CSVVLookUP(ROW(行数!A205),配列!$C$4,集計記録,8,1),"0:01"))</f>
        <v>#NAME?</v>
      </c>
      <c r="I213" s="104" t="e">
        <f t="shared" ca="1" si="28"/>
        <v>#NAME?</v>
      </c>
      <c r="J213" s="119" t="e">
        <f ca="1">IF(C213="","",MROUND([0]!CSVVLookUP(ROW(行数!A205),配列!$C$4,集計記録,7,1),"0:01"))</f>
        <v>#NAME?</v>
      </c>
      <c r="K213" s="92" t="e">
        <f ca="1">IF(C213="","",[0]!CSVVLookUP(ROW(行数!A205),配列!$C$4,集計記録,5,1))</f>
        <v>#NAME?</v>
      </c>
      <c r="L213" s="104" t="e">
        <f t="shared" ca="1" si="29"/>
        <v>#NAME?</v>
      </c>
      <c r="M213" s="120" t="e">
        <f t="shared" ca="1" si="23"/>
        <v>#NAME?</v>
      </c>
      <c r="N213" s="120" t="e">
        <f ca="1">IF([0]!CSVVLookUP(ROW(行数!A205),配列!$C$4,集計記録,6,1)=0,"",[0]!CSVVLookUP(ROW(行数!A205),配列!$C$4,集計記録,6,1))</f>
        <v>#NAME?</v>
      </c>
      <c r="O213" s="88" t="e">
        <f ca="1">IF(INDIRECT("M"&amp;ROW()-1)&lt;&gt;INDIRECT("M"&amp;ROW()),リスト!$I$5,"")</f>
        <v>#NAME?</v>
      </c>
      <c r="P213" s="88" t="e">
        <f ca="1">IF(INDIRECT("M"&amp;ROW())&lt;&gt;INDIRECT("M"&amp;ROW()+1),リスト!$I$6,"")</f>
        <v>#NAME?</v>
      </c>
    </row>
    <row r="214" spans="1:16" x14ac:dyDescent="0.2">
      <c r="A214" s="169" t="e">
        <f ca="1">IF(C214="","",ROW(行数!A206))</f>
        <v>#NAME?</v>
      </c>
      <c r="B214" s="168" t="e">
        <f t="shared" ca="1" si="24"/>
        <v>#NAME?</v>
      </c>
      <c r="C214" s="90" t="e">
        <f ca="1">[0]!CSVVLookUP(ROW(行数!A206),配列!$C$4,集計記録,3,1)</f>
        <v>#NAME?</v>
      </c>
      <c r="D214" s="90" t="e">
        <f ca="1">[0]!CSVVLookUP(ROW(行数!B206),配列!$C$4,集計記録,4,1)</f>
        <v>#NAME?</v>
      </c>
      <c r="E214" s="118" t="e">
        <f t="shared" ca="1" si="25"/>
        <v>#NAME?</v>
      </c>
      <c r="F214" s="118" t="e">
        <f t="shared" ca="1" si="26"/>
        <v>#NAME?</v>
      </c>
      <c r="G214" s="103" t="e">
        <f t="shared" ca="1" si="27"/>
        <v>#NAME?</v>
      </c>
      <c r="H214" s="104" t="e">
        <f ca="1">IF(C214="","",MROUND([0]!CSVVLookUP(ROW(行数!A206),配列!$C$4,集計記録,8,1),"0:01"))</f>
        <v>#NAME?</v>
      </c>
      <c r="I214" s="104" t="e">
        <f t="shared" ca="1" si="28"/>
        <v>#NAME?</v>
      </c>
      <c r="J214" s="119" t="e">
        <f ca="1">IF(C214="","",MROUND([0]!CSVVLookUP(ROW(行数!A206),配列!$C$4,集計記録,7,1),"0:01"))</f>
        <v>#NAME?</v>
      </c>
      <c r="K214" s="92" t="e">
        <f ca="1">IF(C214="","",[0]!CSVVLookUP(ROW(行数!A206),配列!$C$4,集計記録,5,1))</f>
        <v>#NAME?</v>
      </c>
      <c r="L214" s="104" t="e">
        <f t="shared" ca="1" si="29"/>
        <v>#NAME?</v>
      </c>
      <c r="M214" s="120" t="e">
        <f t="shared" ca="1" si="23"/>
        <v>#NAME?</v>
      </c>
      <c r="N214" s="120" t="e">
        <f ca="1">IF([0]!CSVVLookUP(ROW(行数!A206),配列!$C$4,集計記録,6,1)=0,"",[0]!CSVVLookUP(ROW(行数!A206),配列!$C$4,集計記録,6,1))</f>
        <v>#NAME?</v>
      </c>
      <c r="O214" s="88" t="e">
        <f ca="1">IF(INDIRECT("M"&amp;ROW()-1)&lt;&gt;INDIRECT("M"&amp;ROW()),リスト!$I$5,"")</f>
        <v>#NAME?</v>
      </c>
      <c r="P214" s="88" t="e">
        <f ca="1">IF(INDIRECT("M"&amp;ROW())&lt;&gt;INDIRECT("M"&amp;ROW()+1),リスト!$I$6,"")</f>
        <v>#NAME?</v>
      </c>
    </row>
    <row r="215" spans="1:16" x14ac:dyDescent="0.2">
      <c r="A215" s="169" t="e">
        <f ca="1">IF(C215="","",ROW(行数!A207))</f>
        <v>#NAME?</v>
      </c>
      <c r="B215" s="168" t="e">
        <f t="shared" ca="1" si="24"/>
        <v>#NAME?</v>
      </c>
      <c r="C215" s="90" t="e">
        <f ca="1">[0]!CSVVLookUP(ROW(行数!A207),配列!$C$4,集計記録,3,1)</f>
        <v>#NAME?</v>
      </c>
      <c r="D215" s="90" t="e">
        <f ca="1">[0]!CSVVLookUP(ROW(行数!B207),配列!$C$4,集計記録,4,1)</f>
        <v>#NAME?</v>
      </c>
      <c r="E215" s="118" t="e">
        <f t="shared" ca="1" si="25"/>
        <v>#NAME?</v>
      </c>
      <c r="F215" s="118" t="e">
        <f t="shared" ca="1" si="26"/>
        <v>#NAME?</v>
      </c>
      <c r="G215" s="103" t="e">
        <f t="shared" ca="1" si="27"/>
        <v>#NAME?</v>
      </c>
      <c r="H215" s="104" t="e">
        <f ca="1">IF(C215="","",MROUND([0]!CSVVLookUP(ROW(行数!A207),配列!$C$4,集計記録,8,1),"0:01"))</f>
        <v>#NAME?</v>
      </c>
      <c r="I215" s="104" t="e">
        <f t="shared" ca="1" si="28"/>
        <v>#NAME?</v>
      </c>
      <c r="J215" s="119" t="e">
        <f ca="1">IF(C215="","",MROUND([0]!CSVVLookUP(ROW(行数!A207),配列!$C$4,集計記録,7,1),"0:01"))</f>
        <v>#NAME?</v>
      </c>
      <c r="K215" s="92" t="e">
        <f ca="1">IF(C215="","",[0]!CSVVLookUP(ROW(行数!A207),配列!$C$4,集計記録,5,1))</f>
        <v>#NAME?</v>
      </c>
      <c r="L215" s="104" t="e">
        <f t="shared" ca="1" si="29"/>
        <v>#NAME?</v>
      </c>
      <c r="M215" s="120" t="e">
        <f t="shared" ca="1" si="23"/>
        <v>#NAME?</v>
      </c>
      <c r="N215" s="120" t="e">
        <f ca="1">IF([0]!CSVVLookUP(ROW(行数!A207),配列!$C$4,集計記録,6,1)=0,"",[0]!CSVVLookUP(ROW(行数!A207),配列!$C$4,集計記録,6,1))</f>
        <v>#NAME?</v>
      </c>
      <c r="O215" s="88" t="e">
        <f ca="1">IF(INDIRECT("M"&amp;ROW()-1)&lt;&gt;INDIRECT("M"&amp;ROW()),リスト!$I$5,"")</f>
        <v>#NAME?</v>
      </c>
      <c r="P215" s="88" t="e">
        <f ca="1">IF(INDIRECT("M"&amp;ROW())&lt;&gt;INDIRECT("M"&amp;ROW()+1),リスト!$I$6,"")</f>
        <v>#NAME?</v>
      </c>
    </row>
    <row r="216" spans="1:16" x14ac:dyDescent="0.2">
      <c r="A216" s="169" t="e">
        <f ca="1">IF(C216="","",ROW(行数!A208))</f>
        <v>#NAME?</v>
      </c>
      <c r="B216" s="168" t="e">
        <f t="shared" ca="1" si="24"/>
        <v>#NAME?</v>
      </c>
      <c r="C216" s="90" t="e">
        <f ca="1">[0]!CSVVLookUP(ROW(行数!A208),配列!$C$4,集計記録,3,1)</f>
        <v>#NAME?</v>
      </c>
      <c r="D216" s="90" t="e">
        <f ca="1">[0]!CSVVLookUP(ROW(行数!B208),配列!$C$4,集計記録,4,1)</f>
        <v>#NAME?</v>
      </c>
      <c r="E216" s="118" t="e">
        <f t="shared" ca="1" si="25"/>
        <v>#NAME?</v>
      </c>
      <c r="F216" s="118" t="e">
        <f t="shared" ca="1" si="26"/>
        <v>#NAME?</v>
      </c>
      <c r="G216" s="103" t="e">
        <f t="shared" ca="1" si="27"/>
        <v>#NAME?</v>
      </c>
      <c r="H216" s="104" t="e">
        <f ca="1">IF(C216="","",MROUND([0]!CSVVLookUP(ROW(行数!A208),配列!$C$4,集計記録,8,1),"0:01"))</f>
        <v>#NAME?</v>
      </c>
      <c r="I216" s="104" t="e">
        <f t="shared" ca="1" si="28"/>
        <v>#NAME?</v>
      </c>
      <c r="J216" s="119" t="e">
        <f ca="1">IF(C216="","",MROUND([0]!CSVVLookUP(ROW(行数!A208),配列!$C$4,集計記録,7,1),"0:01"))</f>
        <v>#NAME?</v>
      </c>
      <c r="K216" s="92" t="e">
        <f ca="1">IF(C216="","",[0]!CSVVLookUP(ROW(行数!A208),配列!$C$4,集計記録,5,1))</f>
        <v>#NAME?</v>
      </c>
      <c r="L216" s="104" t="e">
        <f t="shared" ca="1" si="29"/>
        <v>#NAME?</v>
      </c>
      <c r="M216" s="120" t="e">
        <f t="shared" ca="1" si="23"/>
        <v>#NAME?</v>
      </c>
      <c r="N216" s="120" t="e">
        <f ca="1">IF([0]!CSVVLookUP(ROW(行数!A208),配列!$C$4,集計記録,6,1)=0,"",[0]!CSVVLookUP(ROW(行数!A208),配列!$C$4,集計記録,6,1))</f>
        <v>#NAME?</v>
      </c>
      <c r="O216" s="88" t="e">
        <f ca="1">IF(INDIRECT("M"&amp;ROW()-1)&lt;&gt;INDIRECT("M"&amp;ROW()),リスト!$I$5,"")</f>
        <v>#NAME?</v>
      </c>
      <c r="P216" s="88" t="e">
        <f ca="1">IF(INDIRECT("M"&amp;ROW())&lt;&gt;INDIRECT("M"&amp;ROW()+1),リスト!$I$6,"")</f>
        <v>#NAME?</v>
      </c>
    </row>
    <row r="217" spans="1:16" x14ac:dyDescent="0.2">
      <c r="A217" s="169" t="e">
        <f ca="1">IF(C217="","",ROW(行数!A209))</f>
        <v>#NAME?</v>
      </c>
      <c r="B217" s="168" t="e">
        <f t="shared" ca="1" si="24"/>
        <v>#NAME?</v>
      </c>
      <c r="C217" s="90" t="e">
        <f ca="1">[0]!CSVVLookUP(ROW(行数!A209),配列!$C$4,集計記録,3,1)</f>
        <v>#NAME?</v>
      </c>
      <c r="D217" s="90" t="e">
        <f ca="1">[0]!CSVVLookUP(ROW(行数!B209),配列!$C$4,集計記録,4,1)</f>
        <v>#NAME?</v>
      </c>
      <c r="E217" s="118" t="e">
        <f t="shared" ca="1" si="25"/>
        <v>#NAME?</v>
      </c>
      <c r="F217" s="118" t="e">
        <f t="shared" ca="1" si="26"/>
        <v>#NAME?</v>
      </c>
      <c r="G217" s="103" t="e">
        <f t="shared" ca="1" si="27"/>
        <v>#NAME?</v>
      </c>
      <c r="H217" s="104" t="e">
        <f ca="1">IF(C217="","",MROUND([0]!CSVVLookUP(ROW(行数!A209),配列!$C$4,集計記録,8,1),"0:01"))</f>
        <v>#NAME?</v>
      </c>
      <c r="I217" s="104" t="e">
        <f t="shared" ca="1" si="28"/>
        <v>#NAME?</v>
      </c>
      <c r="J217" s="119" t="e">
        <f ca="1">IF(C217="","",MROUND([0]!CSVVLookUP(ROW(行数!A209),配列!$C$4,集計記録,7,1),"0:01"))</f>
        <v>#NAME?</v>
      </c>
      <c r="K217" s="92" t="e">
        <f ca="1">IF(C217="","",[0]!CSVVLookUP(ROW(行数!A209),配列!$C$4,集計記録,5,1))</f>
        <v>#NAME?</v>
      </c>
      <c r="L217" s="104" t="e">
        <f t="shared" ca="1" si="29"/>
        <v>#NAME?</v>
      </c>
      <c r="M217" s="120" t="e">
        <f t="shared" ca="1" si="23"/>
        <v>#NAME?</v>
      </c>
      <c r="N217" s="120" t="e">
        <f ca="1">IF([0]!CSVVLookUP(ROW(行数!A209),配列!$C$4,集計記録,6,1)=0,"",[0]!CSVVLookUP(ROW(行数!A209),配列!$C$4,集計記録,6,1))</f>
        <v>#NAME?</v>
      </c>
      <c r="O217" s="88" t="e">
        <f ca="1">IF(INDIRECT("M"&amp;ROW()-1)&lt;&gt;INDIRECT("M"&amp;ROW()),リスト!$I$5,"")</f>
        <v>#NAME?</v>
      </c>
      <c r="P217" s="88" t="e">
        <f ca="1">IF(INDIRECT("M"&amp;ROW())&lt;&gt;INDIRECT("M"&amp;ROW()+1),リスト!$I$6,"")</f>
        <v>#NAME?</v>
      </c>
    </row>
    <row r="218" spans="1:16" x14ac:dyDescent="0.2">
      <c r="A218" s="169" t="e">
        <f ca="1">IF(C218="","",ROW(行数!A210))</f>
        <v>#NAME?</v>
      </c>
      <c r="B218" s="168" t="e">
        <f t="shared" ca="1" si="24"/>
        <v>#NAME?</v>
      </c>
      <c r="C218" s="90" t="e">
        <f ca="1">[0]!CSVVLookUP(ROW(行数!A210),配列!$C$4,集計記録,3,1)</f>
        <v>#NAME?</v>
      </c>
      <c r="D218" s="90" t="e">
        <f ca="1">[0]!CSVVLookUP(ROW(行数!B210),配列!$C$4,集計記録,4,1)</f>
        <v>#NAME?</v>
      </c>
      <c r="E218" s="118" t="e">
        <f t="shared" ca="1" si="25"/>
        <v>#NAME?</v>
      </c>
      <c r="F218" s="118" t="e">
        <f t="shared" ca="1" si="26"/>
        <v>#NAME?</v>
      </c>
      <c r="G218" s="103" t="e">
        <f t="shared" ca="1" si="27"/>
        <v>#NAME?</v>
      </c>
      <c r="H218" s="104" t="e">
        <f ca="1">IF(C218="","",MROUND([0]!CSVVLookUP(ROW(行数!A210),配列!$C$4,集計記録,8,1),"0:01"))</f>
        <v>#NAME?</v>
      </c>
      <c r="I218" s="104" t="e">
        <f t="shared" ca="1" si="28"/>
        <v>#NAME?</v>
      </c>
      <c r="J218" s="119" t="e">
        <f ca="1">IF(C218="","",MROUND([0]!CSVVLookUP(ROW(行数!A210),配列!$C$4,集計記録,7,1),"0:01"))</f>
        <v>#NAME?</v>
      </c>
      <c r="K218" s="92" t="e">
        <f ca="1">IF(C218="","",[0]!CSVVLookUP(ROW(行数!A210),配列!$C$4,集計記録,5,1))</f>
        <v>#NAME?</v>
      </c>
      <c r="L218" s="104" t="e">
        <f t="shared" ca="1" si="29"/>
        <v>#NAME?</v>
      </c>
      <c r="M218" s="120" t="e">
        <f t="shared" ca="1" si="23"/>
        <v>#NAME?</v>
      </c>
      <c r="N218" s="120" t="e">
        <f ca="1">IF([0]!CSVVLookUP(ROW(行数!A210),配列!$C$4,集計記録,6,1)=0,"",[0]!CSVVLookUP(ROW(行数!A210),配列!$C$4,集計記録,6,1))</f>
        <v>#NAME?</v>
      </c>
      <c r="O218" s="88" t="e">
        <f ca="1">IF(INDIRECT("M"&amp;ROW()-1)&lt;&gt;INDIRECT("M"&amp;ROW()),リスト!$I$5,"")</f>
        <v>#NAME?</v>
      </c>
      <c r="P218" s="88" t="e">
        <f ca="1">IF(INDIRECT("M"&amp;ROW())&lt;&gt;INDIRECT("M"&amp;ROW()+1),リスト!$I$6,"")</f>
        <v>#NAME?</v>
      </c>
    </row>
    <row r="219" spans="1:16" x14ac:dyDescent="0.2">
      <c r="A219" s="169" t="e">
        <f ca="1">IF(C219="","",ROW(行数!A211))</f>
        <v>#NAME?</v>
      </c>
      <c r="B219" s="168" t="e">
        <f t="shared" ca="1" si="24"/>
        <v>#NAME?</v>
      </c>
      <c r="C219" s="90" t="e">
        <f ca="1">[0]!CSVVLookUP(ROW(行数!A211),配列!$C$4,集計記録,3,1)</f>
        <v>#NAME?</v>
      </c>
      <c r="D219" s="90" t="e">
        <f ca="1">[0]!CSVVLookUP(ROW(行数!B211),配列!$C$4,集計記録,4,1)</f>
        <v>#NAME?</v>
      </c>
      <c r="E219" s="118" t="e">
        <f t="shared" ca="1" si="25"/>
        <v>#NAME?</v>
      </c>
      <c r="F219" s="118" t="e">
        <f t="shared" ca="1" si="26"/>
        <v>#NAME?</v>
      </c>
      <c r="G219" s="103" t="e">
        <f t="shared" ca="1" si="27"/>
        <v>#NAME?</v>
      </c>
      <c r="H219" s="104" t="e">
        <f ca="1">IF(C219="","",MROUND([0]!CSVVLookUP(ROW(行数!A211),配列!$C$4,集計記録,8,1),"0:01"))</f>
        <v>#NAME?</v>
      </c>
      <c r="I219" s="104" t="e">
        <f t="shared" ca="1" si="28"/>
        <v>#NAME?</v>
      </c>
      <c r="J219" s="119" t="e">
        <f ca="1">IF(C219="","",MROUND([0]!CSVVLookUP(ROW(行数!A211),配列!$C$4,集計記録,7,1),"0:01"))</f>
        <v>#NAME?</v>
      </c>
      <c r="K219" s="92" t="e">
        <f ca="1">IF(C219="","",[0]!CSVVLookUP(ROW(行数!A211),配列!$C$4,集計記録,5,1))</f>
        <v>#NAME?</v>
      </c>
      <c r="L219" s="104" t="e">
        <f t="shared" ca="1" si="29"/>
        <v>#NAME?</v>
      </c>
      <c r="M219" s="120" t="e">
        <f t="shared" ca="1" si="23"/>
        <v>#NAME?</v>
      </c>
      <c r="N219" s="120" t="e">
        <f ca="1">IF([0]!CSVVLookUP(ROW(行数!A211),配列!$C$4,集計記録,6,1)=0,"",[0]!CSVVLookUP(ROW(行数!A211),配列!$C$4,集計記録,6,1))</f>
        <v>#NAME?</v>
      </c>
      <c r="O219" s="88" t="e">
        <f ca="1">IF(INDIRECT("M"&amp;ROW()-1)&lt;&gt;INDIRECT("M"&amp;ROW()),リスト!$I$5,"")</f>
        <v>#NAME?</v>
      </c>
      <c r="P219" s="88" t="e">
        <f ca="1">IF(INDIRECT("M"&amp;ROW())&lt;&gt;INDIRECT("M"&amp;ROW()+1),リスト!$I$6,"")</f>
        <v>#NAME?</v>
      </c>
    </row>
    <row r="220" spans="1:16" x14ac:dyDescent="0.2">
      <c r="A220" s="169" t="e">
        <f ca="1">IF(C220="","",ROW(行数!A212))</f>
        <v>#NAME?</v>
      </c>
      <c r="B220" s="168" t="e">
        <f t="shared" ca="1" si="24"/>
        <v>#NAME?</v>
      </c>
      <c r="C220" s="90" t="e">
        <f ca="1">[0]!CSVVLookUP(ROW(行数!A212),配列!$C$4,集計記録,3,1)</f>
        <v>#NAME?</v>
      </c>
      <c r="D220" s="90" t="e">
        <f ca="1">[0]!CSVVLookUP(ROW(行数!B212),配列!$C$4,集計記録,4,1)</f>
        <v>#NAME?</v>
      </c>
      <c r="E220" s="118" t="e">
        <f t="shared" ca="1" si="25"/>
        <v>#NAME?</v>
      </c>
      <c r="F220" s="118" t="e">
        <f t="shared" ca="1" si="26"/>
        <v>#NAME?</v>
      </c>
      <c r="G220" s="103" t="e">
        <f t="shared" ca="1" si="27"/>
        <v>#NAME?</v>
      </c>
      <c r="H220" s="104" t="e">
        <f ca="1">IF(C220="","",MROUND([0]!CSVVLookUP(ROW(行数!A212),配列!$C$4,集計記録,8,1),"0:01"))</f>
        <v>#NAME?</v>
      </c>
      <c r="I220" s="104" t="e">
        <f t="shared" ca="1" si="28"/>
        <v>#NAME?</v>
      </c>
      <c r="J220" s="119" t="e">
        <f ca="1">IF(C220="","",MROUND([0]!CSVVLookUP(ROW(行数!A212),配列!$C$4,集計記録,7,1),"0:01"))</f>
        <v>#NAME?</v>
      </c>
      <c r="K220" s="92" t="e">
        <f ca="1">IF(C220="","",[0]!CSVVLookUP(ROW(行数!A212),配列!$C$4,集計記録,5,1))</f>
        <v>#NAME?</v>
      </c>
      <c r="L220" s="104" t="e">
        <f t="shared" ca="1" si="29"/>
        <v>#NAME?</v>
      </c>
      <c r="M220" s="120" t="e">
        <f t="shared" ca="1" si="23"/>
        <v>#NAME?</v>
      </c>
      <c r="N220" s="120" t="e">
        <f ca="1">IF([0]!CSVVLookUP(ROW(行数!A212),配列!$C$4,集計記録,6,1)=0,"",[0]!CSVVLookUP(ROW(行数!A212),配列!$C$4,集計記録,6,1))</f>
        <v>#NAME?</v>
      </c>
      <c r="O220" s="88" t="e">
        <f ca="1">IF(INDIRECT("M"&amp;ROW()-1)&lt;&gt;INDIRECT("M"&amp;ROW()),リスト!$I$5,"")</f>
        <v>#NAME?</v>
      </c>
      <c r="P220" s="88" t="e">
        <f ca="1">IF(INDIRECT("M"&amp;ROW())&lt;&gt;INDIRECT("M"&amp;ROW()+1),リスト!$I$6,"")</f>
        <v>#NAME?</v>
      </c>
    </row>
    <row r="221" spans="1:16" x14ac:dyDescent="0.2">
      <c r="A221" s="169" t="e">
        <f ca="1">IF(C221="","",ROW(行数!A213))</f>
        <v>#NAME?</v>
      </c>
      <c r="B221" s="168" t="e">
        <f t="shared" ca="1" si="24"/>
        <v>#NAME?</v>
      </c>
      <c r="C221" s="90" t="e">
        <f ca="1">[0]!CSVVLookUP(ROW(行数!A213),配列!$C$4,集計記録,3,1)</f>
        <v>#NAME?</v>
      </c>
      <c r="D221" s="90" t="e">
        <f ca="1">[0]!CSVVLookUP(ROW(行数!B213),配列!$C$4,集計記録,4,1)</f>
        <v>#NAME?</v>
      </c>
      <c r="E221" s="118" t="e">
        <f t="shared" ca="1" si="25"/>
        <v>#NAME?</v>
      </c>
      <c r="F221" s="118" t="e">
        <f t="shared" ca="1" si="26"/>
        <v>#NAME?</v>
      </c>
      <c r="G221" s="103" t="e">
        <f t="shared" ca="1" si="27"/>
        <v>#NAME?</v>
      </c>
      <c r="H221" s="104" t="e">
        <f ca="1">IF(C221="","",MROUND([0]!CSVVLookUP(ROW(行数!A213),配列!$C$4,集計記録,8,1),"0:01"))</f>
        <v>#NAME?</v>
      </c>
      <c r="I221" s="104" t="e">
        <f t="shared" ca="1" si="28"/>
        <v>#NAME?</v>
      </c>
      <c r="J221" s="119" t="e">
        <f ca="1">IF(C221="","",MROUND([0]!CSVVLookUP(ROW(行数!A213),配列!$C$4,集計記録,7,1),"0:01"))</f>
        <v>#NAME?</v>
      </c>
      <c r="K221" s="92" t="e">
        <f ca="1">IF(C221="","",[0]!CSVVLookUP(ROW(行数!A213),配列!$C$4,集計記録,5,1))</f>
        <v>#NAME?</v>
      </c>
      <c r="L221" s="104" t="e">
        <f t="shared" ca="1" si="29"/>
        <v>#NAME?</v>
      </c>
      <c r="M221" s="120" t="e">
        <f t="shared" ca="1" si="23"/>
        <v>#NAME?</v>
      </c>
      <c r="N221" s="120" t="e">
        <f ca="1">IF([0]!CSVVLookUP(ROW(行数!A213),配列!$C$4,集計記録,6,1)=0,"",[0]!CSVVLookUP(ROW(行数!A213),配列!$C$4,集計記録,6,1))</f>
        <v>#NAME?</v>
      </c>
      <c r="O221" s="88" t="e">
        <f ca="1">IF(INDIRECT("M"&amp;ROW()-1)&lt;&gt;INDIRECT("M"&amp;ROW()),リスト!$I$5,"")</f>
        <v>#NAME?</v>
      </c>
      <c r="P221" s="88" t="e">
        <f ca="1">IF(INDIRECT("M"&amp;ROW())&lt;&gt;INDIRECT("M"&amp;ROW()+1),リスト!$I$6,"")</f>
        <v>#NAME?</v>
      </c>
    </row>
    <row r="222" spans="1:16" x14ac:dyDescent="0.2">
      <c r="A222" s="169" t="e">
        <f ca="1">IF(C222="","",ROW(行数!A214))</f>
        <v>#NAME?</v>
      </c>
      <c r="B222" s="168" t="e">
        <f t="shared" ca="1" si="24"/>
        <v>#NAME?</v>
      </c>
      <c r="C222" s="90" t="e">
        <f ca="1">[0]!CSVVLookUP(ROW(行数!A214),配列!$C$4,集計記録,3,1)</f>
        <v>#NAME?</v>
      </c>
      <c r="D222" s="90" t="e">
        <f ca="1">[0]!CSVVLookUP(ROW(行数!B214),配列!$C$4,集計記録,4,1)</f>
        <v>#NAME?</v>
      </c>
      <c r="E222" s="118" t="e">
        <f t="shared" ca="1" si="25"/>
        <v>#NAME?</v>
      </c>
      <c r="F222" s="118" t="e">
        <f t="shared" ca="1" si="26"/>
        <v>#NAME?</v>
      </c>
      <c r="G222" s="103" t="e">
        <f t="shared" ca="1" si="27"/>
        <v>#NAME?</v>
      </c>
      <c r="H222" s="104" t="e">
        <f ca="1">IF(C222="","",MROUND([0]!CSVVLookUP(ROW(行数!A214),配列!$C$4,集計記録,8,1),"0:01"))</f>
        <v>#NAME?</v>
      </c>
      <c r="I222" s="104" t="e">
        <f t="shared" ca="1" si="28"/>
        <v>#NAME?</v>
      </c>
      <c r="J222" s="119" t="e">
        <f ca="1">IF(C222="","",MROUND([0]!CSVVLookUP(ROW(行数!A214),配列!$C$4,集計記録,7,1),"0:01"))</f>
        <v>#NAME?</v>
      </c>
      <c r="K222" s="92" t="e">
        <f ca="1">IF(C222="","",[0]!CSVVLookUP(ROW(行数!A214),配列!$C$4,集計記録,5,1))</f>
        <v>#NAME?</v>
      </c>
      <c r="L222" s="104" t="e">
        <f t="shared" ca="1" si="29"/>
        <v>#NAME?</v>
      </c>
      <c r="M222" s="120" t="e">
        <f t="shared" ca="1" si="23"/>
        <v>#NAME?</v>
      </c>
      <c r="N222" s="120" t="e">
        <f ca="1">IF([0]!CSVVLookUP(ROW(行数!A214),配列!$C$4,集計記録,6,1)=0,"",[0]!CSVVLookUP(ROW(行数!A214),配列!$C$4,集計記録,6,1))</f>
        <v>#NAME?</v>
      </c>
      <c r="O222" s="88" t="e">
        <f ca="1">IF(INDIRECT("M"&amp;ROW()-1)&lt;&gt;INDIRECT("M"&amp;ROW()),リスト!$I$5,"")</f>
        <v>#NAME?</v>
      </c>
      <c r="P222" s="88" t="e">
        <f ca="1">IF(INDIRECT("M"&amp;ROW())&lt;&gt;INDIRECT("M"&amp;ROW()+1),リスト!$I$6,"")</f>
        <v>#NAME?</v>
      </c>
    </row>
    <row r="223" spans="1:16" x14ac:dyDescent="0.2">
      <c r="A223" s="169" t="e">
        <f ca="1">IF(C223="","",ROW(行数!A215))</f>
        <v>#NAME?</v>
      </c>
      <c r="B223" s="168" t="e">
        <f t="shared" ca="1" si="24"/>
        <v>#NAME?</v>
      </c>
      <c r="C223" s="90" t="e">
        <f ca="1">[0]!CSVVLookUP(ROW(行数!A215),配列!$C$4,集計記録,3,1)</f>
        <v>#NAME?</v>
      </c>
      <c r="D223" s="90" t="e">
        <f ca="1">[0]!CSVVLookUP(ROW(行数!B215),配列!$C$4,集計記録,4,1)</f>
        <v>#NAME?</v>
      </c>
      <c r="E223" s="118" t="e">
        <f t="shared" ca="1" si="25"/>
        <v>#NAME?</v>
      </c>
      <c r="F223" s="118" t="e">
        <f t="shared" ca="1" si="26"/>
        <v>#NAME?</v>
      </c>
      <c r="G223" s="103" t="e">
        <f t="shared" ca="1" si="27"/>
        <v>#NAME?</v>
      </c>
      <c r="H223" s="104" t="e">
        <f ca="1">IF(C223="","",MROUND([0]!CSVVLookUP(ROW(行数!A215),配列!$C$4,集計記録,8,1),"0:01"))</f>
        <v>#NAME?</v>
      </c>
      <c r="I223" s="104" t="e">
        <f t="shared" ca="1" si="28"/>
        <v>#NAME?</v>
      </c>
      <c r="J223" s="119" t="e">
        <f ca="1">IF(C223="","",MROUND([0]!CSVVLookUP(ROW(行数!A215),配列!$C$4,集計記録,7,1),"0:01"))</f>
        <v>#NAME?</v>
      </c>
      <c r="K223" s="92" t="e">
        <f ca="1">IF(C223="","",[0]!CSVVLookUP(ROW(行数!A215),配列!$C$4,集計記録,5,1))</f>
        <v>#NAME?</v>
      </c>
      <c r="L223" s="104" t="e">
        <f t="shared" ca="1" si="29"/>
        <v>#NAME?</v>
      </c>
      <c r="M223" s="120" t="e">
        <f t="shared" ca="1" si="23"/>
        <v>#NAME?</v>
      </c>
      <c r="N223" s="120" t="e">
        <f ca="1">IF([0]!CSVVLookUP(ROW(行数!A215),配列!$C$4,集計記録,6,1)=0,"",[0]!CSVVLookUP(ROW(行数!A215),配列!$C$4,集計記録,6,1))</f>
        <v>#NAME?</v>
      </c>
      <c r="O223" s="88" t="e">
        <f ca="1">IF(INDIRECT("M"&amp;ROW()-1)&lt;&gt;INDIRECT("M"&amp;ROW()),リスト!$I$5,"")</f>
        <v>#NAME?</v>
      </c>
      <c r="P223" s="88" t="e">
        <f ca="1">IF(INDIRECT("M"&amp;ROW())&lt;&gt;INDIRECT("M"&amp;ROW()+1),リスト!$I$6,"")</f>
        <v>#NAME?</v>
      </c>
    </row>
    <row r="224" spans="1:16" x14ac:dyDescent="0.2">
      <c r="A224" s="169" t="e">
        <f ca="1">IF(C224="","",ROW(行数!A216))</f>
        <v>#NAME?</v>
      </c>
      <c r="B224" s="168" t="e">
        <f t="shared" ca="1" si="24"/>
        <v>#NAME?</v>
      </c>
      <c r="C224" s="90" t="e">
        <f ca="1">[0]!CSVVLookUP(ROW(行数!A216),配列!$C$4,集計記録,3,1)</f>
        <v>#NAME?</v>
      </c>
      <c r="D224" s="90" t="e">
        <f ca="1">[0]!CSVVLookUP(ROW(行数!B216),配列!$C$4,集計記録,4,1)</f>
        <v>#NAME?</v>
      </c>
      <c r="E224" s="118" t="e">
        <f t="shared" ca="1" si="25"/>
        <v>#NAME?</v>
      </c>
      <c r="F224" s="118" t="e">
        <f t="shared" ca="1" si="26"/>
        <v>#NAME?</v>
      </c>
      <c r="G224" s="103" t="e">
        <f t="shared" ca="1" si="27"/>
        <v>#NAME?</v>
      </c>
      <c r="H224" s="104" t="e">
        <f ca="1">IF(C224="","",MROUND([0]!CSVVLookUP(ROW(行数!A216),配列!$C$4,集計記録,8,1),"0:01"))</f>
        <v>#NAME?</v>
      </c>
      <c r="I224" s="104" t="e">
        <f t="shared" ca="1" si="28"/>
        <v>#NAME?</v>
      </c>
      <c r="J224" s="119" t="e">
        <f ca="1">IF(C224="","",MROUND([0]!CSVVLookUP(ROW(行数!A216),配列!$C$4,集計記録,7,1),"0:01"))</f>
        <v>#NAME?</v>
      </c>
      <c r="K224" s="92" t="e">
        <f ca="1">IF(C224="","",[0]!CSVVLookUP(ROW(行数!A216),配列!$C$4,集計記録,5,1))</f>
        <v>#NAME?</v>
      </c>
      <c r="L224" s="104" t="e">
        <f t="shared" ca="1" si="29"/>
        <v>#NAME?</v>
      </c>
      <c r="M224" s="120" t="e">
        <f t="shared" ca="1" si="23"/>
        <v>#NAME?</v>
      </c>
      <c r="N224" s="120" t="e">
        <f ca="1">IF([0]!CSVVLookUP(ROW(行数!A216),配列!$C$4,集計記録,6,1)=0,"",[0]!CSVVLookUP(ROW(行数!A216),配列!$C$4,集計記録,6,1))</f>
        <v>#NAME?</v>
      </c>
      <c r="O224" s="88" t="e">
        <f ca="1">IF(INDIRECT("M"&amp;ROW()-1)&lt;&gt;INDIRECT("M"&amp;ROW()),リスト!$I$5,"")</f>
        <v>#NAME?</v>
      </c>
      <c r="P224" s="88" t="e">
        <f ca="1">IF(INDIRECT("M"&amp;ROW())&lt;&gt;INDIRECT("M"&amp;ROW()+1),リスト!$I$6,"")</f>
        <v>#NAME?</v>
      </c>
    </row>
    <row r="225" spans="1:16" x14ac:dyDescent="0.2">
      <c r="A225" s="169" t="e">
        <f ca="1">IF(C225="","",ROW(行数!A217))</f>
        <v>#NAME?</v>
      </c>
      <c r="B225" s="168" t="e">
        <f t="shared" ca="1" si="24"/>
        <v>#NAME?</v>
      </c>
      <c r="C225" s="90" t="e">
        <f ca="1">[0]!CSVVLookUP(ROW(行数!A217),配列!$C$4,集計記録,3,1)</f>
        <v>#NAME?</v>
      </c>
      <c r="D225" s="90" t="e">
        <f ca="1">[0]!CSVVLookUP(ROW(行数!B217),配列!$C$4,集計記録,4,1)</f>
        <v>#NAME?</v>
      </c>
      <c r="E225" s="118" t="e">
        <f t="shared" ca="1" si="25"/>
        <v>#NAME?</v>
      </c>
      <c r="F225" s="118" t="e">
        <f t="shared" ca="1" si="26"/>
        <v>#NAME?</v>
      </c>
      <c r="G225" s="103" t="e">
        <f t="shared" ca="1" si="27"/>
        <v>#NAME?</v>
      </c>
      <c r="H225" s="104" t="e">
        <f ca="1">IF(C225="","",MROUND([0]!CSVVLookUP(ROW(行数!A217),配列!$C$4,集計記録,8,1),"0:01"))</f>
        <v>#NAME?</v>
      </c>
      <c r="I225" s="104" t="e">
        <f t="shared" ca="1" si="28"/>
        <v>#NAME?</v>
      </c>
      <c r="J225" s="119" t="e">
        <f ca="1">IF(C225="","",MROUND([0]!CSVVLookUP(ROW(行数!A217),配列!$C$4,集計記録,7,1),"0:01"))</f>
        <v>#NAME?</v>
      </c>
      <c r="K225" s="92" t="e">
        <f ca="1">IF(C225="","",[0]!CSVVLookUP(ROW(行数!A217),配列!$C$4,集計記録,5,1))</f>
        <v>#NAME?</v>
      </c>
      <c r="L225" s="104" t="e">
        <f t="shared" ca="1" si="29"/>
        <v>#NAME?</v>
      </c>
      <c r="M225" s="120" t="e">
        <f t="shared" ca="1" si="23"/>
        <v>#NAME?</v>
      </c>
      <c r="N225" s="120" t="e">
        <f ca="1">IF([0]!CSVVLookUP(ROW(行数!A217),配列!$C$4,集計記録,6,1)=0,"",[0]!CSVVLookUP(ROW(行数!A217),配列!$C$4,集計記録,6,1))</f>
        <v>#NAME?</v>
      </c>
      <c r="O225" s="88" t="e">
        <f ca="1">IF(INDIRECT("M"&amp;ROW()-1)&lt;&gt;INDIRECT("M"&amp;ROW()),リスト!$I$5,"")</f>
        <v>#NAME?</v>
      </c>
      <c r="P225" s="88" t="e">
        <f ca="1">IF(INDIRECT("M"&amp;ROW())&lt;&gt;INDIRECT("M"&amp;ROW()+1),リスト!$I$6,"")</f>
        <v>#NAME?</v>
      </c>
    </row>
    <row r="226" spans="1:16" x14ac:dyDescent="0.2">
      <c r="A226" s="169" t="e">
        <f ca="1">IF(C226="","",ROW(行数!A218))</f>
        <v>#NAME?</v>
      </c>
      <c r="B226" s="168" t="e">
        <f t="shared" ca="1" si="24"/>
        <v>#NAME?</v>
      </c>
      <c r="C226" s="90" t="e">
        <f ca="1">[0]!CSVVLookUP(ROW(行数!A218),配列!$C$4,集計記録,3,1)</f>
        <v>#NAME?</v>
      </c>
      <c r="D226" s="90" t="e">
        <f ca="1">[0]!CSVVLookUP(ROW(行数!B218),配列!$C$4,集計記録,4,1)</f>
        <v>#NAME?</v>
      </c>
      <c r="E226" s="118" t="e">
        <f t="shared" ca="1" si="25"/>
        <v>#NAME?</v>
      </c>
      <c r="F226" s="118" t="e">
        <f t="shared" ca="1" si="26"/>
        <v>#NAME?</v>
      </c>
      <c r="G226" s="103" t="e">
        <f t="shared" ca="1" si="27"/>
        <v>#NAME?</v>
      </c>
      <c r="H226" s="104" t="e">
        <f ca="1">IF(C226="","",MROUND([0]!CSVVLookUP(ROW(行数!A218),配列!$C$4,集計記録,8,1),"0:01"))</f>
        <v>#NAME?</v>
      </c>
      <c r="I226" s="104" t="e">
        <f t="shared" ca="1" si="28"/>
        <v>#NAME?</v>
      </c>
      <c r="J226" s="119" t="e">
        <f ca="1">IF(C226="","",MROUND([0]!CSVVLookUP(ROW(行数!A218),配列!$C$4,集計記録,7,1),"0:01"))</f>
        <v>#NAME?</v>
      </c>
      <c r="K226" s="92" t="e">
        <f ca="1">IF(C226="","",[0]!CSVVLookUP(ROW(行数!A218),配列!$C$4,集計記録,5,1))</f>
        <v>#NAME?</v>
      </c>
      <c r="L226" s="104" t="e">
        <f t="shared" ca="1" si="29"/>
        <v>#NAME?</v>
      </c>
      <c r="M226" s="120" t="e">
        <f t="shared" ca="1" si="23"/>
        <v>#NAME?</v>
      </c>
      <c r="N226" s="120" t="e">
        <f ca="1">IF([0]!CSVVLookUP(ROW(行数!A218),配列!$C$4,集計記録,6,1)=0,"",[0]!CSVVLookUP(ROW(行数!A218),配列!$C$4,集計記録,6,1))</f>
        <v>#NAME?</v>
      </c>
      <c r="O226" s="88" t="e">
        <f ca="1">IF(INDIRECT("M"&amp;ROW()-1)&lt;&gt;INDIRECT("M"&amp;ROW()),リスト!$I$5,"")</f>
        <v>#NAME?</v>
      </c>
      <c r="P226" s="88" t="e">
        <f ca="1">IF(INDIRECT("M"&amp;ROW())&lt;&gt;INDIRECT("M"&amp;ROW()+1),リスト!$I$6,"")</f>
        <v>#NAME?</v>
      </c>
    </row>
    <row r="227" spans="1:16" x14ac:dyDescent="0.2">
      <c r="A227" s="169" t="e">
        <f ca="1">IF(C227="","",ROW(行数!A219))</f>
        <v>#NAME?</v>
      </c>
      <c r="B227" s="168" t="e">
        <f t="shared" ca="1" si="24"/>
        <v>#NAME?</v>
      </c>
      <c r="C227" s="90" t="e">
        <f ca="1">[0]!CSVVLookUP(ROW(行数!A219),配列!$C$4,集計記録,3,1)</f>
        <v>#NAME?</v>
      </c>
      <c r="D227" s="90" t="e">
        <f ca="1">[0]!CSVVLookUP(ROW(行数!B219),配列!$C$4,集計記録,4,1)</f>
        <v>#NAME?</v>
      </c>
      <c r="E227" s="118" t="e">
        <f t="shared" ca="1" si="25"/>
        <v>#NAME?</v>
      </c>
      <c r="F227" s="118" t="e">
        <f t="shared" ca="1" si="26"/>
        <v>#NAME?</v>
      </c>
      <c r="G227" s="103" t="e">
        <f t="shared" ca="1" si="27"/>
        <v>#NAME?</v>
      </c>
      <c r="H227" s="104" t="e">
        <f ca="1">IF(C227="","",MROUND([0]!CSVVLookUP(ROW(行数!A219),配列!$C$4,集計記録,8,1),"0:01"))</f>
        <v>#NAME?</v>
      </c>
      <c r="I227" s="104" t="e">
        <f t="shared" ca="1" si="28"/>
        <v>#NAME?</v>
      </c>
      <c r="J227" s="119" t="e">
        <f ca="1">IF(C227="","",MROUND([0]!CSVVLookUP(ROW(行数!A219),配列!$C$4,集計記録,7,1),"0:01"))</f>
        <v>#NAME?</v>
      </c>
      <c r="K227" s="92" t="e">
        <f ca="1">IF(C227="","",[0]!CSVVLookUP(ROW(行数!A219),配列!$C$4,集計記録,5,1))</f>
        <v>#NAME?</v>
      </c>
      <c r="L227" s="104" t="e">
        <f t="shared" ca="1" si="29"/>
        <v>#NAME?</v>
      </c>
      <c r="M227" s="120" t="e">
        <f t="shared" ca="1" si="23"/>
        <v>#NAME?</v>
      </c>
      <c r="N227" s="120" t="e">
        <f ca="1">IF([0]!CSVVLookUP(ROW(行数!A219),配列!$C$4,集計記録,6,1)=0,"",[0]!CSVVLookUP(ROW(行数!A219),配列!$C$4,集計記録,6,1))</f>
        <v>#NAME?</v>
      </c>
      <c r="O227" s="88" t="e">
        <f ca="1">IF(INDIRECT("M"&amp;ROW()-1)&lt;&gt;INDIRECT("M"&amp;ROW()),リスト!$I$5,"")</f>
        <v>#NAME?</v>
      </c>
      <c r="P227" s="88" t="e">
        <f ca="1">IF(INDIRECT("M"&amp;ROW())&lt;&gt;INDIRECT("M"&amp;ROW()+1),リスト!$I$6,"")</f>
        <v>#NAME?</v>
      </c>
    </row>
    <row r="228" spans="1:16" x14ac:dyDescent="0.2">
      <c r="A228" s="169" t="e">
        <f ca="1">IF(C228="","",ROW(行数!A220))</f>
        <v>#NAME?</v>
      </c>
      <c r="B228" s="168" t="e">
        <f t="shared" ca="1" si="24"/>
        <v>#NAME?</v>
      </c>
      <c r="C228" s="90" t="e">
        <f ca="1">[0]!CSVVLookUP(ROW(行数!A220),配列!$C$4,集計記録,3,1)</f>
        <v>#NAME?</v>
      </c>
      <c r="D228" s="90" t="e">
        <f ca="1">[0]!CSVVLookUP(ROW(行数!B220),配列!$C$4,集計記録,4,1)</f>
        <v>#NAME?</v>
      </c>
      <c r="E228" s="118" t="e">
        <f t="shared" ca="1" si="25"/>
        <v>#NAME?</v>
      </c>
      <c r="F228" s="118" t="e">
        <f t="shared" ca="1" si="26"/>
        <v>#NAME?</v>
      </c>
      <c r="G228" s="103" t="e">
        <f t="shared" ca="1" si="27"/>
        <v>#NAME?</v>
      </c>
      <c r="H228" s="104" t="e">
        <f ca="1">IF(C228="","",MROUND([0]!CSVVLookUP(ROW(行数!A220),配列!$C$4,集計記録,8,1),"0:01"))</f>
        <v>#NAME?</v>
      </c>
      <c r="I228" s="104" t="e">
        <f t="shared" ca="1" si="28"/>
        <v>#NAME?</v>
      </c>
      <c r="J228" s="119" t="e">
        <f ca="1">IF(C228="","",MROUND([0]!CSVVLookUP(ROW(行数!A220),配列!$C$4,集計記録,7,1),"0:01"))</f>
        <v>#NAME?</v>
      </c>
      <c r="K228" s="92" t="e">
        <f ca="1">IF(C228="","",[0]!CSVVLookUP(ROW(行数!A220),配列!$C$4,集計記録,5,1))</f>
        <v>#NAME?</v>
      </c>
      <c r="L228" s="104" t="e">
        <f t="shared" ca="1" si="29"/>
        <v>#NAME?</v>
      </c>
      <c r="M228" s="120" t="e">
        <f t="shared" ca="1" si="23"/>
        <v>#NAME?</v>
      </c>
      <c r="N228" s="120" t="e">
        <f ca="1">IF([0]!CSVVLookUP(ROW(行数!A220),配列!$C$4,集計記録,6,1)=0,"",[0]!CSVVLookUP(ROW(行数!A220),配列!$C$4,集計記録,6,1))</f>
        <v>#NAME?</v>
      </c>
      <c r="O228" s="88" t="e">
        <f ca="1">IF(INDIRECT("M"&amp;ROW()-1)&lt;&gt;INDIRECT("M"&amp;ROW()),リスト!$I$5,"")</f>
        <v>#NAME?</v>
      </c>
      <c r="P228" s="88" t="e">
        <f ca="1">IF(INDIRECT("M"&amp;ROW())&lt;&gt;INDIRECT("M"&amp;ROW()+1),リスト!$I$6,"")</f>
        <v>#NAME?</v>
      </c>
    </row>
    <row r="229" spans="1:16" x14ac:dyDescent="0.2">
      <c r="A229" s="169" t="e">
        <f ca="1">IF(C229="","",ROW(行数!A221))</f>
        <v>#NAME?</v>
      </c>
      <c r="B229" s="168" t="e">
        <f t="shared" ca="1" si="24"/>
        <v>#NAME?</v>
      </c>
      <c r="C229" s="90" t="e">
        <f ca="1">[0]!CSVVLookUP(ROW(行数!A221),配列!$C$4,集計記録,3,1)</f>
        <v>#NAME?</v>
      </c>
      <c r="D229" s="90" t="e">
        <f ca="1">[0]!CSVVLookUP(ROW(行数!B221),配列!$C$4,集計記録,4,1)</f>
        <v>#NAME?</v>
      </c>
      <c r="E229" s="118" t="e">
        <f t="shared" ca="1" si="25"/>
        <v>#NAME?</v>
      </c>
      <c r="F229" s="118" t="e">
        <f t="shared" ca="1" si="26"/>
        <v>#NAME?</v>
      </c>
      <c r="G229" s="103" t="e">
        <f t="shared" ca="1" si="27"/>
        <v>#NAME?</v>
      </c>
      <c r="H229" s="104" t="e">
        <f ca="1">IF(C229="","",MROUND([0]!CSVVLookUP(ROW(行数!A221),配列!$C$4,集計記録,8,1),"0:01"))</f>
        <v>#NAME?</v>
      </c>
      <c r="I229" s="104" t="e">
        <f t="shared" ca="1" si="28"/>
        <v>#NAME?</v>
      </c>
      <c r="J229" s="119" t="e">
        <f ca="1">IF(C229="","",MROUND([0]!CSVVLookUP(ROW(行数!A221),配列!$C$4,集計記録,7,1),"0:01"))</f>
        <v>#NAME?</v>
      </c>
      <c r="K229" s="92" t="e">
        <f ca="1">IF(C229="","",[0]!CSVVLookUP(ROW(行数!A221),配列!$C$4,集計記録,5,1))</f>
        <v>#NAME?</v>
      </c>
      <c r="L229" s="104" t="e">
        <f t="shared" ca="1" si="29"/>
        <v>#NAME?</v>
      </c>
      <c r="M229" s="120" t="e">
        <f t="shared" ca="1" si="23"/>
        <v>#NAME?</v>
      </c>
      <c r="N229" s="120" t="e">
        <f ca="1">IF([0]!CSVVLookUP(ROW(行数!A221),配列!$C$4,集計記録,6,1)=0,"",[0]!CSVVLookUP(ROW(行数!A221),配列!$C$4,集計記録,6,1))</f>
        <v>#NAME?</v>
      </c>
      <c r="O229" s="88" t="e">
        <f ca="1">IF(INDIRECT("M"&amp;ROW()-1)&lt;&gt;INDIRECT("M"&amp;ROW()),リスト!$I$5,"")</f>
        <v>#NAME?</v>
      </c>
      <c r="P229" s="88" t="e">
        <f ca="1">IF(INDIRECT("M"&amp;ROW())&lt;&gt;INDIRECT("M"&amp;ROW()+1),リスト!$I$6,"")</f>
        <v>#NAME?</v>
      </c>
    </row>
    <row r="230" spans="1:16" x14ac:dyDescent="0.2">
      <c r="A230" s="169" t="e">
        <f ca="1">IF(C230="","",ROW(行数!A222))</f>
        <v>#NAME?</v>
      </c>
      <c r="B230" s="168" t="e">
        <f t="shared" ca="1" si="24"/>
        <v>#NAME?</v>
      </c>
      <c r="C230" s="90" t="e">
        <f ca="1">[0]!CSVVLookUP(ROW(行数!A222),配列!$C$4,集計記録,3,1)</f>
        <v>#NAME?</v>
      </c>
      <c r="D230" s="90" t="e">
        <f ca="1">[0]!CSVVLookUP(ROW(行数!B222),配列!$C$4,集計記録,4,1)</f>
        <v>#NAME?</v>
      </c>
      <c r="E230" s="118" t="e">
        <f t="shared" ca="1" si="25"/>
        <v>#NAME?</v>
      </c>
      <c r="F230" s="118" t="e">
        <f t="shared" ca="1" si="26"/>
        <v>#NAME?</v>
      </c>
      <c r="G230" s="103" t="e">
        <f t="shared" ca="1" si="27"/>
        <v>#NAME?</v>
      </c>
      <c r="H230" s="104" t="e">
        <f ca="1">IF(C230="","",MROUND([0]!CSVVLookUP(ROW(行数!A222),配列!$C$4,集計記録,8,1),"0:01"))</f>
        <v>#NAME?</v>
      </c>
      <c r="I230" s="104" t="e">
        <f t="shared" ca="1" si="28"/>
        <v>#NAME?</v>
      </c>
      <c r="J230" s="119" t="e">
        <f ca="1">IF(C230="","",MROUND([0]!CSVVLookUP(ROW(行数!A222),配列!$C$4,集計記録,7,1),"0:01"))</f>
        <v>#NAME?</v>
      </c>
      <c r="K230" s="92" t="e">
        <f ca="1">IF(C230="","",[0]!CSVVLookUP(ROW(行数!A222),配列!$C$4,集計記録,5,1))</f>
        <v>#NAME?</v>
      </c>
      <c r="L230" s="104" t="e">
        <f t="shared" ca="1" si="29"/>
        <v>#NAME?</v>
      </c>
      <c r="M230" s="120" t="e">
        <f t="shared" ca="1" si="23"/>
        <v>#NAME?</v>
      </c>
      <c r="N230" s="120" t="e">
        <f ca="1">IF([0]!CSVVLookUP(ROW(行数!A222),配列!$C$4,集計記録,6,1)=0,"",[0]!CSVVLookUP(ROW(行数!A222),配列!$C$4,集計記録,6,1))</f>
        <v>#NAME?</v>
      </c>
      <c r="O230" s="88" t="e">
        <f ca="1">IF(INDIRECT("M"&amp;ROW()-1)&lt;&gt;INDIRECT("M"&amp;ROW()),リスト!$I$5,"")</f>
        <v>#NAME?</v>
      </c>
      <c r="P230" s="88" t="e">
        <f ca="1">IF(INDIRECT("M"&amp;ROW())&lt;&gt;INDIRECT("M"&amp;ROW()+1),リスト!$I$6,"")</f>
        <v>#NAME?</v>
      </c>
    </row>
    <row r="231" spans="1:16" x14ac:dyDescent="0.2">
      <c r="A231" s="169" t="e">
        <f ca="1">IF(C231="","",ROW(行数!A223))</f>
        <v>#NAME?</v>
      </c>
      <c r="B231" s="168" t="e">
        <f t="shared" ca="1" si="24"/>
        <v>#NAME?</v>
      </c>
      <c r="C231" s="90" t="e">
        <f ca="1">[0]!CSVVLookUP(ROW(行数!A223),配列!$C$4,集計記録,3,1)</f>
        <v>#NAME?</v>
      </c>
      <c r="D231" s="90" t="e">
        <f ca="1">[0]!CSVVLookUP(ROW(行数!B223),配列!$C$4,集計記録,4,1)</f>
        <v>#NAME?</v>
      </c>
      <c r="E231" s="118" t="e">
        <f t="shared" ca="1" si="25"/>
        <v>#NAME?</v>
      </c>
      <c r="F231" s="118" t="e">
        <f t="shared" ca="1" si="26"/>
        <v>#NAME?</v>
      </c>
      <c r="G231" s="103" t="e">
        <f t="shared" ca="1" si="27"/>
        <v>#NAME?</v>
      </c>
      <c r="H231" s="104" t="e">
        <f ca="1">IF(C231="","",MROUND([0]!CSVVLookUP(ROW(行数!A223),配列!$C$4,集計記録,8,1),"0:01"))</f>
        <v>#NAME?</v>
      </c>
      <c r="I231" s="104" t="e">
        <f t="shared" ca="1" si="28"/>
        <v>#NAME?</v>
      </c>
      <c r="J231" s="119" t="e">
        <f ca="1">IF(C231="","",MROUND([0]!CSVVLookUP(ROW(行数!A223),配列!$C$4,集計記録,7,1),"0:01"))</f>
        <v>#NAME?</v>
      </c>
      <c r="K231" s="92" t="e">
        <f ca="1">IF(C231="","",[0]!CSVVLookUP(ROW(行数!A223),配列!$C$4,集計記録,5,1))</f>
        <v>#NAME?</v>
      </c>
      <c r="L231" s="104" t="e">
        <f t="shared" ca="1" si="29"/>
        <v>#NAME?</v>
      </c>
      <c r="M231" s="120" t="e">
        <f t="shared" ca="1" si="23"/>
        <v>#NAME?</v>
      </c>
      <c r="N231" s="120" t="e">
        <f ca="1">IF([0]!CSVVLookUP(ROW(行数!A223),配列!$C$4,集計記録,6,1)=0,"",[0]!CSVVLookUP(ROW(行数!A223),配列!$C$4,集計記録,6,1))</f>
        <v>#NAME?</v>
      </c>
      <c r="O231" s="88" t="e">
        <f ca="1">IF(INDIRECT("M"&amp;ROW()-1)&lt;&gt;INDIRECT("M"&amp;ROW()),リスト!$I$5,"")</f>
        <v>#NAME?</v>
      </c>
      <c r="P231" s="88" t="e">
        <f ca="1">IF(INDIRECT("M"&amp;ROW())&lt;&gt;INDIRECT("M"&amp;ROW()+1),リスト!$I$6,"")</f>
        <v>#NAME?</v>
      </c>
    </row>
    <row r="232" spans="1:16" x14ac:dyDescent="0.2">
      <c r="A232" s="169" t="e">
        <f ca="1">IF(C232="","",ROW(行数!A224))</f>
        <v>#NAME?</v>
      </c>
      <c r="B232" s="168" t="e">
        <f t="shared" ca="1" si="24"/>
        <v>#NAME?</v>
      </c>
      <c r="C232" s="90" t="e">
        <f ca="1">[0]!CSVVLookUP(ROW(行数!A224),配列!$C$4,集計記録,3,1)</f>
        <v>#NAME?</v>
      </c>
      <c r="D232" s="90" t="e">
        <f ca="1">[0]!CSVVLookUP(ROW(行数!B224),配列!$C$4,集計記録,4,1)</f>
        <v>#NAME?</v>
      </c>
      <c r="E232" s="118" t="e">
        <f t="shared" ca="1" si="25"/>
        <v>#NAME?</v>
      </c>
      <c r="F232" s="118" t="e">
        <f t="shared" ca="1" si="26"/>
        <v>#NAME?</v>
      </c>
      <c r="G232" s="103" t="e">
        <f t="shared" ca="1" si="27"/>
        <v>#NAME?</v>
      </c>
      <c r="H232" s="104" t="e">
        <f ca="1">IF(C232="","",MROUND([0]!CSVVLookUP(ROW(行数!A224),配列!$C$4,集計記録,8,1),"0:01"))</f>
        <v>#NAME?</v>
      </c>
      <c r="I232" s="104" t="e">
        <f t="shared" ca="1" si="28"/>
        <v>#NAME?</v>
      </c>
      <c r="J232" s="119" t="e">
        <f ca="1">IF(C232="","",MROUND([0]!CSVVLookUP(ROW(行数!A224),配列!$C$4,集計記録,7,1),"0:01"))</f>
        <v>#NAME?</v>
      </c>
      <c r="K232" s="92" t="e">
        <f ca="1">IF(C232="","",[0]!CSVVLookUP(ROW(行数!A224),配列!$C$4,集計記録,5,1))</f>
        <v>#NAME?</v>
      </c>
      <c r="L232" s="104" t="e">
        <f t="shared" ca="1" si="29"/>
        <v>#NAME?</v>
      </c>
      <c r="M232" s="120" t="e">
        <f t="shared" ca="1" si="23"/>
        <v>#NAME?</v>
      </c>
      <c r="N232" s="120" t="e">
        <f ca="1">IF([0]!CSVVLookUP(ROW(行数!A224),配列!$C$4,集計記録,6,1)=0,"",[0]!CSVVLookUP(ROW(行数!A224),配列!$C$4,集計記録,6,1))</f>
        <v>#NAME?</v>
      </c>
      <c r="O232" s="88" t="e">
        <f ca="1">IF(INDIRECT("M"&amp;ROW()-1)&lt;&gt;INDIRECT("M"&amp;ROW()),リスト!$I$5,"")</f>
        <v>#NAME?</v>
      </c>
      <c r="P232" s="88" t="e">
        <f ca="1">IF(INDIRECT("M"&amp;ROW())&lt;&gt;INDIRECT("M"&amp;ROW()+1),リスト!$I$6,"")</f>
        <v>#NAME?</v>
      </c>
    </row>
    <row r="233" spans="1:16" x14ac:dyDescent="0.2">
      <c r="A233" s="169" t="e">
        <f ca="1">IF(C233="","",ROW(行数!A225))</f>
        <v>#NAME?</v>
      </c>
      <c r="B233" s="168" t="e">
        <f t="shared" ca="1" si="24"/>
        <v>#NAME?</v>
      </c>
      <c r="C233" s="90" t="e">
        <f ca="1">[0]!CSVVLookUP(ROW(行数!A225),配列!$C$4,集計記録,3,1)</f>
        <v>#NAME?</v>
      </c>
      <c r="D233" s="90" t="e">
        <f ca="1">[0]!CSVVLookUP(ROW(行数!B225),配列!$C$4,集計記録,4,1)</f>
        <v>#NAME?</v>
      </c>
      <c r="E233" s="118" t="e">
        <f t="shared" ca="1" si="25"/>
        <v>#NAME?</v>
      </c>
      <c r="F233" s="118" t="e">
        <f t="shared" ca="1" si="26"/>
        <v>#NAME?</v>
      </c>
      <c r="G233" s="103" t="e">
        <f t="shared" ca="1" si="27"/>
        <v>#NAME?</v>
      </c>
      <c r="H233" s="104" t="e">
        <f ca="1">IF(C233="","",MROUND([0]!CSVVLookUP(ROW(行数!A225),配列!$C$4,集計記録,8,1),"0:01"))</f>
        <v>#NAME?</v>
      </c>
      <c r="I233" s="104" t="e">
        <f t="shared" ca="1" si="28"/>
        <v>#NAME?</v>
      </c>
      <c r="J233" s="119" t="e">
        <f ca="1">IF(C233="","",MROUND([0]!CSVVLookUP(ROW(行数!A225),配列!$C$4,集計記録,7,1),"0:01"))</f>
        <v>#NAME?</v>
      </c>
      <c r="K233" s="92" t="e">
        <f ca="1">IF(C233="","",[0]!CSVVLookUP(ROW(行数!A225),配列!$C$4,集計記録,5,1))</f>
        <v>#NAME?</v>
      </c>
      <c r="L233" s="104" t="e">
        <f t="shared" ca="1" si="29"/>
        <v>#NAME?</v>
      </c>
      <c r="M233" s="120" t="e">
        <f t="shared" ca="1" si="23"/>
        <v>#NAME?</v>
      </c>
      <c r="N233" s="120" t="e">
        <f ca="1">IF([0]!CSVVLookUP(ROW(行数!A225),配列!$C$4,集計記録,6,1)=0,"",[0]!CSVVLookUP(ROW(行数!A225),配列!$C$4,集計記録,6,1))</f>
        <v>#NAME?</v>
      </c>
      <c r="O233" s="88" t="e">
        <f ca="1">IF(INDIRECT("M"&amp;ROW()-1)&lt;&gt;INDIRECT("M"&amp;ROW()),リスト!$I$5,"")</f>
        <v>#NAME?</v>
      </c>
      <c r="P233" s="88" t="e">
        <f ca="1">IF(INDIRECT("M"&amp;ROW())&lt;&gt;INDIRECT("M"&amp;ROW()+1),リスト!$I$6,"")</f>
        <v>#NAME?</v>
      </c>
    </row>
    <row r="234" spans="1:16" x14ac:dyDescent="0.2">
      <c r="A234" s="169" t="e">
        <f ca="1">IF(C234="","",ROW(行数!A226))</f>
        <v>#NAME?</v>
      </c>
      <c r="B234" s="168" t="e">
        <f t="shared" ca="1" si="24"/>
        <v>#NAME?</v>
      </c>
      <c r="C234" s="90" t="e">
        <f ca="1">[0]!CSVVLookUP(ROW(行数!A226),配列!$C$4,集計記録,3,1)</f>
        <v>#NAME?</v>
      </c>
      <c r="D234" s="90" t="e">
        <f ca="1">[0]!CSVVLookUP(ROW(行数!B226),配列!$C$4,集計記録,4,1)</f>
        <v>#NAME?</v>
      </c>
      <c r="E234" s="118" t="e">
        <f t="shared" ca="1" si="25"/>
        <v>#NAME?</v>
      </c>
      <c r="F234" s="118" t="e">
        <f t="shared" ca="1" si="26"/>
        <v>#NAME?</v>
      </c>
      <c r="G234" s="103" t="e">
        <f t="shared" ca="1" si="27"/>
        <v>#NAME?</v>
      </c>
      <c r="H234" s="104" t="e">
        <f ca="1">IF(C234="","",MROUND([0]!CSVVLookUP(ROW(行数!A226),配列!$C$4,集計記録,8,1),"0:01"))</f>
        <v>#NAME?</v>
      </c>
      <c r="I234" s="104" t="e">
        <f t="shared" ca="1" si="28"/>
        <v>#NAME?</v>
      </c>
      <c r="J234" s="119" t="e">
        <f ca="1">IF(C234="","",MROUND([0]!CSVVLookUP(ROW(行数!A226),配列!$C$4,集計記録,7,1),"0:01"))</f>
        <v>#NAME?</v>
      </c>
      <c r="K234" s="92" t="e">
        <f ca="1">IF(C234="","",[0]!CSVVLookUP(ROW(行数!A226),配列!$C$4,集計記録,5,1))</f>
        <v>#NAME?</v>
      </c>
      <c r="L234" s="104" t="e">
        <f t="shared" ca="1" si="29"/>
        <v>#NAME?</v>
      </c>
      <c r="M234" s="120" t="e">
        <f t="shared" ca="1" si="23"/>
        <v>#NAME?</v>
      </c>
      <c r="N234" s="120" t="e">
        <f ca="1">IF([0]!CSVVLookUP(ROW(行数!A226),配列!$C$4,集計記録,6,1)=0,"",[0]!CSVVLookUP(ROW(行数!A226),配列!$C$4,集計記録,6,1))</f>
        <v>#NAME?</v>
      </c>
      <c r="O234" s="88" t="e">
        <f ca="1">IF(INDIRECT("M"&amp;ROW()-1)&lt;&gt;INDIRECT("M"&amp;ROW()),リスト!$I$5,"")</f>
        <v>#NAME?</v>
      </c>
      <c r="P234" s="88" t="e">
        <f ca="1">IF(INDIRECT("M"&amp;ROW())&lt;&gt;INDIRECT("M"&amp;ROW()+1),リスト!$I$6,"")</f>
        <v>#NAME?</v>
      </c>
    </row>
    <row r="235" spans="1:16" x14ac:dyDescent="0.2">
      <c r="A235" s="169" t="e">
        <f ca="1">IF(C235="","",ROW(行数!A227))</f>
        <v>#NAME?</v>
      </c>
      <c r="B235" s="168" t="e">
        <f t="shared" ca="1" si="24"/>
        <v>#NAME?</v>
      </c>
      <c r="C235" s="90" t="e">
        <f ca="1">[0]!CSVVLookUP(ROW(行数!A227),配列!$C$4,集計記録,3,1)</f>
        <v>#NAME?</v>
      </c>
      <c r="D235" s="90" t="e">
        <f ca="1">[0]!CSVVLookUP(ROW(行数!B227),配列!$C$4,集計記録,4,1)</f>
        <v>#NAME?</v>
      </c>
      <c r="E235" s="118" t="e">
        <f t="shared" ca="1" si="25"/>
        <v>#NAME?</v>
      </c>
      <c r="F235" s="118" t="e">
        <f t="shared" ca="1" si="26"/>
        <v>#NAME?</v>
      </c>
      <c r="G235" s="103" t="e">
        <f t="shared" ca="1" si="27"/>
        <v>#NAME?</v>
      </c>
      <c r="H235" s="104" t="e">
        <f ca="1">IF(C235="","",MROUND([0]!CSVVLookUP(ROW(行数!A227),配列!$C$4,集計記録,8,1),"0:01"))</f>
        <v>#NAME?</v>
      </c>
      <c r="I235" s="104" t="e">
        <f t="shared" ca="1" si="28"/>
        <v>#NAME?</v>
      </c>
      <c r="J235" s="119" t="e">
        <f ca="1">IF(C235="","",MROUND([0]!CSVVLookUP(ROW(行数!A227),配列!$C$4,集計記録,7,1),"0:01"))</f>
        <v>#NAME?</v>
      </c>
      <c r="K235" s="92" t="e">
        <f ca="1">IF(C235="","",[0]!CSVVLookUP(ROW(行数!A227),配列!$C$4,集計記録,5,1))</f>
        <v>#NAME?</v>
      </c>
      <c r="L235" s="104" t="e">
        <f t="shared" ca="1" si="29"/>
        <v>#NAME?</v>
      </c>
      <c r="M235" s="120" t="e">
        <f t="shared" ca="1" si="23"/>
        <v>#NAME?</v>
      </c>
      <c r="N235" s="120" t="e">
        <f ca="1">IF([0]!CSVVLookUP(ROW(行数!A227),配列!$C$4,集計記録,6,1)=0,"",[0]!CSVVLookUP(ROW(行数!A227),配列!$C$4,集計記録,6,1))</f>
        <v>#NAME?</v>
      </c>
      <c r="O235" s="88" t="e">
        <f ca="1">IF(INDIRECT("M"&amp;ROW()-1)&lt;&gt;INDIRECT("M"&amp;ROW()),リスト!$I$5,"")</f>
        <v>#NAME?</v>
      </c>
      <c r="P235" s="88" t="e">
        <f ca="1">IF(INDIRECT("M"&amp;ROW())&lt;&gt;INDIRECT("M"&amp;ROW()+1),リスト!$I$6,"")</f>
        <v>#NAME?</v>
      </c>
    </row>
    <row r="236" spans="1:16" x14ac:dyDescent="0.2">
      <c r="A236" s="169" t="e">
        <f ca="1">IF(C236="","",ROW(行数!A228))</f>
        <v>#NAME?</v>
      </c>
      <c r="B236" s="168" t="e">
        <f t="shared" ca="1" si="24"/>
        <v>#NAME?</v>
      </c>
      <c r="C236" s="90" t="e">
        <f ca="1">[0]!CSVVLookUP(ROW(行数!A228),配列!$C$4,集計記録,3,1)</f>
        <v>#NAME?</v>
      </c>
      <c r="D236" s="90" t="e">
        <f ca="1">[0]!CSVVLookUP(ROW(行数!B228),配列!$C$4,集計記録,4,1)</f>
        <v>#NAME?</v>
      </c>
      <c r="E236" s="118" t="e">
        <f t="shared" ca="1" si="25"/>
        <v>#NAME?</v>
      </c>
      <c r="F236" s="118" t="e">
        <f t="shared" ca="1" si="26"/>
        <v>#NAME?</v>
      </c>
      <c r="G236" s="103" t="e">
        <f t="shared" ca="1" si="27"/>
        <v>#NAME?</v>
      </c>
      <c r="H236" s="104" t="e">
        <f ca="1">IF(C236="","",MROUND([0]!CSVVLookUP(ROW(行数!A228),配列!$C$4,集計記録,8,1),"0:01"))</f>
        <v>#NAME?</v>
      </c>
      <c r="I236" s="104" t="e">
        <f t="shared" ca="1" si="28"/>
        <v>#NAME?</v>
      </c>
      <c r="J236" s="119" t="e">
        <f ca="1">IF(C236="","",MROUND([0]!CSVVLookUP(ROW(行数!A228),配列!$C$4,集計記録,7,1),"0:01"))</f>
        <v>#NAME?</v>
      </c>
      <c r="K236" s="92" t="e">
        <f ca="1">IF(C236="","",[0]!CSVVLookUP(ROW(行数!A228),配列!$C$4,集計記録,5,1))</f>
        <v>#NAME?</v>
      </c>
      <c r="L236" s="104" t="e">
        <f t="shared" ca="1" si="29"/>
        <v>#NAME?</v>
      </c>
      <c r="M236" s="120" t="e">
        <f t="shared" ca="1" si="23"/>
        <v>#NAME?</v>
      </c>
      <c r="N236" s="120" t="e">
        <f ca="1">IF([0]!CSVVLookUP(ROW(行数!A228),配列!$C$4,集計記録,6,1)=0,"",[0]!CSVVLookUP(ROW(行数!A228),配列!$C$4,集計記録,6,1))</f>
        <v>#NAME?</v>
      </c>
      <c r="O236" s="88" t="e">
        <f ca="1">IF(INDIRECT("M"&amp;ROW()-1)&lt;&gt;INDIRECT("M"&amp;ROW()),リスト!$I$5,"")</f>
        <v>#NAME?</v>
      </c>
      <c r="P236" s="88" t="e">
        <f ca="1">IF(INDIRECT("M"&amp;ROW())&lt;&gt;INDIRECT("M"&amp;ROW()+1),リスト!$I$6,"")</f>
        <v>#NAME?</v>
      </c>
    </row>
    <row r="237" spans="1:16" x14ac:dyDescent="0.2">
      <c r="A237" s="169" t="e">
        <f ca="1">IF(C237="","",ROW(行数!A229))</f>
        <v>#NAME?</v>
      </c>
      <c r="B237" s="168" t="e">
        <f t="shared" ca="1" si="24"/>
        <v>#NAME?</v>
      </c>
      <c r="C237" s="90" t="e">
        <f ca="1">[0]!CSVVLookUP(ROW(行数!A229),配列!$C$4,集計記録,3,1)</f>
        <v>#NAME?</v>
      </c>
      <c r="D237" s="90" t="e">
        <f ca="1">[0]!CSVVLookUP(ROW(行数!B229),配列!$C$4,集計記録,4,1)</f>
        <v>#NAME?</v>
      </c>
      <c r="E237" s="118" t="e">
        <f t="shared" ca="1" si="25"/>
        <v>#NAME?</v>
      </c>
      <c r="F237" s="118" t="e">
        <f t="shared" ca="1" si="26"/>
        <v>#NAME?</v>
      </c>
      <c r="G237" s="103" t="e">
        <f t="shared" ca="1" si="27"/>
        <v>#NAME?</v>
      </c>
      <c r="H237" s="104" t="e">
        <f ca="1">IF(C237="","",MROUND([0]!CSVVLookUP(ROW(行数!A229),配列!$C$4,集計記録,8,1),"0:01"))</f>
        <v>#NAME?</v>
      </c>
      <c r="I237" s="104" t="e">
        <f t="shared" ca="1" si="28"/>
        <v>#NAME?</v>
      </c>
      <c r="J237" s="119" t="e">
        <f ca="1">IF(C237="","",MROUND([0]!CSVVLookUP(ROW(行数!A229),配列!$C$4,集計記録,7,1),"0:01"))</f>
        <v>#NAME?</v>
      </c>
      <c r="K237" s="92" t="e">
        <f ca="1">IF(C237="","",[0]!CSVVLookUP(ROW(行数!A229),配列!$C$4,集計記録,5,1))</f>
        <v>#NAME?</v>
      </c>
      <c r="L237" s="104" t="e">
        <f t="shared" ca="1" si="29"/>
        <v>#NAME?</v>
      </c>
      <c r="M237" s="120" t="e">
        <f t="shared" ca="1" si="23"/>
        <v>#NAME?</v>
      </c>
      <c r="N237" s="120" t="e">
        <f ca="1">IF([0]!CSVVLookUP(ROW(行数!A229),配列!$C$4,集計記録,6,1)=0,"",[0]!CSVVLookUP(ROW(行数!A229),配列!$C$4,集計記録,6,1))</f>
        <v>#NAME?</v>
      </c>
      <c r="O237" s="88" t="e">
        <f ca="1">IF(INDIRECT("M"&amp;ROW()-1)&lt;&gt;INDIRECT("M"&amp;ROW()),リスト!$I$5,"")</f>
        <v>#NAME?</v>
      </c>
      <c r="P237" s="88" t="e">
        <f ca="1">IF(INDIRECT("M"&amp;ROW())&lt;&gt;INDIRECT("M"&amp;ROW()+1),リスト!$I$6,"")</f>
        <v>#NAME?</v>
      </c>
    </row>
    <row r="238" spans="1:16" x14ac:dyDescent="0.2">
      <c r="A238" s="169" t="e">
        <f ca="1">IF(C238="","",ROW(行数!A230))</f>
        <v>#NAME?</v>
      </c>
      <c r="B238" s="168" t="e">
        <f t="shared" ca="1" si="24"/>
        <v>#NAME?</v>
      </c>
      <c r="C238" s="90" t="e">
        <f ca="1">[0]!CSVVLookUP(ROW(行数!A230),配列!$C$4,集計記録,3,1)</f>
        <v>#NAME?</v>
      </c>
      <c r="D238" s="90" t="e">
        <f ca="1">[0]!CSVVLookUP(ROW(行数!B230),配列!$C$4,集計記録,4,1)</f>
        <v>#NAME?</v>
      </c>
      <c r="E238" s="118" t="e">
        <f t="shared" ca="1" si="25"/>
        <v>#NAME?</v>
      </c>
      <c r="F238" s="118" t="e">
        <f t="shared" ca="1" si="26"/>
        <v>#NAME?</v>
      </c>
      <c r="G238" s="103" t="e">
        <f t="shared" ca="1" si="27"/>
        <v>#NAME?</v>
      </c>
      <c r="H238" s="104" t="e">
        <f ca="1">IF(C238="","",MROUND([0]!CSVVLookUP(ROW(行数!A230),配列!$C$4,集計記録,8,1),"0:01"))</f>
        <v>#NAME?</v>
      </c>
      <c r="I238" s="104" t="e">
        <f t="shared" ca="1" si="28"/>
        <v>#NAME?</v>
      </c>
      <c r="J238" s="119" t="e">
        <f ca="1">IF(C238="","",MROUND([0]!CSVVLookUP(ROW(行数!A230),配列!$C$4,集計記録,7,1),"0:01"))</f>
        <v>#NAME?</v>
      </c>
      <c r="K238" s="92" t="e">
        <f ca="1">IF(C238="","",[0]!CSVVLookUP(ROW(行数!A230),配列!$C$4,集計記録,5,1))</f>
        <v>#NAME?</v>
      </c>
      <c r="L238" s="104" t="e">
        <f t="shared" ca="1" si="29"/>
        <v>#NAME?</v>
      </c>
      <c r="M238" s="120" t="e">
        <f t="shared" ca="1" si="23"/>
        <v>#NAME?</v>
      </c>
      <c r="N238" s="120" t="e">
        <f ca="1">IF([0]!CSVVLookUP(ROW(行数!A230),配列!$C$4,集計記録,6,1)=0,"",[0]!CSVVLookUP(ROW(行数!A230),配列!$C$4,集計記録,6,1))</f>
        <v>#NAME?</v>
      </c>
      <c r="O238" s="88" t="e">
        <f ca="1">IF(INDIRECT("M"&amp;ROW()-1)&lt;&gt;INDIRECT("M"&amp;ROW()),リスト!$I$5,"")</f>
        <v>#NAME?</v>
      </c>
      <c r="P238" s="88" t="e">
        <f ca="1">IF(INDIRECT("M"&amp;ROW())&lt;&gt;INDIRECT("M"&amp;ROW()+1),リスト!$I$6,"")</f>
        <v>#NAME?</v>
      </c>
    </row>
    <row r="239" spans="1:16" x14ac:dyDescent="0.2">
      <c r="A239" s="169" t="e">
        <f ca="1">IF(C239="","",ROW(行数!A231))</f>
        <v>#NAME?</v>
      </c>
      <c r="B239" s="168" t="e">
        <f t="shared" ca="1" si="24"/>
        <v>#NAME?</v>
      </c>
      <c r="C239" s="90" t="e">
        <f ca="1">[0]!CSVVLookUP(ROW(行数!A231),配列!$C$4,集計記録,3,1)</f>
        <v>#NAME?</v>
      </c>
      <c r="D239" s="90" t="e">
        <f ca="1">[0]!CSVVLookUP(ROW(行数!B231),配列!$C$4,集計記録,4,1)</f>
        <v>#NAME?</v>
      </c>
      <c r="E239" s="118" t="e">
        <f t="shared" ca="1" si="25"/>
        <v>#NAME?</v>
      </c>
      <c r="F239" s="118" t="e">
        <f t="shared" ca="1" si="26"/>
        <v>#NAME?</v>
      </c>
      <c r="G239" s="103" t="e">
        <f t="shared" ca="1" si="27"/>
        <v>#NAME?</v>
      </c>
      <c r="H239" s="104" t="e">
        <f ca="1">IF(C239="","",MROUND([0]!CSVVLookUP(ROW(行数!A231),配列!$C$4,集計記録,8,1),"0:01"))</f>
        <v>#NAME?</v>
      </c>
      <c r="I239" s="104" t="e">
        <f t="shared" ca="1" si="28"/>
        <v>#NAME?</v>
      </c>
      <c r="J239" s="119" t="e">
        <f ca="1">IF(C239="","",MROUND([0]!CSVVLookUP(ROW(行数!A231),配列!$C$4,集計記録,7,1),"0:01"))</f>
        <v>#NAME?</v>
      </c>
      <c r="K239" s="92" t="e">
        <f ca="1">IF(C239="","",[0]!CSVVLookUP(ROW(行数!A231),配列!$C$4,集計記録,5,1))</f>
        <v>#NAME?</v>
      </c>
      <c r="L239" s="104" t="e">
        <f t="shared" ca="1" si="29"/>
        <v>#NAME?</v>
      </c>
      <c r="M239" s="120" t="e">
        <f t="shared" ca="1" si="23"/>
        <v>#NAME?</v>
      </c>
      <c r="N239" s="120" t="e">
        <f ca="1">IF([0]!CSVVLookUP(ROW(行数!A231),配列!$C$4,集計記録,6,1)=0,"",[0]!CSVVLookUP(ROW(行数!A231),配列!$C$4,集計記録,6,1))</f>
        <v>#NAME?</v>
      </c>
      <c r="O239" s="88" t="e">
        <f ca="1">IF(INDIRECT("M"&amp;ROW()-1)&lt;&gt;INDIRECT("M"&amp;ROW()),リスト!$I$5,"")</f>
        <v>#NAME?</v>
      </c>
      <c r="P239" s="88" t="e">
        <f ca="1">IF(INDIRECT("M"&amp;ROW())&lt;&gt;INDIRECT("M"&amp;ROW()+1),リスト!$I$6,"")</f>
        <v>#NAME?</v>
      </c>
    </row>
    <row r="240" spans="1:16" x14ac:dyDescent="0.2">
      <c r="A240" s="169" t="e">
        <f ca="1">IF(C240="","",ROW(行数!A232))</f>
        <v>#NAME?</v>
      </c>
      <c r="B240" s="168" t="e">
        <f t="shared" ca="1" si="24"/>
        <v>#NAME?</v>
      </c>
      <c r="C240" s="90" t="e">
        <f ca="1">[0]!CSVVLookUP(ROW(行数!A232),配列!$C$4,集計記録,3,1)</f>
        <v>#NAME?</v>
      </c>
      <c r="D240" s="90" t="e">
        <f ca="1">[0]!CSVVLookUP(ROW(行数!B232),配列!$C$4,集計記録,4,1)</f>
        <v>#NAME?</v>
      </c>
      <c r="E240" s="118" t="e">
        <f t="shared" ca="1" si="25"/>
        <v>#NAME?</v>
      </c>
      <c r="F240" s="118" t="e">
        <f t="shared" ca="1" si="26"/>
        <v>#NAME?</v>
      </c>
      <c r="G240" s="103" t="e">
        <f t="shared" ca="1" si="27"/>
        <v>#NAME?</v>
      </c>
      <c r="H240" s="104" t="e">
        <f ca="1">IF(C240="","",MROUND([0]!CSVVLookUP(ROW(行数!A232),配列!$C$4,集計記録,8,1),"0:01"))</f>
        <v>#NAME?</v>
      </c>
      <c r="I240" s="104" t="e">
        <f t="shared" ca="1" si="28"/>
        <v>#NAME?</v>
      </c>
      <c r="J240" s="119" t="e">
        <f ca="1">IF(C240="","",MROUND([0]!CSVVLookUP(ROW(行数!A232),配列!$C$4,集計記録,7,1),"0:01"))</f>
        <v>#NAME?</v>
      </c>
      <c r="K240" s="92" t="e">
        <f ca="1">IF(C240="","",[0]!CSVVLookUP(ROW(行数!A232),配列!$C$4,集計記録,5,1))</f>
        <v>#NAME?</v>
      </c>
      <c r="L240" s="104" t="e">
        <f t="shared" ca="1" si="29"/>
        <v>#NAME?</v>
      </c>
      <c r="M240" s="120" t="e">
        <f t="shared" ca="1" si="23"/>
        <v>#NAME?</v>
      </c>
      <c r="N240" s="120" t="e">
        <f ca="1">IF([0]!CSVVLookUP(ROW(行数!A232),配列!$C$4,集計記録,6,1)=0,"",[0]!CSVVLookUP(ROW(行数!A232),配列!$C$4,集計記録,6,1))</f>
        <v>#NAME?</v>
      </c>
      <c r="O240" s="88" t="e">
        <f ca="1">IF(INDIRECT("M"&amp;ROW()-1)&lt;&gt;INDIRECT("M"&amp;ROW()),リスト!$I$5,"")</f>
        <v>#NAME?</v>
      </c>
      <c r="P240" s="88" t="e">
        <f ca="1">IF(INDIRECT("M"&amp;ROW())&lt;&gt;INDIRECT("M"&amp;ROW()+1),リスト!$I$6,"")</f>
        <v>#NAME?</v>
      </c>
    </row>
    <row r="241" spans="1:16" x14ac:dyDescent="0.2">
      <c r="A241" s="169" t="e">
        <f ca="1">IF(C241="","",ROW(行数!A233))</f>
        <v>#NAME?</v>
      </c>
      <c r="B241" s="168" t="e">
        <f t="shared" ca="1" si="24"/>
        <v>#NAME?</v>
      </c>
      <c r="C241" s="90" t="e">
        <f ca="1">[0]!CSVVLookUP(ROW(行数!A233),配列!$C$4,集計記録,3,1)</f>
        <v>#NAME?</v>
      </c>
      <c r="D241" s="90" t="e">
        <f ca="1">[0]!CSVVLookUP(ROW(行数!B233),配列!$C$4,集計記録,4,1)</f>
        <v>#NAME?</v>
      </c>
      <c r="E241" s="118" t="e">
        <f t="shared" ca="1" si="25"/>
        <v>#NAME?</v>
      </c>
      <c r="F241" s="118" t="e">
        <f t="shared" ca="1" si="26"/>
        <v>#NAME?</v>
      </c>
      <c r="G241" s="103" t="e">
        <f t="shared" ca="1" si="27"/>
        <v>#NAME?</v>
      </c>
      <c r="H241" s="104" t="e">
        <f ca="1">IF(C241="","",MROUND([0]!CSVVLookUP(ROW(行数!A233),配列!$C$4,集計記録,8,1),"0:01"))</f>
        <v>#NAME?</v>
      </c>
      <c r="I241" s="104" t="e">
        <f t="shared" ca="1" si="28"/>
        <v>#NAME?</v>
      </c>
      <c r="J241" s="119" t="e">
        <f ca="1">IF(C241="","",MROUND([0]!CSVVLookUP(ROW(行数!A233),配列!$C$4,集計記録,7,1),"0:01"))</f>
        <v>#NAME?</v>
      </c>
      <c r="K241" s="92" t="e">
        <f ca="1">IF(C241="","",[0]!CSVVLookUP(ROW(行数!A233),配列!$C$4,集計記録,5,1))</f>
        <v>#NAME?</v>
      </c>
      <c r="L241" s="104" t="e">
        <f t="shared" ca="1" si="29"/>
        <v>#NAME?</v>
      </c>
      <c r="M241" s="120" t="e">
        <f t="shared" ca="1" si="23"/>
        <v>#NAME?</v>
      </c>
      <c r="N241" s="120" t="e">
        <f ca="1">IF([0]!CSVVLookUP(ROW(行数!A233),配列!$C$4,集計記録,6,1)=0,"",[0]!CSVVLookUP(ROW(行数!A233),配列!$C$4,集計記録,6,1))</f>
        <v>#NAME?</v>
      </c>
      <c r="O241" s="88" t="e">
        <f ca="1">IF(INDIRECT("M"&amp;ROW()-1)&lt;&gt;INDIRECT("M"&amp;ROW()),リスト!$I$5,"")</f>
        <v>#NAME?</v>
      </c>
      <c r="P241" s="88" t="e">
        <f ca="1">IF(INDIRECT("M"&amp;ROW())&lt;&gt;INDIRECT("M"&amp;ROW()+1),リスト!$I$6,"")</f>
        <v>#NAME?</v>
      </c>
    </row>
    <row r="242" spans="1:16" x14ac:dyDescent="0.2">
      <c r="A242" s="169" t="e">
        <f ca="1">IF(C242="","",ROW(行数!A234))</f>
        <v>#NAME?</v>
      </c>
      <c r="B242" s="168" t="e">
        <f t="shared" ca="1" si="24"/>
        <v>#NAME?</v>
      </c>
      <c r="C242" s="90" t="e">
        <f ca="1">[0]!CSVVLookUP(ROW(行数!A234),配列!$C$4,集計記録,3,1)</f>
        <v>#NAME?</v>
      </c>
      <c r="D242" s="90" t="e">
        <f ca="1">[0]!CSVVLookUP(ROW(行数!B234),配列!$C$4,集計記録,4,1)</f>
        <v>#NAME?</v>
      </c>
      <c r="E242" s="118" t="e">
        <f t="shared" ca="1" si="25"/>
        <v>#NAME?</v>
      </c>
      <c r="F242" s="118" t="e">
        <f t="shared" ca="1" si="26"/>
        <v>#NAME?</v>
      </c>
      <c r="G242" s="103" t="e">
        <f t="shared" ca="1" si="27"/>
        <v>#NAME?</v>
      </c>
      <c r="H242" s="104" t="e">
        <f ca="1">IF(C242="","",MROUND([0]!CSVVLookUP(ROW(行数!A234),配列!$C$4,集計記録,8,1),"0:01"))</f>
        <v>#NAME?</v>
      </c>
      <c r="I242" s="104" t="e">
        <f t="shared" ca="1" si="28"/>
        <v>#NAME?</v>
      </c>
      <c r="J242" s="119" t="e">
        <f ca="1">IF(C242="","",MROUND([0]!CSVVLookUP(ROW(行数!A234),配列!$C$4,集計記録,7,1),"0:01"))</f>
        <v>#NAME?</v>
      </c>
      <c r="K242" s="92" t="e">
        <f ca="1">IF(C242="","",[0]!CSVVLookUP(ROW(行数!A234),配列!$C$4,集計記録,5,1))</f>
        <v>#NAME?</v>
      </c>
      <c r="L242" s="104" t="e">
        <f t="shared" ca="1" si="29"/>
        <v>#NAME?</v>
      </c>
      <c r="M242" s="120" t="e">
        <f t="shared" ca="1" si="23"/>
        <v>#NAME?</v>
      </c>
      <c r="N242" s="120" t="e">
        <f ca="1">IF([0]!CSVVLookUP(ROW(行数!A234),配列!$C$4,集計記録,6,1)=0,"",[0]!CSVVLookUP(ROW(行数!A234),配列!$C$4,集計記録,6,1))</f>
        <v>#NAME?</v>
      </c>
      <c r="O242" s="88" t="e">
        <f ca="1">IF(INDIRECT("M"&amp;ROW()-1)&lt;&gt;INDIRECT("M"&amp;ROW()),リスト!$I$5,"")</f>
        <v>#NAME?</v>
      </c>
      <c r="P242" s="88" t="e">
        <f ca="1">IF(INDIRECT("M"&amp;ROW())&lt;&gt;INDIRECT("M"&amp;ROW()+1),リスト!$I$6,"")</f>
        <v>#NAME?</v>
      </c>
    </row>
    <row r="243" spans="1:16" x14ac:dyDescent="0.2">
      <c r="A243" s="169" t="e">
        <f ca="1">IF(C243="","",ROW(行数!A235))</f>
        <v>#NAME?</v>
      </c>
      <c r="B243" s="168" t="e">
        <f t="shared" ca="1" si="24"/>
        <v>#NAME?</v>
      </c>
      <c r="C243" s="90" t="e">
        <f ca="1">[0]!CSVVLookUP(ROW(行数!A235),配列!$C$4,集計記録,3,1)</f>
        <v>#NAME?</v>
      </c>
      <c r="D243" s="90" t="e">
        <f ca="1">[0]!CSVVLookUP(ROW(行数!B235),配列!$C$4,集計記録,4,1)</f>
        <v>#NAME?</v>
      </c>
      <c r="E243" s="118" t="e">
        <f t="shared" ca="1" si="25"/>
        <v>#NAME?</v>
      </c>
      <c r="F243" s="118" t="e">
        <f t="shared" ca="1" si="26"/>
        <v>#NAME?</v>
      </c>
      <c r="G243" s="103" t="e">
        <f t="shared" ca="1" si="27"/>
        <v>#NAME?</v>
      </c>
      <c r="H243" s="104" t="e">
        <f ca="1">IF(C243="","",MROUND([0]!CSVVLookUP(ROW(行数!A235),配列!$C$4,集計記録,8,1),"0:01"))</f>
        <v>#NAME?</v>
      </c>
      <c r="I243" s="104" t="e">
        <f t="shared" ca="1" si="28"/>
        <v>#NAME?</v>
      </c>
      <c r="J243" s="119" t="e">
        <f ca="1">IF(C243="","",MROUND([0]!CSVVLookUP(ROW(行数!A235),配列!$C$4,集計記録,7,1),"0:01"))</f>
        <v>#NAME?</v>
      </c>
      <c r="K243" s="92" t="e">
        <f ca="1">IF(C243="","",[0]!CSVVLookUP(ROW(行数!A235),配列!$C$4,集計記録,5,1))</f>
        <v>#NAME?</v>
      </c>
      <c r="L243" s="104" t="e">
        <f t="shared" ca="1" si="29"/>
        <v>#NAME?</v>
      </c>
      <c r="M243" s="120" t="e">
        <f t="shared" ca="1" si="23"/>
        <v>#NAME?</v>
      </c>
      <c r="N243" s="120" t="e">
        <f ca="1">IF([0]!CSVVLookUP(ROW(行数!A235),配列!$C$4,集計記録,6,1)=0,"",[0]!CSVVLookUP(ROW(行数!A235),配列!$C$4,集計記録,6,1))</f>
        <v>#NAME?</v>
      </c>
      <c r="O243" s="88" t="e">
        <f ca="1">IF(INDIRECT("M"&amp;ROW()-1)&lt;&gt;INDIRECT("M"&amp;ROW()),リスト!$I$5,"")</f>
        <v>#NAME?</v>
      </c>
      <c r="P243" s="88" t="e">
        <f ca="1">IF(INDIRECT("M"&amp;ROW())&lt;&gt;INDIRECT("M"&amp;ROW()+1),リスト!$I$6,"")</f>
        <v>#NAME?</v>
      </c>
    </row>
    <row r="244" spans="1:16" x14ac:dyDescent="0.2">
      <c r="A244" s="169" t="e">
        <f ca="1">IF(C244="","",ROW(行数!A236))</f>
        <v>#NAME?</v>
      </c>
      <c r="B244" s="168" t="e">
        <f t="shared" ca="1" si="24"/>
        <v>#NAME?</v>
      </c>
      <c r="C244" s="90" t="e">
        <f ca="1">[0]!CSVVLookUP(ROW(行数!A236),配列!$C$4,集計記録,3,1)</f>
        <v>#NAME?</v>
      </c>
      <c r="D244" s="90" t="e">
        <f ca="1">[0]!CSVVLookUP(ROW(行数!B236),配列!$C$4,集計記録,4,1)</f>
        <v>#NAME?</v>
      </c>
      <c r="E244" s="118" t="e">
        <f t="shared" ca="1" si="25"/>
        <v>#NAME?</v>
      </c>
      <c r="F244" s="118" t="e">
        <f t="shared" ca="1" si="26"/>
        <v>#NAME?</v>
      </c>
      <c r="G244" s="103" t="e">
        <f t="shared" ca="1" si="27"/>
        <v>#NAME?</v>
      </c>
      <c r="H244" s="104" t="e">
        <f ca="1">IF(C244="","",MROUND([0]!CSVVLookUP(ROW(行数!A236),配列!$C$4,集計記録,8,1),"0:01"))</f>
        <v>#NAME?</v>
      </c>
      <c r="I244" s="104" t="e">
        <f t="shared" ca="1" si="28"/>
        <v>#NAME?</v>
      </c>
      <c r="J244" s="119" t="e">
        <f ca="1">IF(C244="","",MROUND([0]!CSVVLookUP(ROW(行数!A236),配列!$C$4,集計記録,7,1),"0:01"))</f>
        <v>#NAME?</v>
      </c>
      <c r="K244" s="92" t="e">
        <f ca="1">IF(C244="","",[0]!CSVVLookUP(ROW(行数!A236),配列!$C$4,集計記録,5,1))</f>
        <v>#NAME?</v>
      </c>
      <c r="L244" s="104" t="e">
        <f t="shared" ca="1" si="29"/>
        <v>#NAME?</v>
      </c>
      <c r="M244" s="120" t="e">
        <f t="shared" ca="1" si="23"/>
        <v>#NAME?</v>
      </c>
      <c r="N244" s="120" t="e">
        <f ca="1">IF([0]!CSVVLookUP(ROW(行数!A236),配列!$C$4,集計記録,6,1)=0,"",[0]!CSVVLookUP(ROW(行数!A236),配列!$C$4,集計記録,6,1))</f>
        <v>#NAME?</v>
      </c>
      <c r="O244" s="88" t="e">
        <f ca="1">IF(INDIRECT("M"&amp;ROW()-1)&lt;&gt;INDIRECT("M"&amp;ROW()),リスト!$I$5,"")</f>
        <v>#NAME?</v>
      </c>
      <c r="P244" s="88" t="e">
        <f ca="1">IF(INDIRECT("M"&amp;ROW())&lt;&gt;INDIRECT("M"&amp;ROW()+1),リスト!$I$6,"")</f>
        <v>#NAME?</v>
      </c>
    </row>
    <row r="245" spans="1:16" x14ac:dyDescent="0.2">
      <c r="A245" s="169" t="e">
        <f ca="1">IF(C245="","",ROW(行数!A237))</f>
        <v>#NAME?</v>
      </c>
      <c r="B245" s="168" t="e">
        <f t="shared" ca="1" si="24"/>
        <v>#NAME?</v>
      </c>
      <c r="C245" s="90" t="e">
        <f ca="1">[0]!CSVVLookUP(ROW(行数!A237),配列!$C$4,集計記録,3,1)</f>
        <v>#NAME?</v>
      </c>
      <c r="D245" s="90" t="e">
        <f ca="1">[0]!CSVVLookUP(ROW(行数!B237),配列!$C$4,集計記録,4,1)</f>
        <v>#NAME?</v>
      </c>
      <c r="E245" s="118" t="e">
        <f t="shared" ca="1" si="25"/>
        <v>#NAME?</v>
      </c>
      <c r="F245" s="118" t="e">
        <f t="shared" ca="1" si="26"/>
        <v>#NAME?</v>
      </c>
      <c r="G245" s="103" t="e">
        <f t="shared" ca="1" si="27"/>
        <v>#NAME?</v>
      </c>
      <c r="H245" s="104" t="e">
        <f ca="1">IF(C245="","",MROUND([0]!CSVVLookUP(ROW(行数!A237),配列!$C$4,集計記録,8,1),"0:01"))</f>
        <v>#NAME?</v>
      </c>
      <c r="I245" s="104" t="e">
        <f t="shared" ca="1" si="28"/>
        <v>#NAME?</v>
      </c>
      <c r="J245" s="119" t="e">
        <f ca="1">IF(C245="","",MROUND([0]!CSVVLookUP(ROW(行数!A237),配列!$C$4,集計記録,7,1),"0:01"))</f>
        <v>#NAME?</v>
      </c>
      <c r="K245" s="92" t="e">
        <f ca="1">IF(C245="","",[0]!CSVVLookUP(ROW(行数!A237),配列!$C$4,集計記録,5,1))</f>
        <v>#NAME?</v>
      </c>
      <c r="L245" s="104" t="e">
        <f t="shared" ca="1" si="29"/>
        <v>#NAME?</v>
      </c>
      <c r="M245" s="120" t="e">
        <f t="shared" ca="1" si="23"/>
        <v>#NAME?</v>
      </c>
      <c r="N245" s="120" t="e">
        <f ca="1">IF([0]!CSVVLookUP(ROW(行数!A237),配列!$C$4,集計記録,6,1)=0,"",[0]!CSVVLookUP(ROW(行数!A237),配列!$C$4,集計記録,6,1))</f>
        <v>#NAME?</v>
      </c>
      <c r="O245" s="88" t="e">
        <f ca="1">IF(INDIRECT("M"&amp;ROW()-1)&lt;&gt;INDIRECT("M"&amp;ROW()),リスト!$I$5,"")</f>
        <v>#NAME?</v>
      </c>
      <c r="P245" s="88" t="e">
        <f ca="1">IF(INDIRECT("M"&amp;ROW())&lt;&gt;INDIRECT("M"&amp;ROW()+1),リスト!$I$6,"")</f>
        <v>#NAME?</v>
      </c>
    </row>
    <row r="246" spans="1:16" x14ac:dyDescent="0.2">
      <c r="A246" s="169" t="e">
        <f ca="1">IF(C246="","",ROW(行数!A238))</f>
        <v>#NAME?</v>
      </c>
      <c r="B246" s="168" t="e">
        <f t="shared" ca="1" si="24"/>
        <v>#NAME?</v>
      </c>
      <c r="C246" s="90" t="e">
        <f ca="1">[0]!CSVVLookUP(ROW(行数!A238),配列!$C$4,集計記録,3,1)</f>
        <v>#NAME?</v>
      </c>
      <c r="D246" s="90" t="e">
        <f ca="1">[0]!CSVVLookUP(ROW(行数!B238),配列!$C$4,集計記録,4,1)</f>
        <v>#NAME?</v>
      </c>
      <c r="E246" s="118" t="e">
        <f t="shared" ca="1" si="25"/>
        <v>#NAME?</v>
      </c>
      <c r="F246" s="118" t="e">
        <f t="shared" ca="1" si="26"/>
        <v>#NAME?</v>
      </c>
      <c r="G246" s="103" t="e">
        <f t="shared" ca="1" si="27"/>
        <v>#NAME?</v>
      </c>
      <c r="H246" s="104" t="e">
        <f ca="1">IF(C246="","",MROUND([0]!CSVVLookUP(ROW(行数!A238),配列!$C$4,集計記録,8,1),"0:01"))</f>
        <v>#NAME?</v>
      </c>
      <c r="I246" s="104" t="e">
        <f t="shared" ca="1" si="28"/>
        <v>#NAME?</v>
      </c>
      <c r="J246" s="119" t="e">
        <f ca="1">IF(C246="","",MROUND([0]!CSVVLookUP(ROW(行数!A238),配列!$C$4,集計記録,7,1),"0:01"))</f>
        <v>#NAME?</v>
      </c>
      <c r="K246" s="92" t="e">
        <f ca="1">IF(C246="","",[0]!CSVVLookUP(ROW(行数!A238),配列!$C$4,集計記録,5,1))</f>
        <v>#NAME?</v>
      </c>
      <c r="L246" s="104" t="e">
        <f t="shared" ca="1" si="29"/>
        <v>#NAME?</v>
      </c>
      <c r="M246" s="120" t="e">
        <f t="shared" ca="1" si="23"/>
        <v>#NAME?</v>
      </c>
      <c r="N246" s="120" t="e">
        <f ca="1">IF([0]!CSVVLookUP(ROW(行数!A238),配列!$C$4,集計記録,6,1)=0,"",[0]!CSVVLookUP(ROW(行数!A238),配列!$C$4,集計記録,6,1))</f>
        <v>#NAME?</v>
      </c>
      <c r="O246" s="88" t="e">
        <f ca="1">IF(INDIRECT("M"&amp;ROW()-1)&lt;&gt;INDIRECT("M"&amp;ROW()),リスト!$I$5,"")</f>
        <v>#NAME?</v>
      </c>
      <c r="P246" s="88" t="e">
        <f ca="1">IF(INDIRECT("M"&amp;ROW())&lt;&gt;INDIRECT("M"&amp;ROW()+1),リスト!$I$6,"")</f>
        <v>#NAME?</v>
      </c>
    </row>
    <row r="247" spans="1:16" x14ac:dyDescent="0.2">
      <c r="A247" s="169" t="e">
        <f ca="1">IF(C247="","",ROW(行数!A239))</f>
        <v>#NAME?</v>
      </c>
      <c r="B247" s="168" t="e">
        <f t="shared" ca="1" si="24"/>
        <v>#NAME?</v>
      </c>
      <c r="C247" s="90" t="e">
        <f ca="1">[0]!CSVVLookUP(ROW(行数!A239),配列!$C$4,集計記録,3,1)</f>
        <v>#NAME?</v>
      </c>
      <c r="D247" s="90" t="e">
        <f ca="1">[0]!CSVVLookUP(ROW(行数!B239),配列!$C$4,集計記録,4,1)</f>
        <v>#NAME?</v>
      </c>
      <c r="E247" s="118" t="e">
        <f t="shared" ca="1" si="25"/>
        <v>#NAME?</v>
      </c>
      <c r="F247" s="118" t="e">
        <f t="shared" ca="1" si="26"/>
        <v>#NAME?</v>
      </c>
      <c r="G247" s="103" t="e">
        <f t="shared" ca="1" si="27"/>
        <v>#NAME?</v>
      </c>
      <c r="H247" s="104" t="e">
        <f ca="1">IF(C247="","",MROUND([0]!CSVVLookUP(ROW(行数!A239),配列!$C$4,集計記録,8,1),"0:01"))</f>
        <v>#NAME?</v>
      </c>
      <c r="I247" s="104" t="e">
        <f t="shared" ca="1" si="28"/>
        <v>#NAME?</v>
      </c>
      <c r="J247" s="119" t="e">
        <f ca="1">IF(C247="","",MROUND([0]!CSVVLookUP(ROW(行数!A239),配列!$C$4,集計記録,7,1),"0:01"))</f>
        <v>#NAME?</v>
      </c>
      <c r="K247" s="92" t="e">
        <f ca="1">IF(C247="","",[0]!CSVVLookUP(ROW(行数!A239),配列!$C$4,集計記録,5,1))</f>
        <v>#NAME?</v>
      </c>
      <c r="L247" s="104" t="e">
        <f t="shared" ca="1" si="29"/>
        <v>#NAME?</v>
      </c>
      <c r="M247" s="120" t="e">
        <f t="shared" ca="1" si="23"/>
        <v>#NAME?</v>
      </c>
      <c r="N247" s="120" t="e">
        <f ca="1">IF([0]!CSVVLookUP(ROW(行数!A239),配列!$C$4,集計記録,6,1)=0,"",[0]!CSVVLookUP(ROW(行数!A239),配列!$C$4,集計記録,6,1))</f>
        <v>#NAME?</v>
      </c>
      <c r="O247" s="88" t="e">
        <f ca="1">IF(INDIRECT("M"&amp;ROW()-1)&lt;&gt;INDIRECT("M"&amp;ROW()),リスト!$I$5,"")</f>
        <v>#NAME?</v>
      </c>
      <c r="P247" s="88" t="e">
        <f ca="1">IF(INDIRECT("M"&amp;ROW())&lt;&gt;INDIRECT("M"&amp;ROW()+1),リスト!$I$6,"")</f>
        <v>#NAME?</v>
      </c>
    </row>
    <row r="248" spans="1:16" x14ac:dyDescent="0.2">
      <c r="A248" s="169" t="e">
        <f ca="1">IF(C248="","",ROW(行数!A240))</f>
        <v>#NAME?</v>
      </c>
      <c r="B248" s="168" t="e">
        <f t="shared" ca="1" si="24"/>
        <v>#NAME?</v>
      </c>
      <c r="C248" s="90" t="e">
        <f ca="1">[0]!CSVVLookUP(ROW(行数!A240),配列!$C$4,集計記録,3,1)</f>
        <v>#NAME?</v>
      </c>
      <c r="D248" s="90" t="e">
        <f ca="1">[0]!CSVVLookUP(ROW(行数!B240),配列!$C$4,集計記録,4,1)</f>
        <v>#NAME?</v>
      </c>
      <c r="E248" s="118" t="e">
        <f t="shared" ca="1" si="25"/>
        <v>#NAME?</v>
      </c>
      <c r="F248" s="118" t="e">
        <f t="shared" ca="1" si="26"/>
        <v>#NAME?</v>
      </c>
      <c r="G248" s="103" t="e">
        <f t="shared" ca="1" si="27"/>
        <v>#NAME?</v>
      </c>
      <c r="H248" s="104" t="e">
        <f ca="1">IF(C248="","",MROUND([0]!CSVVLookUP(ROW(行数!A240),配列!$C$4,集計記録,8,1),"0:01"))</f>
        <v>#NAME?</v>
      </c>
      <c r="I248" s="104" t="e">
        <f t="shared" ca="1" si="28"/>
        <v>#NAME?</v>
      </c>
      <c r="J248" s="119" t="e">
        <f ca="1">IF(C248="","",MROUND([0]!CSVVLookUP(ROW(行数!A240),配列!$C$4,集計記録,7,1),"0:01"))</f>
        <v>#NAME?</v>
      </c>
      <c r="K248" s="92" t="e">
        <f ca="1">IF(C248="","",[0]!CSVVLookUP(ROW(行数!A240),配列!$C$4,集計記録,5,1))</f>
        <v>#NAME?</v>
      </c>
      <c r="L248" s="104" t="e">
        <f t="shared" ca="1" si="29"/>
        <v>#NAME?</v>
      </c>
      <c r="M248" s="120" t="e">
        <f t="shared" ca="1" si="23"/>
        <v>#NAME?</v>
      </c>
      <c r="N248" s="120" t="e">
        <f ca="1">IF([0]!CSVVLookUP(ROW(行数!A240),配列!$C$4,集計記録,6,1)=0,"",[0]!CSVVLookUP(ROW(行数!A240),配列!$C$4,集計記録,6,1))</f>
        <v>#NAME?</v>
      </c>
      <c r="O248" s="88" t="e">
        <f ca="1">IF(INDIRECT("M"&amp;ROW()-1)&lt;&gt;INDIRECT("M"&amp;ROW()),リスト!$I$5,"")</f>
        <v>#NAME?</v>
      </c>
      <c r="P248" s="88" t="e">
        <f ca="1">IF(INDIRECT("M"&amp;ROW())&lt;&gt;INDIRECT("M"&amp;ROW()+1),リスト!$I$6,"")</f>
        <v>#NAME?</v>
      </c>
    </row>
    <row r="249" spans="1:16" x14ac:dyDescent="0.2">
      <c r="A249" s="169" t="e">
        <f ca="1">IF(C249="","",ROW(行数!A241))</f>
        <v>#NAME?</v>
      </c>
      <c r="B249" s="168" t="e">
        <f t="shared" ca="1" si="24"/>
        <v>#NAME?</v>
      </c>
      <c r="C249" s="90" t="e">
        <f ca="1">[0]!CSVVLookUP(ROW(行数!A241),配列!$C$4,集計記録,3,1)</f>
        <v>#NAME?</v>
      </c>
      <c r="D249" s="90" t="e">
        <f ca="1">[0]!CSVVLookUP(ROW(行数!B241),配列!$C$4,集計記録,4,1)</f>
        <v>#NAME?</v>
      </c>
      <c r="E249" s="118" t="e">
        <f t="shared" ca="1" si="25"/>
        <v>#NAME?</v>
      </c>
      <c r="F249" s="118" t="e">
        <f t="shared" ca="1" si="26"/>
        <v>#NAME?</v>
      </c>
      <c r="G249" s="103" t="e">
        <f t="shared" ca="1" si="27"/>
        <v>#NAME?</v>
      </c>
      <c r="H249" s="104" t="e">
        <f ca="1">IF(C249="","",MROUND([0]!CSVVLookUP(ROW(行数!A241),配列!$C$4,集計記録,8,1),"0:01"))</f>
        <v>#NAME?</v>
      </c>
      <c r="I249" s="104" t="e">
        <f t="shared" ca="1" si="28"/>
        <v>#NAME?</v>
      </c>
      <c r="J249" s="119" t="e">
        <f ca="1">IF(C249="","",MROUND([0]!CSVVLookUP(ROW(行数!A241),配列!$C$4,集計記録,7,1),"0:01"))</f>
        <v>#NAME?</v>
      </c>
      <c r="K249" s="92" t="e">
        <f ca="1">IF(C249="","",[0]!CSVVLookUP(ROW(行数!A241),配列!$C$4,集計記録,5,1))</f>
        <v>#NAME?</v>
      </c>
      <c r="L249" s="104" t="e">
        <f t="shared" ca="1" si="29"/>
        <v>#NAME?</v>
      </c>
      <c r="M249" s="120" t="e">
        <f t="shared" ca="1" si="23"/>
        <v>#NAME?</v>
      </c>
      <c r="N249" s="120" t="e">
        <f ca="1">IF([0]!CSVVLookUP(ROW(行数!A241),配列!$C$4,集計記録,6,1)=0,"",[0]!CSVVLookUP(ROW(行数!A241),配列!$C$4,集計記録,6,1))</f>
        <v>#NAME?</v>
      </c>
      <c r="O249" s="88" t="e">
        <f ca="1">IF(INDIRECT("M"&amp;ROW()-1)&lt;&gt;INDIRECT("M"&amp;ROW()),リスト!$I$5,"")</f>
        <v>#NAME?</v>
      </c>
      <c r="P249" s="88" t="e">
        <f ca="1">IF(INDIRECT("M"&amp;ROW())&lt;&gt;INDIRECT("M"&amp;ROW()+1),リスト!$I$6,"")</f>
        <v>#NAME?</v>
      </c>
    </row>
    <row r="250" spans="1:16" x14ac:dyDescent="0.2">
      <c r="A250" s="169" t="e">
        <f ca="1">IF(C250="","",ROW(行数!A242))</f>
        <v>#NAME?</v>
      </c>
      <c r="B250" s="168" t="e">
        <f t="shared" ca="1" si="24"/>
        <v>#NAME?</v>
      </c>
      <c r="C250" s="90" t="e">
        <f ca="1">[0]!CSVVLookUP(ROW(行数!A242),配列!$C$4,集計記録,3,1)</f>
        <v>#NAME?</v>
      </c>
      <c r="D250" s="90" t="e">
        <f ca="1">[0]!CSVVLookUP(ROW(行数!B242),配列!$C$4,集計記録,4,1)</f>
        <v>#NAME?</v>
      </c>
      <c r="E250" s="118" t="e">
        <f t="shared" ca="1" si="25"/>
        <v>#NAME?</v>
      </c>
      <c r="F250" s="118" t="e">
        <f t="shared" ca="1" si="26"/>
        <v>#NAME?</v>
      </c>
      <c r="G250" s="103" t="e">
        <f t="shared" ca="1" si="27"/>
        <v>#NAME?</v>
      </c>
      <c r="H250" s="104" t="e">
        <f ca="1">IF(C250="","",MROUND([0]!CSVVLookUP(ROW(行数!A242),配列!$C$4,集計記録,8,1),"0:01"))</f>
        <v>#NAME?</v>
      </c>
      <c r="I250" s="104" t="e">
        <f t="shared" ca="1" si="28"/>
        <v>#NAME?</v>
      </c>
      <c r="J250" s="119" t="e">
        <f ca="1">IF(C250="","",MROUND([0]!CSVVLookUP(ROW(行数!A242),配列!$C$4,集計記録,7,1),"0:01"))</f>
        <v>#NAME?</v>
      </c>
      <c r="K250" s="92" t="e">
        <f ca="1">IF(C250="","",[0]!CSVVLookUP(ROW(行数!A242),配列!$C$4,集計記録,5,1))</f>
        <v>#NAME?</v>
      </c>
      <c r="L250" s="104" t="e">
        <f t="shared" ca="1" si="29"/>
        <v>#NAME?</v>
      </c>
      <c r="M250" s="120" t="e">
        <f t="shared" ca="1" si="23"/>
        <v>#NAME?</v>
      </c>
      <c r="N250" s="120" t="e">
        <f ca="1">IF([0]!CSVVLookUP(ROW(行数!A242),配列!$C$4,集計記録,6,1)=0,"",[0]!CSVVLookUP(ROW(行数!A242),配列!$C$4,集計記録,6,1))</f>
        <v>#NAME?</v>
      </c>
      <c r="O250" s="88" t="e">
        <f ca="1">IF(INDIRECT("M"&amp;ROW()-1)&lt;&gt;INDIRECT("M"&amp;ROW()),リスト!$I$5,"")</f>
        <v>#NAME?</v>
      </c>
      <c r="P250" s="88" t="e">
        <f ca="1">IF(INDIRECT("M"&amp;ROW())&lt;&gt;INDIRECT("M"&amp;ROW()+1),リスト!$I$6,"")</f>
        <v>#NAME?</v>
      </c>
    </row>
    <row r="251" spans="1:16" x14ac:dyDescent="0.2">
      <c r="A251" s="169" t="e">
        <f ca="1">IF(C251="","",ROW(行数!A243))</f>
        <v>#NAME?</v>
      </c>
      <c r="B251" s="168" t="e">
        <f t="shared" ca="1" si="24"/>
        <v>#NAME?</v>
      </c>
      <c r="C251" s="90" t="e">
        <f ca="1">[0]!CSVVLookUP(ROW(行数!A243),配列!$C$4,集計記録,3,1)</f>
        <v>#NAME?</v>
      </c>
      <c r="D251" s="90" t="e">
        <f ca="1">[0]!CSVVLookUP(ROW(行数!B243),配列!$C$4,集計記録,4,1)</f>
        <v>#NAME?</v>
      </c>
      <c r="E251" s="118" t="e">
        <f t="shared" ca="1" si="25"/>
        <v>#NAME?</v>
      </c>
      <c r="F251" s="118" t="e">
        <f t="shared" ca="1" si="26"/>
        <v>#NAME?</v>
      </c>
      <c r="G251" s="103" t="e">
        <f t="shared" ca="1" si="27"/>
        <v>#NAME?</v>
      </c>
      <c r="H251" s="104" t="e">
        <f ca="1">IF(C251="","",MROUND([0]!CSVVLookUP(ROW(行数!A243),配列!$C$4,集計記録,8,1),"0:01"))</f>
        <v>#NAME?</v>
      </c>
      <c r="I251" s="104" t="e">
        <f t="shared" ca="1" si="28"/>
        <v>#NAME?</v>
      </c>
      <c r="J251" s="119" t="e">
        <f ca="1">IF(C251="","",MROUND([0]!CSVVLookUP(ROW(行数!A243),配列!$C$4,集計記録,7,1),"0:01"))</f>
        <v>#NAME?</v>
      </c>
      <c r="K251" s="92" t="e">
        <f ca="1">IF(C251="","",[0]!CSVVLookUP(ROW(行数!A243),配列!$C$4,集計記録,5,1))</f>
        <v>#NAME?</v>
      </c>
      <c r="L251" s="104" t="e">
        <f t="shared" ca="1" si="29"/>
        <v>#NAME?</v>
      </c>
      <c r="M251" s="120" t="e">
        <f t="shared" ca="1" si="23"/>
        <v>#NAME?</v>
      </c>
      <c r="N251" s="120" t="e">
        <f ca="1">IF([0]!CSVVLookUP(ROW(行数!A243),配列!$C$4,集計記録,6,1)=0,"",[0]!CSVVLookUP(ROW(行数!A243),配列!$C$4,集計記録,6,1))</f>
        <v>#NAME?</v>
      </c>
      <c r="O251" s="88" t="e">
        <f ca="1">IF(INDIRECT("M"&amp;ROW()-1)&lt;&gt;INDIRECT("M"&amp;ROW()),リスト!$I$5,"")</f>
        <v>#NAME?</v>
      </c>
      <c r="P251" s="88" t="e">
        <f ca="1">IF(INDIRECT("M"&amp;ROW())&lt;&gt;INDIRECT("M"&amp;ROW()+1),リスト!$I$6,"")</f>
        <v>#NAME?</v>
      </c>
    </row>
    <row r="252" spans="1:16" x14ac:dyDescent="0.2">
      <c r="A252" s="169" t="e">
        <f ca="1">IF(C252="","",ROW(行数!A244))</f>
        <v>#NAME?</v>
      </c>
      <c r="B252" s="168" t="e">
        <f t="shared" ca="1" si="24"/>
        <v>#NAME?</v>
      </c>
      <c r="C252" s="90" t="e">
        <f ca="1">[0]!CSVVLookUP(ROW(行数!A244),配列!$C$4,集計記録,3,1)</f>
        <v>#NAME?</v>
      </c>
      <c r="D252" s="90" t="e">
        <f ca="1">[0]!CSVVLookUP(ROW(行数!B244),配列!$C$4,集計記録,4,1)</f>
        <v>#NAME?</v>
      </c>
      <c r="E252" s="118" t="e">
        <f t="shared" ca="1" si="25"/>
        <v>#NAME?</v>
      </c>
      <c r="F252" s="118" t="e">
        <f t="shared" ca="1" si="26"/>
        <v>#NAME?</v>
      </c>
      <c r="G252" s="103" t="e">
        <f t="shared" ca="1" si="27"/>
        <v>#NAME?</v>
      </c>
      <c r="H252" s="104" t="e">
        <f ca="1">IF(C252="","",MROUND([0]!CSVVLookUP(ROW(行数!A244),配列!$C$4,集計記録,8,1),"0:01"))</f>
        <v>#NAME?</v>
      </c>
      <c r="I252" s="104" t="e">
        <f t="shared" ca="1" si="28"/>
        <v>#NAME?</v>
      </c>
      <c r="J252" s="119" t="e">
        <f ca="1">IF(C252="","",MROUND([0]!CSVVLookUP(ROW(行数!A244),配列!$C$4,集計記録,7,1),"0:01"))</f>
        <v>#NAME?</v>
      </c>
      <c r="K252" s="92" t="e">
        <f ca="1">IF(C252="","",[0]!CSVVLookUP(ROW(行数!A244),配列!$C$4,集計記録,5,1))</f>
        <v>#NAME?</v>
      </c>
      <c r="L252" s="104" t="e">
        <f t="shared" ca="1" si="29"/>
        <v>#NAME?</v>
      </c>
      <c r="M252" s="120" t="e">
        <f t="shared" ca="1" si="23"/>
        <v>#NAME?</v>
      </c>
      <c r="N252" s="120" t="e">
        <f ca="1">IF([0]!CSVVLookUP(ROW(行数!A244),配列!$C$4,集計記録,6,1)=0,"",[0]!CSVVLookUP(ROW(行数!A244),配列!$C$4,集計記録,6,1))</f>
        <v>#NAME?</v>
      </c>
      <c r="O252" s="88" t="e">
        <f ca="1">IF(INDIRECT("M"&amp;ROW()-1)&lt;&gt;INDIRECT("M"&amp;ROW()),リスト!$I$5,"")</f>
        <v>#NAME?</v>
      </c>
      <c r="P252" s="88" t="e">
        <f ca="1">IF(INDIRECT("M"&amp;ROW())&lt;&gt;INDIRECT("M"&amp;ROW()+1),リスト!$I$6,"")</f>
        <v>#NAME?</v>
      </c>
    </row>
    <row r="253" spans="1:16" x14ac:dyDescent="0.2">
      <c r="A253" s="169" t="e">
        <f ca="1">IF(C253="","",ROW(行数!A245))</f>
        <v>#NAME?</v>
      </c>
      <c r="B253" s="168" t="e">
        <f t="shared" ca="1" si="24"/>
        <v>#NAME?</v>
      </c>
      <c r="C253" s="90" t="e">
        <f ca="1">[0]!CSVVLookUP(ROW(行数!A245),配列!$C$4,集計記録,3,1)</f>
        <v>#NAME?</v>
      </c>
      <c r="D253" s="90" t="e">
        <f ca="1">[0]!CSVVLookUP(ROW(行数!B245),配列!$C$4,集計記録,4,1)</f>
        <v>#NAME?</v>
      </c>
      <c r="E253" s="118" t="e">
        <f t="shared" ca="1" si="25"/>
        <v>#NAME?</v>
      </c>
      <c r="F253" s="118" t="e">
        <f t="shared" ca="1" si="26"/>
        <v>#NAME?</v>
      </c>
      <c r="G253" s="103" t="e">
        <f t="shared" ca="1" si="27"/>
        <v>#NAME?</v>
      </c>
      <c r="H253" s="104" t="e">
        <f ca="1">IF(C253="","",MROUND([0]!CSVVLookUP(ROW(行数!A245),配列!$C$4,集計記録,8,1),"0:01"))</f>
        <v>#NAME?</v>
      </c>
      <c r="I253" s="104" t="e">
        <f t="shared" ca="1" si="28"/>
        <v>#NAME?</v>
      </c>
      <c r="J253" s="119" t="e">
        <f ca="1">IF(C253="","",MROUND([0]!CSVVLookUP(ROW(行数!A245),配列!$C$4,集計記録,7,1),"0:01"))</f>
        <v>#NAME?</v>
      </c>
      <c r="K253" s="92" t="e">
        <f ca="1">IF(C253="","",[0]!CSVVLookUP(ROW(行数!A245),配列!$C$4,集計記録,5,1))</f>
        <v>#NAME?</v>
      </c>
      <c r="L253" s="104" t="e">
        <f t="shared" ca="1" si="29"/>
        <v>#NAME?</v>
      </c>
      <c r="M253" s="120" t="e">
        <f t="shared" ca="1" si="23"/>
        <v>#NAME?</v>
      </c>
      <c r="N253" s="120" t="e">
        <f ca="1">IF([0]!CSVVLookUP(ROW(行数!A245),配列!$C$4,集計記録,6,1)=0,"",[0]!CSVVLookUP(ROW(行数!A245),配列!$C$4,集計記録,6,1))</f>
        <v>#NAME?</v>
      </c>
      <c r="O253" s="88" t="e">
        <f ca="1">IF(INDIRECT("M"&amp;ROW()-1)&lt;&gt;INDIRECT("M"&amp;ROW()),リスト!$I$5,"")</f>
        <v>#NAME?</v>
      </c>
      <c r="P253" s="88" t="e">
        <f ca="1">IF(INDIRECT("M"&amp;ROW())&lt;&gt;INDIRECT("M"&amp;ROW()+1),リスト!$I$6,"")</f>
        <v>#NAME?</v>
      </c>
    </row>
    <row r="254" spans="1:16" x14ac:dyDescent="0.2">
      <c r="A254" s="169" t="e">
        <f ca="1">IF(C254="","",ROW(行数!A246))</f>
        <v>#NAME?</v>
      </c>
      <c r="B254" s="168" t="e">
        <f t="shared" ca="1" si="24"/>
        <v>#NAME?</v>
      </c>
      <c r="C254" s="90" t="e">
        <f ca="1">[0]!CSVVLookUP(ROW(行数!A246),配列!$C$4,集計記録,3,1)</f>
        <v>#NAME?</v>
      </c>
      <c r="D254" s="90" t="e">
        <f ca="1">[0]!CSVVLookUP(ROW(行数!B246),配列!$C$4,集計記録,4,1)</f>
        <v>#NAME?</v>
      </c>
      <c r="E254" s="118" t="e">
        <f t="shared" ca="1" si="25"/>
        <v>#NAME?</v>
      </c>
      <c r="F254" s="118" t="e">
        <f t="shared" ca="1" si="26"/>
        <v>#NAME?</v>
      </c>
      <c r="G254" s="103" t="e">
        <f t="shared" ca="1" si="27"/>
        <v>#NAME?</v>
      </c>
      <c r="H254" s="104" t="e">
        <f ca="1">IF(C254="","",MROUND([0]!CSVVLookUP(ROW(行数!A246),配列!$C$4,集計記録,8,1),"0:01"))</f>
        <v>#NAME?</v>
      </c>
      <c r="I254" s="104" t="e">
        <f t="shared" ca="1" si="28"/>
        <v>#NAME?</v>
      </c>
      <c r="J254" s="119" t="e">
        <f ca="1">IF(C254="","",MROUND([0]!CSVVLookUP(ROW(行数!A246),配列!$C$4,集計記録,7,1),"0:01"))</f>
        <v>#NAME?</v>
      </c>
      <c r="K254" s="92" t="e">
        <f ca="1">IF(C254="","",[0]!CSVVLookUP(ROW(行数!A246),配列!$C$4,集計記録,5,1))</f>
        <v>#NAME?</v>
      </c>
      <c r="L254" s="104" t="e">
        <f t="shared" ca="1" si="29"/>
        <v>#NAME?</v>
      </c>
      <c r="M254" s="120" t="e">
        <f t="shared" ca="1" si="23"/>
        <v>#NAME?</v>
      </c>
      <c r="N254" s="120" t="e">
        <f ca="1">IF([0]!CSVVLookUP(ROW(行数!A246),配列!$C$4,集計記録,6,1)=0,"",[0]!CSVVLookUP(ROW(行数!A246),配列!$C$4,集計記録,6,1))</f>
        <v>#NAME?</v>
      </c>
      <c r="O254" s="88" t="e">
        <f ca="1">IF(INDIRECT("M"&amp;ROW()-1)&lt;&gt;INDIRECT("M"&amp;ROW()),リスト!$I$5,"")</f>
        <v>#NAME?</v>
      </c>
      <c r="P254" s="88" t="e">
        <f ca="1">IF(INDIRECT("M"&amp;ROW())&lt;&gt;INDIRECT("M"&amp;ROW()+1),リスト!$I$6,"")</f>
        <v>#NAME?</v>
      </c>
    </row>
    <row r="255" spans="1:16" x14ac:dyDescent="0.2">
      <c r="A255" s="169" t="e">
        <f ca="1">IF(C255="","",ROW(行数!A247))</f>
        <v>#NAME?</v>
      </c>
      <c r="B255" s="168" t="e">
        <f t="shared" ca="1" si="24"/>
        <v>#NAME?</v>
      </c>
      <c r="C255" s="90" t="e">
        <f ca="1">[0]!CSVVLookUP(ROW(行数!A247),配列!$C$4,集計記録,3,1)</f>
        <v>#NAME?</v>
      </c>
      <c r="D255" s="90" t="e">
        <f ca="1">[0]!CSVVLookUP(ROW(行数!B247),配列!$C$4,集計記録,4,1)</f>
        <v>#NAME?</v>
      </c>
      <c r="E255" s="118" t="e">
        <f t="shared" ca="1" si="25"/>
        <v>#NAME?</v>
      </c>
      <c r="F255" s="118" t="e">
        <f t="shared" ca="1" si="26"/>
        <v>#NAME?</v>
      </c>
      <c r="G255" s="103" t="e">
        <f t="shared" ca="1" si="27"/>
        <v>#NAME?</v>
      </c>
      <c r="H255" s="104" t="e">
        <f ca="1">IF(C255="","",MROUND([0]!CSVVLookUP(ROW(行数!A247),配列!$C$4,集計記録,8,1),"0:01"))</f>
        <v>#NAME?</v>
      </c>
      <c r="I255" s="104" t="e">
        <f t="shared" ca="1" si="28"/>
        <v>#NAME?</v>
      </c>
      <c r="J255" s="119" t="e">
        <f ca="1">IF(C255="","",MROUND([0]!CSVVLookUP(ROW(行数!A247),配列!$C$4,集計記録,7,1),"0:01"))</f>
        <v>#NAME?</v>
      </c>
      <c r="K255" s="92" t="e">
        <f ca="1">IF(C255="","",[0]!CSVVLookUP(ROW(行数!A247),配列!$C$4,集計記録,5,1))</f>
        <v>#NAME?</v>
      </c>
      <c r="L255" s="104" t="e">
        <f t="shared" ca="1" si="29"/>
        <v>#NAME?</v>
      </c>
      <c r="M255" s="120" t="e">
        <f t="shared" ca="1" si="23"/>
        <v>#NAME?</v>
      </c>
      <c r="N255" s="120" t="e">
        <f ca="1">IF([0]!CSVVLookUP(ROW(行数!A247),配列!$C$4,集計記録,6,1)=0,"",[0]!CSVVLookUP(ROW(行数!A247),配列!$C$4,集計記録,6,1))</f>
        <v>#NAME?</v>
      </c>
      <c r="O255" s="88" t="e">
        <f ca="1">IF(INDIRECT("M"&amp;ROW()-1)&lt;&gt;INDIRECT("M"&amp;ROW()),リスト!$I$5,"")</f>
        <v>#NAME?</v>
      </c>
      <c r="P255" s="88" t="e">
        <f ca="1">IF(INDIRECT("M"&amp;ROW())&lt;&gt;INDIRECT("M"&amp;ROW()+1),リスト!$I$6,"")</f>
        <v>#NAME?</v>
      </c>
    </row>
    <row r="256" spans="1:16" x14ac:dyDescent="0.2">
      <c r="A256" s="169" t="e">
        <f ca="1">IF(C256="","",ROW(行数!A248))</f>
        <v>#NAME?</v>
      </c>
      <c r="B256" s="168" t="e">
        <f t="shared" ca="1" si="24"/>
        <v>#NAME?</v>
      </c>
      <c r="C256" s="90" t="e">
        <f ca="1">[0]!CSVVLookUP(ROW(行数!A248),配列!$C$4,集計記録,3,1)</f>
        <v>#NAME?</v>
      </c>
      <c r="D256" s="90" t="e">
        <f ca="1">[0]!CSVVLookUP(ROW(行数!B248),配列!$C$4,集計記録,4,1)</f>
        <v>#NAME?</v>
      </c>
      <c r="E256" s="118" t="e">
        <f t="shared" ca="1" si="25"/>
        <v>#NAME?</v>
      </c>
      <c r="F256" s="118" t="e">
        <f t="shared" ca="1" si="26"/>
        <v>#NAME?</v>
      </c>
      <c r="G256" s="103" t="e">
        <f t="shared" ca="1" si="27"/>
        <v>#NAME?</v>
      </c>
      <c r="H256" s="104" t="e">
        <f ca="1">IF(C256="","",MROUND([0]!CSVVLookUP(ROW(行数!A248),配列!$C$4,集計記録,8,1),"0:01"))</f>
        <v>#NAME?</v>
      </c>
      <c r="I256" s="104" t="e">
        <f t="shared" ca="1" si="28"/>
        <v>#NAME?</v>
      </c>
      <c r="J256" s="119" t="e">
        <f ca="1">IF(C256="","",MROUND([0]!CSVVLookUP(ROW(行数!A248),配列!$C$4,集計記録,7,1),"0:01"))</f>
        <v>#NAME?</v>
      </c>
      <c r="K256" s="92" t="e">
        <f ca="1">IF(C256="","",[0]!CSVVLookUP(ROW(行数!A248),配列!$C$4,集計記録,5,1))</f>
        <v>#NAME?</v>
      </c>
      <c r="L256" s="104" t="e">
        <f t="shared" ca="1" si="29"/>
        <v>#NAME?</v>
      </c>
      <c r="M256" s="120" t="e">
        <f t="shared" ca="1" si="23"/>
        <v>#NAME?</v>
      </c>
      <c r="N256" s="120" t="e">
        <f ca="1">IF([0]!CSVVLookUP(ROW(行数!A248),配列!$C$4,集計記録,6,1)=0,"",[0]!CSVVLookUP(ROW(行数!A248),配列!$C$4,集計記録,6,1))</f>
        <v>#NAME?</v>
      </c>
      <c r="O256" s="88" t="e">
        <f ca="1">IF(INDIRECT("M"&amp;ROW()-1)&lt;&gt;INDIRECT("M"&amp;ROW()),リスト!$I$5,"")</f>
        <v>#NAME?</v>
      </c>
      <c r="P256" s="88" t="e">
        <f ca="1">IF(INDIRECT("M"&amp;ROW())&lt;&gt;INDIRECT("M"&amp;ROW()+1),リスト!$I$6,"")</f>
        <v>#NAME?</v>
      </c>
    </row>
    <row r="257" spans="1:16" x14ac:dyDescent="0.2">
      <c r="A257" s="169" t="e">
        <f ca="1">IF(C257="","",ROW(行数!A249))</f>
        <v>#NAME?</v>
      </c>
      <c r="B257" s="168" t="e">
        <f t="shared" ca="1" si="24"/>
        <v>#NAME?</v>
      </c>
      <c r="C257" s="90" t="e">
        <f ca="1">[0]!CSVVLookUP(ROW(行数!A249),配列!$C$4,集計記録,3,1)</f>
        <v>#NAME?</v>
      </c>
      <c r="D257" s="90" t="e">
        <f ca="1">[0]!CSVVLookUP(ROW(行数!B249),配列!$C$4,集計記録,4,1)</f>
        <v>#NAME?</v>
      </c>
      <c r="E257" s="118" t="e">
        <f t="shared" ca="1" si="25"/>
        <v>#NAME?</v>
      </c>
      <c r="F257" s="118" t="e">
        <f t="shared" ca="1" si="26"/>
        <v>#NAME?</v>
      </c>
      <c r="G257" s="103" t="e">
        <f t="shared" ca="1" si="27"/>
        <v>#NAME?</v>
      </c>
      <c r="H257" s="104" t="e">
        <f ca="1">IF(C257="","",MROUND([0]!CSVVLookUP(ROW(行数!A249),配列!$C$4,集計記録,8,1),"0:01"))</f>
        <v>#NAME?</v>
      </c>
      <c r="I257" s="104" t="e">
        <f t="shared" ca="1" si="28"/>
        <v>#NAME?</v>
      </c>
      <c r="J257" s="119" t="e">
        <f ca="1">IF(C257="","",MROUND([0]!CSVVLookUP(ROW(行数!A249),配列!$C$4,集計記録,7,1),"0:01"))</f>
        <v>#NAME?</v>
      </c>
      <c r="K257" s="92" t="e">
        <f ca="1">IF(C257="","",[0]!CSVVLookUP(ROW(行数!A249),配列!$C$4,集計記録,5,1))</f>
        <v>#NAME?</v>
      </c>
      <c r="L257" s="104" t="e">
        <f t="shared" ca="1" si="29"/>
        <v>#NAME?</v>
      </c>
      <c r="M257" s="120" t="e">
        <f t="shared" ca="1" si="23"/>
        <v>#NAME?</v>
      </c>
      <c r="N257" s="120" t="e">
        <f ca="1">IF([0]!CSVVLookUP(ROW(行数!A249),配列!$C$4,集計記録,6,1)=0,"",[0]!CSVVLookUP(ROW(行数!A249),配列!$C$4,集計記録,6,1))</f>
        <v>#NAME?</v>
      </c>
      <c r="O257" s="88" t="e">
        <f ca="1">IF(INDIRECT("M"&amp;ROW()-1)&lt;&gt;INDIRECT("M"&amp;ROW()),リスト!$I$5,"")</f>
        <v>#NAME?</v>
      </c>
      <c r="P257" s="88" t="e">
        <f ca="1">IF(INDIRECT("M"&amp;ROW())&lt;&gt;INDIRECT("M"&amp;ROW()+1),リスト!$I$6,"")</f>
        <v>#NAME?</v>
      </c>
    </row>
    <row r="258" spans="1:16" x14ac:dyDescent="0.2">
      <c r="A258" s="169" t="e">
        <f ca="1">IF(C258="","",ROW(行数!A250))</f>
        <v>#NAME?</v>
      </c>
      <c r="B258" s="168" t="e">
        <f t="shared" ca="1" si="24"/>
        <v>#NAME?</v>
      </c>
      <c r="C258" s="90" t="e">
        <f ca="1">[0]!CSVVLookUP(ROW(行数!A250),配列!$C$4,集計記録,3,1)</f>
        <v>#NAME?</v>
      </c>
      <c r="D258" s="90" t="e">
        <f ca="1">[0]!CSVVLookUP(ROW(行数!B250),配列!$C$4,集計記録,4,1)</f>
        <v>#NAME?</v>
      </c>
      <c r="E258" s="118" t="e">
        <f t="shared" ca="1" si="25"/>
        <v>#NAME?</v>
      </c>
      <c r="F258" s="118" t="e">
        <f t="shared" ca="1" si="26"/>
        <v>#NAME?</v>
      </c>
      <c r="G258" s="103" t="e">
        <f t="shared" ca="1" si="27"/>
        <v>#NAME?</v>
      </c>
      <c r="H258" s="104" t="e">
        <f ca="1">IF(C258="","",MROUND([0]!CSVVLookUP(ROW(行数!A250),配列!$C$4,集計記録,8,1),"0:01"))</f>
        <v>#NAME?</v>
      </c>
      <c r="I258" s="104" t="e">
        <f t="shared" ca="1" si="28"/>
        <v>#NAME?</v>
      </c>
      <c r="J258" s="119" t="e">
        <f ca="1">IF(C258="","",MROUND([0]!CSVVLookUP(ROW(行数!A250),配列!$C$4,集計記録,7,1),"0:01"))</f>
        <v>#NAME?</v>
      </c>
      <c r="K258" s="92" t="e">
        <f ca="1">IF(C258="","",[0]!CSVVLookUP(ROW(行数!A250),配列!$C$4,集計記録,5,1))</f>
        <v>#NAME?</v>
      </c>
      <c r="L258" s="104" t="e">
        <f t="shared" ca="1" si="29"/>
        <v>#NAME?</v>
      </c>
      <c r="M258" s="120" t="e">
        <f t="shared" ca="1" si="23"/>
        <v>#NAME?</v>
      </c>
      <c r="N258" s="120" t="e">
        <f ca="1">IF([0]!CSVVLookUP(ROW(行数!A250),配列!$C$4,集計記録,6,1)=0,"",[0]!CSVVLookUP(ROW(行数!A250),配列!$C$4,集計記録,6,1))</f>
        <v>#NAME?</v>
      </c>
      <c r="O258" s="88" t="e">
        <f ca="1">IF(INDIRECT("M"&amp;ROW()-1)&lt;&gt;INDIRECT("M"&amp;ROW()),リスト!$I$5,"")</f>
        <v>#NAME?</v>
      </c>
      <c r="P258" s="88" t="e">
        <f ca="1">IF(INDIRECT("M"&amp;ROW())&lt;&gt;INDIRECT("M"&amp;ROW()+1),リスト!$I$6,"")</f>
        <v>#NAME?</v>
      </c>
    </row>
    <row r="259" spans="1:16" x14ac:dyDescent="0.2">
      <c r="A259" s="169" t="e">
        <f ca="1">IF(C259="","",ROW(行数!A251))</f>
        <v>#NAME?</v>
      </c>
      <c r="B259" s="168" t="e">
        <f t="shared" ca="1" si="24"/>
        <v>#NAME?</v>
      </c>
      <c r="C259" s="90" t="e">
        <f ca="1">[0]!CSVVLookUP(ROW(行数!A251),配列!$C$4,集計記録,3,1)</f>
        <v>#NAME?</v>
      </c>
      <c r="D259" s="90" t="e">
        <f ca="1">[0]!CSVVLookUP(ROW(行数!B251),配列!$C$4,集計記録,4,1)</f>
        <v>#NAME?</v>
      </c>
      <c r="E259" s="118" t="e">
        <f t="shared" ca="1" si="25"/>
        <v>#NAME?</v>
      </c>
      <c r="F259" s="118" t="e">
        <f t="shared" ca="1" si="26"/>
        <v>#NAME?</v>
      </c>
      <c r="G259" s="103" t="e">
        <f t="shared" ca="1" si="27"/>
        <v>#NAME?</v>
      </c>
      <c r="H259" s="104" t="e">
        <f ca="1">IF(C259="","",MROUND([0]!CSVVLookUP(ROW(行数!A251),配列!$C$4,集計記録,8,1),"0:01"))</f>
        <v>#NAME?</v>
      </c>
      <c r="I259" s="104" t="e">
        <f t="shared" ca="1" si="28"/>
        <v>#NAME?</v>
      </c>
      <c r="J259" s="119" t="e">
        <f ca="1">IF(C259="","",MROUND([0]!CSVVLookUP(ROW(行数!A251),配列!$C$4,集計記録,7,1),"0:01"))</f>
        <v>#NAME?</v>
      </c>
      <c r="K259" s="92" t="e">
        <f ca="1">IF(C259="","",[0]!CSVVLookUP(ROW(行数!A251),配列!$C$4,集計記録,5,1))</f>
        <v>#NAME?</v>
      </c>
      <c r="L259" s="104" t="e">
        <f t="shared" ca="1" si="29"/>
        <v>#NAME?</v>
      </c>
      <c r="M259" s="120" t="e">
        <f t="shared" ca="1" si="23"/>
        <v>#NAME?</v>
      </c>
      <c r="N259" s="120" t="e">
        <f ca="1">IF([0]!CSVVLookUP(ROW(行数!A251),配列!$C$4,集計記録,6,1)=0,"",[0]!CSVVLookUP(ROW(行数!A251),配列!$C$4,集計記録,6,1))</f>
        <v>#NAME?</v>
      </c>
      <c r="O259" s="88" t="e">
        <f ca="1">IF(INDIRECT("M"&amp;ROW()-1)&lt;&gt;INDIRECT("M"&amp;ROW()),リスト!$I$5,"")</f>
        <v>#NAME?</v>
      </c>
      <c r="P259" s="88" t="e">
        <f ca="1">IF(INDIRECT("M"&amp;ROW())&lt;&gt;INDIRECT("M"&amp;ROW()+1),リスト!$I$6,"")</f>
        <v>#NAME?</v>
      </c>
    </row>
    <row r="260" spans="1:16" x14ac:dyDescent="0.2">
      <c r="A260" s="169" t="e">
        <f ca="1">IF(C260="","",ROW(行数!A252))</f>
        <v>#NAME?</v>
      </c>
      <c r="B260" s="168" t="e">
        <f t="shared" ca="1" si="24"/>
        <v>#NAME?</v>
      </c>
      <c r="C260" s="90" t="e">
        <f ca="1">[0]!CSVVLookUP(ROW(行数!A252),配列!$C$4,集計記録,3,1)</f>
        <v>#NAME?</v>
      </c>
      <c r="D260" s="90" t="e">
        <f ca="1">[0]!CSVVLookUP(ROW(行数!B252),配列!$C$4,集計記録,4,1)</f>
        <v>#NAME?</v>
      </c>
      <c r="E260" s="118" t="e">
        <f t="shared" ca="1" si="25"/>
        <v>#NAME?</v>
      </c>
      <c r="F260" s="118" t="e">
        <f t="shared" ca="1" si="26"/>
        <v>#NAME?</v>
      </c>
      <c r="G260" s="103" t="e">
        <f t="shared" ca="1" si="27"/>
        <v>#NAME?</v>
      </c>
      <c r="H260" s="104" t="e">
        <f ca="1">IF(C260="","",MROUND([0]!CSVVLookUP(ROW(行数!A252),配列!$C$4,集計記録,8,1),"0:01"))</f>
        <v>#NAME?</v>
      </c>
      <c r="I260" s="104" t="e">
        <f t="shared" ca="1" si="28"/>
        <v>#NAME?</v>
      </c>
      <c r="J260" s="119" t="e">
        <f ca="1">IF(C260="","",MROUND([0]!CSVVLookUP(ROW(行数!A252),配列!$C$4,集計記録,7,1),"0:01"))</f>
        <v>#NAME?</v>
      </c>
      <c r="K260" s="92" t="e">
        <f ca="1">IF(C260="","",[0]!CSVVLookUP(ROW(行数!A252),配列!$C$4,集計記録,5,1))</f>
        <v>#NAME?</v>
      </c>
      <c r="L260" s="104" t="e">
        <f t="shared" ca="1" si="29"/>
        <v>#NAME?</v>
      </c>
      <c r="M260" s="120" t="e">
        <f t="shared" ca="1" si="23"/>
        <v>#NAME?</v>
      </c>
      <c r="N260" s="120" t="e">
        <f ca="1">IF([0]!CSVVLookUP(ROW(行数!A252),配列!$C$4,集計記録,6,1)=0,"",[0]!CSVVLookUP(ROW(行数!A252),配列!$C$4,集計記録,6,1))</f>
        <v>#NAME?</v>
      </c>
      <c r="O260" s="88" t="e">
        <f ca="1">IF(INDIRECT("M"&amp;ROW()-1)&lt;&gt;INDIRECT("M"&amp;ROW()),リスト!$I$5,"")</f>
        <v>#NAME?</v>
      </c>
      <c r="P260" s="88" t="e">
        <f ca="1">IF(INDIRECT("M"&amp;ROW())&lt;&gt;INDIRECT("M"&amp;ROW()+1),リスト!$I$6,"")</f>
        <v>#NAME?</v>
      </c>
    </row>
    <row r="261" spans="1:16" x14ac:dyDescent="0.2">
      <c r="A261" s="169" t="e">
        <f ca="1">IF(C261="","",ROW(行数!A253))</f>
        <v>#NAME?</v>
      </c>
      <c r="B261" s="168" t="e">
        <f t="shared" ca="1" si="24"/>
        <v>#NAME?</v>
      </c>
      <c r="C261" s="90" t="e">
        <f ca="1">[0]!CSVVLookUP(ROW(行数!A253),配列!$C$4,集計記録,3,1)</f>
        <v>#NAME?</v>
      </c>
      <c r="D261" s="90" t="e">
        <f ca="1">[0]!CSVVLookUP(ROW(行数!B253),配列!$C$4,集計記録,4,1)</f>
        <v>#NAME?</v>
      </c>
      <c r="E261" s="118" t="e">
        <f t="shared" ca="1" si="25"/>
        <v>#NAME?</v>
      </c>
      <c r="F261" s="118" t="e">
        <f t="shared" ca="1" si="26"/>
        <v>#NAME?</v>
      </c>
      <c r="G261" s="103" t="e">
        <f t="shared" ca="1" si="27"/>
        <v>#NAME?</v>
      </c>
      <c r="H261" s="104" t="e">
        <f ca="1">IF(C261="","",MROUND([0]!CSVVLookUP(ROW(行数!A253),配列!$C$4,集計記録,8,1),"0:01"))</f>
        <v>#NAME?</v>
      </c>
      <c r="I261" s="104" t="e">
        <f t="shared" ca="1" si="28"/>
        <v>#NAME?</v>
      </c>
      <c r="J261" s="119" t="e">
        <f ca="1">IF(C261="","",MROUND([0]!CSVVLookUP(ROW(行数!A253),配列!$C$4,集計記録,7,1),"0:01"))</f>
        <v>#NAME?</v>
      </c>
      <c r="K261" s="92" t="e">
        <f ca="1">IF(C261="","",[0]!CSVVLookUP(ROW(行数!A253),配列!$C$4,集計記録,5,1))</f>
        <v>#NAME?</v>
      </c>
      <c r="L261" s="104" t="e">
        <f t="shared" ca="1" si="29"/>
        <v>#NAME?</v>
      </c>
      <c r="M261" s="120" t="e">
        <f t="shared" ca="1" si="23"/>
        <v>#NAME?</v>
      </c>
      <c r="N261" s="120" t="e">
        <f ca="1">IF([0]!CSVVLookUP(ROW(行数!A253),配列!$C$4,集計記録,6,1)=0,"",[0]!CSVVLookUP(ROW(行数!A253),配列!$C$4,集計記録,6,1))</f>
        <v>#NAME?</v>
      </c>
      <c r="O261" s="88" t="e">
        <f ca="1">IF(INDIRECT("M"&amp;ROW()-1)&lt;&gt;INDIRECT("M"&amp;ROW()),リスト!$I$5,"")</f>
        <v>#NAME?</v>
      </c>
      <c r="P261" s="88" t="e">
        <f ca="1">IF(INDIRECT("M"&amp;ROW())&lt;&gt;INDIRECT("M"&amp;ROW()+1),リスト!$I$6,"")</f>
        <v>#NAME?</v>
      </c>
    </row>
    <row r="262" spans="1:16" x14ac:dyDescent="0.2">
      <c r="A262" s="169" t="e">
        <f ca="1">IF(C262="","",ROW(行数!A254))</f>
        <v>#NAME?</v>
      </c>
      <c r="B262" s="168" t="e">
        <f t="shared" ca="1" si="24"/>
        <v>#NAME?</v>
      </c>
      <c r="C262" s="90" t="e">
        <f ca="1">[0]!CSVVLookUP(ROW(行数!A254),配列!$C$4,集計記録,3,1)</f>
        <v>#NAME?</v>
      </c>
      <c r="D262" s="90" t="e">
        <f ca="1">[0]!CSVVLookUP(ROW(行数!B254),配列!$C$4,集計記録,4,1)</f>
        <v>#NAME?</v>
      </c>
      <c r="E262" s="118" t="e">
        <f t="shared" ca="1" si="25"/>
        <v>#NAME?</v>
      </c>
      <c r="F262" s="118" t="e">
        <f t="shared" ca="1" si="26"/>
        <v>#NAME?</v>
      </c>
      <c r="G262" s="103" t="e">
        <f t="shared" ca="1" si="27"/>
        <v>#NAME?</v>
      </c>
      <c r="H262" s="104" t="e">
        <f ca="1">IF(C262="","",MROUND([0]!CSVVLookUP(ROW(行数!A254),配列!$C$4,集計記録,8,1),"0:01"))</f>
        <v>#NAME?</v>
      </c>
      <c r="I262" s="104" t="e">
        <f t="shared" ca="1" si="28"/>
        <v>#NAME?</v>
      </c>
      <c r="J262" s="119" t="e">
        <f ca="1">IF(C262="","",MROUND([0]!CSVVLookUP(ROW(行数!A254),配列!$C$4,集計記録,7,1),"0:01"))</f>
        <v>#NAME?</v>
      </c>
      <c r="K262" s="92" t="e">
        <f ca="1">IF(C262="","",[0]!CSVVLookUP(ROW(行数!A254),配列!$C$4,集計記録,5,1))</f>
        <v>#NAME?</v>
      </c>
      <c r="L262" s="104" t="e">
        <f t="shared" ca="1" si="29"/>
        <v>#NAME?</v>
      </c>
      <c r="M262" s="120" t="e">
        <f t="shared" ca="1" si="23"/>
        <v>#NAME?</v>
      </c>
      <c r="N262" s="120" t="e">
        <f ca="1">IF([0]!CSVVLookUP(ROW(行数!A254),配列!$C$4,集計記録,6,1)=0,"",[0]!CSVVLookUP(ROW(行数!A254),配列!$C$4,集計記録,6,1))</f>
        <v>#NAME?</v>
      </c>
      <c r="O262" s="88" t="e">
        <f ca="1">IF(INDIRECT("M"&amp;ROW()-1)&lt;&gt;INDIRECT("M"&amp;ROW()),リスト!$I$5,"")</f>
        <v>#NAME?</v>
      </c>
      <c r="P262" s="88" t="e">
        <f ca="1">IF(INDIRECT("M"&amp;ROW())&lt;&gt;INDIRECT("M"&amp;ROW()+1),リスト!$I$6,"")</f>
        <v>#NAME?</v>
      </c>
    </row>
    <row r="263" spans="1:16" x14ac:dyDescent="0.2">
      <c r="A263" s="169" t="e">
        <f ca="1">IF(C263="","",ROW(行数!A255))</f>
        <v>#NAME?</v>
      </c>
      <c r="B263" s="168" t="e">
        <f t="shared" ca="1" si="24"/>
        <v>#NAME?</v>
      </c>
      <c r="C263" s="90" t="e">
        <f ca="1">[0]!CSVVLookUP(ROW(行数!A255),配列!$C$4,集計記録,3,1)</f>
        <v>#NAME?</v>
      </c>
      <c r="D263" s="90" t="e">
        <f ca="1">[0]!CSVVLookUP(ROW(行数!B255),配列!$C$4,集計記録,4,1)</f>
        <v>#NAME?</v>
      </c>
      <c r="E263" s="118" t="e">
        <f t="shared" ca="1" si="25"/>
        <v>#NAME?</v>
      </c>
      <c r="F263" s="118" t="e">
        <f t="shared" ca="1" si="26"/>
        <v>#NAME?</v>
      </c>
      <c r="G263" s="103" t="e">
        <f t="shared" ca="1" si="27"/>
        <v>#NAME?</v>
      </c>
      <c r="H263" s="104" t="e">
        <f ca="1">IF(C263="","",MROUND([0]!CSVVLookUP(ROW(行数!A255),配列!$C$4,集計記録,8,1),"0:01"))</f>
        <v>#NAME?</v>
      </c>
      <c r="I263" s="104" t="e">
        <f t="shared" ca="1" si="28"/>
        <v>#NAME?</v>
      </c>
      <c r="J263" s="119" t="e">
        <f ca="1">IF(C263="","",MROUND([0]!CSVVLookUP(ROW(行数!A255),配列!$C$4,集計記録,7,1),"0:01"))</f>
        <v>#NAME?</v>
      </c>
      <c r="K263" s="92" t="e">
        <f ca="1">IF(C263="","",[0]!CSVVLookUP(ROW(行数!A255),配列!$C$4,集計記録,5,1))</f>
        <v>#NAME?</v>
      </c>
      <c r="L263" s="104" t="e">
        <f t="shared" ca="1" si="29"/>
        <v>#NAME?</v>
      </c>
      <c r="M263" s="120" t="e">
        <f t="shared" ca="1" si="23"/>
        <v>#NAME?</v>
      </c>
      <c r="N263" s="120" t="e">
        <f ca="1">IF([0]!CSVVLookUP(ROW(行数!A255),配列!$C$4,集計記録,6,1)=0,"",[0]!CSVVLookUP(ROW(行数!A255),配列!$C$4,集計記録,6,1))</f>
        <v>#NAME?</v>
      </c>
      <c r="O263" s="88" t="e">
        <f ca="1">IF(INDIRECT("M"&amp;ROW()-1)&lt;&gt;INDIRECT("M"&amp;ROW()),リスト!$I$5,"")</f>
        <v>#NAME?</v>
      </c>
      <c r="P263" s="88" t="e">
        <f ca="1">IF(INDIRECT("M"&amp;ROW())&lt;&gt;INDIRECT("M"&amp;ROW()+1),リスト!$I$6,"")</f>
        <v>#NAME?</v>
      </c>
    </row>
    <row r="264" spans="1:16" x14ac:dyDescent="0.2">
      <c r="A264" s="169" t="e">
        <f ca="1">IF(C264="","",ROW(行数!A256))</f>
        <v>#NAME?</v>
      </c>
      <c r="B264" s="168" t="e">
        <f t="shared" ca="1" si="24"/>
        <v>#NAME?</v>
      </c>
      <c r="C264" s="90" t="e">
        <f ca="1">[0]!CSVVLookUP(ROW(行数!A256),配列!$C$4,集計記録,3,1)</f>
        <v>#NAME?</v>
      </c>
      <c r="D264" s="90" t="e">
        <f ca="1">[0]!CSVVLookUP(ROW(行数!B256),配列!$C$4,集計記録,4,1)</f>
        <v>#NAME?</v>
      </c>
      <c r="E264" s="118" t="e">
        <f t="shared" ca="1" si="25"/>
        <v>#NAME?</v>
      </c>
      <c r="F264" s="118" t="e">
        <f t="shared" ca="1" si="26"/>
        <v>#NAME?</v>
      </c>
      <c r="G264" s="103" t="e">
        <f t="shared" ca="1" si="27"/>
        <v>#NAME?</v>
      </c>
      <c r="H264" s="104" t="e">
        <f ca="1">IF(C264="","",MROUND([0]!CSVVLookUP(ROW(行数!A256),配列!$C$4,集計記録,8,1),"0:01"))</f>
        <v>#NAME?</v>
      </c>
      <c r="I264" s="104" t="e">
        <f t="shared" ca="1" si="28"/>
        <v>#NAME?</v>
      </c>
      <c r="J264" s="119" t="e">
        <f ca="1">IF(C264="","",MROUND([0]!CSVVLookUP(ROW(行数!A256),配列!$C$4,集計記録,7,1),"0:01"))</f>
        <v>#NAME?</v>
      </c>
      <c r="K264" s="92" t="e">
        <f ca="1">IF(C264="","",[0]!CSVVLookUP(ROW(行数!A256),配列!$C$4,集計記録,5,1))</f>
        <v>#NAME?</v>
      </c>
      <c r="L264" s="104" t="e">
        <f t="shared" ca="1" si="29"/>
        <v>#NAME?</v>
      </c>
      <c r="M264" s="120" t="e">
        <f t="shared" ca="1" si="23"/>
        <v>#NAME?</v>
      </c>
      <c r="N264" s="120" t="e">
        <f ca="1">IF([0]!CSVVLookUP(ROW(行数!A256),配列!$C$4,集計記録,6,1)=0,"",[0]!CSVVLookUP(ROW(行数!A256),配列!$C$4,集計記録,6,1))</f>
        <v>#NAME?</v>
      </c>
      <c r="O264" s="88" t="e">
        <f ca="1">IF(INDIRECT("M"&amp;ROW()-1)&lt;&gt;INDIRECT("M"&amp;ROW()),リスト!$I$5,"")</f>
        <v>#NAME?</v>
      </c>
      <c r="P264" s="88" t="e">
        <f ca="1">IF(INDIRECT("M"&amp;ROW())&lt;&gt;INDIRECT("M"&amp;ROW()+1),リスト!$I$6,"")</f>
        <v>#NAME?</v>
      </c>
    </row>
    <row r="265" spans="1:16" x14ac:dyDescent="0.2">
      <c r="A265" s="169" t="e">
        <f ca="1">IF(C265="","",ROW(行数!A257))</f>
        <v>#NAME?</v>
      </c>
      <c r="B265" s="168" t="e">
        <f t="shared" ca="1" si="24"/>
        <v>#NAME?</v>
      </c>
      <c r="C265" s="90" t="e">
        <f ca="1">[0]!CSVVLookUP(ROW(行数!A257),配列!$C$4,集計記録,3,1)</f>
        <v>#NAME?</v>
      </c>
      <c r="D265" s="90" t="e">
        <f ca="1">[0]!CSVVLookUP(ROW(行数!B257),配列!$C$4,集計記録,4,1)</f>
        <v>#NAME?</v>
      </c>
      <c r="E265" s="118" t="e">
        <f t="shared" ca="1" si="25"/>
        <v>#NAME?</v>
      </c>
      <c r="F265" s="118" t="e">
        <f t="shared" ca="1" si="26"/>
        <v>#NAME?</v>
      </c>
      <c r="G265" s="103" t="e">
        <f t="shared" ca="1" si="27"/>
        <v>#NAME?</v>
      </c>
      <c r="H265" s="104" t="e">
        <f ca="1">IF(C265="","",MROUND([0]!CSVVLookUP(ROW(行数!A257),配列!$C$4,集計記録,8,1),"0:01"))</f>
        <v>#NAME?</v>
      </c>
      <c r="I265" s="104" t="e">
        <f t="shared" ca="1" si="28"/>
        <v>#NAME?</v>
      </c>
      <c r="J265" s="119" t="e">
        <f ca="1">IF(C265="","",MROUND([0]!CSVVLookUP(ROW(行数!A257),配列!$C$4,集計記録,7,1),"0:01"))</f>
        <v>#NAME?</v>
      </c>
      <c r="K265" s="92" t="e">
        <f ca="1">IF(C265="","",[0]!CSVVLookUP(ROW(行数!A257),配列!$C$4,集計記録,5,1))</f>
        <v>#NAME?</v>
      </c>
      <c r="L265" s="104" t="e">
        <f t="shared" ca="1" si="29"/>
        <v>#NAME?</v>
      </c>
      <c r="M265" s="120" t="e">
        <f t="shared" ref="M265:M328" ca="1" si="30">IF(C265="","",VLOOKUP(C265,運転条件判定,13,1))</f>
        <v>#NAME?</v>
      </c>
      <c r="N265" s="120" t="e">
        <f ca="1">IF([0]!CSVVLookUP(ROW(行数!A257),配列!$C$4,集計記録,6,1)=0,"",[0]!CSVVLookUP(ROW(行数!A257),配列!$C$4,集計記録,6,1))</f>
        <v>#NAME?</v>
      </c>
      <c r="O265" s="88" t="e">
        <f ca="1">IF(INDIRECT("M"&amp;ROW()-1)&lt;&gt;INDIRECT("M"&amp;ROW()),リスト!$I$5,"")</f>
        <v>#NAME?</v>
      </c>
      <c r="P265" s="88" t="e">
        <f ca="1">IF(INDIRECT("M"&amp;ROW())&lt;&gt;INDIRECT("M"&amp;ROW()+1),リスト!$I$6,"")</f>
        <v>#NAME?</v>
      </c>
    </row>
    <row r="266" spans="1:16" x14ac:dyDescent="0.2">
      <c r="A266" s="169" t="e">
        <f ca="1">IF(C266="","",ROW(行数!A258))</f>
        <v>#NAME?</v>
      </c>
      <c r="B266" s="168" t="e">
        <f t="shared" ref="B266:B329" ca="1" si="31">IF(C266="","",VLOOKUP(C266,ユニット判定用,3))</f>
        <v>#NAME?</v>
      </c>
      <c r="C266" s="90" t="e">
        <f ca="1">[0]!CSVVLookUP(ROW(行数!A258),配列!$C$4,集計記録,3,1)</f>
        <v>#NAME?</v>
      </c>
      <c r="D266" s="90" t="e">
        <f ca="1">[0]!CSVVLookUP(ROW(行数!B258),配列!$C$4,集計記録,4,1)</f>
        <v>#NAME?</v>
      </c>
      <c r="E266" s="118" t="e">
        <f t="shared" ref="E266:E329" ca="1" si="32">IF(C266="","",D266-C266)</f>
        <v>#NAME?</v>
      </c>
      <c r="F266" s="118" t="e">
        <f t="shared" ref="F266:F329" ca="1" si="33">IF(C266="","",E266-H266-I266)</f>
        <v>#NAME?</v>
      </c>
      <c r="G266" s="103" t="e">
        <f t="shared" ref="G266:G329" ca="1" si="34">IF(C266="","",F266/E266)</f>
        <v>#NAME?</v>
      </c>
      <c r="H266" s="104" t="e">
        <f ca="1">IF(C266="","",MROUND([0]!CSVVLookUP(ROW(行数!A258),配列!$C$4,集計記録,8,1),"0:01"))</f>
        <v>#NAME?</v>
      </c>
      <c r="I266" s="104" t="e">
        <f t="shared" ref="I266:I329" ca="1" si="35">IF(C266="","",MROUND(J266-H266,"0:01"))</f>
        <v>#NAME?</v>
      </c>
      <c r="J266" s="119" t="e">
        <f ca="1">IF(C266="","",MROUND([0]!CSVVLookUP(ROW(行数!A258),配列!$C$4,集計記録,7,1),"0:01"))</f>
        <v>#NAME?</v>
      </c>
      <c r="K266" s="92" t="e">
        <f ca="1">IF(C266="","",[0]!CSVVLookUP(ROW(行数!A258),配列!$C$4,集計記録,5,1))</f>
        <v>#NAME?</v>
      </c>
      <c r="L266" s="104" t="e">
        <f t="shared" ref="L266:L329" ca="1" si="36">IF(C266="","",MROUND(E266/(K266+1),"00:01"))</f>
        <v>#NAME?</v>
      </c>
      <c r="M266" s="120" t="e">
        <f t="shared" ca="1" si="30"/>
        <v>#NAME?</v>
      </c>
      <c r="N266" s="120" t="e">
        <f ca="1">IF([0]!CSVVLookUP(ROW(行数!A258),配列!$C$4,集計記録,6,1)=0,"",[0]!CSVVLookUP(ROW(行数!A258),配列!$C$4,集計記録,6,1))</f>
        <v>#NAME?</v>
      </c>
      <c r="O266" s="88" t="e">
        <f ca="1">IF(INDIRECT("M"&amp;ROW()-1)&lt;&gt;INDIRECT("M"&amp;ROW()),リスト!$I$5,"")</f>
        <v>#NAME?</v>
      </c>
      <c r="P266" s="88" t="e">
        <f ca="1">IF(INDIRECT("M"&amp;ROW())&lt;&gt;INDIRECT("M"&amp;ROW()+1),リスト!$I$6,"")</f>
        <v>#NAME?</v>
      </c>
    </row>
    <row r="267" spans="1:16" x14ac:dyDescent="0.2">
      <c r="A267" s="169" t="e">
        <f ca="1">IF(C267="","",ROW(行数!A259))</f>
        <v>#NAME?</v>
      </c>
      <c r="B267" s="168" t="e">
        <f t="shared" ca="1" si="31"/>
        <v>#NAME?</v>
      </c>
      <c r="C267" s="90" t="e">
        <f ca="1">[0]!CSVVLookUP(ROW(行数!A259),配列!$C$4,集計記録,3,1)</f>
        <v>#NAME?</v>
      </c>
      <c r="D267" s="90" t="e">
        <f ca="1">[0]!CSVVLookUP(ROW(行数!B259),配列!$C$4,集計記録,4,1)</f>
        <v>#NAME?</v>
      </c>
      <c r="E267" s="118" t="e">
        <f t="shared" ca="1" si="32"/>
        <v>#NAME?</v>
      </c>
      <c r="F267" s="118" t="e">
        <f t="shared" ca="1" si="33"/>
        <v>#NAME?</v>
      </c>
      <c r="G267" s="103" t="e">
        <f t="shared" ca="1" si="34"/>
        <v>#NAME?</v>
      </c>
      <c r="H267" s="104" t="e">
        <f ca="1">IF(C267="","",MROUND([0]!CSVVLookUP(ROW(行数!A259),配列!$C$4,集計記録,8,1),"0:01"))</f>
        <v>#NAME?</v>
      </c>
      <c r="I267" s="104" t="e">
        <f t="shared" ca="1" si="35"/>
        <v>#NAME?</v>
      </c>
      <c r="J267" s="119" t="e">
        <f ca="1">IF(C267="","",MROUND([0]!CSVVLookUP(ROW(行数!A259),配列!$C$4,集計記録,7,1),"0:01"))</f>
        <v>#NAME?</v>
      </c>
      <c r="K267" s="92" t="e">
        <f ca="1">IF(C267="","",[0]!CSVVLookUP(ROW(行数!A259),配列!$C$4,集計記録,5,1))</f>
        <v>#NAME?</v>
      </c>
      <c r="L267" s="104" t="e">
        <f t="shared" ca="1" si="36"/>
        <v>#NAME?</v>
      </c>
      <c r="M267" s="120" t="e">
        <f t="shared" ca="1" si="30"/>
        <v>#NAME?</v>
      </c>
      <c r="N267" s="120" t="e">
        <f ca="1">IF([0]!CSVVLookUP(ROW(行数!A259),配列!$C$4,集計記録,6,1)=0,"",[0]!CSVVLookUP(ROW(行数!A259),配列!$C$4,集計記録,6,1))</f>
        <v>#NAME?</v>
      </c>
      <c r="O267" s="88" t="e">
        <f ca="1">IF(INDIRECT("M"&amp;ROW()-1)&lt;&gt;INDIRECT("M"&amp;ROW()),リスト!$I$5,"")</f>
        <v>#NAME?</v>
      </c>
      <c r="P267" s="88" t="e">
        <f ca="1">IF(INDIRECT("M"&amp;ROW())&lt;&gt;INDIRECT("M"&amp;ROW()+1),リスト!$I$6,"")</f>
        <v>#NAME?</v>
      </c>
    </row>
    <row r="268" spans="1:16" x14ac:dyDescent="0.2">
      <c r="A268" s="169" t="e">
        <f ca="1">IF(C268="","",ROW(行数!A260))</f>
        <v>#NAME?</v>
      </c>
      <c r="B268" s="168" t="e">
        <f t="shared" ca="1" si="31"/>
        <v>#NAME?</v>
      </c>
      <c r="C268" s="90" t="e">
        <f ca="1">[0]!CSVVLookUP(ROW(行数!A260),配列!$C$4,集計記録,3,1)</f>
        <v>#NAME?</v>
      </c>
      <c r="D268" s="90" t="e">
        <f ca="1">[0]!CSVVLookUP(ROW(行数!B260),配列!$C$4,集計記録,4,1)</f>
        <v>#NAME?</v>
      </c>
      <c r="E268" s="118" t="e">
        <f t="shared" ca="1" si="32"/>
        <v>#NAME?</v>
      </c>
      <c r="F268" s="118" t="e">
        <f t="shared" ca="1" si="33"/>
        <v>#NAME?</v>
      </c>
      <c r="G268" s="103" t="e">
        <f t="shared" ca="1" si="34"/>
        <v>#NAME?</v>
      </c>
      <c r="H268" s="104" t="e">
        <f ca="1">IF(C268="","",MROUND([0]!CSVVLookUP(ROW(行数!A260),配列!$C$4,集計記録,8,1),"0:01"))</f>
        <v>#NAME?</v>
      </c>
      <c r="I268" s="104" t="e">
        <f t="shared" ca="1" si="35"/>
        <v>#NAME?</v>
      </c>
      <c r="J268" s="119" t="e">
        <f ca="1">IF(C268="","",MROUND([0]!CSVVLookUP(ROW(行数!A260),配列!$C$4,集計記録,7,1),"0:01"))</f>
        <v>#NAME?</v>
      </c>
      <c r="K268" s="92" t="e">
        <f ca="1">IF(C268="","",[0]!CSVVLookUP(ROW(行数!A260),配列!$C$4,集計記録,5,1))</f>
        <v>#NAME?</v>
      </c>
      <c r="L268" s="104" t="e">
        <f t="shared" ca="1" si="36"/>
        <v>#NAME?</v>
      </c>
      <c r="M268" s="120" t="e">
        <f t="shared" ca="1" si="30"/>
        <v>#NAME?</v>
      </c>
      <c r="N268" s="120" t="e">
        <f ca="1">IF([0]!CSVVLookUP(ROW(行数!A260),配列!$C$4,集計記録,6,1)=0,"",[0]!CSVVLookUP(ROW(行数!A260),配列!$C$4,集計記録,6,1))</f>
        <v>#NAME?</v>
      </c>
      <c r="O268" s="88" t="e">
        <f ca="1">IF(INDIRECT("M"&amp;ROW()-1)&lt;&gt;INDIRECT("M"&amp;ROW()),リスト!$I$5,"")</f>
        <v>#NAME?</v>
      </c>
      <c r="P268" s="88" t="e">
        <f ca="1">IF(INDIRECT("M"&amp;ROW())&lt;&gt;INDIRECT("M"&amp;ROW()+1),リスト!$I$6,"")</f>
        <v>#NAME?</v>
      </c>
    </row>
    <row r="269" spans="1:16" x14ac:dyDescent="0.2">
      <c r="A269" s="169" t="e">
        <f ca="1">IF(C269="","",ROW(行数!A261))</f>
        <v>#NAME?</v>
      </c>
      <c r="B269" s="168" t="e">
        <f t="shared" ca="1" si="31"/>
        <v>#NAME?</v>
      </c>
      <c r="C269" s="90" t="e">
        <f ca="1">[0]!CSVVLookUP(ROW(行数!A261),配列!$C$4,集計記録,3,1)</f>
        <v>#NAME?</v>
      </c>
      <c r="D269" s="90" t="e">
        <f ca="1">[0]!CSVVLookUP(ROW(行数!B261),配列!$C$4,集計記録,4,1)</f>
        <v>#NAME?</v>
      </c>
      <c r="E269" s="118" t="e">
        <f t="shared" ca="1" si="32"/>
        <v>#NAME?</v>
      </c>
      <c r="F269" s="118" t="e">
        <f t="shared" ca="1" si="33"/>
        <v>#NAME?</v>
      </c>
      <c r="G269" s="103" t="e">
        <f t="shared" ca="1" si="34"/>
        <v>#NAME?</v>
      </c>
      <c r="H269" s="104" t="e">
        <f ca="1">IF(C269="","",MROUND([0]!CSVVLookUP(ROW(行数!A261),配列!$C$4,集計記録,8,1),"0:01"))</f>
        <v>#NAME?</v>
      </c>
      <c r="I269" s="104" t="e">
        <f t="shared" ca="1" si="35"/>
        <v>#NAME?</v>
      </c>
      <c r="J269" s="119" t="e">
        <f ca="1">IF(C269="","",MROUND([0]!CSVVLookUP(ROW(行数!A261),配列!$C$4,集計記録,7,1),"0:01"))</f>
        <v>#NAME?</v>
      </c>
      <c r="K269" s="92" t="e">
        <f ca="1">IF(C269="","",[0]!CSVVLookUP(ROW(行数!A261),配列!$C$4,集計記録,5,1))</f>
        <v>#NAME?</v>
      </c>
      <c r="L269" s="104" t="e">
        <f t="shared" ca="1" si="36"/>
        <v>#NAME?</v>
      </c>
      <c r="M269" s="120" t="e">
        <f t="shared" ca="1" si="30"/>
        <v>#NAME?</v>
      </c>
      <c r="N269" s="120" t="e">
        <f ca="1">IF([0]!CSVVLookUP(ROW(行数!A261),配列!$C$4,集計記録,6,1)=0,"",[0]!CSVVLookUP(ROW(行数!A261),配列!$C$4,集計記録,6,1))</f>
        <v>#NAME?</v>
      </c>
      <c r="O269" s="88" t="e">
        <f ca="1">IF(INDIRECT("M"&amp;ROW()-1)&lt;&gt;INDIRECT("M"&amp;ROW()),リスト!$I$5,"")</f>
        <v>#NAME?</v>
      </c>
      <c r="P269" s="88" t="e">
        <f ca="1">IF(INDIRECT("M"&amp;ROW())&lt;&gt;INDIRECT("M"&amp;ROW()+1),リスト!$I$6,"")</f>
        <v>#NAME?</v>
      </c>
    </row>
    <row r="270" spans="1:16" x14ac:dyDescent="0.2">
      <c r="A270" s="169" t="e">
        <f ca="1">IF(C270="","",ROW(行数!A262))</f>
        <v>#NAME?</v>
      </c>
      <c r="B270" s="168" t="e">
        <f t="shared" ca="1" si="31"/>
        <v>#NAME?</v>
      </c>
      <c r="C270" s="90" t="e">
        <f ca="1">[0]!CSVVLookUP(ROW(行数!A262),配列!$C$4,集計記録,3,1)</f>
        <v>#NAME?</v>
      </c>
      <c r="D270" s="90" t="e">
        <f ca="1">[0]!CSVVLookUP(ROW(行数!B262),配列!$C$4,集計記録,4,1)</f>
        <v>#NAME?</v>
      </c>
      <c r="E270" s="118" t="e">
        <f t="shared" ca="1" si="32"/>
        <v>#NAME?</v>
      </c>
      <c r="F270" s="118" t="e">
        <f t="shared" ca="1" si="33"/>
        <v>#NAME?</v>
      </c>
      <c r="G270" s="103" t="e">
        <f t="shared" ca="1" si="34"/>
        <v>#NAME?</v>
      </c>
      <c r="H270" s="104" t="e">
        <f ca="1">IF(C270="","",MROUND([0]!CSVVLookUP(ROW(行数!A262),配列!$C$4,集計記録,8,1),"0:01"))</f>
        <v>#NAME?</v>
      </c>
      <c r="I270" s="104" t="e">
        <f t="shared" ca="1" si="35"/>
        <v>#NAME?</v>
      </c>
      <c r="J270" s="119" t="e">
        <f ca="1">IF(C270="","",MROUND([0]!CSVVLookUP(ROW(行数!A262),配列!$C$4,集計記録,7,1),"0:01"))</f>
        <v>#NAME?</v>
      </c>
      <c r="K270" s="92" t="e">
        <f ca="1">IF(C270="","",[0]!CSVVLookUP(ROW(行数!A262),配列!$C$4,集計記録,5,1))</f>
        <v>#NAME?</v>
      </c>
      <c r="L270" s="104" t="e">
        <f t="shared" ca="1" si="36"/>
        <v>#NAME?</v>
      </c>
      <c r="M270" s="120" t="e">
        <f t="shared" ca="1" si="30"/>
        <v>#NAME?</v>
      </c>
      <c r="N270" s="120" t="e">
        <f ca="1">IF([0]!CSVVLookUP(ROW(行数!A262),配列!$C$4,集計記録,6,1)=0,"",[0]!CSVVLookUP(ROW(行数!A262),配列!$C$4,集計記録,6,1))</f>
        <v>#NAME?</v>
      </c>
      <c r="O270" s="88" t="e">
        <f ca="1">IF(INDIRECT("M"&amp;ROW()-1)&lt;&gt;INDIRECT("M"&amp;ROW()),リスト!$I$5,"")</f>
        <v>#NAME?</v>
      </c>
      <c r="P270" s="88" t="e">
        <f ca="1">IF(INDIRECT("M"&amp;ROW())&lt;&gt;INDIRECT("M"&amp;ROW()+1),リスト!$I$6,"")</f>
        <v>#NAME?</v>
      </c>
    </row>
    <row r="271" spans="1:16" x14ac:dyDescent="0.2">
      <c r="A271" s="169" t="e">
        <f ca="1">IF(C271="","",ROW(行数!A263))</f>
        <v>#NAME?</v>
      </c>
      <c r="B271" s="168" t="e">
        <f t="shared" ca="1" si="31"/>
        <v>#NAME?</v>
      </c>
      <c r="C271" s="90" t="e">
        <f ca="1">[0]!CSVVLookUP(ROW(行数!A263),配列!$C$4,集計記録,3,1)</f>
        <v>#NAME?</v>
      </c>
      <c r="D271" s="90" t="e">
        <f ca="1">[0]!CSVVLookUP(ROW(行数!B263),配列!$C$4,集計記録,4,1)</f>
        <v>#NAME?</v>
      </c>
      <c r="E271" s="118" t="e">
        <f t="shared" ca="1" si="32"/>
        <v>#NAME?</v>
      </c>
      <c r="F271" s="118" t="e">
        <f t="shared" ca="1" si="33"/>
        <v>#NAME?</v>
      </c>
      <c r="G271" s="103" t="e">
        <f t="shared" ca="1" si="34"/>
        <v>#NAME?</v>
      </c>
      <c r="H271" s="104" t="e">
        <f ca="1">IF(C271="","",MROUND([0]!CSVVLookUP(ROW(行数!A263),配列!$C$4,集計記録,8,1),"0:01"))</f>
        <v>#NAME?</v>
      </c>
      <c r="I271" s="104" t="e">
        <f t="shared" ca="1" si="35"/>
        <v>#NAME?</v>
      </c>
      <c r="J271" s="119" t="e">
        <f ca="1">IF(C271="","",MROUND([0]!CSVVLookUP(ROW(行数!A263),配列!$C$4,集計記録,7,1),"0:01"))</f>
        <v>#NAME?</v>
      </c>
      <c r="K271" s="92" t="e">
        <f ca="1">IF(C271="","",[0]!CSVVLookUP(ROW(行数!A263),配列!$C$4,集計記録,5,1))</f>
        <v>#NAME?</v>
      </c>
      <c r="L271" s="104" t="e">
        <f t="shared" ca="1" si="36"/>
        <v>#NAME?</v>
      </c>
      <c r="M271" s="120" t="e">
        <f t="shared" ca="1" si="30"/>
        <v>#NAME?</v>
      </c>
      <c r="N271" s="120" t="e">
        <f ca="1">IF([0]!CSVVLookUP(ROW(行数!A263),配列!$C$4,集計記録,6,1)=0,"",[0]!CSVVLookUP(ROW(行数!A263),配列!$C$4,集計記録,6,1))</f>
        <v>#NAME?</v>
      </c>
      <c r="O271" s="88" t="e">
        <f ca="1">IF(INDIRECT("M"&amp;ROW()-1)&lt;&gt;INDIRECT("M"&amp;ROW()),リスト!$I$5,"")</f>
        <v>#NAME?</v>
      </c>
      <c r="P271" s="88" t="e">
        <f ca="1">IF(INDIRECT("M"&amp;ROW())&lt;&gt;INDIRECT("M"&amp;ROW()+1),リスト!$I$6,"")</f>
        <v>#NAME?</v>
      </c>
    </row>
    <row r="272" spans="1:16" x14ac:dyDescent="0.2">
      <c r="A272" s="169" t="e">
        <f ca="1">IF(C272="","",ROW(行数!A264))</f>
        <v>#NAME?</v>
      </c>
      <c r="B272" s="168" t="e">
        <f t="shared" ca="1" si="31"/>
        <v>#NAME?</v>
      </c>
      <c r="C272" s="90" t="e">
        <f ca="1">[0]!CSVVLookUP(ROW(行数!A264),配列!$C$4,集計記録,3,1)</f>
        <v>#NAME?</v>
      </c>
      <c r="D272" s="90" t="e">
        <f ca="1">[0]!CSVVLookUP(ROW(行数!B264),配列!$C$4,集計記録,4,1)</f>
        <v>#NAME?</v>
      </c>
      <c r="E272" s="118" t="e">
        <f t="shared" ca="1" si="32"/>
        <v>#NAME?</v>
      </c>
      <c r="F272" s="118" t="e">
        <f t="shared" ca="1" si="33"/>
        <v>#NAME?</v>
      </c>
      <c r="G272" s="103" t="e">
        <f t="shared" ca="1" si="34"/>
        <v>#NAME?</v>
      </c>
      <c r="H272" s="104" t="e">
        <f ca="1">IF(C272="","",MROUND([0]!CSVVLookUP(ROW(行数!A264),配列!$C$4,集計記録,8,1),"0:01"))</f>
        <v>#NAME?</v>
      </c>
      <c r="I272" s="104" t="e">
        <f t="shared" ca="1" si="35"/>
        <v>#NAME?</v>
      </c>
      <c r="J272" s="119" t="e">
        <f ca="1">IF(C272="","",MROUND([0]!CSVVLookUP(ROW(行数!A264),配列!$C$4,集計記録,7,1),"0:01"))</f>
        <v>#NAME?</v>
      </c>
      <c r="K272" s="92" t="e">
        <f ca="1">IF(C272="","",[0]!CSVVLookUP(ROW(行数!A264),配列!$C$4,集計記録,5,1))</f>
        <v>#NAME?</v>
      </c>
      <c r="L272" s="104" t="e">
        <f t="shared" ca="1" si="36"/>
        <v>#NAME?</v>
      </c>
      <c r="M272" s="120" t="e">
        <f t="shared" ca="1" si="30"/>
        <v>#NAME?</v>
      </c>
      <c r="N272" s="120" t="e">
        <f ca="1">IF([0]!CSVVLookUP(ROW(行数!A264),配列!$C$4,集計記録,6,1)=0,"",[0]!CSVVLookUP(ROW(行数!A264),配列!$C$4,集計記録,6,1))</f>
        <v>#NAME?</v>
      </c>
      <c r="O272" s="88" t="e">
        <f ca="1">IF(INDIRECT("M"&amp;ROW()-1)&lt;&gt;INDIRECT("M"&amp;ROW()),リスト!$I$5,"")</f>
        <v>#NAME?</v>
      </c>
      <c r="P272" s="88" t="e">
        <f ca="1">IF(INDIRECT("M"&amp;ROW())&lt;&gt;INDIRECT("M"&amp;ROW()+1),リスト!$I$6,"")</f>
        <v>#NAME?</v>
      </c>
    </row>
    <row r="273" spans="1:16" x14ac:dyDescent="0.2">
      <c r="A273" s="169" t="e">
        <f ca="1">IF(C273="","",ROW(行数!A265))</f>
        <v>#NAME?</v>
      </c>
      <c r="B273" s="168" t="e">
        <f t="shared" ca="1" si="31"/>
        <v>#NAME?</v>
      </c>
      <c r="C273" s="90" t="e">
        <f ca="1">[0]!CSVVLookUP(ROW(行数!A265),配列!$C$4,集計記録,3,1)</f>
        <v>#NAME?</v>
      </c>
      <c r="D273" s="90" t="e">
        <f ca="1">[0]!CSVVLookUP(ROW(行数!B265),配列!$C$4,集計記録,4,1)</f>
        <v>#NAME?</v>
      </c>
      <c r="E273" s="118" t="e">
        <f t="shared" ca="1" si="32"/>
        <v>#NAME?</v>
      </c>
      <c r="F273" s="118" t="e">
        <f t="shared" ca="1" si="33"/>
        <v>#NAME?</v>
      </c>
      <c r="G273" s="103" t="e">
        <f t="shared" ca="1" si="34"/>
        <v>#NAME?</v>
      </c>
      <c r="H273" s="104" t="e">
        <f ca="1">IF(C273="","",MROUND([0]!CSVVLookUP(ROW(行数!A265),配列!$C$4,集計記録,8,1),"0:01"))</f>
        <v>#NAME?</v>
      </c>
      <c r="I273" s="104" t="e">
        <f t="shared" ca="1" si="35"/>
        <v>#NAME?</v>
      </c>
      <c r="J273" s="119" t="e">
        <f ca="1">IF(C273="","",MROUND([0]!CSVVLookUP(ROW(行数!A265),配列!$C$4,集計記録,7,1),"0:01"))</f>
        <v>#NAME?</v>
      </c>
      <c r="K273" s="92" t="e">
        <f ca="1">IF(C273="","",[0]!CSVVLookUP(ROW(行数!A265),配列!$C$4,集計記録,5,1))</f>
        <v>#NAME?</v>
      </c>
      <c r="L273" s="104" t="e">
        <f t="shared" ca="1" si="36"/>
        <v>#NAME?</v>
      </c>
      <c r="M273" s="120" t="e">
        <f t="shared" ca="1" si="30"/>
        <v>#NAME?</v>
      </c>
      <c r="N273" s="120" t="e">
        <f ca="1">IF([0]!CSVVLookUP(ROW(行数!A265),配列!$C$4,集計記録,6,1)=0,"",[0]!CSVVLookUP(ROW(行数!A265),配列!$C$4,集計記録,6,1))</f>
        <v>#NAME?</v>
      </c>
      <c r="O273" s="88" t="e">
        <f ca="1">IF(INDIRECT("M"&amp;ROW()-1)&lt;&gt;INDIRECT("M"&amp;ROW()),リスト!$I$5,"")</f>
        <v>#NAME?</v>
      </c>
      <c r="P273" s="88" t="e">
        <f ca="1">IF(INDIRECT("M"&amp;ROW())&lt;&gt;INDIRECT("M"&amp;ROW()+1),リスト!$I$6,"")</f>
        <v>#NAME?</v>
      </c>
    </row>
    <row r="274" spans="1:16" x14ac:dyDescent="0.2">
      <c r="A274" s="169" t="e">
        <f ca="1">IF(C274="","",ROW(行数!A266))</f>
        <v>#NAME?</v>
      </c>
      <c r="B274" s="168" t="e">
        <f t="shared" ca="1" si="31"/>
        <v>#NAME?</v>
      </c>
      <c r="C274" s="90" t="e">
        <f ca="1">[0]!CSVVLookUP(ROW(行数!A266),配列!$C$4,集計記録,3,1)</f>
        <v>#NAME?</v>
      </c>
      <c r="D274" s="90" t="e">
        <f ca="1">[0]!CSVVLookUP(ROW(行数!B266),配列!$C$4,集計記録,4,1)</f>
        <v>#NAME?</v>
      </c>
      <c r="E274" s="118" t="e">
        <f t="shared" ca="1" si="32"/>
        <v>#NAME?</v>
      </c>
      <c r="F274" s="118" t="e">
        <f t="shared" ca="1" si="33"/>
        <v>#NAME?</v>
      </c>
      <c r="G274" s="103" t="e">
        <f t="shared" ca="1" si="34"/>
        <v>#NAME?</v>
      </c>
      <c r="H274" s="104" t="e">
        <f ca="1">IF(C274="","",MROUND([0]!CSVVLookUP(ROW(行数!A266),配列!$C$4,集計記録,8,1),"0:01"))</f>
        <v>#NAME?</v>
      </c>
      <c r="I274" s="104" t="e">
        <f t="shared" ca="1" si="35"/>
        <v>#NAME?</v>
      </c>
      <c r="J274" s="119" t="e">
        <f ca="1">IF(C274="","",MROUND([0]!CSVVLookUP(ROW(行数!A266),配列!$C$4,集計記録,7,1),"0:01"))</f>
        <v>#NAME?</v>
      </c>
      <c r="K274" s="92" t="e">
        <f ca="1">IF(C274="","",[0]!CSVVLookUP(ROW(行数!A266),配列!$C$4,集計記録,5,1))</f>
        <v>#NAME?</v>
      </c>
      <c r="L274" s="104" t="e">
        <f t="shared" ca="1" si="36"/>
        <v>#NAME?</v>
      </c>
      <c r="M274" s="120" t="e">
        <f t="shared" ca="1" si="30"/>
        <v>#NAME?</v>
      </c>
      <c r="N274" s="120" t="e">
        <f ca="1">IF([0]!CSVVLookUP(ROW(行数!A266),配列!$C$4,集計記録,6,1)=0,"",[0]!CSVVLookUP(ROW(行数!A266),配列!$C$4,集計記録,6,1))</f>
        <v>#NAME?</v>
      </c>
      <c r="O274" s="88" t="e">
        <f ca="1">IF(INDIRECT("M"&amp;ROW()-1)&lt;&gt;INDIRECT("M"&amp;ROW()),リスト!$I$5,"")</f>
        <v>#NAME?</v>
      </c>
      <c r="P274" s="88" t="e">
        <f ca="1">IF(INDIRECT("M"&amp;ROW())&lt;&gt;INDIRECT("M"&amp;ROW()+1),リスト!$I$6,"")</f>
        <v>#NAME?</v>
      </c>
    </row>
    <row r="275" spans="1:16" x14ac:dyDescent="0.2">
      <c r="A275" s="169" t="e">
        <f ca="1">IF(C275="","",ROW(行数!A267))</f>
        <v>#NAME?</v>
      </c>
      <c r="B275" s="168" t="e">
        <f t="shared" ca="1" si="31"/>
        <v>#NAME?</v>
      </c>
      <c r="C275" s="90" t="e">
        <f ca="1">[0]!CSVVLookUP(ROW(行数!A267),配列!$C$4,集計記録,3,1)</f>
        <v>#NAME?</v>
      </c>
      <c r="D275" s="90" t="e">
        <f ca="1">[0]!CSVVLookUP(ROW(行数!B267),配列!$C$4,集計記録,4,1)</f>
        <v>#NAME?</v>
      </c>
      <c r="E275" s="118" t="e">
        <f t="shared" ca="1" si="32"/>
        <v>#NAME?</v>
      </c>
      <c r="F275" s="118" t="e">
        <f t="shared" ca="1" si="33"/>
        <v>#NAME?</v>
      </c>
      <c r="G275" s="103" t="e">
        <f t="shared" ca="1" si="34"/>
        <v>#NAME?</v>
      </c>
      <c r="H275" s="104" t="e">
        <f ca="1">IF(C275="","",MROUND([0]!CSVVLookUP(ROW(行数!A267),配列!$C$4,集計記録,8,1),"0:01"))</f>
        <v>#NAME?</v>
      </c>
      <c r="I275" s="104" t="e">
        <f t="shared" ca="1" si="35"/>
        <v>#NAME?</v>
      </c>
      <c r="J275" s="119" t="e">
        <f ca="1">IF(C275="","",MROUND([0]!CSVVLookUP(ROW(行数!A267),配列!$C$4,集計記録,7,1),"0:01"))</f>
        <v>#NAME?</v>
      </c>
      <c r="K275" s="92" t="e">
        <f ca="1">IF(C275="","",[0]!CSVVLookUP(ROW(行数!A267),配列!$C$4,集計記録,5,1))</f>
        <v>#NAME?</v>
      </c>
      <c r="L275" s="104" t="e">
        <f t="shared" ca="1" si="36"/>
        <v>#NAME?</v>
      </c>
      <c r="M275" s="120" t="e">
        <f t="shared" ca="1" si="30"/>
        <v>#NAME?</v>
      </c>
      <c r="N275" s="120" t="e">
        <f ca="1">IF([0]!CSVVLookUP(ROW(行数!A267),配列!$C$4,集計記録,6,1)=0,"",[0]!CSVVLookUP(ROW(行数!A267),配列!$C$4,集計記録,6,1))</f>
        <v>#NAME?</v>
      </c>
      <c r="O275" s="88" t="e">
        <f ca="1">IF(INDIRECT("M"&amp;ROW()-1)&lt;&gt;INDIRECT("M"&amp;ROW()),リスト!$I$5,"")</f>
        <v>#NAME?</v>
      </c>
      <c r="P275" s="88" t="e">
        <f ca="1">IF(INDIRECT("M"&amp;ROW())&lt;&gt;INDIRECT("M"&amp;ROW()+1),リスト!$I$6,"")</f>
        <v>#NAME?</v>
      </c>
    </row>
    <row r="276" spans="1:16" x14ac:dyDescent="0.2">
      <c r="A276" s="169" t="e">
        <f ca="1">IF(C276="","",ROW(行数!A268))</f>
        <v>#NAME?</v>
      </c>
      <c r="B276" s="168" t="e">
        <f t="shared" ca="1" si="31"/>
        <v>#NAME?</v>
      </c>
      <c r="C276" s="90" t="e">
        <f ca="1">[0]!CSVVLookUP(ROW(行数!A268),配列!$C$4,集計記録,3,1)</f>
        <v>#NAME?</v>
      </c>
      <c r="D276" s="90" t="e">
        <f ca="1">[0]!CSVVLookUP(ROW(行数!B268),配列!$C$4,集計記録,4,1)</f>
        <v>#NAME?</v>
      </c>
      <c r="E276" s="118" t="e">
        <f t="shared" ca="1" si="32"/>
        <v>#NAME?</v>
      </c>
      <c r="F276" s="118" t="e">
        <f t="shared" ca="1" si="33"/>
        <v>#NAME?</v>
      </c>
      <c r="G276" s="103" t="e">
        <f t="shared" ca="1" si="34"/>
        <v>#NAME?</v>
      </c>
      <c r="H276" s="104" t="e">
        <f ca="1">IF(C276="","",MROUND([0]!CSVVLookUP(ROW(行数!A268),配列!$C$4,集計記録,8,1),"0:01"))</f>
        <v>#NAME?</v>
      </c>
      <c r="I276" s="104" t="e">
        <f t="shared" ca="1" si="35"/>
        <v>#NAME?</v>
      </c>
      <c r="J276" s="119" t="e">
        <f ca="1">IF(C276="","",MROUND([0]!CSVVLookUP(ROW(行数!A268),配列!$C$4,集計記録,7,1),"0:01"))</f>
        <v>#NAME?</v>
      </c>
      <c r="K276" s="92" t="e">
        <f ca="1">IF(C276="","",[0]!CSVVLookUP(ROW(行数!A268),配列!$C$4,集計記録,5,1))</f>
        <v>#NAME?</v>
      </c>
      <c r="L276" s="104" t="e">
        <f t="shared" ca="1" si="36"/>
        <v>#NAME?</v>
      </c>
      <c r="M276" s="120" t="e">
        <f t="shared" ca="1" si="30"/>
        <v>#NAME?</v>
      </c>
      <c r="N276" s="120" t="e">
        <f ca="1">IF([0]!CSVVLookUP(ROW(行数!A268),配列!$C$4,集計記録,6,1)=0,"",[0]!CSVVLookUP(ROW(行数!A268),配列!$C$4,集計記録,6,1))</f>
        <v>#NAME?</v>
      </c>
      <c r="O276" s="88" t="e">
        <f ca="1">IF(INDIRECT("M"&amp;ROW()-1)&lt;&gt;INDIRECT("M"&amp;ROW()),リスト!$I$5,"")</f>
        <v>#NAME?</v>
      </c>
      <c r="P276" s="88" t="e">
        <f ca="1">IF(INDIRECT("M"&amp;ROW())&lt;&gt;INDIRECT("M"&amp;ROW()+1),リスト!$I$6,"")</f>
        <v>#NAME?</v>
      </c>
    </row>
    <row r="277" spans="1:16" x14ac:dyDescent="0.2">
      <c r="A277" s="169" t="e">
        <f ca="1">IF(C277="","",ROW(行数!A269))</f>
        <v>#NAME?</v>
      </c>
      <c r="B277" s="168" t="e">
        <f t="shared" ca="1" si="31"/>
        <v>#NAME?</v>
      </c>
      <c r="C277" s="90" t="e">
        <f ca="1">[0]!CSVVLookUP(ROW(行数!A269),配列!$C$4,集計記録,3,1)</f>
        <v>#NAME?</v>
      </c>
      <c r="D277" s="90" t="e">
        <f ca="1">[0]!CSVVLookUP(ROW(行数!B269),配列!$C$4,集計記録,4,1)</f>
        <v>#NAME?</v>
      </c>
      <c r="E277" s="118" t="e">
        <f t="shared" ca="1" si="32"/>
        <v>#NAME?</v>
      </c>
      <c r="F277" s="118" t="e">
        <f t="shared" ca="1" si="33"/>
        <v>#NAME?</v>
      </c>
      <c r="G277" s="103" t="e">
        <f t="shared" ca="1" si="34"/>
        <v>#NAME?</v>
      </c>
      <c r="H277" s="104" t="e">
        <f ca="1">IF(C277="","",MROUND([0]!CSVVLookUP(ROW(行数!A269),配列!$C$4,集計記録,8,1),"0:01"))</f>
        <v>#NAME?</v>
      </c>
      <c r="I277" s="104" t="e">
        <f t="shared" ca="1" si="35"/>
        <v>#NAME?</v>
      </c>
      <c r="J277" s="119" t="e">
        <f ca="1">IF(C277="","",MROUND([0]!CSVVLookUP(ROW(行数!A269),配列!$C$4,集計記録,7,1),"0:01"))</f>
        <v>#NAME?</v>
      </c>
      <c r="K277" s="92" t="e">
        <f ca="1">IF(C277="","",[0]!CSVVLookUP(ROW(行数!A269),配列!$C$4,集計記録,5,1))</f>
        <v>#NAME?</v>
      </c>
      <c r="L277" s="104" t="e">
        <f t="shared" ca="1" si="36"/>
        <v>#NAME?</v>
      </c>
      <c r="M277" s="120" t="e">
        <f t="shared" ca="1" si="30"/>
        <v>#NAME?</v>
      </c>
      <c r="N277" s="120" t="e">
        <f ca="1">IF([0]!CSVVLookUP(ROW(行数!A269),配列!$C$4,集計記録,6,1)=0,"",[0]!CSVVLookUP(ROW(行数!A269),配列!$C$4,集計記録,6,1))</f>
        <v>#NAME?</v>
      </c>
      <c r="O277" s="88" t="e">
        <f ca="1">IF(INDIRECT("M"&amp;ROW()-1)&lt;&gt;INDIRECT("M"&amp;ROW()),リスト!$I$5,"")</f>
        <v>#NAME?</v>
      </c>
      <c r="P277" s="88" t="e">
        <f ca="1">IF(INDIRECT("M"&amp;ROW())&lt;&gt;INDIRECT("M"&amp;ROW()+1),リスト!$I$6,"")</f>
        <v>#NAME?</v>
      </c>
    </row>
    <row r="278" spans="1:16" x14ac:dyDescent="0.2">
      <c r="A278" s="169" t="e">
        <f ca="1">IF(C278="","",ROW(行数!A270))</f>
        <v>#NAME?</v>
      </c>
      <c r="B278" s="168" t="e">
        <f t="shared" ca="1" si="31"/>
        <v>#NAME?</v>
      </c>
      <c r="C278" s="90" t="e">
        <f ca="1">[0]!CSVVLookUP(ROW(行数!A270),配列!$C$4,集計記録,3,1)</f>
        <v>#NAME?</v>
      </c>
      <c r="D278" s="90" t="e">
        <f ca="1">[0]!CSVVLookUP(ROW(行数!B270),配列!$C$4,集計記録,4,1)</f>
        <v>#NAME?</v>
      </c>
      <c r="E278" s="118" t="e">
        <f t="shared" ca="1" si="32"/>
        <v>#NAME?</v>
      </c>
      <c r="F278" s="118" t="e">
        <f t="shared" ca="1" si="33"/>
        <v>#NAME?</v>
      </c>
      <c r="G278" s="103" t="e">
        <f t="shared" ca="1" si="34"/>
        <v>#NAME?</v>
      </c>
      <c r="H278" s="104" t="e">
        <f ca="1">IF(C278="","",MROUND([0]!CSVVLookUP(ROW(行数!A270),配列!$C$4,集計記録,8,1),"0:01"))</f>
        <v>#NAME?</v>
      </c>
      <c r="I278" s="104" t="e">
        <f t="shared" ca="1" si="35"/>
        <v>#NAME?</v>
      </c>
      <c r="J278" s="119" t="e">
        <f ca="1">IF(C278="","",MROUND([0]!CSVVLookUP(ROW(行数!A270),配列!$C$4,集計記録,7,1),"0:01"))</f>
        <v>#NAME?</v>
      </c>
      <c r="K278" s="92" t="e">
        <f ca="1">IF(C278="","",[0]!CSVVLookUP(ROW(行数!A270),配列!$C$4,集計記録,5,1))</f>
        <v>#NAME?</v>
      </c>
      <c r="L278" s="104" t="e">
        <f t="shared" ca="1" si="36"/>
        <v>#NAME?</v>
      </c>
      <c r="M278" s="120" t="e">
        <f t="shared" ca="1" si="30"/>
        <v>#NAME?</v>
      </c>
      <c r="N278" s="120" t="e">
        <f ca="1">IF([0]!CSVVLookUP(ROW(行数!A270),配列!$C$4,集計記録,6,1)=0,"",[0]!CSVVLookUP(ROW(行数!A270),配列!$C$4,集計記録,6,1))</f>
        <v>#NAME?</v>
      </c>
      <c r="O278" s="88" t="e">
        <f ca="1">IF(INDIRECT("M"&amp;ROW()-1)&lt;&gt;INDIRECT("M"&amp;ROW()),リスト!$I$5,"")</f>
        <v>#NAME?</v>
      </c>
      <c r="P278" s="88" t="e">
        <f ca="1">IF(INDIRECT("M"&amp;ROW())&lt;&gt;INDIRECT("M"&amp;ROW()+1),リスト!$I$6,"")</f>
        <v>#NAME?</v>
      </c>
    </row>
    <row r="279" spans="1:16" x14ac:dyDescent="0.2">
      <c r="A279" s="169" t="e">
        <f ca="1">IF(C279="","",ROW(行数!A271))</f>
        <v>#NAME?</v>
      </c>
      <c r="B279" s="168" t="e">
        <f t="shared" ca="1" si="31"/>
        <v>#NAME?</v>
      </c>
      <c r="C279" s="90" t="e">
        <f ca="1">[0]!CSVVLookUP(ROW(行数!A271),配列!$C$4,集計記録,3,1)</f>
        <v>#NAME?</v>
      </c>
      <c r="D279" s="90" t="e">
        <f ca="1">[0]!CSVVLookUP(ROW(行数!B271),配列!$C$4,集計記録,4,1)</f>
        <v>#NAME?</v>
      </c>
      <c r="E279" s="118" t="e">
        <f t="shared" ca="1" si="32"/>
        <v>#NAME?</v>
      </c>
      <c r="F279" s="118" t="e">
        <f t="shared" ca="1" si="33"/>
        <v>#NAME?</v>
      </c>
      <c r="G279" s="103" t="e">
        <f t="shared" ca="1" si="34"/>
        <v>#NAME?</v>
      </c>
      <c r="H279" s="104" t="e">
        <f ca="1">IF(C279="","",MROUND([0]!CSVVLookUP(ROW(行数!A271),配列!$C$4,集計記録,8,1),"0:01"))</f>
        <v>#NAME?</v>
      </c>
      <c r="I279" s="104" t="e">
        <f t="shared" ca="1" si="35"/>
        <v>#NAME?</v>
      </c>
      <c r="J279" s="119" t="e">
        <f ca="1">IF(C279="","",MROUND([0]!CSVVLookUP(ROW(行数!A271),配列!$C$4,集計記録,7,1),"0:01"))</f>
        <v>#NAME?</v>
      </c>
      <c r="K279" s="92" t="e">
        <f ca="1">IF(C279="","",[0]!CSVVLookUP(ROW(行数!A271),配列!$C$4,集計記録,5,1))</f>
        <v>#NAME?</v>
      </c>
      <c r="L279" s="104" t="e">
        <f t="shared" ca="1" si="36"/>
        <v>#NAME?</v>
      </c>
      <c r="M279" s="120" t="e">
        <f t="shared" ca="1" si="30"/>
        <v>#NAME?</v>
      </c>
      <c r="N279" s="120" t="e">
        <f ca="1">IF([0]!CSVVLookUP(ROW(行数!A271),配列!$C$4,集計記録,6,1)=0,"",[0]!CSVVLookUP(ROW(行数!A271),配列!$C$4,集計記録,6,1))</f>
        <v>#NAME?</v>
      </c>
      <c r="O279" s="88" t="e">
        <f ca="1">IF(INDIRECT("M"&amp;ROW()-1)&lt;&gt;INDIRECT("M"&amp;ROW()),リスト!$I$5,"")</f>
        <v>#NAME?</v>
      </c>
      <c r="P279" s="88" t="e">
        <f ca="1">IF(INDIRECT("M"&amp;ROW())&lt;&gt;INDIRECT("M"&amp;ROW()+1),リスト!$I$6,"")</f>
        <v>#NAME?</v>
      </c>
    </row>
    <row r="280" spans="1:16" x14ac:dyDescent="0.2">
      <c r="A280" s="169" t="e">
        <f ca="1">IF(C280="","",ROW(行数!A272))</f>
        <v>#NAME?</v>
      </c>
      <c r="B280" s="168" t="e">
        <f t="shared" ca="1" si="31"/>
        <v>#NAME?</v>
      </c>
      <c r="C280" s="90" t="e">
        <f ca="1">[0]!CSVVLookUP(ROW(行数!A272),配列!$C$4,集計記録,3,1)</f>
        <v>#NAME?</v>
      </c>
      <c r="D280" s="90" t="e">
        <f ca="1">[0]!CSVVLookUP(ROW(行数!B272),配列!$C$4,集計記録,4,1)</f>
        <v>#NAME?</v>
      </c>
      <c r="E280" s="118" t="e">
        <f t="shared" ca="1" si="32"/>
        <v>#NAME?</v>
      </c>
      <c r="F280" s="118" t="e">
        <f t="shared" ca="1" si="33"/>
        <v>#NAME?</v>
      </c>
      <c r="G280" s="103" t="e">
        <f t="shared" ca="1" si="34"/>
        <v>#NAME?</v>
      </c>
      <c r="H280" s="104" t="e">
        <f ca="1">IF(C280="","",MROUND([0]!CSVVLookUP(ROW(行数!A272),配列!$C$4,集計記録,8,1),"0:01"))</f>
        <v>#NAME?</v>
      </c>
      <c r="I280" s="104" t="e">
        <f t="shared" ca="1" si="35"/>
        <v>#NAME?</v>
      </c>
      <c r="J280" s="119" t="e">
        <f ca="1">IF(C280="","",MROUND([0]!CSVVLookUP(ROW(行数!A272),配列!$C$4,集計記録,7,1),"0:01"))</f>
        <v>#NAME?</v>
      </c>
      <c r="K280" s="92" t="e">
        <f ca="1">IF(C280="","",[0]!CSVVLookUP(ROW(行数!A272),配列!$C$4,集計記録,5,1))</f>
        <v>#NAME?</v>
      </c>
      <c r="L280" s="104" t="e">
        <f t="shared" ca="1" si="36"/>
        <v>#NAME?</v>
      </c>
      <c r="M280" s="120" t="e">
        <f t="shared" ca="1" si="30"/>
        <v>#NAME?</v>
      </c>
      <c r="N280" s="120" t="e">
        <f ca="1">IF([0]!CSVVLookUP(ROW(行数!A272),配列!$C$4,集計記録,6,1)=0,"",[0]!CSVVLookUP(ROW(行数!A272),配列!$C$4,集計記録,6,1))</f>
        <v>#NAME?</v>
      </c>
      <c r="O280" s="88" t="e">
        <f ca="1">IF(INDIRECT("M"&amp;ROW()-1)&lt;&gt;INDIRECT("M"&amp;ROW()),リスト!$I$5,"")</f>
        <v>#NAME?</v>
      </c>
      <c r="P280" s="88" t="e">
        <f ca="1">IF(INDIRECT("M"&amp;ROW())&lt;&gt;INDIRECT("M"&amp;ROW()+1),リスト!$I$6,"")</f>
        <v>#NAME?</v>
      </c>
    </row>
    <row r="281" spans="1:16" x14ac:dyDescent="0.2">
      <c r="A281" s="169" t="e">
        <f ca="1">IF(C281="","",ROW(行数!A273))</f>
        <v>#NAME?</v>
      </c>
      <c r="B281" s="168" t="e">
        <f t="shared" ca="1" si="31"/>
        <v>#NAME?</v>
      </c>
      <c r="C281" s="90" t="e">
        <f ca="1">[0]!CSVVLookUP(ROW(行数!A273),配列!$C$4,集計記録,3,1)</f>
        <v>#NAME?</v>
      </c>
      <c r="D281" s="90" t="e">
        <f ca="1">[0]!CSVVLookUP(ROW(行数!B273),配列!$C$4,集計記録,4,1)</f>
        <v>#NAME?</v>
      </c>
      <c r="E281" s="118" t="e">
        <f t="shared" ca="1" si="32"/>
        <v>#NAME?</v>
      </c>
      <c r="F281" s="118" t="e">
        <f t="shared" ca="1" si="33"/>
        <v>#NAME?</v>
      </c>
      <c r="G281" s="103" t="e">
        <f t="shared" ca="1" si="34"/>
        <v>#NAME?</v>
      </c>
      <c r="H281" s="104" t="e">
        <f ca="1">IF(C281="","",MROUND([0]!CSVVLookUP(ROW(行数!A273),配列!$C$4,集計記録,8,1),"0:01"))</f>
        <v>#NAME?</v>
      </c>
      <c r="I281" s="104" t="e">
        <f t="shared" ca="1" si="35"/>
        <v>#NAME?</v>
      </c>
      <c r="J281" s="119" t="e">
        <f ca="1">IF(C281="","",MROUND([0]!CSVVLookUP(ROW(行数!A273),配列!$C$4,集計記録,7,1),"0:01"))</f>
        <v>#NAME?</v>
      </c>
      <c r="K281" s="92" t="e">
        <f ca="1">IF(C281="","",[0]!CSVVLookUP(ROW(行数!A273),配列!$C$4,集計記録,5,1))</f>
        <v>#NAME?</v>
      </c>
      <c r="L281" s="104" t="e">
        <f t="shared" ca="1" si="36"/>
        <v>#NAME?</v>
      </c>
      <c r="M281" s="120" t="e">
        <f t="shared" ca="1" si="30"/>
        <v>#NAME?</v>
      </c>
      <c r="N281" s="120" t="e">
        <f ca="1">IF([0]!CSVVLookUP(ROW(行数!A273),配列!$C$4,集計記録,6,1)=0,"",[0]!CSVVLookUP(ROW(行数!A273),配列!$C$4,集計記録,6,1))</f>
        <v>#NAME?</v>
      </c>
      <c r="O281" s="88" t="e">
        <f ca="1">IF(INDIRECT("M"&amp;ROW()-1)&lt;&gt;INDIRECT("M"&amp;ROW()),リスト!$I$5,"")</f>
        <v>#NAME?</v>
      </c>
      <c r="P281" s="88" t="e">
        <f ca="1">IF(INDIRECT("M"&amp;ROW())&lt;&gt;INDIRECT("M"&amp;ROW()+1),リスト!$I$6,"")</f>
        <v>#NAME?</v>
      </c>
    </row>
    <row r="282" spans="1:16" x14ac:dyDescent="0.2">
      <c r="A282" s="169" t="e">
        <f ca="1">IF(C282="","",ROW(行数!A274))</f>
        <v>#NAME?</v>
      </c>
      <c r="B282" s="168" t="e">
        <f t="shared" ca="1" si="31"/>
        <v>#NAME?</v>
      </c>
      <c r="C282" s="90" t="e">
        <f ca="1">[0]!CSVVLookUP(ROW(行数!A274),配列!$C$4,集計記録,3,1)</f>
        <v>#NAME?</v>
      </c>
      <c r="D282" s="90" t="e">
        <f ca="1">[0]!CSVVLookUP(ROW(行数!B274),配列!$C$4,集計記録,4,1)</f>
        <v>#NAME?</v>
      </c>
      <c r="E282" s="118" t="e">
        <f t="shared" ca="1" si="32"/>
        <v>#NAME?</v>
      </c>
      <c r="F282" s="118" t="e">
        <f t="shared" ca="1" si="33"/>
        <v>#NAME?</v>
      </c>
      <c r="G282" s="103" t="e">
        <f t="shared" ca="1" si="34"/>
        <v>#NAME?</v>
      </c>
      <c r="H282" s="104" t="e">
        <f ca="1">IF(C282="","",MROUND([0]!CSVVLookUP(ROW(行数!A274),配列!$C$4,集計記録,8,1),"0:01"))</f>
        <v>#NAME?</v>
      </c>
      <c r="I282" s="104" t="e">
        <f t="shared" ca="1" si="35"/>
        <v>#NAME?</v>
      </c>
      <c r="J282" s="119" t="e">
        <f ca="1">IF(C282="","",MROUND([0]!CSVVLookUP(ROW(行数!A274),配列!$C$4,集計記録,7,1),"0:01"))</f>
        <v>#NAME?</v>
      </c>
      <c r="K282" s="92" t="e">
        <f ca="1">IF(C282="","",[0]!CSVVLookUP(ROW(行数!A274),配列!$C$4,集計記録,5,1))</f>
        <v>#NAME?</v>
      </c>
      <c r="L282" s="104" t="e">
        <f t="shared" ca="1" si="36"/>
        <v>#NAME?</v>
      </c>
      <c r="M282" s="120" t="e">
        <f t="shared" ca="1" si="30"/>
        <v>#NAME?</v>
      </c>
      <c r="N282" s="120" t="e">
        <f ca="1">IF([0]!CSVVLookUP(ROW(行数!A274),配列!$C$4,集計記録,6,1)=0,"",[0]!CSVVLookUP(ROW(行数!A274),配列!$C$4,集計記録,6,1))</f>
        <v>#NAME?</v>
      </c>
      <c r="O282" s="88" t="e">
        <f ca="1">IF(INDIRECT("M"&amp;ROW()-1)&lt;&gt;INDIRECT("M"&amp;ROW()),リスト!$I$5,"")</f>
        <v>#NAME?</v>
      </c>
      <c r="P282" s="88" t="e">
        <f ca="1">IF(INDIRECT("M"&amp;ROW())&lt;&gt;INDIRECT("M"&amp;ROW()+1),リスト!$I$6,"")</f>
        <v>#NAME?</v>
      </c>
    </row>
    <row r="283" spans="1:16" x14ac:dyDescent="0.2">
      <c r="A283" s="169" t="e">
        <f ca="1">IF(C283="","",ROW(行数!A275))</f>
        <v>#NAME?</v>
      </c>
      <c r="B283" s="168" t="e">
        <f t="shared" ca="1" si="31"/>
        <v>#NAME?</v>
      </c>
      <c r="C283" s="90" t="e">
        <f ca="1">[0]!CSVVLookUP(ROW(行数!A275),配列!$C$4,集計記録,3,1)</f>
        <v>#NAME?</v>
      </c>
      <c r="D283" s="90" t="e">
        <f ca="1">[0]!CSVVLookUP(ROW(行数!B275),配列!$C$4,集計記録,4,1)</f>
        <v>#NAME?</v>
      </c>
      <c r="E283" s="118" t="e">
        <f t="shared" ca="1" si="32"/>
        <v>#NAME?</v>
      </c>
      <c r="F283" s="118" t="e">
        <f t="shared" ca="1" si="33"/>
        <v>#NAME?</v>
      </c>
      <c r="G283" s="103" t="e">
        <f t="shared" ca="1" si="34"/>
        <v>#NAME?</v>
      </c>
      <c r="H283" s="104" t="e">
        <f ca="1">IF(C283="","",MROUND([0]!CSVVLookUP(ROW(行数!A275),配列!$C$4,集計記録,8,1),"0:01"))</f>
        <v>#NAME?</v>
      </c>
      <c r="I283" s="104" t="e">
        <f t="shared" ca="1" si="35"/>
        <v>#NAME?</v>
      </c>
      <c r="J283" s="119" t="e">
        <f ca="1">IF(C283="","",MROUND([0]!CSVVLookUP(ROW(行数!A275),配列!$C$4,集計記録,7,1),"0:01"))</f>
        <v>#NAME?</v>
      </c>
      <c r="K283" s="92" t="e">
        <f ca="1">IF(C283="","",[0]!CSVVLookUP(ROW(行数!A275),配列!$C$4,集計記録,5,1))</f>
        <v>#NAME?</v>
      </c>
      <c r="L283" s="104" t="e">
        <f t="shared" ca="1" si="36"/>
        <v>#NAME?</v>
      </c>
      <c r="M283" s="120" t="e">
        <f t="shared" ca="1" si="30"/>
        <v>#NAME?</v>
      </c>
      <c r="N283" s="120" t="e">
        <f ca="1">IF([0]!CSVVLookUP(ROW(行数!A275),配列!$C$4,集計記録,6,1)=0,"",[0]!CSVVLookUP(ROW(行数!A275),配列!$C$4,集計記録,6,1))</f>
        <v>#NAME?</v>
      </c>
      <c r="O283" s="88" t="e">
        <f ca="1">IF(INDIRECT("M"&amp;ROW()-1)&lt;&gt;INDIRECT("M"&amp;ROW()),リスト!$I$5,"")</f>
        <v>#NAME?</v>
      </c>
      <c r="P283" s="88" t="e">
        <f ca="1">IF(INDIRECT("M"&amp;ROW())&lt;&gt;INDIRECT("M"&amp;ROW()+1),リスト!$I$6,"")</f>
        <v>#NAME?</v>
      </c>
    </row>
    <row r="284" spans="1:16" x14ac:dyDescent="0.2">
      <c r="A284" s="169" t="e">
        <f ca="1">IF(C284="","",ROW(行数!A276))</f>
        <v>#NAME?</v>
      </c>
      <c r="B284" s="168" t="e">
        <f t="shared" ca="1" si="31"/>
        <v>#NAME?</v>
      </c>
      <c r="C284" s="90" t="e">
        <f ca="1">[0]!CSVVLookUP(ROW(行数!A276),配列!$C$4,集計記録,3,1)</f>
        <v>#NAME?</v>
      </c>
      <c r="D284" s="90" t="e">
        <f ca="1">[0]!CSVVLookUP(ROW(行数!B276),配列!$C$4,集計記録,4,1)</f>
        <v>#NAME?</v>
      </c>
      <c r="E284" s="118" t="e">
        <f t="shared" ca="1" si="32"/>
        <v>#NAME?</v>
      </c>
      <c r="F284" s="118" t="e">
        <f t="shared" ca="1" si="33"/>
        <v>#NAME?</v>
      </c>
      <c r="G284" s="103" t="e">
        <f t="shared" ca="1" si="34"/>
        <v>#NAME?</v>
      </c>
      <c r="H284" s="104" t="e">
        <f ca="1">IF(C284="","",MROUND([0]!CSVVLookUP(ROW(行数!A276),配列!$C$4,集計記録,8,1),"0:01"))</f>
        <v>#NAME?</v>
      </c>
      <c r="I284" s="104" t="e">
        <f t="shared" ca="1" si="35"/>
        <v>#NAME?</v>
      </c>
      <c r="J284" s="119" t="e">
        <f ca="1">IF(C284="","",MROUND([0]!CSVVLookUP(ROW(行数!A276),配列!$C$4,集計記録,7,1),"0:01"))</f>
        <v>#NAME?</v>
      </c>
      <c r="K284" s="92" t="e">
        <f ca="1">IF(C284="","",[0]!CSVVLookUP(ROW(行数!A276),配列!$C$4,集計記録,5,1))</f>
        <v>#NAME?</v>
      </c>
      <c r="L284" s="104" t="e">
        <f t="shared" ca="1" si="36"/>
        <v>#NAME?</v>
      </c>
      <c r="M284" s="120" t="e">
        <f t="shared" ca="1" si="30"/>
        <v>#NAME?</v>
      </c>
      <c r="N284" s="120" t="e">
        <f ca="1">IF([0]!CSVVLookUP(ROW(行数!A276),配列!$C$4,集計記録,6,1)=0,"",[0]!CSVVLookUP(ROW(行数!A276),配列!$C$4,集計記録,6,1))</f>
        <v>#NAME?</v>
      </c>
      <c r="O284" s="88" t="e">
        <f ca="1">IF(INDIRECT("M"&amp;ROW()-1)&lt;&gt;INDIRECT("M"&amp;ROW()),リスト!$I$5,"")</f>
        <v>#NAME?</v>
      </c>
      <c r="P284" s="88" t="e">
        <f ca="1">IF(INDIRECT("M"&amp;ROW())&lt;&gt;INDIRECT("M"&amp;ROW()+1),リスト!$I$6,"")</f>
        <v>#NAME?</v>
      </c>
    </row>
    <row r="285" spans="1:16" x14ac:dyDescent="0.2">
      <c r="A285" s="169" t="e">
        <f ca="1">IF(C285="","",ROW(行数!A277))</f>
        <v>#NAME?</v>
      </c>
      <c r="B285" s="168" t="e">
        <f t="shared" ca="1" si="31"/>
        <v>#NAME?</v>
      </c>
      <c r="C285" s="90" t="e">
        <f ca="1">[0]!CSVVLookUP(ROW(行数!A277),配列!$C$4,集計記録,3,1)</f>
        <v>#NAME?</v>
      </c>
      <c r="D285" s="90" t="e">
        <f ca="1">[0]!CSVVLookUP(ROW(行数!B277),配列!$C$4,集計記録,4,1)</f>
        <v>#NAME?</v>
      </c>
      <c r="E285" s="118" t="e">
        <f t="shared" ca="1" si="32"/>
        <v>#NAME?</v>
      </c>
      <c r="F285" s="118" t="e">
        <f t="shared" ca="1" si="33"/>
        <v>#NAME?</v>
      </c>
      <c r="G285" s="103" t="e">
        <f t="shared" ca="1" si="34"/>
        <v>#NAME?</v>
      </c>
      <c r="H285" s="104" t="e">
        <f ca="1">IF(C285="","",MROUND([0]!CSVVLookUP(ROW(行数!A277),配列!$C$4,集計記録,8,1),"0:01"))</f>
        <v>#NAME?</v>
      </c>
      <c r="I285" s="104" t="e">
        <f t="shared" ca="1" si="35"/>
        <v>#NAME?</v>
      </c>
      <c r="J285" s="119" t="e">
        <f ca="1">IF(C285="","",MROUND([0]!CSVVLookUP(ROW(行数!A277),配列!$C$4,集計記録,7,1),"0:01"))</f>
        <v>#NAME?</v>
      </c>
      <c r="K285" s="92" t="e">
        <f ca="1">IF(C285="","",[0]!CSVVLookUP(ROW(行数!A277),配列!$C$4,集計記録,5,1))</f>
        <v>#NAME?</v>
      </c>
      <c r="L285" s="104" t="e">
        <f t="shared" ca="1" si="36"/>
        <v>#NAME?</v>
      </c>
      <c r="M285" s="120" t="e">
        <f t="shared" ca="1" si="30"/>
        <v>#NAME?</v>
      </c>
      <c r="N285" s="120" t="e">
        <f ca="1">IF([0]!CSVVLookUP(ROW(行数!A277),配列!$C$4,集計記録,6,1)=0,"",[0]!CSVVLookUP(ROW(行数!A277),配列!$C$4,集計記録,6,1))</f>
        <v>#NAME?</v>
      </c>
      <c r="O285" s="88" t="e">
        <f ca="1">IF(INDIRECT("M"&amp;ROW()-1)&lt;&gt;INDIRECT("M"&amp;ROW()),リスト!$I$5,"")</f>
        <v>#NAME?</v>
      </c>
      <c r="P285" s="88" t="e">
        <f ca="1">IF(INDIRECT("M"&amp;ROW())&lt;&gt;INDIRECT("M"&amp;ROW()+1),リスト!$I$6,"")</f>
        <v>#NAME?</v>
      </c>
    </row>
    <row r="286" spans="1:16" x14ac:dyDescent="0.2">
      <c r="A286" s="169" t="e">
        <f ca="1">IF(C286="","",ROW(行数!A278))</f>
        <v>#NAME?</v>
      </c>
      <c r="B286" s="168" t="e">
        <f t="shared" ca="1" si="31"/>
        <v>#NAME?</v>
      </c>
      <c r="C286" s="90" t="e">
        <f ca="1">[0]!CSVVLookUP(ROW(行数!A278),配列!$C$4,集計記録,3,1)</f>
        <v>#NAME?</v>
      </c>
      <c r="D286" s="90" t="e">
        <f ca="1">[0]!CSVVLookUP(ROW(行数!B278),配列!$C$4,集計記録,4,1)</f>
        <v>#NAME?</v>
      </c>
      <c r="E286" s="118" t="e">
        <f t="shared" ca="1" si="32"/>
        <v>#NAME?</v>
      </c>
      <c r="F286" s="118" t="e">
        <f t="shared" ca="1" si="33"/>
        <v>#NAME?</v>
      </c>
      <c r="G286" s="103" t="e">
        <f t="shared" ca="1" si="34"/>
        <v>#NAME?</v>
      </c>
      <c r="H286" s="104" t="e">
        <f ca="1">IF(C286="","",MROUND([0]!CSVVLookUP(ROW(行数!A278),配列!$C$4,集計記録,8,1),"0:01"))</f>
        <v>#NAME?</v>
      </c>
      <c r="I286" s="104" t="e">
        <f t="shared" ca="1" si="35"/>
        <v>#NAME?</v>
      </c>
      <c r="J286" s="119" t="e">
        <f ca="1">IF(C286="","",MROUND([0]!CSVVLookUP(ROW(行数!A278),配列!$C$4,集計記録,7,1),"0:01"))</f>
        <v>#NAME?</v>
      </c>
      <c r="K286" s="92" t="e">
        <f ca="1">IF(C286="","",[0]!CSVVLookUP(ROW(行数!A278),配列!$C$4,集計記録,5,1))</f>
        <v>#NAME?</v>
      </c>
      <c r="L286" s="104" t="e">
        <f t="shared" ca="1" si="36"/>
        <v>#NAME?</v>
      </c>
      <c r="M286" s="120" t="e">
        <f t="shared" ca="1" si="30"/>
        <v>#NAME?</v>
      </c>
      <c r="N286" s="120" t="e">
        <f ca="1">IF([0]!CSVVLookUP(ROW(行数!A278),配列!$C$4,集計記録,6,1)=0,"",[0]!CSVVLookUP(ROW(行数!A278),配列!$C$4,集計記録,6,1))</f>
        <v>#NAME?</v>
      </c>
      <c r="O286" s="88" t="e">
        <f ca="1">IF(INDIRECT("M"&amp;ROW()-1)&lt;&gt;INDIRECT("M"&amp;ROW()),リスト!$I$5,"")</f>
        <v>#NAME?</v>
      </c>
      <c r="P286" s="88" t="e">
        <f ca="1">IF(INDIRECT("M"&amp;ROW())&lt;&gt;INDIRECT("M"&amp;ROW()+1),リスト!$I$6,"")</f>
        <v>#NAME?</v>
      </c>
    </row>
    <row r="287" spans="1:16" x14ac:dyDescent="0.2">
      <c r="A287" s="169" t="e">
        <f ca="1">IF(C287="","",ROW(行数!A279))</f>
        <v>#NAME?</v>
      </c>
      <c r="B287" s="168" t="e">
        <f t="shared" ca="1" si="31"/>
        <v>#NAME?</v>
      </c>
      <c r="C287" s="90" t="e">
        <f ca="1">[0]!CSVVLookUP(ROW(行数!A279),配列!$C$4,集計記録,3,1)</f>
        <v>#NAME?</v>
      </c>
      <c r="D287" s="90" t="e">
        <f ca="1">[0]!CSVVLookUP(ROW(行数!B279),配列!$C$4,集計記録,4,1)</f>
        <v>#NAME?</v>
      </c>
      <c r="E287" s="118" t="e">
        <f t="shared" ca="1" si="32"/>
        <v>#NAME?</v>
      </c>
      <c r="F287" s="118" t="e">
        <f t="shared" ca="1" si="33"/>
        <v>#NAME?</v>
      </c>
      <c r="G287" s="103" t="e">
        <f t="shared" ca="1" si="34"/>
        <v>#NAME?</v>
      </c>
      <c r="H287" s="104" t="e">
        <f ca="1">IF(C287="","",MROUND([0]!CSVVLookUP(ROW(行数!A279),配列!$C$4,集計記録,8,1),"0:01"))</f>
        <v>#NAME?</v>
      </c>
      <c r="I287" s="104" t="e">
        <f t="shared" ca="1" si="35"/>
        <v>#NAME?</v>
      </c>
      <c r="J287" s="119" t="e">
        <f ca="1">IF(C287="","",MROUND([0]!CSVVLookUP(ROW(行数!A279),配列!$C$4,集計記録,7,1),"0:01"))</f>
        <v>#NAME?</v>
      </c>
      <c r="K287" s="92" t="e">
        <f ca="1">IF(C287="","",[0]!CSVVLookUP(ROW(行数!A279),配列!$C$4,集計記録,5,1))</f>
        <v>#NAME?</v>
      </c>
      <c r="L287" s="104" t="e">
        <f t="shared" ca="1" si="36"/>
        <v>#NAME?</v>
      </c>
      <c r="M287" s="120" t="e">
        <f t="shared" ca="1" si="30"/>
        <v>#NAME?</v>
      </c>
      <c r="N287" s="120" t="e">
        <f ca="1">IF([0]!CSVVLookUP(ROW(行数!A279),配列!$C$4,集計記録,6,1)=0,"",[0]!CSVVLookUP(ROW(行数!A279),配列!$C$4,集計記録,6,1))</f>
        <v>#NAME?</v>
      </c>
      <c r="O287" s="88" t="e">
        <f ca="1">IF(INDIRECT("M"&amp;ROW()-1)&lt;&gt;INDIRECT("M"&amp;ROW()),リスト!$I$5,"")</f>
        <v>#NAME?</v>
      </c>
      <c r="P287" s="88" t="e">
        <f ca="1">IF(INDIRECT("M"&amp;ROW())&lt;&gt;INDIRECT("M"&amp;ROW()+1),リスト!$I$6,"")</f>
        <v>#NAME?</v>
      </c>
    </row>
    <row r="288" spans="1:16" x14ac:dyDescent="0.2">
      <c r="A288" s="169" t="e">
        <f ca="1">IF(C288="","",ROW(行数!A280))</f>
        <v>#NAME?</v>
      </c>
      <c r="B288" s="168" t="e">
        <f t="shared" ca="1" si="31"/>
        <v>#NAME?</v>
      </c>
      <c r="C288" s="90" t="e">
        <f ca="1">[0]!CSVVLookUP(ROW(行数!A280),配列!$C$4,集計記録,3,1)</f>
        <v>#NAME?</v>
      </c>
      <c r="D288" s="90" t="e">
        <f ca="1">[0]!CSVVLookUP(ROW(行数!B280),配列!$C$4,集計記録,4,1)</f>
        <v>#NAME?</v>
      </c>
      <c r="E288" s="118" t="e">
        <f t="shared" ca="1" si="32"/>
        <v>#NAME?</v>
      </c>
      <c r="F288" s="118" t="e">
        <f t="shared" ca="1" si="33"/>
        <v>#NAME?</v>
      </c>
      <c r="G288" s="103" t="e">
        <f t="shared" ca="1" si="34"/>
        <v>#NAME?</v>
      </c>
      <c r="H288" s="104" t="e">
        <f ca="1">IF(C288="","",MROUND([0]!CSVVLookUP(ROW(行数!A280),配列!$C$4,集計記録,8,1),"0:01"))</f>
        <v>#NAME?</v>
      </c>
      <c r="I288" s="104" t="e">
        <f t="shared" ca="1" si="35"/>
        <v>#NAME?</v>
      </c>
      <c r="J288" s="119" t="e">
        <f ca="1">IF(C288="","",MROUND([0]!CSVVLookUP(ROW(行数!A280),配列!$C$4,集計記録,7,1),"0:01"))</f>
        <v>#NAME?</v>
      </c>
      <c r="K288" s="92" t="e">
        <f ca="1">IF(C288="","",[0]!CSVVLookUP(ROW(行数!A280),配列!$C$4,集計記録,5,1))</f>
        <v>#NAME?</v>
      </c>
      <c r="L288" s="104" t="e">
        <f t="shared" ca="1" si="36"/>
        <v>#NAME?</v>
      </c>
      <c r="M288" s="120" t="e">
        <f t="shared" ca="1" si="30"/>
        <v>#NAME?</v>
      </c>
      <c r="N288" s="120" t="e">
        <f ca="1">IF([0]!CSVVLookUP(ROW(行数!A280),配列!$C$4,集計記録,6,1)=0,"",[0]!CSVVLookUP(ROW(行数!A280),配列!$C$4,集計記録,6,1))</f>
        <v>#NAME?</v>
      </c>
      <c r="O288" s="88" t="e">
        <f ca="1">IF(INDIRECT("M"&amp;ROW()-1)&lt;&gt;INDIRECT("M"&amp;ROW()),リスト!$I$5,"")</f>
        <v>#NAME?</v>
      </c>
      <c r="P288" s="88" t="e">
        <f ca="1">IF(INDIRECT("M"&amp;ROW())&lt;&gt;INDIRECT("M"&amp;ROW()+1),リスト!$I$6,"")</f>
        <v>#NAME?</v>
      </c>
    </row>
    <row r="289" spans="1:16" x14ac:dyDescent="0.2">
      <c r="A289" s="169" t="e">
        <f ca="1">IF(C289="","",ROW(行数!A281))</f>
        <v>#NAME?</v>
      </c>
      <c r="B289" s="168" t="e">
        <f t="shared" ca="1" si="31"/>
        <v>#NAME?</v>
      </c>
      <c r="C289" s="90" t="e">
        <f ca="1">[0]!CSVVLookUP(ROW(行数!A281),配列!$C$4,集計記録,3,1)</f>
        <v>#NAME?</v>
      </c>
      <c r="D289" s="90" t="e">
        <f ca="1">[0]!CSVVLookUP(ROW(行数!B281),配列!$C$4,集計記録,4,1)</f>
        <v>#NAME?</v>
      </c>
      <c r="E289" s="118" t="e">
        <f t="shared" ca="1" si="32"/>
        <v>#NAME?</v>
      </c>
      <c r="F289" s="118" t="e">
        <f t="shared" ca="1" si="33"/>
        <v>#NAME?</v>
      </c>
      <c r="G289" s="103" t="e">
        <f t="shared" ca="1" si="34"/>
        <v>#NAME?</v>
      </c>
      <c r="H289" s="104" t="e">
        <f ca="1">IF(C289="","",MROUND([0]!CSVVLookUP(ROW(行数!A281),配列!$C$4,集計記録,8,1),"0:01"))</f>
        <v>#NAME?</v>
      </c>
      <c r="I289" s="104" t="e">
        <f t="shared" ca="1" si="35"/>
        <v>#NAME?</v>
      </c>
      <c r="J289" s="119" t="e">
        <f ca="1">IF(C289="","",MROUND([0]!CSVVLookUP(ROW(行数!A281),配列!$C$4,集計記録,7,1),"0:01"))</f>
        <v>#NAME?</v>
      </c>
      <c r="K289" s="92" t="e">
        <f ca="1">IF(C289="","",[0]!CSVVLookUP(ROW(行数!A281),配列!$C$4,集計記録,5,1))</f>
        <v>#NAME?</v>
      </c>
      <c r="L289" s="104" t="e">
        <f t="shared" ca="1" si="36"/>
        <v>#NAME?</v>
      </c>
      <c r="M289" s="120" t="e">
        <f t="shared" ca="1" si="30"/>
        <v>#NAME?</v>
      </c>
      <c r="N289" s="120" t="e">
        <f ca="1">IF([0]!CSVVLookUP(ROW(行数!A281),配列!$C$4,集計記録,6,1)=0,"",[0]!CSVVLookUP(ROW(行数!A281),配列!$C$4,集計記録,6,1))</f>
        <v>#NAME?</v>
      </c>
      <c r="O289" s="88" t="e">
        <f ca="1">IF(INDIRECT("M"&amp;ROW()-1)&lt;&gt;INDIRECT("M"&amp;ROW()),リスト!$I$5,"")</f>
        <v>#NAME?</v>
      </c>
      <c r="P289" s="88" t="e">
        <f ca="1">IF(INDIRECT("M"&amp;ROW())&lt;&gt;INDIRECT("M"&amp;ROW()+1),リスト!$I$6,"")</f>
        <v>#NAME?</v>
      </c>
    </row>
    <row r="290" spans="1:16" x14ac:dyDescent="0.2">
      <c r="A290" s="169" t="e">
        <f ca="1">IF(C290="","",ROW(行数!A282))</f>
        <v>#NAME?</v>
      </c>
      <c r="B290" s="168" t="e">
        <f t="shared" ca="1" si="31"/>
        <v>#NAME?</v>
      </c>
      <c r="C290" s="90" t="e">
        <f ca="1">[0]!CSVVLookUP(ROW(行数!A282),配列!$C$4,集計記録,3,1)</f>
        <v>#NAME?</v>
      </c>
      <c r="D290" s="90" t="e">
        <f ca="1">[0]!CSVVLookUP(ROW(行数!B282),配列!$C$4,集計記録,4,1)</f>
        <v>#NAME?</v>
      </c>
      <c r="E290" s="118" t="e">
        <f t="shared" ca="1" si="32"/>
        <v>#NAME?</v>
      </c>
      <c r="F290" s="118" t="e">
        <f t="shared" ca="1" si="33"/>
        <v>#NAME?</v>
      </c>
      <c r="G290" s="103" t="e">
        <f t="shared" ca="1" si="34"/>
        <v>#NAME?</v>
      </c>
      <c r="H290" s="104" t="e">
        <f ca="1">IF(C290="","",MROUND([0]!CSVVLookUP(ROW(行数!A282),配列!$C$4,集計記録,8,1),"0:01"))</f>
        <v>#NAME?</v>
      </c>
      <c r="I290" s="104" t="e">
        <f t="shared" ca="1" si="35"/>
        <v>#NAME?</v>
      </c>
      <c r="J290" s="119" t="e">
        <f ca="1">IF(C290="","",MROUND([0]!CSVVLookUP(ROW(行数!A282),配列!$C$4,集計記録,7,1),"0:01"))</f>
        <v>#NAME?</v>
      </c>
      <c r="K290" s="92" t="e">
        <f ca="1">IF(C290="","",[0]!CSVVLookUP(ROW(行数!A282),配列!$C$4,集計記録,5,1))</f>
        <v>#NAME?</v>
      </c>
      <c r="L290" s="104" t="e">
        <f t="shared" ca="1" si="36"/>
        <v>#NAME?</v>
      </c>
      <c r="M290" s="120" t="e">
        <f t="shared" ca="1" si="30"/>
        <v>#NAME?</v>
      </c>
      <c r="N290" s="120" t="e">
        <f ca="1">IF([0]!CSVVLookUP(ROW(行数!A282),配列!$C$4,集計記録,6,1)=0,"",[0]!CSVVLookUP(ROW(行数!A282),配列!$C$4,集計記録,6,1))</f>
        <v>#NAME?</v>
      </c>
      <c r="O290" s="88" t="e">
        <f ca="1">IF(INDIRECT("M"&amp;ROW()-1)&lt;&gt;INDIRECT("M"&amp;ROW()),リスト!$I$5,"")</f>
        <v>#NAME?</v>
      </c>
      <c r="P290" s="88" t="e">
        <f ca="1">IF(INDIRECT("M"&amp;ROW())&lt;&gt;INDIRECT("M"&amp;ROW()+1),リスト!$I$6,"")</f>
        <v>#NAME?</v>
      </c>
    </row>
    <row r="291" spans="1:16" x14ac:dyDescent="0.2">
      <c r="A291" s="169" t="e">
        <f ca="1">IF(C291="","",ROW(行数!A283))</f>
        <v>#NAME?</v>
      </c>
      <c r="B291" s="168" t="e">
        <f t="shared" ca="1" si="31"/>
        <v>#NAME?</v>
      </c>
      <c r="C291" s="90" t="e">
        <f ca="1">[0]!CSVVLookUP(ROW(行数!A283),配列!$C$4,集計記録,3,1)</f>
        <v>#NAME?</v>
      </c>
      <c r="D291" s="90" t="e">
        <f ca="1">[0]!CSVVLookUP(ROW(行数!B283),配列!$C$4,集計記録,4,1)</f>
        <v>#NAME?</v>
      </c>
      <c r="E291" s="118" t="e">
        <f t="shared" ca="1" si="32"/>
        <v>#NAME?</v>
      </c>
      <c r="F291" s="118" t="e">
        <f t="shared" ca="1" si="33"/>
        <v>#NAME?</v>
      </c>
      <c r="G291" s="103" t="e">
        <f t="shared" ca="1" si="34"/>
        <v>#NAME?</v>
      </c>
      <c r="H291" s="104" t="e">
        <f ca="1">IF(C291="","",MROUND([0]!CSVVLookUP(ROW(行数!A283),配列!$C$4,集計記録,8,1),"0:01"))</f>
        <v>#NAME?</v>
      </c>
      <c r="I291" s="104" t="e">
        <f t="shared" ca="1" si="35"/>
        <v>#NAME?</v>
      </c>
      <c r="J291" s="119" t="e">
        <f ca="1">IF(C291="","",MROUND([0]!CSVVLookUP(ROW(行数!A283),配列!$C$4,集計記録,7,1),"0:01"))</f>
        <v>#NAME?</v>
      </c>
      <c r="K291" s="92" t="e">
        <f ca="1">IF(C291="","",[0]!CSVVLookUP(ROW(行数!A283),配列!$C$4,集計記録,5,1))</f>
        <v>#NAME?</v>
      </c>
      <c r="L291" s="104" t="e">
        <f t="shared" ca="1" si="36"/>
        <v>#NAME?</v>
      </c>
      <c r="M291" s="120" t="e">
        <f t="shared" ca="1" si="30"/>
        <v>#NAME?</v>
      </c>
      <c r="N291" s="120" t="e">
        <f ca="1">IF([0]!CSVVLookUP(ROW(行数!A283),配列!$C$4,集計記録,6,1)=0,"",[0]!CSVVLookUP(ROW(行数!A283),配列!$C$4,集計記録,6,1))</f>
        <v>#NAME?</v>
      </c>
      <c r="O291" s="88" t="e">
        <f ca="1">IF(INDIRECT("M"&amp;ROW()-1)&lt;&gt;INDIRECT("M"&amp;ROW()),リスト!$I$5,"")</f>
        <v>#NAME?</v>
      </c>
      <c r="P291" s="88" t="e">
        <f ca="1">IF(INDIRECT("M"&amp;ROW())&lt;&gt;INDIRECT("M"&amp;ROW()+1),リスト!$I$6,"")</f>
        <v>#NAME?</v>
      </c>
    </row>
    <row r="292" spans="1:16" x14ac:dyDescent="0.2">
      <c r="A292" s="169" t="e">
        <f ca="1">IF(C292="","",ROW(行数!A284))</f>
        <v>#NAME?</v>
      </c>
      <c r="B292" s="168" t="e">
        <f t="shared" ca="1" si="31"/>
        <v>#NAME?</v>
      </c>
      <c r="C292" s="90" t="e">
        <f ca="1">[0]!CSVVLookUP(ROW(行数!A284),配列!$C$4,集計記録,3,1)</f>
        <v>#NAME?</v>
      </c>
      <c r="D292" s="90" t="e">
        <f ca="1">[0]!CSVVLookUP(ROW(行数!B284),配列!$C$4,集計記録,4,1)</f>
        <v>#NAME?</v>
      </c>
      <c r="E292" s="118" t="e">
        <f t="shared" ca="1" si="32"/>
        <v>#NAME?</v>
      </c>
      <c r="F292" s="118" t="e">
        <f t="shared" ca="1" si="33"/>
        <v>#NAME?</v>
      </c>
      <c r="G292" s="103" t="e">
        <f t="shared" ca="1" si="34"/>
        <v>#NAME?</v>
      </c>
      <c r="H292" s="104" t="e">
        <f ca="1">IF(C292="","",MROUND([0]!CSVVLookUP(ROW(行数!A284),配列!$C$4,集計記録,8,1),"0:01"))</f>
        <v>#NAME?</v>
      </c>
      <c r="I292" s="104" t="e">
        <f t="shared" ca="1" si="35"/>
        <v>#NAME?</v>
      </c>
      <c r="J292" s="119" t="e">
        <f ca="1">IF(C292="","",MROUND([0]!CSVVLookUP(ROW(行数!A284),配列!$C$4,集計記録,7,1),"0:01"))</f>
        <v>#NAME?</v>
      </c>
      <c r="K292" s="92" t="e">
        <f ca="1">IF(C292="","",[0]!CSVVLookUP(ROW(行数!A284),配列!$C$4,集計記録,5,1))</f>
        <v>#NAME?</v>
      </c>
      <c r="L292" s="104" t="e">
        <f t="shared" ca="1" si="36"/>
        <v>#NAME?</v>
      </c>
      <c r="M292" s="120" t="e">
        <f t="shared" ca="1" si="30"/>
        <v>#NAME?</v>
      </c>
      <c r="N292" s="120" t="e">
        <f ca="1">IF([0]!CSVVLookUP(ROW(行数!A284),配列!$C$4,集計記録,6,1)=0,"",[0]!CSVVLookUP(ROW(行数!A284),配列!$C$4,集計記録,6,1))</f>
        <v>#NAME?</v>
      </c>
      <c r="O292" s="88" t="e">
        <f ca="1">IF(INDIRECT("M"&amp;ROW()-1)&lt;&gt;INDIRECT("M"&amp;ROW()),リスト!$I$5,"")</f>
        <v>#NAME?</v>
      </c>
      <c r="P292" s="88" t="e">
        <f ca="1">IF(INDIRECT("M"&amp;ROW())&lt;&gt;INDIRECT("M"&amp;ROW()+1),リスト!$I$6,"")</f>
        <v>#NAME?</v>
      </c>
    </row>
    <row r="293" spans="1:16" x14ac:dyDescent="0.2">
      <c r="A293" s="169" t="e">
        <f ca="1">IF(C293="","",ROW(行数!A285))</f>
        <v>#NAME?</v>
      </c>
      <c r="B293" s="168" t="e">
        <f t="shared" ca="1" si="31"/>
        <v>#NAME?</v>
      </c>
      <c r="C293" s="90" t="e">
        <f ca="1">[0]!CSVVLookUP(ROW(行数!A285),配列!$C$4,集計記録,3,1)</f>
        <v>#NAME?</v>
      </c>
      <c r="D293" s="90" t="e">
        <f ca="1">[0]!CSVVLookUP(ROW(行数!B285),配列!$C$4,集計記録,4,1)</f>
        <v>#NAME?</v>
      </c>
      <c r="E293" s="118" t="e">
        <f t="shared" ca="1" si="32"/>
        <v>#NAME?</v>
      </c>
      <c r="F293" s="118" t="e">
        <f t="shared" ca="1" si="33"/>
        <v>#NAME?</v>
      </c>
      <c r="G293" s="103" t="e">
        <f t="shared" ca="1" si="34"/>
        <v>#NAME?</v>
      </c>
      <c r="H293" s="104" t="e">
        <f ca="1">IF(C293="","",MROUND([0]!CSVVLookUP(ROW(行数!A285),配列!$C$4,集計記録,8,1),"0:01"))</f>
        <v>#NAME?</v>
      </c>
      <c r="I293" s="104" t="e">
        <f t="shared" ca="1" si="35"/>
        <v>#NAME?</v>
      </c>
      <c r="J293" s="119" t="e">
        <f ca="1">IF(C293="","",MROUND([0]!CSVVLookUP(ROW(行数!A285),配列!$C$4,集計記録,7,1),"0:01"))</f>
        <v>#NAME?</v>
      </c>
      <c r="K293" s="92" t="e">
        <f ca="1">IF(C293="","",[0]!CSVVLookUP(ROW(行数!A285),配列!$C$4,集計記録,5,1))</f>
        <v>#NAME?</v>
      </c>
      <c r="L293" s="104" t="e">
        <f t="shared" ca="1" si="36"/>
        <v>#NAME?</v>
      </c>
      <c r="M293" s="120" t="e">
        <f t="shared" ca="1" si="30"/>
        <v>#NAME?</v>
      </c>
      <c r="N293" s="120" t="e">
        <f ca="1">IF([0]!CSVVLookUP(ROW(行数!A285),配列!$C$4,集計記録,6,1)=0,"",[0]!CSVVLookUP(ROW(行数!A285),配列!$C$4,集計記録,6,1))</f>
        <v>#NAME?</v>
      </c>
      <c r="O293" s="88" t="e">
        <f ca="1">IF(INDIRECT("M"&amp;ROW()-1)&lt;&gt;INDIRECT("M"&amp;ROW()),リスト!$I$5,"")</f>
        <v>#NAME?</v>
      </c>
      <c r="P293" s="88" t="e">
        <f ca="1">IF(INDIRECT("M"&amp;ROW())&lt;&gt;INDIRECT("M"&amp;ROW()+1),リスト!$I$6,"")</f>
        <v>#NAME?</v>
      </c>
    </row>
    <row r="294" spans="1:16" x14ac:dyDescent="0.2">
      <c r="A294" s="169" t="e">
        <f ca="1">IF(C294="","",ROW(行数!A286))</f>
        <v>#NAME?</v>
      </c>
      <c r="B294" s="168" t="e">
        <f t="shared" ca="1" si="31"/>
        <v>#NAME?</v>
      </c>
      <c r="C294" s="90" t="e">
        <f ca="1">[0]!CSVVLookUP(ROW(行数!A286),配列!$C$4,集計記録,3,1)</f>
        <v>#NAME?</v>
      </c>
      <c r="D294" s="90" t="e">
        <f ca="1">[0]!CSVVLookUP(ROW(行数!B286),配列!$C$4,集計記録,4,1)</f>
        <v>#NAME?</v>
      </c>
      <c r="E294" s="118" t="e">
        <f t="shared" ca="1" si="32"/>
        <v>#NAME?</v>
      </c>
      <c r="F294" s="118" t="e">
        <f t="shared" ca="1" si="33"/>
        <v>#NAME?</v>
      </c>
      <c r="G294" s="103" t="e">
        <f t="shared" ca="1" si="34"/>
        <v>#NAME?</v>
      </c>
      <c r="H294" s="104" t="e">
        <f ca="1">IF(C294="","",MROUND([0]!CSVVLookUP(ROW(行数!A286),配列!$C$4,集計記録,8,1),"0:01"))</f>
        <v>#NAME?</v>
      </c>
      <c r="I294" s="104" t="e">
        <f t="shared" ca="1" si="35"/>
        <v>#NAME?</v>
      </c>
      <c r="J294" s="119" t="e">
        <f ca="1">IF(C294="","",MROUND([0]!CSVVLookUP(ROW(行数!A286),配列!$C$4,集計記録,7,1),"0:01"))</f>
        <v>#NAME?</v>
      </c>
      <c r="K294" s="92" t="e">
        <f ca="1">IF(C294="","",[0]!CSVVLookUP(ROW(行数!A286),配列!$C$4,集計記録,5,1))</f>
        <v>#NAME?</v>
      </c>
      <c r="L294" s="104" t="e">
        <f t="shared" ca="1" si="36"/>
        <v>#NAME?</v>
      </c>
      <c r="M294" s="120" t="e">
        <f t="shared" ca="1" si="30"/>
        <v>#NAME?</v>
      </c>
      <c r="N294" s="120" t="e">
        <f ca="1">IF([0]!CSVVLookUP(ROW(行数!A286),配列!$C$4,集計記録,6,1)=0,"",[0]!CSVVLookUP(ROW(行数!A286),配列!$C$4,集計記録,6,1))</f>
        <v>#NAME?</v>
      </c>
      <c r="O294" s="88" t="e">
        <f ca="1">IF(INDIRECT("M"&amp;ROW()-1)&lt;&gt;INDIRECT("M"&amp;ROW()),リスト!$I$5,"")</f>
        <v>#NAME?</v>
      </c>
      <c r="P294" s="88" t="e">
        <f ca="1">IF(INDIRECT("M"&amp;ROW())&lt;&gt;INDIRECT("M"&amp;ROW()+1),リスト!$I$6,"")</f>
        <v>#NAME?</v>
      </c>
    </row>
    <row r="295" spans="1:16" x14ac:dyDescent="0.2">
      <c r="A295" s="169" t="e">
        <f ca="1">IF(C295="","",ROW(行数!A287))</f>
        <v>#NAME?</v>
      </c>
      <c r="B295" s="168" t="e">
        <f t="shared" ca="1" si="31"/>
        <v>#NAME?</v>
      </c>
      <c r="C295" s="90" t="e">
        <f ca="1">[0]!CSVVLookUP(ROW(行数!A287),配列!$C$4,集計記録,3,1)</f>
        <v>#NAME?</v>
      </c>
      <c r="D295" s="90" t="e">
        <f ca="1">[0]!CSVVLookUP(ROW(行数!B287),配列!$C$4,集計記録,4,1)</f>
        <v>#NAME?</v>
      </c>
      <c r="E295" s="118" t="e">
        <f t="shared" ca="1" si="32"/>
        <v>#NAME?</v>
      </c>
      <c r="F295" s="118" t="e">
        <f t="shared" ca="1" si="33"/>
        <v>#NAME?</v>
      </c>
      <c r="G295" s="103" t="e">
        <f t="shared" ca="1" si="34"/>
        <v>#NAME?</v>
      </c>
      <c r="H295" s="104" t="e">
        <f ca="1">IF(C295="","",MROUND([0]!CSVVLookUP(ROW(行数!A287),配列!$C$4,集計記録,8,1),"0:01"))</f>
        <v>#NAME?</v>
      </c>
      <c r="I295" s="104" t="e">
        <f t="shared" ca="1" si="35"/>
        <v>#NAME?</v>
      </c>
      <c r="J295" s="119" t="e">
        <f ca="1">IF(C295="","",MROUND([0]!CSVVLookUP(ROW(行数!A287),配列!$C$4,集計記録,7,1),"0:01"))</f>
        <v>#NAME?</v>
      </c>
      <c r="K295" s="92" t="e">
        <f ca="1">IF(C295="","",[0]!CSVVLookUP(ROW(行数!A287),配列!$C$4,集計記録,5,1))</f>
        <v>#NAME?</v>
      </c>
      <c r="L295" s="104" t="e">
        <f t="shared" ca="1" si="36"/>
        <v>#NAME?</v>
      </c>
      <c r="M295" s="120" t="e">
        <f t="shared" ca="1" si="30"/>
        <v>#NAME?</v>
      </c>
      <c r="N295" s="120" t="e">
        <f ca="1">IF([0]!CSVVLookUP(ROW(行数!A287),配列!$C$4,集計記録,6,1)=0,"",[0]!CSVVLookUP(ROW(行数!A287),配列!$C$4,集計記録,6,1))</f>
        <v>#NAME?</v>
      </c>
      <c r="O295" s="88" t="e">
        <f ca="1">IF(INDIRECT("M"&amp;ROW()-1)&lt;&gt;INDIRECT("M"&amp;ROW()),リスト!$I$5,"")</f>
        <v>#NAME?</v>
      </c>
      <c r="P295" s="88" t="e">
        <f ca="1">IF(INDIRECT("M"&amp;ROW())&lt;&gt;INDIRECT("M"&amp;ROW()+1),リスト!$I$6,"")</f>
        <v>#NAME?</v>
      </c>
    </row>
    <row r="296" spans="1:16" x14ac:dyDescent="0.2">
      <c r="A296" s="169" t="e">
        <f ca="1">IF(C296="","",ROW(行数!A288))</f>
        <v>#NAME?</v>
      </c>
      <c r="B296" s="168" t="e">
        <f t="shared" ca="1" si="31"/>
        <v>#NAME?</v>
      </c>
      <c r="C296" s="90" t="e">
        <f ca="1">[0]!CSVVLookUP(ROW(行数!A288),配列!$C$4,集計記録,3,1)</f>
        <v>#NAME?</v>
      </c>
      <c r="D296" s="90" t="e">
        <f ca="1">[0]!CSVVLookUP(ROW(行数!B288),配列!$C$4,集計記録,4,1)</f>
        <v>#NAME?</v>
      </c>
      <c r="E296" s="118" t="e">
        <f t="shared" ca="1" si="32"/>
        <v>#NAME?</v>
      </c>
      <c r="F296" s="118" t="e">
        <f t="shared" ca="1" si="33"/>
        <v>#NAME?</v>
      </c>
      <c r="G296" s="103" t="e">
        <f t="shared" ca="1" si="34"/>
        <v>#NAME?</v>
      </c>
      <c r="H296" s="104" t="e">
        <f ca="1">IF(C296="","",MROUND([0]!CSVVLookUP(ROW(行数!A288),配列!$C$4,集計記録,8,1),"0:01"))</f>
        <v>#NAME?</v>
      </c>
      <c r="I296" s="104" t="e">
        <f t="shared" ca="1" si="35"/>
        <v>#NAME?</v>
      </c>
      <c r="J296" s="119" t="e">
        <f ca="1">IF(C296="","",MROUND([0]!CSVVLookUP(ROW(行数!A288),配列!$C$4,集計記録,7,1),"0:01"))</f>
        <v>#NAME?</v>
      </c>
      <c r="K296" s="92" t="e">
        <f ca="1">IF(C296="","",[0]!CSVVLookUP(ROW(行数!A288),配列!$C$4,集計記録,5,1))</f>
        <v>#NAME?</v>
      </c>
      <c r="L296" s="104" t="e">
        <f t="shared" ca="1" si="36"/>
        <v>#NAME?</v>
      </c>
      <c r="M296" s="120" t="e">
        <f t="shared" ca="1" si="30"/>
        <v>#NAME?</v>
      </c>
      <c r="N296" s="120" t="e">
        <f ca="1">IF([0]!CSVVLookUP(ROW(行数!A288),配列!$C$4,集計記録,6,1)=0,"",[0]!CSVVLookUP(ROW(行数!A288),配列!$C$4,集計記録,6,1))</f>
        <v>#NAME?</v>
      </c>
      <c r="O296" s="88" t="e">
        <f ca="1">IF(INDIRECT("M"&amp;ROW()-1)&lt;&gt;INDIRECT("M"&amp;ROW()),リスト!$I$5,"")</f>
        <v>#NAME?</v>
      </c>
      <c r="P296" s="88" t="e">
        <f ca="1">IF(INDIRECT("M"&amp;ROW())&lt;&gt;INDIRECT("M"&amp;ROW()+1),リスト!$I$6,"")</f>
        <v>#NAME?</v>
      </c>
    </row>
    <row r="297" spans="1:16" x14ac:dyDescent="0.2">
      <c r="A297" s="169" t="e">
        <f ca="1">IF(C297="","",ROW(行数!A289))</f>
        <v>#NAME?</v>
      </c>
      <c r="B297" s="168" t="e">
        <f t="shared" ca="1" si="31"/>
        <v>#NAME?</v>
      </c>
      <c r="C297" s="90" t="e">
        <f ca="1">[0]!CSVVLookUP(ROW(行数!A289),配列!$C$4,集計記録,3,1)</f>
        <v>#NAME?</v>
      </c>
      <c r="D297" s="90" t="e">
        <f ca="1">[0]!CSVVLookUP(ROW(行数!B289),配列!$C$4,集計記録,4,1)</f>
        <v>#NAME?</v>
      </c>
      <c r="E297" s="118" t="e">
        <f t="shared" ca="1" si="32"/>
        <v>#NAME?</v>
      </c>
      <c r="F297" s="118" t="e">
        <f t="shared" ca="1" si="33"/>
        <v>#NAME?</v>
      </c>
      <c r="G297" s="103" t="e">
        <f t="shared" ca="1" si="34"/>
        <v>#NAME?</v>
      </c>
      <c r="H297" s="104" t="e">
        <f ca="1">IF(C297="","",MROUND([0]!CSVVLookUP(ROW(行数!A289),配列!$C$4,集計記録,8,1),"0:01"))</f>
        <v>#NAME?</v>
      </c>
      <c r="I297" s="104" t="e">
        <f t="shared" ca="1" si="35"/>
        <v>#NAME?</v>
      </c>
      <c r="J297" s="119" t="e">
        <f ca="1">IF(C297="","",MROUND([0]!CSVVLookUP(ROW(行数!A289),配列!$C$4,集計記録,7,1),"0:01"))</f>
        <v>#NAME?</v>
      </c>
      <c r="K297" s="92" t="e">
        <f ca="1">IF(C297="","",[0]!CSVVLookUP(ROW(行数!A289),配列!$C$4,集計記録,5,1))</f>
        <v>#NAME?</v>
      </c>
      <c r="L297" s="104" t="e">
        <f t="shared" ca="1" si="36"/>
        <v>#NAME?</v>
      </c>
      <c r="M297" s="120" t="e">
        <f t="shared" ca="1" si="30"/>
        <v>#NAME?</v>
      </c>
      <c r="N297" s="120" t="e">
        <f ca="1">IF([0]!CSVVLookUP(ROW(行数!A289),配列!$C$4,集計記録,6,1)=0,"",[0]!CSVVLookUP(ROW(行数!A289),配列!$C$4,集計記録,6,1))</f>
        <v>#NAME?</v>
      </c>
      <c r="O297" s="88" t="e">
        <f ca="1">IF(INDIRECT("M"&amp;ROW()-1)&lt;&gt;INDIRECT("M"&amp;ROW()),リスト!$I$5,"")</f>
        <v>#NAME?</v>
      </c>
      <c r="P297" s="88" t="e">
        <f ca="1">IF(INDIRECT("M"&amp;ROW())&lt;&gt;INDIRECT("M"&amp;ROW()+1),リスト!$I$6,"")</f>
        <v>#NAME?</v>
      </c>
    </row>
    <row r="298" spans="1:16" x14ac:dyDescent="0.2">
      <c r="A298" s="169" t="e">
        <f ca="1">IF(C298="","",ROW(行数!A290))</f>
        <v>#NAME?</v>
      </c>
      <c r="B298" s="168" t="e">
        <f t="shared" ca="1" si="31"/>
        <v>#NAME?</v>
      </c>
      <c r="C298" s="90" t="e">
        <f ca="1">[0]!CSVVLookUP(ROW(行数!A290),配列!$C$4,集計記録,3,1)</f>
        <v>#NAME?</v>
      </c>
      <c r="D298" s="90" t="e">
        <f ca="1">[0]!CSVVLookUP(ROW(行数!B290),配列!$C$4,集計記録,4,1)</f>
        <v>#NAME?</v>
      </c>
      <c r="E298" s="118" t="e">
        <f t="shared" ca="1" si="32"/>
        <v>#NAME?</v>
      </c>
      <c r="F298" s="118" t="e">
        <f t="shared" ca="1" si="33"/>
        <v>#NAME?</v>
      </c>
      <c r="G298" s="103" t="e">
        <f t="shared" ca="1" si="34"/>
        <v>#NAME?</v>
      </c>
      <c r="H298" s="104" t="e">
        <f ca="1">IF(C298="","",MROUND([0]!CSVVLookUP(ROW(行数!A290),配列!$C$4,集計記録,8,1),"0:01"))</f>
        <v>#NAME?</v>
      </c>
      <c r="I298" s="104" t="e">
        <f t="shared" ca="1" si="35"/>
        <v>#NAME?</v>
      </c>
      <c r="J298" s="119" t="e">
        <f ca="1">IF(C298="","",MROUND([0]!CSVVLookUP(ROW(行数!A290),配列!$C$4,集計記録,7,1),"0:01"))</f>
        <v>#NAME?</v>
      </c>
      <c r="K298" s="92" t="e">
        <f ca="1">IF(C298="","",[0]!CSVVLookUP(ROW(行数!A290),配列!$C$4,集計記録,5,1))</f>
        <v>#NAME?</v>
      </c>
      <c r="L298" s="104" t="e">
        <f t="shared" ca="1" si="36"/>
        <v>#NAME?</v>
      </c>
      <c r="M298" s="120" t="e">
        <f t="shared" ca="1" si="30"/>
        <v>#NAME?</v>
      </c>
      <c r="N298" s="120" t="e">
        <f ca="1">IF([0]!CSVVLookUP(ROW(行数!A290),配列!$C$4,集計記録,6,1)=0,"",[0]!CSVVLookUP(ROW(行数!A290),配列!$C$4,集計記録,6,1))</f>
        <v>#NAME?</v>
      </c>
      <c r="O298" s="88" t="e">
        <f ca="1">IF(INDIRECT("M"&amp;ROW()-1)&lt;&gt;INDIRECT("M"&amp;ROW()),リスト!$I$5,"")</f>
        <v>#NAME?</v>
      </c>
      <c r="P298" s="88" t="e">
        <f ca="1">IF(INDIRECT("M"&amp;ROW())&lt;&gt;INDIRECT("M"&amp;ROW()+1),リスト!$I$6,"")</f>
        <v>#NAME?</v>
      </c>
    </row>
    <row r="299" spans="1:16" x14ac:dyDescent="0.2">
      <c r="A299" s="169" t="e">
        <f ca="1">IF(C299="","",ROW(行数!A291))</f>
        <v>#NAME?</v>
      </c>
      <c r="B299" s="168" t="e">
        <f t="shared" ca="1" si="31"/>
        <v>#NAME?</v>
      </c>
      <c r="C299" s="90" t="e">
        <f ca="1">[0]!CSVVLookUP(ROW(行数!A291),配列!$C$4,集計記録,3,1)</f>
        <v>#NAME?</v>
      </c>
      <c r="D299" s="90" t="e">
        <f ca="1">[0]!CSVVLookUP(ROW(行数!B291),配列!$C$4,集計記録,4,1)</f>
        <v>#NAME?</v>
      </c>
      <c r="E299" s="118" t="e">
        <f t="shared" ca="1" si="32"/>
        <v>#NAME?</v>
      </c>
      <c r="F299" s="118" t="e">
        <f t="shared" ca="1" si="33"/>
        <v>#NAME?</v>
      </c>
      <c r="G299" s="103" t="e">
        <f t="shared" ca="1" si="34"/>
        <v>#NAME?</v>
      </c>
      <c r="H299" s="104" t="e">
        <f ca="1">IF(C299="","",MROUND([0]!CSVVLookUP(ROW(行数!A291),配列!$C$4,集計記録,8,1),"0:01"))</f>
        <v>#NAME?</v>
      </c>
      <c r="I299" s="104" t="e">
        <f t="shared" ca="1" si="35"/>
        <v>#NAME?</v>
      </c>
      <c r="J299" s="119" t="e">
        <f ca="1">IF(C299="","",MROUND([0]!CSVVLookUP(ROW(行数!A291),配列!$C$4,集計記録,7,1),"0:01"))</f>
        <v>#NAME?</v>
      </c>
      <c r="K299" s="92" t="e">
        <f ca="1">IF(C299="","",[0]!CSVVLookUP(ROW(行数!A291),配列!$C$4,集計記録,5,1))</f>
        <v>#NAME?</v>
      </c>
      <c r="L299" s="104" t="e">
        <f t="shared" ca="1" si="36"/>
        <v>#NAME?</v>
      </c>
      <c r="M299" s="120" t="e">
        <f t="shared" ca="1" si="30"/>
        <v>#NAME?</v>
      </c>
      <c r="N299" s="120" t="e">
        <f ca="1">IF([0]!CSVVLookUP(ROW(行数!A291),配列!$C$4,集計記録,6,1)=0,"",[0]!CSVVLookUP(ROW(行数!A291),配列!$C$4,集計記録,6,1))</f>
        <v>#NAME?</v>
      </c>
      <c r="O299" s="88" t="e">
        <f ca="1">IF(INDIRECT("M"&amp;ROW()-1)&lt;&gt;INDIRECT("M"&amp;ROW()),リスト!$I$5,"")</f>
        <v>#NAME?</v>
      </c>
      <c r="P299" s="88" t="e">
        <f ca="1">IF(INDIRECT("M"&amp;ROW())&lt;&gt;INDIRECT("M"&amp;ROW()+1),リスト!$I$6,"")</f>
        <v>#NAME?</v>
      </c>
    </row>
    <row r="300" spans="1:16" x14ac:dyDescent="0.2">
      <c r="A300" s="169" t="e">
        <f ca="1">IF(C300="","",ROW(行数!A292))</f>
        <v>#NAME?</v>
      </c>
      <c r="B300" s="168" t="e">
        <f t="shared" ca="1" si="31"/>
        <v>#NAME?</v>
      </c>
      <c r="C300" s="90" t="e">
        <f ca="1">[0]!CSVVLookUP(ROW(行数!A292),配列!$C$4,集計記録,3,1)</f>
        <v>#NAME?</v>
      </c>
      <c r="D300" s="90" t="e">
        <f ca="1">[0]!CSVVLookUP(ROW(行数!B292),配列!$C$4,集計記録,4,1)</f>
        <v>#NAME?</v>
      </c>
      <c r="E300" s="118" t="e">
        <f t="shared" ca="1" si="32"/>
        <v>#NAME?</v>
      </c>
      <c r="F300" s="118" t="e">
        <f t="shared" ca="1" si="33"/>
        <v>#NAME?</v>
      </c>
      <c r="G300" s="103" t="e">
        <f t="shared" ca="1" si="34"/>
        <v>#NAME?</v>
      </c>
      <c r="H300" s="104" t="e">
        <f ca="1">IF(C300="","",MROUND([0]!CSVVLookUP(ROW(行数!A292),配列!$C$4,集計記録,8,1),"0:01"))</f>
        <v>#NAME?</v>
      </c>
      <c r="I300" s="104" t="e">
        <f t="shared" ca="1" si="35"/>
        <v>#NAME?</v>
      </c>
      <c r="J300" s="119" t="e">
        <f ca="1">IF(C300="","",MROUND([0]!CSVVLookUP(ROW(行数!A292),配列!$C$4,集計記録,7,1),"0:01"))</f>
        <v>#NAME?</v>
      </c>
      <c r="K300" s="92" t="e">
        <f ca="1">IF(C300="","",[0]!CSVVLookUP(ROW(行数!A292),配列!$C$4,集計記録,5,1))</f>
        <v>#NAME?</v>
      </c>
      <c r="L300" s="104" t="e">
        <f t="shared" ca="1" si="36"/>
        <v>#NAME?</v>
      </c>
      <c r="M300" s="120" t="e">
        <f t="shared" ca="1" si="30"/>
        <v>#NAME?</v>
      </c>
      <c r="N300" s="120" t="e">
        <f ca="1">IF([0]!CSVVLookUP(ROW(行数!A292),配列!$C$4,集計記録,6,1)=0,"",[0]!CSVVLookUP(ROW(行数!A292),配列!$C$4,集計記録,6,1))</f>
        <v>#NAME?</v>
      </c>
      <c r="O300" s="88" t="e">
        <f ca="1">IF(INDIRECT("M"&amp;ROW()-1)&lt;&gt;INDIRECT("M"&amp;ROW()),リスト!$I$5,"")</f>
        <v>#NAME?</v>
      </c>
      <c r="P300" s="88" t="e">
        <f ca="1">IF(INDIRECT("M"&amp;ROW())&lt;&gt;INDIRECT("M"&amp;ROW()+1),リスト!$I$6,"")</f>
        <v>#NAME?</v>
      </c>
    </row>
    <row r="301" spans="1:16" x14ac:dyDescent="0.2">
      <c r="A301" s="169" t="e">
        <f ca="1">IF(C301="","",ROW(行数!A293))</f>
        <v>#NAME?</v>
      </c>
      <c r="B301" s="168" t="e">
        <f t="shared" ca="1" si="31"/>
        <v>#NAME?</v>
      </c>
      <c r="C301" s="90" t="e">
        <f ca="1">[0]!CSVVLookUP(ROW(行数!A293),配列!$C$4,集計記録,3,1)</f>
        <v>#NAME?</v>
      </c>
      <c r="D301" s="90" t="e">
        <f ca="1">[0]!CSVVLookUP(ROW(行数!B293),配列!$C$4,集計記録,4,1)</f>
        <v>#NAME?</v>
      </c>
      <c r="E301" s="118" t="e">
        <f t="shared" ca="1" si="32"/>
        <v>#NAME?</v>
      </c>
      <c r="F301" s="118" t="e">
        <f t="shared" ca="1" si="33"/>
        <v>#NAME?</v>
      </c>
      <c r="G301" s="103" t="e">
        <f t="shared" ca="1" si="34"/>
        <v>#NAME?</v>
      </c>
      <c r="H301" s="104" t="e">
        <f ca="1">IF(C301="","",MROUND([0]!CSVVLookUP(ROW(行数!A293),配列!$C$4,集計記録,8,1),"0:01"))</f>
        <v>#NAME?</v>
      </c>
      <c r="I301" s="104" t="e">
        <f t="shared" ca="1" si="35"/>
        <v>#NAME?</v>
      </c>
      <c r="J301" s="119" t="e">
        <f ca="1">IF(C301="","",MROUND([0]!CSVVLookUP(ROW(行数!A293),配列!$C$4,集計記録,7,1),"0:01"))</f>
        <v>#NAME?</v>
      </c>
      <c r="K301" s="92" t="e">
        <f ca="1">IF(C301="","",[0]!CSVVLookUP(ROW(行数!A293),配列!$C$4,集計記録,5,1))</f>
        <v>#NAME?</v>
      </c>
      <c r="L301" s="104" t="e">
        <f t="shared" ca="1" si="36"/>
        <v>#NAME?</v>
      </c>
      <c r="M301" s="120" t="e">
        <f t="shared" ca="1" si="30"/>
        <v>#NAME?</v>
      </c>
      <c r="N301" s="120" t="e">
        <f ca="1">IF([0]!CSVVLookUP(ROW(行数!A293),配列!$C$4,集計記録,6,1)=0,"",[0]!CSVVLookUP(ROW(行数!A293),配列!$C$4,集計記録,6,1))</f>
        <v>#NAME?</v>
      </c>
      <c r="O301" s="88" t="e">
        <f ca="1">IF(INDIRECT("M"&amp;ROW()-1)&lt;&gt;INDIRECT("M"&amp;ROW()),リスト!$I$5,"")</f>
        <v>#NAME?</v>
      </c>
      <c r="P301" s="88" t="e">
        <f ca="1">IF(INDIRECT("M"&amp;ROW())&lt;&gt;INDIRECT("M"&amp;ROW()+1),リスト!$I$6,"")</f>
        <v>#NAME?</v>
      </c>
    </row>
    <row r="302" spans="1:16" x14ac:dyDescent="0.2">
      <c r="A302" s="169" t="e">
        <f ca="1">IF(C302="","",ROW(行数!A294))</f>
        <v>#NAME?</v>
      </c>
      <c r="B302" s="168" t="e">
        <f t="shared" ca="1" si="31"/>
        <v>#NAME?</v>
      </c>
      <c r="C302" s="90" t="e">
        <f ca="1">[0]!CSVVLookUP(ROW(行数!A294),配列!$C$4,集計記録,3,1)</f>
        <v>#NAME?</v>
      </c>
      <c r="D302" s="90" t="e">
        <f ca="1">[0]!CSVVLookUP(ROW(行数!B294),配列!$C$4,集計記録,4,1)</f>
        <v>#NAME?</v>
      </c>
      <c r="E302" s="118" t="e">
        <f t="shared" ca="1" si="32"/>
        <v>#NAME?</v>
      </c>
      <c r="F302" s="118" t="e">
        <f t="shared" ca="1" si="33"/>
        <v>#NAME?</v>
      </c>
      <c r="G302" s="103" t="e">
        <f t="shared" ca="1" si="34"/>
        <v>#NAME?</v>
      </c>
      <c r="H302" s="104" t="e">
        <f ca="1">IF(C302="","",MROUND([0]!CSVVLookUP(ROW(行数!A294),配列!$C$4,集計記録,8,1),"0:01"))</f>
        <v>#NAME?</v>
      </c>
      <c r="I302" s="104" t="e">
        <f t="shared" ca="1" si="35"/>
        <v>#NAME?</v>
      </c>
      <c r="J302" s="119" t="e">
        <f ca="1">IF(C302="","",MROUND([0]!CSVVLookUP(ROW(行数!A294),配列!$C$4,集計記録,7,1),"0:01"))</f>
        <v>#NAME?</v>
      </c>
      <c r="K302" s="92" t="e">
        <f ca="1">IF(C302="","",[0]!CSVVLookUP(ROW(行数!A294),配列!$C$4,集計記録,5,1))</f>
        <v>#NAME?</v>
      </c>
      <c r="L302" s="104" t="e">
        <f t="shared" ca="1" si="36"/>
        <v>#NAME?</v>
      </c>
      <c r="M302" s="120" t="e">
        <f t="shared" ca="1" si="30"/>
        <v>#NAME?</v>
      </c>
      <c r="N302" s="120" t="e">
        <f ca="1">IF([0]!CSVVLookUP(ROW(行数!A294),配列!$C$4,集計記録,6,1)=0,"",[0]!CSVVLookUP(ROW(行数!A294),配列!$C$4,集計記録,6,1))</f>
        <v>#NAME?</v>
      </c>
      <c r="O302" s="88" t="e">
        <f ca="1">IF(INDIRECT("M"&amp;ROW()-1)&lt;&gt;INDIRECT("M"&amp;ROW()),リスト!$I$5,"")</f>
        <v>#NAME?</v>
      </c>
      <c r="P302" s="88" t="e">
        <f ca="1">IF(INDIRECT("M"&amp;ROW())&lt;&gt;INDIRECT("M"&amp;ROW()+1),リスト!$I$6,"")</f>
        <v>#NAME?</v>
      </c>
    </row>
    <row r="303" spans="1:16" x14ac:dyDescent="0.2">
      <c r="A303" s="169" t="e">
        <f ca="1">IF(C303="","",ROW(行数!A295))</f>
        <v>#NAME?</v>
      </c>
      <c r="B303" s="168" t="e">
        <f t="shared" ca="1" si="31"/>
        <v>#NAME?</v>
      </c>
      <c r="C303" s="90" t="e">
        <f ca="1">[0]!CSVVLookUP(ROW(行数!A295),配列!$C$4,集計記録,3,1)</f>
        <v>#NAME?</v>
      </c>
      <c r="D303" s="90" t="e">
        <f ca="1">[0]!CSVVLookUP(ROW(行数!B295),配列!$C$4,集計記録,4,1)</f>
        <v>#NAME?</v>
      </c>
      <c r="E303" s="118" t="e">
        <f t="shared" ca="1" si="32"/>
        <v>#NAME?</v>
      </c>
      <c r="F303" s="118" t="e">
        <f t="shared" ca="1" si="33"/>
        <v>#NAME?</v>
      </c>
      <c r="G303" s="103" t="e">
        <f t="shared" ca="1" si="34"/>
        <v>#NAME?</v>
      </c>
      <c r="H303" s="104" t="e">
        <f ca="1">IF(C303="","",MROUND([0]!CSVVLookUP(ROW(行数!A295),配列!$C$4,集計記録,8,1),"0:01"))</f>
        <v>#NAME?</v>
      </c>
      <c r="I303" s="104" t="e">
        <f t="shared" ca="1" si="35"/>
        <v>#NAME?</v>
      </c>
      <c r="J303" s="119" t="e">
        <f ca="1">IF(C303="","",MROUND([0]!CSVVLookUP(ROW(行数!A295),配列!$C$4,集計記録,7,1),"0:01"))</f>
        <v>#NAME?</v>
      </c>
      <c r="K303" s="92" t="e">
        <f ca="1">IF(C303="","",[0]!CSVVLookUP(ROW(行数!A295),配列!$C$4,集計記録,5,1))</f>
        <v>#NAME?</v>
      </c>
      <c r="L303" s="104" t="e">
        <f t="shared" ca="1" si="36"/>
        <v>#NAME?</v>
      </c>
      <c r="M303" s="120" t="e">
        <f t="shared" ca="1" si="30"/>
        <v>#NAME?</v>
      </c>
      <c r="N303" s="120" t="e">
        <f ca="1">IF([0]!CSVVLookUP(ROW(行数!A295),配列!$C$4,集計記録,6,1)=0,"",[0]!CSVVLookUP(ROW(行数!A295),配列!$C$4,集計記録,6,1))</f>
        <v>#NAME?</v>
      </c>
      <c r="O303" s="88" t="e">
        <f ca="1">IF(INDIRECT("M"&amp;ROW()-1)&lt;&gt;INDIRECT("M"&amp;ROW()),リスト!$I$5,"")</f>
        <v>#NAME?</v>
      </c>
      <c r="P303" s="88" t="e">
        <f ca="1">IF(INDIRECT("M"&amp;ROW())&lt;&gt;INDIRECT("M"&amp;ROW()+1),リスト!$I$6,"")</f>
        <v>#NAME?</v>
      </c>
    </row>
    <row r="304" spans="1:16" x14ac:dyDescent="0.2">
      <c r="A304" s="169" t="e">
        <f ca="1">IF(C304="","",ROW(行数!A296))</f>
        <v>#NAME?</v>
      </c>
      <c r="B304" s="168" t="e">
        <f t="shared" ca="1" si="31"/>
        <v>#NAME?</v>
      </c>
      <c r="C304" s="90" t="e">
        <f ca="1">[0]!CSVVLookUP(ROW(行数!A296),配列!$C$4,集計記録,3,1)</f>
        <v>#NAME?</v>
      </c>
      <c r="D304" s="90" t="e">
        <f ca="1">[0]!CSVVLookUP(ROW(行数!B296),配列!$C$4,集計記録,4,1)</f>
        <v>#NAME?</v>
      </c>
      <c r="E304" s="118" t="e">
        <f t="shared" ca="1" si="32"/>
        <v>#NAME?</v>
      </c>
      <c r="F304" s="118" t="e">
        <f t="shared" ca="1" si="33"/>
        <v>#NAME?</v>
      </c>
      <c r="G304" s="103" t="e">
        <f t="shared" ca="1" si="34"/>
        <v>#NAME?</v>
      </c>
      <c r="H304" s="104" t="e">
        <f ca="1">IF(C304="","",MROUND([0]!CSVVLookUP(ROW(行数!A296),配列!$C$4,集計記録,8,1),"0:01"))</f>
        <v>#NAME?</v>
      </c>
      <c r="I304" s="104" t="e">
        <f t="shared" ca="1" si="35"/>
        <v>#NAME?</v>
      </c>
      <c r="J304" s="119" t="e">
        <f ca="1">IF(C304="","",MROUND([0]!CSVVLookUP(ROW(行数!A296),配列!$C$4,集計記録,7,1),"0:01"))</f>
        <v>#NAME?</v>
      </c>
      <c r="K304" s="92" t="e">
        <f ca="1">IF(C304="","",[0]!CSVVLookUP(ROW(行数!A296),配列!$C$4,集計記録,5,1))</f>
        <v>#NAME?</v>
      </c>
      <c r="L304" s="104" t="e">
        <f t="shared" ca="1" si="36"/>
        <v>#NAME?</v>
      </c>
      <c r="M304" s="120" t="e">
        <f t="shared" ca="1" si="30"/>
        <v>#NAME?</v>
      </c>
      <c r="N304" s="120" t="e">
        <f ca="1">IF([0]!CSVVLookUP(ROW(行数!A296),配列!$C$4,集計記録,6,1)=0,"",[0]!CSVVLookUP(ROW(行数!A296),配列!$C$4,集計記録,6,1))</f>
        <v>#NAME?</v>
      </c>
      <c r="O304" s="88" t="e">
        <f ca="1">IF(INDIRECT("M"&amp;ROW()-1)&lt;&gt;INDIRECT("M"&amp;ROW()),リスト!$I$5,"")</f>
        <v>#NAME?</v>
      </c>
      <c r="P304" s="88" t="e">
        <f ca="1">IF(INDIRECT("M"&amp;ROW())&lt;&gt;INDIRECT("M"&amp;ROW()+1),リスト!$I$6,"")</f>
        <v>#NAME?</v>
      </c>
    </row>
    <row r="305" spans="1:16" x14ac:dyDescent="0.2">
      <c r="A305" s="169" t="e">
        <f ca="1">IF(C305="","",ROW(行数!A297))</f>
        <v>#NAME?</v>
      </c>
      <c r="B305" s="168" t="e">
        <f t="shared" ca="1" si="31"/>
        <v>#NAME?</v>
      </c>
      <c r="C305" s="90" t="e">
        <f ca="1">[0]!CSVVLookUP(ROW(行数!A297),配列!$C$4,集計記録,3,1)</f>
        <v>#NAME?</v>
      </c>
      <c r="D305" s="90" t="e">
        <f ca="1">[0]!CSVVLookUP(ROW(行数!B297),配列!$C$4,集計記録,4,1)</f>
        <v>#NAME?</v>
      </c>
      <c r="E305" s="118" t="e">
        <f t="shared" ca="1" si="32"/>
        <v>#NAME?</v>
      </c>
      <c r="F305" s="118" t="e">
        <f t="shared" ca="1" si="33"/>
        <v>#NAME?</v>
      </c>
      <c r="G305" s="103" t="e">
        <f t="shared" ca="1" si="34"/>
        <v>#NAME?</v>
      </c>
      <c r="H305" s="104" t="e">
        <f ca="1">IF(C305="","",MROUND([0]!CSVVLookUP(ROW(行数!A297),配列!$C$4,集計記録,8,1),"0:01"))</f>
        <v>#NAME?</v>
      </c>
      <c r="I305" s="104" t="e">
        <f t="shared" ca="1" si="35"/>
        <v>#NAME?</v>
      </c>
      <c r="J305" s="119" t="e">
        <f ca="1">IF(C305="","",MROUND([0]!CSVVLookUP(ROW(行数!A297),配列!$C$4,集計記録,7,1),"0:01"))</f>
        <v>#NAME?</v>
      </c>
      <c r="K305" s="92" t="e">
        <f ca="1">IF(C305="","",[0]!CSVVLookUP(ROW(行数!A297),配列!$C$4,集計記録,5,1))</f>
        <v>#NAME?</v>
      </c>
      <c r="L305" s="104" t="e">
        <f t="shared" ca="1" si="36"/>
        <v>#NAME?</v>
      </c>
      <c r="M305" s="120" t="e">
        <f t="shared" ca="1" si="30"/>
        <v>#NAME?</v>
      </c>
      <c r="N305" s="120" t="e">
        <f ca="1">IF([0]!CSVVLookUP(ROW(行数!A297),配列!$C$4,集計記録,6,1)=0,"",[0]!CSVVLookUP(ROW(行数!A297),配列!$C$4,集計記録,6,1))</f>
        <v>#NAME?</v>
      </c>
      <c r="O305" s="88" t="e">
        <f ca="1">IF(INDIRECT("M"&amp;ROW()-1)&lt;&gt;INDIRECT("M"&amp;ROW()),リスト!$I$5,"")</f>
        <v>#NAME?</v>
      </c>
      <c r="P305" s="88" t="e">
        <f ca="1">IF(INDIRECT("M"&amp;ROW())&lt;&gt;INDIRECT("M"&amp;ROW()+1),リスト!$I$6,"")</f>
        <v>#NAME?</v>
      </c>
    </row>
    <row r="306" spans="1:16" x14ac:dyDescent="0.2">
      <c r="A306" s="169" t="e">
        <f ca="1">IF(C306="","",ROW(行数!A298))</f>
        <v>#NAME?</v>
      </c>
      <c r="B306" s="168" t="e">
        <f t="shared" ca="1" si="31"/>
        <v>#NAME?</v>
      </c>
      <c r="C306" s="90" t="e">
        <f ca="1">[0]!CSVVLookUP(ROW(行数!A298),配列!$C$4,集計記録,3,1)</f>
        <v>#NAME?</v>
      </c>
      <c r="D306" s="90" t="e">
        <f ca="1">[0]!CSVVLookUP(ROW(行数!B298),配列!$C$4,集計記録,4,1)</f>
        <v>#NAME?</v>
      </c>
      <c r="E306" s="118" t="e">
        <f t="shared" ca="1" si="32"/>
        <v>#NAME?</v>
      </c>
      <c r="F306" s="118" t="e">
        <f t="shared" ca="1" si="33"/>
        <v>#NAME?</v>
      </c>
      <c r="G306" s="103" t="e">
        <f t="shared" ca="1" si="34"/>
        <v>#NAME?</v>
      </c>
      <c r="H306" s="104" t="e">
        <f ca="1">IF(C306="","",MROUND([0]!CSVVLookUP(ROW(行数!A298),配列!$C$4,集計記録,8,1),"0:01"))</f>
        <v>#NAME?</v>
      </c>
      <c r="I306" s="104" t="e">
        <f t="shared" ca="1" si="35"/>
        <v>#NAME?</v>
      </c>
      <c r="J306" s="119" t="e">
        <f ca="1">IF(C306="","",MROUND([0]!CSVVLookUP(ROW(行数!A298),配列!$C$4,集計記録,7,1),"0:01"))</f>
        <v>#NAME?</v>
      </c>
      <c r="K306" s="92" t="e">
        <f ca="1">IF(C306="","",[0]!CSVVLookUP(ROW(行数!A298),配列!$C$4,集計記録,5,1))</f>
        <v>#NAME?</v>
      </c>
      <c r="L306" s="104" t="e">
        <f t="shared" ca="1" si="36"/>
        <v>#NAME?</v>
      </c>
      <c r="M306" s="120" t="e">
        <f t="shared" ca="1" si="30"/>
        <v>#NAME?</v>
      </c>
      <c r="N306" s="120" t="e">
        <f ca="1">IF([0]!CSVVLookUP(ROW(行数!A298),配列!$C$4,集計記録,6,1)=0,"",[0]!CSVVLookUP(ROW(行数!A298),配列!$C$4,集計記録,6,1))</f>
        <v>#NAME?</v>
      </c>
      <c r="O306" s="88" t="e">
        <f ca="1">IF(INDIRECT("M"&amp;ROW()-1)&lt;&gt;INDIRECT("M"&amp;ROW()),リスト!$I$5,"")</f>
        <v>#NAME?</v>
      </c>
      <c r="P306" s="88" t="e">
        <f ca="1">IF(INDIRECT("M"&amp;ROW())&lt;&gt;INDIRECT("M"&amp;ROW()+1),リスト!$I$6,"")</f>
        <v>#NAME?</v>
      </c>
    </row>
    <row r="307" spans="1:16" x14ac:dyDescent="0.2">
      <c r="A307" s="169" t="e">
        <f ca="1">IF(C307="","",ROW(行数!A299))</f>
        <v>#NAME?</v>
      </c>
      <c r="B307" s="168" t="e">
        <f t="shared" ca="1" si="31"/>
        <v>#NAME?</v>
      </c>
      <c r="C307" s="90" t="e">
        <f ca="1">[0]!CSVVLookUP(ROW(行数!A299),配列!$C$4,集計記録,3,1)</f>
        <v>#NAME?</v>
      </c>
      <c r="D307" s="90" t="e">
        <f ca="1">[0]!CSVVLookUP(ROW(行数!B299),配列!$C$4,集計記録,4,1)</f>
        <v>#NAME?</v>
      </c>
      <c r="E307" s="118" t="e">
        <f t="shared" ca="1" si="32"/>
        <v>#NAME?</v>
      </c>
      <c r="F307" s="118" t="e">
        <f t="shared" ca="1" si="33"/>
        <v>#NAME?</v>
      </c>
      <c r="G307" s="103" t="e">
        <f t="shared" ca="1" si="34"/>
        <v>#NAME?</v>
      </c>
      <c r="H307" s="104" t="e">
        <f ca="1">IF(C307="","",MROUND([0]!CSVVLookUP(ROW(行数!A299),配列!$C$4,集計記録,8,1),"0:01"))</f>
        <v>#NAME?</v>
      </c>
      <c r="I307" s="104" t="e">
        <f t="shared" ca="1" si="35"/>
        <v>#NAME?</v>
      </c>
      <c r="J307" s="119" t="e">
        <f ca="1">IF(C307="","",MROUND([0]!CSVVLookUP(ROW(行数!A299),配列!$C$4,集計記録,7,1),"0:01"))</f>
        <v>#NAME?</v>
      </c>
      <c r="K307" s="92" t="e">
        <f ca="1">IF(C307="","",[0]!CSVVLookUP(ROW(行数!A299),配列!$C$4,集計記録,5,1))</f>
        <v>#NAME?</v>
      </c>
      <c r="L307" s="104" t="e">
        <f t="shared" ca="1" si="36"/>
        <v>#NAME?</v>
      </c>
      <c r="M307" s="120" t="e">
        <f t="shared" ca="1" si="30"/>
        <v>#NAME?</v>
      </c>
      <c r="N307" s="120" t="e">
        <f ca="1">IF([0]!CSVVLookUP(ROW(行数!A299),配列!$C$4,集計記録,6,1)=0,"",[0]!CSVVLookUP(ROW(行数!A299),配列!$C$4,集計記録,6,1))</f>
        <v>#NAME?</v>
      </c>
      <c r="O307" s="88" t="e">
        <f ca="1">IF(INDIRECT("M"&amp;ROW()-1)&lt;&gt;INDIRECT("M"&amp;ROW()),リスト!$I$5,"")</f>
        <v>#NAME?</v>
      </c>
      <c r="P307" s="88" t="e">
        <f ca="1">IF(INDIRECT("M"&amp;ROW())&lt;&gt;INDIRECT("M"&amp;ROW()+1),リスト!$I$6,"")</f>
        <v>#NAME?</v>
      </c>
    </row>
    <row r="308" spans="1:16" x14ac:dyDescent="0.2">
      <c r="A308" s="169" t="e">
        <f ca="1">IF(C308="","",ROW(行数!A300))</f>
        <v>#NAME?</v>
      </c>
      <c r="B308" s="168" t="e">
        <f t="shared" ca="1" si="31"/>
        <v>#NAME?</v>
      </c>
      <c r="C308" s="90" t="e">
        <f ca="1">[0]!CSVVLookUP(ROW(行数!A300),配列!$C$4,集計記録,3,1)</f>
        <v>#NAME?</v>
      </c>
      <c r="D308" s="90" t="e">
        <f ca="1">[0]!CSVVLookUP(ROW(行数!B300),配列!$C$4,集計記録,4,1)</f>
        <v>#NAME?</v>
      </c>
      <c r="E308" s="118" t="e">
        <f t="shared" ca="1" si="32"/>
        <v>#NAME?</v>
      </c>
      <c r="F308" s="118" t="e">
        <f t="shared" ca="1" si="33"/>
        <v>#NAME?</v>
      </c>
      <c r="G308" s="103" t="e">
        <f t="shared" ca="1" si="34"/>
        <v>#NAME?</v>
      </c>
      <c r="H308" s="104" t="e">
        <f ca="1">IF(C308="","",MROUND([0]!CSVVLookUP(ROW(行数!A300),配列!$C$4,集計記録,8,1),"0:01"))</f>
        <v>#NAME?</v>
      </c>
      <c r="I308" s="104" t="e">
        <f t="shared" ca="1" si="35"/>
        <v>#NAME?</v>
      </c>
      <c r="J308" s="119" t="e">
        <f ca="1">IF(C308="","",MROUND([0]!CSVVLookUP(ROW(行数!A300),配列!$C$4,集計記録,7,1),"0:01"))</f>
        <v>#NAME?</v>
      </c>
      <c r="K308" s="92" t="e">
        <f ca="1">IF(C308="","",[0]!CSVVLookUP(ROW(行数!A300),配列!$C$4,集計記録,5,1))</f>
        <v>#NAME?</v>
      </c>
      <c r="L308" s="104" t="e">
        <f t="shared" ca="1" si="36"/>
        <v>#NAME?</v>
      </c>
      <c r="M308" s="120" t="e">
        <f t="shared" ca="1" si="30"/>
        <v>#NAME?</v>
      </c>
      <c r="N308" s="120" t="e">
        <f ca="1">IF([0]!CSVVLookUP(ROW(行数!A300),配列!$C$4,集計記録,6,1)=0,"",[0]!CSVVLookUP(ROW(行数!A300),配列!$C$4,集計記録,6,1))</f>
        <v>#NAME?</v>
      </c>
      <c r="O308" s="88" t="e">
        <f ca="1">IF(INDIRECT("M"&amp;ROW()-1)&lt;&gt;INDIRECT("M"&amp;ROW()),リスト!$I$5,"")</f>
        <v>#NAME?</v>
      </c>
      <c r="P308" s="88" t="e">
        <f ca="1">IF(INDIRECT("M"&amp;ROW())&lt;&gt;INDIRECT("M"&amp;ROW()+1),リスト!$I$6,"")</f>
        <v>#NAME?</v>
      </c>
    </row>
    <row r="309" spans="1:16" x14ac:dyDescent="0.2">
      <c r="A309" s="169" t="e">
        <f ca="1">IF(C309="","",ROW(行数!A301))</f>
        <v>#NAME?</v>
      </c>
      <c r="B309" s="168" t="e">
        <f t="shared" ca="1" si="31"/>
        <v>#NAME?</v>
      </c>
      <c r="C309" s="90" t="e">
        <f ca="1">[0]!CSVVLookUP(ROW(行数!A301),配列!$C$4,集計記録,3,1)</f>
        <v>#NAME?</v>
      </c>
      <c r="D309" s="90" t="e">
        <f ca="1">[0]!CSVVLookUP(ROW(行数!B301),配列!$C$4,集計記録,4,1)</f>
        <v>#NAME?</v>
      </c>
      <c r="E309" s="118" t="e">
        <f t="shared" ca="1" si="32"/>
        <v>#NAME?</v>
      </c>
      <c r="F309" s="118" t="e">
        <f t="shared" ca="1" si="33"/>
        <v>#NAME?</v>
      </c>
      <c r="G309" s="103" t="e">
        <f t="shared" ca="1" si="34"/>
        <v>#NAME?</v>
      </c>
      <c r="H309" s="104" t="e">
        <f ca="1">IF(C309="","",MROUND([0]!CSVVLookUP(ROW(行数!A301),配列!$C$4,集計記録,8,1),"0:01"))</f>
        <v>#NAME?</v>
      </c>
      <c r="I309" s="104" t="e">
        <f t="shared" ca="1" si="35"/>
        <v>#NAME?</v>
      </c>
      <c r="J309" s="119" t="e">
        <f ca="1">IF(C309="","",MROUND([0]!CSVVLookUP(ROW(行数!A301),配列!$C$4,集計記録,7,1),"0:01"))</f>
        <v>#NAME?</v>
      </c>
      <c r="K309" s="92" t="e">
        <f ca="1">IF(C309="","",[0]!CSVVLookUP(ROW(行数!A301),配列!$C$4,集計記録,5,1))</f>
        <v>#NAME?</v>
      </c>
      <c r="L309" s="104" t="e">
        <f t="shared" ca="1" si="36"/>
        <v>#NAME?</v>
      </c>
      <c r="M309" s="120" t="e">
        <f t="shared" ca="1" si="30"/>
        <v>#NAME?</v>
      </c>
      <c r="N309" s="120" t="e">
        <f ca="1">IF([0]!CSVVLookUP(ROW(行数!A301),配列!$C$4,集計記録,6,1)=0,"",[0]!CSVVLookUP(ROW(行数!A301),配列!$C$4,集計記録,6,1))</f>
        <v>#NAME?</v>
      </c>
      <c r="O309" s="88" t="e">
        <f ca="1">IF(INDIRECT("M"&amp;ROW()-1)&lt;&gt;INDIRECT("M"&amp;ROW()),リスト!$I$5,"")</f>
        <v>#NAME?</v>
      </c>
      <c r="P309" s="88" t="e">
        <f ca="1">IF(INDIRECT("M"&amp;ROW())&lt;&gt;INDIRECT("M"&amp;ROW()+1),リスト!$I$6,"")</f>
        <v>#NAME?</v>
      </c>
    </row>
    <row r="310" spans="1:16" x14ac:dyDescent="0.2">
      <c r="A310" s="169" t="e">
        <f ca="1">IF(C310="","",ROW(行数!A302))</f>
        <v>#NAME?</v>
      </c>
      <c r="B310" s="168" t="e">
        <f t="shared" ca="1" si="31"/>
        <v>#NAME?</v>
      </c>
      <c r="C310" s="90" t="e">
        <f ca="1">[0]!CSVVLookUP(ROW(行数!A302),配列!$C$4,集計記録,3,1)</f>
        <v>#NAME?</v>
      </c>
      <c r="D310" s="90" t="e">
        <f ca="1">[0]!CSVVLookUP(ROW(行数!B302),配列!$C$4,集計記録,4,1)</f>
        <v>#NAME?</v>
      </c>
      <c r="E310" s="118" t="e">
        <f t="shared" ca="1" si="32"/>
        <v>#NAME?</v>
      </c>
      <c r="F310" s="118" t="e">
        <f t="shared" ca="1" si="33"/>
        <v>#NAME?</v>
      </c>
      <c r="G310" s="103" t="e">
        <f t="shared" ca="1" si="34"/>
        <v>#NAME?</v>
      </c>
      <c r="H310" s="104" t="e">
        <f ca="1">IF(C310="","",MROUND([0]!CSVVLookUP(ROW(行数!A302),配列!$C$4,集計記録,8,1),"0:01"))</f>
        <v>#NAME?</v>
      </c>
      <c r="I310" s="104" t="e">
        <f t="shared" ca="1" si="35"/>
        <v>#NAME?</v>
      </c>
      <c r="J310" s="119" t="e">
        <f ca="1">IF(C310="","",MROUND([0]!CSVVLookUP(ROW(行数!A302),配列!$C$4,集計記録,7,1),"0:01"))</f>
        <v>#NAME?</v>
      </c>
      <c r="K310" s="92" t="e">
        <f ca="1">IF(C310="","",[0]!CSVVLookUP(ROW(行数!A302),配列!$C$4,集計記録,5,1))</f>
        <v>#NAME?</v>
      </c>
      <c r="L310" s="104" t="e">
        <f t="shared" ca="1" si="36"/>
        <v>#NAME?</v>
      </c>
      <c r="M310" s="120" t="e">
        <f t="shared" ca="1" si="30"/>
        <v>#NAME?</v>
      </c>
      <c r="N310" s="120" t="e">
        <f ca="1">IF([0]!CSVVLookUP(ROW(行数!A302),配列!$C$4,集計記録,6,1)=0,"",[0]!CSVVLookUP(ROW(行数!A302),配列!$C$4,集計記録,6,1))</f>
        <v>#NAME?</v>
      </c>
      <c r="O310" s="88" t="e">
        <f ca="1">IF(INDIRECT("M"&amp;ROW()-1)&lt;&gt;INDIRECT("M"&amp;ROW()),リスト!$I$5,"")</f>
        <v>#NAME?</v>
      </c>
      <c r="P310" s="88" t="e">
        <f ca="1">IF(INDIRECT("M"&amp;ROW())&lt;&gt;INDIRECT("M"&amp;ROW()+1),リスト!$I$6,"")</f>
        <v>#NAME?</v>
      </c>
    </row>
    <row r="311" spans="1:16" x14ac:dyDescent="0.2">
      <c r="A311" s="169" t="e">
        <f ca="1">IF(C311="","",ROW(行数!A303))</f>
        <v>#NAME?</v>
      </c>
      <c r="B311" s="168" t="e">
        <f t="shared" ca="1" si="31"/>
        <v>#NAME?</v>
      </c>
      <c r="C311" s="90" t="e">
        <f ca="1">[0]!CSVVLookUP(ROW(行数!A303),配列!$C$4,集計記録,3,1)</f>
        <v>#NAME?</v>
      </c>
      <c r="D311" s="90" t="e">
        <f ca="1">[0]!CSVVLookUP(ROW(行数!B303),配列!$C$4,集計記録,4,1)</f>
        <v>#NAME?</v>
      </c>
      <c r="E311" s="118" t="e">
        <f t="shared" ca="1" si="32"/>
        <v>#NAME?</v>
      </c>
      <c r="F311" s="118" t="e">
        <f t="shared" ca="1" si="33"/>
        <v>#NAME?</v>
      </c>
      <c r="G311" s="103" t="e">
        <f t="shared" ca="1" si="34"/>
        <v>#NAME?</v>
      </c>
      <c r="H311" s="104" t="e">
        <f ca="1">IF(C311="","",MROUND([0]!CSVVLookUP(ROW(行数!A303),配列!$C$4,集計記録,8,1),"0:01"))</f>
        <v>#NAME?</v>
      </c>
      <c r="I311" s="104" t="e">
        <f t="shared" ca="1" si="35"/>
        <v>#NAME?</v>
      </c>
      <c r="J311" s="119" t="e">
        <f ca="1">IF(C311="","",MROUND([0]!CSVVLookUP(ROW(行数!A303),配列!$C$4,集計記録,7,1),"0:01"))</f>
        <v>#NAME?</v>
      </c>
      <c r="K311" s="92" t="e">
        <f ca="1">IF(C311="","",[0]!CSVVLookUP(ROW(行数!A303),配列!$C$4,集計記録,5,1))</f>
        <v>#NAME?</v>
      </c>
      <c r="L311" s="104" t="e">
        <f t="shared" ca="1" si="36"/>
        <v>#NAME?</v>
      </c>
      <c r="M311" s="120" t="e">
        <f t="shared" ca="1" si="30"/>
        <v>#NAME?</v>
      </c>
      <c r="N311" s="120" t="e">
        <f ca="1">IF([0]!CSVVLookUP(ROW(行数!A303),配列!$C$4,集計記録,6,1)=0,"",[0]!CSVVLookUP(ROW(行数!A303),配列!$C$4,集計記録,6,1))</f>
        <v>#NAME?</v>
      </c>
      <c r="O311" s="88" t="e">
        <f ca="1">IF(INDIRECT("M"&amp;ROW()-1)&lt;&gt;INDIRECT("M"&amp;ROW()),リスト!$I$5,"")</f>
        <v>#NAME?</v>
      </c>
      <c r="P311" s="88" t="e">
        <f ca="1">IF(INDIRECT("M"&amp;ROW())&lt;&gt;INDIRECT("M"&amp;ROW()+1),リスト!$I$6,"")</f>
        <v>#NAME?</v>
      </c>
    </row>
    <row r="312" spans="1:16" x14ac:dyDescent="0.2">
      <c r="A312" s="169" t="e">
        <f ca="1">IF(C312="","",ROW(行数!A304))</f>
        <v>#NAME?</v>
      </c>
      <c r="B312" s="168" t="e">
        <f t="shared" ca="1" si="31"/>
        <v>#NAME?</v>
      </c>
      <c r="C312" s="90" t="e">
        <f ca="1">[0]!CSVVLookUP(ROW(行数!A304),配列!$C$4,集計記録,3,1)</f>
        <v>#NAME?</v>
      </c>
      <c r="D312" s="90" t="e">
        <f ca="1">[0]!CSVVLookUP(ROW(行数!B304),配列!$C$4,集計記録,4,1)</f>
        <v>#NAME?</v>
      </c>
      <c r="E312" s="118" t="e">
        <f t="shared" ca="1" si="32"/>
        <v>#NAME?</v>
      </c>
      <c r="F312" s="118" t="e">
        <f t="shared" ca="1" si="33"/>
        <v>#NAME?</v>
      </c>
      <c r="G312" s="103" t="e">
        <f t="shared" ca="1" si="34"/>
        <v>#NAME?</v>
      </c>
      <c r="H312" s="104" t="e">
        <f ca="1">IF(C312="","",MROUND([0]!CSVVLookUP(ROW(行数!A304),配列!$C$4,集計記録,8,1),"0:01"))</f>
        <v>#NAME?</v>
      </c>
      <c r="I312" s="104" t="e">
        <f t="shared" ca="1" si="35"/>
        <v>#NAME?</v>
      </c>
      <c r="J312" s="119" t="e">
        <f ca="1">IF(C312="","",MROUND([0]!CSVVLookUP(ROW(行数!A304),配列!$C$4,集計記録,7,1),"0:01"))</f>
        <v>#NAME?</v>
      </c>
      <c r="K312" s="92" t="e">
        <f ca="1">IF(C312="","",[0]!CSVVLookUP(ROW(行数!A304),配列!$C$4,集計記録,5,1))</f>
        <v>#NAME?</v>
      </c>
      <c r="L312" s="104" t="e">
        <f t="shared" ca="1" si="36"/>
        <v>#NAME?</v>
      </c>
      <c r="M312" s="120" t="e">
        <f t="shared" ca="1" si="30"/>
        <v>#NAME?</v>
      </c>
      <c r="N312" s="120" t="e">
        <f ca="1">IF([0]!CSVVLookUP(ROW(行数!A304),配列!$C$4,集計記録,6,1)=0,"",[0]!CSVVLookUP(ROW(行数!A304),配列!$C$4,集計記録,6,1))</f>
        <v>#NAME?</v>
      </c>
      <c r="O312" s="88" t="e">
        <f ca="1">IF(INDIRECT("M"&amp;ROW()-1)&lt;&gt;INDIRECT("M"&amp;ROW()),リスト!$I$5,"")</f>
        <v>#NAME?</v>
      </c>
      <c r="P312" s="88" t="e">
        <f ca="1">IF(INDIRECT("M"&amp;ROW())&lt;&gt;INDIRECT("M"&amp;ROW()+1),リスト!$I$6,"")</f>
        <v>#NAME?</v>
      </c>
    </row>
    <row r="313" spans="1:16" x14ac:dyDescent="0.2">
      <c r="A313" s="169" t="e">
        <f ca="1">IF(C313="","",ROW(行数!A305))</f>
        <v>#NAME?</v>
      </c>
      <c r="B313" s="168" t="e">
        <f t="shared" ca="1" si="31"/>
        <v>#NAME?</v>
      </c>
      <c r="C313" s="90" t="e">
        <f ca="1">[0]!CSVVLookUP(ROW(行数!A305),配列!$C$4,集計記録,3,1)</f>
        <v>#NAME?</v>
      </c>
      <c r="D313" s="90" t="e">
        <f ca="1">[0]!CSVVLookUP(ROW(行数!B305),配列!$C$4,集計記録,4,1)</f>
        <v>#NAME?</v>
      </c>
      <c r="E313" s="118" t="e">
        <f t="shared" ca="1" si="32"/>
        <v>#NAME?</v>
      </c>
      <c r="F313" s="118" t="e">
        <f t="shared" ca="1" si="33"/>
        <v>#NAME?</v>
      </c>
      <c r="G313" s="103" t="e">
        <f t="shared" ca="1" si="34"/>
        <v>#NAME?</v>
      </c>
      <c r="H313" s="104" t="e">
        <f ca="1">IF(C313="","",MROUND([0]!CSVVLookUP(ROW(行数!A305),配列!$C$4,集計記録,8,1),"0:01"))</f>
        <v>#NAME?</v>
      </c>
      <c r="I313" s="104" t="e">
        <f t="shared" ca="1" si="35"/>
        <v>#NAME?</v>
      </c>
      <c r="J313" s="119" t="e">
        <f ca="1">IF(C313="","",MROUND([0]!CSVVLookUP(ROW(行数!A305),配列!$C$4,集計記録,7,1),"0:01"))</f>
        <v>#NAME?</v>
      </c>
      <c r="K313" s="92" t="e">
        <f ca="1">IF(C313="","",[0]!CSVVLookUP(ROW(行数!A305),配列!$C$4,集計記録,5,1))</f>
        <v>#NAME?</v>
      </c>
      <c r="L313" s="104" t="e">
        <f t="shared" ca="1" si="36"/>
        <v>#NAME?</v>
      </c>
      <c r="M313" s="120" t="e">
        <f t="shared" ca="1" si="30"/>
        <v>#NAME?</v>
      </c>
      <c r="N313" s="120" t="e">
        <f ca="1">IF([0]!CSVVLookUP(ROW(行数!A305),配列!$C$4,集計記録,6,1)=0,"",[0]!CSVVLookUP(ROW(行数!A305),配列!$C$4,集計記録,6,1))</f>
        <v>#NAME?</v>
      </c>
      <c r="O313" s="88" t="e">
        <f ca="1">IF(INDIRECT("M"&amp;ROW()-1)&lt;&gt;INDIRECT("M"&amp;ROW()),リスト!$I$5,"")</f>
        <v>#NAME?</v>
      </c>
      <c r="P313" s="88" t="e">
        <f ca="1">IF(INDIRECT("M"&amp;ROW())&lt;&gt;INDIRECT("M"&amp;ROW()+1),リスト!$I$6,"")</f>
        <v>#NAME?</v>
      </c>
    </row>
    <row r="314" spans="1:16" x14ac:dyDescent="0.2">
      <c r="A314" s="169" t="e">
        <f ca="1">IF(C314="","",ROW(行数!A306))</f>
        <v>#NAME?</v>
      </c>
      <c r="B314" s="168" t="e">
        <f t="shared" ca="1" si="31"/>
        <v>#NAME?</v>
      </c>
      <c r="C314" s="90" t="e">
        <f ca="1">[0]!CSVVLookUP(ROW(行数!A306),配列!$C$4,集計記録,3,1)</f>
        <v>#NAME?</v>
      </c>
      <c r="D314" s="90" t="e">
        <f ca="1">[0]!CSVVLookUP(ROW(行数!B306),配列!$C$4,集計記録,4,1)</f>
        <v>#NAME?</v>
      </c>
      <c r="E314" s="118" t="e">
        <f t="shared" ca="1" si="32"/>
        <v>#NAME?</v>
      </c>
      <c r="F314" s="118" t="e">
        <f t="shared" ca="1" si="33"/>
        <v>#NAME?</v>
      </c>
      <c r="G314" s="103" t="e">
        <f t="shared" ca="1" si="34"/>
        <v>#NAME?</v>
      </c>
      <c r="H314" s="104" t="e">
        <f ca="1">IF(C314="","",MROUND([0]!CSVVLookUP(ROW(行数!A306),配列!$C$4,集計記録,8,1),"0:01"))</f>
        <v>#NAME?</v>
      </c>
      <c r="I314" s="104" t="e">
        <f t="shared" ca="1" si="35"/>
        <v>#NAME?</v>
      </c>
      <c r="J314" s="119" t="e">
        <f ca="1">IF(C314="","",MROUND([0]!CSVVLookUP(ROW(行数!A306),配列!$C$4,集計記録,7,1),"0:01"))</f>
        <v>#NAME?</v>
      </c>
      <c r="K314" s="92" t="e">
        <f ca="1">IF(C314="","",[0]!CSVVLookUP(ROW(行数!A306),配列!$C$4,集計記録,5,1))</f>
        <v>#NAME?</v>
      </c>
      <c r="L314" s="104" t="e">
        <f t="shared" ca="1" si="36"/>
        <v>#NAME?</v>
      </c>
      <c r="M314" s="120" t="e">
        <f t="shared" ca="1" si="30"/>
        <v>#NAME?</v>
      </c>
      <c r="N314" s="120" t="e">
        <f ca="1">IF([0]!CSVVLookUP(ROW(行数!A306),配列!$C$4,集計記録,6,1)=0,"",[0]!CSVVLookUP(ROW(行数!A306),配列!$C$4,集計記録,6,1))</f>
        <v>#NAME?</v>
      </c>
      <c r="O314" s="88" t="e">
        <f ca="1">IF(INDIRECT("M"&amp;ROW()-1)&lt;&gt;INDIRECT("M"&amp;ROW()),リスト!$I$5,"")</f>
        <v>#NAME?</v>
      </c>
      <c r="P314" s="88" t="e">
        <f ca="1">IF(INDIRECT("M"&amp;ROW())&lt;&gt;INDIRECT("M"&amp;ROW()+1),リスト!$I$6,"")</f>
        <v>#NAME?</v>
      </c>
    </row>
    <row r="315" spans="1:16" x14ac:dyDescent="0.2">
      <c r="A315" s="169" t="e">
        <f ca="1">IF(C315="","",ROW(行数!A307))</f>
        <v>#NAME?</v>
      </c>
      <c r="B315" s="168" t="e">
        <f t="shared" ca="1" si="31"/>
        <v>#NAME?</v>
      </c>
      <c r="C315" s="90" t="e">
        <f ca="1">[0]!CSVVLookUP(ROW(行数!A307),配列!$C$4,集計記録,3,1)</f>
        <v>#NAME?</v>
      </c>
      <c r="D315" s="90" t="e">
        <f ca="1">[0]!CSVVLookUP(ROW(行数!B307),配列!$C$4,集計記録,4,1)</f>
        <v>#NAME?</v>
      </c>
      <c r="E315" s="118" t="e">
        <f t="shared" ca="1" si="32"/>
        <v>#NAME?</v>
      </c>
      <c r="F315" s="118" t="e">
        <f t="shared" ca="1" si="33"/>
        <v>#NAME?</v>
      </c>
      <c r="G315" s="103" t="e">
        <f t="shared" ca="1" si="34"/>
        <v>#NAME?</v>
      </c>
      <c r="H315" s="104" t="e">
        <f ca="1">IF(C315="","",MROUND([0]!CSVVLookUP(ROW(行数!A307),配列!$C$4,集計記録,8,1),"0:01"))</f>
        <v>#NAME?</v>
      </c>
      <c r="I315" s="104" t="e">
        <f t="shared" ca="1" si="35"/>
        <v>#NAME?</v>
      </c>
      <c r="J315" s="119" t="e">
        <f ca="1">IF(C315="","",MROUND([0]!CSVVLookUP(ROW(行数!A307),配列!$C$4,集計記録,7,1),"0:01"))</f>
        <v>#NAME?</v>
      </c>
      <c r="K315" s="92" t="e">
        <f ca="1">IF(C315="","",[0]!CSVVLookUP(ROW(行数!A307),配列!$C$4,集計記録,5,1))</f>
        <v>#NAME?</v>
      </c>
      <c r="L315" s="104" t="e">
        <f t="shared" ca="1" si="36"/>
        <v>#NAME?</v>
      </c>
      <c r="M315" s="120" t="e">
        <f t="shared" ca="1" si="30"/>
        <v>#NAME?</v>
      </c>
      <c r="N315" s="120" t="e">
        <f ca="1">IF([0]!CSVVLookUP(ROW(行数!A307),配列!$C$4,集計記録,6,1)=0,"",[0]!CSVVLookUP(ROW(行数!A307),配列!$C$4,集計記録,6,1))</f>
        <v>#NAME?</v>
      </c>
      <c r="O315" s="88" t="e">
        <f ca="1">IF(INDIRECT("M"&amp;ROW()-1)&lt;&gt;INDIRECT("M"&amp;ROW()),リスト!$I$5,"")</f>
        <v>#NAME?</v>
      </c>
      <c r="P315" s="88" t="e">
        <f ca="1">IF(INDIRECT("M"&amp;ROW())&lt;&gt;INDIRECT("M"&amp;ROW()+1),リスト!$I$6,"")</f>
        <v>#NAME?</v>
      </c>
    </row>
    <row r="316" spans="1:16" x14ac:dyDescent="0.2">
      <c r="A316" s="169" t="e">
        <f ca="1">IF(C316="","",ROW(行数!A308))</f>
        <v>#NAME?</v>
      </c>
      <c r="B316" s="168" t="e">
        <f t="shared" ca="1" si="31"/>
        <v>#NAME?</v>
      </c>
      <c r="C316" s="90" t="e">
        <f ca="1">[0]!CSVVLookUP(ROW(行数!A308),配列!$C$4,集計記録,3,1)</f>
        <v>#NAME?</v>
      </c>
      <c r="D316" s="90" t="e">
        <f ca="1">[0]!CSVVLookUP(ROW(行数!B308),配列!$C$4,集計記録,4,1)</f>
        <v>#NAME?</v>
      </c>
      <c r="E316" s="118" t="e">
        <f t="shared" ca="1" si="32"/>
        <v>#NAME?</v>
      </c>
      <c r="F316" s="118" t="e">
        <f t="shared" ca="1" si="33"/>
        <v>#NAME?</v>
      </c>
      <c r="G316" s="103" t="e">
        <f t="shared" ca="1" si="34"/>
        <v>#NAME?</v>
      </c>
      <c r="H316" s="104" t="e">
        <f ca="1">IF(C316="","",MROUND([0]!CSVVLookUP(ROW(行数!A308),配列!$C$4,集計記録,8,1),"0:01"))</f>
        <v>#NAME?</v>
      </c>
      <c r="I316" s="104" t="e">
        <f t="shared" ca="1" si="35"/>
        <v>#NAME?</v>
      </c>
      <c r="J316" s="119" t="e">
        <f ca="1">IF(C316="","",MROUND([0]!CSVVLookUP(ROW(行数!A308),配列!$C$4,集計記録,7,1),"0:01"))</f>
        <v>#NAME?</v>
      </c>
      <c r="K316" s="92" t="e">
        <f ca="1">IF(C316="","",[0]!CSVVLookUP(ROW(行数!A308),配列!$C$4,集計記録,5,1))</f>
        <v>#NAME?</v>
      </c>
      <c r="L316" s="104" t="e">
        <f t="shared" ca="1" si="36"/>
        <v>#NAME?</v>
      </c>
      <c r="M316" s="120" t="e">
        <f t="shared" ca="1" si="30"/>
        <v>#NAME?</v>
      </c>
      <c r="N316" s="120" t="e">
        <f ca="1">IF([0]!CSVVLookUP(ROW(行数!A308),配列!$C$4,集計記録,6,1)=0,"",[0]!CSVVLookUP(ROW(行数!A308),配列!$C$4,集計記録,6,1))</f>
        <v>#NAME?</v>
      </c>
      <c r="O316" s="88" t="e">
        <f ca="1">IF(INDIRECT("M"&amp;ROW()-1)&lt;&gt;INDIRECT("M"&amp;ROW()),リスト!$I$5,"")</f>
        <v>#NAME?</v>
      </c>
      <c r="P316" s="88" t="e">
        <f ca="1">IF(INDIRECT("M"&amp;ROW())&lt;&gt;INDIRECT("M"&amp;ROW()+1),リスト!$I$6,"")</f>
        <v>#NAME?</v>
      </c>
    </row>
    <row r="317" spans="1:16" x14ac:dyDescent="0.2">
      <c r="A317" s="169" t="e">
        <f ca="1">IF(C317="","",ROW(行数!A309))</f>
        <v>#NAME?</v>
      </c>
      <c r="B317" s="168" t="e">
        <f t="shared" ca="1" si="31"/>
        <v>#NAME?</v>
      </c>
      <c r="C317" s="90" t="e">
        <f ca="1">[0]!CSVVLookUP(ROW(行数!A309),配列!$C$4,集計記録,3,1)</f>
        <v>#NAME?</v>
      </c>
      <c r="D317" s="90" t="e">
        <f ca="1">[0]!CSVVLookUP(ROW(行数!B309),配列!$C$4,集計記録,4,1)</f>
        <v>#NAME?</v>
      </c>
      <c r="E317" s="118" t="e">
        <f t="shared" ca="1" si="32"/>
        <v>#NAME?</v>
      </c>
      <c r="F317" s="118" t="e">
        <f t="shared" ca="1" si="33"/>
        <v>#NAME?</v>
      </c>
      <c r="G317" s="103" t="e">
        <f t="shared" ca="1" si="34"/>
        <v>#NAME?</v>
      </c>
      <c r="H317" s="104" t="e">
        <f ca="1">IF(C317="","",MROUND([0]!CSVVLookUP(ROW(行数!A309),配列!$C$4,集計記録,8,1),"0:01"))</f>
        <v>#NAME?</v>
      </c>
      <c r="I317" s="104" t="e">
        <f t="shared" ca="1" si="35"/>
        <v>#NAME?</v>
      </c>
      <c r="J317" s="119" t="e">
        <f ca="1">IF(C317="","",MROUND([0]!CSVVLookUP(ROW(行数!A309),配列!$C$4,集計記録,7,1),"0:01"))</f>
        <v>#NAME?</v>
      </c>
      <c r="K317" s="92" t="e">
        <f ca="1">IF(C317="","",[0]!CSVVLookUP(ROW(行数!A309),配列!$C$4,集計記録,5,1))</f>
        <v>#NAME?</v>
      </c>
      <c r="L317" s="104" t="e">
        <f t="shared" ca="1" si="36"/>
        <v>#NAME?</v>
      </c>
      <c r="M317" s="120" t="e">
        <f t="shared" ca="1" si="30"/>
        <v>#NAME?</v>
      </c>
      <c r="N317" s="120" t="e">
        <f ca="1">IF([0]!CSVVLookUP(ROW(行数!A309),配列!$C$4,集計記録,6,1)=0,"",[0]!CSVVLookUP(ROW(行数!A309),配列!$C$4,集計記録,6,1))</f>
        <v>#NAME?</v>
      </c>
      <c r="O317" s="88" t="e">
        <f ca="1">IF(INDIRECT("M"&amp;ROW()-1)&lt;&gt;INDIRECT("M"&amp;ROW()),リスト!$I$5,"")</f>
        <v>#NAME?</v>
      </c>
      <c r="P317" s="88" t="e">
        <f ca="1">IF(INDIRECT("M"&amp;ROW())&lt;&gt;INDIRECT("M"&amp;ROW()+1),リスト!$I$6,"")</f>
        <v>#NAME?</v>
      </c>
    </row>
    <row r="318" spans="1:16" x14ac:dyDescent="0.2">
      <c r="A318" s="169" t="e">
        <f ca="1">IF(C318="","",ROW(行数!A310))</f>
        <v>#NAME?</v>
      </c>
      <c r="B318" s="168" t="e">
        <f t="shared" ca="1" si="31"/>
        <v>#NAME?</v>
      </c>
      <c r="C318" s="90" t="e">
        <f ca="1">[0]!CSVVLookUP(ROW(行数!A310),配列!$C$4,集計記録,3,1)</f>
        <v>#NAME?</v>
      </c>
      <c r="D318" s="90" t="e">
        <f ca="1">[0]!CSVVLookUP(ROW(行数!B310),配列!$C$4,集計記録,4,1)</f>
        <v>#NAME?</v>
      </c>
      <c r="E318" s="118" t="e">
        <f t="shared" ca="1" si="32"/>
        <v>#NAME?</v>
      </c>
      <c r="F318" s="118" t="e">
        <f t="shared" ca="1" si="33"/>
        <v>#NAME?</v>
      </c>
      <c r="G318" s="103" t="e">
        <f t="shared" ca="1" si="34"/>
        <v>#NAME?</v>
      </c>
      <c r="H318" s="104" t="e">
        <f ca="1">IF(C318="","",MROUND([0]!CSVVLookUP(ROW(行数!A310),配列!$C$4,集計記録,8,1),"0:01"))</f>
        <v>#NAME?</v>
      </c>
      <c r="I318" s="104" t="e">
        <f t="shared" ca="1" si="35"/>
        <v>#NAME?</v>
      </c>
      <c r="J318" s="119" t="e">
        <f ca="1">IF(C318="","",MROUND([0]!CSVVLookUP(ROW(行数!A310),配列!$C$4,集計記録,7,1),"0:01"))</f>
        <v>#NAME?</v>
      </c>
      <c r="K318" s="92" t="e">
        <f ca="1">IF(C318="","",[0]!CSVVLookUP(ROW(行数!A310),配列!$C$4,集計記録,5,1))</f>
        <v>#NAME?</v>
      </c>
      <c r="L318" s="104" t="e">
        <f t="shared" ca="1" si="36"/>
        <v>#NAME?</v>
      </c>
      <c r="M318" s="120" t="e">
        <f t="shared" ca="1" si="30"/>
        <v>#NAME?</v>
      </c>
      <c r="N318" s="120" t="e">
        <f ca="1">IF([0]!CSVVLookUP(ROW(行数!A310),配列!$C$4,集計記録,6,1)=0,"",[0]!CSVVLookUP(ROW(行数!A310),配列!$C$4,集計記録,6,1))</f>
        <v>#NAME?</v>
      </c>
      <c r="O318" s="88" t="e">
        <f ca="1">IF(INDIRECT("M"&amp;ROW()-1)&lt;&gt;INDIRECT("M"&amp;ROW()),リスト!$I$5,"")</f>
        <v>#NAME?</v>
      </c>
      <c r="P318" s="88" t="e">
        <f ca="1">IF(INDIRECT("M"&amp;ROW())&lt;&gt;INDIRECT("M"&amp;ROW()+1),リスト!$I$6,"")</f>
        <v>#NAME?</v>
      </c>
    </row>
    <row r="319" spans="1:16" x14ac:dyDescent="0.2">
      <c r="A319" s="169" t="e">
        <f ca="1">IF(C319="","",ROW(行数!A311))</f>
        <v>#NAME?</v>
      </c>
      <c r="B319" s="168" t="e">
        <f t="shared" ca="1" si="31"/>
        <v>#NAME?</v>
      </c>
      <c r="C319" s="90" t="e">
        <f ca="1">[0]!CSVVLookUP(ROW(行数!A311),配列!$C$4,集計記録,3,1)</f>
        <v>#NAME?</v>
      </c>
      <c r="D319" s="90" t="e">
        <f ca="1">[0]!CSVVLookUP(ROW(行数!B311),配列!$C$4,集計記録,4,1)</f>
        <v>#NAME?</v>
      </c>
      <c r="E319" s="118" t="e">
        <f t="shared" ca="1" si="32"/>
        <v>#NAME?</v>
      </c>
      <c r="F319" s="118" t="e">
        <f t="shared" ca="1" si="33"/>
        <v>#NAME?</v>
      </c>
      <c r="G319" s="103" t="e">
        <f t="shared" ca="1" si="34"/>
        <v>#NAME?</v>
      </c>
      <c r="H319" s="104" t="e">
        <f ca="1">IF(C319="","",MROUND([0]!CSVVLookUP(ROW(行数!A311),配列!$C$4,集計記録,8,1),"0:01"))</f>
        <v>#NAME?</v>
      </c>
      <c r="I319" s="104" t="e">
        <f t="shared" ca="1" si="35"/>
        <v>#NAME?</v>
      </c>
      <c r="J319" s="119" t="e">
        <f ca="1">IF(C319="","",MROUND([0]!CSVVLookUP(ROW(行数!A311),配列!$C$4,集計記録,7,1),"0:01"))</f>
        <v>#NAME?</v>
      </c>
      <c r="K319" s="92" t="e">
        <f ca="1">IF(C319="","",[0]!CSVVLookUP(ROW(行数!A311),配列!$C$4,集計記録,5,1))</f>
        <v>#NAME?</v>
      </c>
      <c r="L319" s="104" t="e">
        <f t="shared" ca="1" si="36"/>
        <v>#NAME?</v>
      </c>
      <c r="M319" s="120" t="e">
        <f t="shared" ca="1" si="30"/>
        <v>#NAME?</v>
      </c>
      <c r="N319" s="120" t="e">
        <f ca="1">IF([0]!CSVVLookUP(ROW(行数!A311),配列!$C$4,集計記録,6,1)=0,"",[0]!CSVVLookUP(ROW(行数!A311),配列!$C$4,集計記録,6,1))</f>
        <v>#NAME?</v>
      </c>
      <c r="O319" s="88" t="e">
        <f ca="1">IF(INDIRECT("M"&amp;ROW()-1)&lt;&gt;INDIRECT("M"&amp;ROW()),リスト!$I$5,"")</f>
        <v>#NAME?</v>
      </c>
      <c r="P319" s="88" t="e">
        <f ca="1">IF(INDIRECT("M"&amp;ROW())&lt;&gt;INDIRECT("M"&amp;ROW()+1),リスト!$I$6,"")</f>
        <v>#NAME?</v>
      </c>
    </row>
    <row r="320" spans="1:16" x14ac:dyDescent="0.2">
      <c r="A320" s="169" t="e">
        <f ca="1">IF(C320="","",ROW(行数!A312))</f>
        <v>#NAME?</v>
      </c>
      <c r="B320" s="168" t="e">
        <f t="shared" ca="1" si="31"/>
        <v>#NAME?</v>
      </c>
      <c r="C320" s="90" t="e">
        <f ca="1">[0]!CSVVLookUP(ROW(行数!A312),配列!$C$4,集計記録,3,1)</f>
        <v>#NAME?</v>
      </c>
      <c r="D320" s="90" t="e">
        <f ca="1">[0]!CSVVLookUP(ROW(行数!B312),配列!$C$4,集計記録,4,1)</f>
        <v>#NAME?</v>
      </c>
      <c r="E320" s="118" t="e">
        <f t="shared" ca="1" si="32"/>
        <v>#NAME?</v>
      </c>
      <c r="F320" s="118" t="e">
        <f t="shared" ca="1" si="33"/>
        <v>#NAME?</v>
      </c>
      <c r="G320" s="103" t="e">
        <f t="shared" ca="1" si="34"/>
        <v>#NAME?</v>
      </c>
      <c r="H320" s="104" t="e">
        <f ca="1">IF(C320="","",MROUND([0]!CSVVLookUP(ROW(行数!A312),配列!$C$4,集計記録,8,1),"0:01"))</f>
        <v>#NAME?</v>
      </c>
      <c r="I320" s="104" t="e">
        <f t="shared" ca="1" si="35"/>
        <v>#NAME?</v>
      </c>
      <c r="J320" s="119" t="e">
        <f ca="1">IF(C320="","",MROUND([0]!CSVVLookUP(ROW(行数!A312),配列!$C$4,集計記録,7,1),"0:01"))</f>
        <v>#NAME?</v>
      </c>
      <c r="K320" s="92" t="e">
        <f ca="1">IF(C320="","",[0]!CSVVLookUP(ROW(行数!A312),配列!$C$4,集計記録,5,1))</f>
        <v>#NAME?</v>
      </c>
      <c r="L320" s="104" t="e">
        <f t="shared" ca="1" si="36"/>
        <v>#NAME?</v>
      </c>
      <c r="M320" s="120" t="e">
        <f t="shared" ca="1" si="30"/>
        <v>#NAME?</v>
      </c>
      <c r="N320" s="120" t="e">
        <f ca="1">IF([0]!CSVVLookUP(ROW(行数!A312),配列!$C$4,集計記録,6,1)=0,"",[0]!CSVVLookUP(ROW(行数!A312),配列!$C$4,集計記録,6,1))</f>
        <v>#NAME?</v>
      </c>
      <c r="O320" s="88" t="e">
        <f ca="1">IF(INDIRECT("M"&amp;ROW()-1)&lt;&gt;INDIRECT("M"&amp;ROW()),リスト!$I$5,"")</f>
        <v>#NAME?</v>
      </c>
      <c r="P320" s="88" t="e">
        <f ca="1">IF(INDIRECT("M"&amp;ROW())&lt;&gt;INDIRECT("M"&amp;ROW()+1),リスト!$I$6,"")</f>
        <v>#NAME?</v>
      </c>
    </row>
    <row r="321" spans="1:16" x14ac:dyDescent="0.2">
      <c r="A321" s="169" t="e">
        <f ca="1">IF(C321="","",ROW(行数!A313))</f>
        <v>#NAME?</v>
      </c>
      <c r="B321" s="168" t="e">
        <f t="shared" ca="1" si="31"/>
        <v>#NAME?</v>
      </c>
      <c r="C321" s="90" t="e">
        <f ca="1">[0]!CSVVLookUP(ROW(行数!A313),配列!$C$4,集計記録,3,1)</f>
        <v>#NAME?</v>
      </c>
      <c r="D321" s="90" t="e">
        <f ca="1">[0]!CSVVLookUP(ROW(行数!B313),配列!$C$4,集計記録,4,1)</f>
        <v>#NAME?</v>
      </c>
      <c r="E321" s="118" t="e">
        <f t="shared" ca="1" si="32"/>
        <v>#NAME?</v>
      </c>
      <c r="F321" s="118" t="e">
        <f t="shared" ca="1" si="33"/>
        <v>#NAME?</v>
      </c>
      <c r="G321" s="103" t="e">
        <f t="shared" ca="1" si="34"/>
        <v>#NAME?</v>
      </c>
      <c r="H321" s="104" t="e">
        <f ca="1">IF(C321="","",MROUND([0]!CSVVLookUP(ROW(行数!A313),配列!$C$4,集計記録,8,1),"0:01"))</f>
        <v>#NAME?</v>
      </c>
      <c r="I321" s="104" t="e">
        <f t="shared" ca="1" si="35"/>
        <v>#NAME?</v>
      </c>
      <c r="J321" s="119" t="e">
        <f ca="1">IF(C321="","",MROUND([0]!CSVVLookUP(ROW(行数!A313),配列!$C$4,集計記録,7,1),"0:01"))</f>
        <v>#NAME?</v>
      </c>
      <c r="K321" s="92" t="e">
        <f ca="1">IF(C321="","",[0]!CSVVLookUP(ROW(行数!A313),配列!$C$4,集計記録,5,1))</f>
        <v>#NAME?</v>
      </c>
      <c r="L321" s="104" t="e">
        <f t="shared" ca="1" si="36"/>
        <v>#NAME?</v>
      </c>
      <c r="M321" s="120" t="e">
        <f t="shared" ca="1" si="30"/>
        <v>#NAME?</v>
      </c>
      <c r="N321" s="120" t="e">
        <f ca="1">IF([0]!CSVVLookUP(ROW(行数!A313),配列!$C$4,集計記録,6,1)=0,"",[0]!CSVVLookUP(ROW(行数!A313),配列!$C$4,集計記録,6,1))</f>
        <v>#NAME?</v>
      </c>
      <c r="O321" s="88" t="e">
        <f ca="1">IF(INDIRECT("M"&amp;ROW()-1)&lt;&gt;INDIRECT("M"&amp;ROW()),リスト!$I$5,"")</f>
        <v>#NAME?</v>
      </c>
      <c r="P321" s="88" t="e">
        <f ca="1">IF(INDIRECT("M"&amp;ROW())&lt;&gt;INDIRECT("M"&amp;ROW()+1),リスト!$I$6,"")</f>
        <v>#NAME?</v>
      </c>
    </row>
    <row r="322" spans="1:16" x14ac:dyDescent="0.2">
      <c r="A322" s="169" t="e">
        <f ca="1">IF(C322="","",ROW(行数!A314))</f>
        <v>#NAME?</v>
      </c>
      <c r="B322" s="168" t="e">
        <f t="shared" ca="1" si="31"/>
        <v>#NAME?</v>
      </c>
      <c r="C322" s="90" t="e">
        <f ca="1">[0]!CSVVLookUP(ROW(行数!A314),配列!$C$4,集計記録,3,1)</f>
        <v>#NAME?</v>
      </c>
      <c r="D322" s="90" t="e">
        <f ca="1">[0]!CSVVLookUP(ROW(行数!B314),配列!$C$4,集計記録,4,1)</f>
        <v>#NAME?</v>
      </c>
      <c r="E322" s="118" t="e">
        <f t="shared" ca="1" si="32"/>
        <v>#NAME?</v>
      </c>
      <c r="F322" s="118" t="e">
        <f t="shared" ca="1" si="33"/>
        <v>#NAME?</v>
      </c>
      <c r="G322" s="103" t="e">
        <f t="shared" ca="1" si="34"/>
        <v>#NAME?</v>
      </c>
      <c r="H322" s="104" t="e">
        <f ca="1">IF(C322="","",MROUND([0]!CSVVLookUP(ROW(行数!A314),配列!$C$4,集計記録,8,1),"0:01"))</f>
        <v>#NAME?</v>
      </c>
      <c r="I322" s="104" t="e">
        <f t="shared" ca="1" si="35"/>
        <v>#NAME?</v>
      </c>
      <c r="J322" s="119" t="e">
        <f ca="1">IF(C322="","",MROUND([0]!CSVVLookUP(ROW(行数!A314),配列!$C$4,集計記録,7,1),"0:01"))</f>
        <v>#NAME?</v>
      </c>
      <c r="K322" s="92" t="e">
        <f ca="1">IF(C322="","",[0]!CSVVLookUP(ROW(行数!A314),配列!$C$4,集計記録,5,1))</f>
        <v>#NAME?</v>
      </c>
      <c r="L322" s="104" t="e">
        <f t="shared" ca="1" si="36"/>
        <v>#NAME?</v>
      </c>
      <c r="M322" s="120" t="e">
        <f t="shared" ca="1" si="30"/>
        <v>#NAME?</v>
      </c>
      <c r="N322" s="120" t="e">
        <f ca="1">IF([0]!CSVVLookUP(ROW(行数!A314),配列!$C$4,集計記録,6,1)=0,"",[0]!CSVVLookUP(ROW(行数!A314),配列!$C$4,集計記録,6,1))</f>
        <v>#NAME?</v>
      </c>
      <c r="O322" s="88" t="e">
        <f ca="1">IF(INDIRECT("M"&amp;ROW()-1)&lt;&gt;INDIRECT("M"&amp;ROW()),リスト!$I$5,"")</f>
        <v>#NAME?</v>
      </c>
      <c r="P322" s="88" t="e">
        <f ca="1">IF(INDIRECT("M"&amp;ROW())&lt;&gt;INDIRECT("M"&amp;ROW()+1),リスト!$I$6,"")</f>
        <v>#NAME?</v>
      </c>
    </row>
    <row r="323" spans="1:16" x14ac:dyDescent="0.2">
      <c r="A323" s="169" t="e">
        <f ca="1">IF(C323="","",ROW(行数!A315))</f>
        <v>#NAME?</v>
      </c>
      <c r="B323" s="168" t="e">
        <f t="shared" ca="1" si="31"/>
        <v>#NAME?</v>
      </c>
      <c r="C323" s="90" t="e">
        <f ca="1">[0]!CSVVLookUP(ROW(行数!A315),配列!$C$4,集計記録,3,1)</f>
        <v>#NAME?</v>
      </c>
      <c r="D323" s="90" t="e">
        <f ca="1">[0]!CSVVLookUP(ROW(行数!B315),配列!$C$4,集計記録,4,1)</f>
        <v>#NAME?</v>
      </c>
      <c r="E323" s="118" t="e">
        <f t="shared" ca="1" si="32"/>
        <v>#NAME?</v>
      </c>
      <c r="F323" s="118" t="e">
        <f t="shared" ca="1" si="33"/>
        <v>#NAME?</v>
      </c>
      <c r="G323" s="103" t="e">
        <f t="shared" ca="1" si="34"/>
        <v>#NAME?</v>
      </c>
      <c r="H323" s="104" t="e">
        <f ca="1">IF(C323="","",MROUND([0]!CSVVLookUP(ROW(行数!A315),配列!$C$4,集計記録,8,1),"0:01"))</f>
        <v>#NAME?</v>
      </c>
      <c r="I323" s="104" t="e">
        <f t="shared" ca="1" si="35"/>
        <v>#NAME?</v>
      </c>
      <c r="J323" s="119" t="e">
        <f ca="1">IF(C323="","",MROUND([0]!CSVVLookUP(ROW(行数!A315),配列!$C$4,集計記録,7,1),"0:01"))</f>
        <v>#NAME?</v>
      </c>
      <c r="K323" s="92" t="e">
        <f ca="1">IF(C323="","",[0]!CSVVLookUP(ROW(行数!A315),配列!$C$4,集計記録,5,1))</f>
        <v>#NAME?</v>
      </c>
      <c r="L323" s="104" t="e">
        <f t="shared" ca="1" si="36"/>
        <v>#NAME?</v>
      </c>
      <c r="M323" s="120" t="e">
        <f t="shared" ca="1" si="30"/>
        <v>#NAME?</v>
      </c>
      <c r="N323" s="120" t="e">
        <f ca="1">IF([0]!CSVVLookUP(ROW(行数!A315),配列!$C$4,集計記録,6,1)=0,"",[0]!CSVVLookUP(ROW(行数!A315),配列!$C$4,集計記録,6,1))</f>
        <v>#NAME?</v>
      </c>
      <c r="O323" s="88" t="e">
        <f ca="1">IF(INDIRECT("M"&amp;ROW()-1)&lt;&gt;INDIRECT("M"&amp;ROW()),リスト!$I$5,"")</f>
        <v>#NAME?</v>
      </c>
      <c r="P323" s="88" t="e">
        <f ca="1">IF(INDIRECT("M"&amp;ROW())&lt;&gt;INDIRECT("M"&amp;ROW()+1),リスト!$I$6,"")</f>
        <v>#NAME?</v>
      </c>
    </row>
    <row r="324" spans="1:16" x14ac:dyDescent="0.2">
      <c r="A324" s="169" t="e">
        <f ca="1">IF(C324="","",ROW(行数!A316))</f>
        <v>#NAME?</v>
      </c>
      <c r="B324" s="168" t="e">
        <f t="shared" ca="1" si="31"/>
        <v>#NAME?</v>
      </c>
      <c r="C324" s="90" t="e">
        <f ca="1">[0]!CSVVLookUP(ROW(行数!A316),配列!$C$4,集計記録,3,1)</f>
        <v>#NAME?</v>
      </c>
      <c r="D324" s="90" t="e">
        <f ca="1">[0]!CSVVLookUP(ROW(行数!B316),配列!$C$4,集計記録,4,1)</f>
        <v>#NAME?</v>
      </c>
      <c r="E324" s="118" t="e">
        <f t="shared" ca="1" si="32"/>
        <v>#NAME?</v>
      </c>
      <c r="F324" s="118" t="e">
        <f t="shared" ca="1" si="33"/>
        <v>#NAME?</v>
      </c>
      <c r="G324" s="103" t="e">
        <f t="shared" ca="1" si="34"/>
        <v>#NAME?</v>
      </c>
      <c r="H324" s="104" t="e">
        <f ca="1">IF(C324="","",MROUND([0]!CSVVLookUP(ROW(行数!A316),配列!$C$4,集計記録,8,1),"0:01"))</f>
        <v>#NAME?</v>
      </c>
      <c r="I324" s="104" t="e">
        <f t="shared" ca="1" si="35"/>
        <v>#NAME?</v>
      </c>
      <c r="J324" s="119" t="e">
        <f ca="1">IF(C324="","",MROUND([0]!CSVVLookUP(ROW(行数!A316),配列!$C$4,集計記録,7,1),"0:01"))</f>
        <v>#NAME?</v>
      </c>
      <c r="K324" s="92" t="e">
        <f ca="1">IF(C324="","",[0]!CSVVLookUP(ROW(行数!A316),配列!$C$4,集計記録,5,1))</f>
        <v>#NAME?</v>
      </c>
      <c r="L324" s="104" t="e">
        <f t="shared" ca="1" si="36"/>
        <v>#NAME?</v>
      </c>
      <c r="M324" s="120" t="e">
        <f t="shared" ca="1" si="30"/>
        <v>#NAME?</v>
      </c>
      <c r="N324" s="120" t="e">
        <f ca="1">IF([0]!CSVVLookUP(ROW(行数!A316),配列!$C$4,集計記録,6,1)=0,"",[0]!CSVVLookUP(ROW(行数!A316),配列!$C$4,集計記録,6,1))</f>
        <v>#NAME?</v>
      </c>
      <c r="O324" s="88" t="e">
        <f ca="1">IF(INDIRECT("M"&amp;ROW()-1)&lt;&gt;INDIRECT("M"&amp;ROW()),リスト!$I$5,"")</f>
        <v>#NAME?</v>
      </c>
      <c r="P324" s="88" t="e">
        <f ca="1">IF(INDIRECT("M"&amp;ROW())&lt;&gt;INDIRECT("M"&amp;ROW()+1),リスト!$I$6,"")</f>
        <v>#NAME?</v>
      </c>
    </row>
    <row r="325" spans="1:16" x14ac:dyDescent="0.2">
      <c r="A325" s="169" t="e">
        <f ca="1">IF(C325="","",ROW(行数!A317))</f>
        <v>#NAME?</v>
      </c>
      <c r="B325" s="168" t="e">
        <f t="shared" ca="1" si="31"/>
        <v>#NAME?</v>
      </c>
      <c r="C325" s="90" t="e">
        <f ca="1">[0]!CSVVLookUP(ROW(行数!A317),配列!$C$4,集計記録,3,1)</f>
        <v>#NAME?</v>
      </c>
      <c r="D325" s="90" t="e">
        <f ca="1">[0]!CSVVLookUP(ROW(行数!B317),配列!$C$4,集計記録,4,1)</f>
        <v>#NAME?</v>
      </c>
      <c r="E325" s="118" t="e">
        <f t="shared" ca="1" si="32"/>
        <v>#NAME?</v>
      </c>
      <c r="F325" s="118" t="e">
        <f t="shared" ca="1" si="33"/>
        <v>#NAME?</v>
      </c>
      <c r="G325" s="103" t="e">
        <f t="shared" ca="1" si="34"/>
        <v>#NAME?</v>
      </c>
      <c r="H325" s="104" t="e">
        <f ca="1">IF(C325="","",MROUND([0]!CSVVLookUP(ROW(行数!A317),配列!$C$4,集計記録,8,1),"0:01"))</f>
        <v>#NAME?</v>
      </c>
      <c r="I325" s="104" t="e">
        <f t="shared" ca="1" si="35"/>
        <v>#NAME?</v>
      </c>
      <c r="J325" s="119" t="e">
        <f ca="1">IF(C325="","",MROUND([0]!CSVVLookUP(ROW(行数!A317),配列!$C$4,集計記録,7,1),"0:01"))</f>
        <v>#NAME?</v>
      </c>
      <c r="K325" s="92" t="e">
        <f ca="1">IF(C325="","",[0]!CSVVLookUP(ROW(行数!A317),配列!$C$4,集計記録,5,1))</f>
        <v>#NAME?</v>
      </c>
      <c r="L325" s="104" t="e">
        <f t="shared" ca="1" si="36"/>
        <v>#NAME?</v>
      </c>
      <c r="M325" s="120" t="e">
        <f t="shared" ca="1" si="30"/>
        <v>#NAME?</v>
      </c>
      <c r="N325" s="120" t="e">
        <f ca="1">IF([0]!CSVVLookUP(ROW(行数!A317),配列!$C$4,集計記録,6,1)=0,"",[0]!CSVVLookUP(ROW(行数!A317),配列!$C$4,集計記録,6,1))</f>
        <v>#NAME?</v>
      </c>
      <c r="O325" s="88" t="e">
        <f ca="1">IF(INDIRECT("M"&amp;ROW()-1)&lt;&gt;INDIRECT("M"&amp;ROW()),リスト!$I$5,"")</f>
        <v>#NAME?</v>
      </c>
      <c r="P325" s="88" t="e">
        <f ca="1">IF(INDIRECT("M"&amp;ROW())&lt;&gt;INDIRECT("M"&amp;ROW()+1),リスト!$I$6,"")</f>
        <v>#NAME?</v>
      </c>
    </row>
    <row r="326" spans="1:16" x14ac:dyDescent="0.2">
      <c r="A326" s="169" t="e">
        <f ca="1">IF(C326="","",ROW(行数!A318))</f>
        <v>#NAME?</v>
      </c>
      <c r="B326" s="168" t="e">
        <f t="shared" ca="1" si="31"/>
        <v>#NAME?</v>
      </c>
      <c r="C326" s="90" t="e">
        <f ca="1">[0]!CSVVLookUP(ROW(行数!A318),配列!$C$4,集計記録,3,1)</f>
        <v>#NAME?</v>
      </c>
      <c r="D326" s="90" t="e">
        <f ca="1">[0]!CSVVLookUP(ROW(行数!B318),配列!$C$4,集計記録,4,1)</f>
        <v>#NAME?</v>
      </c>
      <c r="E326" s="118" t="e">
        <f t="shared" ca="1" si="32"/>
        <v>#NAME?</v>
      </c>
      <c r="F326" s="118" t="e">
        <f t="shared" ca="1" si="33"/>
        <v>#NAME?</v>
      </c>
      <c r="G326" s="103" t="e">
        <f t="shared" ca="1" si="34"/>
        <v>#NAME?</v>
      </c>
      <c r="H326" s="104" t="e">
        <f ca="1">IF(C326="","",MROUND([0]!CSVVLookUP(ROW(行数!A318),配列!$C$4,集計記録,8,1),"0:01"))</f>
        <v>#NAME?</v>
      </c>
      <c r="I326" s="104" t="e">
        <f t="shared" ca="1" si="35"/>
        <v>#NAME?</v>
      </c>
      <c r="J326" s="119" t="e">
        <f ca="1">IF(C326="","",MROUND([0]!CSVVLookUP(ROW(行数!A318),配列!$C$4,集計記録,7,1),"0:01"))</f>
        <v>#NAME?</v>
      </c>
      <c r="K326" s="92" t="e">
        <f ca="1">IF(C326="","",[0]!CSVVLookUP(ROW(行数!A318),配列!$C$4,集計記録,5,1))</f>
        <v>#NAME?</v>
      </c>
      <c r="L326" s="104" t="e">
        <f t="shared" ca="1" si="36"/>
        <v>#NAME?</v>
      </c>
      <c r="M326" s="120" t="e">
        <f t="shared" ca="1" si="30"/>
        <v>#NAME?</v>
      </c>
      <c r="N326" s="120" t="e">
        <f ca="1">IF([0]!CSVVLookUP(ROW(行数!A318),配列!$C$4,集計記録,6,1)=0,"",[0]!CSVVLookUP(ROW(行数!A318),配列!$C$4,集計記録,6,1))</f>
        <v>#NAME?</v>
      </c>
      <c r="O326" s="88" t="e">
        <f ca="1">IF(INDIRECT("M"&amp;ROW()-1)&lt;&gt;INDIRECT("M"&amp;ROW()),リスト!$I$5,"")</f>
        <v>#NAME?</v>
      </c>
      <c r="P326" s="88" t="e">
        <f ca="1">IF(INDIRECT("M"&amp;ROW())&lt;&gt;INDIRECT("M"&amp;ROW()+1),リスト!$I$6,"")</f>
        <v>#NAME?</v>
      </c>
    </row>
    <row r="327" spans="1:16" x14ac:dyDescent="0.2">
      <c r="A327" s="169" t="e">
        <f ca="1">IF(C327="","",ROW(行数!A319))</f>
        <v>#NAME?</v>
      </c>
      <c r="B327" s="168" t="e">
        <f t="shared" ca="1" si="31"/>
        <v>#NAME?</v>
      </c>
      <c r="C327" s="90" t="e">
        <f ca="1">[0]!CSVVLookUP(ROW(行数!A319),配列!$C$4,集計記録,3,1)</f>
        <v>#NAME?</v>
      </c>
      <c r="D327" s="90" t="e">
        <f ca="1">[0]!CSVVLookUP(ROW(行数!B319),配列!$C$4,集計記録,4,1)</f>
        <v>#NAME?</v>
      </c>
      <c r="E327" s="118" t="e">
        <f t="shared" ca="1" si="32"/>
        <v>#NAME?</v>
      </c>
      <c r="F327" s="118" t="e">
        <f t="shared" ca="1" si="33"/>
        <v>#NAME?</v>
      </c>
      <c r="G327" s="103" t="e">
        <f t="shared" ca="1" si="34"/>
        <v>#NAME?</v>
      </c>
      <c r="H327" s="104" t="e">
        <f ca="1">IF(C327="","",MROUND([0]!CSVVLookUP(ROW(行数!A319),配列!$C$4,集計記録,8,1),"0:01"))</f>
        <v>#NAME?</v>
      </c>
      <c r="I327" s="104" t="e">
        <f t="shared" ca="1" si="35"/>
        <v>#NAME?</v>
      </c>
      <c r="J327" s="119" t="e">
        <f ca="1">IF(C327="","",MROUND([0]!CSVVLookUP(ROW(行数!A319),配列!$C$4,集計記録,7,1),"0:01"))</f>
        <v>#NAME?</v>
      </c>
      <c r="K327" s="92" t="e">
        <f ca="1">IF(C327="","",[0]!CSVVLookUP(ROW(行数!A319),配列!$C$4,集計記録,5,1))</f>
        <v>#NAME?</v>
      </c>
      <c r="L327" s="104" t="e">
        <f t="shared" ca="1" si="36"/>
        <v>#NAME?</v>
      </c>
      <c r="M327" s="120" t="e">
        <f t="shared" ca="1" si="30"/>
        <v>#NAME?</v>
      </c>
      <c r="N327" s="120" t="e">
        <f ca="1">IF([0]!CSVVLookUP(ROW(行数!A319),配列!$C$4,集計記録,6,1)=0,"",[0]!CSVVLookUP(ROW(行数!A319),配列!$C$4,集計記録,6,1))</f>
        <v>#NAME?</v>
      </c>
      <c r="O327" s="88" t="e">
        <f ca="1">IF(INDIRECT("M"&amp;ROW()-1)&lt;&gt;INDIRECT("M"&amp;ROW()),リスト!$I$5,"")</f>
        <v>#NAME?</v>
      </c>
      <c r="P327" s="88" t="e">
        <f ca="1">IF(INDIRECT("M"&amp;ROW())&lt;&gt;INDIRECT("M"&amp;ROW()+1),リスト!$I$6,"")</f>
        <v>#NAME?</v>
      </c>
    </row>
    <row r="328" spans="1:16" x14ac:dyDescent="0.2">
      <c r="A328" s="169" t="e">
        <f ca="1">IF(C328="","",ROW(行数!A320))</f>
        <v>#NAME?</v>
      </c>
      <c r="B328" s="168" t="e">
        <f t="shared" ca="1" si="31"/>
        <v>#NAME?</v>
      </c>
      <c r="C328" s="90" t="e">
        <f ca="1">[0]!CSVVLookUP(ROW(行数!A320),配列!$C$4,集計記録,3,1)</f>
        <v>#NAME?</v>
      </c>
      <c r="D328" s="90" t="e">
        <f ca="1">[0]!CSVVLookUP(ROW(行数!B320),配列!$C$4,集計記録,4,1)</f>
        <v>#NAME?</v>
      </c>
      <c r="E328" s="118" t="e">
        <f t="shared" ca="1" si="32"/>
        <v>#NAME?</v>
      </c>
      <c r="F328" s="118" t="e">
        <f t="shared" ca="1" si="33"/>
        <v>#NAME?</v>
      </c>
      <c r="G328" s="103" t="e">
        <f t="shared" ca="1" si="34"/>
        <v>#NAME?</v>
      </c>
      <c r="H328" s="104" t="e">
        <f ca="1">IF(C328="","",MROUND([0]!CSVVLookUP(ROW(行数!A320),配列!$C$4,集計記録,8,1),"0:01"))</f>
        <v>#NAME?</v>
      </c>
      <c r="I328" s="104" t="e">
        <f t="shared" ca="1" si="35"/>
        <v>#NAME?</v>
      </c>
      <c r="J328" s="119" t="e">
        <f ca="1">IF(C328="","",MROUND([0]!CSVVLookUP(ROW(行数!A320),配列!$C$4,集計記録,7,1),"0:01"))</f>
        <v>#NAME?</v>
      </c>
      <c r="K328" s="92" t="e">
        <f ca="1">IF(C328="","",[0]!CSVVLookUP(ROW(行数!A320),配列!$C$4,集計記録,5,1))</f>
        <v>#NAME?</v>
      </c>
      <c r="L328" s="104" t="e">
        <f t="shared" ca="1" si="36"/>
        <v>#NAME?</v>
      </c>
      <c r="M328" s="120" t="e">
        <f t="shared" ca="1" si="30"/>
        <v>#NAME?</v>
      </c>
      <c r="N328" s="120" t="e">
        <f ca="1">IF([0]!CSVVLookUP(ROW(行数!A320),配列!$C$4,集計記録,6,1)=0,"",[0]!CSVVLookUP(ROW(行数!A320),配列!$C$4,集計記録,6,1))</f>
        <v>#NAME?</v>
      </c>
      <c r="O328" s="88" t="e">
        <f ca="1">IF(INDIRECT("M"&amp;ROW()-1)&lt;&gt;INDIRECT("M"&amp;ROW()),リスト!$I$5,"")</f>
        <v>#NAME?</v>
      </c>
      <c r="P328" s="88" t="e">
        <f ca="1">IF(INDIRECT("M"&amp;ROW())&lt;&gt;INDIRECT("M"&amp;ROW()+1),リスト!$I$6,"")</f>
        <v>#NAME?</v>
      </c>
    </row>
    <row r="329" spans="1:16" x14ac:dyDescent="0.2">
      <c r="A329" s="169" t="e">
        <f ca="1">IF(C329="","",ROW(行数!A321))</f>
        <v>#NAME?</v>
      </c>
      <c r="B329" s="168" t="e">
        <f t="shared" ca="1" si="31"/>
        <v>#NAME?</v>
      </c>
      <c r="C329" s="90" t="e">
        <f ca="1">[0]!CSVVLookUP(ROW(行数!A321),配列!$C$4,集計記録,3,1)</f>
        <v>#NAME?</v>
      </c>
      <c r="D329" s="90" t="e">
        <f ca="1">[0]!CSVVLookUP(ROW(行数!B321),配列!$C$4,集計記録,4,1)</f>
        <v>#NAME?</v>
      </c>
      <c r="E329" s="118" t="e">
        <f t="shared" ca="1" si="32"/>
        <v>#NAME?</v>
      </c>
      <c r="F329" s="118" t="e">
        <f t="shared" ca="1" si="33"/>
        <v>#NAME?</v>
      </c>
      <c r="G329" s="103" t="e">
        <f t="shared" ca="1" si="34"/>
        <v>#NAME?</v>
      </c>
      <c r="H329" s="104" t="e">
        <f ca="1">IF(C329="","",MROUND([0]!CSVVLookUP(ROW(行数!A321),配列!$C$4,集計記録,8,1),"0:01"))</f>
        <v>#NAME?</v>
      </c>
      <c r="I329" s="104" t="e">
        <f t="shared" ca="1" si="35"/>
        <v>#NAME?</v>
      </c>
      <c r="J329" s="119" t="e">
        <f ca="1">IF(C329="","",MROUND([0]!CSVVLookUP(ROW(行数!A321),配列!$C$4,集計記録,7,1),"0:01"))</f>
        <v>#NAME?</v>
      </c>
      <c r="K329" s="92" t="e">
        <f ca="1">IF(C329="","",[0]!CSVVLookUP(ROW(行数!A321),配列!$C$4,集計記録,5,1))</f>
        <v>#NAME?</v>
      </c>
      <c r="L329" s="104" t="e">
        <f t="shared" ca="1" si="36"/>
        <v>#NAME?</v>
      </c>
      <c r="M329" s="120" t="e">
        <f t="shared" ref="M329:M392" ca="1" si="37">IF(C329="","",VLOOKUP(C329,運転条件判定,13,1))</f>
        <v>#NAME?</v>
      </c>
      <c r="N329" s="120" t="e">
        <f ca="1">IF([0]!CSVVLookUP(ROW(行数!A321),配列!$C$4,集計記録,6,1)=0,"",[0]!CSVVLookUP(ROW(行数!A321),配列!$C$4,集計記録,6,1))</f>
        <v>#NAME?</v>
      </c>
      <c r="O329" s="88" t="e">
        <f ca="1">IF(INDIRECT("M"&amp;ROW()-1)&lt;&gt;INDIRECT("M"&amp;ROW()),リスト!$I$5,"")</f>
        <v>#NAME?</v>
      </c>
      <c r="P329" s="88" t="e">
        <f ca="1">IF(INDIRECT("M"&amp;ROW())&lt;&gt;INDIRECT("M"&amp;ROW()+1),リスト!$I$6,"")</f>
        <v>#NAME?</v>
      </c>
    </row>
    <row r="330" spans="1:16" x14ac:dyDescent="0.2">
      <c r="A330" s="169" t="e">
        <f ca="1">IF(C330="","",ROW(行数!A322))</f>
        <v>#NAME?</v>
      </c>
      <c r="B330" s="168" t="e">
        <f t="shared" ref="B330:B393" ca="1" si="38">IF(C330="","",VLOOKUP(C330,ユニット判定用,3))</f>
        <v>#NAME?</v>
      </c>
      <c r="C330" s="90" t="e">
        <f ca="1">[0]!CSVVLookUP(ROW(行数!A322),配列!$C$4,集計記録,3,1)</f>
        <v>#NAME?</v>
      </c>
      <c r="D330" s="90" t="e">
        <f ca="1">[0]!CSVVLookUP(ROW(行数!B322),配列!$C$4,集計記録,4,1)</f>
        <v>#NAME?</v>
      </c>
      <c r="E330" s="118" t="e">
        <f t="shared" ref="E330:E393" ca="1" si="39">IF(C330="","",D330-C330)</f>
        <v>#NAME?</v>
      </c>
      <c r="F330" s="118" t="e">
        <f t="shared" ref="F330:F393" ca="1" si="40">IF(C330="","",E330-H330-I330)</f>
        <v>#NAME?</v>
      </c>
      <c r="G330" s="103" t="e">
        <f t="shared" ref="G330:G393" ca="1" si="41">IF(C330="","",F330/E330)</f>
        <v>#NAME?</v>
      </c>
      <c r="H330" s="104" t="e">
        <f ca="1">IF(C330="","",MROUND([0]!CSVVLookUP(ROW(行数!A322),配列!$C$4,集計記録,8,1),"0:01"))</f>
        <v>#NAME?</v>
      </c>
      <c r="I330" s="104" t="e">
        <f t="shared" ref="I330:I393" ca="1" si="42">IF(C330="","",MROUND(J330-H330,"0:01"))</f>
        <v>#NAME?</v>
      </c>
      <c r="J330" s="119" t="e">
        <f ca="1">IF(C330="","",MROUND([0]!CSVVLookUP(ROW(行数!A322),配列!$C$4,集計記録,7,1),"0:01"))</f>
        <v>#NAME?</v>
      </c>
      <c r="K330" s="92" t="e">
        <f ca="1">IF(C330="","",[0]!CSVVLookUP(ROW(行数!A322),配列!$C$4,集計記録,5,1))</f>
        <v>#NAME?</v>
      </c>
      <c r="L330" s="104" t="e">
        <f t="shared" ref="L330:L393" ca="1" si="43">IF(C330="","",MROUND(E330/(K330+1),"00:01"))</f>
        <v>#NAME?</v>
      </c>
      <c r="M330" s="120" t="e">
        <f t="shared" ca="1" si="37"/>
        <v>#NAME?</v>
      </c>
      <c r="N330" s="120" t="e">
        <f ca="1">IF([0]!CSVVLookUP(ROW(行数!A322),配列!$C$4,集計記録,6,1)=0,"",[0]!CSVVLookUP(ROW(行数!A322),配列!$C$4,集計記録,6,1))</f>
        <v>#NAME?</v>
      </c>
      <c r="O330" s="88" t="e">
        <f ca="1">IF(INDIRECT("M"&amp;ROW()-1)&lt;&gt;INDIRECT("M"&amp;ROW()),リスト!$I$5,"")</f>
        <v>#NAME?</v>
      </c>
      <c r="P330" s="88" t="e">
        <f ca="1">IF(INDIRECT("M"&amp;ROW())&lt;&gt;INDIRECT("M"&amp;ROW()+1),リスト!$I$6,"")</f>
        <v>#NAME?</v>
      </c>
    </row>
    <row r="331" spans="1:16" x14ac:dyDescent="0.2">
      <c r="A331" s="169" t="e">
        <f ca="1">IF(C331="","",ROW(行数!A323))</f>
        <v>#NAME?</v>
      </c>
      <c r="B331" s="168" t="e">
        <f t="shared" ca="1" si="38"/>
        <v>#NAME?</v>
      </c>
      <c r="C331" s="90" t="e">
        <f ca="1">[0]!CSVVLookUP(ROW(行数!A323),配列!$C$4,集計記録,3,1)</f>
        <v>#NAME?</v>
      </c>
      <c r="D331" s="90" t="e">
        <f ca="1">[0]!CSVVLookUP(ROW(行数!B323),配列!$C$4,集計記録,4,1)</f>
        <v>#NAME?</v>
      </c>
      <c r="E331" s="118" t="e">
        <f t="shared" ca="1" si="39"/>
        <v>#NAME?</v>
      </c>
      <c r="F331" s="118" t="e">
        <f t="shared" ca="1" si="40"/>
        <v>#NAME?</v>
      </c>
      <c r="G331" s="103" t="e">
        <f t="shared" ca="1" si="41"/>
        <v>#NAME?</v>
      </c>
      <c r="H331" s="104" t="e">
        <f ca="1">IF(C331="","",MROUND([0]!CSVVLookUP(ROW(行数!A323),配列!$C$4,集計記録,8,1),"0:01"))</f>
        <v>#NAME?</v>
      </c>
      <c r="I331" s="104" t="e">
        <f t="shared" ca="1" si="42"/>
        <v>#NAME?</v>
      </c>
      <c r="J331" s="119" t="e">
        <f ca="1">IF(C331="","",MROUND([0]!CSVVLookUP(ROW(行数!A323),配列!$C$4,集計記録,7,1),"0:01"))</f>
        <v>#NAME?</v>
      </c>
      <c r="K331" s="92" t="e">
        <f ca="1">IF(C331="","",[0]!CSVVLookUP(ROW(行数!A323),配列!$C$4,集計記録,5,1))</f>
        <v>#NAME?</v>
      </c>
      <c r="L331" s="104" t="e">
        <f t="shared" ca="1" si="43"/>
        <v>#NAME?</v>
      </c>
      <c r="M331" s="120" t="e">
        <f t="shared" ca="1" si="37"/>
        <v>#NAME?</v>
      </c>
      <c r="N331" s="120" t="e">
        <f ca="1">IF([0]!CSVVLookUP(ROW(行数!A323),配列!$C$4,集計記録,6,1)=0,"",[0]!CSVVLookUP(ROW(行数!A323),配列!$C$4,集計記録,6,1))</f>
        <v>#NAME?</v>
      </c>
      <c r="O331" s="88" t="e">
        <f ca="1">IF(INDIRECT("M"&amp;ROW()-1)&lt;&gt;INDIRECT("M"&amp;ROW()),リスト!$I$5,"")</f>
        <v>#NAME?</v>
      </c>
      <c r="P331" s="88" t="e">
        <f ca="1">IF(INDIRECT("M"&amp;ROW())&lt;&gt;INDIRECT("M"&amp;ROW()+1),リスト!$I$6,"")</f>
        <v>#NAME?</v>
      </c>
    </row>
    <row r="332" spans="1:16" x14ac:dyDescent="0.2">
      <c r="A332" s="169" t="e">
        <f ca="1">IF(C332="","",ROW(行数!A324))</f>
        <v>#NAME?</v>
      </c>
      <c r="B332" s="168" t="e">
        <f t="shared" ca="1" si="38"/>
        <v>#NAME?</v>
      </c>
      <c r="C332" s="90" t="e">
        <f ca="1">[0]!CSVVLookUP(ROW(行数!A324),配列!$C$4,集計記録,3,1)</f>
        <v>#NAME?</v>
      </c>
      <c r="D332" s="90" t="e">
        <f ca="1">[0]!CSVVLookUP(ROW(行数!B324),配列!$C$4,集計記録,4,1)</f>
        <v>#NAME?</v>
      </c>
      <c r="E332" s="118" t="e">
        <f t="shared" ca="1" si="39"/>
        <v>#NAME?</v>
      </c>
      <c r="F332" s="118" t="e">
        <f t="shared" ca="1" si="40"/>
        <v>#NAME?</v>
      </c>
      <c r="G332" s="103" t="e">
        <f t="shared" ca="1" si="41"/>
        <v>#NAME?</v>
      </c>
      <c r="H332" s="104" t="e">
        <f ca="1">IF(C332="","",MROUND([0]!CSVVLookUP(ROW(行数!A324),配列!$C$4,集計記録,8,1),"0:01"))</f>
        <v>#NAME?</v>
      </c>
      <c r="I332" s="104" t="e">
        <f t="shared" ca="1" si="42"/>
        <v>#NAME?</v>
      </c>
      <c r="J332" s="119" t="e">
        <f ca="1">IF(C332="","",MROUND([0]!CSVVLookUP(ROW(行数!A324),配列!$C$4,集計記録,7,1),"0:01"))</f>
        <v>#NAME?</v>
      </c>
      <c r="K332" s="92" t="e">
        <f ca="1">IF(C332="","",[0]!CSVVLookUP(ROW(行数!A324),配列!$C$4,集計記録,5,1))</f>
        <v>#NAME?</v>
      </c>
      <c r="L332" s="104" t="e">
        <f t="shared" ca="1" si="43"/>
        <v>#NAME?</v>
      </c>
      <c r="M332" s="120" t="e">
        <f t="shared" ca="1" si="37"/>
        <v>#NAME?</v>
      </c>
      <c r="N332" s="120" t="e">
        <f ca="1">IF([0]!CSVVLookUP(ROW(行数!A324),配列!$C$4,集計記録,6,1)=0,"",[0]!CSVVLookUP(ROW(行数!A324),配列!$C$4,集計記録,6,1))</f>
        <v>#NAME?</v>
      </c>
      <c r="O332" s="88" t="e">
        <f ca="1">IF(INDIRECT("M"&amp;ROW()-1)&lt;&gt;INDIRECT("M"&amp;ROW()),リスト!$I$5,"")</f>
        <v>#NAME?</v>
      </c>
      <c r="P332" s="88" t="e">
        <f ca="1">IF(INDIRECT("M"&amp;ROW())&lt;&gt;INDIRECT("M"&amp;ROW()+1),リスト!$I$6,"")</f>
        <v>#NAME?</v>
      </c>
    </row>
    <row r="333" spans="1:16" x14ac:dyDescent="0.2">
      <c r="A333" s="169" t="e">
        <f ca="1">IF(C333="","",ROW(行数!A325))</f>
        <v>#NAME?</v>
      </c>
      <c r="B333" s="168" t="e">
        <f t="shared" ca="1" si="38"/>
        <v>#NAME?</v>
      </c>
      <c r="C333" s="90" t="e">
        <f ca="1">[0]!CSVVLookUP(ROW(行数!A325),配列!$C$4,集計記録,3,1)</f>
        <v>#NAME?</v>
      </c>
      <c r="D333" s="90" t="e">
        <f ca="1">[0]!CSVVLookUP(ROW(行数!B325),配列!$C$4,集計記録,4,1)</f>
        <v>#NAME?</v>
      </c>
      <c r="E333" s="118" t="e">
        <f t="shared" ca="1" si="39"/>
        <v>#NAME?</v>
      </c>
      <c r="F333" s="118" t="e">
        <f t="shared" ca="1" si="40"/>
        <v>#NAME?</v>
      </c>
      <c r="G333" s="103" t="e">
        <f t="shared" ca="1" si="41"/>
        <v>#NAME?</v>
      </c>
      <c r="H333" s="104" t="e">
        <f ca="1">IF(C333="","",MROUND([0]!CSVVLookUP(ROW(行数!A325),配列!$C$4,集計記録,8,1),"0:01"))</f>
        <v>#NAME?</v>
      </c>
      <c r="I333" s="104" t="e">
        <f t="shared" ca="1" si="42"/>
        <v>#NAME?</v>
      </c>
      <c r="J333" s="119" t="e">
        <f ca="1">IF(C333="","",MROUND([0]!CSVVLookUP(ROW(行数!A325),配列!$C$4,集計記録,7,1),"0:01"))</f>
        <v>#NAME?</v>
      </c>
      <c r="K333" s="92" t="e">
        <f ca="1">IF(C333="","",[0]!CSVVLookUP(ROW(行数!A325),配列!$C$4,集計記録,5,1))</f>
        <v>#NAME?</v>
      </c>
      <c r="L333" s="104" t="e">
        <f t="shared" ca="1" si="43"/>
        <v>#NAME?</v>
      </c>
      <c r="M333" s="120" t="e">
        <f t="shared" ca="1" si="37"/>
        <v>#NAME?</v>
      </c>
      <c r="N333" s="120" t="e">
        <f ca="1">IF([0]!CSVVLookUP(ROW(行数!A325),配列!$C$4,集計記録,6,1)=0,"",[0]!CSVVLookUP(ROW(行数!A325),配列!$C$4,集計記録,6,1))</f>
        <v>#NAME?</v>
      </c>
      <c r="O333" s="88" t="e">
        <f ca="1">IF(INDIRECT("M"&amp;ROW()-1)&lt;&gt;INDIRECT("M"&amp;ROW()),リスト!$I$5,"")</f>
        <v>#NAME?</v>
      </c>
      <c r="P333" s="88" t="e">
        <f ca="1">IF(INDIRECT("M"&amp;ROW())&lt;&gt;INDIRECT("M"&amp;ROW()+1),リスト!$I$6,"")</f>
        <v>#NAME?</v>
      </c>
    </row>
    <row r="334" spans="1:16" x14ac:dyDescent="0.2">
      <c r="A334" s="169" t="e">
        <f ca="1">IF(C334="","",ROW(行数!A326))</f>
        <v>#NAME?</v>
      </c>
      <c r="B334" s="168" t="e">
        <f t="shared" ca="1" si="38"/>
        <v>#NAME?</v>
      </c>
      <c r="C334" s="90" t="e">
        <f ca="1">[0]!CSVVLookUP(ROW(行数!A326),配列!$C$4,集計記録,3,1)</f>
        <v>#NAME?</v>
      </c>
      <c r="D334" s="90" t="e">
        <f ca="1">[0]!CSVVLookUP(ROW(行数!B326),配列!$C$4,集計記録,4,1)</f>
        <v>#NAME?</v>
      </c>
      <c r="E334" s="118" t="e">
        <f t="shared" ca="1" si="39"/>
        <v>#NAME?</v>
      </c>
      <c r="F334" s="118" t="e">
        <f t="shared" ca="1" si="40"/>
        <v>#NAME?</v>
      </c>
      <c r="G334" s="103" t="e">
        <f t="shared" ca="1" si="41"/>
        <v>#NAME?</v>
      </c>
      <c r="H334" s="104" t="e">
        <f ca="1">IF(C334="","",MROUND([0]!CSVVLookUP(ROW(行数!A326),配列!$C$4,集計記録,8,1),"0:01"))</f>
        <v>#NAME?</v>
      </c>
      <c r="I334" s="104" t="e">
        <f t="shared" ca="1" si="42"/>
        <v>#NAME?</v>
      </c>
      <c r="J334" s="119" t="e">
        <f ca="1">IF(C334="","",MROUND([0]!CSVVLookUP(ROW(行数!A326),配列!$C$4,集計記録,7,1),"0:01"))</f>
        <v>#NAME?</v>
      </c>
      <c r="K334" s="92" t="e">
        <f ca="1">IF(C334="","",[0]!CSVVLookUP(ROW(行数!A326),配列!$C$4,集計記録,5,1))</f>
        <v>#NAME?</v>
      </c>
      <c r="L334" s="104" t="e">
        <f t="shared" ca="1" si="43"/>
        <v>#NAME?</v>
      </c>
      <c r="M334" s="120" t="e">
        <f t="shared" ca="1" si="37"/>
        <v>#NAME?</v>
      </c>
      <c r="N334" s="120" t="e">
        <f ca="1">IF([0]!CSVVLookUP(ROW(行数!A326),配列!$C$4,集計記録,6,1)=0,"",[0]!CSVVLookUP(ROW(行数!A326),配列!$C$4,集計記録,6,1))</f>
        <v>#NAME?</v>
      </c>
      <c r="O334" s="88" t="e">
        <f ca="1">IF(INDIRECT("M"&amp;ROW()-1)&lt;&gt;INDIRECT("M"&amp;ROW()),リスト!$I$5,"")</f>
        <v>#NAME?</v>
      </c>
      <c r="P334" s="88" t="e">
        <f ca="1">IF(INDIRECT("M"&amp;ROW())&lt;&gt;INDIRECT("M"&amp;ROW()+1),リスト!$I$6,"")</f>
        <v>#NAME?</v>
      </c>
    </row>
    <row r="335" spans="1:16" x14ac:dyDescent="0.2">
      <c r="A335" s="169" t="e">
        <f ca="1">IF(C335="","",ROW(行数!A327))</f>
        <v>#NAME?</v>
      </c>
      <c r="B335" s="168" t="e">
        <f t="shared" ca="1" si="38"/>
        <v>#NAME?</v>
      </c>
      <c r="C335" s="90" t="e">
        <f ca="1">[0]!CSVVLookUP(ROW(行数!A327),配列!$C$4,集計記録,3,1)</f>
        <v>#NAME?</v>
      </c>
      <c r="D335" s="90" t="e">
        <f ca="1">[0]!CSVVLookUP(ROW(行数!B327),配列!$C$4,集計記録,4,1)</f>
        <v>#NAME?</v>
      </c>
      <c r="E335" s="118" t="e">
        <f t="shared" ca="1" si="39"/>
        <v>#NAME?</v>
      </c>
      <c r="F335" s="118" t="e">
        <f t="shared" ca="1" si="40"/>
        <v>#NAME?</v>
      </c>
      <c r="G335" s="103" t="e">
        <f t="shared" ca="1" si="41"/>
        <v>#NAME?</v>
      </c>
      <c r="H335" s="104" t="e">
        <f ca="1">IF(C335="","",MROUND([0]!CSVVLookUP(ROW(行数!A327),配列!$C$4,集計記録,8,1),"0:01"))</f>
        <v>#NAME?</v>
      </c>
      <c r="I335" s="104" t="e">
        <f t="shared" ca="1" si="42"/>
        <v>#NAME?</v>
      </c>
      <c r="J335" s="119" t="e">
        <f ca="1">IF(C335="","",MROUND([0]!CSVVLookUP(ROW(行数!A327),配列!$C$4,集計記録,7,1),"0:01"))</f>
        <v>#NAME?</v>
      </c>
      <c r="K335" s="92" t="e">
        <f ca="1">IF(C335="","",[0]!CSVVLookUP(ROW(行数!A327),配列!$C$4,集計記録,5,1))</f>
        <v>#NAME?</v>
      </c>
      <c r="L335" s="104" t="e">
        <f t="shared" ca="1" si="43"/>
        <v>#NAME?</v>
      </c>
      <c r="M335" s="120" t="e">
        <f t="shared" ca="1" si="37"/>
        <v>#NAME?</v>
      </c>
      <c r="N335" s="120" t="e">
        <f ca="1">IF([0]!CSVVLookUP(ROW(行数!A327),配列!$C$4,集計記録,6,1)=0,"",[0]!CSVVLookUP(ROW(行数!A327),配列!$C$4,集計記録,6,1))</f>
        <v>#NAME?</v>
      </c>
      <c r="O335" s="88" t="e">
        <f ca="1">IF(INDIRECT("M"&amp;ROW()-1)&lt;&gt;INDIRECT("M"&amp;ROW()),リスト!$I$5,"")</f>
        <v>#NAME?</v>
      </c>
      <c r="P335" s="88" t="e">
        <f ca="1">IF(INDIRECT("M"&amp;ROW())&lt;&gt;INDIRECT("M"&amp;ROW()+1),リスト!$I$6,"")</f>
        <v>#NAME?</v>
      </c>
    </row>
    <row r="336" spans="1:16" x14ac:dyDescent="0.2">
      <c r="A336" s="169" t="e">
        <f ca="1">IF(C336="","",ROW(行数!A328))</f>
        <v>#NAME?</v>
      </c>
      <c r="B336" s="168" t="e">
        <f t="shared" ca="1" si="38"/>
        <v>#NAME?</v>
      </c>
      <c r="C336" s="90" t="e">
        <f ca="1">[0]!CSVVLookUP(ROW(行数!A328),配列!$C$4,集計記録,3,1)</f>
        <v>#NAME?</v>
      </c>
      <c r="D336" s="90" t="e">
        <f ca="1">[0]!CSVVLookUP(ROW(行数!B328),配列!$C$4,集計記録,4,1)</f>
        <v>#NAME?</v>
      </c>
      <c r="E336" s="118" t="e">
        <f t="shared" ca="1" si="39"/>
        <v>#NAME?</v>
      </c>
      <c r="F336" s="118" t="e">
        <f t="shared" ca="1" si="40"/>
        <v>#NAME?</v>
      </c>
      <c r="G336" s="103" t="e">
        <f t="shared" ca="1" si="41"/>
        <v>#NAME?</v>
      </c>
      <c r="H336" s="104" t="e">
        <f ca="1">IF(C336="","",MROUND([0]!CSVVLookUP(ROW(行数!A328),配列!$C$4,集計記録,8,1),"0:01"))</f>
        <v>#NAME?</v>
      </c>
      <c r="I336" s="104" t="e">
        <f t="shared" ca="1" si="42"/>
        <v>#NAME?</v>
      </c>
      <c r="J336" s="119" t="e">
        <f ca="1">IF(C336="","",MROUND([0]!CSVVLookUP(ROW(行数!A328),配列!$C$4,集計記録,7,1),"0:01"))</f>
        <v>#NAME?</v>
      </c>
      <c r="K336" s="92" t="e">
        <f ca="1">IF(C336="","",[0]!CSVVLookUP(ROW(行数!A328),配列!$C$4,集計記録,5,1))</f>
        <v>#NAME?</v>
      </c>
      <c r="L336" s="104" t="e">
        <f t="shared" ca="1" si="43"/>
        <v>#NAME?</v>
      </c>
      <c r="M336" s="120" t="e">
        <f t="shared" ca="1" si="37"/>
        <v>#NAME?</v>
      </c>
      <c r="N336" s="120" t="e">
        <f ca="1">IF([0]!CSVVLookUP(ROW(行数!A328),配列!$C$4,集計記録,6,1)=0,"",[0]!CSVVLookUP(ROW(行数!A328),配列!$C$4,集計記録,6,1))</f>
        <v>#NAME?</v>
      </c>
      <c r="O336" s="88" t="e">
        <f ca="1">IF(INDIRECT("M"&amp;ROW()-1)&lt;&gt;INDIRECT("M"&amp;ROW()),リスト!$I$5,"")</f>
        <v>#NAME?</v>
      </c>
      <c r="P336" s="88" t="e">
        <f ca="1">IF(INDIRECT("M"&amp;ROW())&lt;&gt;INDIRECT("M"&amp;ROW()+1),リスト!$I$6,"")</f>
        <v>#NAME?</v>
      </c>
    </row>
    <row r="337" spans="1:16" x14ac:dyDescent="0.2">
      <c r="A337" s="169" t="e">
        <f ca="1">IF(C337="","",ROW(行数!A329))</f>
        <v>#NAME?</v>
      </c>
      <c r="B337" s="168" t="e">
        <f t="shared" ca="1" si="38"/>
        <v>#NAME?</v>
      </c>
      <c r="C337" s="90" t="e">
        <f ca="1">[0]!CSVVLookUP(ROW(行数!A329),配列!$C$4,集計記録,3,1)</f>
        <v>#NAME?</v>
      </c>
      <c r="D337" s="90" t="e">
        <f ca="1">[0]!CSVVLookUP(ROW(行数!B329),配列!$C$4,集計記録,4,1)</f>
        <v>#NAME?</v>
      </c>
      <c r="E337" s="118" t="e">
        <f t="shared" ca="1" si="39"/>
        <v>#NAME?</v>
      </c>
      <c r="F337" s="118" t="e">
        <f t="shared" ca="1" si="40"/>
        <v>#NAME?</v>
      </c>
      <c r="G337" s="103" t="e">
        <f t="shared" ca="1" si="41"/>
        <v>#NAME?</v>
      </c>
      <c r="H337" s="104" t="e">
        <f ca="1">IF(C337="","",MROUND([0]!CSVVLookUP(ROW(行数!A329),配列!$C$4,集計記録,8,1),"0:01"))</f>
        <v>#NAME?</v>
      </c>
      <c r="I337" s="104" t="e">
        <f t="shared" ca="1" si="42"/>
        <v>#NAME?</v>
      </c>
      <c r="J337" s="119" t="e">
        <f ca="1">IF(C337="","",MROUND([0]!CSVVLookUP(ROW(行数!A329),配列!$C$4,集計記録,7,1),"0:01"))</f>
        <v>#NAME?</v>
      </c>
      <c r="K337" s="92" t="e">
        <f ca="1">IF(C337="","",[0]!CSVVLookUP(ROW(行数!A329),配列!$C$4,集計記録,5,1))</f>
        <v>#NAME?</v>
      </c>
      <c r="L337" s="104" t="e">
        <f t="shared" ca="1" si="43"/>
        <v>#NAME?</v>
      </c>
      <c r="M337" s="120" t="e">
        <f t="shared" ca="1" si="37"/>
        <v>#NAME?</v>
      </c>
      <c r="N337" s="120" t="e">
        <f ca="1">IF([0]!CSVVLookUP(ROW(行数!A329),配列!$C$4,集計記録,6,1)=0,"",[0]!CSVVLookUP(ROW(行数!A329),配列!$C$4,集計記録,6,1))</f>
        <v>#NAME?</v>
      </c>
      <c r="O337" s="88" t="e">
        <f ca="1">IF(INDIRECT("M"&amp;ROW()-1)&lt;&gt;INDIRECT("M"&amp;ROW()),リスト!$I$5,"")</f>
        <v>#NAME?</v>
      </c>
      <c r="P337" s="88" t="e">
        <f ca="1">IF(INDIRECT("M"&amp;ROW())&lt;&gt;INDIRECT("M"&amp;ROW()+1),リスト!$I$6,"")</f>
        <v>#NAME?</v>
      </c>
    </row>
    <row r="338" spans="1:16" x14ac:dyDescent="0.2">
      <c r="A338" s="169" t="e">
        <f ca="1">IF(C338="","",ROW(行数!A330))</f>
        <v>#NAME?</v>
      </c>
      <c r="B338" s="168" t="e">
        <f t="shared" ca="1" si="38"/>
        <v>#NAME?</v>
      </c>
      <c r="C338" s="90" t="e">
        <f ca="1">[0]!CSVVLookUP(ROW(行数!A330),配列!$C$4,集計記録,3,1)</f>
        <v>#NAME?</v>
      </c>
      <c r="D338" s="90" t="e">
        <f ca="1">[0]!CSVVLookUP(ROW(行数!B330),配列!$C$4,集計記録,4,1)</f>
        <v>#NAME?</v>
      </c>
      <c r="E338" s="118" t="e">
        <f t="shared" ca="1" si="39"/>
        <v>#NAME?</v>
      </c>
      <c r="F338" s="118" t="e">
        <f t="shared" ca="1" si="40"/>
        <v>#NAME?</v>
      </c>
      <c r="G338" s="103" t="e">
        <f t="shared" ca="1" si="41"/>
        <v>#NAME?</v>
      </c>
      <c r="H338" s="104" t="e">
        <f ca="1">IF(C338="","",MROUND([0]!CSVVLookUP(ROW(行数!A330),配列!$C$4,集計記録,8,1),"0:01"))</f>
        <v>#NAME?</v>
      </c>
      <c r="I338" s="104" t="e">
        <f t="shared" ca="1" si="42"/>
        <v>#NAME?</v>
      </c>
      <c r="J338" s="119" t="e">
        <f ca="1">IF(C338="","",MROUND([0]!CSVVLookUP(ROW(行数!A330),配列!$C$4,集計記録,7,1),"0:01"))</f>
        <v>#NAME?</v>
      </c>
      <c r="K338" s="92" t="e">
        <f ca="1">IF(C338="","",[0]!CSVVLookUP(ROW(行数!A330),配列!$C$4,集計記録,5,1))</f>
        <v>#NAME?</v>
      </c>
      <c r="L338" s="104" t="e">
        <f t="shared" ca="1" si="43"/>
        <v>#NAME?</v>
      </c>
      <c r="M338" s="120" t="e">
        <f t="shared" ca="1" si="37"/>
        <v>#NAME?</v>
      </c>
      <c r="N338" s="120" t="e">
        <f ca="1">IF([0]!CSVVLookUP(ROW(行数!A330),配列!$C$4,集計記録,6,1)=0,"",[0]!CSVVLookUP(ROW(行数!A330),配列!$C$4,集計記録,6,1))</f>
        <v>#NAME?</v>
      </c>
      <c r="O338" s="88" t="e">
        <f ca="1">IF(INDIRECT("M"&amp;ROW()-1)&lt;&gt;INDIRECT("M"&amp;ROW()),リスト!$I$5,"")</f>
        <v>#NAME?</v>
      </c>
      <c r="P338" s="88" t="e">
        <f ca="1">IF(INDIRECT("M"&amp;ROW())&lt;&gt;INDIRECT("M"&amp;ROW()+1),リスト!$I$6,"")</f>
        <v>#NAME?</v>
      </c>
    </row>
    <row r="339" spans="1:16" x14ac:dyDescent="0.2">
      <c r="A339" s="169" t="e">
        <f ca="1">IF(C339="","",ROW(行数!A331))</f>
        <v>#NAME?</v>
      </c>
      <c r="B339" s="168" t="e">
        <f t="shared" ca="1" si="38"/>
        <v>#NAME?</v>
      </c>
      <c r="C339" s="90" t="e">
        <f ca="1">[0]!CSVVLookUP(ROW(行数!A331),配列!$C$4,集計記録,3,1)</f>
        <v>#NAME?</v>
      </c>
      <c r="D339" s="90" t="e">
        <f ca="1">[0]!CSVVLookUP(ROW(行数!B331),配列!$C$4,集計記録,4,1)</f>
        <v>#NAME?</v>
      </c>
      <c r="E339" s="118" t="e">
        <f t="shared" ca="1" si="39"/>
        <v>#NAME?</v>
      </c>
      <c r="F339" s="118" t="e">
        <f t="shared" ca="1" si="40"/>
        <v>#NAME?</v>
      </c>
      <c r="G339" s="103" t="e">
        <f t="shared" ca="1" si="41"/>
        <v>#NAME?</v>
      </c>
      <c r="H339" s="104" t="e">
        <f ca="1">IF(C339="","",MROUND([0]!CSVVLookUP(ROW(行数!A331),配列!$C$4,集計記録,8,1),"0:01"))</f>
        <v>#NAME?</v>
      </c>
      <c r="I339" s="104" t="e">
        <f t="shared" ca="1" si="42"/>
        <v>#NAME?</v>
      </c>
      <c r="J339" s="119" t="e">
        <f ca="1">IF(C339="","",MROUND([0]!CSVVLookUP(ROW(行数!A331),配列!$C$4,集計記録,7,1),"0:01"))</f>
        <v>#NAME?</v>
      </c>
      <c r="K339" s="92" t="e">
        <f ca="1">IF(C339="","",[0]!CSVVLookUP(ROW(行数!A331),配列!$C$4,集計記録,5,1))</f>
        <v>#NAME?</v>
      </c>
      <c r="L339" s="104" t="e">
        <f t="shared" ca="1" si="43"/>
        <v>#NAME?</v>
      </c>
      <c r="M339" s="120" t="e">
        <f t="shared" ca="1" si="37"/>
        <v>#NAME?</v>
      </c>
      <c r="N339" s="120" t="e">
        <f ca="1">IF([0]!CSVVLookUP(ROW(行数!A331),配列!$C$4,集計記録,6,1)=0,"",[0]!CSVVLookUP(ROW(行数!A331),配列!$C$4,集計記録,6,1))</f>
        <v>#NAME?</v>
      </c>
      <c r="O339" s="88" t="e">
        <f ca="1">IF(INDIRECT("M"&amp;ROW()-1)&lt;&gt;INDIRECT("M"&amp;ROW()),リスト!$I$5,"")</f>
        <v>#NAME?</v>
      </c>
      <c r="P339" s="88" t="e">
        <f ca="1">IF(INDIRECT("M"&amp;ROW())&lt;&gt;INDIRECT("M"&amp;ROW()+1),リスト!$I$6,"")</f>
        <v>#NAME?</v>
      </c>
    </row>
    <row r="340" spans="1:16" x14ac:dyDescent="0.2">
      <c r="A340" s="169" t="e">
        <f ca="1">IF(C340="","",ROW(行数!A332))</f>
        <v>#NAME?</v>
      </c>
      <c r="B340" s="168" t="e">
        <f t="shared" ca="1" si="38"/>
        <v>#NAME?</v>
      </c>
      <c r="C340" s="90" t="e">
        <f ca="1">[0]!CSVVLookUP(ROW(行数!A332),配列!$C$4,集計記録,3,1)</f>
        <v>#NAME?</v>
      </c>
      <c r="D340" s="90" t="e">
        <f ca="1">[0]!CSVVLookUP(ROW(行数!B332),配列!$C$4,集計記録,4,1)</f>
        <v>#NAME?</v>
      </c>
      <c r="E340" s="118" t="e">
        <f t="shared" ca="1" si="39"/>
        <v>#NAME?</v>
      </c>
      <c r="F340" s="118" t="e">
        <f t="shared" ca="1" si="40"/>
        <v>#NAME?</v>
      </c>
      <c r="G340" s="103" t="e">
        <f t="shared" ca="1" si="41"/>
        <v>#NAME?</v>
      </c>
      <c r="H340" s="104" t="e">
        <f ca="1">IF(C340="","",MROUND([0]!CSVVLookUP(ROW(行数!A332),配列!$C$4,集計記録,8,1),"0:01"))</f>
        <v>#NAME?</v>
      </c>
      <c r="I340" s="104" t="e">
        <f t="shared" ca="1" si="42"/>
        <v>#NAME?</v>
      </c>
      <c r="J340" s="119" t="e">
        <f ca="1">IF(C340="","",MROUND([0]!CSVVLookUP(ROW(行数!A332),配列!$C$4,集計記録,7,1),"0:01"))</f>
        <v>#NAME?</v>
      </c>
      <c r="K340" s="92" t="e">
        <f ca="1">IF(C340="","",[0]!CSVVLookUP(ROW(行数!A332),配列!$C$4,集計記録,5,1))</f>
        <v>#NAME?</v>
      </c>
      <c r="L340" s="104" t="e">
        <f t="shared" ca="1" si="43"/>
        <v>#NAME?</v>
      </c>
      <c r="M340" s="120" t="e">
        <f t="shared" ca="1" si="37"/>
        <v>#NAME?</v>
      </c>
      <c r="N340" s="120" t="e">
        <f ca="1">IF([0]!CSVVLookUP(ROW(行数!A332),配列!$C$4,集計記録,6,1)=0,"",[0]!CSVVLookUP(ROW(行数!A332),配列!$C$4,集計記録,6,1))</f>
        <v>#NAME?</v>
      </c>
      <c r="O340" s="88" t="e">
        <f ca="1">IF(INDIRECT("M"&amp;ROW()-1)&lt;&gt;INDIRECT("M"&amp;ROW()),リスト!$I$5,"")</f>
        <v>#NAME?</v>
      </c>
      <c r="P340" s="88" t="e">
        <f ca="1">IF(INDIRECT("M"&amp;ROW())&lt;&gt;INDIRECT("M"&amp;ROW()+1),リスト!$I$6,"")</f>
        <v>#NAME?</v>
      </c>
    </row>
    <row r="341" spans="1:16" x14ac:dyDescent="0.2">
      <c r="A341" s="169" t="e">
        <f ca="1">IF(C341="","",ROW(行数!A333))</f>
        <v>#NAME?</v>
      </c>
      <c r="B341" s="168" t="e">
        <f t="shared" ca="1" si="38"/>
        <v>#NAME?</v>
      </c>
      <c r="C341" s="90" t="e">
        <f ca="1">[0]!CSVVLookUP(ROW(行数!A333),配列!$C$4,集計記録,3,1)</f>
        <v>#NAME?</v>
      </c>
      <c r="D341" s="90" t="e">
        <f ca="1">[0]!CSVVLookUP(ROW(行数!B333),配列!$C$4,集計記録,4,1)</f>
        <v>#NAME?</v>
      </c>
      <c r="E341" s="118" t="e">
        <f t="shared" ca="1" si="39"/>
        <v>#NAME?</v>
      </c>
      <c r="F341" s="118" t="e">
        <f t="shared" ca="1" si="40"/>
        <v>#NAME?</v>
      </c>
      <c r="G341" s="103" t="e">
        <f t="shared" ca="1" si="41"/>
        <v>#NAME?</v>
      </c>
      <c r="H341" s="104" t="e">
        <f ca="1">IF(C341="","",MROUND([0]!CSVVLookUP(ROW(行数!A333),配列!$C$4,集計記録,8,1),"0:01"))</f>
        <v>#NAME?</v>
      </c>
      <c r="I341" s="104" t="e">
        <f t="shared" ca="1" si="42"/>
        <v>#NAME?</v>
      </c>
      <c r="J341" s="119" t="e">
        <f ca="1">IF(C341="","",MROUND([0]!CSVVLookUP(ROW(行数!A333),配列!$C$4,集計記録,7,1),"0:01"))</f>
        <v>#NAME?</v>
      </c>
      <c r="K341" s="92" t="e">
        <f ca="1">IF(C341="","",[0]!CSVVLookUP(ROW(行数!A333),配列!$C$4,集計記録,5,1))</f>
        <v>#NAME?</v>
      </c>
      <c r="L341" s="104" t="e">
        <f t="shared" ca="1" si="43"/>
        <v>#NAME?</v>
      </c>
      <c r="M341" s="120" t="e">
        <f t="shared" ca="1" si="37"/>
        <v>#NAME?</v>
      </c>
      <c r="N341" s="120" t="e">
        <f ca="1">IF([0]!CSVVLookUP(ROW(行数!A333),配列!$C$4,集計記録,6,1)=0,"",[0]!CSVVLookUP(ROW(行数!A333),配列!$C$4,集計記録,6,1))</f>
        <v>#NAME?</v>
      </c>
      <c r="O341" s="88" t="e">
        <f ca="1">IF(INDIRECT("M"&amp;ROW()-1)&lt;&gt;INDIRECT("M"&amp;ROW()),リスト!$I$5,"")</f>
        <v>#NAME?</v>
      </c>
      <c r="P341" s="88" t="e">
        <f ca="1">IF(INDIRECT("M"&amp;ROW())&lt;&gt;INDIRECT("M"&amp;ROW()+1),リスト!$I$6,"")</f>
        <v>#NAME?</v>
      </c>
    </row>
    <row r="342" spans="1:16" x14ac:dyDescent="0.2">
      <c r="A342" s="169" t="e">
        <f ca="1">IF(C342="","",ROW(行数!A334))</f>
        <v>#NAME?</v>
      </c>
      <c r="B342" s="168" t="e">
        <f t="shared" ca="1" si="38"/>
        <v>#NAME?</v>
      </c>
      <c r="C342" s="90" t="e">
        <f ca="1">[0]!CSVVLookUP(ROW(行数!A334),配列!$C$4,集計記録,3,1)</f>
        <v>#NAME?</v>
      </c>
      <c r="D342" s="90" t="e">
        <f ca="1">[0]!CSVVLookUP(ROW(行数!B334),配列!$C$4,集計記録,4,1)</f>
        <v>#NAME?</v>
      </c>
      <c r="E342" s="118" t="e">
        <f t="shared" ca="1" si="39"/>
        <v>#NAME?</v>
      </c>
      <c r="F342" s="118" t="e">
        <f t="shared" ca="1" si="40"/>
        <v>#NAME?</v>
      </c>
      <c r="G342" s="103" t="e">
        <f t="shared" ca="1" si="41"/>
        <v>#NAME?</v>
      </c>
      <c r="H342" s="104" t="e">
        <f ca="1">IF(C342="","",MROUND([0]!CSVVLookUP(ROW(行数!A334),配列!$C$4,集計記録,8,1),"0:01"))</f>
        <v>#NAME?</v>
      </c>
      <c r="I342" s="104" t="e">
        <f t="shared" ca="1" si="42"/>
        <v>#NAME?</v>
      </c>
      <c r="J342" s="119" t="e">
        <f ca="1">IF(C342="","",MROUND([0]!CSVVLookUP(ROW(行数!A334),配列!$C$4,集計記録,7,1),"0:01"))</f>
        <v>#NAME?</v>
      </c>
      <c r="K342" s="92" t="e">
        <f ca="1">IF(C342="","",[0]!CSVVLookUP(ROW(行数!A334),配列!$C$4,集計記録,5,1))</f>
        <v>#NAME?</v>
      </c>
      <c r="L342" s="104" t="e">
        <f t="shared" ca="1" si="43"/>
        <v>#NAME?</v>
      </c>
      <c r="M342" s="120" t="e">
        <f t="shared" ca="1" si="37"/>
        <v>#NAME?</v>
      </c>
      <c r="N342" s="120" t="e">
        <f ca="1">IF([0]!CSVVLookUP(ROW(行数!A334),配列!$C$4,集計記録,6,1)=0,"",[0]!CSVVLookUP(ROW(行数!A334),配列!$C$4,集計記録,6,1))</f>
        <v>#NAME?</v>
      </c>
      <c r="O342" s="88" t="e">
        <f ca="1">IF(INDIRECT("M"&amp;ROW()-1)&lt;&gt;INDIRECT("M"&amp;ROW()),リスト!$I$5,"")</f>
        <v>#NAME?</v>
      </c>
      <c r="P342" s="88" t="e">
        <f ca="1">IF(INDIRECT("M"&amp;ROW())&lt;&gt;INDIRECT("M"&amp;ROW()+1),リスト!$I$6,"")</f>
        <v>#NAME?</v>
      </c>
    </row>
    <row r="343" spans="1:16" x14ac:dyDescent="0.2">
      <c r="A343" s="169" t="e">
        <f ca="1">IF(C343="","",ROW(行数!A335))</f>
        <v>#NAME?</v>
      </c>
      <c r="B343" s="168" t="e">
        <f t="shared" ca="1" si="38"/>
        <v>#NAME?</v>
      </c>
      <c r="C343" s="90" t="e">
        <f ca="1">[0]!CSVVLookUP(ROW(行数!A335),配列!$C$4,集計記録,3,1)</f>
        <v>#NAME?</v>
      </c>
      <c r="D343" s="90" t="e">
        <f ca="1">[0]!CSVVLookUP(ROW(行数!B335),配列!$C$4,集計記録,4,1)</f>
        <v>#NAME?</v>
      </c>
      <c r="E343" s="118" t="e">
        <f t="shared" ca="1" si="39"/>
        <v>#NAME?</v>
      </c>
      <c r="F343" s="118" t="e">
        <f t="shared" ca="1" si="40"/>
        <v>#NAME?</v>
      </c>
      <c r="G343" s="103" t="e">
        <f t="shared" ca="1" si="41"/>
        <v>#NAME?</v>
      </c>
      <c r="H343" s="104" t="e">
        <f ca="1">IF(C343="","",MROUND([0]!CSVVLookUP(ROW(行数!A335),配列!$C$4,集計記録,8,1),"0:01"))</f>
        <v>#NAME?</v>
      </c>
      <c r="I343" s="104" t="e">
        <f t="shared" ca="1" si="42"/>
        <v>#NAME?</v>
      </c>
      <c r="J343" s="119" t="e">
        <f ca="1">IF(C343="","",MROUND([0]!CSVVLookUP(ROW(行数!A335),配列!$C$4,集計記録,7,1),"0:01"))</f>
        <v>#NAME?</v>
      </c>
      <c r="K343" s="92" t="e">
        <f ca="1">IF(C343="","",[0]!CSVVLookUP(ROW(行数!A335),配列!$C$4,集計記録,5,1))</f>
        <v>#NAME?</v>
      </c>
      <c r="L343" s="104" t="e">
        <f t="shared" ca="1" si="43"/>
        <v>#NAME?</v>
      </c>
      <c r="M343" s="120" t="e">
        <f t="shared" ca="1" si="37"/>
        <v>#NAME?</v>
      </c>
      <c r="N343" s="120" t="e">
        <f ca="1">IF([0]!CSVVLookUP(ROW(行数!A335),配列!$C$4,集計記録,6,1)=0,"",[0]!CSVVLookUP(ROW(行数!A335),配列!$C$4,集計記録,6,1))</f>
        <v>#NAME?</v>
      </c>
      <c r="O343" s="88" t="e">
        <f ca="1">IF(INDIRECT("M"&amp;ROW()-1)&lt;&gt;INDIRECT("M"&amp;ROW()),リスト!$I$5,"")</f>
        <v>#NAME?</v>
      </c>
      <c r="P343" s="88" t="e">
        <f ca="1">IF(INDIRECT("M"&amp;ROW())&lt;&gt;INDIRECT("M"&amp;ROW()+1),リスト!$I$6,"")</f>
        <v>#NAME?</v>
      </c>
    </row>
    <row r="344" spans="1:16" x14ac:dyDescent="0.2">
      <c r="A344" s="169" t="e">
        <f ca="1">IF(C344="","",ROW(行数!A336))</f>
        <v>#NAME?</v>
      </c>
      <c r="B344" s="168" t="e">
        <f t="shared" ca="1" si="38"/>
        <v>#NAME?</v>
      </c>
      <c r="C344" s="90" t="e">
        <f ca="1">[0]!CSVVLookUP(ROW(行数!A336),配列!$C$4,集計記録,3,1)</f>
        <v>#NAME?</v>
      </c>
      <c r="D344" s="90" t="e">
        <f ca="1">[0]!CSVVLookUP(ROW(行数!B336),配列!$C$4,集計記録,4,1)</f>
        <v>#NAME?</v>
      </c>
      <c r="E344" s="118" t="e">
        <f t="shared" ca="1" si="39"/>
        <v>#NAME?</v>
      </c>
      <c r="F344" s="118" t="e">
        <f t="shared" ca="1" si="40"/>
        <v>#NAME?</v>
      </c>
      <c r="G344" s="103" t="e">
        <f t="shared" ca="1" si="41"/>
        <v>#NAME?</v>
      </c>
      <c r="H344" s="104" t="e">
        <f ca="1">IF(C344="","",MROUND([0]!CSVVLookUP(ROW(行数!A336),配列!$C$4,集計記録,8,1),"0:01"))</f>
        <v>#NAME?</v>
      </c>
      <c r="I344" s="104" t="e">
        <f t="shared" ca="1" si="42"/>
        <v>#NAME?</v>
      </c>
      <c r="J344" s="119" t="e">
        <f ca="1">IF(C344="","",MROUND([0]!CSVVLookUP(ROW(行数!A336),配列!$C$4,集計記録,7,1),"0:01"))</f>
        <v>#NAME?</v>
      </c>
      <c r="K344" s="92" t="e">
        <f ca="1">IF(C344="","",[0]!CSVVLookUP(ROW(行数!A336),配列!$C$4,集計記録,5,1))</f>
        <v>#NAME?</v>
      </c>
      <c r="L344" s="104" t="e">
        <f t="shared" ca="1" si="43"/>
        <v>#NAME?</v>
      </c>
      <c r="M344" s="120" t="e">
        <f t="shared" ca="1" si="37"/>
        <v>#NAME?</v>
      </c>
      <c r="N344" s="120" t="e">
        <f ca="1">IF([0]!CSVVLookUP(ROW(行数!A336),配列!$C$4,集計記録,6,1)=0,"",[0]!CSVVLookUP(ROW(行数!A336),配列!$C$4,集計記録,6,1))</f>
        <v>#NAME?</v>
      </c>
      <c r="O344" s="88" t="e">
        <f ca="1">IF(INDIRECT("M"&amp;ROW()-1)&lt;&gt;INDIRECT("M"&amp;ROW()),リスト!$I$5,"")</f>
        <v>#NAME?</v>
      </c>
      <c r="P344" s="88" t="e">
        <f ca="1">IF(INDIRECT("M"&amp;ROW())&lt;&gt;INDIRECT("M"&amp;ROW()+1),リスト!$I$6,"")</f>
        <v>#NAME?</v>
      </c>
    </row>
    <row r="345" spans="1:16" x14ac:dyDescent="0.2">
      <c r="A345" s="169" t="e">
        <f ca="1">IF(C345="","",ROW(行数!A337))</f>
        <v>#NAME?</v>
      </c>
      <c r="B345" s="168" t="e">
        <f t="shared" ca="1" si="38"/>
        <v>#NAME?</v>
      </c>
      <c r="C345" s="90" t="e">
        <f ca="1">[0]!CSVVLookUP(ROW(行数!A337),配列!$C$4,集計記録,3,1)</f>
        <v>#NAME?</v>
      </c>
      <c r="D345" s="90" t="e">
        <f ca="1">[0]!CSVVLookUP(ROW(行数!B337),配列!$C$4,集計記録,4,1)</f>
        <v>#NAME?</v>
      </c>
      <c r="E345" s="118" t="e">
        <f t="shared" ca="1" si="39"/>
        <v>#NAME?</v>
      </c>
      <c r="F345" s="118" t="e">
        <f t="shared" ca="1" si="40"/>
        <v>#NAME?</v>
      </c>
      <c r="G345" s="103" t="e">
        <f t="shared" ca="1" si="41"/>
        <v>#NAME?</v>
      </c>
      <c r="H345" s="104" t="e">
        <f ca="1">IF(C345="","",MROUND([0]!CSVVLookUP(ROW(行数!A337),配列!$C$4,集計記録,8,1),"0:01"))</f>
        <v>#NAME?</v>
      </c>
      <c r="I345" s="104" t="e">
        <f t="shared" ca="1" si="42"/>
        <v>#NAME?</v>
      </c>
      <c r="J345" s="119" t="e">
        <f ca="1">IF(C345="","",MROUND([0]!CSVVLookUP(ROW(行数!A337),配列!$C$4,集計記録,7,1),"0:01"))</f>
        <v>#NAME?</v>
      </c>
      <c r="K345" s="92" t="e">
        <f ca="1">IF(C345="","",[0]!CSVVLookUP(ROW(行数!A337),配列!$C$4,集計記録,5,1))</f>
        <v>#NAME?</v>
      </c>
      <c r="L345" s="104" t="e">
        <f t="shared" ca="1" si="43"/>
        <v>#NAME?</v>
      </c>
      <c r="M345" s="120" t="e">
        <f t="shared" ca="1" si="37"/>
        <v>#NAME?</v>
      </c>
      <c r="N345" s="120" t="e">
        <f ca="1">IF([0]!CSVVLookUP(ROW(行数!A337),配列!$C$4,集計記録,6,1)=0,"",[0]!CSVVLookUP(ROW(行数!A337),配列!$C$4,集計記録,6,1))</f>
        <v>#NAME?</v>
      </c>
      <c r="O345" s="88" t="e">
        <f ca="1">IF(INDIRECT("M"&amp;ROW()-1)&lt;&gt;INDIRECT("M"&amp;ROW()),リスト!$I$5,"")</f>
        <v>#NAME?</v>
      </c>
      <c r="P345" s="88" t="e">
        <f ca="1">IF(INDIRECT("M"&amp;ROW())&lt;&gt;INDIRECT("M"&amp;ROW()+1),リスト!$I$6,"")</f>
        <v>#NAME?</v>
      </c>
    </row>
    <row r="346" spans="1:16" x14ac:dyDescent="0.2">
      <c r="A346" s="169" t="e">
        <f ca="1">IF(C346="","",ROW(行数!A338))</f>
        <v>#NAME?</v>
      </c>
      <c r="B346" s="168" t="e">
        <f t="shared" ca="1" si="38"/>
        <v>#NAME?</v>
      </c>
      <c r="C346" s="90" t="e">
        <f ca="1">[0]!CSVVLookUP(ROW(行数!A338),配列!$C$4,集計記録,3,1)</f>
        <v>#NAME?</v>
      </c>
      <c r="D346" s="90" t="e">
        <f ca="1">[0]!CSVVLookUP(ROW(行数!B338),配列!$C$4,集計記録,4,1)</f>
        <v>#NAME?</v>
      </c>
      <c r="E346" s="118" t="e">
        <f t="shared" ca="1" si="39"/>
        <v>#NAME?</v>
      </c>
      <c r="F346" s="118" t="e">
        <f t="shared" ca="1" si="40"/>
        <v>#NAME?</v>
      </c>
      <c r="G346" s="103" t="e">
        <f t="shared" ca="1" si="41"/>
        <v>#NAME?</v>
      </c>
      <c r="H346" s="104" t="e">
        <f ca="1">IF(C346="","",MROUND([0]!CSVVLookUP(ROW(行数!A338),配列!$C$4,集計記録,8,1),"0:01"))</f>
        <v>#NAME?</v>
      </c>
      <c r="I346" s="104" t="e">
        <f t="shared" ca="1" si="42"/>
        <v>#NAME?</v>
      </c>
      <c r="J346" s="119" t="e">
        <f ca="1">IF(C346="","",MROUND([0]!CSVVLookUP(ROW(行数!A338),配列!$C$4,集計記録,7,1),"0:01"))</f>
        <v>#NAME?</v>
      </c>
      <c r="K346" s="92" t="e">
        <f ca="1">IF(C346="","",[0]!CSVVLookUP(ROW(行数!A338),配列!$C$4,集計記録,5,1))</f>
        <v>#NAME?</v>
      </c>
      <c r="L346" s="104" t="e">
        <f t="shared" ca="1" si="43"/>
        <v>#NAME?</v>
      </c>
      <c r="M346" s="120" t="e">
        <f t="shared" ca="1" si="37"/>
        <v>#NAME?</v>
      </c>
      <c r="N346" s="120" t="e">
        <f ca="1">IF([0]!CSVVLookUP(ROW(行数!A338),配列!$C$4,集計記録,6,1)=0,"",[0]!CSVVLookUP(ROW(行数!A338),配列!$C$4,集計記録,6,1))</f>
        <v>#NAME?</v>
      </c>
      <c r="O346" s="88" t="e">
        <f ca="1">IF(INDIRECT("M"&amp;ROW()-1)&lt;&gt;INDIRECT("M"&amp;ROW()),リスト!$I$5,"")</f>
        <v>#NAME?</v>
      </c>
      <c r="P346" s="88" t="e">
        <f ca="1">IF(INDIRECT("M"&amp;ROW())&lt;&gt;INDIRECT("M"&amp;ROW()+1),リスト!$I$6,"")</f>
        <v>#NAME?</v>
      </c>
    </row>
    <row r="347" spans="1:16" x14ac:dyDescent="0.2">
      <c r="A347" s="169" t="e">
        <f ca="1">IF(C347="","",ROW(行数!A339))</f>
        <v>#NAME?</v>
      </c>
      <c r="B347" s="168" t="e">
        <f t="shared" ca="1" si="38"/>
        <v>#NAME?</v>
      </c>
      <c r="C347" s="90" t="e">
        <f ca="1">[0]!CSVVLookUP(ROW(行数!A339),配列!$C$4,集計記録,3,1)</f>
        <v>#NAME?</v>
      </c>
      <c r="D347" s="90" t="e">
        <f ca="1">[0]!CSVVLookUP(ROW(行数!B339),配列!$C$4,集計記録,4,1)</f>
        <v>#NAME?</v>
      </c>
      <c r="E347" s="118" t="e">
        <f t="shared" ca="1" si="39"/>
        <v>#NAME?</v>
      </c>
      <c r="F347" s="118" t="e">
        <f t="shared" ca="1" si="40"/>
        <v>#NAME?</v>
      </c>
      <c r="G347" s="103" t="e">
        <f t="shared" ca="1" si="41"/>
        <v>#NAME?</v>
      </c>
      <c r="H347" s="104" t="e">
        <f ca="1">IF(C347="","",MROUND([0]!CSVVLookUP(ROW(行数!A339),配列!$C$4,集計記録,8,1),"0:01"))</f>
        <v>#NAME?</v>
      </c>
      <c r="I347" s="104" t="e">
        <f t="shared" ca="1" si="42"/>
        <v>#NAME?</v>
      </c>
      <c r="J347" s="119" t="e">
        <f ca="1">IF(C347="","",MROUND([0]!CSVVLookUP(ROW(行数!A339),配列!$C$4,集計記録,7,1),"0:01"))</f>
        <v>#NAME?</v>
      </c>
      <c r="K347" s="92" t="e">
        <f ca="1">IF(C347="","",[0]!CSVVLookUP(ROW(行数!A339),配列!$C$4,集計記録,5,1))</f>
        <v>#NAME?</v>
      </c>
      <c r="L347" s="104" t="e">
        <f t="shared" ca="1" si="43"/>
        <v>#NAME?</v>
      </c>
      <c r="M347" s="120" t="e">
        <f t="shared" ca="1" si="37"/>
        <v>#NAME?</v>
      </c>
      <c r="N347" s="120" t="e">
        <f ca="1">IF([0]!CSVVLookUP(ROW(行数!A339),配列!$C$4,集計記録,6,1)=0,"",[0]!CSVVLookUP(ROW(行数!A339),配列!$C$4,集計記録,6,1))</f>
        <v>#NAME?</v>
      </c>
      <c r="O347" s="88" t="e">
        <f ca="1">IF(INDIRECT("M"&amp;ROW()-1)&lt;&gt;INDIRECT("M"&amp;ROW()),リスト!$I$5,"")</f>
        <v>#NAME?</v>
      </c>
      <c r="P347" s="88" t="e">
        <f ca="1">IF(INDIRECT("M"&amp;ROW())&lt;&gt;INDIRECT("M"&amp;ROW()+1),リスト!$I$6,"")</f>
        <v>#NAME?</v>
      </c>
    </row>
    <row r="348" spans="1:16" x14ac:dyDescent="0.2">
      <c r="A348" s="169" t="e">
        <f ca="1">IF(C348="","",ROW(行数!A340))</f>
        <v>#NAME?</v>
      </c>
      <c r="B348" s="168" t="e">
        <f t="shared" ca="1" si="38"/>
        <v>#NAME?</v>
      </c>
      <c r="C348" s="90" t="e">
        <f ca="1">[0]!CSVVLookUP(ROW(行数!A340),配列!$C$4,集計記録,3,1)</f>
        <v>#NAME?</v>
      </c>
      <c r="D348" s="90" t="e">
        <f ca="1">[0]!CSVVLookUP(ROW(行数!B340),配列!$C$4,集計記録,4,1)</f>
        <v>#NAME?</v>
      </c>
      <c r="E348" s="118" t="e">
        <f t="shared" ca="1" si="39"/>
        <v>#NAME?</v>
      </c>
      <c r="F348" s="118" t="e">
        <f t="shared" ca="1" si="40"/>
        <v>#NAME?</v>
      </c>
      <c r="G348" s="103" t="e">
        <f t="shared" ca="1" si="41"/>
        <v>#NAME?</v>
      </c>
      <c r="H348" s="104" t="e">
        <f ca="1">IF(C348="","",MROUND([0]!CSVVLookUP(ROW(行数!A340),配列!$C$4,集計記録,8,1),"0:01"))</f>
        <v>#NAME?</v>
      </c>
      <c r="I348" s="104" t="e">
        <f t="shared" ca="1" si="42"/>
        <v>#NAME?</v>
      </c>
      <c r="J348" s="119" t="e">
        <f ca="1">IF(C348="","",MROUND([0]!CSVVLookUP(ROW(行数!A340),配列!$C$4,集計記録,7,1),"0:01"))</f>
        <v>#NAME?</v>
      </c>
      <c r="K348" s="92" t="e">
        <f ca="1">IF(C348="","",[0]!CSVVLookUP(ROW(行数!A340),配列!$C$4,集計記録,5,1))</f>
        <v>#NAME?</v>
      </c>
      <c r="L348" s="104" t="e">
        <f t="shared" ca="1" si="43"/>
        <v>#NAME?</v>
      </c>
      <c r="M348" s="120" t="e">
        <f t="shared" ca="1" si="37"/>
        <v>#NAME?</v>
      </c>
      <c r="N348" s="120" t="e">
        <f ca="1">IF([0]!CSVVLookUP(ROW(行数!A340),配列!$C$4,集計記録,6,1)=0,"",[0]!CSVVLookUP(ROW(行数!A340),配列!$C$4,集計記録,6,1))</f>
        <v>#NAME?</v>
      </c>
      <c r="O348" s="88" t="e">
        <f ca="1">IF(INDIRECT("M"&amp;ROW()-1)&lt;&gt;INDIRECT("M"&amp;ROW()),リスト!$I$5,"")</f>
        <v>#NAME?</v>
      </c>
      <c r="P348" s="88" t="e">
        <f ca="1">IF(INDIRECT("M"&amp;ROW())&lt;&gt;INDIRECT("M"&amp;ROW()+1),リスト!$I$6,"")</f>
        <v>#NAME?</v>
      </c>
    </row>
    <row r="349" spans="1:16" x14ac:dyDescent="0.2">
      <c r="A349" s="169" t="e">
        <f ca="1">IF(C349="","",ROW(行数!A341))</f>
        <v>#NAME?</v>
      </c>
      <c r="B349" s="168" t="e">
        <f t="shared" ca="1" si="38"/>
        <v>#NAME?</v>
      </c>
      <c r="C349" s="90" t="e">
        <f ca="1">[0]!CSVVLookUP(ROW(行数!A341),配列!$C$4,集計記録,3,1)</f>
        <v>#NAME?</v>
      </c>
      <c r="D349" s="90" t="e">
        <f ca="1">[0]!CSVVLookUP(ROW(行数!B341),配列!$C$4,集計記録,4,1)</f>
        <v>#NAME?</v>
      </c>
      <c r="E349" s="118" t="e">
        <f t="shared" ca="1" si="39"/>
        <v>#NAME?</v>
      </c>
      <c r="F349" s="118" t="e">
        <f t="shared" ca="1" si="40"/>
        <v>#NAME?</v>
      </c>
      <c r="G349" s="103" t="e">
        <f t="shared" ca="1" si="41"/>
        <v>#NAME?</v>
      </c>
      <c r="H349" s="104" t="e">
        <f ca="1">IF(C349="","",MROUND([0]!CSVVLookUP(ROW(行数!A341),配列!$C$4,集計記録,8,1),"0:01"))</f>
        <v>#NAME?</v>
      </c>
      <c r="I349" s="104" t="e">
        <f t="shared" ca="1" si="42"/>
        <v>#NAME?</v>
      </c>
      <c r="J349" s="119" t="e">
        <f ca="1">IF(C349="","",MROUND([0]!CSVVLookUP(ROW(行数!A341),配列!$C$4,集計記録,7,1),"0:01"))</f>
        <v>#NAME?</v>
      </c>
      <c r="K349" s="92" t="e">
        <f ca="1">IF(C349="","",[0]!CSVVLookUP(ROW(行数!A341),配列!$C$4,集計記録,5,1))</f>
        <v>#NAME?</v>
      </c>
      <c r="L349" s="104" t="e">
        <f t="shared" ca="1" si="43"/>
        <v>#NAME?</v>
      </c>
      <c r="M349" s="120" t="e">
        <f t="shared" ca="1" si="37"/>
        <v>#NAME?</v>
      </c>
      <c r="N349" s="120" t="e">
        <f ca="1">IF([0]!CSVVLookUP(ROW(行数!A341),配列!$C$4,集計記録,6,1)=0,"",[0]!CSVVLookUP(ROW(行数!A341),配列!$C$4,集計記録,6,1))</f>
        <v>#NAME?</v>
      </c>
      <c r="O349" s="88" t="e">
        <f ca="1">IF(INDIRECT("M"&amp;ROW()-1)&lt;&gt;INDIRECT("M"&amp;ROW()),リスト!$I$5,"")</f>
        <v>#NAME?</v>
      </c>
      <c r="P349" s="88" t="e">
        <f ca="1">IF(INDIRECT("M"&amp;ROW())&lt;&gt;INDIRECT("M"&amp;ROW()+1),リスト!$I$6,"")</f>
        <v>#NAME?</v>
      </c>
    </row>
    <row r="350" spans="1:16" x14ac:dyDescent="0.2">
      <c r="A350" s="169" t="e">
        <f ca="1">IF(C350="","",ROW(行数!A342))</f>
        <v>#NAME?</v>
      </c>
      <c r="B350" s="168" t="e">
        <f t="shared" ca="1" si="38"/>
        <v>#NAME?</v>
      </c>
      <c r="C350" s="90" t="e">
        <f ca="1">[0]!CSVVLookUP(ROW(行数!A342),配列!$C$4,集計記録,3,1)</f>
        <v>#NAME?</v>
      </c>
      <c r="D350" s="90" t="e">
        <f ca="1">[0]!CSVVLookUP(ROW(行数!B342),配列!$C$4,集計記録,4,1)</f>
        <v>#NAME?</v>
      </c>
      <c r="E350" s="118" t="e">
        <f t="shared" ca="1" si="39"/>
        <v>#NAME?</v>
      </c>
      <c r="F350" s="118" t="e">
        <f t="shared" ca="1" si="40"/>
        <v>#NAME?</v>
      </c>
      <c r="G350" s="103" t="e">
        <f t="shared" ca="1" si="41"/>
        <v>#NAME?</v>
      </c>
      <c r="H350" s="104" t="e">
        <f ca="1">IF(C350="","",MROUND([0]!CSVVLookUP(ROW(行数!A342),配列!$C$4,集計記録,8,1),"0:01"))</f>
        <v>#NAME?</v>
      </c>
      <c r="I350" s="104" t="e">
        <f t="shared" ca="1" si="42"/>
        <v>#NAME?</v>
      </c>
      <c r="J350" s="119" t="e">
        <f ca="1">IF(C350="","",MROUND([0]!CSVVLookUP(ROW(行数!A342),配列!$C$4,集計記録,7,1),"0:01"))</f>
        <v>#NAME?</v>
      </c>
      <c r="K350" s="92" t="e">
        <f ca="1">IF(C350="","",[0]!CSVVLookUP(ROW(行数!A342),配列!$C$4,集計記録,5,1))</f>
        <v>#NAME?</v>
      </c>
      <c r="L350" s="104" t="e">
        <f t="shared" ca="1" si="43"/>
        <v>#NAME?</v>
      </c>
      <c r="M350" s="120" t="e">
        <f t="shared" ca="1" si="37"/>
        <v>#NAME?</v>
      </c>
      <c r="N350" s="120" t="e">
        <f ca="1">IF([0]!CSVVLookUP(ROW(行数!A342),配列!$C$4,集計記録,6,1)=0,"",[0]!CSVVLookUP(ROW(行数!A342),配列!$C$4,集計記録,6,1))</f>
        <v>#NAME?</v>
      </c>
      <c r="O350" s="88" t="e">
        <f ca="1">IF(INDIRECT("M"&amp;ROW()-1)&lt;&gt;INDIRECT("M"&amp;ROW()),リスト!$I$5,"")</f>
        <v>#NAME?</v>
      </c>
      <c r="P350" s="88" t="e">
        <f ca="1">IF(INDIRECT("M"&amp;ROW())&lt;&gt;INDIRECT("M"&amp;ROW()+1),リスト!$I$6,"")</f>
        <v>#NAME?</v>
      </c>
    </row>
    <row r="351" spans="1:16" x14ac:dyDescent="0.2">
      <c r="A351" s="169" t="e">
        <f ca="1">IF(C351="","",ROW(行数!A343))</f>
        <v>#NAME?</v>
      </c>
      <c r="B351" s="168" t="e">
        <f t="shared" ca="1" si="38"/>
        <v>#NAME?</v>
      </c>
      <c r="C351" s="90" t="e">
        <f ca="1">[0]!CSVVLookUP(ROW(行数!A343),配列!$C$4,集計記録,3,1)</f>
        <v>#NAME?</v>
      </c>
      <c r="D351" s="90" t="e">
        <f ca="1">[0]!CSVVLookUP(ROW(行数!B343),配列!$C$4,集計記録,4,1)</f>
        <v>#NAME?</v>
      </c>
      <c r="E351" s="118" t="e">
        <f t="shared" ca="1" si="39"/>
        <v>#NAME?</v>
      </c>
      <c r="F351" s="118" t="e">
        <f t="shared" ca="1" si="40"/>
        <v>#NAME?</v>
      </c>
      <c r="G351" s="103" t="e">
        <f t="shared" ca="1" si="41"/>
        <v>#NAME?</v>
      </c>
      <c r="H351" s="104" t="e">
        <f ca="1">IF(C351="","",MROUND([0]!CSVVLookUP(ROW(行数!A343),配列!$C$4,集計記録,8,1),"0:01"))</f>
        <v>#NAME?</v>
      </c>
      <c r="I351" s="104" t="e">
        <f t="shared" ca="1" si="42"/>
        <v>#NAME?</v>
      </c>
      <c r="J351" s="119" t="e">
        <f ca="1">IF(C351="","",MROUND([0]!CSVVLookUP(ROW(行数!A343),配列!$C$4,集計記録,7,1),"0:01"))</f>
        <v>#NAME?</v>
      </c>
      <c r="K351" s="92" t="e">
        <f ca="1">IF(C351="","",[0]!CSVVLookUP(ROW(行数!A343),配列!$C$4,集計記録,5,1))</f>
        <v>#NAME?</v>
      </c>
      <c r="L351" s="104" t="e">
        <f t="shared" ca="1" si="43"/>
        <v>#NAME?</v>
      </c>
      <c r="M351" s="120" t="e">
        <f t="shared" ca="1" si="37"/>
        <v>#NAME?</v>
      </c>
      <c r="N351" s="120" t="e">
        <f ca="1">IF([0]!CSVVLookUP(ROW(行数!A343),配列!$C$4,集計記録,6,1)=0,"",[0]!CSVVLookUP(ROW(行数!A343),配列!$C$4,集計記録,6,1))</f>
        <v>#NAME?</v>
      </c>
      <c r="O351" s="88" t="e">
        <f ca="1">IF(INDIRECT("M"&amp;ROW()-1)&lt;&gt;INDIRECT("M"&amp;ROW()),リスト!$I$5,"")</f>
        <v>#NAME?</v>
      </c>
      <c r="P351" s="88" t="e">
        <f ca="1">IF(INDIRECT("M"&amp;ROW())&lt;&gt;INDIRECT("M"&amp;ROW()+1),リスト!$I$6,"")</f>
        <v>#NAME?</v>
      </c>
    </row>
    <row r="352" spans="1:16" x14ac:dyDescent="0.2">
      <c r="A352" s="169" t="e">
        <f ca="1">IF(C352="","",ROW(行数!A344))</f>
        <v>#NAME?</v>
      </c>
      <c r="B352" s="168" t="e">
        <f t="shared" ca="1" si="38"/>
        <v>#NAME?</v>
      </c>
      <c r="C352" s="90" t="e">
        <f ca="1">[0]!CSVVLookUP(ROW(行数!A344),配列!$C$4,集計記録,3,1)</f>
        <v>#NAME?</v>
      </c>
      <c r="D352" s="90" t="e">
        <f ca="1">[0]!CSVVLookUP(ROW(行数!B344),配列!$C$4,集計記録,4,1)</f>
        <v>#NAME?</v>
      </c>
      <c r="E352" s="118" t="e">
        <f t="shared" ca="1" si="39"/>
        <v>#NAME?</v>
      </c>
      <c r="F352" s="118" t="e">
        <f t="shared" ca="1" si="40"/>
        <v>#NAME?</v>
      </c>
      <c r="G352" s="103" t="e">
        <f t="shared" ca="1" si="41"/>
        <v>#NAME?</v>
      </c>
      <c r="H352" s="104" t="e">
        <f ca="1">IF(C352="","",MROUND([0]!CSVVLookUP(ROW(行数!A344),配列!$C$4,集計記録,8,1),"0:01"))</f>
        <v>#NAME?</v>
      </c>
      <c r="I352" s="104" t="e">
        <f t="shared" ca="1" si="42"/>
        <v>#NAME?</v>
      </c>
      <c r="J352" s="119" t="e">
        <f ca="1">IF(C352="","",MROUND([0]!CSVVLookUP(ROW(行数!A344),配列!$C$4,集計記録,7,1),"0:01"))</f>
        <v>#NAME?</v>
      </c>
      <c r="K352" s="92" t="e">
        <f ca="1">IF(C352="","",[0]!CSVVLookUP(ROW(行数!A344),配列!$C$4,集計記録,5,1))</f>
        <v>#NAME?</v>
      </c>
      <c r="L352" s="104" t="e">
        <f t="shared" ca="1" si="43"/>
        <v>#NAME?</v>
      </c>
      <c r="M352" s="120" t="e">
        <f t="shared" ca="1" si="37"/>
        <v>#NAME?</v>
      </c>
      <c r="N352" s="120" t="e">
        <f ca="1">IF([0]!CSVVLookUP(ROW(行数!A344),配列!$C$4,集計記録,6,1)=0,"",[0]!CSVVLookUP(ROW(行数!A344),配列!$C$4,集計記録,6,1))</f>
        <v>#NAME?</v>
      </c>
      <c r="O352" s="88" t="e">
        <f ca="1">IF(INDIRECT("M"&amp;ROW()-1)&lt;&gt;INDIRECT("M"&amp;ROW()),リスト!$I$5,"")</f>
        <v>#NAME?</v>
      </c>
      <c r="P352" s="88" t="e">
        <f ca="1">IF(INDIRECT("M"&amp;ROW())&lt;&gt;INDIRECT("M"&amp;ROW()+1),リスト!$I$6,"")</f>
        <v>#NAME?</v>
      </c>
    </row>
    <row r="353" spans="1:16" x14ac:dyDescent="0.2">
      <c r="A353" s="169" t="e">
        <f ca="1">IF(C353="","",ROW(行数!A345))</f>
        <v>#NAME?</v>
      </c>
      <c r="B353" s="168" t="e">
        <f t="shared" ca="1" si="38"/>
        <v>#NAME?</v>
      </c>
      <c r="C353" s="90" t="e">
        <f ca="1">[0]!CSVVLookUP(ROW(行数!A345),配列!$C$4,集計記録,3,1)</f>
        <v>#NAME?</v>
      </c>
      <c r="D353" s="90" t="e">
        <f ca="1">[0]!CSVVLookUP(ROW(行数!B345),配列!$C$4,集計記録,4,1)</f>
        <v>#NAME?</v>
      </c>
      <c r="E353" s="118" t="e">
        <f t="shared" ca="1" si="39"/>
        <v>#NAME?</v>
      </c>
      <c r="F353" s="118" t="e">
        <f t="shared" ca="1" si="40"/>
        <v>#NAME?</v>
      </c>
      <c r="G353" s="103" t="e">
        <f t="shared" ca="1" si="41"/>
        <v>#NAME?</v>
      </c>
      <c r="H353" s="104" t="e">
        <f ca="1">IF(C353="","",MROUND([0]!CSVVLookUP(ROW(行数!A345),配列!$C$4,集計記録,8,1),"0:01"))</f>
        <v>#NAME?</v>
      </c>
      <c r="I353" s="104" t="e">
        <f t="shared" ca="1" si="42"/>
        <v>#NAME?</v>
      </c>
      <c r="J353" s="119" t="e">
        <f ca="1">IF(C353="","",MROUND([0]!CSVVLookUP(ROW(行数!A345),配列!$C$4,集計記録,7,1),"0:01"))</f>
        <v>#NAME?</v>
      </c>
      <c r="K353" s="92" t="e">
        <f ca="1">IF(C353="","",[0]!CSVVLookUP(ROW(行数!A345),配列!$C$4,集計記録,5,1))</f>
        <v>#NAME?</v>
      </c>
      <c r="L353" s="104" t="e">
        <f t="shared" ca="1" si="43"/>
        <v>#NAME?</v>
      </c>
      <c r="M353" s="120" t="e">
        <f t="shared" ca="1" si="37"/>
        <v>#NAME?</v>
      </c>
      <c r="N353" s="120" t="e">
        <f ca="1">IF([0]!CSVVLookUP(ROW(行数!A345),配列!$C$4,集計記録,6,1)=0,"",[0]!CSVVLookUP(ROW(行数!A345),配列!$C$4,集計記録,6,1))</f>
        <v>#NAME?</v>
      </c>
      <c r="O353" s="88" t="e">
        <f ca="1">IF(INDIRECT("M"&amp;ROW()-1)&lt;&gt;INDIRECT("M"&amp;ROW()),リスト!$I$5,"")</f>
        <v>#NAME?</v>
      </c>
      <c r="P353" s="88" t="e">
        <f ca="1">IF(INDIRECT("M"&amp;ROW())&lt;&gt;INDIRECT("M"&amp;ROW()+1),リスト!$I$6,"")</f>
        <v>#NAME?</v>
      </c>
    </row>
    <row r="354" spans="1:16" x14ac:dyDescent="0.2">
      <c r="A354" s="169" t="e">
        <f ca="1">IF(C354="","",ROW(行数!A346))</f>
        <v>#NAME?</v>
      </c>
      <c r="B354" s="168" t="e">
        <f t="shared" ca="1" si="38"/>
        <v>#NAME?</v>
      </c>
      <c r="C354" s="90" t="e">
        <f ca="1">[0]!CSVVLookUP(ROW(行数!A346),配列!$C$4,集計記録,3,1)</f>
        <v>#NAME?</v>
      </c>
      <c r="D354" s="90" t="e">
        <f ca="1">[0]!CSVVLookUP(ROW(行数!B346),配列!$C$4,集計記録,4,1)</f>
        <v>#NAME?</v>
      </c>
      <c r="E354" s="118" t="e">
        <f t="shared" ca="1" si="39"/>
        <v>#NAME?</v>
      </c>
      <c r="F354" s="118" t="e">
        <f t="shared" ca="1" si="40"/>
        <v>#NAME?</v>
      </c>
      <c r="G354" s="103" t="e">
        <f t="shared" ca="1" si="41"/>
        <v>#NAME?</v>
      </c>
      <c r="H354" s="104" t="e">
        <f ca="1">IF(C354="","",MROUND([0]!CSVVLookUP(ROW(行数!A346),配列!$C$4,集計記録,8,1),"0:01"))</f>
        <v>#NAME?</v>
      </c>
      <c r="I354" s="104" t="e">
        <f t="shared" ca="1" si="42"/>
        <v>#NAME?</v>
      </c>
      <c r="J354" s="119" t="e">
        <f ca="1">IF(C354="","",MROUND([0]!CSVVLookUP(ROW(行数!A346),配列!$C$4,集計記録,7,1),"0:01"))</f>
        <v>#NAME?</v>
      </c>
      <c r="K354" s="92" t="e">
        <f ca="1">IF(C354="","",[0]!CSVVLookUP(ROW(行数!A346),配列!$C$4,集計記録,5,1))</f>
        <v>#NAME?</v>
      </c>
      <c r="L354" s="104" t="e">
        <f t="shared" ca="1" si="43"/>
        <v>#NAME?</v>
      </c>
      <c r="M354" s="120" t="e">
        <f t="shared" ca="1" si="37"/>
        <v>#NAME?</v>
      </c>
      <c r="N354" s="120" t="e">
        <f ca="1">IF([0]!CSVVLookUP(ROW(行数!A346),配列!$C$4,集計記録,6,1)=0,"",[0]!CSVVLookUP(ROW(行数!A346),配列!$C$4,集計記録,6,1))</f>
        <v>#NAME?</v>
      </c>
      <c r="O354" s="88" t="e">
        <f ca="1">IF(INDIRECT("M"&amp;ROW()-1)&lt;&gt;INDIRECT("M"&amp;ROW()),リスト!$I$5,"")</f>
        <v>#NAME?</v>
      </c>
      <c r="P354" s="88" t="e">
        <f ca="1">IF(INDIRECT("M"&amp;ROW())&lt;&gt;INDIRECT("M"&amp;ROW()+1),リスト!$I$6,"")</f>
        <v>#NAME?</v>
      </c>
    </row>
    <row r="355" spans="1:16" x14ac:dyDescent="0.2">
      <c r="A355" s="169" t="e">
        <f ca="1">IF(C355="","",ROW(行数!A347))</f>
        <v>#NAME?</v>
      </c>
      <c r="B355" s="168" t="e">
        <f t="shared" ca="1" si="38"/>
        <v>#NAME?</v>
      </c>
      <c r="C355" s="90" t="e">
        <f ca="1">[0]!CSVVLookUP(ROW(行数!A347),配列!$C$4,集計記録,3,1)</f>
        <v>#NAME?</v>
      </c>
      <c r="D355" s="90" t="e">
        <f ca="1">[0]!CSVVLookUP(ROW(行数!B347),配列!$C$4,集計記録,4,1)</f>
        <v>#NAME?</v>
      </c>
      <c r="E355" s="118" t="e">
        <f t="shared" ca="1" si="39"/>
        <v>#NAME?</v>
      </c>
      <c r="F355" s="118" t="e">
        <f t="shared" ca="1" si="40"/>
        <v>#NAME?</v>
      </c>
      <c r="G355" s="103" t="e">
        <f t="shared" ca="1" si="41"/>
        <v>#NAME?</v>
      </c>
      <c r="H355" s="104" t="e">
        <f ca="1">IF(C355="","",MROUND([0]!CSVVLookUP(ROW(行数!A347),配列!$C$4,集計記録,8,1),"0:01"))</f>
        <v>#NAME?</v>
      </c>
      <c r="I355" s="104" t="e">
        <f t="shared" ca="1" si="42"/>
        <v>#NAME?</v>
      </c>
      <c r="J355" s="119" t="e">
        <f ca="1">IF(C355="","",MROUND([0]!CSVVLookUP(ROW(行数!A347),配列!$C$4,集計記録,7,1),"0:01"))</f>
        <v>#NAME?</v>
      </c>
      <c r="K355" s="92" t="e">
        <f ca="1">IF(C355="","",[0]!CSVVLookUP(ROW(行数!A347),配列!$C$4,集計記録,5,1))</f>
        <v>#NAME?</v>
      </c>
      <c r="L355" s="104" t="e">
        <f t="shared" ca="1" si="43"/>
        <v>#NAME?</v>
      </c>
      <c r="M355" s="120" t="e">
        <f t="shared" ca="1" si="37"/>
        <v>#NAME?</v>
      </c>
      <c r="N355" s="120" t="e">
        <f ca="1">IF([0]!CSVVLookUP(ROW(行数!A347),配列!$C$4,集計記録,6,1)=0,"",[0]!CSVVLookUP(ROW(行数!A347),配列!$C$4,集計記録,6,1))</f>
        <v>#NAME?</v>
      </c>
      <c r="O355" s="88" t="e">
        <f ca="1">IF(INDIRECT("M"&amp;ROW()-1)&lt;&gt;INDIRECT("M"&amp;ROW()),リスト!$I$5,"")</f>
        <v>#NAME?</v>
      </c>
      <c r="P355" s="88" t="e">
        <f ca="1">IF(INDIRECT("M"&amp;ROW())&lt;&gt;INDIRECT("M"&amp;ROW()+1),リスト!$I$6,"")</f>
        <v>#NAME?</v>
      </c>
    </row>
    <row r="356" spans="1:16" x14ac:dyDescent="0.2">
      <c r="A356" s="169" t="e">
        <f ca="1">IF(C356="","",ROW(行数!A348))</f>
        <v>#NAME?</v>
      </c>
      <c r="B356" s="168" t="e">
        <f t="shared" ca="1" si="38"/>
        <v>#NAME?</v>
      </c>
      <c r="C356" s="90" t="e">
        <f ca="1">[0]!CSVVLookUP(ROW(行数!A348),配列!$C$4,集計記録,3,1)</f>
        <v>#NAME?</v>
      </c>
      <c r="D356" s="90" t="e">
        <f ca="1">[0]!CSVVLookUP(ROW(行数!B348),配列!$C$4,集計記録,4,1)</f>
        <v>#NAME?</v>
      </c>
      <c r="E356" s="118" t="e">
        <f t="shared" ca="1" si="39"/>
        <v>#NAME?</v>
      </c>
      <c r="F356" s="118" t="e">
        <f t="shared" ca="1" si="40"/>
        <v>#NAME?</v>
      </c>
      <c r="G356" s="103" t="e">
        <f t="shared" ca="1" si="41"/>
        <v>#NAME?</v>
      </c>
      <c r="H356" s="104" t="e">
        <f ca="1">IF(C356="","",MROUND([0]!CSVVLookUP(ROW(行数!A348),配列!$C$4,集計記録,8,1),"0:01"))</f>
        <v>#NAME?</v>
      </c>
      <c r="I356" s="104" t="e">
        <f t="shared" ca="1" si="42"/>
        <v>#NAME?</v>
      </c>
      <c r="J356" s="119" t="e">
        <f ca="1">IF(C356="","",MROUND([0]!CSVVLookUP(ROW(行数!A348),配列!$C$4,集計記録,7,1),"0:01"))</f>
        <v>#NAME?</v>
      </c>
      <c r="K356" s="92" t="e">
        <f ca="1">IF(C356="","",[0]!CSVVLookUP(ROW(行数!A348),配列!$C$4,集計記録,5,1))</f>
        <v>#NAME?</v>
      </c>
      <c r="L356" s="104" t="e">
        <f t="shared" ca="1" si="43"/>
        <v>#NAME?</v>
      </c>
      <c r="M356" s="120" t="e">
        <f t="shared" ca="1" si="37"/>
        <v>#NAME?</v>
      </c>
      <c r="N356" s="120" t="e">
        <f ca="1">IF([0]!CSVVLookUP(ROW(行数!A348),配列!$C$4,集計記録,6,1)=0,"",[0]!CSVVLookUP(ROW(行数!A348),配列!$C$4,集計記録,6,1))</f>
        <v>#NAME?</v>
      </c>
      <c r="O356" s="88" t="e">
        <f ca="1">IF(INDIRECT("M"&amp;ROW()-1)&lt;&gt;INDIRECT("M"&amp;ROW()),リスト!$I$5,"")</f>
        <v>#NAME?</v>
      </c>
      <c r="P356" s="88" t="e">
        <f ca="1">IF(INDIRECT("M"&amp;ROW())&lt;&gt;INDIRECT("M"&amp;ROW()+1),リスト!$I$6,"")</f>
        <v>#NAME?</v>
      </c>
    </row>
    <row r="357" spans="1:16" x14ac:dyDescent="0.2">
      <c r="A357" s="169" t="e">
        <f ca="1">IF(C357="","",ROW(行数!A349))</f>
        <v>#NAME?</v>
      </c>
      <c r="B357" s="168" t="e">
        <f t="shared" ca="1" si="38"/>
        <v>#NAME?</v>
      </c>
      <c r="C357" s="90" t="e">
        <f ca="1">[0]!CSVVLookUP(ROW(行数!A349),配列!$C$4,集計記録,3,1)</f>
        <v>#NAME?</v>
      </c>
      <c r="D357" s="90" t="e">
        <f ca="1">[0]!CSVVLookUP(ROW(行数!B349),配列!$C$4,集計記録,4,1)</f>
        <v>#NAME?</v>
      </c>
      <c r="E357" s="118" t="e">
        <f t="shared" ca="1" si="39"/>
        <v>#NAME?</v>
      </c>
      <c r="F357" s="118" t="e">
        <f t="shared" ca="1" si="40"/>
        <v>#NAME?</v>
      </c>
      <c r="G357" s="103" t="e">
        <f t="shared" ca="1" si="41"/>
        <v>#NAME?</v>
      </c>
      <c r="H357" s="104" t="e">
        <f ca="1">IF(C357="","",MROUND([0]!CSVVLookUP(ROW(行数!A349),配列!$C$4,集計記録,8,1),"0:01"))</f>
        <v>#NAME?</v>
      </c>
      <c r="I357" s="104" t="e">
        <f t="shared" ca="1" si="42"/>
        <v>#NAME?</v>
      </c>
      <c r="J357" s="119" t="e">
        <f ca="1">IF(C357="","",MROUND([0]!CSVVLookUP(ROW(行数!A349),配列!$C$4,集計記録,7,1),"0:01"))</f>
        <v>#NAME?</v>
      </c>
      <c r="K357" s="92" t="e">
        <f ca="1">IF(C357="","",[0]!CSVVLookUP(ROW(行数!A349),配列!$C$4,集計記録,5,1))</f>
        <v>#NAME?</v>
      </c>
      <c r="L357" s="104" t="e">
        <f t="shared" ca="1" si="43"/>
        <v>#NAME?</v>
      </c>
      <c r="M357" s="120" t="e">
        <f t="shared" ca="1" si="37"/>
        <v>#NAME?</v>
      </c>
      <c r="N357" s="120" t="e">
        <f ca="1">IF([0]!CSVVLookUP(ROW(行数!A349),配列!$C$4,集計記録,6,1)=0,"",[0]!CSVVLookUP(ROW(行数!A349),配列!$C$4,集計記録,6,1))</f>
        <v>#NAME?</v>
      </c>
      <c r="O357" s="88" t="e">
        <f ca="1">IF(INDIRECT("M"&amp;ROW()-1)&lt;&gt;INDIRECT("M"&amp;ROW()),リスト!$I$5,"")</f>
        <v>#NAME?</v>
      </c>
      <c r="P357" s="88" t="e">
        <f ca="1">IF(INDIRECT("M"&amp;ROW())&lt;&gt;INDIRECT("M"&amp;ROW()+1),リスト!$I$6,"")</f>
        <v>#NAME?</v>
      </c>
    </row>
    <row r="358" spans="1:16" x14ac:dyDescent="0.2">
      <c r="A358" s="169" t="e">
        <f ca="1">IF(C358="","",ROW(行数!A350))</f>
        <v>#NAME?</v>
      </c>
      <c r="B358" s="168" t="e">
        <f t="shared" ca="1" si="38"/>
        <v>#NAME?</v>
      </c>
      <c r="C358" s="90" t="e">
        <f ca="1">[0]!CSVVLookUP(ROW(行数!A350),配列!$C$4,集計記録,3,1)</f>
        <v>#NAME?</v>
      </c>
      <c r="D358" s="90" t="e">
        <f ca="1">[0]!CSVVLookUP(ROW(行数!B350),配列!$C$4,集計記録,4,1)</f>
        <v>#NAME?</v>
      </c>
      <c r="E358" s="118" t="e">
        <f t="shared" ca="1" si="39"/>
        <v>#NAME?</v>
      </c>
      <c r="F358" s="118" t="e">
        <f t="shared" ca="1" si="40"/>
        <v>#NAME?</v>
      </c>
      <c r="G358" s="103" t="e">
        <f t="shared" ca="1" si="41"/>
        <v>#NAME?</v>
      </c>
      <c r="H358" s="104" t="e">
        <f ca="1">IF(C358="","",MROUND([0]!CSVVLookUP(ROW(行数!A350),配列!$C$4,集計記録,8,1),"0:01"))</f>
        <v>#NAME?</v>
      </c>
      <c r="I358" s="104" t="e">
        <f t="shared" ca="1" si="42"/>
        <v>#NAME?</v>
      </c>
      <c r="J358" s="119" t="e">
        <f ca="1">IF(C358="","",MROUND([0]!CSVVLookUP(ROW(行数!A350),配列!$C$4,集計記録,7,1),"0:01"))</f>
        <v>#NAME?</v>
      </c>
      <c r="K358" s="92" t="e">
        <f ca="1">IF(C358="","",[0]!CSVVLookUP(ROW(行数!A350),配列!$C$4,集計記録,5,1))</f>
        <v>#NAME?</v>
      </c>
      <c r="L358" s="104" t="e">
        <f t="shared" ca="1" si="43"/>
        <v>#NAME?</v>
      </c>
      <c r="M358" s="120" t="e">
        <f t="shared" ca="1" si="37"/>
        <v>#NAME?</v>
      </c>
      <c r="N358" s="120" t="e">
        <f ca="1">IF([0]!CSVVLookUP(ROW(行数!A350),配列!$C$4,集計記録,6,1)=0,"",[0]!CSVVLookUP(ROW(行数!A350),配列!$C$4,集計記録,6,1))</f>
        <v>#NAME?</v>
      </c>
      <c r="O358" s="88" t="e">
        <f ca="1">IF(INDIRECT("M"&amp;ROW()-1)&lt;&gt;INDIRECT("M"&amp;ROW()),リスト!$I$5,"")</f>
        <v>#NAME?</v>
      </c>
      <c r="P358" s="88" t="e">
        <f ca="1">IF(INDIRECT("M"&amp;ROW())&lt;&gt;INDIRECT("M"&amp;ROW()+1),リスト!$I$6,"")</f>
        <v>#NAME?</v>
      </c>
    </row>
    <row r="359" spans="1:16" x14ac:dyDescent="0.2">
      <c r="A359" s="169" t="e">
        <f ca="1">IF(C359="","",ROW(行数!A351))</f>
        <v>#NAME?</v>
      </c>
      <c r="B359" s="168" t="e">
        <f t="shared" ca="1" si="38"/>
        <v>#NAME?</v>
      </c>
      <c r="C359" s="90" t="e">
        <f ca="1">[0]!CSVVLookUP(ROW(行数!A351),配列!$C$4,集計記録,3,1)</f>
        <v>#NAME?</v>
      </c>
      <c r="D359" s="90" t="e">
        <f ca="1">[0]!CSVVLookUP(ROW(行数!B351),配列!$C$4,集計記録,4,1)</f>
        <v>#NAME?</v>
      </c>
      <c r="E359" s="118" t="e">
        <f t="shared" ca="1" si="39"/>
        <v>#NAME?</v>
      </c>
      <c r="F359" s="118" t="e">
        <f t="shared" ca="1" si="40"/>
        <v>#NAME?</v>
      </c>
      <c r="G359" s="103" t="e">
        <f t="shared" ca="1" si="41"/>
        <v>#NAME?</v>
      </c>
      <c r="H359" s="104" t="e">
        <f ca="1">IF(C359="","",MROUND([0]!CSVVLookUP(ROW(行数!A351),配列!$C$4,集計記録,8,1),"0:01"))</f>
        <v>#NAME?</v>
      </c>
      <c r="I359" s="104" t="e">
        <f t="shared" ca="1" si="42"/>
        <v>#NAME?</v>
      </c>
      <c r="J359" s="119" t="e">
        <f ca="1">IF(C359="","",MROUND([0]!CSVVLookUP(ROW(行数!A351),配列!$C$4,集計記録,7,1),"0:01"))</f>
        <v>#NAME?</v>
      </c>
      <c r="K359" s="92" t="e">
        <f ca="1">IF(C359="","",[0]!CSVVLookUP(ROW(行数!A351),配列!$C$4,集計記録,5,1))</f>
        <v>#NAME?</v>
      </c>
      <c r="L359" s="104" t="e">
        <f t="shared" ca="1" si="43"/>
        <v>#NAME?</v>
      </c>
      <c r="M359" s="120" t="e">
        <f t="shared" ca="1" si="37"/>
        <v>#NAME?</v>
      </c>
      <c r="N359" s="120" t="e">
        <f ca="1">IF([0]!CSVVLookUP(ROW(行数!A351),配列!$C$4,集計記録,6,1)=0,"",[0]!CSVVLookUP(ROW(行数!A351),配列!$C$4,集計記録,6,1))</f>
        <v>#NAME?</v>
      </c>
      <c r="O359" s="88" t="e">
        <f ca="1">IF(INDIRECT("M"&amp;ROW()-1)&lt;&gt;INDIRECT("M"&amp;ROW()),リスト!$I$5,"")</f>
        <v>#NAME?</v>
      </c>
      <c r="P359" s="88" t="e">
        <f ca="1">IF(INDIRECT("M"&amp;ROW())&lt;&gt;INDIRECT("M"&amp;ROW()+1),リスト!$I$6,"")</f>
        <v>#NAME?</v>
      </c>
    </row>
    <row r="360" spans="1:16" x14ac:dyDescent="0.2">
      <c r="A360" s="169" t="e">
        <f ca="1">IF(C360="","",ROW(行数!A352))</f>
        <v>#NAME?</v>
      </c>
      <c r="B360" s="168" t="e">
        <f t="shared" ca="1" si="38"/>
        <v>#NAME?</v>
      </c>
      <c r="C360" s="90" t="e">
        <f ca="1">[0]!CSVVLookUP(ROW(行数!A352),配列!$C$4,集計記録,3,1)</f>
        <v>#NAME?</v>
      </c>
      <c r="D360" s="90" t="e">
        <f ca="1">[0]!CSVVLookUP(ROW(行数!B352),配列!$C$4,集計記録,4,1)</f>
        <v>#NAME?</v>
      </c>
      <c r="E360" s="118" t="e">
        <f t="shared" ca="1" si="39"/>
        <v>#NAME?</v>
      </c>
      <c r="F360" s="118" t="e">
        <f t="shared" ca="1" si="40"/>
        <v>#NAME?</v>
      </c>
      <c r="G360" s="103" t="e">
        <f t="shared" ca="1" si="41"/>
        <v>#NAME?</v>
      </c>
      <c r="H360" s="104" t="e">
        <f ca="1">IF(C360="","",MROUND([0]!CSVVLookUP(ROW(行数!A352),配列!$C$4,集計記録,8,1),"0:01"))</f>
        <v>#NAME?</v>
      </c>
      <c r="I360" s="104" t="e">
        <f t="shared" ca="1" si="42"/>
        <v>#NAME?</v>
      </c>
      <c r="J360" s="119" t="e">
        <f ca="1">IF(C360="","",MROUND([0]!CSVVLookUP(ROW(行数!A352),配列!$C$4,集計記録,7,1),"0:01"))</f>
        <v>#NAME?</v>
      </c>
      <c r="K360" s="92" t="e">
        <f ca="1">IF(C360="","",[0]!CSVVLookUP(ROW(行数!A352),配列!$C$4,集計記録,5,1))</f>
        <v>#NAME?</v>
      </c>
      <c r="L360" s="104" t="e">
        <f t="shared" ca="1" si="43"/>
        <v>#NAME?</v>
      </c>
      <c r="M360" s="120" t="e">
        <f t="shared" ca="1" si="37"/>
        <v>#NAME?</v>
      </c>
      <c r="N360" s="120" t="e">
        <f ca="1">IF([0]!CSVVLookUP(ROW(行数!A352),配列!$C$4,集計記録,6,1)=0,"",[0]!CSVVLookUP(ROW(行数!A352),配列!$C$4,集計記録,6,1))</f>
        <v>#NAME?</v>
      </c>
      <c r="O360" s="88" t="e">
        <f ca="1">IF(INDIRECT("M"&amp;ROW()-1)&lt;&gt;INDIRECT("M"&amp;ROW()),リスト!$I$5,"")</f>
        <v>#NAME?</v>
      </c>
      <c r="P360" s="88" t="e">
        <f ca="1">IF(INDIRECT("M"&amp;ROW())&lt;&gt;INDIRECT("M"&amp;ROW()+1),リスト!$I$6,"")</f>
        <v>#NAME?</v>
      </c>
    </row>
    <row r="361" spans="1:16" x14ac:dyDescent="0.2">
      <c r="A361" s="169" t="e">
        <f ca="1">IF(C361="","",ROW(行数!A353))</f>
        <v>#NAME?</v>
      </c>
      <c r="B361" s="168" t="e">
        <f t="shared" ca="1" si="38"/>
        <v>#NAME?</v>
      </c>
      <c r="C361" s="90" t="e">
        <f ca="1">[0]!CSVVLookUP(ROW(行数!A353),配列!$C$4,集計記録,3,1)</f>
        <v>#NAME?</v>
      </c>
      <c r="D361" s="90" t="e">
        <f ca="1">[0]!CSVVLookUP(ROW(行数!B353),配列!$C$4,集計記録,4,1)</f>
        <v>#NAME?</v>
      </c>
      <c r="E361" s="118" t="e">
        <f t="shared" ca="1" si="39"/>
        <v>#NAME?</v>
      </c>
      <c r="F361" s="118" t="e">
        <f t="shared" ca="1" si="40"/>
        <v>#NAME?</v>
      </c>
      <c r="G361" s="103" t="e">
        <f t="shared" ca="1" si="41"/>
        <v>#NAME?</v>
      </c>
      <c r="H361" s="104" t="e">
        <f ca="1">IF(C361="","",MROUND([0]!CSVVLookUP(ROW(行数!A353),配列!$C$4,集計記録,8,1),"0:01"))</f>
        <v>#NAME?</v>
      </c>
      <c r="I361" s="104" t="e">
        <f t="shared" ca="1" si="42"/>
        <v>#NAME?</v>
      </c>
      <c r="J361" s="119" t="e">
        <f ca="1">IF(C361="","",MROUND([0]!CSVVLookUP(ROW(行数!A353),配列!$C$4,集計記録,7,1),"0:01"))</f>
        <v>#NAME?</v>
      </c>
      <c r="K361" s="92" t="e">
        <f ca="1">IF(C361="","",[0]!CSVVLookUP(ROW(行数!A353),配列!$C$4,集計記録,5,1))</f>
        <v>#NAME?</v>
      </c>
      <c r="L361" s="104" t="e">
        <f t="shared" ca="1" si="43"/>
        <v>#NAME?</v>
      </c>
      <c r="M361" s="120" t="e">
        <f t="shared" ca="1" si="37"/>
        <v>#NAME?</v>
      </c>
      <c r="N361" s="120" t="e">
        <f ca="1">IF([0]!CSVVLookUP(ROW(行数!A353),配列!$C$4,集計記録,6,1)=0,"",[0]!CSVVLookUP(ROW(行数!A353),配列!$C$4,集計記録,6,1))</f>
        <v>#NAME?</v>
      </c>
      <c r="O361" s="88" t="e">
        <f ca="1">IF(INDIRECT("M"&amp;ROW()-1)&lt;&gt;INDIRECT("M"&amp;ROW()),リスト!$I$5,"")</f>
        <v>#NAME?</v>
      </c>
      <c r="P361" s="88" t="e">
        <f ca="1">IF(INDIRECT("M"&amp;ROW())&lt;&gt;INDIRECT("M"&amp;ROW()+1),リスト!$I$6,"")</f>
        <v>#NAME?</v>
      </c>
    </row>
    <row r="362" spans="1:16" x14ac:dyDescent="0.2">
      <c r="A362" s="169" t="e">
        <f ca="1">IF(C362="","",ROW(行数!A354))</f>
        <v>#NAME?</v>
      </c>
      <c r="B362" s="168" t="e">
        <f t="shared" ca="1" si="38"/>
        <v>#NAME?</v>
      </c>
      <c r="C362" s="90" t="e">
        <f ca="1">[0]!CSVVLookUP(ROW(行数!A354),配列!$C$4,集計記録,3,1)</f>
        <v>#NAME?</v>
      </c>
      <c r="D362" s="90" t="e">
        <f ca="1">[0]!CSVVLookUP(ROW(行数!B354),配列!$C$4,集計記録,4,1)</f>
        <v>#NAME?</v>
      </c>
      <c r="E362" s="118" t="e">
        <f t="shared" ca="1" si="39"/>
        <v>#NAME?</v>
      </c>
      <c r="F362" s="118" t="e">
        <f t="shared" ca="1" si="40"/>
        <v>#NAME?</v>
      </c>
      <c r="G362" s="103" t="e">
        <f t="shared" ca="1" si="41"/>
        <v>#NAME?</v>
      </c>
      <c r="H362" s="104" t="e">
        <f ca="1">IF(C362="","",MROUND([0]!CSVVLookUP(ROW(行数!A354),配列!$C$4,集計記録,8,1),"0:01"))</f>
        <v>#NAME?</v>
      </c>
      <c r="I362" s="104" t="e">
        <f t="shared" ca="1" si="42"/>
        <v>#NAME?</v>
      </c>
      <c r="J362" s="119" t="e">
        <f ca="1">IF(C362="","",MROUND([0]!CSVVLookUP(ROW(行数!A354),配列!$C$4,集計記録,7,1),"0:01"))</f>
        <v>#NAME?</v>
      </c>
      <c r="K362" s="92" t="e">
        <f ca="1">IF(C362="","",[0]!CSVVLookUP(ROW(行数!A354),配列!$C$4,集計記録,5,1))</f>
        <v>#NAME?</v>
      </c>
      <c r="L362" s="104" t="e">
        <f t="shared" ca="1" si="43"/>
        <v>#NAME?</v>
      </c>
      <c r="M362" s="120" t="e">
        <f t="shared" ca="1" si="37"/>
        <v>#NAME?</v>
      </c>
      <c r="N362" s="120" t="e">
        <f ca="1">IF([0]!CSVVLookUP(ROW(行数!A354),配列!$C$4,集計記録,6,1)=0,"",[0]!CSVVLookUP(ROW(行数!A354),配列!$C$4,集計記録,6,1))</f>
        <v>#NAME?</v>
      </c>
      <c r="O362" s="88" t="e">
        <f ca="1">IF(INDIRECT("M"&amp;ROW()-1)&lt;&gt;INDIRECT("M"&amp;ROW()),リスト!$I$5,"")</f>
        <v>#NAME?</v>
      </c>
      <c r="P362" s="88" t="e">
        <f ca="1">IF(INDIRECT("M"&amp;ROW())&lt;&gt;INDIRECT("M"&amp;ROW()+1),リスト!$I$6,"")</f>
        <v>#NAME?</v>
      </c>
    </row>
    <row r="363" spans="1:16" x14ac:dyDescent="0.2">
      <c r="A363" s="169" t="e">
        <f ca="1">IF(C363="","",ROW(行数!A355))</f>
        <v>#NAME?</v>
      </c>
      <c r="B363" s="168" t="e">
        <f t="shared" ca="1" si="38"/>
        <v>#NAME?</v>
      </c>
      <c r="C363" s="90" t="e">
        <f ca="1">[0]!CSVVLookUP(ROW(行数!A355),配列!$C$4,集計記録,3,1)</f>
        <v>#NAME?</v>
      </c>
      <c r="D363" s="90" t="e">
        <f ca="1">[0]!CSVVLookUP(ROW(行数!B355),配列!$C$4,集計記録,4,1)</f>
        <v>#NAME?</v>
      </c>
      <c r="E363" s="118" t="e">
        <f t="shared" ca="1" si="39"/>
        <v>#NAME?</v>
      </c>
      <c r="F363" s="118" t="e">
        <f t="shared" ca="1" si="40"/>
        <v>#NAME?</v>
      </c>
      <c r="G363" s="103" t="e">
        <f t="shared" ca="1" si="41"/>
        <v>#NAME?</v>
      </c>
      <c r="H363" s="104" t="e">
        <f ca="1">IF(C363="","",MROUND([0]!CSVVLookUP(ROW(行数!A355),配列!$C$4,集計記録,8,1),"0:01"))</f>
        <v>#NAME?</v>
      </c>
      <c r="I363" s="104" t="e">
        <f t="shared" ca="1" si="42"/>
        <v>#NAME?</v>
      </c>
      <c r="J363" s="119" t="e">
        <f ca="1">IF(C363="","",MROUND([0]!CSVVLookUP(ROW(行数!A355),配列!$C$4,集計記録,7,1),"0:01"))</f>
        <v>#NAME?</v>
      </c>
      <c r="K363" s="92" t="e">
        <f ca="1">IF(C363="","",[0]!CSVVLookUP(ROW(行数!A355),配列!$C$4,集計記録,5,1))</f>
        <v>#NAME?</v>
      </c>
      <c r="L363" s="104" t="e">
        <f t="shared" ca="1" si="43"/>
        <v>#NAME?</v>
      </c>
      <c r="M363" s="120" t="e">
        <f t="shared" ca="1" si="37"/>
        <v>#NAME?</v>
      </c>
      <c r="N363" s="120" t="e">
        <f ca="1">IF([0]!CSVVLookUP(ROW(行数!A355),配列!$C$4,集計記録,6,1)=0,"",[0]!CSVVLookUP(ROW(行数!A355),配列!$C$4,集計記録,6,1))</f>
        <v>#NAME?</v>
      </c>
      <c r="O363" s="88" t="e">
        <f ca="1">IF(INDIRECT("M"&amp;ROW()-1)&lt;&gt;INDIRECT("M"&amp;ROW()),リスト!$I$5,"")</f>
        <v>#NAME?</v>
      </c>
      <c r="P363" s="88" t="e">
        <f ca="1">IF(INDIRECT("M"&amp;ROW())&lt;&gt;INDIRECT("M"&amp;ROW()+1),リスト!$I$6,"")</f>
        <v>#NAME?</v>
      </c>
    </row>
    <row r="364" spans="1:16" x14ac:dyDescent="0.2">
      <c r="A364" s="169" t="e">
        <f ca="1">IF(C364="","",ROW(行数!A356))</f>
        <v>#NAME?</v>
      </c>
      <c r="B364" s="168" t="e">
        <f t="shared" ca="1" si="38"/>
        <v>#NAME?</v>
      </c>
      <c r="C364" s="90" t="e">
        <f ca="1">[0]!CSVVLookUP(ROW(行数!A356),配列!$C$4,集計記録,3,1)</f>
        <v>#NAME?</v>
      </c>
      <c r="D364" s="90" t="e">
        <f ca="1">[0]!CSVVLookUP(ROW(行数!B356),配列!$C$4,集計記録,4,1)</f>
        <v>#NAME?</v>
      </c>
      <c r="E364" s="118" t="e">
        <f t="shared" ca="1" si="39"/>
        <v>#NAME?</v>
      </c>
      <c r="F364" s="118" t="e">
        <f t="shared" ca="1" si="40"/>
        <v>#NAME?</v>
      </c>
      <c r="G364" s="103" t="e">
        <f t="shared" ca="1" si="41"/>
        <v>#NAME?</v>
      </c>
      <c r="H364" s="104" t="e">
        <f ca="1">IF(C364="","",MROUND([0]!CSVVLookUP(ROW(行数!A356),配列!$C$4,集計記録,8,1),"0:01"))</f>
        <v>#NAME?</v>
      </c>
      <c r="I364" s="104" t="e">
        <f t="shared" ca="1" si="42"/>
        <v>#NAME?</v>
      </c>
      <c r="J364" s="119" t="e">
        <f ca="1">IF(C364="","",MROUND([0]!CSVVLookUP(ROW(行数!A356),配列!$C$4,集計記録,7,1),"0:01"))</f>
        <v>#NAME?</v>
      </c>
      <c r="K364" s="92" t="e">
        <f ca="1">IF(C364="","",[0]!CSVVLookUP(ROW(行数!A356),配列!$C$4,集計記録,5,1))</f>
        <v>#NAME?</v>
      </c>
      <c r="L364" s="104" t="e">
        <f t="shared" ca="1" si="43"/>
        <v>#NAME?</v>
      </c>
      <c r="M364" s="120" t="e">
        <f t="shared" ca="1" si="37"/>
        <v>#NAME?</v>
      </c>
      <c r="N364" s="120" t="e">
        <f ca="1">IF([0]!CSVVLookUP(ROW(行数!A356),配列!$C$4,集計記録,6,1)=0,"",[0]!CSVVLookUP(ROW(行数!A356),配列!$C$4,集計記録,6,1))</f>
        <v>#NAME?</v>
      </c>
      <c r="O364" s="88" t="e">
        <f ca="1">IF(INDIRECT("M"&amp;ROW()-1)&lt;&gt;INDIRECT("M"&amp;ROW()),リスト!$I$5,"")</f>
        <v>#NAME?</v>
      </c>
      <c r="P364" s="88" t="e">
        <f ca="1">IF(INDIRECT("M"&amp;ROW())&lt;&gt;INDIRECT("M"&amp;ROW()+1),リスト!$I$6,"")</f>
        <v>#NAME?</v>
      </c>
    </row>
    <row r="365" spans="1:16" x14ac:dyDescent="0.2">
      <c r="A365" s="169" t="e">
        <f ca="1">IF(C365="","",ROW(行数!A357))</f>
        <v>#NAME?</v>
      </c>
      <c r="B365" s="168" t="e">
        <f t="shared" ca="1" si="38"/>
        <v>#NAME?</v>
      </c>
      <c r="C365" s="90" t="e">
        <f ca="1">[0]!CSVVLookUP(ROW(行数!A357),配列!$C$4,集計記録,3,1)</f>
        <v>#NAME?</v>
      </c>
      <c r="D365" s="90" t="e">
        <f ca="1">[0]!CSVVLookUP(ROW(行数!B357),配列!$C$4,集計記録,4,1)</f>
        <v>#NAME?</v>
      </c>
      <c r="E365" s="118" t="e">
        <f t="shared" ca="1" si="39"/>
        <v>#NAME?</v>
      </c>
      <c r="F365" s="118" t="e">
        <f t="shared" ca="1" si="40"/>
        <v>#NAME?</v>
      </c>
      <c r="G365" s="103" t="e">
        <f t="shared" ca="1" si="41"/>
        <v>#NAME?</v>
      </c>
      <c r="H365" s="104" t="e">
        <f ca="1">IF(C365="","",MROUND([0]!CSVVLookUP(ROW(行数!A357),配列!$C$4,集計記録,8,1),"0:01"))</f>
        <v>#NAME?</v>
      </c>
      <c r="I365" s="104" t="e">
        <f t="shared" ca="1" si="42"/>
        <v>#NAME?</v>
      </c>
      <c r="J365" s="119" t="e">
        <f ca="1">IF(C365="","",MROUND([0]!CSVVLookUP(ROW(行数!A357),配列!$C$4,集計記録,7,1),"0:01"))</f>
        <v>#NAME?</v>
      </c>
      <c r="K365" s="92" t="e">
        <f ca="1">IF(C365="","",[0]!CSVVLookUP(ROW(行数!A357),配列!$C$4,集計記録,5,1))</f>
        <v>#NAME?</v>
      </c>
      <c r="L365" s="104" t="e">
        <f t="shared" ca="1" si="43"/>
        <v>#NAME?</v>
      </c>
      <c r="M365" s="120" t="e">
        <f t="shared" ca="1" si="37"/>
        <v>#NAME?</v>
      </c>
      <c r="N365" s="120" t="e">
        <f ca="1">IF([0]!CSVVLookUP(ROW(行数!A357),配列!$C$4,集計記録,6,1)=0,"",[0]!CSVVLookUP(ROW(行数!A357),配列!$C$4,集計記録,6,1))</f>
        <v>#NAME?</v>
      </c>
      <c r="O365" s="88" t="e">
        <f ca="1">IF(INDIRECT("M"&amp;ROW()-1)&lt;&gt;INDIRECT("M"&amp;ROW()),リスト!$I$5,"")</f>
        <v>#NAME?</v>
      </c>
      <c r="P365" s="88" t="e">
        <f ca="1">IF(INDIRECT("M"&amp;ROW())&lt;&gt;INDIRECT("M"&amp;ROW()+1),リスト!$I$6,"")</f>
        <v>#NAME?</v>
      </c>
    </row>
    <row r="366" spans="1:16" x14ac:dyDescent="0.2">
      <c r="A366" s="169" t="e">
        <f ca="1">IF(C366="","",ROW(行数!A358))</f>
        <v>#NAME?</v>
      </c>
      <c r="B366" s="168" t="e">
        <f t="shared" ca="1" si="38"/>
        <v>#NAME?</v>
      </c>
      <c r="C366" s="90" t="e">
        <f ca="1">[0]!CSVVLookUP(ROW(行数!A358),配列!$C$4,集計記録,3,1)</f>
        <v>#NAME?</v>
      </c>
      <c r="D366" s="90" t="e">
        <f ca="1">[0]!CSVVLookUP(ROW(行数!B358),配列!$C$4,集計記録,4,1)</f>
        <v>#NAME?</v>
      </c>
      <c r="E366" s="118" t="e">
        <f t="shared" ca="1" si="39"/>
        <v>#NAME?</v>
      </c>
      <c r="F366" s="118" t="e">
        <f t="shared" ca="1" si="40"/>
        <v>#NAME?</v>
      </c>
      <c r="G366" s="103" t="e">
        <f t="shared" ca="1" si="41"/>
        <v>#NAME?</v>
      </c>
      <c r="H366" s="104" t="e">
        <f ca="1">IF(C366="","",MROUND([0]!CSVVLookUP(ROW(行数!A358),配列!$C$4,集計記録,8,1),"0:01"))</f>
        <v>#NAME?</v>
      </c>
      <c r="I366" s="104" t="e">
        <f t="shared" ca="1" si="42"/>
        <v>#NAME?</v>
      </c>
      <c r="J366" s="119" t="e">
        <f ca="1">IF(C366="","",MROUND([0]!CSVVLookUP(ROW(行数!A358),配列!$C$4,集計記録,7,1),"0:01"))</f>
        <v>#NAME?</v>
      </c>
      <c r="K366" s="92" t="e">
        <f ca="1">IF(C366="","",[0]!CSVVLookUP(ROW(行数!A358),配列!$C$4,集計記録,5,1))</f>
        <v>#NAME?</v>
      </c>
      <c r="L366" s="104" t="e">
        <f t="shared" ca="1" si="43"/>
        <v>#NAME?</v>
      </c>
      <c r="M366" s="120" t="e">
        <f t="shared" ca="1" si="37"/>
        <v>#NAME?</v>
      </c>
      <c r="N366" s="120" t="e">
        <f ca="1">IF([0]!CSVVLookUP(ROW(行数!A358),配列!$C$4,集計記録,6,1)=0,"",[0]!CSVVLookUP(ROW(行数!A358),配列!$C$4,集計記録,6,1))</f>
        <v>#NAME?</v>
      </c>
      <c r="O366" s="88" t="e">
        <f ca="1">IF(INDIRECT("M"&amp;ROW()-1)&lt;&gt;INDIRECT("M"&amp;ROW()),リスト!$I$5,"")</f>
        <v>#NAME?</v>
      </c>
      <c r="P366" s="88" t="e">
        <f ca="1">IF(INDIRECT("M"&amp;ROW())&lt;&gt;INDIRECT("M"&amp;ROW()+1),リスト!$I$6,"")</f>
        <v>#NAME?</v>
      </c>
    </row>
    <row r="367" spans="1:16" x14ac:dyDescent="0.2">
      <c r="A367" s="169" t="e">
        <f ca="1">IF(C367="","",ROW(行数!A359))</f>
        <v>#NAME?</v>
      </c>
      <c r="B367" s="168" t="e">
        <f t="shared" ca="1" si="38"/>
        <v>#NAME?</v>
      </c>
      <c r="C367" s="90" t="e">
        <f ca="1">[0]!CSVVLookUP(ROW(行数!A359),配列!$C$4,集計記録,3,1)</f>
        <v>#NAME?</v>
      </c>
      <c r="D367" s="90" t="e">
        <f ca="1">[0]!CSVVLookUP(ROW(行数!B359),配列!$C$4,集計記録,4,1)</f>
        <v>#NAME?</v>
      </c>
      <c r="E367" s="118" t="e">
        <f t="shared" ca="1" si="39"/>
        <v>#NAME?</v>
      </c>
      <c r="F367" s="118" t="e">
        <f t="shared" ca="1" si="40"/>
        <v>#NAME?</v>
      </c>
      <c r="G367" s="103" t="e">
        <f t="shared" ca="1" si="41"/>
        <v>#NAME?</v>
      </c>
      <c r="H367" s="104" t="e">
        <f ca="1">IF(C367="","",MROUND([0]!CSVVLookUP(ROW(行数!A359),配列!$C$4,集計記録,8,1),"0:01"))</f>
        <v>#NAME?</v>
      </c>
      <c r="I367" s="104" t="e">
        <f t="shared" ca="1" si="42"/>
        <v>#NAME?</v>
      </c>
      <c r="J367" s="119" t="e">
        <f ca="1">IF(C367="","",MROUND([0]!CSVVLookUP(ROW(行数!A359),配列!$C$4,集計記録,7,1),"0:01"))</f>
        <v>#NAME?</v>
      </c>
      <c r="K367" s="92" t="e">
        <f ca="1">IF(C367="","",[0]!CSVVLookUP(ROW(行数!A359),配列!$C$4,集計記録,5,1))</f>
        <v>#NAME?</v>
      </c>
      <c r="L367" s="104" t="e">
        <f t="shared" ca="1" si="43"/>
        <v>#NAME?</v>
      </c>
      <c r="M367" s="120" t="e">
        <f t="shared" ca="1" si="37"/>
        <v>#NAME?</v>
      </c>
      <c r="N367" s="120" t="e">
        <f ca="1">IF([0]!CSVVLookUP(ROW(行数!A359),配列!$C$4,集計記録,6,1)=0,"",[0]!CSVVLookUP(ROW(行数!A359),配列!$C$4,集計記録,6,1))</f>
        <v>#NAME?</v>
      </c>
      <c r="O367" s="88" t="e">
        <f ca="1">IF(INDIRECT("M"&amp;ROW()-1)&lt;&gt;INDIRECT("M"&amp;ROW()),リスト!$I$5,"")</f>
        <v>#NAME?</v>
      </c>
      <c r="P367" s="88" t="e">
        <f ca="1">IF(INDIRECT("M"&amp;ROW())&lt;&gt;INDIRECT("M"&amp;ROW()+1),リスト!$I$6,"")</f>
        <v>#NAME?</v>
      </c>
    </row>
    <row r="368" spans="1:16" x14ac:dyDescent="0.2">
      <c r="A368" s="169" t="e">
        <f ca="1">IF(C368="","",ROW(行数!A360))</f>
        <v>#NAME?</v>
      </c>
      <c r="B368" s="168" t="e">
        <f t="shared" ca="1" si="38"/>
        <v>#NAME?</v>
      </c>
      <c r="C368" s="90" t="e">
        <f ca="1">[0]!CSVVLookUP(ROW(行数!A360),配列!$C$4,集計記録,3,1)</f>
        <v>#NAME?</v>
      </c>
      <c r="D368" s="90" t="e">
        <f ca="1">[0]!CSVVLookUP(ROW(行数!B360),配列!$C$4,集計記録,4,1)</f>
        <v>#NAME?</v>
      </c>
      <c r="E368" s="118" t="e">
        <f t="shared" ca="1" si="39"/>
        <v>#NAME?</v>
      </c>
      <c r="F368" s="118" t="e">
        <f t="shared" ca="1" si="40"/>
        <v>#NAME?</v>
      </c>
      <c r="G368" s="103" t="e">
        <f t="shared" ca="1" si="41"/>
        <v>#NAME?</v>
      </c>
      <c r="H368" s="104" t="e">
        <f ca="1">IF(C368="","",MROUND([0]!CSVVLookUP(ROW(行数!A360),配列!$C$4,集計記録,8,1),"0:01"))</f>
        <v>#NAME?</v>
      </c>
      <c r="I368" s="104" t="e">
        <f t="shared" ca="1" si="42"/>
        <v>#NAME?</v>
      </c>
      <c r="J368" s="119" t="e">
        <f ca="1">IF(C368="","",MROUND([0]!CSVVLookUP(ROW(行数!A360),配列!$C$4,集計記録,7,1),"0:01"))</f>
        <v>#NAME?</v>
      </c>
      <c r="K368" s="92" t="e">
        <f ca="1">IF(C368="","",[0]!CSVVLookUP(ROW(行数!A360),配列!$C$4,集計記録,5,1))</f>
        <v>#NAME?</v>
      </c>
      <c r="L368" s="104" t="e">
        <f t="shared" ca="1" si="43"/>
        <v>#NAME?</v>
      </c>
      <c r="M368" s="120" t="e">
        <f t="shared" ca="1" si="37"/>
        <v>#NAME?</v>
      </c>
      <c r="N368" s="120" t="e">
        <f ca="1">IF([0]!CSVVLookUP(ROW(行数!A360),配列!$C$4,集計記録,6,1)=0,"",[0]!CSVVLookUP(ROW(行数!A360),配列!$C$4,集計記録,6,1))</f>
        <v>#NAME?</v>
      </c>
      <c r="O368" s="88" t="e">
        <f ca="1">IF(INDIRECT("M"&amp;ROW()-1)&lt;&gt;INDIRECT("M"&amp;ROW()),リスト!$I$5,"")</f>
        <v>#NAME?</v>
      </c>
      <c r="P368" s="88" t="e">
        <f ca="1">IF(INDIRECT("M"&amp;ROW())&lt;&gt;INDIRECT("M"&amp;ROW()+1),リスト!$I$6,"")</f>
        <v>#NAME?</v>
      </c>
    </row>
    <row r="369" spans="1:16" x14ac:dyDescent="0.2">
      <c r="A369" s="169" t="e">
        <f ca="1">IF(C369="","",ROW(行数!A361))</f>
        <v>#NAME?</v>
      </c>
      <c r="B369" s="168" t="e">
        <f t="shared" ca="1" si="38"/>
        <v>#NAME?</v>
      </c>
      <c r="C369" s="90" t="e">
        <f ca="1">[0]!CSVVLookUP(ROW(行数!A361),配列!$C$4,集計記録,3,1)</f>
        <v>#NAME?</v>
      </c>
      <c r="D369" s="90" t="e">
        <f ca="1">[0]!CSVVLookUP(ROW(行数!B361),配列!$C$4,集計記録,4,1)</f>
        <v>#NAME?</v>
      </c>
      <c r="E369" s="118" t="e">
        <f t="shared" ca="1" si="39"/>
        <v>#NAME?</v>
      </c>
      <c r="F369" s="118" t="e">
        <f t="shared" ca="1" si="40"/>
        <v>#NAME?</v>
      </c>
      <c r="G369" s="103" t="e">
        <f t="shared" ca="1" si="41"/>
        <v>#NAME?</v>
      </c>
      <c r="H369" s="104" t="e">
        <f ca="1">IF(C369="","",MROUND([0]!CSVVLookUP(ROW(行数!A361),配列!$C$4,集計記録,8,1),"0:01"))</f>
        <v>#NAME?</v>
      </c>
      <c r="I369" s="104" t="e">
        <f t="shared" ca="1" si="42"/>
        <v>#NAME?</v>
      </c>
      <c r="J369" s="119" t="e">
        <f ca="1">IF(C369="","",MROUND([0]!CSVVLookUP(ROW(行数!A361),配列!$C$4,集計記録,7,1),"0:01"))</f>
        <v>#NAME?</v>
      </c>
      <c r="K369" s="92" t="e">
        <f ca="1">IF(C369="","",[0]!CSVVLookUP(ROW(行数!A361),配列!$C$4,集計記録,5,1))</f>
        <v>#NAME?</v>
      </c>
      <c r="L369" s="104" t="e">
        <f t="shared" ca="1" si="43"/>
        <v>#NAME?</v>
      </c>
      <c r="M369" s="120" t="e">
        <f t="shared" ca="1" si="37"/>
        <v>#NAME?</v>
      </c>
      <c r="N369" s="120" t="e">
        <f ca="1">IF([0]!CSVVLookUP(ROW(行数!A361),配列!$C$4,集計記録,6,1)=0,"",[0]!CSVVLookUP(ROW(行数!A361),配列!$C$4,集計記録,6,1))</f>
        <v>#NAME?</v>
      </c>
      <c r="O369" s="88" t="e">
        <f ca="1">IF(INDIRECT("M"&amp;ROW()-1)&lt;&gt;INDIRECT("M"&amp;ROW()),リスト!$I$5,"")</f>
        <v>#NAME?</v>
      </c>
      <c r="P369" s="88" t="e">
        <f ca="1">IF(INDIRECT("M"&amp;ROW())&lt;&gt;INDIRECT("M"&amp;ROW()+1),リスト!$I$6,"")</f>
        <v>#NAME?</v>
      </c>
    </row>
    <row r="370" spans="1:16" x14ac:dyDescent="0.2">
      <c r="A370" s="169" t="e">
        <f ca="1">IF(C370="","",ROW(行数!A362))</f>
        <v>#NAME?</v>
      </c>
      <c r="B370" s="168" t="e">
        <f t="shared" ca="1" si="38"/>
        <v>#NAME?</v>
      </c>
      <c r="C370" s="90" t="e">
        <f ca="1">[0]!CSVVLookUP(ROW(行数!A362),配列!$C$4,集計記録,3,1)</f>
        <v>#NAME?</v>
      </c>
      <c r="D370" s="90" t="e">
        <f ca="1">[0]!CSVVLookUP(ROW(行数!B362),配列!$C$4,集計記録,4,1)</f>
        <v>#NAME?</v>
      </c>
      <c r="E370" s="118" t="e">
        <f t="shared" ca="1" si="39"/>
        <v>#NAME?</v>
      </c>
      <c r="F370" s="118" t="e">
        <f t="shared" ca="1" si="40"/>
        <v>#NAME?</v>
      </c>
      <c r="G370" s="103" t="e">
        <f t="shared" ca="1" si="41"/>
        <v>#NAME?</v>
      </c>
      <c r="H370" s="104" t="e">
        <f ca="1">IF(C370="","",MROUND([0]!CSVVLookUP(ROW(行数!A362),配列!$C$4,集計記録,8,1),"0:01"))</f>
        <v>#NAME?</v>
      </c>
      <c r="I370" s="104" t="e">
        <f t="shared" ca="1" si="42"/>
        <v>#NAME?</v>
      </c>
      <c r="J370" s="119" t="e">
        <f ca="1">IF(C370="","",MROUND([0]!CSVVLookUP(ROW(行数!A362),配列!$C$4,集計記録,7,1),"0:01"))</f>
        <v>#NAME?</v>
      </c>
      <c r="K370" s="92" t="e">
        <f ca="1">IF(C370="","",[0]!CSVVLookUP(ROW(行数!A362),配列!$C$4,集計記録,5,1))</f>
        <v>#NAME?</v>
      </c>
      <c r="L370" s="104" t="e">
        <f t="shared" ca="1" si="43"/>
        <v>#NAME?</v>
      </c>
      <c r="M370" s="120" t="e">
        <f t="shared" ca="1" si="37"/>
        <v>#NAME?</v>
      </c>
      <c r="N370" s="120" t="e">
        <f ca="1">IF([0]!CSVVLookUP(ROW(行数!A362),配列!$C$4,集計記録,6,1)=0,"",[0]!CSVVLookUP(ROW(行数!A362),配列!$C$4,集計記録,6,1))</f>
        <v>#NAME?</v>
      </c>
      <c r="O370" s="88" t="e">
        <f ca="1">IF(INDIRECT("M"&amp;ROW()-1)&lt;&gt;INDIRECT("M"&amp;ROW()),リスト!$I$5,"")</f>
        <v>#NAME?</v>
      </c>
      <c r="P370" s="88" t="e">
        <f ca="1">IF(INDIRECT("M"&amp;ROW())&lt;&gt;INDIRECT("M"&amp;ROW()+1),リスト!$I$6,"")</f>
        <v>#NAME?</v>
      </c>
    </row>
    <row r="371" spans="1:16" x14ac:dyDescent="0.2">
      <c r="A371" s="169" t="e">
        <f ca="1">IF(C371="","",ROW(行数!A363))</f>
        <v>#NAME?</v>
      </c>
      <c r="B371" s="168" t="e">
        <f t="shared" ca="1" si="38"/>
        <v>#NAME?</v>
      </c>
      <c r="C371" s="90" t="e">
        <f ca="1">[0]!CSVVLookUP(ROW(行数!A363),配列!$C$4,集計記録,3,1)</f>
        <v>#NAME?</v>
      </c>
      <c r="D371" s="90" t="e">
        <f ca="1">[0]!CSVVLookUP(ROW(行数!B363),配列!$C$4,集計記録,4,1)</f>
        <v>#NAME?</v>
      </c>
      <c r="E371" s="118" t="e">
        <f t="shared" ca="1" si="39"/>
        <v>#NAME?</v>
      </c>
      <c r="F371" s="118" t="e">
        <f t="shared" ca="1" si="40"/>
        <v>#NAME?</v>
      </c>
      <c r="G371" s="103" t="e">
        <f t="shared" ca="1" si="41"/>
        <v>#NAME?</v>
      </c>
      <c r="H371" s="104" t="e">
        <f ca="1">IF(C371="","",MROUND([0]!CSVVLookUP(ROW(行数!A363),配列!$C$4,集計記録,8,1),"0:01"))</f>
        <v>#NAME?</v>
      </c>
      <c r="I371" s="104" t="e">
        <f t="shared" ca="1" si="42"/>
        <v>#NAME?</v>
      </c>
      <c r="J371" s="119" t="e">
        <f ca="1">IF(C371="","",MROUND([0]!CSVVLookUP(ROW(行数!A363),配列!$C$4,集計記録,7,1),"0:01"))</f>
        <v>#NAME?</v>
      </c>
      <c r="K371" s="92" t="e">
        <f ca="1">IF(C371="","",[0]!CSVVLookUP(ROW(行数!A363),配列!$C$4,集計記録,5,1))</f>
        <v>#NAME?</v>
      </c>
      <c r="L371" s="104" t="e">
        <f t="shared" ca="1" si="43"/>
        <v>#NAME?</v>
      </c>
      <c r="M371" s="120" t="e">
        <f t="shared" ca="1" si="37"/>
        <v>#NAME?</v>
      </c>
      <c r="N371" s="120" t="e">
        <f ca="1">IF([0]!CSVVLookUP(ROW(行数!A363),配列!$C$4,集計記録,6,1)=0,"",[0]!CSVVLookUP(ROW(行数!A363),配列!$C$4,集計記録,6,1))</f>
        <v>#NAME?</v>
      </c>
      <c r="O371" s="88" t="e">
        <f ca="1">IF(INDIRECT("M"&amp;ROW()-1)&lt;&gt;INDIRECT("M"&amp;ROW()),リスト!$I$5,"")</f>
        <v>#NAME?</v>
      </c>
      <c r="P371" s="88" t="e">
        <f ca="1">IF(INDIRECT("M"&amp;ROW())&lt;&gt;INDIRECT("M"&amp;ROW()+1),リスト!$I$6,"")</f>
        <v>#NAME?</v>
      </c>
    </row>
    <row r="372" spans="1:16" x14ac:dyDescent="0.2">
      <c r="A372" s="169" t="e">
        <f ca="1">IF(C372="","",ROW(行数!A364))</f>
        <v>#NAME?</v>
      </c>
      <c r="B372" s="168" t="e">
        <f t="shared" ca="1" si="38"/>
        <v>#NAME?</v>
      </c>
      <c r="C372" s="90" t="e">
        <f ca="1">[0]!CSVVLookUP(ROW(行数!A364),配列!$C$4,集計記録,3,1)</f>
        <v>#NAME?</v>
      </c>
      <c r="D372" s="90" t="e">
        <f ca="1">[0]!CSVVLookUP(ROW(行数!B364),配列!$C$4,集計記録,4,1)</f>
        <v>#NAME?</v>
      </c>
      <c r="E372" s="118" t="e">
        <f t="shared" ca="1" si="39"/>
        <v>#NAME?</v>
      </c>
      <c r="F372" s="118" t="e">
        <f t="shared" ca="1" si="40"/>
        <v>#NAME?</v>
      </c>
      <c r="G372" s="103" t="e">
        <f t="shared" ca="1" si="41"/>
        <v>#NAME?</v>
      </c>
      <c r="H372" s="104" t="e">
        <f ca="1">IF(C372="","",MROUND([0]!CSVVLookUP(ROW(行数!A364),配列!$C$4,集計記録,8,1),"0:01"))</f>
        <v>#NAME?</v>
      </c>
      <c r="I372" s="104" t="e">
        <f t="shared" ca="1" si="42"/>
        <v>#NAME?</v>
      </c>
      <c r="J372" s="119" t="e">
        <f ca="1">IF(C372="","",MROUND([0]!CSVVLookUP(ROW(行数!A364),配列!$C$4,集計記録,7,1),"0:01"))</f>
        <v>#NAME?</v>
      </c>
      <c r="K372" s="92" t="e">
        <f ca="1">IF(C372="","",[0]!CSVVLookUP(ROW(行数!A364),配列!$C$4,集計記録,5,1))</f>
        <v>#NAME?</v>
      </c>
      <c r="L372" s="104" t="e">
        <f t="shared" ca="1" si="43"/>
        <v>#NAME?</v>
      </c>
      <c r="M372" s="120" t="e">
        <f t="shared" ca="1" si="37"/>
        <v>#NAME?</v>
      </c>
      <c r="N372" s="120" t="e">
        <f ca="1">IF([0]!CSVVLookUP(ROW(行数!A364),配列!$C$4,集計記録,6,1)=0,"",[0]!CSVVLookUP(ROW(行数!A364),配列!$C$4,集計記録,6,1))</f>
        <v>#NAME?</v>
      </c>
      <c r="O372" s="88" t="e">
        <f ca="1">IF(INDIRECT("M"&amp;ROW()-1)&lt;&gt;INDIRECT("M"&amp;ROW()),リスト!$I$5,"")</f>
        <v>#NAME?</v>
      </c>
      <c r="P372" s="88" t="e">
        <f ca="1">IF(INDIRECT("M"&amp;ROW())&lt;&gt;INDIRECT("M"&amp;ROW()+1),リスト!$I$6,"")</f>
        <v>#NAME?</v>
      </c>
    </row>
    <row r="373" spans="1:16" x14ac:dyDescent="0.2">
      <c r="A373" s="169" t="e">
        <f ca="1">IF(C373="","",ROW(行数!A365))</f>
        <v>#NAME?</v>
      </c>
      <c r="B373" s="168" t="e">
        <f t="shared" ca="1" si="38"/>
        <v>#NAME?</v>
      </c>
      <c r="C373" s="90" t="e">
        <f ca="1">[0]!CSVVLookUP(ROW(行数!A365),配列!$C$4,集計記録,3,1)</f>
        <v>#NAME?</v>
      </c>
      <c r="D373" s="90" t="e">
        <f ca="1">[0]!CSVVLookUP(ROW(行数!B365),配列!$C$4,集計記録,4,1)</f>
        <v>#NAME?</v>
      </c>
      <c r="E373" s="118" t="e">
        <f t="shared" ca="1" si="39"/>
        <v>#NAME?</v>
      </c>
      <c r="F373" s="118" t="e">
        <f t="shared" ca="1" si="40"/>
        <v>#NAME?</v>
      </c>
      <c r="G373" s="103" t="e">
        <f t="shared" ca="1" si="41"/>
        <v>#NAME?</v>
      </c>
      <c r="H373" s="104" t="e">
        <f ca="1">IF(C373="","",MROUND([0]!CSVVLookUP(ROW(行数!A365),配列!$C$4,集計記録,8,1),"0:01"))</f>
        <v>#NAME?</v>
      </c>
      <c r="I373" s="104" t="e">
        <f t="shared" ca="1" si="42"/>
        <v>#NAME?</v>
      </c>
      <c r="J373" s="119" t="e">
        <f ca="1">IF(C373="","",MROUND([0]!CSVVLookUP(ROW(行数!A365),配列!$C$4,集計記録,7,1),"0:01"))</f>
        <v>#NAME?</v>
      </c>
      <c r="K373" s="92" t="e">
        <f ca="1">IF(C373="","",[0]!CSVVLookUP(ROW(行数!A365),配列!$C$4,集計記録,5,1))</f>
        <v>#NAME?</v>
      </c>
      <c r="L373" s="104" t="e">
        <f t="shared" ca="1" si="43"/>
        <v>#NAME?</v>
      </c>
      <c r="M373" s="120" t="e">
        <f t="shared" ca="1" si="37"/>
        <v>#NAME?</v>
      </c>
      <c r="N373" s="120" t="e">
        <f ca="1">IF([0]!CSVVLookUP(ROW(行数!A365),配列!$C$4,集計記録,6,1)=0,"",[0]!CSVVLookUP(ROW(行数!A365),配列!$C$4,集計記録,6,1))</f>
        <v>#NAME?</v>
      </c>
      <c r="O373" s="88" t="e">
        <f ca="1">IF(INDIRECT("M"&amp;ROW()-1)&lt;&gt;INDIRECT("M"&amp;ROW()),リスト!$I$5,"")</f>
        <v>#NAME?</v>
      </c>
      <c r="P373" s="88" t="e">
        <f ca="1">IF(INDIRECT("M"&amp;ROW())&lt;&gt;INDIRECT("M"&amp;ROW()+1),リスト!$I$6,"")</f>
        <v>#NAME?</v>
      </c>
    </row>
    <row r="374" spans="1:16" x14ac:dyDescent="0.2">
      <c r="A374" s="169" t="e">
        <f ca="1">IF(C374="","",ROW(行数!A366))</f>
        <v>#NAME?</v>
      </c>
      <c r="B374" s="168" t="e">
        <f t="shared" ca="1" si="38"/>
        <v>#NAME?</v>
      </c>
      <c r="C374" s="90" t="e">
        <f ca="1">[0]!CSVVLookUP(ROW(行数!A366),配列!$C$4,集計記録,3,1)</f>
        <v>#NAME?</v>
      </c>
      <c r="D374" s="90" t="e">
        <f ca="1">[0]!CSVVLookUP(ROW(行数!B366),配列!$C$4,集計記録,4,1)</f>
        <v>#NAME?</v>
      </c>
      <c r="E374" s="118" t="e">
        <f t="shared" ca="1" si="39"/>
        <v>#NAME?</v>
      </c>
      <c r="F374" s="118" t="e">
        <f t="shared" ca="1" si="40"/>
        <v>#NAME?</v>
      </c>
      <c r="G374" s="103" t="e">
        <f t="shared" ca="1" si="41"/>
        <v>#NAME?</v>
      </c>
      <c r="H374" s="104" t="e">
        <f ca="1">IF(C374="","",MROUND([0]!CSVVLookUP(ROW(行数!A366),配列!$C$4,集計記録,8,1),"0:01"))</f>
        <v>#NAME?</v>
      </c>
      <c r="I374" s="104" t="e">
        <f t="shared" ca="1" si="42"/>
        <v>#NAME?</v>
      </c>
      <c r="J374" s="119" t="e">
        <f ca="1">IF(C374="","",MROUND([0]!CSVVLookUP(ROW(行数!A366),配列!$C$4,集計記録,7,1),"0:01"))</f>
        <v>#NAME?</v>
      </c>
      <c r="K374" s="92" t="e">
        <f ca="1">IF(C374="","",[0]!CSVVLookUP(ROW(行数!A366),配列!$C$4,集計記録,5,1))</f>
        <v>#NAME?</v>
      </c>
      <c r="L374" s="104" t="e">
        <f t="shared" ca="1" si="43"/>
        <v>#NAME?</v>
      </c>
      <c r="M374" s="120" t="e">
        <f t="shared" ca="1" si="37"/>
        <v>#NAME?</v>
      </c>
      <c r="N374" s="120" t="e">
        <f ca="1">IF([0]!CSVVLookUP(ROW(行数!A366),配列!$C$4,集計記録,6,1)=0,"",[0]!CSVVLookUP(ROW(行数!A366),配列!$C$4,集計記録,6,1))</f>
        <v>#NAME?</v>
      </c>
      <c r="O374" s="88" t="e">
        <f ca="1">IF(INDIRECT("M"&amp;ROW()-1)&lt;&gt;INDIRECT("M"&amp;ROW()),リスト!$I$5,"")</f>
        <v>#NAME?</v>
      </c>
      <c r="P374" s="88" t="e">
        <f ca="1">IF(INDIRECT("M"&amp;ROW())&lt;&gt;INDIRECT("M"&amp;ROW()+1),リスト!$I$6,"")</f>
        <v>#NAME?</v>
      </c>
    </row>
    <row r="375" spans="1:16" x14ac:dyDescent="0.2">
      <c r="A375" s="169" t="e">
        <f ca="1">IF(C375="","",ROW(行数!A367))</f>
        <v>#NAME?</v>
      </c>
      <c r="B375" s="168" t="e">
        <f t="shared" ca="1" si="38"/>
        <v>#NAME?</v>
      </c>
      <c r="C375" s="90" t="e">
        <f ca="1">[0]!CSVVLookUP(ROW(行数!A367),配列!$C$4,集計記録,3,1)</f>
        <v>#NAME?</v>
      </c>
      <c r="D375" s="90" t="e">
        <f ca="1">[0]!CSVVLookUP(ROW(行数!B367),配列!$C$4,集計記録,4,1)</f>
        <v>#NAME?</v>
      </c>
      <c r="E375" s="118" t="e">
        <f t="shared" ca="1" si="39"/>
        <v>#NAME?</v>
      </c>
      <c r="F375" s="118" t="e">
        <f t="shared" ca="1" si="40"/>
        <v>#NAME?</v>
      </c>
      <c r="G375" s="103" t="e">
        <f t="shared" ca="1" si="41"/>
        <v>#NAME?</v>
      </c>
      <c r="H375" s="104" t="e">
        <f ca="1">IF(C375="","",MROUND([0]!CSVVLookUP(ROW(行数!A367),配列!$C$4,集計記録,8,1),"0:01"))</f>
        <v>#NAME?</v>
      </c>
      <c r="I375" s="104" t="e">
        <f t="shared" ca="1" si="42"/>
        <v>#NAME?</v>
      </c>
      <c r="J375" s="119" t="e">
        <f ca="1">IF(C375="","",MROUND([0]!CSVVLookUP(ROW(行数!A367),配列!$C$4,集計記録,7,1),"0:01"))</f>
        <v>#NAME?</v>
      </c>
      <c r="K375" s="92" t="e">
        <f ca="1">IF(C375="","",[0]!CSVVLookUP(ROW(行数!A367),配列!$C$4,集計記録,5,1))</f>
        <v>#NAME?</v>
      </c>
      <c r="L375" s="104" t="e">
        <f t="shared" ca="1" si="43"/>
        <v>#NAME?</v>
      </c>
      <c r="M375" s="120" t="e">
        <f t="shared" ca="1" si="37"/>
        <v>#NAME?</v>
      </c>
      <c r="N375" s="120" t="e">
        <f ca="1">IF([0]!CSVVLookUP(ROW(行数!A367),配列!$C$4,集計記録,6,1)=0,"",[0]!CSVVLookUP(ROW(行数!A367),配列!$C$4,集計記録,6,1))</f>
        <v>#NAME?</v>
      </c>
      <c r="O375" s="88" t="e">
        <f ca="1">IF(INDIRECT("M"&amp;ROW()-1)&lt;&gt;INDIRECT("M"&amp;ROW()),リスト!$I$5,"")</f>
        <v>#NAME?</v>
      </c>
      <c r="P375" s="88" t="e">
        <f ca="1">IF(INDIRECT("M"&amp;ROW())&lt;&gt;INDIRECT("M"&amp;ROW()+1),リスト!$I$6,"")</f>
        <v>#NAME?</v>
      </c>
    </row>
    <row r="376" spans="1:16" x14ac:dyDescent="0.2">
      <c r="A376" s="169" t="e">
        <f ca="1">IF(C376="","",ROW(行数!A368))</f>
        <v>#NAME?</v>
      </c>
      <c r="B376" s="168" t="e">
        <f t="shared" ca="1" si="38"/>
        <v>#NAME?</v>
      </c>
      <c r="C376" s="90" t="e">
        <f ca="1">[0]!CSVVLookUP(ROW(行数!A368),配列!$C$4,集計記録,3,1)</f>
        <v>#NAME?</v>
      </c>
      <c r="D376" s="90" t="e">
        <f ca="1">[0]!CSVVLookUP(ROW(行数!B368),配列!$C$4,集計記録,4,1)</f>
        <v>#NAME?</v>
      </c>
      <c r="E376" s="118" t="e">
        <f t="shared" ca="1" si="39"/>
        <v>#NAME?</v>
      </c>
      <c r="F376" s="118" t="e">
        <f t="shared" ca="1" si="40"/>
        <v>#NAME?</v>
      </c>
      <c r="G376" s="103" t="e">
        <f t="shared" ca="1" si="41"/>
        <v>#NAME?</v>
      </c>
      <c r="H376" s="104" t="e">
        <f ca="1">IF(C376="","",MROUND([0]!CSVVLookUP(ROW(行数!A368),配列!$C$4,集計記録,8,1),"0:01"))</f>
        <v>#NAME?</v>
      </c>
      <c r="I376" s="104" t="e">
        <f t="shared" ca="1" si="42"/>
        <v>#NAME?</v>
      </c>
      <c r="J376" s="119" t="e">
        <f ca="1">IF(C376="","",MROUND([0]!CSVVLookUP(ROW(行数!A368),配列!$C$4,集計記録,7,1),"0:01"))</f>
        <v>#NAME?</v>
      </c>
      <c r="K376" s="92" t="e">
        <f ca="1">IF(C376="","",[0]!CSVVLookUP(ROW(行数!A368),配列!$C$4,集計記録,5,1))</f>
        <v>#NAME?</v>
      </c>
      <c r="L376" s="104" t="e">
        <f t="shared" ca="1" si="43"/>
        <v>#NAME?</v>
      </c>
      <c r="M376" s="120" t="e">
        <f t="shared" ca="1" si="37"/>
        <v>#NAME?</v>
      </c>
      <c r="N376" s="120" t="e">
        <f ca="1">IF([0]!CSVVLookUP(ROW(行数!A368),配列!$C$4,集計記録,6,1)=0,"",[0]!CSVVLookUP(ROW(行数!A368),配列!$C$4,集計記録,6,1))</f>
        <v>#NAME?</v>
      </c>
      <c r="O376" s="88" t="e">
        <f ca="1">IF(INDIRECT("M"&amp;ROW()-1)&lt;&gt;INDIRECT("M"&amp;ROW()),リスト!$I$5,"")</f>
        <v>#NAME?</v>
      </c>
      <c r="P376" s="88" t="e">
        <f ca="1">IF(INDIRECT("M"&amp;ROW())&lt;&gt;INDIRECT("M"&amp;ROW()+1),リスト!$I$6,"")</f>
        <v>#NAME?</v>
      </c>
    </row>
    <row r="377" spans="1:16" x14ac:dyDescent="0.2">
      <c r="A377" s="169" t="e">
        <f ca="1">IF(C377="","",ROW(行数!A369))</f>
        <v>#NAME?</v>
      </c>
      <c r="B377" s="168" t="e">
        <f t="shared" ca="1" si="38"/>
        <v>#NAME?</v>
      </c>
      <c r="C377" s="90" t="e">
        <f ca="1">[0]!CSVVLookUP(ROW(行数!A369),配列!$C$4,集計記録,3,1)</f>
        <v>#NAME?</v>
      </c>
      <c r="D377" s="90" t="e">
        <f ca="1">[0]!CSVVLookUP(ROW(行数!B369),配列!$C$4,集計記録,4,1)</f>
        <v>#NAME?</v>
      </c>
      <c r="E377" s="118" t="e">
        <f t="shared" ca="1" si="39"/>
        <v>#NAME?</v>
      </c>
      <c r="F377" s="118" t="e">
        <f t="shared" ca="1" si="40"/>
        <v>#NAME?</v>
      </c>
      <c r="G377" s="103" t="e">
        <f t="shared" ca="1" si="41"/>
        <v>#NAME?</v>
      </c>
      <c r="H377" s="104" t="e">
        <f ca="1">IF(C377="","",MROUND([0]!CSVVLookUP(ROW(行数!A369),配列!$C$4,集計記録,8,1),"0:01"))</f>
        <v>#NAME?</v>
      </c>
      <c r="I377" s="104" t="e">
        <f t="shared" ca="1" si="42"/>
        <v>#NAME?</v>
      </c>
      <c r="J377" s="119" t="e">
        <f ca="1">IF(C377="","",MROUND([0]!CSVVLookUP(ROW(行数!A369),配列!$C$4,集計記録,7,1),"0:01"))</f>
        <v>#NAME?</v>
      </c>
      <c r="K377" s="92" t="e">
        <f ca="1">IF(C377="","",[0]!CSVVLookUP(ROW(行数!A369),配列!$C$4,集計記録,5,1))</f>
        <v>#NAME?</v>
      </c>
      <c r="L377" s="104" t="e">
        <f t="shared" ca="1" si="43"/>
        <v>#NAME?</v>
      </c>
      <c r="M377" s="120" t="e">
        <f t="shared" ca="1" si="37"/>
        <v>#NAME?</v>
      </c>
      <c r="N377" s="120" t="e">
        <f ca="1">IF([0]!CSVVLookUP(ROW(行数!A369),配列!$C$4,集計記録,6,1)=0,"",[0]!CSVVLookUP(ROW(行数!A369),配列!$C$4,集計記録,6,1))</f>
        <v>#NAME?</v>
      </c>
      <c r="O377" s="88" t="e">
        <f ca="1">IF(INDIRECT("M"&amp;ROW()-1)&lt;&gt;INDIRECT("M"&amp;ROW()),リスト!$I$5,"")</f>
        <v>#NAME?</v>
      </c>
      <c r="P377" s="88" t="e">
        <f ca="1">IF(INDIRECT("M"&amp;ROW())&lt;&gt;INDIRECT("M"&amp;ROW()+1),リスト!$I$6,"")</f>
        <v>#NAME?</v>
      </c>
    </row>
    <row r="378" spans="1:16" x14ac:dyDescent="0.2">
      <c r="A378" s="169" t="e">
        <f ca="1">IF(C378="","",ROW(行数!A370))</f>
        <v>#NAME?</v>
      </c>
      <c r="B378" s="168" t="e">
        <f t="shared" ca="1" si="38"/>
        <v>#NAME?</v>
      </c>
      <c r="C378" s="90" t="e">
        <f ca="1">[0]!CSVVLookUP(ROW(行数!A370),配列!$C$4,集計記録,3,1)</f>
        <v>#NAME?</v>
      </c>
      <c r="D378" s="90" t="e">
        <f ca="1">[0]!CSVVLookUP(ROW(行数!B370),配列!$C$4,集計記録,4,1)</f>
        <v>#NAME?</v>
      </c>
      <c r="E378" s="118" t="e">
        <f t="shared" ca="1" si="39"/>
        <v>#NAME?</v>
      </c>
      <c r="F378" s="118" t="e">
        <f t="shared" ca="1" si="40"/>
        <v>#NAME?</v>
      </c>
      <c r="G378" s="103" t="e">
        <f t="shared" ca="1" si="41"/>
        <v>#NAME?</v>
      </c>
      <c r="H378" s="104" t="e">
        <f ca="1">IF(C378="","",MROUND([0]!CSVVLookUP(ROW(行数!A370),配列!$C$4,集計記録,8,1),"0:01"))</f>
        <v>#NAME?</v>
      </c>
      <c r="I378" s="104" t="e">
        <f t="shared" ca="1" si="42"/>
        <v>#NAME?</v>
      </c>
      <c r="J378" s="119" t="e">
        <f ca="1">IF(C378="","",MROUND([0]!CSVVLookUP(ROW(行数!A370),配列!$C$4,集計記録,7,1),"0:01"))</f>
        <v>#NAME?</v>
      </c>
      <c r="K378" s="92" t="e">
        <f ca="1">IF(C378="","",[0]!CSVVLookUP(ROW(行数!A370),配列!$C$4,集計記録,5,1))</f>
        <v>#NAME?</v>
      </c>
      <c r="L378" s="104" t="e">
        <f t="shared" ca="1" si="43"/>
        <v>#NAME?</v>
      </c>
      <c r="M378" s="120" t="e">
        <f t="shared" ca="1" si="37"/>
        <v>#NAME?</v>
      </c>
      <c r="N378" s="120" t="e">
        <f ca="1">IF([0]!CSVVLookUP(ROW(行数!A370),配列!$C$4,集計記録,6,1)=0,"",[0]!CSVVLookUP(ROW(行数!A370),配列!$C$4,集計記録,6,1))</f>
        <v>#NAME?</v>
      </c>
      <c r="O378" s="88" t="e">
        <f ca="1">IF(INDIRECT("M"&amp;ROW()-1)&lt;&gt;INDIRECT("M"&amp;ROW()),リスト!$I$5,"")</f>
        <v>#NAME?</v>
      </c>
      <c r="P378" s="88" t="e">
        <f ca="1">IF(INDIRECT("M"&amp;ROW())&lt;&gt;INDIRECT("M"&amp;ROW()+1),リスト!$I$6,"")</f>
        <v>#NAME?</v>
      </c>
    </row>
    <row r="379" spans="1:16" x14ac:dyDescent="0.2">
      <c r="A379" s="169" t="e">
        <f ca="1">IF(C379="","",ROW(行数!A371))</f>
        <v>#NAME?</v>
      </c>
      <c r="B379" s="168" t="e">
        <f t="shared" ca="1" si="38"/>
        <v>#NAME?</v>
      </c>
      <c r="C379" s="90" t="e">
        <f ca="1">[0]!CSVVLookUP(ROW(行数!A371),配列!$C$4,集計記録,3,1)</f>
        <v>#NAME?</v>
      </c>
      <c r="D379" s="90" t="e">
        <f ca="1">[0]!CSVVLookUP(ROW(行数!B371),配列!$C$4,集計記録,4,1)</f>
        <v>#NAME?</v>
      </c>
      <c r="E379" s="118" t="e">
        <f t="shared" ca="1" si="39"/>
        <v>#NAME?</v>
      </c>
      <c r="F379" s="118" t="e">
        <f t="shared" ca="1" si="40"/>
        <v>#NAME?</v>
      </c>
      <c r="G379" s="103" t="e">
        <f t="shared" ca="1" si="41"/>
        <v>#NAME?</v>
      </c>
      <c r="H379" s="104" t="e">
        <f ca="1">IF(C379="","",MROUND([0]!CSVVLookUP(ROW(行数!A371),配列!$C$4,集計記録,8,1),"0:01"))</f>
        <v>#NAME?</v>
      </c>
      <c r="I379" s="104" t="e">
        <f t="shared" ca="1" si="42"/>
        <v>#NAME?</v>
      </c>
      <c r="J379" s="119" t="e">
        <f ca="1">IF(C379="","",MROUND([0]!CSVVLookUP(ROW(行数!A371),配列!$C$4,集計記録,7,1),"0:01"))</f>
        <v>#NAME?</v>
      </c>
      <c r="K379" s="92" t="e">
        <f ca="1">IF(C379="","",[0]!CSVVLookUP(ROW(行数!A371),配列!$C$4,集計記録,5,1))</f>
        <v>#NAME?</v>
      </c>
      <c r="L379" s="104" t="e">
        <f t="shared" ca="1" si="43"/>
        <v>#NAME?</v>
      </c>
      <c r="M379" s="120" t="e">
        <f t="shared" ca="1" si="37"/>
        <v>#NAME?</v>
      </c>
      <c r="N379" s="120" t="e">
        <f ca="1">IF([0]!CSVVLookUP(ROW(行数!A371),配列!$C$4,集計記録,6,1)=0,"",[0]!CSVVLookUP(ROW(行数!A371),配列!$C$4,集計記録,6,1))</f>
        <v>#NAME?</v>
      </c>
      <c r="O379" s="88" t="e">
        <f ca="1">IF(INDIRECT("M"&amp;ROW()-1)&lt;&gt;INDIRECT("M"&amp;ROW()),リスト!$I$5,"")</f>
        <v>#NAME?</v>
      </c>
      <c r="P379" s="88" t="e">
        <f ca="1">IF(INDIRECT("M"&amp;ROW())&lt;&gt;INDIRECT("M"&amp;ROW()+1),リスト!$I$6,"")</f>
        <v>#NAME?</v>
      </c>
    </row>
    <row r="380" spans="1:16" x14ac:dyDescent="0.2">
      <c r="A380" s="169" t="e">
        <f ca="1">IF(C380="","",ROW(行数!A372))</f>
        <v>#NAME?</v>
      </c>
      <c r="B380" s="168" t="e">
        <f t="shared" ca="1" si="38"/>
        <v>#NAME?</v>
      </c>
      <c r="C380" s="90" t="e">
        <f ca="1">[0]!CSVVLookUP(ROW(行数!A372),配列!$C$4,集計記録,3,1)</f>
        <v>#NAME?</v>
      </c>
      <c r="D380" s="90" t="e">
        <f ca="1">[0]!CSVVLookUP(ROW(行数!B372),配列!$C$4,集計記録,4,1)</f>
        <v>#NAME?</v>
      </c>
      <c r="E380" s="118" t="e">
        <f t="shared" ca="1" si="39"/>
        <v>#NAME?</v>
      </c>
      <c r="F380" s="118" t="e">
        <f t="shared" ca="1" si="40"/>
        <v>#NAME?</v>
      </c>
      <c r="G380" s="103" t="e">
        <f t="shared" ca="1" si="41"/>
        <v>#NAME?</v>
      </c>
      <c r="H380" s="104" t="e">
        <f ca="1">IF(C380="","",MROUND([0]!CSVVLookUP(ROW(行数!A372),配列!$C$4,集計記録,8,1),"0:01"))</f>
        <v>#NAME?</v>
      </c>
      <c r="I380" s="104" t="e">
        <f t="shared" ca="1" si="42"/>
        <v>#NAME?</v>
      </c>
      <c r="J380" s="119" t="e">
        <f ca="1">IF(C380="","",MROUND([0]!CSVVLookUP(ROW(行数!A372),配列!$C$4,集計記録,7,1),"0:01"))</f>
        <v>#NAME?</v>
      </c>
      <c r="K380" s="92" t="e">
        <f ca="1">IF(C380="","",[0]!CSVVLookUP(ROW(行数!A372),配列!$C$4,集計記録,5,1))</f>
        <v>#NAME?</v>
      </c>
      <c r="L380" s="104" t="e">
        <f t="shared" ca="1" si="43"/>
        <v>#NAME?</v>
      </c>
      <c r="M380" s="120" t="e">
        <f t="shared" ca="1" si="37"/>
        <v>#NAME?</v>
      </c>
      <c r="N380" s="120" t="e">
        <f ca="1">IF([0]!CSVVLookUP(ROW(行数!A372),配列!$C$4,集計記録,6,1)=0,"",[0]!CSVVLookUP(ROW(行数!A372),配列!$C$4,集計記録,6,1))</f>
        <v>#NAME?</v>
      </c>
      <c r="O380" s="88" t="e">
        <f ca="1">IF(INDIRECT("M"&amp;ROW()-1)&lt;&gt;INDIRECT("M"&amp;ROW()),リスト!$I$5,"")</f>
        <v>#NAME?</v>
      </c>
      <c r="P380" s="88" t="e">
        <f ca="1">IF(INDIRECT("M"&amp;ROW())&lt;&gt;INDIRECT("M"&amp;ROW()+1),リスト!$I$6,"")</f>
        <v>#NAME?</v>
      </c>
    </row>
    <row r="381" spans="1:16" x14ac:dyDescent="0.2">
      <c r="A381" s="169" t="e">
        <f ca="1">IF(C381="","",ROW(行数!A373))</f>
        <v>#NAME?</v>
      </c>
      <c r="B381" s="168" t="e">
        <f t="shared" ca="1" si="38"/>
        <v>#NAME?</v>
      </c>
      <c r="C381" s="90" t="e">
        <f ca="1">[0]!CSVVLookUP(ROW(行数!A373),配列!$C$4,集計記録,3,1)</f>
        <v>#NAME?</v>
      </c>
      <c r="D381" s="90" t="e">
        <f ca="1">[0]!CSVVLookUP(ROW(行数!B373),配列!$C$4,集計記録,4,1)</f>
        <v>#NAME?</v>
      </c>
      <c r="E381" s="118" t="e">
        <f t="shared" ca="1" si="39"/>
        <v>#NAME?</v>
      </c>
      <c r="F381" s="118" t="e">
        <f t="shared" ca="1" si="40"/>
        <v>#NAME?</v>
      </c>
      <c r="G381" s="103" t="e">
        <f t="shared" ca="1" si="41"/>
        <v>#NAME?</v>
      </c>
      <c r="H381" s="104" t="e">
        <f ca="1">IF(C381="","",MROUND([0]!CSVVLookUP(ROW(行数!A373),配列!$C$4,集計記録,8,1),"0:01"))</f>
        <v>#NAME?</v>
      </c>
      <c r="I381" s="104" t="e">
        <f t="shared" ca="1" si="42"/>
        <v>#NAME?</v>
      </c>
      <c r="J381" s="119" t="e">
        <f ca="1">IF(C381="","",MROUND([0]!CSVVLookUP(ROW(行数!A373),配列!$C$4,集計記録,7,1),"0:01"))</f>
        <v>#NAME?</v>
      </c>
      <c r="K381" s="92" t="e">
        <f ca="1">IF(C381="","",[0]!CSVVLookUP(ROW(行数!A373),配列!$C$4,集計記録,5,1))</f>
        <v>#NAME?</v>
      </c>
      <c r="L381" s="104" t="e">
        <f t="shared" ca="1" si="43"/>
        <v>#NAME?</v>
      </c>
      <c r="M381" s="120" t="e">
        <f t="shared" ca="1" si="37"/>
        <v>#NAME?</v>
      </c>
      <c r="N381" s="120" t="e">
        <f ca="1">IF([0]!CSVVLookUP(ROW(行数!A373),配列!$C$4,集計記録,6,1)=0,"",[0]!CSVVLookUP(ROW(行数!A373),配列!$C$4,集計記録,6,1))</f>
        <v>#NAME?</v>
      </c>
      <c r="O381" s="88" t="e">
        <f ca="1">IF(INDIRECT("M"&amp;ROW()-1)&lt;&gt;INDIRECT("M"&amp;ROW()),リスト!$I$5,"")</f>
        <v>#NAME?</v>
      </c>
      <c r="P381" s="88" t="e">
        <f ca="1">IF(INDIRECT("M"&amp;ROW())&lt;&gt;INDIRECT("M"&amp;ROW()+1),リスト!$I$6,"")</f>
        <v>#NAME?</v>
      </c>
    </row>
    <row r="382" spans="1:16" x14ac:dyDescent="0.2">
      <c r="A382" s="169" t="e">
        <f ca="1">IF(C382="","",ROW(行数!A374))</f>
        <v>#NAME?</v>
      </c>
      <c r="B382" s="168" t="e">
        <f t="shared" ca="1" si="38"/>
        <v>#NAME?</v>
      </c>
      <c r="C382" s="90" t="e">
        <f ca="1">[0]!CSVVLookUP(ROW(行数!A374),配列!$C$4,集計記録,3,1)</f>
        <v>#NAME?</v>
      </c>
      <c r="D382" s="90" t="e">
        <f ca="1">[0]!CSVVLookUP(ROW(行数!B374),配列!$C$4,集計記録,4,1)</f>
        <v>#NAME?</v>
      </c>
      <c r="E382" s="118" t="e">
        <f t="shared" ca="1" si="39"/>
        <v>#NAME?</v>
      </c>
      <c r="F382" s="118" t="e">
        <f t="shared" ca="1" si="40"/>
        <v>#NAME?</v>
      </c>
      <c r="G382" s="103" t="e">
        <f t="shared" ca="1" si="41"/>
        <v>#NAME?</v>
      </c>
      <c r="H382" s="104" t="e">
        <f ca="1">IF(C382="","",MROUND([0]!CSVVLookUP(ROW(行数!A374),配列!$C$4,集計記録,8,1),"0:01"))</f>
        <v>#NAME?</v>
      </c>
      <c r="I382" s="104" t="e">
        <f t="shared" ca="1" si="42"/>
        <v>#NAME?</v>
      </c>
      <c r="J382" s="119" t="e">
        <f ca="1">IF(C382="","",MROUND([0]!CSVVLookUP(ROW(行数!A374),配列!$C$4,集計記録,7,1),"0:01"))</f>
        <v>#NAME?</v>
      </c>
      <c r="K382" s="92" t="e">
        <f ca="1">IF(C382="","",[0]!CSVVLookUP(ROW(行数!A374),配列!$C$4,集計記録,5,1))</f>
        <v>#NAME?</v>
      </c>
      <c r="L382" s="104" t="e">
        <f t="shared" ca="1" si="43"/>
        <v>#NAME?</v>
      </c>
      <c r="M382" s="120" t="e">
        <f t="shared" ca="1" si="37"/>
        <v>#NAME?</v>
      </c>
      <c r="N382" s="120" t="e">
        <f ca="1">IF([0]!CSVVLookUP(ROW(行数!A374),配列!$C$4,集計記録,6,1)=0,"",[0]!CSVVLookUP(ROW(行数!A374),配列!$C$4,集計記録,6,1))</f>
        <v>#NAME?</v>
      </c>
      <c r="O382" s="88" t="e">
        <f ca="1">IF(INDIRECT("M"&amp;ROW()-1)&lt;&gt;INDIRECT("M"&amp;ROW()),リスト!$I$5,"")</f>
        <v>#NAME?</v>
      </c>
      <c r="P382" s="88" t="e">
        <f ca="1">IF(INDIRECT("M"&amp;ROW())&lt;&gt;INDIRECT("M"&amp;ROW()+1),リスト!$I$6,"")</f>
        <v>#NAME?</v>
      </c>
    </row>
    <row r="383" spans="1:16" x14ac:dyDescent="0.2">
      <c r="A383" s="169" t="e">
        <f ca="1">IF(C383="","",ROW(行数!A375))</f>
        <v>#NAME?</v>
      </c>
      <c r="B383" s="168" t="e">
        <f t="shared" ca="1" si="38"/>
        <v>#NAME?</v>
      </c>
      <c r="C383" s="90" t="e">
        <f ca="1">[0]!CSVVLookUP(ROW(行数!A375),配列!$C$4,集計記録,3,1)</f>
        <v>#NAME?</v>
      </c>
      <c r="D383" s="90" t="e">
        <f ca="1">[0]!CSVVLookUP(ROW(行数!B375),配列!$C$4,集計記録,4,1)</f>
        <v>#NAME?</v>
      </c>
      <c r="E383" s="118" t="e">
        <f t="shared" ca="1" si="39"/>
        <v>#NAME?</v>
      </c>
      <c r="F383" s="118" t="e">
        <f t="shared" ca="1" si="40"/>
        <v>#NAME?</v>
      </c>
      <c r="G383" s="103" t="e">
        <f t="shared" ca="1" si="41"/>
        <v>#NAME?</v>
      </c>
      <c r="H383" s="104" t="e">
        <f ca="1">IF(C383="","",MROUND([0]!CSVVLookUP(ROW(行数!A375),配列!$C$4,集計記録,8,1),"0:01"))</f>
        <v>#NAME?</v>
      </c>
      <c r="I383" s="104" t="e">
        <f t="shared" ca="1" si="42"/>
        <v>#NAME?</v>
      </c>
      <c r="J383" s="119" t="e">
        <f ca="1">IF(C383="","",MROUND([0]!CSVVLookUP(ROW(行数!A375),配列!$C$4,集計記録,7,1),"0:01"))</f>
        <v>#NAME?</v>
      </c>
      <c r="K383" s="92" t="e">
        <f ca="1">IF(C383="","",[0]!CSVVLookUP(ROW(行数!A375),配列!$C$4,集計記録,5,1))</f>
        <v>#NAME?</v>
      </c>
      <c r="L383" s="104" t="e">
        <f t="shared" ca="1" si="43"/>
        <v>#NAME?</v>
      </c>
      <c r="M383" s="120" t="e">
        <f t="shared" ca="1" si="37"/>
        <v>#NAME?</v>
      </c>
      <c r="N383" s="120" t="e">
        <f ca="1">IF([0]!CSVVLookUP(ROW(行数!A375),配列!$C$4,集計記録,6,1)=0,"",[0]!CSVVLookUP(ROW(行数!A375),配列!$C$4,集計記録,6,1))</f>
        <v>#NAME?</v>
      </c>
      <c r="O383" s="88" t="e">
        <f ca="1">IF(INDIRECT("M"&amp;ROW()-1)&lt;&gt;INDIRECT("M"&amp;ROW()),リスト!$I$5,"")</f>
        <v>#NAME?</v>
      </c>
      <c r="P383" s="88" t="e">
        <f ca="1">IF(INDIRECT("M"&amp;ROW())&lt;&gt;INDIRECT("M"&amp;ROW()+1),リスト!$I$6,"")</f>
        <v>#NAME?</v>
      </c>
    </row>
    <row r="384" spans="1:16" x14ac:dyDescent="0.2">
      <c r="A384" s="169" t="e">
        <f ca="1">IF(C384="","",ROW(行数!A376))</f>
        <v>#NAME?</v>
      </c>
      <c r="B384" s="168" t="e">
        <f t="shared" ca="1" si="38"/>
        <v>#NAME?</v>
      </c>
      <c r="C384" s="90" t="e">
        <f ca="1">[0]!CSVVLookUP(ROW(行数!A376),配列!$C$4,集計記録,3,1)</f>
        <v>#NAME?</v>
      </c>
      <c r="D384" s="90" t="e">
        <f ca="1">[0]!CSVVLookUP(ROW(行数!B376),配列!$C$4,集計記録,4,1)</f>
        <v>#NAME?</v>
      </c>
      <c r="E384" s="118" t="e">
        <f t="shared" ca="1" si="39"/>
        <v>#NAME?</v>
      </c>
      <c r="F384" s="118" t="e">
        <f t="shared" ca="1" si="40"/>
        <v>#NAME?</v>
      </c>
      <c r="G384" s="103" t="e">
        <f t="shared" ca="1" si="41"/>
        <v>#NAME?</v>
      </c>
      <c r="H384" s="104" t="e">
        <f ca="1">IF(C384="","",MROUND([0]!CSVVLookUP(ROW(行数!A376),配列!$C$4,集計記録,8,1),"0:01"))</f>
        <v>#NAME?</v>
      </c>
      <c r="I384" s="104" t="e">
        <f t="shared" ca="1" si="42"/>
        <v>#NAME?</v>
      </c>
      <c r="J384" s="119" t="e">
        <f ca="1">IF(C384="","",MROUND([0]!CSVVLookUP(ROW(行数!A376),配列!$C$4,集計記録,7,1),"0:01"))</f>
        <v>#NAME?</v>
      </c>
      <c r="K384" s="92" t="e">
        <f ca="1">IF(C384="","",[0]!CSVVLookUP(ROW(行数!A376),配列!$C$4,集計記録,5,1))</f>
        <v>#NAME?</v>
      </c>
      <c r="L384" s="104" t="e">
        <f t="shared" ca="1" si="43"/>
        <v>#NAME?</v>
      </c>
      <c r="M384" s="120" t="e">
        <f t="shared" ca="1" si="37"/>
        <v>#NAME?</v>
      </c>
      <c r="N384" s="120" t="e">
        <f ca="1">IF([0]!CSVVLookUP(ROW(行数!A376),配列!$C$4,集計記録,6,1)=0,"",[0]!CSVVLookUP(ROW(行数!A376),配列!$C$4,集計記録,6,1))</f>
        <v>#NAME?</v>
      </c>
      <c r="O384" s="88" t="e">
        <f ca="1">IF(INDIRECT("M"&amp;ROW()-1)&lt;&gt;INDIRECT("M"&amp;ROW()),リスト!$I$5,"")</f>
        <v>#NAME?</v>
      </c>
      <c r="P384" s="88" t="e">
        <f ca="1">IF(INDIRECT("M"&amp;ROW())&lt;&gt;INDIRECT("M"&amp;ROW()+1),リスト!$I$6,"")</f>
        <v>#NAME?</v>
      </c>
    </row>
    <row r="385" spans="1:16" x14ac:dyDescent="0.2">
      <c r="A385" s="169" t="e">
        <f ca="1">IF(C385="","",ROW(行数!A377))</f>
        <v>#NAME?</v>
      </c>
      <c r="B385" s="168" t="e">
        <f t="shared" ca="1" si="38"/>
        <v>#NAME?</v>
      </c>
      <c r="C385" s="90" t="e">
        <f ca="1">[0]!CSVVLookUP(ROW(行数!A377),配列!$C$4,集計記録,3,1)</f>
        <v>#NAME?</v>
      </c>
      <c r="D385" s="90" t="e">
        <f ca="1">[0]!CSVVLookUP(ROW(行数!B377),配列!$C$4,集計記録,4,1)</f>
        <v>#NAME?</v>
      </c>
      <c r="E385" s="118" t="e">
        <f t="shared" ca="1" si="39"/>
        <v>#NAME?</v>
      </c>
      <c r="F385" s="118" t="e">
        <f t="shared" ca="1" si="40"/>
        <v>#NAME?</v>
      </c>
      <c r="G385" s="103" t="e">
        <f t="shared" ca="1" si="41"/>
        <v>#NAME?</v>
      </c>
      <c r="H385" s="104" t="e">
        <f ca="1">IF(C385="","",MROUND([0]!CSVVLookUP(ROW(行数!A377),配列!$C$4,集計記録,8,1),"0:01"))</f>
        <v>#NAME?</v>
      </c>
      <c r="I385" s="104" t="e">
        <f t="shared" ca="1" si="42"/>
        <v>#NAME?</v>
      </c>
      <c r="J385" s="119" t="e">
        <f ca="1">IF(C385="","",MROUND([0]!CSVVLookUP(ROW(行数!A377),配列!$C$4,集計記録,7,1),"0:01"))</f>
        <v>#NAME?</v>
      </c>
      <c r="K385" s="92" t="e">
        <f ca="1">IF(C385="","",[0]!CSVVLookUP(ROW(行数!A377),配列!$C$4,集計記録,5,1))</f>
        <v>#NAME?</v>
      </c>
      <c r="L385" s="104" t="e">
        <f t="shared" ca="1" si="43"/>
        <v>#NAME?</v>
      </c>
      <c r="M385" s="120" t="e">
        <f t="shared" ca="1" si="37"/>
        <v>#NAME?</v>
      </c>
      <c r="N385" s="120" t="e">
        <f ca="1">IF([0]!CSVVLookUP(ROW(行数!A377),配列!$C$4,集計記録,6,1)=0,"",[0]!CSVVLookUP(ROW(行数!A377),配列!$C$4,集計記録,6,1))</f>
        <v>#NAME?</v>
      </c>
      <c r="O385" s="88" t="e">
        <f ca="1">IF(INDIRECT("M"&amp;ROW()-1)&lt;&gt;INDIRECT("M"&amp;ROW()),リスト!$I$5,"")</f>
        <v>#NAME?</v>
      </c>
      <c r="P385" s="88" t="e">
        <f ca="1">IF(INDIRECT("M"&amp;ROW())&lt;&gt;INDIRECT("M"&amp;ROW()+1),リスト!$I$6,"")</f>
        <v>#NAME?</v>
      </c>
    </row>
    <row r="386" spans="1:16" x14ac:dyDescent="0.2">
      <c r="A386" s="169" t="e">
        <f ca="1">IF(C386="","",ROW(行数!A378))</f>
        <v>#NAME?</v>
      </c>
      <c r="B386" s="168" t="e">
        <f t="shared" ca="1" si="38"/>
        <v>#NAME?</v>
      </c>
      <c r="C386" s="90" t="e">
        <f ca="1">[0]!CSVVLookUP(ROW(行数!A378),配列!$C$4,集計記録,3,1)</f>
        <v>#NAME?</v>
      </c>
      <c r="D386" s="90" t="e">
        <f ca="1">[0]!CSVVLookUP(ROW(行数!B378),配列!$C$4,集計記録,4,1)</f>
        <v>#NAME?</v>
      </c>
      <c r="E386" s="118" t="e">
        <f t="shared" ca="1" si="39"/>
        <v>#NAME?</v>
      </c>
      <c r="F386" s="118" t="e">
        <f t="shared" ca="1" si="40"/>
        <v>#NAME?</v>
      </c>
      <c r="G386" s="103" t="e">
        <f t="shared" ca="1" si="41"/>
        <v>#NAME?</v>
      </c>
      <c r="H386" s="104" t="e">
        <f ca="1">IF(C386="","",MROUND([0]!CSVVLookUP(ROW(行数!A378),配列!$C$4,集計記録,8,1),"0:01"))</f>
        <v>#NAME?</v>
      </c>
      <c r="I386" s="104" t="e">
        <f t="shared" ca="1" si="42"/>
        <v>#NAME?</v>
      </c>
      <c r="J386" s="119" t="e">
        <f ca="1">IF(C386="","",MROUND([0]!CSVVLookUP(ROW(行数!A378),配列!$C$4,集計記録,7,1),"0:01"))</f>
        <v>#NAME?</v>
      </c>
      <c r="K386" s="92" t="e">
        <f ca="1">IF(C386="","",[0]!CSVVLookUP(ROW(行数!A378),配列!$C$4,集計記録,5,1))</f>
        <v>#NAME?</v>
      </c>
      <c r="L386" s="104" t="e">
        <f t="shared" ca="1" si="43"/>
        <v>#NAME?</v>
      </c>
      <c r="M386" s="120" t="e">
        <f t="shared" ca="1" si="37"/>
        <v>#NAME?</v>
      </c>
      <c r="N386" s="120" t="e">
        <f ca="1">IF([0]!CSVVLookUP(ROW(行数!A378),配列!$C$4,集計記録,6,1)=0,"",[0]!CSVVLookUP(ROW(行数!A378),配列!$C$4,集計記録,6,1))</f>
        <v>#NAME?</v>
      </c>
      <c r="O386" s="88" t="e">
        <f ca="1">IF(INDIRECT("M"&amp;ROW()-1)&lt;&gt;INDIRECT("M"&amp;ROW()),リスト!$I$5,"")</f>
        <v>#NAME?</v>
      </c>
      <c r="P386" s="88" t="e">
        <f ca="1">IF(INDIRECT("M"&amp;ROW())&lt;&gt;INDIRECT("M"&amp;ROW()+1),リスト!$I$6,"")</f>
        <v>#NAME?</v>
      </c>
    </row>
    <row r="387" spans="1:16" x14ac:dyDescent="0.2">
      <c r="A387" s="169" t="e">
        <f ca="1">IF(C387="","",ROW(行数!A379))</f>
        <v>#NAME?</v>
      </c>
      <c r="B387" s="168" t="e">
        <f t="shared" ca="1" si="38"/>
        <v>#NAME?</v>
      </c>
      <c r="C387" s="90" t="e">
        <f ca="1">[0]!CSVVLookUP(ROW(行数!A379),配列!$C$4,集計記録,3,1)</f>
        <v>#NAME?</v>
      </c>
      <c r="D387" s="90" t="e">
        <f ca="1">[0]!CSVVLookUP(ROW(行数!B379),配列!$C$4,集計記録,4,1)</f>
        <v>#NAME?</v>
      </c>
      <c r="E387" s="118" t="e">
        <f t="shared" ca="1" si="39"/>
        <v>#NAME?</v>
      </c>
      <c r="F387" s="118" t="e">
        <f t="shared" ca="1" si="40"/>
        <v>#NAME?</v>
      </c>
      <c r="G387" s="103" t="e">
        <f t="shared" ca="1" si="41"/>
        <v>#NAME?</v>
      </c>
      <c r="H387" s="104" t="e">
        <f ca="1">IF(C387="","",MROUND([0]!CSVVLookUP(ROW(行数!A379),配列!$C$4,集計記録,8,1),"0:01"))</f>
        <v>#NAME?</v>
      </c>
      <c r="I387" s="104" t="e">
        <f t="shared" ca="1" si="42"/>
        <v>#NAME?</v>
      </c>
      <c r="J387" s="119" t="e">
        <f ca="1">IF(C387="","",MROUND([0]!CSVVLookUP(ROW(行数!A379),配列!$C$4,集計記録,7,1),"0:01"))</f>
        <v>#NAME?</v>
      </c>
      <c r="K387" s="92" t="e">
        <f ca="1">IF(C387="","",[0]!CSVVLookUP(ROW(行数!A379),配列!$C$4,集計記録,5,1))</f>
        <v>#NAME?</v>
      </c>
      <c r="L387" s="104" t="e">
        <f t="shared" ca="1" si="43"/>
        <v>#NAME?</v>
      </c>
      <c r="M387" s="120" t="e">
        <f t="shared" ca="1" si="37"/>
        <v>#NAME?</v>
      </c>
      <c r="N387" s="120" t="e">
        <f ca="1">IF([0]!CSVVLookUP(ROW(行数!A379),配列!$C$4,集計記録,6,1)=0,"",[0]!CSVVLookUP(ROW(行数!A379),配列!$C$4,集計記録,6,1))</f>
        <v>#NAME?</v>
      </c>
      <c r="O387" s="88" t="e">
        <f ca="1">IF(INDIRECT("M"&amp;ROW()-1)&lt;&gt;INDIRECT("M"&amp;ROW()),リスト!$I$5,"")</f>
        <v>#NAME?</v>
      </c>
      <c r="P387" s="88" t="e">
        <f ca="1">IF(INDIRECT("M"&amp;ROW())&lt;&gt;INDIRECT("M"&amp;ROW()+1),リスト!$I$6,"")</f>
        <v>#NAME?</v>
      </c>
    </row>
    <row r="388" spans="1:16" x14ac:dyDescent="0.2">
      <c r="A388" s="169" t="e">
        <f ca="1">IF(C388="","",ROW(行数!A380))</f>
        <v>#NAME?</v>
      </c>
      <c r="B388" s="168" t="e">
        <f t="shared" ca="1" si="38"/>
        <v>#NAME?</v>
      </c>
      <c r="C388" s="90" t="e">
        <f ca="1">[0]!CSVVLookUP(ROW(行数!A380),配列!$C$4,集計記録,3,1)</f>
        <v>#NAME?</v>
      </c>
      <c r="D388" s="90" t="e">
        <f ca="1">[0]!CSVVLookUP(ROW(行数!B380),配列!$C$4,集計記録,4,1)</f>
        <v>#NAME?</v>
      </c>
      <c r="E388" s="118" t="e">
        <f t="shared" ca="1" si="39"/>
        <v>#NAME?</v>
      </c>
      <c r="F388" s="118" t="e">
        <f t="shared" ca="1" si="40"/>
        <v>#NAME?</v>
      </c>
      <c r="G388" s="103" t="e">
        <f t="shared" ca="1" si="41"/>
        <v>#NAME?</v>
      </c>
      <c r="H388" s="104" t="e">
        <f ca="1">IF(C388="","",MROUND([0]!CSVVLookUP(ROW(行数!A380),配列!$C$4,集計記録,8,1),"0:01"))</f>
        <v>#NAME?</v>
      </c>
      <c r="I388" s="104" t="e">
        <f t="shared" ca="1" si="42"/>
        <v>#NAME?</v>
      </c>
      <c r="J388" s="119" t="e">
        <f ca="1">IF(C388="","",MROUND([0]!CSVVLookUP(ROW(行数!A380),配列!$C$4,集計記録,7,1),"0:01"))</f>
        <v>#NAME?</v>
      </c>
      <c r="K388" s="92" t="e">
        <f ca="1">IF(C388="","",[0]!CSVVLookUP(ROW(行数!A380),配列!$C$4,集計記録,5,1))</f>
        <v>#NAME?</v>
      </c>
      <c r="L388" s="104" t="e">
        <f t="shared" ca="1" si="43"/>
        <v>#NAME?</v>
      </c>
      <c r="M388" s="120" t="e">
        <f t="shared" ca="1" si="37"/>
        <v>#NAME?</v>
      </c>
      <c r="N388" s="120" t="e">
        <f ca="1">IF([0]!CSVVLookUP(ROW(行数!A380),配列!$C$4,集計記録,6,1)=0,"",[0]!CSVVLookUP(ROW(行数!A380),配列!$C$4,集計記録,6,1))</f>
        <v>#NAME?</v>
      </c>
      <c r="O388" s="88" t="e">
        <f ca="1">IF(INDIRECT("M"&amp;ROW()-1)&lt;&gt;INDIRECT("M"&amp;ROW()),リスト!$I$5,"")</f>
        <v>#NAME?</v>
      </c>
      <c r="P388" s="88" t="e">
        <f ca="1">IF(INDIRECT("M"&amp;ROW())&lt;&gt;INDIRECT("M"&amp;ROW()+1),リスト!$I$6,"")</f>
        <v>#NAME?</v>
      </c>
    </row>
    <row r="389" spans="1:16" x14ac:dyDescent="0.2">
      <c r="A389" s="169" t="e">
        <f ca="1">IF(C389="","",ROW(行数!A381))</f>
        <v>#NAME?</v>
      </c>
      <c r="B389" s="168" t="e">
        <f t="shared" ca="1" si="38"/>
        <v>#NAME?</v>
      </c>
      <c r="C389" s="90" t="e">
        <f ca="1">[0]!CSVVLookUP(ROW(行数!A381),配列!$C$4,集計記録,3,1)</f>
        <v>#NAME?</v>
      </c>
      <c r="D389" s="90" t="e">
        <f ca="1">[0]!CSVVLookUP(ROW(行数!B381),配列!$C$4,集計記録,4,1)</f>
        <v>#NAME?</v>
      </c>
      <c r="E389" s="118" t="e">
        <f t="shared" ca="1" si="39"/>
        <v>#NAME?</v>
      </c>
      <c r="F389" s="118" t="e">
        <f t="shared" ca="1" si="40"/>
        <v>#NAME?</v>
      </c>
      <c r="G389" s="103" t="e">
        <f t="shared" ca="1" si="41"/>
        <v>#NAME?</v>
      </c>
      <c r="H389" s="104" t="e">
        <f ca="1">IF(C389="","",MROUND([0]!CSVVLookUP(ROW(行数!A381),配列!$C$4,集計記録,8,1),"0:01"))</f>
        <v>#NAME?</v>
      </c>
      <c r="I389" s="104" t="e">
        <f t="shared" ca="1" si="42"/>
        <v>#NAME?</v>
      </c>
      <c r="J389" s="119" t="e">
        <f ca="1">IF(C389="","",MROUND([0]!CSVVLookUP(ROW(行数!A381),配列!$C$4,集計記録,7,1),"0:01"))</f>
        <v>#NAME?</v>
      </c>
      <c r="K389" s="92" t="e">
        <f ca="1">IF(C389="","",[0]!CSVVLookUP(ROW(行数!A381),配列!$C$4,集計記録,5,1))</f>
        <v>#NAME?</v>
      </c>
      <c r="L389" s="104" t="e">
        <f t="shared" ca="1" si="43"/>
        <v>#NAME?</v>
      </c>
      <c r="M389" s="120" t="e">
        <f t="shared" ca="1" si="37"/>
        <v>#NAME?</v>
      </c>
      <c r="N389" s="120" t="e">
        <f ca="1">IF([0]!CSVVLookUP(ROW(行数!A381),配列!$C$4,集計記録,6,1)=0,"",[0]!CSVVLookUP(ROW(行数!A381),配列!$C$4,集計記録,6,1))</f>
        <v>#NAME?</v>
      </c>
      <c r="O389" s="88" t="e">
        <f ca="1">IF(INDIRECT("M"&amp;ROW()-1)&lt;&gt;INDIRECT("M"&amp;ROW()),リスト!$I$5,"")</f>
        <v>#NAME?</v>
      </c>
      <c r="P389" s="88" t="e">
        <f ca="1">IF(INDIRECT("M"&amp;ROW())&lt;&gt;INDIRECT("M"&amp;ROW()+1),リスト!$I$6,"")</f>
        <v>#NAME?</v>
      </c>
    </row>
    <row r="390" spans="1:16" x14ac:dyDescent="0.2">
      <c r="A390" s="169" t="e">
        <f ca="1">IF(C390="","",ROW(行数!A382))</f>
        <v>#NAME?</v>
      </c>
      <c r="B390" s="168" t="e">
        <f t="shared" ca="1" si="38"/>
        <v>#NAME?</v>
      </c>
      <c r="C390" s="90" t="e">
        <f ca="1">[0]!CSVVLookUP(ROW(行数!A382),配列!$C$4,集計記録,3,1)</f>
        <v>#NAME?</v>
      </c>
      <c r="D390" s="90" t="e">
        <f ca="1">[0]!CSVVLookUP(ROW(行数!B382),配列!$C$4,集計記録,4,1)</f>
        <v>#NAME?</v>
      </c>
      <c r="E390" s="118" t="e">
        <f t="shared" ca="1" si="39"/>
        <v>#NAME?</v>
      </c>
      <c r="F390" s="118" t="e">
        <f t="shared" ca="1" si="40"/>
        <v>#NAME?</v>
      </c>
      <c r="G390" s="103" t="e">
        <f t="shared" ca="1" si="41"/>
        <v>#NAME?</v>
      </c>
      <c r="H390" s="104" t="e">
        <f ca="1">IF(C390="","",MROUND([0]!CSVVLookUP(ROW(行数!A382),配列!$C$4,集計記録,8,1),"0:01"))</f>
        <v>#NAME?</v>
      </c>
      <c r="I390" s="104" t="e">
        <f t="shared" ca="1" si="42"/>
        <v>#NAME?</v>
      </c>
      <c r="J390" s="119" t="e">
        <f ca="1">IF(C390="","",MROUND([0]!CSVVLookUP(ROW(行数!A382),配列!$C$4,集計記録,7,1),"0:01"))</f>
        <v>#NAME?</v>
      </c>
      <c r="K390" s="92" t="e">
        <f ca="1">IF(C390="","",[0]!CSVVLookUP(ROW(行数!A382),配列!$C$4,集計記録,5,1))</f>
        <v>#NAME?</v>
      </c>
      <c r="L390" s="104" t="e">
        <f t="shared" ca="1" si="43"/>
        <v>#NAME?</v>
      </c>
      <c r="M390" s="120" t="e">
        <f t="shared" ca="1" si="37"/>
        <v>#NAME?</v>
      </c>
      <c r="N390" s="120" t="e">
        <f ca="1">IF([0]!CSVVLookUP(ROW(行数!A382),配列!$C$4,集計記録,6,1)=0,"",[0]!CSVVLookUP(ROW(行数!A382),配列!$C$4,集計記録,6,1))</f>
        <v>#NAME?</v>
      </c>
      <c r="O390" s="88" t="e">
        <f ca="1">IF(INDIRECT("M"&amp;ROW()-1)&lt;&gt;INDIRECT("M"&amp;ROW()),リスト!$I$5,"")</f>
        <v>#NAME?</v>
      </c>
      <c r="P390" s="88" t="e">
        <f ca="1">IF(INDIRECT("M"&amp;ROW())&lt;&gt;INDIRECT("M"&amp;ROW()+1),リスト!$I$6,"")</f>
        <v>#NAME?</v>
      </c>
    </row>
    <row r="391" spans="1:16" x14ac:dyDescent="0.2">
      <c r="A391" s="169" t="e">
        <f ca="1">IF(C391="","",ROW(行数!A383))</f>
        <v>#NAME?</v>
      </c>
      <c r="B391" s="168" t="e">
        <f t="shared" ca="1" si="38"/>
        <v>#NAME?</v>
      </c>
      <c r="C391" s="90" t="e">
        <f ca="1">[0]!CSVVLookUP(ROW(行数!A383),配列!$C$4,集計記録,3,1)</f>
        <v>#NAME?</v>
      </c>
      <c r="D391" s="90" t="e">
        <f ca="1">[0]!CSVVLookUP(ROW(行数!B383),配列!$C$4,集計記録,4,1)</f>
        <v>#NAME?</v>
      </c>
      <c r="E391" s="118" t="e">
        <f t="shared" ca="1" si="39"/>
        <v>#NAME?</v>
      </c>
      <c r="F391" s="118" t="e">
        <f t="shared" ca="1" si="40"/>
        <v>#NAME?</v>
      </c>
      <c r="G391" s="103" t="e">
        <f t="shared" ca="1" si="41"/>
        <v>#NAME?</v>
      </c>
      <c r="H391" s="104" t="e">
        <f ca="1">IF(C391="","",MROUND([0]!CSVVLookUP(ROW(行数!A383),配列!$C$4,集計記録,8,1),"0:01"))</f>
        <v>#NAME?</v>
      </c>
      <c r="I391" s="104" t="e">
        <f t="shared" ca="1" si="42"/>
        <v>#NAME?</v>
      </c>
      <c r="J391" s="119" t="e">
        <f ca="1">IF(C391="","",MROUND([0]!CSVVLookUP(ROW(行数!A383),配列!$C$4,集計記録,7,1),"0:01"))</f>
        <v>#NAME?</v>
      </c>
      <c r="K391" s="92" t="e">
        <f ca="1">IF(C391="","",[0]!CSVVLookUP(ROW(行数!A383),配列!$C$4,集計記録,5,1))</f>
        <v>#NAME?</v>
      </c>
      <c r="L391" s="104" t="e">
        <f t="shared" ca="1" si="43"/>
        <v>#NAME?</v>
      </c>
      <c r="M391" s="120" t="e">
        <f t="shared" ca="1" si="37"/>
        <v>#NAME?</v>
      </c>
      <c r="N391" s="120" t="e">
        <f ca="1">IF([0]!CSVVLookUP(ROW(行数!A383),配列!$C$4,集計記録,6,1)=0,"",[0]!CSVVLookUP(ROW(行数!A383),配列!$C$4,集計記録,6,1))</f>
        <v>#NAME?</v>
      </c>
      <c r="O391" s="88" t="e">
        <f ca="1">IF(INDIRECT("M"&amp;ROW()-1)&lt;&gt;INDIRECT("M"&amp;ROW()),リスト!$I$5,"")</f>
        <v>#NAME?</v>
      </c>
      <c r="P391" s="88" t="e">
        <f ca="1">IF(INDIRECT("M"&amp;ROW())&lt;&gt;INDIRECT("M"&amp;ROW()+1),リスト!$I$6,"")</f>
        <v>#NAME?</v>
      </c>
    </row>
    <row r="392" spans="1:16" x14ac:dyDescent="0.2">
      <c r="A392" s="169" t="e">
        <f ca="1">IF(C392="","",ROW(行数!A384))</f>
        <v>#NAME?</v>
      </c>
      <c r="B392" s="168" t="e">
        <f t="shared" ca="1" si="38"/>
        <v>#NAME?</v>
      </c>
      <c r="C392" s="90" t="e">
        <f ca="1">[0]!CSVVLookUP(ROW(行数!A384),配列!$C$4,集計記録,3,1)</f>
        <v>#NAME?</v>
      </c>
      <c r="D392" s="90" t="e">
        <f ca="1">[0]!CSVVLookUP(ROW(行数!B384),配列!$C$4,集計記録,4,1)</f>
        <v>#NAME?</v>
      </c>
      <c r="E392" s="118" t="e">
        <f t="shared" ca="1" si="39"/>
        <v>#NAME?</v>
      </c>
      <c r="F392" s="118" t="e">
        <f t="shared" ca="1" si="40"/>
        <v>#NAME?</v>
      </c>
      <c r="G392" s="103" t="e">
        <f t="shared" ca="1" si="41"/>
        <v>#NAME?</v>
      </c>
      <c r="H392" s="104" t="e">
        <f ca="1">IF(C392="","",MROUND([0]!CSVVLookUP(ROW(行数!A384),配列!$C$4,集計記録,8,1),"0:01"))</f>
        <v>#NAME?</v>
      </c>
      <c r="I392" s="104" t="e">
        <f t="shared" ca="1" si="42"/>
        <v>#NAME?</v>
      </c>
      <c r="J392" s="119" t="e">
        <f ca="1">IF(C392="","",MROUND([0]!CSVVLookUP(ROW(行数!A384),配列!$C$4,集計記録,7,1),"0:01"))</f>
        <v>#NAME?</v>
      </c>
      <c r="K392" s="92" t="e">
        <f ca="1">IF(C392="","",[0]!CSVVLookUP(ROW(行数!A384),配列!$C$4,集計記録,5,1))</f>
        <v>#NAME?</v>
      </c>
      <c r="L392" s="104" t="e">
        <f t="shared" ca="1" si="43"/>
        <v>#NAME?</v>
      </c>
      <c r="M392" s="120" t="e">
        <f t="shared" ca="1" si="37"/>
        <v>#NAME?</v>
      </c>
      <c r="N392" s="120" t="e">
        <f ca="1">IF([0]!CSVVLookUP(ROW(行数!A384),配列!$C$4,集計記録,6,1)=0,"",[0]!CSVVLookUP(ROW(行数!A384),配列!$C$4,集計記録,6,1))</f>
        <v>#NAME?</v>
      </c>
      <c r="O392" s="88" t="e">
        <f ca="1">IF(INDIRECT("M"&amp;ROW()-1)&lt;&gt;INDIRECT("M"&amp;ROW()),リスト!$I$5,"")</f>
        <v>#NAME?</v>
      </c>
      <c r="P392" s="88" t="e">
        <f ca="1">IF(INDIRECT("M"&amp;ROW())&lt;&gt;INDIRECT("M"&amp;ROW()+1),リスト!$I$6,"")</f>
        <v>#NAME?</v>
      </c>
    </row>
    <row r="393" spans="1:16" x14ac:dyDescent="0.2">
      <c r="A393" s="169" t="e">
        <f ca="1">IF(C393="","",ROW(行数!A385))</f>
        <v>#NAME?</v>
      </c>
      <c r="B393" s="168" t="e">
        <f t="shared" ca="1" si="38"/>
        <v>#NAME?</v>
      </c>
      <c r="C393" s="90" t="e">
        <f ca="1">[0]!CSVVLookUP(ROW(行数!A385),配列!$C$4,集計記録,3,1)</f>
        <v>#NAME?</v>
      </c>
      <c r="D393" s="90" t="e">
        <f ca="1">[0]!CSVVLookUP(ROW(行数!B385),配列!$C$4,集計記録,4,1)</f>
        <v>#NAME?</v>
      </c>
      <c r="E393" s="118" t="e">
        <f t="shared" ca="1" si="39"/>
        <v>#NAME?</v>
      </c>
      <c r="F393" s="118" t="e">
        <f t="shared" ca="1" si="40"/>
        <v>#NAME?</v>
      </c>
      <c r="G393" s="103" t="e">
        <f t="shared" ca="1" si="41"/>
        <v>#NAME?</v>
      </c>
      <c r="H393" s="104" t="e">
        <f ca="1">IF(C393="","",MROUND([0]!CSVVLookUP(ROW(行数!A385),配列!$C$4,集計記録,8,1),"0:01"))</f>
        <v>#NAME?</v>
      </c>
      <c r="I393" s="104" t="e">
        <f t="shared" ca="1" si="42"/>
        <v>#NAME?</v>
      </c>
      <c r="J393" s="119" t="e">
        <f ca="1">IF(C393="","",MROUND([0]!CSVVLookUP(ROW(行数!A385),配列!$C$4,集計記録,7,1),"0:01"))</f>
        <v>#NAME?</v>
      </c>
      <c r="K393" s="92" t="e">
        <f ca="1">IF(C393="","",[0]!CSVVLookUP(ROW(行数!A385),配列!$C$4,集計記録,5,1))</f>
        <v>#NAME?</v>
      </c>
      <c r="L393" s="104" t="e">
        <f t="shared" ca="1" si="43"/>
        <v>#NAME?</v>
      </c>
      <c r="M393" s="120" t="e">
        <f t="shared" ref="M393:M456" ca="1" si="44">IF(C393="","",VLOOKUP(C393,運転条件判定,13,1))</f>
        <v>#NAME?</v>
      </c>
      <c r="N393" s="120" t="e">
        <f ca="1">IF([0]!CSVVLookUP(ROW(行数!A385),配列!$C$4,集計記録,6,1)=0,"",[0]!CSVVLookUP(ROW(行数!A385),配列!$C$4,集計記録,6,1))</f>
        <v>#NAME?</v>
      </c>
      <c r="O393" s="88" t="e">
        <f ca="1">IF(INDIRECT("M"&amp;ROW()-1)&lt;&gt;INDIRECT("M"&amp;ROW()),リスト!$I$5,"")</f>
        <v>#NAME?</v>
      </c>
      <c r="P393" s="88" t="e">
        <f ca="1">IF(INDIRECT("M"&amp;ROW())&lt;&gt;INDIRECT("M"&amp;ROW()+1),リスト!$I$6,"")</f>
        <v>#NAME?</v>
      </c>
    </row>
    <row r="394" spans="1:16" x14ac:dyDescent="0.2">
      <c r="A394" s="169" t="e">
        <f ca="1">IF(C394="","",ROW(行数!A386))</f>
        <v>#NAME?</v>
      </c>
      <c r="B394" s="168" t="e">
        <f t="shared" ref="B394:B457" ca="1" si="45">IF(C394="","",VLOOKUP(C394,ユニット判定用,3))</f>
        <v>#NAME?</v>
      </c>
      <c r="C394" s="90" t="e">
        <f ca="1">[0]!CSVVLookUP(ROW(行数!A386),配列!$C$4,集計記録,3,1)</f>
        <v>#NAME?</v>
      </c>
      <c r="D394" s="90" t="e">
        <f ca="1">[0]!CSVVLookUP(ROW(行数!B386),配列!$C$4,集計記録,4,1)</f>
        <v>#NAME?</v>
      </c>
      <c r="E394" s="118" t="e">
        <f t="shared" ref="E394:E457" ca="1" si="46">IF(C394="","",D394-C394)</f>
        <v>#NAME?</v>
      </c>
      <c r="F394" s="118" t="e">
        <f t="shared" ref="F394:F457" ca="1" si="47">IF(C394="","",E394-H394-I394)</f>
        <v>#NAME?</v>
      </c>
      <c r="G394" s="103" t="e">
        <f t="shared" ref="G394:G457" ca="1" si="48">IF(C394="","",F394/E394)</f>
        <v>#NAME?</v>
      </c>
      <c r="H394" s="104" t="e">
        <f ca="1">IF(C394="","",MROUND([0]!CSVVLookUP(ROW(行数!A386),配列!$C$4,集計記録,8,1),"0:01"))</f>
        <v>#NAME?</v>
      </c>
      <c r="I394" s="104" t="e">
        <f t="shared" ref="I394:I457" ca="1" si="49">IF(C394="","",MROUND(J394-H394,"0:01"))</f>
        <v>#NAME?</v>
      </c>
      <c r="J394" s="119" t="e">
        <f ca="1">IF(C394="","",MROUND([0]!CSVVLookUP(ROW(行数!A386),配列!$C$4,集計記録,7,1),"0:01"))</f>
        <v>#NAME?</v>
      </c>
      <c r="K394" s="92" t="e">
        <f ca="1">IF(C394="","",[0]!CSVVLookUP(ROW(行数!A386),配列!$C$4,集計記録,5,1))</f>
        <v>#NAME?</v>
      </c>
      <c r="L394" s="104" t="e">
        <f t="shared" ref="L394:L457" ca="1" si="50">IF(C394="","",MROUND(E394/(K394+1),"00:01"))</f>
        <v>#NAME?</v>
      </c>
      <c r="M394" s="120" t="e">
        <f t="shared" ca="1" si="44"/>
        <v>#NAME?</v>
      </c>
      <c r="N394" s="120" t="e">
        <f ca="1">IF([0]!CSVVLookUP(ROW(行数!A386),配列!$C$4,集計記録,6,1)=0,"",[0]!CSVVLookUP(ROW(行数!A386),配列!$C$4,集計記録,6,1))</f>
        <v>#NAME?</v>
      </c>
      <c r="O394" s="88" t="e">
        <f ca="1">IF(INDIRECT("M"&amp;ROW()-1)&lt;&gt;INDIRECT("M"&amp;ROW()),リスト!$I$5,"")</f>
        <v>#NAME?</v>
      </c>
      <c r="P394" s="88" t="e">
        <f ca="1">IF(INDIRECT("M"&amp;ROW())&lt;&gt;INDIRECT("M"&amp;ROW()+1),リスト!$I$6,"")</f>
        <v>#NAME?</v>
      </c>
    </row>
    <row r="395" spans="1:16" x14ac:dyDescent="0.2">
      <c r="A395" s="169" t="e">
        <f ca="1">IF(C395="","",ROW(行数!A387))</f>
        <v>#NAME?</v>
      </c>
      <c r="B395" s="168" t="e">
        <f t="shared" ca="1" si="45"/>
        <v>#NAME?</v>
      </c>
      <c r="C395" s="90" t="e">
        <f ca="1">[0]!CSVVLookUP(ROW(行数!A387),配列!$C$4,集計記録,3,1)</f>
        <v>#NAME?</v>
      </c>
      <c r="D395" s="90" t="e">
        <f ca="1">[0]!CSVVLookUP(ROW(行数!B387),配列!$C$4,集計記録,4,1)</f>
        <v>#NAME?</v>
      </c>
      <c r="E395" s="118" t="e">
        <f t="shared" ca="1" si="46"/>
        <v>#NAME?</v>
      </c>
      <c r="F395" s="118" t="e">
        <f t="shared" ca="1" si="47"/>
        <v>#NAME?</v>
      </c>
      <c r="G395" s="103" t="e">
        <f t="shared" ca="1" si="48"/>
        <v>#NAME?</v>
      </c>
      <c r="H395" s="104" t="e">
        <f ca="1">IF(C395="","",MROUND([0]!CSVVLookUP(ROW(行数!A387),配列!$C$4,集計記録,8,1),"0:01"))</f>
        <v>#NAME?</v>
      </c>
      <c r="I395" s="104" t="e">
        <f t="shared" ca="1" si="49"/>
        <v>#NAME?</v>
      </c>
      <c r="J395" s="119" t="e">
        <f ca="1">IF(C395="","",MROUND([0]!CSVVLookUP(ROW(行数!A387),配列!$C$4,集計記録,7,1),"0:01"))</f>
        <v>#NAME?</v>
      </c>
      <c r="K395" s="92" t="e">
        <f ca="1">IF(C395="","",[0]!CSVVLookUP(ROW(行数!A387),配列!$C$4,集計記録,5,1))</f>
        <v>#NAME?</v>
      </c>
      <c r="L395" s="104" t="e">
        <f t="shared" ca="1" si="50"/>
        <v>#NAME?</v>
      </c>
      <c r="M395" s="120" t="e">
        <f t="shared" ca="1" si="44"/>
        <v>#NAME?</v>
      </c>
      <c r="N395" s="120" t="e">
        <f ca="1">IF([0]!CSVVLookUP(ROW(行数!A387),配列!$C$4,集計記録,6,1)=0,"",[0]!CSVVLookUP(ROW(行数!A387),配列!$C$4,集計記録,6,1))</f>
        <v>#NAME?</v>
      </c>
      <c r="O395" s="88" t="e">
        <f ca="1">IF(INDIRECT("M"&amp;ROW()-1)&lt;&gt;INDIRECT("M"&amp;ROW()),リスト!$I$5,"")</f>
        <v>#NAME?</v>
      </c>
      <c r="P395" s="88" t="e">
        <f ca="1">IF(INDIRECT("M"&amp;ROW())&lt;&gt;INDIRECT("M"&amp;ROW()+1),リスト!$I$6,"")</f>
        <v>#NAME?</v>
      </c>
    </row>
    <row r="396" spans="1:16" x14ac:dyDescent="0.2">
      <c r="A396" s="169" t="e">
        <f ca="1">IF(C396="","",ROW(行数!A388))</f>
        <v>#NAME?</v>
      </c>
      <c r="B396" s="168" t="e">
        <f t="shared" ca="1" si="45"/>
        <v>#NAME?</v>
      </c>
      <c r="C396" s="90" t="e">
        <f ca="1">[0]!CSVVLookUP(ROW(行数!A388),配列!$C$4,集計記録,3,1)</f>
        <v>#NAME?</v>
      </c>
      <c r="D396" s="90" t="e">
        <f ca="1">[0]!CSVVLookUP(ROW(行数!B388),配列!$C$4,集計記録,4,1)</f>
        <v>#NAME?</v>
      </c>
      <c r="E396" s="118" t="e">
        <f t="shared" ca="1" si="46"/>
        <v>#NAME?</v>
      </c>
      <c r="F396" s="118" t="e">
        <f t="shared" ca="1" si="47"/>
        <v>#NAME?</v>
      </c>
      <c r="G396" s="103" t="e">
        <f t="shared" ca="1" si="48"/>
        <v>#NAME?</v>
      </c>
      <c r="H396" s="104" t="e">
        <f ca="1">IF(C396="","",MROUND([0]!CSVVLookUP(ROW(行数!A388),配列!$C$4,集計記録,8,1),"0:01"))</f>
        <v>#NAME?</v>
      </c>
      <c r="I396" s="104" t="e">
        <f t="shared" ca="1" si="49"/>
        <v>#NAME?</v>
      </c>
      <c r="J396" s="119" t="e">
        <f ca="1">IF(C396="","",MROUND([0]!CSVVLookUP(ROW(行数!A388),配列!$C$4,集計記録,7,1),"0:01"))</f>
        <v>#NAME?</v>
      </c>
      <c r="K396" s="92" t="e">
        <f ca="1">IF(C396="","",[0]!CSVVLookUP(ROW(行数!A388),配列!$C$4,集計記録,5,1))</f>
        <v>#NAME?</v>
      </c>
      <c r="L396" s="104" t="e">
        <f t="shared" ca="1" si="50"/>
        <v>#NAME?</v>
      </c>
      <c r="M396" s="120" t="e">
        <f t="shared" ca="1" si="44"/>
        <v>#NAME?</v>
      </c>
      <c r="N396" s="120" t="e">
        <f ca="1">IF([0]!CSVVLookUP(ROW(行数!A388),配列!$C$4,集計記録,6,1)=0,"",[0]!CSVVLookUP(ROW(行数!A388),配列!$C$4,集計記録,6,1))</f>
        <v>#NAME?</v>
      </c>
      <c r="O396" s="88" t="e">
        <f ca="1">IF(INDIRECT("M"&amp;ROW()-1)&lt;&gt;INDIRECT("M"&amp;ROW()),リスト!$I$5,"")</f>
        <v>#NAME?</v>
      </c>
      <c r="P396" s="88" t="e">
        <f ca="1">IF(INDIRECT("M"&amp;ROW())&lt;&gt;INDIRECT("M"&amp;ROW()+1),リスト!$I$6,"")</f>
        <v>#NAME?</v>
      </c>
    </row>
    <row r="397" spans="1:16" x14ac:dyDescent="0.2">
      <c r="A397" s="169" t="e">
        <f ca="1">IF(C397="","",ROW(行数!A389))</f>
        <v>#NAME?</v>
      </c>
      <c r="B397" s="168" t="e">
        <f t="shared" ca="1" si="45"/>
        <v>#NAME?</v>
      </c>
      <c r="C397" s="90" t="e">
        <f ca="1">[0]!CSVVLookUP(ROW(行数!A389),配列!$C$4,集計記録,3,1)</f>
        <v>#NAME?</v>
      </c>
      <c r="D397" s="90" t="e">
        <f ca="1">[0]!CSVVLookUP(ROW(行数!B389),配列!$C$4,集計記録,4,1)</f>
        <v>#NAME?</v>
      </c>
      <c r="E397" s="118" t="e">
        <f t="shared" ca="1" si="46"/>
        <v>#NAME?</v>
      </c>
      <c r="F397" s="118" t="e">
        <f t="shared" ca="1" si="47"/>
        <v>#NAME?</v>
      </c>
      <c r="G397" s="103" t="e">
        <f t="shared" ca="1" si="48"/>
        <v>#NAME?</v>
      </c>
      <c r="H397" s="104" t="e">
        <f ca="1">IF(C397="","",MROUND([0]!CSVVLookUP(ROW(行数!A389),配列!$C$4,集計記録,8,1),"0:01"))</f>
        <v>#NAME?</v>
      </c>
      <c r="I397" s="104" t="e">
        <f t="shared" ca="1" si="49"/>
        <v>#NAME?</v>
      </c>
      <c r="J397" s="119" t="e">
        <f ca="1">IF(C397="","",MROUND([0]!CSVVLookUP(ROW(行数!A389),配列!$C$4,集計記録,7,1),"0:01"))</f>
        <v>#NAME?</v>
      </c>
      <c r="K397" s="92" t="e">
        <f ca="1">IF(C397="","",[0]!CSVVLookUP(ROW(行数!A389),配列!$C$4,集計記録,5,1))</f>
        <v>#NAME?</v>
      </c>
      <c r="L397" s="104" t="e">
        <f t="shared" ca="1" si="50"/>
        <v>#NAME?</v>
      </c>
      <c r="M397" s="120" t="e">
        <f t="shared" ca="1" si="44"/>
        <v>#NAME?</v>
      </c>
      <c r="N397" s="120" t="e">
        <f ca="1">IF([0]!CSVVLookUP(ROW(行数!A389),配列!$C$4,集計記録,6,1)=0,"",[0]!CSVVLookUP(ROW(行数!A389),配列!$C$4,集計記録,6,1))</f>
        <v>#NAME?</v>
      </c>
      <c r="O397" s="88" t="e">
        <f ca="1">IF(INDIRECT("M"&amp;ROW()-1)&lt;&gt;INDIRECT("M"&amp;ROW()),リスト!$I$5,"")</f>
        <v>#NAME?</v>
      </c>
      <c r="P397" s="88" t="e">
        <f ca="1">IF(INDIRECT("M"&amp;ROW())&lt;&gt;INDIRECT("M"&amp;ROW()+1),リスト!$I$6,"")</f>
        <v>#NAME?</v>
      </c>
    </row>
    <row r="398" spans="1:16" x14ac:dyDescent="0.2">
      <c r="A398" s="169" t="e">
        <f ca="1">IF(C398="","",ROW(行数!A390))</f>
        <v>#NAME?</v>
      </c>
      <c r="B398" s="168" t="e">
        <f t="shared" ca="1" si="45"/>
        <v>#NAME?</v>
      </c>
      <c r="C398" s="90" t="e">
        <f ca="1">[0]!CSVVLookUP(ROW(行数!A390),配列!$C$4,集計記録,3,1)</f>
        <v>#NAME?</v>
      </c>
      <c r="D398" s="90" t="e">
        <f ca="1">[0]!CSVVLookUP(ROW(行数!B390),配列!$C$4,集計記録,4,1)</f>
        <v>#NAME?</v>
      </c>
      <c r="E398" s="118" t="e">
        <f t="shared" ca="1" si="46"/>
        <v>#NAME?</v>
      </c>
      <c r="F398" s="118" t="e">
        <f t="shared" ca="1" si="47"/>
        <v>#NAME?</v>
      </c>
      <c r="G398" s="103" t="e">
        <f t="shared" ca="1" si="48"/>
        <v>#NAME?</v>
      </c>
      <c r="H398" s="104" t="e">
        <f ca="1">IF(C398="","",MROUND([0]!CSVVLookUP(ROW(行数!A390),配列!$C$4,集計記録,8,1),"0:01"))</f>
        <v>#NAME?</v>
      </c>
      <c r="I398" s="104" t="e">
        <f t="shared" ca="1" si="49"/>
        <v>#NAME?</v>
      </c>
      <c r="J398" s="119" t="e">
        <f ca="1">IF(C398="","",MROUND([0]!CSVVLookUP(ROW(行数!A390),配列!$C$4,集計記録,7,1),"0:01"))</f>
        <v>#NAME?</v>
      </c>
      <c r="K398" s="92" t="e">
        <f ca="1">IF(C398="","",[0]!CSVVLookUP(ROW(行数!A390),配列!$C$4,集計記録,5,1))</f>
        <v>#NAME?</v>
      </c>
      <c r="L398" s="104" t="e">
        <f t="shared" ca="1" si="50"/>
        <v>#NAME?</v>
      </c>
      <c r="M398" s="120" t="e">
        <f t="shared" ca="1" si="44"/>
        <v>#NAME?</v>
      </c>
      <c r="N398" s="120" t="e">
        <f ca="1">IF([0]!CSVVLookUP(ROW(行数!A390),配列!$C$4,集計記録,6,1)=0,"",[0]!CSVVLookUP(ROW(行数!A390),配列!$C$4,集計記録,6,1))</f>
        <v>#NAME?</v>
      </c>
      <c r="O398" s="88" t="e">
        <f ca="1">IF(INDIRECT("M"&amp;ROW()-1)&lt;&gt;INDIRECT("M"&amp;ROW()),リスト!$I$5,"")</f>
        <v>#NAME?</v>
      </c>
      <c r="P398" s="88" t="e">
        <f ca="1">IF(INDIRECT("M"&amp;ROW())&lt;&gt;INDIRECT("M"&amp;ROW()+1),リスト!$I$6,"")</f>
        <v>#NAME?</v>
      </c>
    </row>
    <row r="399" spans="1:16" x14ac:dyDescent="0.2">
      <c r="A399" s="169" t="e">
        <f ca="1">IF(C399="","",ROW(行数!A391))</f>
        <v>#NAME?</v>
      </c>
      <c r="B399" s="168" t="e">
        <f t="shared" ca="1" si="45"/>
        <v>#NAME?</v>
      </c>
      <c r="C399" s="90" t="e">
        <f ca="1">[0]!CSVVLookUP(ROW(行数!A391),配列!$C$4,集計記録,3,1)</f>
        <v>#NAME?</v>
      </c>
      <c r="D399" s="90" t="e">
        <f ca="1">[0]!CSVVLookUP(ROW(行数!B391),配列!$C$4,集計記録,4,1)</f>
        <v>#NAME?</v>
      </c>
      <c r="E399" s="118" t="e">
        <f t="shared" ca="1" si="46"/>
        <v>#NAME?</v>
      </c>
      <c r="F399" s="118" t="e">
        <f t="shared" ca="1" si="47"/>
        <v>#NAME?</v>
      </c>
      <c r="G399" s="103" t="e">
        <f t="shared" ca="1" si="48"/>
        <v>#NAME?</v>
      </c>
      <c r="H399" s="104" t="e">
        <f ca="1">IF(C399="","",MROUND([0]!CSVVLookUP(ROW(行数!A391),配列!$C$4,集計記録,8,1),"0:01"))</f>
        <v>#NAME?</v>
      </c>
      <c r="I399" s="104" t="e">
        <f t="shared" ca="1" si="49"/>
        <v>#NAME?</v>
      </c>
      <c r="J399" s="119" t="e">
        <f ca="1">IF(C399="","",MROUND([0]!CSVVLookUP(ROW(行数!A391),配列!$C$4,集計記録,7,1),"0:01"))</f>
        <v>#NAME?</v>
      </c>
      <c r="K399" s="92" t="e">
        <f ca="1">IF(C399="","",[0]!CSVVLookUP(ROW(行数!A391),配列!$C$4,集計記録,5,1))</f>
        <v>#NAME?</v>
      </c>
      <c r="L399" s="104" t="e">
        <f t="shared" ca="1" si="50"/>
        <v>#NAME?</v>
      </c>
      <c r="M399" s="120" t="e">
        <f t="shared" ca="1" si="44"/>
        <v>#NAME?</v>
      </c>
      <c r="N399" s="120" t="e">
        <f ca="1">IF([0]!CSVVLookUP(ROW(行数!A391),配列!$C$4,集計記録,6,1)=0,"",[0]!CSVVLookUP(ROW(行数!A391),配列!$C$4,集計記録,6,1))</f>
        <v>#NAME?</v>
      </c>
      <c r="O399" s="88" t="e">
        <f ca="1">IF(INDIRECT("M"&amp;ROW()-1)&lt;&gt;INDIRECT("M"&amp;ROW()),リスト!$I$5,"")</f>
        <v>#NAME?</v>
      </c>
      <c r="P399" s="88" t="e">
        <f ca="1">IF(INDIRECT("M"&amp;ROW())&lt;&gt;INDIRECT("M"&amp;ROW()+1),リスト!$I$6,"")</f>
        <v>#NAME?</v>
      </c>
    </row>
    <row r="400" spans="1:16" x14ac:dyDescent="0.2">
      <c r="A400" s="169" t="e">
        <f ca="1">IF(C400="","",ROW(行数!A392))</f>
        <v>#NAME?</v>
      </c>
      <c r="B400" s="168" t="e">
        <f t="shared" ca="1" si="45"/>
        <v>#NAME?</v>
      </c>
      <c r="C400" s="90" t="e">
        <f ca="1">[0]!CSVVLookUP(ROW(行数!A392),配列!$C$4,集計記録,3,1)</f>
        <v>#NAME?</v>
      </c>
      <c r="D400" s="90" t="e">
        <f ca="1">[0]!CSVVLookUP(ROW(行数!B392),配列!$C$4,集計記録,4,1)</f>
        <v>#NAME?</v>
      </c>
      <c r="E400" s="118" t="e">
        <f t="shared" ca="1" si="46"/>
        <v>#NAME?</v>
      </c>
      <c r="F400" s="118" t="e">
        <f t="shared" ca="1" si="47"/>
        <v>#NAME?</v>
      </c>
      <c r="G400" s="103" t="e">
        <f t="shared" ca="1" si="48"/>
        <v>#NAME?</v>
      </c>
      <c r="H400" s="104" t="e">
        <f ca="1">IF(C400="","",MROUND([0]!CSVVLookUP(ROW(行数!A392),配列!$C$4,集計記録,8,1),"0:01"))</f>
        <v>#NAME?</v>
      </c>
      <c r="I400" s="104" t="e">
        <f t="shared" ca="1" si="49"/>
        <v>#NAME?</v>
      </c>
      <c r="J400" s="119" t="e">
        <f ca="1">IF(C400="","",MROUND([0]!CSVVLookUP(ROW(行数!A392),配列!$C$4,集計記録,7,1),"0:01"))</f>
        <v>#NAME?</v>
      </c>
      <c r="K400" s="92" t="e">
        <f ca="1">IF(C400="","",[0]!CSVVLookUP(ROW(行数!A392),配列!$C$4,集計記録,5,1))</f>
        <v>#NAME?</v>
      </c>
      <c r="L400" s="104" t="e">
        <f t="shared" ca="1" si="50"/>
        <v>#NAME?</v>
      </c>
      <c r="M400" s="120" t="e">
        <f t="shared" ca="1" si="44"/>
        <v>#NAME?</v>
      </c>
      <c r="N400" s="120" t="e">
        <f ca="1">IF([0]!CSVVLookUP(ROW(行数!A392),配列!$C$4,集計記録,6,1)=0,"",[0]!CSVVLookUP(ROW(行数!A392),配列!$C$4,集計記録,6,1))</f>
        <v>#NAME?</v>
      </c>
      <c r="O400" s="88" t="e">
        <f ca="1">IF(INDIRECT("M"&amp;ROW()-1)&lt;&gt;INDIRECT("M"&amp;ROW()),リスト!$I$5,"")</f>
        <v>#NAME?</v>
      </c>
      <c r="P400" s="88" t="e">
        <f ca="1">IF(INDIRECT("M"&amp;ROW())&lt;&gt;INDIRECT("M"&amp;ROW()+1),リスト!$I$6,"")</f>
        <v>#NAME?</v>
      </c>
    </row>
    <row r="401" spans="1:16" x14ac:dyDescent="0.2">
      <c r="A401" s="169" t="e">
        <f ca="1">IF(C401="","",ROW(行数!A393))</f>
        <v>#NAME?</v>
      </c>
      <c r="B401" s="168" t="e">
        <f t="shared" ca="1" si="45"/>
        <v>#NAME?</v>
      </c>
      <c r="C401" s="90" t="e">
        <f ca="1">[0]!CSVVLookUP(ROW(行数!A393),配列!$C$4,集計記録,3,1)</f>
        <v>#NAME?</v>
      </c>
      <c r="D401" s="90" t="e">
        <f ca="1">[0]!CSVVLookUP(ROW(行数!B393),配列!$C$4,集計記録,4,1)</f>
        <v>#NAME?</v>
      </c>
      <c r="E401" s="118" t="e">
        <f t="shared" ca="1" si="46"/>
        <v>#NAME?</v>
      </c>
      <c r="F401" s="118" t="e">
        <f t="shared" ca="1" si="47"/>
        <v>#NAME?</v>
      </c>
      <c r="G401" s="103" t="e">
        <f t="shared" ca="1" si="48"/>
        <v>#NAME?</v>
      </c>
      <c r="H401" s="104" t="e">
        <f ca="1">IF(C401="","",MROUND([0]!CSVVLookUP(ROW(行数!A393),配列!$C$4,集計記録,8,1),"0:01"))</f>
        <v>#NAME?</v>
      </c>
      <c r="I401" s="104" t="e">
        <f t="shared" ca="1" si="49"/>
        <v>#NAME?</v>
      </c>
      <c r="J401" s="119" t="e">
        <f ca="1">IF(C401="","",MROUND([0]!CSVVLookUP(ROW(行数!A393),配列!$C$4,集計記録,7,1),"0:01"))</f>
        <v>#NAME?</v>
      </c>
      <c r="K401" s="92" t="e">
        <f ca="1">IF(C401="","",[0]!CSVVLookUP(ROW(行数!A393),配列!$C$4,集計記録,5,1))</f>
        <v>#NAME?</v>
      </c>
      <c r="L401" s="104" t="e">
        <f t="shared" ca="1" si="50"/>
        <v>#NAME?</v>
      </c>
      <c r="M401" s="120" t="e">
        <f t="shared" ca="1" si="44"/>
        <v>#NAME?</v>
      </c>
      <c r="N401" s="120" t="e">
        <f ca="1">IF([0]!CSVVLookUP(ROW(行数!A393),配列!$C$4,集計記録,6,1)=0,"",[0]!CSVVLookUP(ROW(行数!A393),配列!$C$4,集計記録,6,1))</f>
        <v>#NAME?</v>
      </c>
      <c r="O401" s="88" t="e">
        <f ca="1">IF(INDIRECT("M"&amp;ROW()-1)&lt;&gt;INDIRECT("M"&amp;ROW()),リスト!$I$5,"")</f>
        <v>#NAME?</v>
      </c>
      <c r="P401" s="88" t="e">
        <f ca="1">IF(INDIRECT("M"&amp;ROW())&lt;&gt;INDIRECT("M"&amp;ROW()+1),リスト!$I$6,"")</f>
        <v>#NAME?</v>
      </c>
    </row>
    <row r="402" spans="1:16" x14ac:dyDescent="0.2">
      <c r="A402" s="169" t="e">
        <f ca="1">IF(C402="","",ROW(行数!A394))</f>
        <v>#NAME?</v>
      </c>
      <c r="B402" s="168" t="e">
        <f t="shared" ca="1" si="45"/>
        <v>#NAME?</v>
      </c>
      <c r="C402" s="90" t="e">
        <f ca="1">[0]!CSVVLookUP(ROW(行数!A394),配列!$C$4,集計記録,3,1)</f>
        <v>#NAME?</v>
      </c>
      <c r="D402" s="90" t="e">
        <f ca="1">[0]!CSVVLookUP(ROW(行数!B394),配列!$C$4,集計記録,4,1)</f>
        <v>#NAME?</v>
      </c>
      <c r="E402" s="118" t="e">
        <f t="shared" ca="1" si="46"/>
        <v>#NAME?</v>
      </c>
      <c r="F402" s="118" t="e">
        <f t="shared" ca="1" si="47"/>
        <v>#NAME?</v>
      </c>
      <c r="G402" s="103" t="e">
        <f t="shared" ca="1" si="48"/>
        <v>#NAME?</v>
      </c>
      <c r="H402" s="104" t="e">
        <f ca="1">IF(C402="","",MROUND([0]!CSVVLookUP(ROW(行数!A394),配列!$C$4,集計記録,8,1),"0:01"))</f>
        <v>#NAME?</v>
      </c>
      <c r="I402" s="104" t="e">
        <f t="shared" ca="1" si="49"/>
        <v>#NAME?</v>
      </c>
      <c r="J402" s="119" t="e">
        <f ca="1">IF(C402="","",MROUND([0]!CSVVLookUP(ROW(行数!A394),配列!$C$4,集計記録,7,1),"0:01"))</f>
        <v>#NAME?</v>
      </c>
      <c r="K402" s="92" t="e">
        <f ca="1">IF(C402="","",[0]!CSVVLookUP(ROW(行数!A394),配列!$C$4,集計記録,5,1))</f>
        <v>#NAME?</v>
      </c>
      <c r="L402" s="104" t="e">
        <f t="shared" ca="1" si="50"/>
        <v>#NAME?</v>
      </c>
      <c r="M402" s="120" t="e">
        <f t="shared" ca="1" si="44"/>
        <v>#NAME?</v>
      </c>
      <c r="N402" s="120" t="e">
        <f ca="1">IF([0]!CSVVLookUP(ROW(行数!A394),配列!$C$4,集計記録,6,1)=0,"",[0]!CSVVLookUP(ROW(行数!A394),配列!$C$4,集計記録,6,1))</f>
        <v>#NAME?</v>
      </c>
      <c r="O402" s="88" t="e">
        <f ca="1">IF(INDIRECT("M"&amp;ROW()-1)&lt;&gt;INDIRECT("M"&amp;ROW()),リスト!$I$5,"")</f>
        <v>#NAME?</v>
      </c>
      <c r="P402" s="88" t="e">
        <f ca="1">IF(INDIRECT("M"&amp;ROW())&lt;&gt;INDIRECT("M"&amp;ROW()+1),リスト!$I$6,"")</f>
        <v>#NAME?</v>
      </c>
    </row>
    <row r="403" spans="1:16" x14ac:dyDescent="0.2">
      <c r="A403" s="169" t="e">
        <f ca="1">IF(C403="","",ROW(行数!A395))</f>
        <v>#NAME?</v>
      </c>
      <c r="B403" s="168" t="e">
        <f t="shared" ca="1" si="45"/>
        <v>#NAME?</v>
      </c>
      <c r="C403" s="90" t="e">
        <f ca="1">[0]!CSVVLookUP(ROW(行数!A395),配列!$C$4,集計記録,3,1)</f>
        <v>#NAME?</v>
      </c>
      <c r="D403" s="90" t="e">
        <f ca="1">[0]!CSVVLookUP(ROW(行数!B395),配列!$C$4,集計記録,4,1)</f>
        <v>#NAME?</v>
      </c>
      <c r="E403" s="118" t="e">
        <f t="shared" ca="1" si="46"/>
        <v>#NAME?</v>
      </c>
      <c r="F403" s="118" t="e">
        <f t="shared" ca="1" si="47"/>
        <v>#NAME?</v>
      </c>
      <c r="G403" s="103" t="e">
        <f t="shared" ca="1" si="48"/>
        <v>#NAME?</v>
      </c>
      <c r="H403" s="104" t="e">
        <f ca="1">IF(C403="","",MROUND([0]!CSVVLookUP(ROW(行数!A395),配列!$C$4,集計記録,8,1),"0:01"))</f>
        <v>#NAME?</v>
      </c>
      <c r="I403" s="104" t="e">
        <f t="shared" ca="1" si="49"/>
        <v>#NAME?</v>
      </c>
      <c r="J403" s="119" t="e">
        <f ca="1">IF(C403="","",MROUND([0]!CSVVLookUP(ROW(行数!A395),配列!$C$4,集計記録,7,1),"0:01"))</f>
        <v>#NAME?</v>
      </c>
      <c r="K403" s="92" t="e">
        <f ca="1">IF(C403="","",[0]!CSVVLookUP(ROW(行数!A395),配列!$C$4,集計記録,5,1))</f>
        <v>#NAME?</v>
      </c>
      <c r="L403" s="104" t="e">
        <f t="shared" ca="1" si="50"/>
        <v>#NAME?</v>
      </c>
      <c r="M403" s="120" t="e">
        <f t="shared" ca="1" si="44"/>
        <v>#NAME?</v>
      </c>
      <c r="N403" s="120" t="e">
        <f ca="1">IF([0]!CSVVLookUP(ROW(行数!A395),配列!$C$4,集計記録,6,1)=0,"",[0]!CSVVLookUP(ROW(行数!A395),配列!$C$4,集計記録,6,1))</f>
        <v>#NAME?</v>
      </c>
      <c r="O403" s="88" t="e">
        <f ca="1">IF(INDIRECT("M"&amp;ROW()-1)&lt;&gt;INDIRECT("M"&amp;ROW()),リスト!$I$5,"")</f>
        <v>#NAME?</v>
      </c>
      <c r="P403" s="88" t="e">
        <f ca="1">IF(INDIRECT("M"&amp;ROW())&lt;&gt;INDIRECT("M"&amp;ROW()+1),リスト!$I$6,"")</f>
        <v>#NAME?</v>
      </c>
    </row>
    <row r="404" spans="1:16" x14ac:dyDescent="0.2">
      <c r="A404" s="169" t="e">
        <f ca="1">IF(C404="","",ROW(行数!A396))</f>
        <v>#NAME?</v>
      </c>
      <c r="B404" s="168" t="e">
        <f t="shared" ca="1" si="45"/>
        <v>#NAME?</v>
      </c>
      <c r="C404" s="90" t="e">
        <f ca="1">[0]!CSVVLookUP(ROW(行数!A396),配列!$C$4,集計記録,3,1)</f>
        <v>#NAME?</v>
      </c>
      <c r="D404" s="90" t="e">
        <f ca="1">[0]!CSVVLookUP(ROW(行数!B396),配列!$C$4,集計記録,4,1)</f>
        <v>#NAME?</v>
      </c>
      <c r="E404" s="118" t="e">
        <f t="shared" ca="1" si="46"/>
        <v>#NAME?</v>
      </c>
      <c r="F404" s="118" t="e">
        <f t="shared" ca="1" si="47"/>
        <v>#NAME?</v>
      </c>
      <c r="G404" s="103" t="e">
        <f t="shared" ca="1" si="48"/>
        <v>#NAME?</v>
      </c>
      <c r="H404" s="104" t="e">
        <f ca="1">IF(C404="","",MROUND([0]!CSVVLookUP(ROW(行数!A396),配列!$C$4,集計記録,8,1),"0:01"))</f>
        <v>#NAME?</v>
      </c>
      <c r="I404" s="104" t="e">
        <f t="shared" ca="1" si="49"/>
        <v>#NAME?</v>
      </c>
      <c r="J404" s="119" t="e">
        <f ca="1">IF(C404="","",MROUND([0]!CSVVLookUP(ROW(行数!A396),配列!$C$4,集計記録,7,1),"0:01"))</f>
        <v>#NAME?</v>
      </c>
      <c r="K404" s="92" t="e">
        <f ca="1">IF(C404="","",[0]!CSVVLookUP(ROW(行数!A396),配列!$C$4,集計記録,5,1))</f>
        <v>#NAME?</v>
      </c>
      <c r="L404" s="104" t="e">
        <f t="shared" ca="1" si="50"/>
        <v>#NAME?</v>
      </c>
      <c r="M404" s="120" t="e">
        <f t="shared" ca="1" si="44"/>
        <v>#NAME?</v>
      </c>
      <c r="N404" s="120" t="e">
        <f ca="1">IF([0]!CSVVLookUP(ROW(行数!A396),配列!$C$4,集計記録,6,1)=0,"",[0]!CSVVLookUP(ROW(行数!A396),配列!$C$4,集計記録,6,1))</f>
        <v>#NAME?</v>
      </c>
      <c r="O404" s="88" t="e">
        <f ca="1">IF(INDIRECT("M"&amp;ROW()-1)&lt;&gt;INDIRECT("M"&amp;ROW()),リスト!$I$5,"")</f>
        <v>#NAME?</v>
      </c>
      <c r="P404" s="88" t="e">
        <f ca="1">IF(INDIRECT("M"&amp;ROW())&lt;&gt;INDIRECT("M"&amp;ROW()+1),リスト!$I$6,"")</f>
        <v>#NAME?</v>
      </c>
    </row>
    <row r="405" spans="1:16" x14ac:dyDescent="0.2">
      <c r="A405" s="169" t="e">
        <f ca="1">IF(C405="","",ROW(行数!A397))</f>
        <v>#NAME?</v>
      </c>
      <c r="B405" s="168" t="e">
        <f t="shared" ca="1" si="45"/>
        <v>#NAME?</v>
      </c>
      <c r="C405" s="90" t="e">
        <f ca="1">[0]!CSVVLookUP(ROW(行数!A397),配列!$C$4,集計記録,3,1)</f>
        <v>#NAME?</v>
      </c>
      <c r="D405" s="90" t="e">
        <f ca="1">[0]!CSVVLookUP(ROW(行数!B397),配列!$C$4,集計記録,4,1)</f>
        <v>#NAME?</v>
      </c>
      <c r="E405" s="118" t="e">
        <f t="shared" ca="1" si="46"/>
        <v>#NAME?</v>
      </c>
      <c r="F405" s="118" t="e">
        <f t="shared" ca="1" si="47"/>
        <v>#NAME?</v>
      </c>
      <c r="G405" s="103" t="e">
        <f t="shared" ca="1" si="48"/>
        <v>#NAME?</v>
      </c>
      <c r="H405" s="104" t="e">
        <f ca="1">IF(C405="","",MROUND([0]!CSVVLookUP(ROW(行数!A397),配列!$C$4,集計記録,8,1),"0:01"))</f>
        <v>#NAME?</v>
      </c>
      <c r="I405" s="104" t="e">
        <f t="shared" ca="1" si="49"/>
        <v>#NAME?</v>
      </c>
      <c r="J405" s="119" t="e">
        <f ca="1">IF(C405="","",MROUND([0]!CSVVLookUP(ROW(行数!A397),配列!$C$4,集計記録,7,1),"0:01"))</f>
        <v>#NAME?</v>
      </c>
      <c r="K405" s="92" t="e">
        <f ca="1">IF(C405="","",[0]!CSVVLookUP(ROW(行数!A397),配列!$C$4,集計記録,5,1))</f>
        <v>#NAME?</v>
      </c>
      <c r="L405" s="104" t="e">
        <f t="shared" ca="1" si="50"/>
        <v>#NAME?</v>
      </c>
      <c r="M405" s="120" t="e">
        <f t="shared" ca="1" si="44"/>
        <v>#NAME?</v>
      </c>
      <c r="N405" s="120" t="e">
        <f ca="1">IF([0]!CSVVLookUP(ROW(行数!A397),配列!$C$4,集計記録,6,1)=0,"",[0]!CSVVLookUP(ROW(行数!A397),配列!$C$4,集計記録,6,1))</f>
        <v>#NAME?</v>
      </c>
      <c r="O405" s="88" t="e">
        <f ca="1">IF(INDIRECT("M"&amp;ROW()-1)&lt;&gt;INDIRECT("M"&amp;ROW()),リスト!$I$5,"")</f>
        <v>#NAME?</v>
      </c>
      <c r="P405" s="88" t="e">
        <f ca="1">IF(INDIRECT("M"&amp;ROW())&lt;&gt;INDIRECT("M"&amp;ROW()+1),リスト!$I$6,"")</f>
        <v>#NAME?</v>
      </c>
    </row>
    <row r="406" spans="1:16" x14ac:dyDescent="0.2">
      <c r="A406" s="169" t="e">
        <f ca="1">IF(C406="","",ROW(行数!A398))</f>
        <v>#NAME?</v>
      </c>
      <c r="B406" s="168" t="e">
        <f t="shared" ca="1" si="45"/>
        <v>#NAME?</v>
      </c>
      <c r="C406" s="90" t="e">
        <f ca="1">[0]!CSVVLookUP(ROW(行数!A398),配列!$C$4,集計記録,3,1)</f>
        <v>#NAME?</v>
      </c>
      <c r="D406" s="90" t="e">
        <f ca="1">[0]!CSVVLookUP(ROW(行数!B398),配列!$C$4,集計記録,4,1)</f>
        <v>#NAME?</v>
      </c>
      <c r="E406" s="118" t="e">
        <f t="shared" ca="1" si="46"/>
        <v>#NAME?</v>
      </c>
      <c r="F406" s="118" t="e">
        <f t="shared" ca="1" si="47"/>
        <v>#NAME?</v>
      </c>
      <c r="G406" s="103" t="e">
        <f t="shared" ca="1" si="48"/>
        <v>#NAME?</v>
      </c>
      <c r="H406" s="104" t="e">
        <f ca="1">IF(C406="","",MROUND([0]!CSVVLookUP(ROW(行数!A398),配列!$C$4,集計記録,8,1),"0:01"))</f>
        <v>#NAME?</v>
      </c>
      <c r="I406" s="104" t="e">
        <f t="shared" ca="1" si="49"/>
        <v>#NAME?</v>
      </c>
      <c r="J406" s="119" t="e">
        <f ca="1">IF(C406="","",MROUND([0]!CSVVLookUP(ROW(行数!A398),配列!$C$4,集計記録,7,1),"0:01"))</f>
        <v>#NAME?</v>
      </c>
      <c r="K406" s="92" t="e">
        <f ca="1">IF(C406="","",[0]!CSVVLookUP(ROW(行数!A398),配列!$C$4,集計記録,5,1))</f>
        <v>#NAME?</v>
      </c>
      <c r="L406" s="104" t="e">
        <f t="shared" ca="1" si="50"/>
        <v>#NAME?</v>
      </c>
      <c r="M406" s="120" t="e">
        <f t="shared" ca="1" si="44"/>
        <v>#NAME?</v>
      </c>
      <c r="N406" s="120" t="e">
        <f ca="1">IF([0]!CSVVLookUP(ROW(行数!A398),配列!$C$4,集計記録,6,1)=0,"",[0]!CSVVLookUP(ROW(行数!A398),配列!$C$4,集計記録,6,1))</f>
        <v>#NAME?</v>
      </c>
      <c r="O406" s="88" t="e">
        <f ca="1">IF(INDIRECT("M"&amp;ROW()-1)&lt;&gt;INDIRECT("M"&amp;ROW()),リスト!$I$5,"")</f>
        <v>#NAME?</v>
      </c>
      <c r="P406" s="88" t="e">
        <f ca="1">IF(INDIRECT("M"&amp;ROW())&lt;&gt;INDIRECT("M"&amp;ROW()+1),リスト!$I$6,"")</f>
        <v>#NAME?</v>
      </c>
    </row>
    <row r="407" spans="1:16" x14ac:dyDescent="0.2">
      <c r="A407" s="169" t="e">
        <f ca="1">IF(C407="","",ROW(行数!A399))</f>
        <v>#NAME?</v>
      </c>
      <c r="B407" s="168" t="e">
        <f t="shared" ca="1" si="45"/>
        <v>#NAME?</v>
      </c>
      <c r="C407" s="90" t="e">
        <f ca="1">[0]!CSVVLookUP(ROW(行数!A399),配列!$C$4,集計記録,3,1)</f>
        <v>#NAME?</v>
      </c>
      <c r="D407" s="90" t="e">
        <f ca="1">[0]!CSVVLookUP(ROW(行数!B399),配列!$C$4,集計記録,4,1)</f>
        <v>#NAME?</v>
      </c>
      <c r="E407" s="118" t="e">
        <f t="shared" ca="1" si="46"/>
        <v>#NAME?</v>
      </c>
      <c r="F407" s="118" t="e">
        <f t="shared" ca="1" si="47"/>
        <v>#NAME?</v>
      </c>
      <c r="G407" s="103" t="e">
        <f t="shared" ca="1" si="48"/>
        <v>#NAME?</v>
      </c>
      <c r="H407" s="104" t="e">
        <f ca="1">IF(C407="","",MROUND([0]!CSVVLookUP(ROW(行数!A399),配列!$C$4,集計記録,8,1),"0:01"))</f>
        <v>#NAME?</v>
      </c>
      <c r="I407" s="104" t="e">
        <f t="shared" ca="1" si="49"/>
        <v>#NAME?</v>
      </c>
      <c r="J407" s="119" t="e">
        <f ca="1">IF(C407="","",MROUND([0]!CSVVLookUP(ROW(行数!A399),配列!$C$4,集計記録,7,1),"0:01"))</f>
        <v>#NAME?</v>
      </c>
      <c r="K407" s="92" t="e">
        <f ca="1">IF(C407="","",[0]!CSVVLookUP(ROW(行数!A399),配列!$C$4,集計記録,5,1))</f>
        <v>#NAME?</v>
      </c>
      <c r="L407" s="104" t="e">
        <f t="shared" ca="1" si="50"/>
        <v>#NAME?</v>
      </c>
      <c r="M407" s="120" t="e">
        <f t="shared" ca="1" si="44"/>
        <v>#NAME?</v>
      </c>
      <c r="N407" s="120" t="e">
        <f ca="1">IF([0]!CSVVLookUP(ROW(行数!A399),配列!$C$4,集計記録,6,1)=0,"",[0]!CSVVLookUP(ROW(行数!A399),配列!$C$4,集計記録,6,1))</f>
        <v>#NAME?</v>
      </c>
      <c r="O407" s="88" t="e">
        <f ca="1">IF(INDIRECT("M"&amp;ROW()-1)&lt;&gt;INDIRECT("M"&amp;ROW()),リスト!$I$5,"")</f>
        <v>#NAME?</v>
      </c>
      <c r="P407" s="88" t="e">
        <f ca="1">IF(INDIRECT("M"&amp;ROW())&lt;&gt;INDIRECT("M"&amp;ROW()+1),リスト!$I$6,"")</f>
        <v>#NAME?</v>
      </c>
    </row>
    <row r="408" spans="1:16" x14ac:dyDescent="0.2">
      <c r="A408" s="169" t="e">
        <f ca="1">IF(C408="","",ROW(行数!A400))</f>
        <v>#NAME?</v>
      </c>
      <c r="B408" s="168" t="e">
        <f t="shared" ca="1" si="45"/>
        <v>#NAME?</v>
      </c>
      <c r="C408" s="90" t="e">
        <f ca="1">[0]!CSVVLookUP(ROW(行数!A400),配列!$C$4,集計記録,3,1)</f>
        <v>#NAME?</v>
      </c>
      <c r="D408" s="90" t="e">
        <f ca="1">[0]!CSVVLookUP(ROW(行数!B400),配列!$C$4,集計記録,4,1)</f>
        <v>#NAME?</v>
      </c>
      <c r="E408" s="118" t="e">
        <f t="shared" ca="1" si="46"/>
        <v>#NAME?</v>
      </c>
      <c r="F408" s="118" t="e">
        <f t="shared" ca="1" si="47"/>
        <v>#NAME?</v>
      </c>
      <c r="G408" s="103" t="e">
        <f t="shared" ca="1" si="48"/>
        <v>#NAME?</v>
      </c>
      <c r="H408" s="104" t="e">
        <f ca="1">IF(C408="","",MROUND([0]!CSVVLookUP(ROW(行数!A400),配列!$C$4,集計記録,8,1),"0:01"))</f>
        <v>#NAME?</v>
      </c>
      <c r="I408" s="104" t="e">
        <f t="shared" ca="1" si="49"/>
        <v>#NAME?</v>
      </c>
      <c r="J408" s="119" t="e">
        <f ca="1">IF(C408="","",MROUND([0]!CSVVLookUP(ROW(行数!A400),配列!$C$4,集計記録,7,1),"0:01"))</f>
        <v>#NAME?</v>
      </c>
      <c r="K408" s="92" t="e">
        <f ca="1">IF(C408="","",[0]!CSVVLookUP(ROW(行数!A400),配列!$C$4,集計記録,5,1))</f>
        <v>#NAME?</v>
      </c>
      <c r="L408" s="104" t="e">
        <f t="shared" ca="1" si="50"/>
        <v>#NAME?</v>
      </c>
      <c r="M408" s="120" t="e">
        <f t="shared" ca="1" si="44"/>
        <v>#NAME?</v>
      </c>
      <c r="N408" s="120" t="e">
        <f ca="1">IF([0]!CSVVLookUP(ROW(行数!A400),配列!$C$4,集計記録,6,1)=0,"",[0]!CSVVLookUP(ROW(行数!A400),配列!$C$4,集計記録,6,1))</f>
        <v>#NAME?</v>
      </c>
      <c r="O408" s="88" t="e">
        <f ca="1">IF(INDIRECT("M"&amp;ROW()-1)&lt;&gt;INDIRECT("M"&amp;ROW()),リスト!$I$5,"")</f>
        <v>#NAME?</v>
      </c>
      <c r="P408" s="88" t="e">
        <f ca="1">IF(INDIRECT("M"&amp;ROW())&lt;&gt;INDIRECT("M"&amp;ROW()+1),リスト!$I$6,"")</f>
        <v>#NAME?</v>
      </c>
    </row>
    <row r="409" spans="1:16" x14ac:dyDescent="0.2">
      <c r="A409" s="169" t="e">
        <f ca="1">IF(C409="","",ROW(行数!A401))</f>
        <v>#NAME?</v>
      </c>
      <c r="B409" s="168" t="e">
        <f t="shared" ca="1" si="45"/>
        <v>#NAME?</v>
      </c>
      <c r="C409" s="90" t="e">
        <f ca="1">[0]!CSVVLookUP(ROW(行数!A401),配列!$C$4,集計記録,3,1)</f>
        <v>#NAME?</v>
      </c>
      <c r="D409" s="90" t="e">
        <f ca="1">[0]!CSVVLookUP(ROW(行数!B401),配列!$C$4,集計記録,4,1)</f>
        <v>#NAME?</v>
      </c>
      <c r="E409" s="118" t="e">
        <f t="shared" ca="1" si="46"/>
        <v>#NAME?</v>
      </c>
      <c r="F409" s="118" t="e">
        <f t="shared" ca="1" si="47"/>
        <v>#NAME?</v>
      </c>
      <c r="G409" s="103" t="e">
        <f t="shared" ca="1" si="48"/>
        <v>#NAME?</v>
      </c>
      <c r="H409" s="104" t="e">
        <f ca="1">IF(C409="","",MROUND([0]!CSVVLookUP(ROW(行数!A401),配列!$C$4,集計記録,8,1),"0:01"))</f>
        <v>#NAME?</v>
      </c>
      <c r="I409" s="104" t="e">
        <f t="shared" ca="1" si="49"/>
        <v>#NAME?</v>
      </c>
      <c r="J409" s="119" t="e">
        <f ca="1">IF(C409="","",MROUND([0]!CSVVLookUP(ROW(行数!A401),配列!$C$4,集計記録,7,1),"0:01"))</f>
        <v>#NAME?</v>
      </c>
      <c r="K409" s="92" t="e">
        <f ca="1">IF(C409="","",[0]!CSVVLookUP(ROW(行数!A401),配列!$C$4,集計記録,5,1))</f>
        <v>#NAME?</v>
      </c>
      <c r="L409" s="104" t="e">
        <f t="shared" ca="1" si="50"/>
        <v>#NAME?</v>
      </c>
      <c r="M409" s="120" t="e">
        <f t="shared" ca="1" si="44"/>
        <v>#NAME?</v>
      </c>
      <c r="N409" s="120" t="e">
        <f ca="1">IF([0]!CSVVLookUP(ROW(行数!A401),配列!$C$4,集計記録,6,1)=0,"",[0]!CSVVLookUP(ROW(行数!A401),配列!$C$4,集計記録,6,1))</f>
        <v>#NAME?</v>
      </c>
      <c r="O409" s="88" t="e">
        <f ca="1">IF(INDIRECT("M"&amp;ROW()-1)&lt;&gt;INDIRECT("M"&amp;ROW()),リスト!$I$5,"")</f>
        <v>#NAME?</v>
      </c>
      <c r="P409" s="88" t="e">
        <f ca="1">IF(INDIRECT("M"&amp;ROW())&lt;&gt;INDIRECT("M"&amp;ROW()+1),リスト!$I$6,"")</f>
        <v>#NAME?</v>
      </c>
    </row>
    <row r="410" spans="1:16" x14ac:dyDescent="0.2">
      <c r="A410" s="169" t="e">
        <f ca="1">IF(C410="","",ROW(行数!A402))</f>
        <v>#NAME?</v>
      </c>
      <c r="B410" s="168" t="e">
        <f t="shared" ca="1" si="45"/>
        <v>#NAME?</v>
      </c>
      <c r="C410" s="90" t="e">
        <f ca="1">[0]!CSVVLookUP(ROW(行数!A402),配列!$C$4,集計記録,3,1)</f>
        <v>#NAME?</v>
      </c>
      <c r="D410" s="90" t="e">
        <f ca="1">[0]!CSVVLookUP(ROW(行数!B402),配列!$C$4,集計記録,4,1)</f>
        <v>#NAME?</v>
      </c>
      <c r="E410" s="118" t="e">
        <f t="shared" ca="1" si="46"/>
        <v>#NAME?</v>
      </c>
      <c r="F410" s="118" t="e">
        <f t="shared" ca="1" si="47"/>
        <v>#NAME?</v>
      </c>
      <c r="G410" s="103" t="e">
        <f t="shared" ca="1" si="48"/>
        <v>#NAME?</v>
      </c>
      <c r="H410" s="104" t="e">
        <f ca="1">IF(C410="","",MROUND([0]!CSVVLookUP(ROW(行数!A402),配列!$C$4,集計記録,8,1),"0:01"))</f>
        <v>#NAME?</v>
      </c>
      <c r="I410" s="104" t="e">
        <f t="shared" ca="1" si="49"/>
        <v>#NAME?</v>
      </c>
      <c r="J410" s="119" t="e">
        <f ca="1">IF(C410="","",MROUND([0]!CSVVLookUP(ROW(行数!A402),配列!$C$4,集計記録,7,1),"0:01"))</f>
        <v>#NAME?</v>
      </c>
      <c r="K410" s="92" t="e">
        <f ca="1">IF(C410="","",[0]!CSVVLookUP(ROW(行数!A402),配列!$C$4,集計記録,5,1))</f>
        <v>#NAME?</v>
      </c>
      <c r="L410" s="104" t="e">
        <f t="shared" ca="1" si="50"/>
        <v>#NAME?</v>
      </c>
      <c r="M410" s="120" t="e">
        <f t="shared" ca="1" si="44"/>
        <v>#NAME?</v>
      </c>
      <c r="N410" s="120" t="e">
        <f ca="1">IF([0]!CSVVLookUP(ROW(行数!A402),配列!$C$4,集計記録,6,1)=0,"",[0]!CSVVLookUP(ROW(行数!A402),配列!$C$4,集計記録,6,1))</f>
        <v>#NAME?</v>
      </c>
      <c r="O410" s="88" t="e">
        <f ca="1">IF(INDIRECT("M"&amp;ROW()-1)&lt;&gt;INDIRECT("M"&amp;ROW()),リスト!$I$5,"")</f>
        <v>#NAME?</v>
      </c>
      <c r="P410" s="88" t="e">
        <f ca="1">IF(INDIRECT("M"&amp;ROW())&lt;&gt;INDIRECT("M"&amp;ROW()+1),リスト!$I$6,"")</f>
        <v>#NAME?</v>
      </c>
    </row>
    <row r="411" spans="1:16" x14ac:dyDescent="0.2">
      <c r="A411" s="169" t="e">
        <f ca="1">IF(C411="","",ROW(行数!A403))</f>
        <v>#NAME?</v>
      </c>
      <c r="B411" s="168" t="e">
        <f t="shared" ca="1" si="45"/>
        <v>#NAME?</v>
      </c>
      <c r="C411" s="90" t="e">
        <f ca="1">[0]!CSVVLookUP(ROW(行数!A403),配列!$C$4,集計記録,3,1)</f>
        <v>#NAME?</v>
      </c>
      <c r="D411" s="90" t="e">
        <f ca="1">[0]!CSVVLookUP(ROW(行数!B403),配列!$C$4,集計記録,4,1)</f>
        <v>#NAME?</v>
      </c>
      <c r="E411" s="118" t="e">
        <f t="shared" ca="1" si="46"/>
        <v>#NAME?</v>
      </c>
      <c r="F411" s="118" t="e">
        <f t="shared" ca="1" si="47"/>
        <v>#NAME?</v>
      </c>
      <c r="G411" s="103" t="e">
        <f t="shared" ca="1" si="48"/>
        <v>#NAME?</v>
      </c>
      <c r="H411" s="104" t="e">
        <f ca="1">IF(C411="","",MROUND([0]!CSVVLookUP(ROW(行数!A403),配列!$C$4,集計記録,8,1),"0:01"))</f>
        <v>#NAME?</v>
      </c>
      <c r="I411" s="104" t="e">
        <f t="shared" ca="1" si="49"/>
        <v>#NAME?</v>
      </c>
      <c r="J411" s="119" t="e">
        <f ca="1">IF(C411="","",MROUND([0]!CSVVLookUP(ROW(行数!A403),配列!$C$4,集計記録,7,1),"0:01"))</f>
        <v>#NAME?</v>
      </c>
      <c r="K411" s="92" t="e">
        <f ca="1">IF(C411="","",[0]!CSVVLookUP(ROW(行数!A403),配列!$C$4,集計記録,5,1))</f>
        <v>#NAME?</v>
      </c>
      <c r="L411" s="104" t="e">
        <f t="shared" ca="1" si="50"/>
        <v>#NAME?</v>
      </c>
      <c r="M411" s="120" t="e">
        <f t="shared" ca="1" si="44"/>
        <v>#NAME?</v>
      </c>
      <c r="N411" s="120" t="e">
        <f ca="1">IF([0]!CSVVLookUP(ROW(行数!A403),配列!$C$4,集計記録,6,1)=0,"",[0]!CSVVLookUP(ROW(行数!A403),配列!$C$4,集計記録,6,1))</f>
        <v>#NAME?</v>
      </c>
      <c r="O411" s="88" t="e">
        <f ca="1">IF(INDIRECT("M"&amp;ROW()-1)&lt;&gt;INDIRECT("M"&amp;ROW()),リスト!$I$5,"")</f>
        <v>#NAME?</v>
      </c>
      <c r="P411" s="88" t="e">
        <f ca="1">IF(INDIRECT("M"&amp;ROW())&lt;&gt;INDIRECT("M"&amp;ROW()+1),リスト!$I$6,"")</f>
        <v>#NAME?</v>
      </c>
    </row>
    <row r="412" spans="1:16" x14ac:dyDescent="0.2">
      <c r="A412" s="169" t="e">
        <f ca="1">IF(C412="","",ROW(行数!A404))</f>
        <v>#NAME?</v>
      </c>
      <c r="B412" s="168" t="e">
        <f t="shared" ca="1" si="45"/>
        <v>#NAME?</v>
      </c>
      <c r="C412" s="90" t="e">
        <f ca="1">[0]!CSVVLookUP(ROW(行数!A404),配列!$C$4,集計記録,3,1)</f>
        <v>#NAME?</v>
      </c>
      <c r="D412" s="90" t="e">
        <f ca="1">[0]!CSVVLookUP(ROW(行数!B404),配列!$C$4,集計記録,4,1)</f>
        <v>#NAME?</v>
      </c>
      <c r="E412" s="118" t="e">
        <f t="shared" ca="1" si="46"/>
        <v>#NAME?</v>
      </c>
      <c r="F412" s="118" t="e">
        <f t="shared" ca="1" si="47"/>
        <v>#NAME?</v>
      </c>
      <c r="G412" s="103" t="e">
        <f t="shared" ca="1" si="48"/>
        <v>#NAME?</v>
      </c>
      <c r="H412" s="104" t="e">
        <f ca="1">IF(C412="","",MROUND([0]!CSVVLookUP(ROW(行数!A404),配列!$C$4,集計記録,8,1),"0:01"))</f>
        <v>#NAME?</v>
      </c>
      <c r="I412" s="104" t="e">
        <f t="shared" ca="1" si="49"/>
        <v>#NAME?</v>
      </c>
      <c r="J412" s="119" t="e">
        <f ca="1">IF(C412="","",MROUND([0]!CSVVLookUP(ROW(行数!A404),配列!$C$4,集計記録,7,1),"0:01"))</f>
        <v>#NAME?</v>
      </c>
      <c r="K412" s="92" t="e">
        <f ca="1">IF(C412="","",[0]!CSVVLookUP(ROW(行数!A404),配列!$C$4,集計記録,5,1))</f>
        <v>#NAME?</v>
      </c>
      <c r="L412" s="104" t="e">
        <f t="shared" ca="1" si="50"/>
        <v>#NAME?</v>
      </c>
      <c r="M412" s="120" t="e">
        <f t="shared" ca="1" si="44"/>
        <v>#NAME?</v>
      </c>
      <c r="N412" s="120" t="e">
        <f ca="1">IF([0]!CSVVLookUP(ROW(行数!A404),配列!$C$4,集計記録,6,1)=0,"",[0]!CSVVLookUP(ROW(行数!A404),配列!$C$4,集計記録,6,1))</f>
        <v>#NAME?</v>
      </c>
      <c r="O412" s="88" t="e">
        <f ca="1">IF(INDIRECT("M"&amp;ROW()-1)&lt;&gt;INDIRECT("M"&amp;ROW()),リスト!$I$5,"")</f>
        <v>#NAME?</v>
      </c>
      <c r="P412" s="88" t="e">
        <f ca="1">IF(INDIRECT("M"&amp;ROW())&lt;&gt;INDIRECT("M"&amp;ROW()+1),リスト!$I$6,"")</f>
        <v>#NAME?</v>
      </c>
    </row>
    <row r="413" spans="1:16" x14ac:dyDescent="0.2">
      <c r="A413" s="169" t="e">
        <f ca="1">IF(C413="","",ROW(行数!A405))</f>
        <v>#NAME?</v>
      </c>
      <c r="B413" s="168" t="e">
        <f t="shared" ca="1" si="45"/>
        <v>#NAME?</v>
      </c>
      <c r="C413" s="90" t="e">
        <f ca="1">[0]!CSVVLookUP(ROW(行数!A405),配列!$C$4,集計記録,3,1)</f>
        <v>#NAME?</v>
      </c>
      <c r="D413" s="90" t="e">
        <f ca="1">[0]!CSVVLookUP(ROW(行数!B405),配列!$C$4,集計記録,4,1)</f>
        <v>#NAME?</v>
      </c>
      <c r="E413" s="118" t="e">
        <f t="shared" ca="1" si="46"/>
        <v>#NAME?</v>
      </c>
      <c r="F413" s="118" t="e">
        <f t="shared" ca="1" si="47"/>
        <v>#NAME?</v>
      </c>
      <c r="G413" s="103" t="e">
        <f t="shared" ca="1" si="48"/>
        <v>#NAME?</v>
      </c>
      <c r="H413" s="104" t="e">
        <f ca="1">IF(C413="","",MROUND([0]!CSVVLookUP(ROW(行数!A405),配列!$C$4,集計記録,8,1),"0:01"))</f>
        <v>#NAME?</v>
      </c>
      <c r="I413" s="104" t="e">
        <f t="shared" ca="1" si="49"/>
        <v>#NAME?</v>
      </c>
      <c r="J413" s="119" t="e">
        <f ca="1">IF(C413="","",MROUND([0]!CSVVLookUP(ROW(行数!A405),配列!$C$4,集計記録,7,1),"0:01"))</f>
        <v>#NAME?</v>
      </c>
      <c r="K413" s="92" t="e">
        <f ca="1">IF(C413="","",[0]!CSVVLookUP(ROW(行数!A405),配列!$C$4,集計記録,5,1))</f>
        <v>#NAME?</v>
      </c>
      <c r="L413" s="104" t="e">
        <f t="shared" ca="1" si="50"/>
        <v>#NAME?</v>
      </c>
      <c r="M413" s="120" t="e">
        <f t="shared" ca="1" si="44"/>
        <v>#NAME?</v>
      </c>
      <c r="N413" s="120" t="e">
        <f ca="1">IF([0]!CSVVLookUP(ROW(行数!A405),配列!$C$4,集計記録,6,1)=0,"",[0]!CSVVLookUP(ROW(行数!A405),配列!$C$4,集計記録,6,1))</f>
        <v>#NAME?</v>
      </c>
      <c r="O413" s="88" t="e">
        <f ca="1">IF(INDIRECT("M"&amp;ROW()-1)&lt;&gt;INDIRECT("M"&amp;ROW()),リスト!$I$5,"")</f>
        <v>#NAME?</v>
      </c>
      <c r="P413" s="88" t="e">
        <f ca="1">IF(INDIRECT("M"&amp;ROW())&lt;&gt;INDIRECT("M"&amp;ROW()+1),リスト!$I$6,"")</f>
        <v>#NAME?</v>
      </c>
    </row>
    <row r="414" spans="1:16" x14ac:dyDescent="0.2">
      <c r="A414" s="169" t="e">
        <f ca="1">IF(C414="","",ROW(行数!A406))</f>
        <v>#NAME?</v>
      </c>
      <c r="B414" s="168" t="e">
        <f t="shared" ca="1" si="45"/>
        <v>#NAME?</v>
      </c>
      <c r="C414" s="90" t="e">
        <f ca="1">[0]!CSVVLookUP(ROW(行数!A406),配列!$C$4,集計記録,3,1)</f>
        <v>#NAME?</v>
      </c>
      <c r="D414" s="90" t="e">
        <f ca="1">[0]!CSVVLookUP(ROW(行数!B406),配列!$C$4,集計記録,4,1)</f>
        <v>#NAME?</v>
      </c>
      <c r="E414" s="118" t="e">
        <f t="shared" ca="1" si="46"/>
        <v>#NAME?</v>
      </c>
      <c r="F414" s="118" t="e">
        <f t="shared" ca="1" si="47"/>
        <v>#NAME?</v>
      </c>
      <c r="G414" s="103" t="e">
        <f t="shared" ca="1" si="48"/>
        <v>#NAME?</v>
      </c>
      <c r="H414" s="104" t="e">
        <f ca="1">IF(C414="","",MROUND([0]!CSVVLookUP(ROW(行数!A406),配列!$C$4,集計記録,8,1),"0:01"))</f>
        <v>#NAME?</v>
      </c>
      <c r="I414" s="104" t="e">
        <f t="shared" ca="1" si="49"/>
        <v>#NAME?</v>
      </c>
      <c r="J414" s="119" t="e">
        <f ca="1">IF(C414="","",MROUND([0]!CSVVLookUP(ROW(行数!A406),配列!$C$4,集計記録,7,1),"0:01"))</f>
        <v>#NAME?</v>
      </c>
      <c r="K414" s="92" t="e">
        <f ca="1">IF(C414="","",[0]!CSVVLookUP(ROW(行数!A406),配列!$C$4,集計記録,5,1))</f>
        <v>#NAME?</v>
      </c>
      <c r="L414" s="104" t="e">
        <f t="shared" ca="1" si="50"/>
        <v>#NAME?</v>
      </c>
      <c r="M414" s="120" t="e">
        <f t="shared" ca="1" si="44"/>
        <v>#NAME?</v>
      </c>
      <c r="N414" s="120" t="e">
        <f ca="1">IF([0]!CSVVLookUP(ROW(行数!A406),配列!$C$4,集計記録,6,1)=0,"",[0]!CSVVLookUP(ROW(行数!A406),配列!$C$4,集計記録,6,1))</f>
        <v>#NAME?</v>
      </c>
      <c r="O414" s="88" t="e">
        <f ca="1">IF(INDIRECT("M"&amp;ROW()-1)&lt;&gt;INDIRECT("M"&amp;ROW()),リスト!$I$5,"")</f>
        <v>#NAME?</v>
      </c>
      <c r="P414" s="88" t="e">
        <f ca="1">IF(INDIRECT("M"&amp;ROW())&lt;&gt;INDIRECT("M"&amp;ROW()+1),リスト!$I$6,"")</f>
        <v>#NAME?</v>
      </c>
    </row>
    <row r="415" spans="1:16" x14ac:dyDescent="0.2">
      <c r="A415" s="169" t="e">
        <f ca="1">IF(C415="","",ROW(行数!A407))</f>
        <v>#NAME?</v>
      </c>
      <c r="B415" s="168" t="e">
        <f t="shared" ca="1" si="45"/>
        <v>#NAME?</v>
      </c>
      <c r="C415" s="90" t="e">
        <f ca="1">[0]!CSVVLookUP(ROW(行数!A407),配列!$C$4,集計記録,3,1)</f>
        <v>#NAME?</v>
      </c>
      <c r="D415" s="90" t="e">
        <f ca="1">[0]!CSVVLookUP(ROW(行数!B407),配列!$C$4,集計記録,4,1)</f>
        <v>#NAME?</v>
      </c>
      <c r="E415" s="118" t="e">
        <f t="shared" ca="1" si="46"/>
        <v>#NAME?</v>
      </c>
      <c r="F415" s="118" t="e">
        <f t="shared" ca="1" si="47"/>
        <v>#NAME?</v>
      </c>
      <c r="G415" s="103" t="e">
        <f t="shared" ca="1" si="48"/>
        <v>#NAME?</v>
      </c>
      <c r="H415" s="104" t="e">
        <f ca="1">IF(C415="","",MROUND([0]!CSVVLookUP(ROW(行数!A407),配列!$C$4,集計記録,8,1),"0:01"))</f>
        <v>#NAME?</v>
      </c>
      <c r="I415" s="104" t="e">
        <f t="shared" ca="1" si="49"/>
        <v>#NAME?</v>
      </c>
      <c r="J415" s="119" t="e">
        <f ca="1">IF(C415="","",MROUND([0]!CSVVLookUP(ROW(行数!A407),配列!$C$4,集計記録,7,1),"0:01"))</f>
        <v>#NAME?</v>
      </c>
      <c r="K415" s="92" t="e">
        <f ca="1">IF(C415="","",[0]!CSVVLookUP(ROW(行数!A407),配列!$C$4,集計記録,5,1))</f>
        <v>#NAME?</v>
      </c>
      <c r="L415" s="104" t="e">
        <f t="shared" ca="1" si="50"/>
        <v>#NAME?</v>
      </c>
      <c r="M415" s="120" t="e">
        <f t="shared" ca="1" si="44"/>
        <v>#NAME?</v>
      </c>
      <c r="N415" s="120" t="e">
        <f ca="1">IF([0]!CSVVLookUP(ROW(行数!A407),配列!$C$4,集計記録,6,1)=0,"",[0]!CSVVLookUP(ROW(行数!A407),配列!$C$4,集計記録,6,1))</f>
        <v>#NAME?</v>
      </c>
      <c r="O415" s="88" t="e">
        <f ca="1">IF(INDIRECT("M"&amp;ROW()-1)&lt;&gt;INDIRECT("M"&amp;ROW()),リスト!$I$5,"")</f>
        <v>#NAME?</v>
      </c>
      <c r="P415" s="88" t="e">
        <f ca="1">IF(INDIRECT("M"&amp;ROW())&lt;&gt;INDIRECT("M"&amp;ROW()+1),リスト!$I$6,"")</f>
        <v>#NAME?</v>
      </c>
    </row>
    <row r="416" spans="1:16" x14ac:dyDescent="0.2">
      <c r="A416" s="169" t="e">
        <f ca="1">IF(C416="","",ROW(行数!A408))</f>
        <v>#NAME?</v>
      </c>
      <c r="B416" s="168" t="e">
        <f t="shared" ca="1" si="45"/>
        <v>#NAME?</v>
      </c>
      <c r="C416" s="90" t="e">
        <f ca="1">[0]!CSVVLookUP(ROW(行数!A408),配列!$C$4,集計記録,3,1)</f>
        <v>#NAME?</v>
      </c>
      <c r="D416" s="90" t="e">
        <f ca="1">[0]!CSVVLookUP(ROW(行数!B408),配列!$C$4,集計記録,4,1)</f>
        <v>#NAME?</v>
      </c>
      <c r="E416" s="118" t="e">
        <f t="shared" ca="1" si="46"/>
        <v>#NAME?</v>
      </c>
      <c r="F416" s="118" t="e">
        <f t="shared" ca="1" si="47"/>
        <v>#NAME?</v>
      </c>
      <c r="G416" s="103" t="e">
        <f t="shared" ca="1" si="48"/>
        <v>#NAME?</v>
      </c>
      <c r="H416" s="104" t="e">
        <f ca="1">IF(C416="","",MROUND([0]!CSVVLookUP(ROW(行数!A408),配列!$C$4,集計記録,8,1),"0:01"))</f>
        <v>#NAME?</v>
      </c>
      <c r="I416" s="104" t="e">
        <f t="shared" ca="1" si="49"/>
        <v>#NAME?</v>
      </c>
      <c r="J416" s="119" t="e">
        <f ca="1">IF(C416="","",MROUND([0]!CSVVLookUP(ROW(行数!A408),配列!$C$4,集計記録,7,1),"0:01"))</f>
        <v>#NAME?</v>
      </c>
      <c r="K416" s="92" t="e">
        <f ca="1">IF(C416="","",[0]!CSVVLookUP(ROW(行数!A408),配列!$C$4,集計記録,5,1))</f>
        <v>#NAME?</v>
      </c>
      <c r="L416" s="104" t="e">
        <f t="shared" ca="1" si="50"/>
        <v>#NAME?</v>
      </c>
      <c r="M416" s="120" t="e">
        <f t="shared" ca="1" si="44"/>
        <v>#NAME?</v>
      </c>
      <c r="N416" s="120" t="e">
        <f ca="1">IF([0]!CSVVLookUP(ROW(行数!A408),配列!$C$4,集計記録,6,1)=0,"",[0]!CSVVLookUP(ROW(行数!A408),配列!$C$4,集計記録,6,1))</f>
        <v>#NAME?</v>
      </c>
      <c r="O416" s="88" t="e">
        <f ca="1">IF(INDIRECT("M"&amp;ROW()-1)&lt;&gt;INDIRECT("M"&amp;ROW()),リスト!$I$5,"")</f>
        <v>#NAME?</v>
      </c>
      <c r="P416" s="88" t="e">
        <f ca="1">IF(INDIRECT("M"&amp;ROW())&lt;&gt;INDIRECT("M"&amp;ROW()+1),リスト!$I$6,"")</f>
        <v>#NAME?</v>
      </c>
    </row>
    <row r="417" spans="1:16" x14ac:dyDescent="0.2">
      <c r="A417" s="169" t="e">
        <f ca="1">IF(C417="","",ROW(行数!A409))</f>
        <v>#NAME?</v>
      </c>
      <c r="B417" s="168" t="e">
        <f t="shared" ca="1" si="45"/>
        <v>#NAME?</v>
      </c>
      <c r="C417" s="90" t="e">
        <f ca="1">[0]!CSVVLookUP(ROW(行数!A409),配列!$C$4,集計記録,3,1)</f>
        <v>#NAME?</v>
      </c>
      <c r="D417" s="90" t="e">
        <f ca="1">[0]!CSVVLookUP(ROW(行数!B409),配列!$C$4,集計記録,4,1)</f>
        <v>#NAME?</v>
      </c>
      <c r="E417" s="118" t="e">
        <f t="shared" ca="1" si="46"/>
        <v>#NAME?</v>
      </c>
      <c r="F417" s="118" t="e">
        <f t="shared" ca="1" si="47"/>
        <v>#NAME?</v>
      </c>
      <c r="G417" s="103" t="e">
        <f t="shared" ca="1" si="48"/>
        <v>#NAME?</v>
      </c>
      <c r="H417" s="104" t="e">
        <f ca="1">IF(C417="","",MROUND([0]!CSVVLookUP(ROW(行数!A409),配列!$C$4,集計記録,8,1),"0:01"))</f>
        <v>#NAME?</v>
      </c>
      <c r="I417" s="104" t="e">
        <f t="shared" ca="1" si="49"/>
        <v>#NAME?</v>
      </c>
      <c r="J417" s="119" t="e">
        <f ca="1">IF(C417="","",MROUND([0]!CSVVLookUP(ROW(行数!A409),配列!$C$4,集計記録,7,1),"0:01"))</f>
        <v>#NAME?</v>
      </c>
      <c r="K417" s="92" t="e">
        <f ca="1">IF(C417="","",[0]!CSVVLookUP(ROW(行数!A409),配列!$C$4,集計記録,5,1))</f>
        <v>#NAME?</v>
      </c>
      <c r="L417" s="104" t="e">
        <f t="shared" ca="1" si="50"/>
        <v>#NAME?</v>
      </c>
      <c r="M417" s="120" t="e">
        <f t="shared" ca="1" si="44"/>
        <v>#NAME?</v>
      </c>
      <c r="N417" s="120" t="e">
        <f ca="1">IF([0]!CSVVLookUP(ROW(行数!A409),配列!$C$4,集計記録,6,1)=0,"",[0]!CSVVLookUP(ROW(行数!A409),配列!$C$4,集計記録,6,1))</f>
        <v>#NAME?</v>
      </c>
      <c r="O417" s="88" t="e">
        <f ca="1">IF(INDIRECT("M"&amp;ROW()-1)&lt;&gt;INDIRECT("M"&amp;ROW()),リスト!$I$5,"")</f>
        <v>#NAME?</v>
      </c>
      <c r="P417" s="88" t="e">
        <f ca="1">IF(INDIRECT("M"&amp;ROW())&lt;&gt;INDIRECT("M"&amp;ROW()+1),リスト!$I$6,"")</f>
        <v>#NAME?</v>
      </c>
    </row>
    <row r="418" spans="1:16" x14ac:dyDescent="0.2">
      <c r="A418" s="169" t="e">
        <f ca="1">IF(C418="","",ROW(行数!A410))</f>
        <v>#NAME?</v>
      </c>
      <c r="B418" s="168" t="e">
        <f t="shared" ca="1" si="45"/>
        <v>#NAME?</v>
      </c>
      <c r="C418" s="90" t="e">
        <f ca="1">[0]!CSVVLookUP(ROW(行数!A410),配列!$C$4,集計記録,3,1)</f>
        <v>#NAME?</v>
      </c>
      <c r="D418" s="90" t="e">
        <f ca="1">[0]!CSVVLookUP(ROW(行数!B410),配列!$C$4,集計記録,4,1)</f>
        <v>#NAME?</v>
      </c>
      <c r="E418" s="118" t="e">
        <f t="shared" ca="1" si="46"/>
        <v>#NAME?</v>
      </c>
      <c r="F418" s="118" t="e">
        <f t="shared" ca="1" si="47"/>
        <v>#NAME?</v>
      </c>
      <c r="G418" s="103" t="e">
        <f t="shared" ca="1" si="48"/>
        <v>#NAME?</v>
      </c>
      <c r="H418" s="104" t="e">
        <f ca="1">IF(C418="","",MROUND([0]!CSVVLookUP(ROW(行数!A410),配列!$C$4,集計記録,8,1),"0:01"))</f>
        <v>#NAME?</v>
      </c>
      <c r="I418" s="104" t="e">
        <f t="shared" ca="1" si="49"/>
        <v>#NAME?</v>
      </c>
      <c r="J418" s="119" t="e">
        <f ca="1">IF(C418="","",MROUND([0]!CSVVLookUP(ROW(行数!A410),配列!$C$4,集計記録,7,1),"0:01"))</f>
        <v>#NAME?</v>
      </c>
      <c r="K418" s="92" t="e">
        <f ca="1">IF(C418="","",[0]!CSVVLookUP(ROW(行数!A410),配列!$C$4,集計記録,5,1))</f>
        <v>#NAME?</v>
      </c>
      <c r="L418" s="104" t="e">
        <f t="shared" ca="1" si="50"/>
        <v>#NAME?</v>
      </c>
      <c r="M418" s="120" t="e">
        <f t="shared" ca="1" si="44"/>
        <v>#NAME?</v>
      </c>
      <c r="N418" s="120" t="e">
        <f ca="1">IF([0]!CSVVLookUP(ROW(行数!A410),配列!$C$4,集計記録,6,1)=0,"",[0]!CSVVLookUP(ROW(行数!A410),配列!$C$4,集計記録,6,1))</f>
        <v>#NAME?</v>
      </c>
      <c r="O418" s="88" t="e">
        <f ca="1">IF(INDIRECT("M"&amp;ROW()-1)&lt;&gt;INDIRECT("M"&amp;ROW()),リスト!$I$5,"")</f>
        <v>#NAME?</v>
      </c>
      <c r="P418" s="88" t="e">
        <f ca="1">IF(INDIRECT("M"&amp;ROW())&lt;&gt;INDIRECT("M"&amp;ROW()+1),リスト!$I$6,"")</f>
        <v>#NAME?</v>
      </c>
    </row>
    <row r="419" spans="1:16" x14ac:dyDescent="0.2">
      <c r="A419" s="169" t="e">
        <f ca="1">IF(C419="","",ROW(行数!A411))</f>
        <v>#NAME?</v>
      </c>
      <c r="B419" s="168" t="e">
        <f t="shared" ca="1" si="45"/>
        <v>#NAME?</v>
      </c>
      <c r="C419" s="90" t="e">
        <f ca="1">[0]!CSVVLookUP(ROW(行数!A411),配列!$C$4,集計記録,3,1)</f>
        <v>#NAME?</v>
      </c>
      <c r="D419" s="90" t="e">
        <f ca="1">[0]!CSVVLookUP(ROW(行数!B411),配列!$C$4,集計記録,4,1)</f>
        <v>#NAME?</v>
      </c>
      <c r="E419" s="118" t="e">
        <f t="shared" ca="1" si="46"/>
        <v>#NAME?</v>
      </c>
      <c r="F419" s="118" t="e">
        <f t="shared" ca="1" si="47"/>
        <v>#NAME?</v>
      </c>
      <c r="G419" s="103" t="e">
        <f t="shared" ca="1" si="48"/>
        <v>#NAME?</v>
      </c>
      <c r="H419" s="104" t="e">
        <f ca="1">IF(C419="","",MROUND([0]!CSVVLookUP(ROW(行数!A411),配列!$C$4,集計記録,8,1),"0:01"))</f>
        <v>#NAME?</v>
      </c>
      <c r="I419" s="104" t="e">
        <f t="shared" ca="1" si="49"/>
        <v>#NAME?</v>
      </c>
      <c r="J419" s="119" t="e">
        <f ca="1">IF(C419="","",MROUND([0]!CSVVLookUP(ROW(行数!A411),配列!$C$4,集計記録,7,1),"0:01"))</f>
        <v>#NAME?</v>
      </c>
      <c r="K419" s="92" t="e">
        <f ca="1">IF(C419="","",[0]!CSVVLookUP(ROW(行数!A411),配列!$C$4,集計記録,5,1))</f>
        <v>#NAME?</v>
      </c>
      <c r="L419" s="104" t="e">
        <f t="shared" ca="1" si="50"/>
        <v>#NAME?</v>
      </c>
      <c r="M419" s="120" t="e">
        <f t="shared" ca="1" si="44"/>
        <v>#NAME?</v>
      </c>
      <c r="N419" s="120" t="e">
        <f ca="1">IF([0]!CSVVLookUP(ROW(行数!A411),配列!$C$4,集計記録,6,1)=0,"",[0]!CSVVLookUP(ROW(行数!A411),配列!$C$4,集計記録,6,1))</f>
        <v>#NAME?</v>
      </c>
      <c r="O419" s="88" t="e">
        <f ca="1">IF(INDIRECT("M"&amp;ROW()-1)&lt;&gt;INDIRECT("M"&amp;ROW()),リスト!$I$5,"")</f>
        <v>#NAME?</v>
      </c>
      <c r="P419" s="88" t="e">
        <f ca="1">IF(INDIRECT("M"&amp;ROW())&lt;&gt;INDIRECT("M"&amp;ROW()+1),リスト!$I$6,"")</f>
        <v>#NAME?</v>
      </c>
    </row>
    <row r="420" spans="1:16" x14ac:dyDescent="0.2">
      <c r="A420" s="169" t="e">
        <f ca="1">IF(C420="","",ROW(行数!A412))</f>
        <v>#NAME?</v>
      </c>
      <c r="B420" s="168" t="e">
        <f t="shared" ca="1" si="45"/>
        <v>#NAME?</v>
      </c>
      <c r="C420" s="90" t="e">
        <f ca="1">[0]!CSVVLookUP(ROW(行数!A412),配列!$C$4,集計記録,3,1)</f>
        <v>#NAME?</v>
      </c>
      <c r="D420" s="90" t="e">
        <f ca="1">[0]!CSVVLookUP(ROW(行数!B412),配列!$C$4,集計記録,4,1)</f>
        <v>#NAME?</v>
      </c>
      <c r="E420" s="118" t="e">
        <f t="shared" ca="1" si="46"/>
        <v>#NAME?</v>
      </c>
      <c r="F420" s="118" t="e">
        <f t="shared" ca="1" si="47"/>
        <v>#NAME?</v>
      </c>
      <c r="G420" s="103" t="e">
        <f t="shared" ca="1" si="48"/>
        <v>#NAME?</v>
      </c>
      <c r="H420" s="104" t="e">
        <f ca="1">IF(C420="","",MROUND([0]!CSVVLookUP(ROW(行数!A412),配列!$C$4,集計記録,8,1),"0:01"))</f>
        <v>#NAME?</v>
      </c>
      <c r="I420" s="104" t="e">
        <f t="shared" ca="1" si="49"/>
        <v>#NAME?</v>
      </c>
      <c r="J420" s="119" t="e">
        <f ca="1">IF(C420="","",MROUND([0]!CSVVLookUP(ROW(行数!A412),配列!$C$4,集計記録,7,1),"0:01"))</f>
        <v>#NAME?</v>
      </c>
      <c r="K420" s="92" t="e">
        <f ca="1">IF(C420="","",[0]!CSVVLookUP(ROW(行数!A412),配列!$C$4,集計記録,5,1))</f>
        <v>#NAME?</v>
      </c>
      <c r="L420" s="104" t="e">
        <f t="shared" ca="1" si="50"/>
        <v>#NAME?</v>
      </c>
      <c r="M420" s="120" t="e">
        <f t="shared" ca="1" si="44"/>
        <v>#NAME?</v>
      </c>
      <c r="N420" s="120" t="e">
        <f ca="1">IF([0]!CSVVLookUP(ROW(行数!A412),配列!$C$4,集計記録,6,1)=0,"",[0]!CSVVLookUP(ROW(行数!A412),配列!$C$4,集計記録,6,1))</f>
        <v>#NAME?</v>
      </c>
      <c r="O420" s="88" t="e">
        <f ca="1">IF(INDIRECT("M"&amp;ROW()-1)&lt;&gt;INDIRECT("M"&amp;ROW()),リスト!$I$5,"")</f>
        <v>#NAME?</v>
      </c>
      <c r="P420" s="88" t="e">
        <f ca="1">IF(INDIRECT("M"&amp;ROW())&lt;&gt;INDIRECT("M"&amp;ROW()+1),リスト!$I$6,"")</f>
        <v>#NAME?</v>
      </c>
    </row>
    <row r="421" spans="1:16" x14ac:dyDescent="0.2">
      <c r="A421" s="169" t="e">
        <f ca="1">IF(C421="","",ROW(行数!A413))</f>
        <v>#NAME?</v>
      </c>
      <c r="B421" s="168" t="e">
        <f t="shared" ca="1" si="45"/>
        <v>#NAME?</v>
      </c>
      <c r="C421" s="90" t="e">
        <f ca="1">[0]!CSVVLookUP(ROW(行数!A413),配列!$C$4,集計記録,3,1)</f>
        <v>#NAME?</v>
      </c>
      <c r="D421" s="90" t="e">
        <f ca="1">[0]!CSVVLookUP(ROW(行数!B413),配列!$C$4,集計記録,4,1)</f>
        <v>#NAME?</v>
      </c>
      <c r="E421" s="118" t="e">
        <f t="shared" ca="1" si="46"/>
        <v>#NAME?</v>
      </c>
      <c r="F421" s="118" t="e">
        <f t="shared" ca="1" si="47"/>
        <v>#NAME?</v>
      </c>
      <c r="G421" s="103" t="e">
        <f t="shared" ca="1" si="48"/>
        <v>#NAME?</v>
      </c>
      <c r="H421" s="104" t="e">
        <f ca="1">IF(C421="","",MROUND([0]!CSVVLookUP(ROW(行数!A413),配列!$C$4,集計記録,8,1),"0:01"))</f>
        <v>#NAME?</v>
      </c>
      <c r="I421" s="104" t="e">
        <f t="shared" ca="1" si="49"/>
        <v>#NAME?</v>
      </c>
      <c r="J421" s="119" t="e">
        <f ca="1">IF(C421="","",MROUND([0]!CSVVLookUP(ROW(行数!A413),配列!$C$4,集計記録,7,1),"0:01"))</f>
        <v>#NAME?</v>
      </c>
      <c r="K421" s="92" t="e">
        <f ca="1">IF(C421="","",[0]!CSVVLookUP(ROW(行数!A413),配列!$C$4,集計記録,5,1))</f>
        <v>#NAME?</v>
      </c>
      <c r="L421" s="104" t="e">
        <f t="shared" ca="1" si="50"/>
        <v>#NAME?</v>
      </c>
      <c r="M421" s="120" t="e">
        <f t="shared" ca="1" si="44"/>
        <v>#NAME?</v>
      </c>
      <c r="N421" s="120" t="e">
        <f ca="1">IF([0]!CSVVLookUP(ROW(行数!A413),配列!$C$4,集計記録,6,1)=0,"",[0]!CSVVLookUP(ROW(行数!A413),配列!$C$4,集計記録,6,1))</f>
        <v>#NAME?</v>
      </c>
      <c r="O421" s="88" t="e">
        <f ca="1">IF(INDIRECT("M"&amp;ROW()-1)&lt;&gt;INDIRECT("M"&amp;ROW()),リスト!$I$5,"")</f>
        <v>#NAME?</v>
      </c>
      <c r="P421" s="88" t="e">
        <f ca="1">IF(INDIRECT("M"&amp;ROW())&lt;&gt;INDIRECT("M"&amp;ROW()+1),リスト!$I$6,"")</f>
        <v>#NAME?</v>
      </c>
    </row>
    <row r="422" spans="1:16" x14ac:dyDescent="0.2">
      <c r="A422" s="169" t="e">
        <f ca="1">IF(C422="","",ROW(行数!A414))</f>
        <v>#NAME?</v>
      </c>
      <c r="B422" s="168" t="e">
        <f t="shared" ca="1" si="45"/>
        <v>#NAME?</v>
      </c>
      <c r="C422" s="90" t="e">
        <f ca="1">[0]!CSVVLookUP(ROW(行数!A414),配列!$C$4,集計記録,3,1)</f>
        <v>#NAME?</v>
      </c>
      <c r="D422" s="90" t="e">
        <f ca="1">[0]!CSVVLookUP(ROW(行数!B414),配列!$C$4,集計記録,4,1)</f>
        <v>#NAME?</v>
      </c>
      <c r="E422" s="118" t="e">
        <f t="shared" ca="1" si="46"/>
        <v>#NAME?</v>
      </c>
      <c r="F422" s="118" t="e">
        <f t="shared" ca="1" si="47"/>
        <v>#NAME?</v>
      </c>
      <c r="G422" s="103" t="e">
        <f t="shared" ca="1" si="48"/>
        <v>#NAME?</v>
      </c>
      <c r="H422" s="104" t="e">
        <f ca="1">IF(C422="","",MROUND([0]!CSVVLookUP(ROW(行数!A414),配列!$C$4,集計記録,8,1),"0:01"))</f>
        <v>#NAME?</v>
      </c>
      <c r="I422" s="104" t="e">
        <f t="shared" ca="1" si="49"/>
        <v>#NAME?</v>
      </c>
      <c r="J422" s="119" t="e">
        <f ca="1">IF(C422="","",MROUND([0]!CSVVLookUP(ROW(行数!A414),配列!$C$4,集計記録,7,1),"0:01"))</f>
        <v>#NAME?</v>
      </c>
      <c r="K422" s="92" t="e">
        <f ca="1">IF(C422="","",[0]!CSVVLookUP(ROW(行数!A414),配列!$C$4,集計記録,5,1))</f>
        <v>#NAME?</v>
      </c>
      <c r="L422" s="104" t="e">
        <f t="shared" ca="1" si="50"/>
        <v>#NAME?</v>
      </c>
      <c r="M422" s="120" t="e">
        <f t="shared" ca="1" si="44"/>
        <v>#NAME?</v>
      </c>
      <c r="N422" s="120" t="e">
        <f ca="1">IF([0]!CSVVLookUP(ROW(行数!A414),配列!$C$4,集計記録,6,1)=0,"",[0]!CSVVLookUP(ROW(行数!A414),配列!$C$4,集計記録,6,1))</f>
        <v>#NAME?</v>
      </c>
      <c r="O422" s="88" t="e">
        <f ca="1">IF(INDIRECT("M"&amp;ROW()-1)&lt;&gt;INDIRECT("M"&amp;ROW()),リスト!$I$5,"")</f>
        <v>#NAME?</v>
      </c>
      <c r="P422" s="88" t="e">
        <f ca="1">IF(INDIRECT("M"&amp;ROW())&lt;&gt;INDIRECT("M"&amp;ROW()+1),リスト!$I$6,"")</f>
        <v>#NAME?</v>
      </c>
    </row>
    <row r="423" spans="1:16" x14ac:dyDescent="0.2">
      <c r="A423" s="169" t="e">
        <f ca="1">IF(C423="","",ROW(行数!A415))</f>
        <v>#NAME?</v>
      </c>
      <c r="B423" s="168" t="e">
        <f t="shared" ca="1" si="45"/>
        <v>#NAME?</v>
      </c>
      <c r="C423" s="90" t="e">
        <f ca="1">[0]!CSVVLookUP(ROW(行数!A415),配列!$C$4,集計記録,3,1)</f>
        <v>#NAME?</v>
      </c>
      <c r="D423" s="90" t="e">
        <f ca="1">[0]!CSVVLookUP(ROW(行数!B415),配列!$C$4,集計記録,4,1)</f>
        <v>#NAME?</v>
      </c>
      <c r="E423" s="118" t="e">
        <f t="shared" ca="1" si="46"/>
        <v>#NAME?</v>
      </c>
      <c r="F423" s="118" t="e">
        <f t="shared" ca="1" si="47"/>
        <v>#NAME?</v>
      </c>
      <c r="G423" s="103" t="e">
        <f t="shared" ca="1" si="48"/>
        <v>#NAME?</v>
      </c>
      <c r="H423" s="104" t="e">
        <f ca="1">IF(C423="","",MROUND([0]!CSVVLookUP(ROW(行数!A415),配列!$C$4,集計記録,8,1),"0:01"))</f>
        <v>#NAME?</v>
      </c>
      <c r="I423" s="104" t="e">
        <f t="shared" ca="1" si="49"/>
        <v>#NAME?</v>
      </c>
      <c r="J423" s="119" t="e">
        <f ca="1">IF(C423="","",MROUND([0]!CSVVLookUP(ROW(行数!A415),配列!$C$4,集計記録,7,1),"0:01"))</f>
        <v>#NAME?</v>
      </c>
      <c r="K423" s="92" t="e">
        <f ca="1">IF(C423="","",[0]!CSVVLookUP(ROW(行数!A415),配列!$C$4,集計記録,5,1))</f>
        <v>#NAME?</v>
      </c>
      <c r="L423" s="104" t="e">
        <f t="shared" ca="1" si="50"/>
        <v>#NAME?</v>
      </c>
      <c r="M423" s="120" t="e">
        <f t="shared" ca="1" si="44"/>
        <v>#NAME?</v>
      </c>
      <c r="N423" s="120" t="e">
        <f ca="1">IF([0]!CSVVLookUP(ROW(行数!A415),配列!$C$4,集計記録,6,1)=0,"",[0]!CSVVLookUP(ROW(行数!A415),配列!$C$4,集計記録,6,1))</f>
        <v>#NAME?</v>
      </c>
      <c r="O423" s="88" t="e">
        <f ca="1">IF(INDIRECT("M"&amp;ROW()-1)&lt;&gt;INDIRECT("M"&amp;ROW()),リスト!$I$5,"")</f>
        <v>#NAME?</v>
      </c>
      <c r="P423" s="88" t="e">
        <f ca="1">IF(INDIRECT("M"&amp;ROW())&lt;&gt;INDIRECT("M"&amp;ROW()+1),リスト!$I$6,"")</f>
        <v>#NAME?</v>
      </c>
    </row>
    <row r="424" spans="1:16" x14ac:dyDescent="0.2">
      <c r="A424" s="169" t="e">
        <f ca="1">IF(C424="","",ROW(行数!A416))</f>
        <v>#NAME?</v>
      </c>
      <c r="B424" s="168" t="e">
        <f t="shared" ca="1" si="45"/>
        <v>#NAME?</v>
      </c>
      <c r="C424" s="90" t="e">
        <f ca="1">[0]!CSVVLookUP(ROW(行数!A416),配列!$C$4,集計記録,3,1)</f>
        <v>#NAME?</v>
      </c>
      <c r="D424" s="90" t="e">
        <f ca="1">[0]!CSVVLookUP(ROW(行数!B416),配列!$C$4,集計記録,4,1)</f>
        <v>#NAME?</v>
      </c>
      <c r="E424" s="118" t="e">
        <f t="shared" ca="1" si="46"/>
        <v>#NAME?</v>
      </c>
      <c r="F424" s="118" t="e">
        <f t="shared" ca="1" si="47"/>
        <v>#NAME?</v>
      </c>
      <c r="G424" s="103" t="e">
        <f t="shared" ca="1" si="48"/>
        <v>#NAME?</v>
      </c>
      <c r="H424" s="104" t="e">
        <f ca="1">IF(C424="","",MROUND([0]!CSVVLookUP(ROW(行数!A416),配列!$C$4,集計記録,8,1),"0:01"))</f>
        <v>#NAME?</v>
      </c>
      <c r="I424" s="104" t="e">
        <f t="shared" ca="1" si="49"/>
        <v>#NAME?</v>
      </c>
      <c r="J424" s="119" t="e">
        <f ca="1">IF(C424="","",MROUND([0]!CSVVLookUP(ROW(行数!A416),配列!$C$4,集計記録,7,1),"0:01"))</f>
        <v>#NAME?</v>
      </c>
      <c r="K424" s="92" t="e">
        <f ca="1">IF(C424="","",[0]!CSVVLookUP(ROW(行数!A416),配列!$C$4,集計記録,5,1))</f>
        <v>#NAME?</v>
      </c>
      <c r="L424" s="104" t="e">
        <f t="shared" ca="1" si="50"/>
        <v>#NAME?</v>
      </c>
      <c r="M424" s="120" t="e">
        <f t="shared" ca="1" si="44"/>
        <v>#NAME?</v>
      </c>
      <c r="N424" s="120" t="e">
        <f ca="1">IF([0]!CSVVLookUP(ROW(行数!A416),配列!$C$4,集計記録,6,1)=0,"",[0]!CSVVLookUP(ROW(行数!A416),配列!$C$4,集計記録,6,1))</f>
        <v>#NAME?</v>
      </c>
      <c r="O424" s="88" t="e">
        <f ca="1">IF(INDIRECT("M"&amp;ROW()-1)&lt;&gt;INDIRECT("M"&amp;ROW()),リスト!$I$5,"")</f>
        <v>#NAME?</v>
      </c>
      <c r="P424" s="88" t="e">
        <f ca="1">IF(INDIRECT("M"&amp;ROW())&lt;&gt;INDIRECT("M"&amp;ROW()+1),リスト!$I$6,"")</f>
        <v>#NAME?</v>
      </c>
    </row>
    <row r="425" spans="1:16" x14ac:dyDescent="0.2">
      <c r="A425" s="169" t="e">
        <f ca="1">IF(C425="","",ROW(行数!A417))</f>
        <v>#NAME?</v>
      </c>
      <c r="B425" s="168" t="e">
        <f t="shared" ca="1" si="45"/>
        <v>#NAME?</v>
      </c>
      <c r="C425" s="90" t="e">
        <f ca="1">[0]!CSVVLookUP(ROW(行数!A417),配列!$C$4,集計記録,3,1)</f>
        <v>#NAME?</v>
      </c>
      <c r="D425" s="90" t="e">
        <f ca="1">[0]!CSVVLookUP(ROW(行数!B417),配列!$C$4,集計記録,4,1)</f>
        <v>#NAME?</v>
      </c>
      <c r="E425" s="118" t="e">
        <f t="shared" ca="1" si="46"/>
        <v>#NAME?</v>
      </c>
      <c r="F425" s="118" t="e">
        <f t="shared" ca="1" si="47"/>
        <v>#NAME?</v>
      </c>
      <c r="G425" s="103" t="e">
        <f t="shared" ca="1" si="48"/>
        <v>#NAME?</v>
      </c>
      <c r="H425" s="104" t="e">
        <f ca="1">IF(C425="","",MROUND([0]!CSVVLookUP(ROW(行数!A417),配列!$C$4,集計記録,8,1),"0:01"))</f>
        <v>#NAME?</v>
      </c>
      <c r="I425" s="104" t="e">
        <f t="shared" ca="1" si="49"/>
        <v>#NAME?</v>
      </c>
      <c r="J425" s="119" t="e">
        <f ca="1">IF(C425="","",MROUND([0]!CSVVLookUP(ROW(行数!A417),配列!$C$4,集計記録,7,1),"0:01"))</f>
        <v>#NAME?</v>
      </c>
      <c r="K425" s="92" t="e">
        <f ca="1">IF(C425="","",[0]!CSVVLookUP(ROW(行数!A417),配列!$C$4,集計記録,5,1))</f>
        <v>#NAME?</v>
      </c>
      <c r="L425" s="104" t="e">
        <f t="shared" ca="1" si="50"/>
        <v>#NAME?</v>
      </c>
      <c r="M425" s="120" t="e">
        <f t="shared" ca="1" si="44"/>
        <v>#NAME?</v>
      </c>
      <c r="N425" s="120" t="e">
        <f ca="1">IF([0]!CSVVLookUP(ROW(行数!A417),配列!$C$4,集計記録,6,1)=0,"",[0]!CSVVLookUP(ROW(行数!A417),配列!$C$4,集計記録,6,1))</f>
        <v>#NAME?</v>
      </c>
      <c r="O425" s="88" t="e">
        <f ca="1">IF(INDIRECT("M"&amp;ROW()-1)&lt;&gt;INDIRECT("M"&amp;ROW()),リスト!$I$5,"")</f>
        <v>#NAME?</v>
      </c>
      <c r="P425" s="88" t="e">
        <f ca="1">IF(INDIRECT("M"&amp;ROW())&lt;&gt;INDIRECT("M"&amp;ROW()+1),リスト!$I$6,"")</f>
        <v>#NAME?</v>
      </c>
    </row>
    <row r="426" spans="1:16" x14ac:dyDescent="0.2">
      <c r="A426" s="169" t="e">
        <f ca="1">IF(C426="","",ROW(行数!A418))</f>
        <v>#NAME?</v>
      </c>
      <c r="B426" s="168" t="e">
        <f t="shared" ca="1" si="45"/>
        <v>#NAME?</v>
      </c>
      <c r="C426" s="90" t="e">
        <f ca="1">[0]!CSVVLookUP(ROW(行数!A418),配列!$C$4,集計記録,3,1)</f>
        <v>#NAME?</v>
      </c>
      <c r="D426" s="90" t="e">
        <f ca="1">[0]!CSVVLookUP(ROW(行数!B418),配列!$C$4,集計記録,4,1)</f>
        <v>#NAME?</v>
      </c>
      <c r="E426" s="118" t="e">
        <f t="shared" ca="1" si="46"/>
        <v>#NAME?</v>
      </c>
      <c r="F426" s="118" t="e">
        <f t="shared" ca="1" si="47"/>
        <v>#NAME?</v>
      </c>
      <c r="G426" s="103" t="e">
        <f t="shared" ca="1" si="48"/>
        <v>#NAME?</v>
      </c>
      <c r="H426" s="104" t="e">
        <f ca="1">IF(C426="","",MROUND([0]!CSVVLookUP(ROW(行数!A418),配列!$C$4,集計記録,8,1),"0:01"))</f>
        <v>#NAME?</v>
      </c>
      <c r="I426" s="104" t="e">
        <f t="shared" ca="1" si="49"/>
        <v>#NAME?</v>
      </c>
      <c r="J426" s="119" t="e">
        <f ca="1">IF(C426="","",MROUND([0]!CSVVLookUP(ROW(行数!A418),配列!$C$4,集計記録,7,1),"0:01"))</f>
        <v>#NAME?</v>
      </c>
      <c r="K426" s="92" t="e">
        <f ca="1">IF(C426="","",[0]!CSVVLookUP(ROW(行数!A418),配列!$C$4,集計記録,5,1))</f>
        <v>#NAME?</v>
      </c>
      <c r="L426" s="104" t="e">
        <f t="shared" ca="1" si="50"/>
        <v>#NAME?</v>
      </c>
      <c r="M426" s="120" t="e">
        <f t="shared" ca="1" si="44"/>
        <v>#NAME?</v>
      </c>
      <c r="N426" s="120" t="e">
        <f ca="1">IF([0]!CSVVLookUP(ROW(行数!A418),配列!$C$4,集計記録,6,1)=0,"",[0]!CSVVLookUP(ROW(行数!A418),配列!$C$4,集計記録,6,1))</f>
        <v>#NAME?</v>
      </c>
      <c r="O426" s="88" t="e">
        <f ca="1">IF(INDIRECT("M"&amp;ROW()-1)&lt;&gt;INDIRECT("M"&amp;ROW()),リスト!$I$5,"")</f>
        <v>#NAME?</v>
      </c>
      <c r="P426" s="88" t="e">
        <f ca="1">IF(INDIRECT("M"&amp;ROW())&lt;&gt;INDIRECT("M"&amp;ROW()+1),リスト!$I$6,"")</f>
        <v>#NAME?</v>
      </c>
    </row>
    <row r="427" spans="1:16" x14ac:dyDescent="0.2">
      <c r="A427" s="169" t="e">
        <f ca="1">IF(C427="","",ROW(行数!A419))</f>
        <v>#NAME?</v>
      </c>
      <c r="B427" s="168" t="e">
        <f t="shared" ca="1" si="45"/>
        <v>#NAME?</v>
      </c>
      <c r="C427" s="90" t="e">
        <f ca="1">[0]!CSVVLookUP(ROW(行数!A419),配列!$C$4,集計記録,3,1)</f>
        <v>#NAME?</v>
      </c>
      <c r="D427" s="90" t="e">
        <f ca="1">[0]!CSVVLookUP(ROW(行数!B419),配列!$C$4,集計記録,4,1)</f>
        <v>#NAME?</v>
      </c>
      <c r="E427" s="118" t="e">
        <f t="shared" ca="1" si="46"/>
        <v>#NAME?</v>
      </c>
      <c r="F427" s="118" t="e">
        <f t="shared" ca="1" si="47"/>
        <v>#NAME?</v>
      </c>
      <c r="G427" s="103" t="e">
        <f t="shared" ca="1" si="48"/>
        <v>#NAME?</v>
      </c>
      <c r="H427" s="104" t="e">
        <f ca="1">IF(C427="","",MROUND([0]!CSVVLookUP(ROW(行数!A419),配列!$C$4,集計記録,8,1),"0:01"))</f>
        <v>#NAME?</v>
      </c>
      <c r="I427" s="104" t="e">
        <f t="shared" ca="1" si="49"/>
        <v>#NAME?</v>
      </c>
      <c r="J427" s="119" t="e">
        <f ca="1">IF(C427="","",MROUND([0]!CSVVLookUP(ROW(行数!A419),配列!$C$4,集計記録,7,1),"0:01"))</f>
        <v>#NAME?</v>
      </c>
      <c r="K427" s="92" t="e">
        <f ca="1">IF(C427="","",[0]!CSVVLookUP(ROW(行数!A419),配列!$C$4,集計記録,5,1))</f>
        <v>#NAME?</v>
      </c>
      <c r="L427" s="104" t="e">
        <f t="shared" ca="1" si="50"/>
        <v>#NAME?</v>
      </c>
      <c r="M427" s="120" t="e">
        <f t="shared" ca="1" si="44"/>
        <v>#NAME?</v>
      </c>
      <c r="N427" s="120" t="e">
        <f ca="1">IF([0]!CSVVLookUP(ROW(行数!A419),配列!$C$4,集計記録,6,1)=0,"",[0]!CSVVLookUP(ROW(行数!A419),配列!$C$4,集計記録,6,1))</f>
        <v>#NAME?</v>
      </c>
      <c r="O427" s="88" t="e">
        <f ca="1">IF(INDIRECT("M"&amp;ROW()-1)&lt;&gt;INDIRECT("M"&amp;ROW()),リスト!$I$5,"")</f>
        <v>#NAME?</v>
      </c>
      <c r="P427" s="88" t="e">
        <f ca="1">IF(INDIRECT("M"&amp;ROW())&lt;&gt;INDIRECT("M"&amp;ROW()+1),リスト!$I$6,"")</f>
        <v>#NAME?</v>
      </c>
    </row>
    <row r="428" spans="1:16" x14ac:dyDescent="0.2">
      <c r="A428" s="169" t="e">
        <f ca="1">IF(C428="","",ROW(行数!A420))</f>
        <v>#NAME?</v>
      </c>
      <c r="B428" s="168" t="e">
        <f t="shared" ca="1" si="45"/>
        <v>#NAME?</v>
      </c>
      <c r="C428" s="90" t="e">
        <f ca="1">[0]!CSVVLookUP(ROW(行数!A420),配列!$C$4,集計記録,3,1)</f>
        <v>#NAME?</v>
      </c>
      <c r="D428" s="90" t="e">
        <f ca="1">[0]!CSVVLookUP(ROW(行数!B420),配列!$C$4,集計記録,4,1)</f>
        <v>#NAME?</v>
      </c>
      <c r="E428" s="118" t="e">
        <f t="shared" ca="1" si="46"/>
        <v>#NAME?</v>
      </c>
      <c r="F428" s="118" t="e">
        <f t="shared" ca="1" si="47"/>
        <v>#NAME?</v>
      </c>
      <c r="G428" s="103" t="e">
        <f t="shared" ca="1" si="48"/>
        <v>#NAME?</v>
      </c>
      <c r="H428" s="104" t="e">
        <f ca="1">IF(C428="","",MROUND([0]!CSVVLookUP(ROW(行数!A420),配列!$C$4,集計記録,8,1),"0:01"))</f>
        <v>#NAME?</v>
      </c>
      <c r="I428" s="104" t="e">
        <f t="shared" ca="1" si="49"/>
        <v>#NAME?</v>
      </c>
      <c r="J428" s="119" t="e">
        <f ca="1">IF(C428="","",MROUND([0]!CSVVLookUP(ROW(行数!A420),配列!$C$4,集計記録,7,1),"0:01"))</f>
        <v>#NAME?</v>
      </c>
      <c r="K428" s="92" t="e">
        <f ca="1">IF(C428="","",[0]!CSVVLookUP(ROW(行数!A420),配列!$C$4,集計記録,5,1))</f>
        <v>#NAME?</v>
      </c>
      <c r="L428" s="104" t="e">
        <f t="shared" ca="1" si="50"/>
        <v>#NAME?</v>
      </c>
      <c r="M428" s="120" t="e">
        <f t="shared" ca="1" si="44"/>
        <v>#NAME?</v>
      </c>
      <c r="N428" s="120" t="e">
        <f ca="1">IF([0]!CSVVLookUP(ROW(行数!A420),配列!$C$4,集計記録,6,1)=0,"",[0]!CSVVLookUP(ROW(行数!A420),配列!$C$4,集計記録,6,1))</f>
        <v>#NAME?</v>
      </c>
      <c r="O428" s="88" t="e">
        <f ca="1">IF(INDIRECT("M"&amp;ROW()-1)&lt;&gt;INDIRECT("M"&amp;ROW()),リスト!$I$5,"")</f>
        <v>#NAME?</v>
      </c>
      <c r="P428" s="88" t="e">
        <f ca="1">IF(INDIRECT("M"&amp;ROW())&lt;&gt;INDIRECT("M"&amp;ROW()+1),リスト!$I$6,"")</f>
        <v>#NAME?</v>
      </c>
    </row>
    <row r="429" spans="1:16" x14ac:dyDescent="0.2">
      <c r="A429" s="169" t="e">
        <f ca="1">IF(C429="","",ROW(行数!A421))</f>
        <v>#NAME?</v>
      </c>
      <c r="B429" s="168" t="e">
        <f t="shared" ca="1" si="45"/>
        <v>#NAME?</v>
      </c>
      <c r="C429" s="90" t="e">
        <f ca="1">[0]!CSVVLookUP(ROW(行数!A421),配列!$C$4,集計記録,3,1)</f>
        <v>#NAME?</v>
      </c>
      <c r="D429" s="90" t="e">
        <f ca="1">[0]!CSVVLookUP(ROW(行数!B421),配列!$C$4,集計記録,4,1)</f>
        <v>#NAME?</v>
      </c>
      <c r="E429" s="118" t="e">
        <f t="shared" ca="1" si="46"/>
        <v>#NAME?</v>
      </c>
      <c r="F429" s="118" t="e">
        <f t="shared" ca="1" si="47"/>
        <v>#NAME?</v>
      </c>
      <c r="G429" s="103" t="e">
        <f t="shared" ca="1" si="48"/>
        <v>#NAME?</v>
      </c>
      <c r="H429" s="104" t="e">
        <f ca="1">IF(C429="","",MROUND([0]!CSVVLookUP(ROW(行数!A421),配列!$C$4,集計記録,8,1),"0:01"))</f>
        <v>#NAME?</v>
      </c>
      <c r="I429" s="104" t="e">
        <f t="shared" ca="1" si="49"/>
        <v>#NAME?</v>
      </c>
      <c r="J429" s="119" t="e">
        <f ca="1">IF(C429="","",MROUND([0]!CSVVLookUP(ROW(行数!A421),配列!$C$4,集計記録,7,1),"0:01"))</f>
        <v>#NAME?</v>
      </c>
      <c r="K429" s="92" t="e">
        <f ca="1">IF(C429="","",[0]!CSVVLookUP(ROW(行数!A421),配列!$C$4,集計記録,5,1))</f>
        <v>#NAME?</v>
      </c>
      <c r="L429" s="104" t="e">
        <f t="shared" ca="1" si="50"/>
        <v>#NAME?</v>
      </c>
      <c r="M429" s="120" t="e">
        <f t="shared" ca="1" si="44"/>
        <v>#NAME?</v>
      </c>
      <c r="N429" s="120" t="e">
        <f ca="1">IF([0]!CSVVLookUP(ROW(行数!A421),配列!$C$4,集計記録,6,1)=0,"",[0]!CSVVLookUP(ROW(行数!A421),配列!$C$4,集計記録,6,1))</f>
        <v>#NAME?</v>
      </c>
      <c r="O429" s="88" t="e">
        <f ca="1">IF(INDIRECT("M"&amp;ROW()-1)&lt;&gt;INDIRECT("M"&amp;ROW()),リスト!$I$5,"")</f>
        <v>#NAME?</v>
      </c>
      <c r="P429" s="88" t="e">
        <f ca="1">IF(INDIRECT("M"&amp;ROW())&lt;&gt;INDIRECT("M"&amp;ROW()+1),リスト!$I$6,"")</f>
        <v>#NAME?</v>
      </c>
    </row>
    <row r="430" spans="1:16" x14ac:dyDescent="0.2">
      <c r="A430" s="169" t="e">
        <f ca="1">IF(C430="","",ROW(行数!A422))</f>
        <v>#NAME?</v>
      </c>
      <c r="B430" s="168" t="e">
        <f t="shared" ca="1" si="45"/>
        <v>#NAME?</v>
      </c>
      <c r="C430" s="90" t="e">
        <f ca="1">[0]!CSVVLookUP(ROW(行数!A422),配列!$C$4,集計記録,3,1)</f>
        <v>#NAME?</v>
      </c>
      <c r="D430" s="90" t="e">
        <f ca="1">[0]!CSVVLookUP(ROW(行数!B422),配列!$C$4,集計記録,4,1)</f>
        <v>#NAME?</v>
      </c>
      <c r="E430" s="118" t="e">
        <f t="shared" ca="1" si="46"/>
        <v>#NAME?</v>
      </c>
      <c r="F430" s="118" t="e">
        <f t="shared" ca="1" si="47"/>
        <v>#NAME?</v>
      </c>
      <c r="G430" s="103" t="e">
        <f t="shared" ca="1" si="48"/>
        <v>#NAME?</v>
      </c>
      <c r="H430" s="104" t="e">
        <f ca="1">IF(C430="","",MROUND([0]!CSVVLookUP(ROW(行数!A422),配列!$C$4,集計記録,8,1),"0:01"))</f>
        <v>#NAME?</v>
      </c>
      <c r="I430" s="104" t="e">
        <f t="shared" ca="1" si="49"/>
        <v>#NAME?</v>
      </c>
      <c r="J430" s="119" t="e">
        <f ca="1">IF(C430="","",MROUND([0]!CSVVLookUP(ROW(行数!A422),配列!$C$4,集計記録,7,1),"0:01"))</f>
        <v>#NAME?</v>
      </c>
      <c r="K430" s="92" t="e">
        <f ca="1">IF(C430="","",[0]!CSVVLookUP(ROW(行数!A422),配列!$C$4,集計記録,5,1))</f>
        <v>#NAME?</v>
      </c>
      <c r="L430" s="104" t="e">
        <f t="shared" ca="1" si="50"/>
        <v>#NAME?</v>
      </c>
      <c r="M430" s="120" t="e">
        <f t="shared" ca="1" si="44"/>
        <v>#NAME?</v>
      </c>
      <c r="N430" s="120" t="e">
        <f ca="1">IF([0]!CSVVLookUP(ROW(行数!A422),配列!$C$4,集計記録,6,1)=0,"",[0]!CSVVLookUP(ROW(行数!A422),配列!$C$4,集計記録,6,1))</f>
        <v>#NAME?</v>
      </c>
      <c r="O430" s="88" t="e">
        <f ca="1">IF(INDIRECT("M"&amp;ROW()-1)&lt;&gt;INDIRECT("M"&amp;ROW()),リスト!$I$5,"")</f>
        <v>#NAME?</v>
      </c>
      <c r="P430" s="88" t="e">
        <f ca="1">IF(INDIRECT("M"&amp;ROW())&lt;&gt;INDIRECT("M"&amp;ROW()+1),リスト!$I$6,"")</f>
        <v>#NAME?</v>
      </c>
    </row>
    <row r="431" spans="1:16" x14ac:dyDescent="0.2">
      <c r="A431" s="169" t="e">
        <f ca="1">IF(C431="","",ROW(行数!A423))</f>
        <v>#NAME?</v>
      </c>
      <c r="B431" s="168" t="e">
        <f t="shared" ca="1" si="45"/>
        <v>#NAME?</v>
      </c>
      <c r="C431" s="90" t="e">
        <f ca="1">[0]!CSVVLookUP(ROW(行数!A423),配列!$C$4,集計記録,3,1)</f>
        <v>#NAME?</v>
      </c>
      <c r="D431" s="90" t="e">
        <f ca="1">[0]!CSVVLookUP(ROW(行数!B423),配列!$C$4,集計記録,4,1)</f>
        <v>#NAME?</v>
      </c>
      <c r="E431" s="118" t="e">
        <f t="shared" ca="1" si="46"/>
        <v>#NAME?</v>
      </c>
      <c r="F431" s="118" t="e">
        <f t="shared" ca="1" si="47"/>
        <v>#NAME?</v>
      </c>
      <c r="G431" s="103" t="e">
        <f t="shared" ca="1" si="48"/>
        <v>#NAME?</v>
      </c>
      <c r="H431" s="104" t="e">
        <f ca="1">IF(C431="","",MROUND([0]!CSVVLookUP(ROW(行数!A423),配列!$C$4,集計記録,8,1),"0:01"))</f>
        <v>#NAME?</v>
      </c>
      <c r="I431" s="104" t="e">
        <f t="shared" ca="1" si="49"/>
        <v>#NAME?</v>
      </c>
      <c r="J431" s="119" t="e">
        <f ca="1">IF(C431="","",MROUND([0]!CSVVLookUP(ROW(行数!A423),配列!$C$4,集計記録,7,1),"0:01"))</f>
        <v>#NAME?</v>
      </c>
      <c r="K431" s="92" t="e">
        <f ca="1">IF(C431="","",[0]!CSVVLookUP(ROW(行数!A423),配列!$C$4,集計記録,5,1))</f>
        <v>#NAME?</v>
      </c>
      <c r="L431" s="104" t="e">
        <f t="shared" ca="1" si="50"/>
        <v>#NAME?</v>
      </c>
      <c r="M431" s="120" t="e">
        <f t="shared" ca="1" si="44"/>
        <v>#NAME?</v>
      </c>
      <c r="N431" s="120" t="e">
        <f ca="1">IF([0]!CSVVLookUP(ROW(行数!A423),配列!$C$4,集計記録,6,1)=0,"",[0]!CSVVLookUP(ROW(行数!A423),配列!$C$4,集計記録,6,1))</f>
        <v>#NAME?</v>
      </c>
      <c r="O431" s="88" t="e">
        <f ca="1">IF(INDIRECT("M"&amp;ROW()-1)&lt;&gt;INDIRECT("M"&amp;ROW()),リスト!$I$5,"")</f>
        <v>#NAME?</v>
      </c>
      <c r="P431" s="88" t="e">
        <f ca="1">IF(INDIRECT("M"&amp;ROW())&lt;&gt;INDIRECT("M"&amp;ROW()+1),リスト!$I$6,"")</f>
        <v>#NAME?</v>
      </c>
    </row>
    <row r="432" spans="1:16" x14ac:dyDescent="0.2">
      <c r="A432" s="169" t="e">
        <f ca="1">IF(C432="","",ROW(行数!A424))</f>
        <v>#NAME?</v>
      </c>
      <c r="B432" s="168" t="e">
        <f t="shared" ca="1" si="45"/>
        <v>#NAME?</v>
      </c>
      <c r="C432" s="90" t="e">
        <f ca="1">[0]!CSVVLookUP(ROW(行数!A424),配列!$C$4,集計記録,3,1)</f>
        <v>#NAME?</v>
      </c>
      <c r="D432" s="90" t="e">
        <f ca="1">[0]!CSVVLookUP(ROW(行数!B424),配列!$C$4,集計記録,4,1)</f>
        <v>#NAME?</v>
      </c>
      <c r="E432" s="118" t="e">
        <f t="shared" ca="1" si="46"/>
        <v>#NAME?</v>
      </c>
      <c r="F432" s="118" t="e">
        <f t="shared" ca="1" si="47"/>
        <v>#NAME?</v>
      </c>
      <c r="G432" s="103" t="e">
        <f t="shared" ca="1" si="48"/>
        <v>#NAME?</v>
      </c>
      <c r="H432" s="104" t="e">
        <f ca="1">IF(C432="","",MROUND([0]!CSVVLookUP(ROW(行数!A424),配列!$C$4,集計記録,8,1),"0:01"))</f>
        <v>#NAME?</v>
      </c>
      <c r="I432" s="104" t="e">
        <f t="shared" ca="1" si="49"/>
        <v>#NAME?</v>
      </c>
      <c r="J432" s="119" t="e">
        <f ca="1">IF(C432="","",MROUND([0]!CSVVLookUP(ROW(行数!A424),配列!$C$4,集計記録,7,1),"0:01"))</f>
        <v>#NAME?</v>
      </c>
      <c r="K432" s="92" t="e">
        <f ca="1">IF(C432="","",[0]!CSVVLookUP(ROW(行数!A424),配列!$C$4,集計記録,5,1))</f>
        <v>#NAME?</v>
      </c>
      <c r="L432" s="104" t="e">
        <f t="shared" ca="1" si="50"/>
        <v>#NAME?</v>
      </c>
      <c r="M432" s="120" t="e">
        <f t="shared" ca="1" si="44"/>
        <v>#NAME?</v>
      </c>
      <c r="N432" s="120" t="e">
        <f ca="1">IF([0]!CSVVLookUP(ROW(行数!A424),配列!$C$4,集計記録,6,1)=0,"",[0]!CSVVLookUP(ROW(行数!A424),配列!$C$4,集計記録,6,1))</f>
        <v>#NAME?</v>
      </c>
      <c r="O432" s="88" t="e">
        <f ca="1">IF(INDIRECT("M"&amp;ROW()-1)&lt;&gt;INDIRECT("M"&amp;ROW()),リスト!$I$5,"")</f>
        <v>#NAME?</v>
      </c>
      <c r="P432" s="88" t="e">
        <f ca="1">IF(INDIRECT("M"&amp;ROW())&lt;&gt;INDIRECT("M"&amp;ROW()+1),リスト!$I$6,"")</f>
        <v>#NAME?</v>
      </c>
    </row>
    <row r="433" spans="1:16" x14ac:dyDescent="0.2">
      <c r="A433" s="169" t="e">
        <f ca="1">IF(C433="","",ROW(行数!A425))</f>
        <v>#NAME?</v>
      </c>
      <c r="B433" s="168" t="e">
        <f t="shared" ca="1" si="45"/>
        <v>#NAME?</v>
      </c>
      <c r="C433" s="90" t="e">
        <f ca="1">[0]!CSVVLookUP(ROW(行数!A425),配列!$C$4,集計記録,3,1)</f>
        <v>#NAME?</v>
      </c>
      <c r="D433" s="90" t="e">
        <f ca="1">[0]!CSVVLookUP(ROW(行数!B425),配列!$C$4,集計記録,4,1)</f>
        <v>#NAME?</v>
      </c>
      <c r="E433" s="118" t="e">
        <f t="shared" ca="1" si="46"/>
        <v>#NAME?</v>
      </c>
      <c r="F433" s="118" t="e">
        <f t="shared" ca="1" si="47"/>
        <v>#NAME?</v>
      </c>
      <c r="G433" s="103" t="e">
        <f t="shared" ca="1" si="48"/>
        <v>#NAME?</v>
      </c>
      <c r="H433" s="104" t="e">
        <f ca="1">IF(C433="","",MROUND([0]!CSVVLookUP(ROW(行数!A425),配列!$C$4,集計記録,8,1),"0:01"))</f>
        <v>#NAME?</v>
      </c>
      <c r="I433" s="104" t="e">
        <f t="shared" ca="1" si="49"/>
        <v>#NAME?</v>
      </c>
      <c r="J433" s="119" t="e">
        <f ca="1">IF(C433="","",MROUND([0]!CSVVLookUP(ROW(行数!A425),配列!$C$4,集計記録,7,1),"0:01"))</f>
        <v>#NAME?</v>
      </c>
      <c r="K433" s="92" t="e">
        <f ca="1">IF(C433="","",[0]!CSVVLookUP(ROW(行数!A425),配列!$C$4,集計記録,5,1))</f>
        <v>#NAME?</v>
      </c>
      <c r="L433" s="104" t="e">
        <f t="shared" ca="1" si="50"/>
        <v>#NAME?</v>
      </c>
      <c r="M433" s="120" t="e">
        <f t="shared" ca="1" si="44"/>
        <v>#NAME?</v>
      </c>
      <c r="N433" s="120" t="e">
        <f ca="1">IF([0]!CSVVLookUP(ROW(行数!A425),配列!$C$4,集計記録,6,1)=0,"",[0]!CSVVLookUP(ROW(行数!A425),配列!$C$4,集計記録,6,1))</f>
        <v>#NAME?</v>
      </c>
      <c r="O433" s="88" t="e">
        <f ca="1">IF(INDIRECT("M"&amp;ROW()-1)&lt;&gt;INDIRECT("M"&amp;ROW()),リスト!$I$5,"")</f>
        <v>#NAME?</v>
      </c>
      <c r="P433" s="88" t="e">
        <f ca="1">IF(INDIRECT("M"&amp;ROW())&lt;&gt;INDIRECT("M"&amp;ROW()+1),リスト!$I$6,"")</f>
        <v>#NAME?</v>
      </c>
    </row>
    <row r="434" spans="1:16" x14ac:dyDescent="0.2">
      <c r="A434" s="169" t="e">
        <f ca="1">IF(C434="","",ROW(行数!A426))</f>
        <v>#NAME?</v>
      </c>
      <c r="B434" s="168" t="e">
        <f t="shared" ca="1" si="45"/>
        <v>#NAME?</v>
      </c>
      <c r="C434" s="90" t="e">
        <f ca="1">[0]!CSVVLookUP(ROW(行数!A426),配列!$C$4,集計記録,3,1)</f>
        <v>#NAME?</v>
      </c>
      <c r="D434" s="90" t="e">
        <f ca="1">[0]!CSVVLookUP(ROW(行数!B426),配列!$C$4,集計記録,4,1)</f>
        <v>#NAME?</v>
      </c>
      <c r="E434" s="118" t="e">
        <f t="shared" ca="1" si="46"/>
        <v>#NAME?</v>
      </c>
      <c r="F434" s="118" t="e">
        <f t="shared" ca="1" si="47"/>
        <v>#NAME?</v>
      </c>
      <c r="G434" s="103" t="e">
        <f t="shared" ca="1" si="48"/>
        <v>#NAME?</v>
      </c>
      <c r="H434" s="104" t="e">
        <f ca="1">IF(C434="","",MROUND([0]!CSVVLookUP(ROW(行数!A426),配列!$C$4,集計記録,8,1),"0:01"))</f>
        <v>#NAME?</v>
      </c>
      <c r="I434" s="104" t="e">
        <f t="shared" ca="1" si="49"/>
        <v>#NAME?</v>
      </c>
      <c r="J434" s="119" t="e">
        <f ca="1">IF(C434="","",MROUND([0]!CSVVLookUP(ROW(行数!A426),配列!$C$4,集計記録,7,1),"0:01"))</f>
        <v>#NAME?</v>
      </c>
      <c r="K434" s="92" t="e">
        <f ca="1">IF(C434="","",[0]!CSVVLookUP(ROW(行数!A426),配列!$C$4,集計記録,5,1))</f>
        <v>#NAME?</v>
      </c>
      <c r="L434" s="104" t="e">
        <f t="shared" ca="1" si="50"/>
        <v>#NAME?</v>
      </c>
      <c r="M434" s="120" t="e">
        <f t="shared" ca="1" si="44"/>
        <v>#NAME?</v>
      </c>
      <c r="N434" s="120" t="e">
        <f ca="1">IF([0]!CSVVLookUP(ROW(行数!A426),配列!$C$4,集計記録,6,1)=0,"",[0]!CSVVLookUP(ROW(行数!A426),配列!$C$4,集計記録,6,1))</f>
        <v>#NAME?</v>
      </c>
      <c r="O434" s="88" t="e">
        <f ca="1">IF(INDIRECT("M"&amp;ROW()-1)&lt;&gt;INDIRECT("M"&amp;ROW()),リスト!$I$5,"")</f>
        <v>#NAME?</v>
      </c>
      <c r="P434" s="88" t="e">
        <f ca="1">IF(INDIRECT("M"&amp;ROW())&lt;&gt;INDIRECT("M"&amp;ROW()+1),リスト!$I$6,"")</f>
        <v>#NAME?</v>
      </c>
    </row>
    <row r="435" spans="1:16" x14ac:dyDescent="0.2">
      <c r="A435" s="169" t="e">
        <f ca="1">IF(C435="","",ROW(行数!A427))</f>
        <v>#NAME?</v>
      </c>
      <c r="B435" s="168" t="e">
        <f t="shared" ca="1" si="45"/>
        <v>#NAME?</v>
      </c>
      <c r="C435" s="90" t="e">
        <f ca="1">[0]!CSVVLookUP(ROW(行数!A427),配列!$C$4,集計記録,3,1)</f>
        <v>#NAME?</v>
      </c>
      <c r="D435" s="90" t="e">
        <f ca="1">[0]!CSVVLookUP(ROW(行数!B427),配列!$C$4,集計記録,4,1)</f>
        <v>#NAME?</v>
      </c>
      <c r="E435" s="118" t="e">
        <f t="shared" ca="1" si="46"/>
        <v>#NAME?</v>
      </c>
      <c r="F435" s="118" t="e">
        <f t="shared" ca="1" si="47"/>
        <v>#NAME?</v>
      </c>
      <c r="G435" s="103" t="e">
        <f t="shared" ca="1" si="48"/>
        <v>#NAME?</v>
      </c>
      <c r="H435" s="104" t="e">
        <f ca="1">IF(C435="","",MROUND([0]!CSVVLookUP(ROW(行数!A427),配列!$C$4,集計記録,8,1),"0:01"))</f>
        <v>#NAME?</v>
      </c>
      <c r="I435" s="104" t="e">
        <f t="shared" ca="1" si="49"/>
        <v>#NAME?</v>
      </c>
      <c r="J435" s="119" t="e">
        <f ca="1">IF(C435="","",MROUND([0]!CSVVLookUP(ROW(行数!A427),配列!$C$4,集計記録,7,1),"0:01"))</f>
        <v>#NAME?</v>
      </c>
      <c r="K435" s="92" t="e">
        <f ca="1">IF(C435="","",[0]!CSVVLookUP(ROW(行数!A427),配列!$C$4,集計記録,5,1))</f>
        <v>#NAME?</v>
      </c>
      <c r="L435" s="104" t="e">
        <f t="shared" ca="1" si="50"/>
        <v>#NAME?</v>
      </c>
      <c r="M435" s="120" t="e">
        <f t="shared" ca="1" si="44"/>
        <v>#NAME?</v>
      </c>
      <c r="N435" s="120" t="e">
        <f ca="1">IF([0]!CSVVLookUP(ROW(行数!A427),配列!$C$4,集計記録,6,1)=0,"",[0]!CSVVLookUP(ROW(行数!A427),配列!$C$4,集計記録,6,1))</f>
        <v>#NAME?</v>
      </c>
      <c r="O435" s="88" t="e">
        <f ca="1">IF(INDIRECT("M"&amp;ROW()-1)&lt;&gt;INDIRECT("M"&amp;ROW()),リスト!$I$5,"")</f>
        <v>#NAME?</v>
      </c>
      <c r="P435" s="88" t="e">
        <f ca="1">IF(INDIRECT("M"&amp;ROW())&lt;&gt;INDIRECT("M"&amp;ROW()+1),リスト!$I$6,"")</f>
        <v>#NAME?</v>
      </c>
    </row>
    <row r="436" spans="1:16" x14ac:dyDescent="0.2">
      <c r="A436" s="169" t="e">
        <f ca="1">IF(C436="","",ROW(行数!A428))</f>
        <v>#NAME?</v>
      </c>
      <c r="B436" s="168" t="e">
        <f t="shared" ca="1" si="45"/>
        <v>#NAME?</v>
      </c>
      <c r="C436" s="90" t="e">
        <f ca="1">[0]!CSVVLookUP(ROW(行数!A428),配列!$C$4,集計記録,3,1)</f>
        <v>#NAME?</v>
      </c>
      <c r="D436" s="90" t="e">
        <f ca="1">[0]!CSVVLookUP(ROW(行数!B428),配列!$C$4,集計記録,4,1)</f>
        <v>#NAME?</v>
      </c>
      <c r="E436" s="118" t="e">
        <f t="shared" ca="1" si="46"/>
        <v>#NAME?</v>
      </c>
      <c r="F436" s="118" t="e">
        <f t="shared" ca="1" si="47"/>
        <v>#NAME?</v>
      </c>
      <c r="G436" s="103" t="e">
        <f t="shared" ca="1" si="48"/>
        <v>#NAME?</v>
      </c>
      <c r="H436" s="104" t="e">
        <f ca="1">IF(C436="","",MROUND([0]!CSVVLookUP(ROW(行数!A428),配列!$C$4,集計記録,8,1),"0:01"))</f>
        <v>#NAME?</v>
      </c>
      <c r="I436" s="104" t="e">
        <f t="shared" ca="1" si="49"/>
        <v>#NAME?</v>
      </c>
      <c r="J436" s="119" t="e">
        <f ca="1">IF(C436="","",MROUND([0]!CSVVLookUP(ROW(行数!A428),配列!$C$4,集計記録,7,1),"0:01"))</f>
        <v>#NAME?</v>
      </c>
      <c r="K436" s="92" t="e">
        <f ca="1">IF(C436="","",[0]!CSVVLookUP(ROW(行数!A428),配列!$C$4,集計記録,5,1))</f>
        <v>#NAME?</v>
      </c>
      <c r="L436" s="104" t="e">
        <f t="shared" ca="1" si="50"/>
        <v>#NAME?</v>
      </c>
      <c r="M436" s="120" t="e">
        <f t="shared" ca="1" si="44"/>
        <v>#NAME?</v>
      </c>
      <c r="N436" s="120" t="e">
        <f ca="1">IF([0]!CSVVLookUP(ROW(行数!A428),配列!$C$4,集計記録,6,1)=0,"",[0]!CSVVLookUP(ROW(行数!A428),配列!$C$4,集計記録,6,1))</f>
        <v>#NAME?</v>
      </c>
      <c r="O436" s="88" t="e">
        <f ca="1">IF(INDIRECT("M"&amp;ROW()-1)&lt;&gt;INDIRECT("M"&amp;ROW()),リスト!$I$5,"")</f>
        <v>#NAME?</v>
      </c>
      <c r="P436" s="88" t="e">
        <f ca="1">IF(INDIRECT("M"&amp;ROW())&lt;&gt;INDIRECT("M"&amp;ROW()+1),リスト!$I$6,"")</f>
        <v>#NAME?</v>
      </c>
    </row>
    <row r="437" spans="1:16" x14ac:dyDescent="0.2">
      <c r="A437" s="169" t="e">
        <f ca="1">IF(C437="","",ROW(行数!A429))</f>
        <v>#NAME?</v>
      </c>
      <c r="B437" s="168" t="e">
        <f t="shared" ca="1" si="45"/>
        <v>#NAME?</v>
      </c>
      <c r="C437" s="90" t="e">
        <f ca="1">[0]!CSVVLookUP(ROW(行数!A429),配列!$C$4,集計記録,3,1)</f>
        <v>#NAME?</v>
      </c>
      <c r="D437" s="90" t="e">
        <f ca="1">[0]!CSVVLookUP(ROW(行数!B429),配列!$C$4,集計記録,4,1)</f>
        <v>#NAME?</v>
      </c>
      <c r="E437" s="118" t="e">
        <f t="shared" ca="1" si="46"/>
        <v>#NAME?</v>
      </c>
      <c r="F437" s="118" t="e">
        <f t="shared" ca="1" si="47"/>
        <v>#NAME?</v>
      </c>
      <c r="G437" s="103" t="e">
        <f t="shared" ca="1" si="48"/>
        <v>#NAME?</v>
      </c>
      <c r="H437" s="104" t="e">
        <f ca="1">IF(C437="","",MROUND([0]!CSVVLookUP(ROW(行数!A429),配列!$C$4,集計記録,8,1),"0:01"))</f>
        <v>#NAME?</v>
      </c>
      <c r="I437" s="104" t="e">
        <f t="shared" ca="1" si="49"/>
        <v>#NAME?</v>
      </c>
      <c r="J437" s="119" t="e">
        <f ca="1">IF(C437="","",MROUND([0]!CSVVLookUP(ROW(行数!A429),配列!$C$4,集計記録,7,1),"0:01"))</f>
        <v>#NAME?</v>
      </c>
      <c r="K437" s="92" t="e">
        <f ca="1">IF(C437="","",[0]!CSVVLookUP(ROW(行数!A429),配列!$C$4,集計記録,5,1))</f>
        <v>#NAME?</v>
      </c>
      <c r="L437" s="104" t="e">
        <f t="shared" ca="1" si="50"/>
        <v>#NAME?</v>
      </c>
      <c r="M437" s="120" t="e">
        <f t="shared" ca="1" si="44"/>
        <v>#NAME?</v>
      </c>
      <c r="N437" s="120" t="e">
        <f ca="1">IF([0]!CSVVLookUP(ROW(行数!A429),配列!$C$4,集計記録,6,1)=0,"",[0]!CSVVLookUP(ROW(行数!A429),配列!$C$4,集計記録,6,1))</f>
        <v>#NAME?</v>
      </c>
      <c r="O437" s="88" t="e">
        <f ca="1">IF(INDIRECT("M"&amp;ROW()-1)&lt;&gt;INDIRECT("M"&amp;ROW()),リスト!$I$5,"")</f>
        <v>#NAME?</v>
      </c>
      <c r="P437" s="88" t="e">
        <f ca="1">IF(INDIRECT("M"&amp;ROW())&lt;&gt;INDIRECT("M"&amp;ROW()+1),リスト!$I$6,"")</f>
        <v>#NAME?</v>
      </c>
    </row>
    <row r="438" spans="1:16" x14ac:dyDescent="0.2">
      <c r="A438" s="169" t="e">
        <f ca="1">IF(C438="","",ROW(行数!A430))</f>
        <v>#NAME?</v>
      </c>
      <c r="B438" s="168" t="e">
        <f t="shared" ca="1" si="45"/>
        <v>#NAME?</v>
      </c>
      <c r="C438" s="90" t="e">
        <f ca="1">[0]!CSVVLookUP(ROW(行数!A430),配列!$C$4,集計記録,3,1)</f>
        <v>#NAME?</v>
      </c>
      <c r="D438" s="90" t="e">
        <f ca="1">[0]!CSVVLookUP(ROW(行数!B430),配列!$C$4,集計記録,4,1)</f>
        <v>#NAME?</v>
      </c>
      <c r="E438" s="118" t="e">
        <f t="shared" ca="1" si="46"/>
        <v>#NAME?</v>
      </c>
      <c r="F438" s="118" t="e">
        <f t="shared" ca="1" si="47"/>
        <v>#NAME?</v>
      </c>
      <c r="G438" s="103" t="e">
        <f t="shared" ca="1" si="48"/>
        <v>#NAME?</v>
      </c>
      <c r="H438" s="104" t="e">
        <f ca="1">IF(C438="","",MROUND([0]!CSVVLookUP(ROW(行数!A430),配列!$C$4,集計記録,8,1),"0:01"))</f>
        <v>#NAME?</v>
      </c>
      <c r="I438" s="104" t="e">
        <f t="shared" ca="1" si="49"/>
        <v>#NAME?</v>
      </c>
      <c r="J438" s="119" t="e">
        <f ca="1">IF(C438="","",MROUND([0]!CSVVLookUP(ROW(行数!A430),配列!$C$4,集計記録,7,1),"0:01"))</f>
        <v>#NAME?</v>
      </c>
      <c r="K438" s="92" t="e">
        <f ca="1">IF(C438="","",[0]!CSVVLookUP(ROW(行数!A430),配列!$C$4,集計記録,5,1))</f>
        <v>#NAME?</v>
      </c>
      <c r="L438" s="104" t="e">
        <f t="shared" ca="1" si="50"/>
        <v>#NAME?</v>
      </c>
      <c r="M438" s="120" t="e">
        <f t="shared" ca="1" si="44"/>
        <v>#NAME?</v>
      </c>
      <c r="N438" s="120" t="e">
        <f ca="1">IF([0]!CSVVLookUP(ROW(行数!A430),配列!$C$4,集計記録,6,1)=0,"",[0]!CSVVLookUP(ROW(行数!A430),配列!$C$4,集計記録,6,1))</f>
        <v>#NAME?</v>
      </c>
      <c r="O438" s="88" t="e">
        <f ca="1">IF(INDIRECT("M"&amp;ROW()-1)&lt;&gt;INDIRECT("M"&amp;ROW()),リスト!$I$5,"")</f>
        <v>#NAME?</v>
      </c>
      <c r="P438" s="88" t="e">
        <f ca="1">IF(INDIRECT("M"&amp;ROW())&lt;&gt;INDIRECT("M"&amp;ROW()+1),リスト!$I$6,"")</f>
        <v>#NAME?</v>
      </c>
    </row>
    <row r="439" spans="1:16" x14ac:dyDescent="0.2">
      <c r="A439" s="169" t="e">
        <f ca="1">IF(C439="","",ROW(行数!A431))</f>
        <v>#NAME?</v>
      </c>
      <c r="B439" s="168" t="e">
        <f t="shared" ca="1" si="45"/>
        <v>#NAME?</v>
      </c>
      <c r="C439" s="90" t="e">
        <f ca="1">[0]!CSVVLookUP(ROW(行数!A431),配列!$C$4,集計記録,3,1)</f>
        <v>#NAME?</v>
      </c>
      <c r="D439" s="90" t="e">
        <f ca="1">[0]!CSVVLookUP(ROW(行数!B431),配列!$C$4,集計記録,4,1)</f>
        <v>#NAME?</v>
      </c>
      <c r="E439" s="118" t="e">
        <f t="shared" ca="1" si="46"/>
        <v>#NAME?</v>
      </c>
      <c r="F439" s="118" t="e">
        <f t="shared" ca="1" si="47"/>
        <v>#NAME?</v>
      </c>
      <c r="G439" s="103" t="e">
        <f t="shared" ca="1" si="48"/>
        <v>#NAME?</v>
      </c>
      <c r="H439" s="104" t="e">
        <f ca="1">IF(C439="","",MROUND([0]!CSVVLookUP(ROW(行数!A431),配列!$C$4,集計記録,8,1),"0:01"))</f>
        <v>#NAME?</v>
      </c>
      <c r="I439" s="104" t="e">
        <f t="shared" ca="1" si="49"/>
        <v>#NAME?</v>
      </c>
      <c r="J439" s="119" t="e">
        <f ca="1">IF(C439="","",MROUND([0]!CSVVLookUP(ROW(行数!A431),配列!$C$4,集計記録,7,1),"0:01"))</f>
        <v>#NAME?</v>
      </c>
      <c r="K439" s="92" t="e">
        <f ca="1">IF(C439="","",[0]!CSVVLookUP(ROW(行数!A431),配列!$C$4,集計記録,5,1))</f>
        <v>#NAME?</v>
      </c>
      <c r="L439" s="104" t="e">
        <f t="shared" ca="1" si="50"/>
        <v>#NAME?</v>
      </c>
      <c r="M439" s="120" t="e">
        <f t="shared" ca="1" si="44"/>
        <v>#NAME?</v>
      </c>
      <c r="N439" s="120" t="e">
        <f ca="1">IF([0]!CSVVLookUP(ROW(行数!A431),配列!$C$4,集計記録,6,1)=0,"",[0]!CSVVLookUP(ROW(行数!A431),配列!$C$4,集計記録,6,1))</f>
        <v>#NAME?</v>
      </c>
      <c r="O439" s="88" t="e">
        <f ca="1">IF(INDIRECT("M"&amp;ROW()-1)&lt;&gt;INDIRECT("M"&amp;ROW()),リスト!$I$5,"")</f>
        <v>#NAME?</v>
      </c>
      <c r="P439" s="88" t="e">
        <f ca="1">IF(INDIRECT("M"&amp;ROW())&lt;&gt;INDIRECT("M"&amp;ROW()+1),リスト!$I$6,"")</f>
        <v>#NAME?</v>
      </c>
    </row>
    <row r="440" spans="1:16" x14ac:dyDescent="0.2">
      <c r="A440" s="169" t="e">
        <f ca="1">IF(C440="","",ROW(行数!A432))</f>
        <v>#NAME?</v>
      </c>
      <c r="B440" s="168" t="e">
        <f t="shared" ca="1" si="45"/>
        <v>#NAME?</v>
      </c>
      <c r="C440" s="90" t="e">
        <f ca="1">[0]!CSVVLookUP(ROW(行数!A432),配列!$C$4,集計記録,3,1)</f>
        <v>#NAME?</v>
      </c>
      <c r="D440" s="90" t="e">
        <f ca="1">[0]!CSVVLookUP(ROW(行数!B432),配列!$C$4,集計記録,4,1)</f>
        <v>#NAME?</v>
      </c>
      <c r="E440" s="118" t="e">
        <f t="shared" ca="1" si="46"/>
        <v>#NAME?</v>
      </c>
      <c r="F440" s="118" t="e">
        <f t="shared" ca="1" si="47"/>
        <v>#NAME?</v>
      </c>
      <c r="G440" s="103" t="e">
        <f t="shared" ca="1" si="48"/>
        <v>#NAME?</v>
      </c>
      <c r="H440" s="104" t="e">
        <f ca="1">IF(C440="","",MROUND([0]!CSVVLookUP(ROW(行数!A432),配列!$C$4,集計記録,8,1),"0:01"))</f>
        <v>#NAME?</v>
      </c>
      <c r="I440" s="104" t="e">
        <f t="shared" ca="1" si="49"/>
        <v>#NAME?</v>
      </c>
      <c r="J440" s="119" t="e">
        <f ca="1">IF(C440="","",MROUND([0]!CSVVLookUP(ROW(行数!A432),配列!$C$4,集計記録,7,1),"0:01"))</f>
        <v>#NAME?</v>
      </c>
      <c r="K440" s="92" t="e">
        <f ca="1">IF(C440="","",[0]!CSVVLookUP(ROW(行数!A432),配列!$C$4,集計記録,5,1))</f>
        <v>#NAME?</v>
      </c>
      <c r="L440" s="104" t="e">
        <f t="shared" ca="1" si="50"/>
        <v>#NAME?</v>
      </c>
      <c r="M440" s="120" t="e">
        <f t="shared" ca="1" si="44"/>
        <v>#NAME?</v>
      </c>
      <c r="N440" s="120" t="e">
        <f ca="1">IF([0]!CSVVLookUP(ROW(行数!A432),配列!$C$4,集計記録,6,1)=0,"",[0]!CSVVLookUP(ROW(行数!A432),配列!$C$4,集計記録,6,1))</f>
        <v>#NAME?</v>
      </c>
      <c r="O440" s="88" t="e">
        <f ca="1">IF(INDIRECT("M"&amp;ROW()-1)&lt;&gt;INDIRECT("M"&amp;ROW()),リスト!$I$5,"")</f>
        <v>#NAME?</v>
      </c>
      <c r="P440" s="88" t="e">
        <f ca="1">IF(INDIRECT("M"&amp;ROW())&lt;&gt;INDIRECT("M"&amp;ROW()+1),リスト!$I$6,"")</f>
        <v>#NAME?</v>
      </c>
    </row>
    <row r="441" spans="1:16" x14ac:dyDescent="0.2">
      <c r="A441" s="169" t="e">
        <f ca="1">IF(C441="","",ROW(行数!A433))</f>
        <v>#NAME?</v>
      </c>
      <c r="B441" s="168" t="e">
        <f t="shared" ca="1" si="45"/>
        <v>#NAME?</v>
      </c>
      <c r="C441" s="90" t="e">
        <f ca="1">[0]!CSVVLookUP(ROW(行数!A433),配列!$C$4,集計記録,3,1)</f>
        <v>#NAME?</v>
      </c>
      <c r="D441" s="90" t="e">
        <f ca="1">[0]!CSVVLookUP(ROW(行数!B433),配列!$C$4,集計記録,4,1)</f>
        <v>#NAME?</v>
      </c>
      <c r="E441" s="118" t="e">
        <f t="shared" ca="1" si="46"/>
        <v>#NAME?</v>
      </c>
      <c r="F441" s="118" t="e">
        <f t="shared" ca="1" si="47"/>
        <v>#NAME?</v>
      </c>
      <c r="G441" s="103" t="e">
        <f t="shared" ca="1" si="48"/>
        <v>#NAME?</v>
      </c>
      <c r="H441" s="104" t="e">
        <f ca="1">IF(C441="","",MROUND([0]!CSVVLookUP(ROW(行数!A433),配列!$C$4,集計記録,8,1),"0:01"))</f>
        <v>#NAME?</v>
      </c>
      <c r="I441" s="104" t="e">
        <f t="shared" ca="1" si="49"/>
        <v>#NAME?</v>
      </c>
      <c r="J441" s="119" t="e">
        <f ca="1">IF(C441="","",MROUND([0]!CSVVLookUP(ROW(行数!A433),配列!$C$4,集計記録,7,1),"0:01"))</f>
        <v>#NAME?</v>
      </c>
      <c r="K441" s="92" t="e">
        <f ca="1">IF(C441="","",[0]!CSVVLookUP(ROW(行数!A433),配列!$C$4,集計記録,5,1))</f>
        <v>#NAME?</v>
      </c>
      <c r="L441" s="104" t="e">
        <f t="shared" ca="1" si="50"/>
        <v>#NAME?</v>
      </c>
      <c r="M441" s="120" t="e">
        <f t="shared" ca="1" si="44"/>
        <v>#NAME?</v>
      </c>
      <c r="N441" s="120" t="e">
        <f ca="1">IF([0]!CSVVLookUP(ROW(行数!A433),配列!$C$4,集計記録,6,1)=0,"",[0]!CSVVLookUP(ROW(行数!A433),配列!$C$4,集計記録,6,1))</f>
        <v>#NAME?</v>
      </c>
      <c r="O441" s="88" t="e">
        <f ca="1">IF(INDIRECT("M"&amp;ROW()-1)&lt;&gt;INDIRECT("M"&amp;ROW()),リスト!$I$5,"")</f>
        <v>#NAME?</v>
      </c>
      <c r="P441" s="88" t="e">
        <f ca="1">IF(INDIRECT("M"&amp;ROW())&lt;&gt;INDIRECT("M"&amp;ROW()+1),リスト!$I$6,"")</f>
        <v>#NAME?</v>
      </c>
    </row>
    <row r="442" spans="1:16" x14ac:dyDescent="0.2">
      <c r="A442" s="169" t="e">
        <f ca="1">IF(C442="","",ROW(行数!A434))</f>
        <v>#NAME?</v>
      </c>
      <c r="B442" s="168" t="e">
        <f t="shared" ca="1" si="45"/>
        <v>#NAME?</v>
      </c>
      <c r="C442" s="90" t="e">
        <f ca="1">[0]!CSVVLookUP(ROW(行数!A434),配列!$C$4,集計記録,3,1)</f>
        <v>#NAME?</v>
      </c>
      <c r="D442" s="90" t="e">
        <f ca="1">[0]!CSVVLookUP(ROW(行数!B434),配列!$C$4,集計記録,4,1)</f>
        <v>#NAME?</v>
      </c>
      <c r="E442" s="118" t="e">
        <f t="shared" ca="1" si="46"/>
        <v>#NAME?</v>
      </c>
      <c r="F442" s="118" t="e">
        <f t="shared" ca="1" si="47"/>
        <v>#NAME?</v>
      </c>
      <c r="G442" s="103" t="e">
        <f t="shared" ca="1" si="48"/>
        <v>#NAME?</v>
      </c>
      <c r="H442" s="104" t="e">
        <f ca="1">IF(C442="","",MROUND([0]!CSVVLookUP(ROW(行数!A434),配列!$C$4,集計記録,8,1),"0:01"))</f>
        <v>#NAME?</v>
      </c>
      <c r="I442" s="104" t="e">
        <f t="shared" ca="1" si="49"/>
        <v>#NAME?</v>
      </c>
      <c r="J442" s="119" t="e">
        <f ca="1">IF(C442="","",MROUND([0]!CSVVLookUP(ROW(行数!A434),配列!$C$4,集計記録,7,1),"0:01"))</f>
        <v>#NAME?</v>
      </c>
      <c r="K442" s="92" t="e">
        <f ca="1">IF(C442="","",[0]!CSVVLookUP(ROW(行数!A434),配列!$C$4,集計記録,5,1))</f>
        <v>#NAME?</v>
      </c>
      <c r="L442" s="104" t="e">
        <f t="shared" ca="1" si="50"/>
        <v>#NAME?</v>
      </c>
      <c r="M442" s="120" t="e">
        <f t="shared" ca="1" si="44"/>
        <v>#NAME?</v>
      </c>
      <c r="N442" s="120" t="e">
        <f ca="1">IF([0]!CSVVLookUP(ROW(行数!A434),配列!$C$4,集計記録,6,1)=0,"",[0]!CSVVLookUP(ROW(行数!A434),配列!$C$4,集計記録,6,1))</f>
        <v>#NAME?</v>
      </c>
      <c r="O442" s="88" t="e">
        <f ca="1">IF(INDIRECT("M"&amp;ROW()-1)&lt;&gt;INDIRECT("M"&amp;ROW()),リスト!$I$5,"")</f>
        <v>#NAME?</v>
      </c>
      <c r="P442" s="88" t="e">
        <f ca="1">IF(INDIRECT("M"&amp;ROW())&lt;&gt;INDIRECT("M"&amp;ROW()+1),リスト!$I$6,"")</f>
        <v>#NAME?</v>
      </c>
    </row>
    <row r="443" spans="1:16" x14ac:dyDescent="0.2">
      <c r="A443" s="169" t="e">
        <f ca="1">IF(C443="","",ROW(行数!A435))</f>
        <v>#NAME?</v>
      </c>
      <c r="B443" s="168" t="e">
        <f t="shared" ca="1" si="45"/>
        <v>#NAME?</v>
      </c>
      <c r="C443" s="90" t="e">
        <f ca="1">[0]!CSVVLookUP(ROW(行数!A435),配列!$C$4,集計記録,3,1)</f>
        <v>#NAME?</v>
      </c>
      <c r="D443" s="90" t="e">
        <f ca="1">[0]!CSVVLookUP(ROW(行数!B435),配列!$C$4,集計記録,4,1)</f>
        <v>#NAME?</v>
      </c>
      <c r="E443" s="118" t="e">
        <f t="shared" ca="1" si="46"/>
        <v>#NAME?</v>
      </c>
      <c r="F443" s="118" t="e">
        <f t="shared" ca="1" si="47"/>
        <v>#NAME?</v>
      </c>
      <c r="G443" s="103" t="e">
        <f t="shared" ca="1" si="48"/>
        <v>#NAME?</v>
      </c>
      <c r="H443" s="104" t="e">
        <f ca="1">IF(C443="","",MROUND([0]!CSVVLookUP(ROW(行数!A435),配列!$C$4,集計記録,8,1),"0:01"))</f>
        <v>#NAME?</v>
      </c>
      <c r="I443" s="104" t="e">
        <f t="shared" ca="1" si="49"/>
        <v>#NAME?</v>
      </c>
      <c r="J443" s="119" t="e">
        <f ca="1">IF(C443="","",MROUND([0]!CSVVLookUP(ROW(行数!A435),配列!$C$4,集計記録,7,1),"0:01"))</f>
        <v>#NAME?</v>
      </c>
      <c r="K443" s="92" t="e">
        <f ca="1">IF(C443="","",[0]!CSVVLookUP(ROW(行数!A435),配列!$C$4,集計記録,5,1))</f>
        <v>#NAME?</v>
      </c>
      <c r="L443" s="104" t="e">
        <f t="shared" ca="1" si="50"/>
        <v>#NAME?</v>
      </c>
      <c r="M443" s="120" t="e">
        <f t="shared" ca="1" si="44"/>
        <v>#NAME?</v>
      </c>
      <c r="N443" s="120" t="e">
        <f ca="1">IF([0]!CSVVLookUP(ROW(行数!A435),配列!$C$4,集計記録,6,1)=0,"",[0]!CSVVLookUP(ROW(行数!A435),配列!$C$4,集計記録,6,1))</f>
        <v>#NAME?</v>
      </c>
      <c r="O443" s="88" t="e">
        <f ca="1">IF(INDIRECT("M"&amp;ROW()-1)&lt;&gt;INDIRECT("M"&amp;ROW()),リスト!$I$5,"")</f>
        <v>#NAME?</v>
      </c>
      <c r="P443" s="88" t="e">
        <f ca="1">IF(INDIRECT("M"&amp;ROW())&lt;&gt;INDIRECT("M"&amp;ROW()+1),リスト!$I$6,"")</f>
        <v>#NAME?</v>
      </c>
    </row>
    <row r="444" spans="1:16" x14ac:dyDescent="0.2">
      <c r="A444" s="169" t="e">
        <f ca="1">IF(C444="","",ROW(行数!A436))</f>
        <v>#NAME?</v>
      </c>
      <c r="B444" s="168" t="e">
        <f t="shared" ca="1" si="45"/>
        <v>#NAME?</v>
      </c>
      <c r="C444" s="90" t="e">
        <f ca="1">[0]!CSVVLookUP(ROW(行数!A436),配列!$C$4,集計記録,3,1)</f>
        <v>#NAME?</v>
      </c>
      <c r="D444" s="90" t="e">
        <f ca="1">[0]!CSVVLookUP(ROW(行数!B436),配列!$C$4,集計記録,4,1)</f>
        <v>#NAME?</v>
      </c>
      <c r="E444" s="118" t="e">
        <f t="shared" ca="1" si="46"/>
        <v>#NAME?</v>
      </c>
      <c r="F444" s="118" t="e">
        <f t="shared" ca="1" si="47"/>
        <v>#NAME?</v>
      </c>
      <c r="G444" s="103" t="e">
        <f t="shared" ca="1" si="48"/>
        <v>#NAME?</v>
      </c>
      <c r="H444" s="104" t="e">
        <f ca="1">IF(C444="","",MROUND([0]!CSVVLookUP(ROW(行数!A436),配列!$C$4,集計記録,8,1),"0:01"))</f>
        <v>#NAME?</v>
      </c>
      <c r="I444" s="104" t="e">
        <f t="shared" ca="1" si="49"/>
        <v>#NAME?</v>
      </c>
      <c r="J444" s="119" t="e">
        <f ca="1">IF(C444="","",MROUND([0]!CSVVLookUP(ROW(行数!A436),配列!$C$4,集計記録,7,1),"0:01"))</f>
        <v>#NAME?</v>
      </c>
      <c r="K444" s="92" t="e">
        <f ca="1">IF(C444="","",[0]!CSVVLookUP(ROW(行数!A436),配列!$C$4,集計記録,5,1))</f>
        <v>#NAME?</v>
      </c>
      <c r="L444" s="104" t="e">
        <f t="shared" ca="1" si="50"/>
        <v>#NAME?</v>
      </c>
      <c r="M444" s="120" t="e">
        <f t="shared" ca="1" si="44"/>
        <v>#NAME?</v>
      </c>
      <c r="N444" s="120" t="e">
        <f ca="1">IF([0]!CSVVLookUP(ROW(行数!A436),配列!$C$4,集計記録,6,1)=0,"",[0]!CSVVLookUP(ROW(行数!A436),配列!$C$4,集計記録,6,1))</f>
        <v>#NAME?</v>
      </c>
      <c r="O444" s="88" t="e">
        <f ca="1">IF(INDIRECT("M"&amp;ROW()-1)&lt;&gt;INDIRECT("M"&amp;ROW()),リスト!$I$5,"")</f>
        <v>#NAME?</v>
      </c>
      <c r="P444" s="88" t="e">
        <f ca="1">IF(INDIRECT("M"&amp;ROW())&lt;&gt;INDIRECT("M"&amp;ROW()+1),リスト!$I$6,"")</f>
        <v>#NAME?</v>
      </c>
    </row>
    <row r="445" spans="1:16" x14ac:dyDescent="0.2">
      <c r="A445" s="169" t="e">
        <f ca="1">IF(C445="","",ROW(行数!A437))</f>
        <v>#NAME?</v>
      </c>
      <c r="B445" s="168" t="e">
        <f t="shared" ca="1" si="45"/>
        <v>#NAME?</v>
      </c>
      <c r="C445" s="90" t="e">
        <f ca="1">[0]!CSVVLookUP(ROW(行数!A437),配列!$C$4,集計記録,3,1)</f>
        <v>#NAME?</v>
      </c>
      <c r="D445" s="90" t="e">
        <f ca="1">[0]!CSVVLookUP(ROW(行数!B437),配列!$C$4,集計記録,4,1)</f>
        <v>#NAME?</v>
      </c>
      <c r="E445" s="118" t="e">
        <f t="shared" ca="1" si="46"/>
        <v>#NAME?</v>
      </c>
      <c r="F445" s="118" t="e">
        <f t="shared" ca="1" si="47"/>
        <v>#NAME?</v>
      </c>
      <c r="G445" s="103" t="e">
        <f t="shared" ca="1" si="48"/>
        <v>#NAME?</v>
      </c>
      <c r="H445" s="104" t="e">
        <f ca="1">IF(C445="","",MROUND([0]!CSVVLookUP(ROW(行数!A437),配列!$C$4,集計記録,8,1),"0:01"))</f>
        <v>#NAME?</v>
      </c>
      <c r="I445" s="104" t="e">
        <f t="shared" ca="1" si="49"/>
        <v>#NAME?</v>
      </c>
      <c r="J445" s="119" t="e">
        <f ca="1">IF(C445="","",MROUND([0]!CSVVLookUP(ROW(行数!A437),配列!$C$4,集計記録,7,1),"0:01"))</f>
        <v>#NAME?</v>
      </c>
      <c r="K445" s="92" t="e">
        <f ca="1">IF(C445="","",[0]!CSVVLookUP(ROW(行数!A437),配列!$C$4,集計記録,5,1))</f>
        <v>#NAME?</v>
      </c>
      <c r="L445" s="104" t="e">
        <f t="shared" ca="1" si="50"/>
        <v>#NAME?</v>
      </c>
      <c r="M445" s="120" t="e">
        <f t="shared" ca="1" si="44"/>
        <v>#NAME?</v>
      </c>
      <c r="N445" s="120" t="e">
        <f ca="1">IF([0]!CSVVLookUP(ROW(行数!A437),配列!$C$4,集計記録,6,1)=0,"",[0]!CSVVLookUP(ROW(行数!A437),配列!$C$4,集計記録,6,1))</f>
        <v>#NAME?</v>
      </c>
      <c r="O445" s="88" t="e">
        <f ca="1">IF(INDIRECT("M"&amp;ROW()-1)&lt;&gt;INDIRECT("M"&amp;ROW()),リスト!$I$5,"")</f>
        <v>#NAME?</v>
      </c>
      <c r="P445" s="88" t="e">
        <f ca="1">IF(INDIRECT("M"&amp;ROW())&lt;&gt;INDIRECT("M"&amp;ROW()+1),リスト!$I$6,"")</f>
        <v>#NAME?</v>
      </c>
    </row>
    <row r="446" spans="1:16" x14ac:dyDescent="0.2">
      <c r="A446" s="169" t="e">
        <f ca="1">IF(C446="","",ROW(行数!A438))</f>
        <v>#NAME?</v>
      </c>
      <c r="B446" s="168" t="e">
        <f t="shared" ca="1" si="45"/>
        <v>#NAME?</v>
      </c>
      <c r="C446" s="90" t="e">
        <f ca="1">[0]!CSVVLookUP(ROW(行数!A438),配列!$C$4,集計記録,3,1)</f>
        <v>#NAME?</v>
      </c>
      <c r="D446" s="90" t="e">
        <f ca="1">[0]!CSVVLookUP(ROW(行数!B438),配列!$C$4,集計記録,4,1)</f>
        <v>#NAME?</v>
      </c>
      <c r="E446" s="118" t="e">
        <f t="shared" ca="1" si="46"/>
        <v>#NAME?</v>
      </c>
      <c r="F446" s="118" t="e">
        <f t="shared" ca="1" si="47"/>
        <v>#NAME?</v>
      </c>
      <c r="G446" s="103" t="e">
        <f t="shared" ca="1" si="48"/>
        <v>#NAME?</v>
      </c>
      <c r="H446" s="104" t="e">
        <f ca="1">IF(C446="","",MROUND([0]!CSVVLookUP(ROW(行数!A438),配列!$C$4,集計記録,8,1),"0:01"))</f>
        <v>#NAME?</v>
      </c>
      <c r="I446" s="104" t="e">
        <f t="shared" ca="1" si="49"/>
        <v>#NAME?</v>
      </c>
      <c r="J446" s="119" t="e">
        <f ca="1">IF(C446="","",MROUND([0]!CSVVLookUP(ROW(行数!A438),配列!$C$4,集計記録,7,1),"0:01"))</f>
        <v>#NAME?</v>
      </c>
      <c r="K446" s="92" t="e">
        <f ca="1">IF(C446="","",[0]!CSVVLookUP(ROW(行数!A438),配列!$C$4,集計記録,5,1))</f>
        <v>#NAME?</v>
      </c>
      <c r="L446" s="104" t="e">
        <f t="shared" ca="1" si="50"/>
        <v>#NAME?</v>
      </c>
      <c r="M446" s="120" t="e">
        <f t="shared" ca="1" si="44"/>
        <v>#NAME?</v>
      </c>
      <c r="N446" s="120" t="e">
        <f ca="1">IF([0]!CSVVLookUP(ROW(行数!A438),配列!$C$4,集計記録,6,1)=0,"",[0]!CSVVLookUP(ROW(行数!A438),配列!$C$4,集計記録,6,1))</f>
        <v>#NAME?</v>
      </c>
      <c r="O446" s="88" t="e">
        <f ca="1">IF(INDIRECT("M"&amp;ROW()-1)&lt;&gt;INDIRECT("M"&amp;ROW()),リスト!$I$5,"")</f>
        <v>#NAME?</v>
      </c>
      <c r="P446" s="88" t="e">
        <f ca="1">IF(INDIRECT("M"&amp;ROW())&lt;&gt;INDIRECT("M"&amp;ROW()+1),リスト!$I$6,"")</f>
        <v>#NAME?</v>
      </c>
    </row>
    <row r="447" spans="1:16" x14ac:dyDescent="0.2">
      <c r="A447" s="169" t="e">
        <f ca="1">IF(C447="","",ROW(行数!A439))</f>
        <v>#NAME?</v>
      </c>
      <c r="B447" s="168" t="e">
        <f t="shared" ca="1" si="45"/>
        <v>#NAME?</v>
      </c>
      <c r="C447" s="90" t="e">
        <f ca="1">[0]!CSVVLookUP(ROW(行数!A439),配列!$C$4,集計記録,3,1)</f>
        <v>#NAME?</v>
      </c>
      <c r="D447" s="90" t="e">
        <f ca="1">[0]!CSVVLookUP(ROW(行数!B439),配列!$C$4,集計記録,4,1)</f>
        <v>#NAME?</v>
      </c>
      <c r="E447" s="118" t="e">
        <f t="shared" ca="1" si="46"/>
        <v>#NAME?</v>
      </c>
      <c r="F447" s="118" t="e">
        <f t="shared" ca="1" si="47"/>
        <v>#NAME?</v>
      </c>
      <c r="G447" s="103" t="e">
        <f t="shared" ca="1" si="48"/>
        <v>#NAME?</v>
      </c>
      <c r="H447" s="104" t="e">
        <f ca="1">IF(C447="","",MROUND([0]!CSVVLookUP(ROW(行数!A439),配列!$C$4,集計記録,8,1),"0:01"))</f>
        <v>#NAME?</v>
      </c>
      <c r="I447" s="104" t="e">
        <f t="shared" ca="1" si="49"/>
        <v>#NAME?</v>
      </c>
      <c r="J447" s="119" t="e">
        <f ca="1">IF(C447="","",MROUND([0]!CSVVLookUP(ROW(行数!A439),配列!$C$4,集計記録,7,1),"0:01"))</f>
        <v>#NAME?</v>
      </c>
      <c r="K447" s="92" t="e">
        <f ca="1">IF(C447="","",[0]!CSVVLookUP(ROW(行数!A439),配列!$C$4,集計記録,5,1))</f>
        <v>#NAME?</v>
      </c>
      <c r="L447" s="104" t="e">
        <f t="shared" ca="1" si="50"/>
        <v>#NAME?</v>
      </c>
      <c r="M447" s="120" t="e">
        <f t="shared" ca="1" si="44"/>
        <v>#NAME?</v>
      </c>
      <c r="N447" s="120" t="e">
        <f ca="1">IF([0]!CSVVLookUP(ROW(行数!A439),配列!$C$4,集計記録,6,1)=0,"",[0]!CSVVLookUP(ROW(行数!A439),配列!$C$4,集計記録,6,1))</f>
        <v>#NAME?</v>
      </c>
      <c r="O447" s="88" t="e">
        <f ca="1">IF(INDIRECT("M"&amp;ROW()-1)&lt;&gt;INDIRECT("M"&amp;ROW()),リスト!$I$5,"")</f>
        <v>#NAME?</v>
      </c>
      <c r="P447" s="88" t="e">
        <f ca="1">IF(INDIRECT("M"&amp;ROW())&lt;&gt;INDIRECT("M"&amp;ROW()+1),リスト!$I$6,"")</f>
        <v>#NAME?</v>
      </c>
    </row>
    <row r="448" spans="1:16" x14ac:dyDescent="0.2">
      <c r="A448" s="169" t="e">
        <f ca="1">IF(C448="","",ROW(行数!A440))</f>
        <v>#NAME?</v>
      </c>
      <c r="B448" s="168" t="e">
        <f t="shared" ca="1" si="45"/>
        <v>#NAME?</v>
      </c>
      <c r="C448" s="90" t="e">
        <f ca="1">[0]!CSVVLookUP(ROW(行数!A440),配列!$C$4,集計記録,3,1)</f>
        <v>#NAME?</v>
      </c>
      <c r="D448" s="90" t="e">
        <f ca="1">[0]!CSVVLookUP(ROW(行数!B440),配列!$C$4,集計記録,4,1)</f>
        <v>#NAME?</v>
      </c>
      <c r="E448" s="118" t="e">
        <f t="shared" ca="1" si="46"/>
        <v>#NAME?</v>
      </c>
      <c r="F448" s="118" t="e">
        <f t="shared" ca="1" si="47"/>
        <v>#NAME?</v>
      </c>
      <c r="G448" s="103" t="e">
        <f t="shared" ca="1" si="48"/>
        <v>#NAME?</v>
      </c>
      <c r="H448" s="104" t="e">
        <f ca="1">IF(C448="","",MROUND([0]!CSVVLookUP(ROW(行数!A440),配列!$C$4,集計記録,8,1),"0:01"))</f>
        <v>#NAME?</v>
      </c>
      <c r="I448" s="104" t="e">
        <f t="shared" ca="1" si="49"/>
        <v>#NAME?</v>
      </c>
      <c r="J448" s="119" t="e">
        <f ca="1">IF(C448="","",MROUND([0]!CSVVLookUP(ROW(行数!A440),配列!$C$4,集計記録,7,1),"0:01"))</f>
        <v>#NAME?</v>
      </c>
      <c r="K448" s="92" t="e">
        <f ca="1">IF(C448="","",[0]!CSVVLookUP(ROW(行数!A440),配列!$C$4,集計記録,5,1))</f>
        <v>#NAME?</v>
      </c>
      <c r="L448" s="104" t="e">
        <f t="shared" ca="1" si="50"/>
        <v>#NAME?</v>
      </c>
      <c r="M448" s="120" t="e">
        <f t="shared" ca="1" si="44"/>
        <v>#NAME?</v>
      </c>
      <c r="N448" s="120" t="e">
        <f ca="1">IF([0]!CSVVLookUP(ROW(行数!A440),配列!$C$4,集計記録,6,1)=0,"",[0]!CSVVLookUP(ROW(行数!A440),配列!$C$4,集計記録,6,1))</f>
        <v>#NAME?</v>
      </c>
      <c r="O448" s="88" t="e">
        <f ca="1">IF(INDIRECT("M"&amp;ROW()-1)&lt;&gt;INDIRECT("M"&amp;ROW()),リスト!$I$5,"")</f>
        <v>#NAME?</v>
      </c>
      <c r="P448" s="88" t="e">
        <f ca="1">IF(INDIRECT("M"&amp;ROW())&lt;&gt;INDIRECT("M"&amp;ROW()+1),リスト!$I$6,"")</f>
        <v>#NAME?</v>
      </c>
    </row>
    <row r="449" spans="1:16" x14ac:dyDescent="0.2">
      <c r="A449" s="169" t="e">
        <f ca="1">IF(C449="","",ROW(行数!A441))</f>
        <v>#NAME?</v>
      </c>
      <c r="B449" s="168" t="e">
        <f t="shared" ca="1" si="45"/>
        <v>#NAME?</v>
      </c>
      <c r="C449" s="90" t="e">
        <f ca="1">[0]!CSVVLookUP(ROW(行数!A441),配列!$C$4,集計記録,3,1)</f>
        <v>#NAME?</v>
      </c>
      <c r="D449" s="90" t="e">
        <f ca="1">[0]!CSVVLookUP(ROW(行数!B441),配列!$C$4,集計記録,4,1)</f>
        <v>#NAME?</v>
      </c>
      <c r="E449" s="118" t="e">
        <f t="shared" ca="1" si="46"/>
        <v>#NAME?</v>
      </c>
      <c r="F449" s="118" t="e">
        <f t="shared" ca="1" si="47"/>
        <v>#NAME?</v>
      </c>
      <c r="G449" s="103" t="e">
        <f t="shared" ca="1" si="48"/>
        <v>#NAME?</v>
      </c>
      <c r="H449" s="104" t="e">
        <f ca="1">IF(C449="","",MROUND([0]!CSVVLookUP(ROW(行数!A441),配列!$C$4,集計記録,8,1),"0:01"))</f>
        <v>#NAME?</v>
      </c>
      <c r="I449" s="104" t="e">
        <f t="shared" ca="1" si="49"/>
        <v>#NAME?</v>
      </c>
      <c r="J449" s="119" t="e">
        <f ca="1">IF(C449="","",MROUND([0]!CSVVLookUP(ROW(行数!A441),配列!$C$4,集計記録,7,1),"0:01"))</f>
        <v>#NAME?</v>
      </c>
      <c r="K449" s="92" t="e">
        <f ca="1">IF(C449="","",[0]!CSVVLookUP(ROW(行数!A441),配列!$C$4,集計記録,5,1))</f>
        <v>#NAME?</v>
      </c>
      <c r="L449" s="104" t="e">
        <f t="shared" ca="1" si="50"/>
        <v>#NAME?</v>
      </c>
      <c r="M449" s="120" t="e">
        <f t="shared" ca="1" si="44"/>
        <v>#NAME?</v>
      </c>
      <c r="N449" s="120" t="e">
        <f ca="1">IF([0]!CSVVLookUP(ROW(行数!A441),配列!$C$4,集計記録,6,1)=0,"",[0]!CSVVLookUP(ROW(行数!A441),配列!$C$4,集計記録,6,1))</f>
        <v>#NAME?</v>
      </c>
      <c r="O449" s="88" t="e">
        <f ca="1">IF(INDIRECT("M"&amp;ROW()-1)&lt;&gt;INDIRECT("M"&amp;ROW()),リスト!$I$5,"")</f>
        <v>#NAME?</v>
      </c>
      <c r="P449" s="88" t="e">
        <f ca="1">IF(INDIRECT("M"&amp;ROW())&lt;&gt;INDIRECT("M"&amp;ROW()+1),リスト!$I$6,"")</f>
        <v>#NAME?</v>
      </c>
    </row>
    <row r="450" spans="1:16" x14ac:dyDescent="0.2">
      <c r="A450" s="169" t="e">
        <f ca="1">IF(C450="","",ROW(行数!A442))</f>
        <v>#NAME?</v>
      </c>
      <c r="B450" s="168" t="e">
        <f t="shared" ca="1" si="45"/>
        <v>#NAME?</v>
      </c>
      <c r="C450" s="90" t="e">
        <f ca="1">[0]!CSVVLookUP(ROW(行数!A442),配列!$C$4,集計記録,3,1)</f>
        <v>#NAME?</v>
      </c>
      <c r="D450" s="90" t="e">
        <f ca="1">[0]!CSVVLookUP(ROW(行数!B442),配列!$C$4,集計記録,4,1)</f>
        <v>#NAME?</v>
      </c>
      <c r="E450" s="118" t="e">
        <f t="shared" ca="1" si="46"/>
        <v>#NAME?</v>
      </c>
      <c r="F450" s="118" t="e">
        <f t="shared" ca="1" si="47"/>
        <v>#NAME?</v>
      </c>
      <c r="G450" s="103" t="e">
        <f t="shared" ca="1" si="48"/>
        <v>#NAME?</v>
      </c>
      <c r="H450" s="104" t="e">
        <f ca="1">IF(C450="","",MROUND([0]!CSVVLookUP(ROW(行数!A442),配列!$C$4,集計記録,8,1),"0:01"))</f>
        <v>#NAME?</v>
      </c>
      <c r="I450" s="104" t="e">
        <f t="shared" ca="1" si="49"/>
        <v>#NAME?</v>
      </c>
      <c r="J450" s="119" t="e">
        <f ca="1">IF(C450="","",MROUND([0]!CSVVLookUP(ROW(行数!A442),配列!$C$4,集計記録,7,1),"0:01"))</f>
        <v>#NAME?</v>
      </c>
      <c r="K450" s="92" t="e">
        <f ca="1">IF(C450="","",[0]!CSVVLookUP(ROW(行数!A442),配列!$C$4,集計記録,5,1))</f>
        <v>#NAME?</v>
      </c>
      <c r="L450" s="104" t="e">
        <f t="shared" ca="1" si="50"/>
        <v>#NAME?</v>
      </c>
      <c r="M450" s="120" t="e">
        <f t="shared" ca="1" si="44"/>
        <v>#NAME?</v>
      </c>
      <c r="N450" s="120" t="e">
        <f ca="1">IF([0]!CSVVLookUP(ROW(行数!A442),配列!$C$4,集計記録,6,1)=0,"",[0]!CSVVLookUP(ROW(行数!A442),配列!$C$4,集計記録,6,1))</f>
        <v>#NAME?</v>
      </c>
      <c r="O450" s="88" t="e">
        <f ca="1">IF(INDIRECT("M"&amp;ROW()-1)&lt;&gt;INDIRECT("M"&amp;ROW()),リスト!$I$5,"")</f>
        <v>#NAME?</v>
      </c>
      <c r="P450" s="88" t="e">
        <f ca="1">IF(INDIRECT("M"&amp;ROW())&lt;&gt;INDIRECT("M"&amp;ROW()+1),リスト!$I$6,"")</f>
        <v>#NAME?</v>
      </c>
    </row>
    <row r="451" spans="1:16" x14ac:dyDescent="0.2">
      <c r="A451" s="169" t="e">
        <f ca="1">IF(C451="","",ROW(行数!A443))</f>
        <v>#NAME?</v>
      </c>
      <c r="B451" s="168" t="e">
        <f t="shared" ca="1" si="45"/>
        <v>#NAME?</v>
      </c>
      <c r="C451" s="90" t="e">
        <f ca="1">[0]!CSVVLookUP(ROW(行数!A443),配列!$C$4,集計記録,3,1)</f>
        <v>#NAME?</v>
      </c>
      <c r="D451" s="90" t="e">
        <f ca="1">[0]!CSVVLookUP(ROW(行数!B443),配列!$C$4,集計記録,4,1)</f>
        <v>#NAME?</v>
      </c>
      <c r="E451" s="118" t="e">
        <f t="shared" ca="1" si="46"/>
        <v>#NAME?</v>
      </c>
      <c r="F451" s="118" t="e">
        <f t="shared" ca="1" si="47"/>
        <v>#NAME?</v>
      </c>
      <c r="G451" s="103" t="e">
        <f t="shared" ca="1" si="48"/>
        <v>#NAME?</v>
      </c>
      <c r="H451" s="104" t="e">
        <f ca="1">IF(C451="","",MROUND([0]!CSVVLookUP(ROW(行数!A443),配列!$C$4,集計記録,8,1),"0:01"))</f>
        <v>#NAME?</v>
      </c>
      <c r="I451" s="104" t="e">
        <f t="shared" ca="1" si="49"/>
        <v>#NAME?</v>
      </c>
      <c r="J451" s="119" t="e">
        <f ca="1">IF(C451="","",MROUND([0]!CSVVLookUP(ROW(行数!A443),配列!$C$4,集計記録,7,1),"0:01"))</f>
        <v>#NAME?</v>
      </c>
      <c r="K451" s="92" t="e">
        <f ca="1">IF(C451="","",[0]!CSVVLookUP(ROW(行数!A443),配列!$C$4,集計記録,5,1))</f>
        <v>#NAME?</v>
      </c>
      <c r="L451" s="104" t="e">
        <f t="shared" ca="1" si="50"/>
        <v>#NAME?</v>
      </c>
      <c r="M451" s="120" t="e">
        <f t="shared" ca="1" si="44"/>
        <v>#NAME?</v>
      </c>
      <c r="N451" s="120" t="e">
        <f ca="1">IF([0]!CSVVLookUP(ROW(行数!A443),配列!$C$4,集計記録,6,1)=0,"",[0]!CSVVLookUP(ROW(行数!A443),配列!$C$4,集計記録,6,1))</f>
        <v>#NAME?</v>
      </c>
      <c r="O451" s="88" t="e">
        <f ca="1">IF(INDIRECT("M"&amp;ROW()-1)&lt;&gt;INDIRECT("M"&amp;ROW()),リスト!$I$5,"")</f>
        <v>#NAME?</v>
      </c>
      <c r="P451" s="88" t="e">
        <f ca="1">IF(INDIRECT("M"&amp;ROW())&lt;&gt;INDIRECT("M"&amp;ROW()+1),リスト!$I$6,"")</f>
        <v>#NAME?</v>
      </c>
    </row>
    <row r="452" spans="1:16" x14ac:dyDescent="0.2">
      <c r="A452" s="169" t="e">
        <f ca="1">IF(C452="","",ROW(行数!A444))</f>
        <v>#NAME?</v>
      </c>
      <c r="B452" s="168" t="e">
        <f t="shared" ca="1" si="45"/>
        <v>#NAME?</v>
      </c>
      <c r="C452" s="90" t="e">
        <f ca="1">[0]!CSVVLookUP(ROW(行数!A444),配列!$C$4,集計記録,3,1)</f>
        <v>#NAME?</v>
      </c>
      <c r="D452" s="90" t="e">
        <f ca="1">[0]!CSVVLookUP(ROW(行数!B444),配列!$C$4,集計記録,4,1)</f>
        <v>#NAME?</v>
      </c>
      <c r="E452" s="118" t="e">
        <f t="shared" ca="1" si="46"/>
        <v>#NAME?</v>
      </c>
      <c r="F452" s="118" t="e">
        <f t="shared" ca="1" si="47"/>
        <v>#NAME?</v>
      </c>
      <c r="G452" s="103" t="e">
        <f t="shared" ca="1" si="48"/>
        <v>#NAME?</v>
      </c>
      <c r="H452" s="104" t="e">
        <f ca="1">IF(C452="","",MROUND([0]!CSVVLookUP(ROW(行数!A444),配列!$C$4,集計記録,8,1),"0:01"))</f>
        <v>#NAME?</v>
      </c>
      <c r="I452" s="104" t="e">
        <f t="shared" ca="1" si="49"/>
        <v>#NAME?</v>
      </c>
      <c r="J452" s="119" t="e">
        <f ca="1">IF(C452="","",MROUND([0]!CSVVLookUP(ROW(行数!A444),配列!$C$4,集計記録,7,1),"0:01"))</f>
        <v>#NAME?</v>
      </c>
      <c r="K452" s="92" t="e">
        <f ca="1">IF(C452="","",[0]!CSVVLookUP(ROW(行数!A444),配列!$C$4,集計記録,5,1))</f>
        <v>#NAME?</v>
      </c>
      <c r="L452" s="104" t="e">
        <f t="shared" ca="1" si="50"/>
        <v>#NAME?</v>
      </c>
      <c r="M452" s="120" t="e">
        <f t="shared" ca="1" si="44"/>
        <v>#NAME?</v>
      </c>
      <c r="N452" s="120" t="e">
        <f ca="1">IF([0]!CSVVLookUP(ROW(行数!A444),配列!$C$4,集計記録,6,1)=0,"",[0]!CSVVLookUP(ROW(行数!A444),配列!$C$4,集計記録,6,1))</f>
        <v>#NAME?</v>
      </c>
      <c r="O452" s="88" t="e">
        <f ca="1">IF(INDIRECT("M"&amp;ROW()-1)&lt;&gt;INDIRECT("M"&amp;ROW()),リスト!$I$5,"")</f>
        <v>#NAME?</v>
      </c>
      <c r="P452" s="88" t="e">
        <f ca="1">IF(INDIRECT("M"&amp;ROW())&lt;&gt;INDIRECT("M"&amp;ROW()+1),リスト!$I$6,"")</f>
        <v>#NAME?</v>
      </c>
    </row>
    <row r="453" spans="1:16" x14ac:dyDescent="0.2">
      <c r="A453" s="169" t="e">
        <f ca="1">IF(C453="","",ROW(行数!A445))</f>
        <v>#NAME?</v>
      </c>
      <c r="B453" s="168" t="e">
        <f t="shared" ca="1" si="45"/>
        <v>#NAME?</v>
      </c>
      <c r="C453" s="90" t="e">
        <f ca="1">[0]!CSVVLookUP(ROW(行数!A445),配列!$C$4,集計記録,3,1)</f>
        <v>#NAME?</v>
      </c>
      <c r="D453" s="90" t="e">
        <f ca="1">[0]!CSVVLookUP(ROW(行数!B445),配列!$C$4,集計記録,4,1)</f>
        <v>#NAME?</v>
      </c>
      <c r="E453" s="118" t="e">
        <f t="shared" ca="1" si="46"/>
        <v>#NAME?</v>
      </c>
      <c r="F453" s="118" t="e">
        <f t="shared" ca="1" si="47"/>
        <v>#NAME?</v>
      </c>
      <c r="G453" s="103" t="e">
        <f t="shared" ca="1" si="48"/>
        <v>#NAME?</v>
      </c>
      <c r="H453" s="104" t="e">
        <f ca="1">IF(C453="","",MROUND([0]!CSVVLookUP(ROW(行数!A445),配列!$C$4,集計記録,8,1),"0:01"))</f>
        <v>#NAME?</v>
      </c>
      <c r="I453" s="104" t="e">
        <f t="shared" ca="1" si="49"/>
        <v>#NAME?</v>
      </c>
      <c r="J453" s="119" t="e">
        <f ca="1">IF(C453="","",MROUND([0]!CSVVLookUP(ROW(行数!A445),配列!$C$4,集計記録,7,1),"0:01"))</f>
        <v>#NAME?</v>
      </c>
      <c r="K453" s="92" t="e">
        <f ca="1">IF(C453="","",[0]!CSVVLookUP(ROW(行数!A445),配列!$C$4,集計記録,5,1))</f>
        <v>#NAME?</v>
      </c>
      <c r="L453" s="104" t="e">
        <f t="shared" ca="1" si="50"/>
        <v>#NAME?</v>
      </c>
      <c r="M453" s="120" t="e">
        <f t="shared" ca="1" si="44"/>
        <v>#NAME?</v>
      </c>
      <c r="N453" s="120" t="e">
        <f ca="1">IF([0]!CSVVLookUP(ROW(行数!A445),配列!$C$4,集計記録,6,1)=0,"",[0]!CSVVLookUP(ROW(行数!A445),配列!$C$4,集計記録,6,1))</f>
        <v>#NAME?</v>
      </c>
      <c r="O453" s="88" t="e">
        <f ca="1">IF(INDIRECT("M"&amp;ROW()-1)&lt;&gt;INDIRECT("M"&amp;ROW()),リスト!$I$5,"")</f>
        <v>#NAME?</v>
      </c>
      <c r="P453" s="88" t="e">
        <f ca="1">IF(INDIRECT("M"&amp;ROW())&lt;&gt;INDIRECT("M"&amp;ROW()+1),リスト!$I$6,"")</f>
        <v>#NAME?</v>
      </c>
    </row>
    <row r="454" spans="1:16" x14ac:dyDescent="0.2">
      <c r="A454" s="169" t="e">
        <f ca="1">IF(C454="","",ROW(行数!A446))</f>
        <v>#NAME?</v>
      </c>
      <c r="B454" s="168" t="e">
        <f t="shared" ca="1" si="45"/>
        <v>#NAME?</v>
      </c>
      <c r="C454" s="90" t="e">
        <f ca="1">[0]!CSVVLookUP(ROW(行数!A446),配列!$C$4,集計記録,3,1)</f>
        <v>#NAME?</v>
      </c>
      <c r="D454" s="90" t="e">
        <f ca="1">[0]!CSVVLookUP(ROW(行数!B446),配列!$C$4,集計記録,4,1)</f>
        <v>#NAME?</v>
      </c>
      <c r="E454" s="118" t="e">
        <f t="shared" ca="1" si="46"/>
        <v>#NAME?</v>
      </c>
      <c r="F454" s="118" t="e">
        <f t="shared" ca="1" si="47"/>
        <v>#NAME?</v>
      </c>
      <c r="G454" s="103" t="e">
        <f t="shared" ca="1" si="48"/>
        <v>#NAME?</v>
      </c>
      <c r="H454" s="104" t="e">
        <f ca="1">IF(C454="","",MROUND([0]!CSVVLookUP(ROW(行数!A446),配列!$C$4,集計記録,8,1),"0:01"))</f>
        <v>#NAME?</v>
      </c>
      <c r="I454" s="104" t="e">
        <f t="shared" ca="1" si="49"/>
        <v>#NAME?</v>
      </c>
      <c r="J454" s="119" t="e">
        <f ca="1">IF(C454="","",MROUND([0]!CSVVLookUP(ROW(行数!A446),配列!$C$4,集計記録,7,1),"0:01"))</f>
        <v>#NAME?</v>
      </c>
      <c r="K454" s="92" t="e">
        <f ca="1">IF(C454="","",[0]!CSVVLookUP(ROW(行数!A446),配列!$C$4,集計記録,5,1))</f>
        <v>#NAME?</v>
      </c>
      <c r="L454" s="104" t="e">
        <f t="shared" ca="1" si="50"/>
        <v>#NAME?</v>
      </c>
      <c r="M454" s="120" t="e">
        <f t="shared" ca="1" si="44"/>
        <v>#NAME?</v>
      </c>
      <c r="N454" s="120" t="e">
        <f ca="1">IF([0]!CSVVLookUP(ROW(行数!A446),配列!$C$4,集計記録,6,1)=0,"",[0]!CSVVLookUP(ROW(行数!A446),配列!$C$4,集計記録,6,1))</f>
        <v>#NAME?</v>
      </c>
      <c r="O454" s="88" t="e">
        <f ca="1">IF(INDIRECT("M"&amp;ROW()-1)&lt;&gt;INDIRECT("M"&amp;ROW()),リスト!$I$5,"")</f>
        <v>#NAME?</v>
      </c>
      <c r="P454" s="88" t="e">
        <f ca="1">IF(INDIRECT("M"&amp;ROW())&lt;&gt;INDIRECT("M"&amp;ROW()+1),リスト!$I$6,"")</f>
        <v>#NAME?</v>
      </c>
    </row>
    <row r="455" spans="1:16" x14ac:dyDescent="0.2">
      <c r="A455" s="169" t="e">
        <f ca="1">IF(C455="","",ROW(行数!A447))</f>
        <v>#NAME?</v>
      </c>
      <c r="B455" s="168" t="e">
        <f t="shared" ca="1" si="45"/>
        <v>#NAME?</v>
      </c>
      <c r="C455" s="90" t="e">
        <f ca="1">[0]!CSVVLookUP(ROW(行数!A447),配列!$C$4,集計記録,3,1)</f>
        <v>#NAME?</v>
      </c>
      <c r="D455" s="90" t="e">
        <f ca="1">[0]!CSVVLookUP(ROW(行数!B447),配列!$C$4,集計記録,4,1)</f>
        <v>#NAME?</v>
      </c>
      <c r="E455" s="118" t="e">
        <f t="shared" ca="1" si="46"/>
        <v>#NAME?</v>
      </c>
      <c r="F455" s="118" t="e">
        <f t="shared" ca="1" si="47"/>
        <v>#NAME?</v>
      </c>
      <c r="G455" s="103" t="e">
        <f t="shared" ca="1" si="48"/>
        <v>#NAME?</v>
      </c>
      <c r="H455" s="104" t="e">
        <f ca="1">IF(C455="","",MROUND([0]!CSVVLookUP(ROW(行数!A447),配列!$C$4,集計記録,8,1),"0:01"))</f>
        <v>#NAME?</v>
      </c>
      <c r="I455" s="104" t="e">
        <f t="shared" ca="1" si="49"/>
        <v>#NAME?</v>
      </c>
      <c r="J455" s="119" t="e">
        <f ca="1">IF(C455="","",MROUND([0]!CSVVLookUP(ROW(行数!A447),配列!$C$4,集計記録,7,1),"0:01"))</f>
        <v>#NAME?</v>
      </c>
      <c r="K455" s="92" t="e">
        <f ca="1">IF(C455="","",[0]!CSVVLookUP(ROW(行数!A447),配列!$C$4,集計記録,5,1))</f>
        <v>#NAME?</v>
      </c>
      <c r="L455" s="104" t="e">
        <f t="shared" ca="1" si="50"/>
        <v>#NAME?</v>
      </c>
      <c r="M455" s="120" t="e">
        <f t="shared" ca="1" si="44"/>
        <v>#NAME?</v>
      </c>
      <c r="N455" s="120" t="e">
        <f ca="1">IF([0]!CSVVLookUP(ROW(行数!A447),配列!$C$4,集計記録,6,1)=0,"",[0]!CSVVLookUP(ROW(行数!A447),配列!$C$4,集計記録,6,1))</f>
        <v>#NAME?</v>
      </c>
      <c r="O455" s="88" t="e">
        <f ca="1">IF(INDIRECT("M"&amp;ROW()-1)&lt;&gt;INDIRECT("M"&amp;ROW()),リスト!$I$5,"")</f>
        <v>#NAME?</v>
      </c>
      <c r="P455" s="88" t="e">
        <f ca="1">IF(INDIRECT("M"&amp;ROW())&lt;&gt;INDIRECT("M"&amp;ROW()+1),リスト!$I$6,"")</f>
        <v>#NAME?</v>
      </c>
    </row>
    <row r="456" spans="1:16" x14ac:dyDescent="0.2">
      <c r="A456" s="169" t="e">
        <f ca="1">IF(C456="","",ROW(行数!A448))</f>
        <v>#NAME?</v>
      </c>
      <c r="B456" s="168" t="e">
        <f t="shared" ca="1" si="45"/>
        <v>#NAME?</v>
      </c>
      <c r="C456" s="90" t="e">
        <f ca="1">[0]!CSVVLookUP(ROW(行数!A448),配列!$C$4,集計記録,3,1)</f>
        <v>#NAME?</v>
      </c>
      <c r="D456" s="90" t="e">
        <f ca="1">[0]!CSVVLookUP(ROW(行数!B448),配列!$C$4,集計記録,4,1)</f>
        <v>#NAME?</v>
      </c>
      <c r="E456" s="118" t="e">
        <f t="shared" ca="1" si="46"/>
        <v>#NAME?</v>
      </c>
      <c r="F456" s="118" t="e">
        <f t="shared" ca="1" si="47"/>
        <v>#NAME?</v>
      </c>
      <c r="G456" s="103" t="e">
        <f t="shared" ca="1" si="48"/>
        <v>#NAME?</v>
      </c>
      <c r="H456" s="104" t="e">
        <f ca="1">IF(C456="","",MROUND([0]!CSVVLookUP(ROW(行数!A448),配列!$C$4,集計記録,8,1),"0:01"))</f>
        <v>#NAME?</v>
      </c>
      <c r="I456" s="104" t="e">
        <f t="shared" ca="1" si="49"/>
        <v>#NAME?</v>
      </c>
      <c r="J456" s="119" t="e">
        <f ca="1">IF(C456="","",MROUND([0]!CSVVLookUP(ROW(行数!A448),配列!$C$4,集計記録,7,1),"0:01"))</f>
        <v>#NAME?</v>
      </c>
      <c r="K456" s="92" t="e">
        <f ca="1">IF(C456="","",[0]!CSVVLookUP(ROW(行数!A448),配列!$C$4,集計記録,5,1))</f>
        <v>#NAME?</v>
      </c>
      <c r="L456" s="104" t="e">
        <f t="shared" ca="1" si="50"/>
        <v>#NAME?</v>
      </c>
      <c r="M456" s="120" t="e">
        <f t="shared" ca="1" si="44"/>
        <v>#NAME?</v>
      </c>
      <c r="N456" s="120" t="e">
        <f ca="1">IF([0]!CSVVLookUP(ROW(行数!A448),配列!$C$4,集計記録,6,1)=0,"",[0]!CSVVLookUP(ROW(行数!A448),配列!$C$4,集計記録,6,1))</f>
        <v>#NAME?</v>
      </c>
      <c r="O456" s="88" t="e">
        <f ca="1">IF(INDIRECT("M"&amp;ROW()-1)&lt;&gt;INDIRECT("M"&amp;ROW()),リスト!$I$5,"")</f>
        <v>#NAME?</v>
      </c>
      <c r="P456" s="88" t="e">
        <f ca="1">IF(INDIRECT("M"&amp;ROW())&lt;&gt;INDIRECT("M"&amp;ROW()+1),リスト!$I$6,"")</f>
        <v>#NAME?</v>
      </c>
    </row>
    <row r="457" spans="1:16" x14ac:dyDescent="0.2">
      <c r="A457" s="169" t="e">
        <f ca="1">IF(C457="","",ROW(行数!A449))</f>
        <v>#NAME?</v>
      </c>
      <c r="B457" s="168" t="e">
        <f t="shared" ca="1" si="45"/>
        <v>#NAME?</v>
      </c>
      <c r="C457" s="90" t="e">
        <f ca="1">[0]!CSVVLookUP(ROW(行数!A449),配列!$C$4,集計記録,3,1)</f>
        <v>#NAME?</v>
      </c>
      <c r="D457" s="90" t="e">
        <f ca="1">[0]!CSVVLookUP(ROW(行数!B449),配列!$C$4,集計記録,4,1)</f>
        <v>#NAME?</v>
      </c>
      <c r="E457" s="118" t="e">
        <f t="shared" ca="1" si="46"/>
        <v>#NAME?</v>
      </c>
      <c r="F457" s="118" t="e">
        <f t="shared" ca="1" si="47"/>
        <v>#NAME?</v>
      </c>
      <c r="G457" s="103" t="e">
        <f t="shared" ca="1" si="48"/>
        <v>#NAME?</v>
      </c>
      <c r="H457" s="104" t="e">
        <f ca="1">IF(C457="","",MROUND([0]!CSVVLookUP(ROW(行数!A449),配列!$C$4,集計記録,8,1),"0:01"))</f>
        <v>#NAME?</v>
      </c>
      <c r="I457" s="104" t="e">
        <f t="shared" ca="1" si="49"/>
        <v>#NAME?</v>
      </c>
      <c r="J457" s="119" t="e">
        <f ca="1">IF(C457="","",MROUND([0]!CSVVLookUP(ROW(行数!A449),配列!$C$4,集計記録,7,1),"0:01"))</f>
        <v>#NAME?</v>
      </c>
      <c r="K457" s="92" t="e">
        <f ca="1">IF(C457="","",[0]!CSVVLookUP(ROW(行数!A449),配列!$C$4,集計記録,5,1))</f>
        <v>#NAME?</v>
      </c>
      <c r="L457" s="104" t="e">
        <f t="shared" ca="1" si="50"/>
        <v>#NAME?</v>
      </c>
      <c r="M457" s="120" t="e">
        <f t="shared" ref="M457:M520" ca="1" si="51">IF(C457="","",VLOOKUP(C457,運転条件判定,13,1))</f>
        <v>#NAME?</v>
      </c>
      <c r="N457" s="120" t="e">
        <f ca="1">IF([0]!CSVVLookUP(ROW(行数!A449),配列!$C$4,集計記録,6,1)=0,"",[0]!CSVVLookUP(ROW(行数!A449),配列!$C$4,集計記録,6,1))</f>
        <v>#NAME?</v>
      </c>
      <c r="O457" s="88" t="e">
        <f ca="1">IF(INDIRECT("M"&amp;ROW()-1)&lt;&gt;INDIRECT("M"&amp;ROW()),リスト!$I$5,"")</f>
        <v>#NAME?</v>
      </c>
      <c r="P457" s="88" t="e">
        <f ca="1">IF(INDIRECT("M"&amp;ROW())&lt;&gt;INDIRECT("M"&amp;ROW()+1),リスト!$I$6,"")</f>
        <v>#NAME?</v>
      </c>
    </row>
    <row r="458" spans="1:16" x14ac:dyDescent="0.2">
      <c r="A458" s="169" t="e">
        <f ca="1">IF(C458="","",ROW(行数!A450))</f>
        <v>#NAME?</v>
      </c>
      <c r="B458" s="168" t="e">
        <f t="shared" ref="B458:B521" ca="1" si="52">IF(C458="","",VLOOKUP(C458,ユニット判定用,3))</f>
        <v>#NAME?</v>
      </c>
      <c r="C458" s="90" t="e">
        <f ca="1">[0]!CSVVLookUP(ROW(行数!A450),配列!$C$4,集計記録,3,1)</f>
        <v>#NAME?</v>
      </c>
      <c r="D458" s="90" t="e">
        <f ca="1">[0]!CSVVLookUP(ROW(行数!B450),配列!$C$4,集計記録,4,1)</f>
        <v>#NAME?</v>
      </c>
      <c r="E458" s="118" t="e">
        <f t="shared" ref="E458:E521" ca="1" si="53">IF(C458="","",D458-C458)</f>
        <v>#NAME?</v>
      </c>
      <c r="F458" s="118" t="e">
        <f t="shared" ref="F458:F521" ca="1" si="54">IF(C458="","",E458-H458-I458)</f>
        <v>#NAME?</v>
      </c>
      <c r="G458" s="103" t="e">
        <f t="shared" ref="G458:G521" ca="1" si="55">IF(C458="","",F458/E458)</f>
        <v>#NAME?</v>
      </c>
      <c r="H458" s="104" t="e">
        <f ca="1">IF(C458="","",MROUND([0]!CSVVLookUP(ROW(行数!A450),配列!$C$4,集計記録,8,1),"0:01"))</f>
        <v>#NAME?</v>
      </c>
      <c r="I458" s="104" t="e">
        <f t="shared" ref="I458:I521" ca="1" si="56">IF(C458="","",MROUND(J458-H458,"0:01"))</f>
        <v>#NAME?</v>
      </c>
      <c r="J458" s="119" t="e">
        <f ca="1">IF(C458="","",MROUND([0]!CSVVLookUP(ROW(行数!A450),配列!$C$4,集計記録,7,1),"0:01"))</f>
        <v>#NAME?</v>
      </c>
      <c r="K458" s="92" t="e">
        <f ca="1">IF(C458="","",[0]!CSVVLookUP(ROW(行数!A450),配列!$C$4,集計記録,5,1))</f>
        <v>#NAME?</v>
      </c>
      <c r="L458" s="104" t="e">
        <f t="shared" ref="L458:L521" ca="1" si="57">IF(C458="","",MROUND(E458/(K458+1),"00:01"))</f>
        <v>#NAME?</v>
      </c>
      <c r="M458" s="120" t="e">
        <f t="shared" ca="1" si="51"/>
        <v>#NAME?</v>
      </c>
      <c r="N458" s="120" t="e">
        <f ca="1">IF([0]!CSVVLookUP(ROW(行数!A450),配列!$C$4,集計記録,6,1)=0,"",[0]!CSVVLookUP(ROW(行数!A450),配列!$C$4,集計記録,6,1))</f>
        <v>#NAME?</v>
      </c>
      <c r="O458" s="88" t="e">
        <f ca="1">IF(INDIRECT("M"&amp;ROW()-1)&lt;&gt;INDIRECT("M"&amp;ROW()),リスト!$I$5,"")</f>
        <v>#NAME?</v>
      </c>
      <c r="P458" s="88" t="e">
        <f ca="1">IF(INDIRECT("M"&amp;ROW())&lt;&gt;INDIRECT("M"&amp;ROW()+1),リスト!$I$6,"")</f>
        <v>#NAME?</v>
      </c>
    </row>
    <row r="459" spans="1:16" x14ac:dyDescent="0.2">
      <c r="A459" s="169" t="e">
        <f ca="1">IF(C459="","",ROW(行数!A451))</f>
        <v>#NAME?</v>
      </c>
      <c r="B459" s="168" t="e">
        <f t="shared" ca="1" si="52"/>
        <v>#NAME?</v>
      </c>
      <c r="C459" s="90" t="e">
        <f ca="1">[0]!CSVVLookUP(ROW(行数!A451),配列!$C$4,集計記録,3,1)</f>
        <v>#NAME?</v>
      </c>
      <c r="D459" s="90" t="e">
        <f ca="1">[0]!CSVVLookUP(ROW(行数!B451),配列!$C$4,集計記録,4,1)</f>
        <v>#NAME?</v>
      </c>
      <c r="E459" s="118" t="e">
        <f t="shared" ca="1" si="53"/>
        <v>#NAME?</v>
      </c>
      <c r="F459" s="118" t="e">
        <f t="shared" ca="1" si="54"/>
        <v>#NAME?</v>
      </c>
      <c r="G459" s="103" t="e">
        <f t="shared" ca="1" si="55"/>
        <v>#NAME?</v>
      </c>
      <c r="H459" s="104" t="e">
        <f ca="1">IF(C459="","",MROUND([0]!CSVVLookUP(ROW(行数!A451),配列!$C$4,集計記録,8,1),"0:01"))</f>
        <v>#NAME?</v>
      </c>
      <c r="I459" s="104" t="e">
        <f t="shared" ca="1" si="56"/>
        <v>#NAME?</v>
      </c>
      <c r="J459" s="119" t="e">
        <f ca="1">IF(C459="","",MROUND([0]!CSVVLookUP(ROW(行数!A451),配列!$C$4,集計記録,7,1),"0:01"))</f>
        <v>#NAME?</v>
      </c>
      <c r="K459" s="92" t="e">
        <f ca="1">IF(C459="","",[0]!CSVVLookUP(ROW(行数!A451),配列!$C$4,集計記録,5,1))</f>
        <v>#NAME?</v>
      </c>
      <c r="L459" s="104" t="e">
        <f t="shared" ca="1" si="57"/>
        <v>#NAME?</v>
      </c>
      <c r="M459" s="120" t="e">
        <f t="shared" ca="1" si="51"/>
        <v>#NAME?</v>
      </c>
      <c r="N459" s="120" t="e">
        <f ca="1">IF([0]!CSVVLookUP(ROW(行数!A451),配列!$C$4,集計記録,6,1)=0,"",[0]!CSVVLookUP(ROW(行数!A451),配列!$C$4,集計記録,6,1))</f>
        <v>#NAME?</v>
      </c>
      <c r="O459" s="88" t="e">
        <f ca="1">IF(INDIRECT("M"&amp;ROW()-1)&lt;&gt;INDIRECT("M"&amp;ROW()),リスト!$I$5,"")</f>
        <v>#NAME?</v>
      </c>
      <c r="P459" s="88" t="e">
        <f ca="1">IF(INDIRECT("M"&amp;ROW())&lt;&gt;INDIRECT("M"&amp;ROW()+1),リスト!$I$6,"")</f>
        <v>#NAME?</v>
      </c>
    </row>
    <row r="460" spans="1:16" x14ac:dyDescent="0.2">
      <c r="A460" s="169" t="e">
        <f ca="1">IF(C460="","",ROW(行数!A452))</f>
        <v>#NAME?</v>
      </c>
      <c r="B460" s="168" t="e">
        <f t="shared" ca="1" si="52"/>
        <v>#NAME?</v>
      </c>
      <c r="C460" s="90" t="e">
        <f ca="1">[0]!CSVVLookUP(ROW(行数!A452),配列!$C$4,集計記録,3,1)</f>
        <v>#NAME?</v>
      </c>
      <c r="D460" s="90" t="e">
        <f ca="1">[0]!CSVVLookUP(ROW(行数!B452),配列!$C$4,集計記録,4,1)</f>
        <v>#NAME?</v>
      </c>
      <c r="E460" s="118" t="e">
        <f t="shared" ca="1" si="53"/>
        <v>#NAME?</v>
      </c>
      <c r="F460" s="118" t="e">
        <f t="shared" ca="1" si="54"/>
        <v>#NAME?</v>
      </c>
      <c r="G460" s="103" t="e">
        <f t="shared" ca="1" si="55"/>
        <v>#NAME?</v>
      </c>
      <c r="H460" s="104" t="e">
        <f ca="1">IF(C460="","",MROUND([0]!CSVVLookUP(ROW(行数!A452),配列!$C$4,集計記録,8,1),"0:01"))</f>
        <v>#NAME?</v>
      </c>
      <c r="I460" s="104" t="e">
        <f t="shared" ca="1" si="56"/>
        <v>#NAME?</v>
      </c>
      <c r="J460" s="119" t="e">
        <f ca="1">IF(C460="","",MROUND([0]!CSVVLookUP(ROW(行数!A452),配列!$C$4,集計記録,7,1),"0:01"))</f>
        <v>#NAME?</v>
      </c>
      <c r="K460" s="92" t="e">
        <f ca="1">IF(C460="","",[0]!CSVVLookUP(ROW(行数!A452),配列!$C$4,集計記録,5,1))</f>
        <v>#NAME?</v>
      </c>
      <c r="L460" s="104" t="e">
        <f t="shared" ca="1" si="57"/>
        <v>#NAME?</v>
      </c>
      <c r="M460" s="120" t="e">
        <f t="shared" ca="1" si="51"/>
        <v>#NAME?</v>
      </c>
      <c r="N460" s="120" t="e">
        <f ca="1">IF([0]!CSVVLookUP(ROW(行数!A452),配列!$C$4,集計記録,6,1)=0,"",[0]!CSVVLookUP(ROW(行数!A452),配列!$C$4,集計記録,6,1))</f>
        <v>#NAME?</v>
      </c>
      <c r="O460" s="88" t="e">
        <f ca="1">IF(INDIRECT("M"&amp;ROW()-1)&lt;&gt;INDIRECT("M"&amp;ROW()),リスト!$I$5,"")</f>
        <v>#NAME?</v>
      </c>
      <c r="P460" s="88" t="e">
        <f ca="1">IF(INDIRECT("M"&amp;ROW())&lt;&gt;INDIRECT("M"&amp;ROW()+1),リスト!$I$6,"")</f>
        <v>#NAME?</v>
      </c>
    </row>
    <row r="461" spans="1:16" x14ac:dyDescent="0.2">
      <c r="A461" s="169" t="e">
        <f ca="1">IF(C461="","",ROW(行数!A453))</f>
        <v>#NAME?</v>
      </c>
      <c r="B461" s="168" t="e">
        <f t="shared" ca="1" si="52"/>
        <v>#NAME?</v>
      </c>
      <c r="C461" s="90" t="e">
        <f ca="1">[0]!CSVVLookUP(ROW(行数!A453),配列!$C$4,集計記録,3,1)</f>
        <v>#NAME?</v>
      </c>
      <c r="D461" s="90" t="e">
        <f ca="1">[0]!CSVVLookUP(ROW(行数!B453),配列!$C$4,集計記録,4,1)</f>
        <v>#NAME?</v>
      </c>
      <c r="E461" s="118" t="e">
        <f t="shared" ca="1" si="53"/>
        <v>#NAME?</v>
      </c>
      <c r="F461" s="118" t="e">
        <f t="shared" ca="1" si="54"/>
        <v>#NAME?</v>
      </c>
      <c r="G461" s="103" t="e">
        <f t="shared" ca="1" si="55"/>
        <v>#NAME?</v>
      </c>
      <c r="H461" s="104" t="e">
        <f ca="1">IF(C461="","",MROUND([0]!CSVVLookUP(ROW(行数!A453),配列!$C$4,集計記録,8,1),"0:01"))</f>
        <v>#NAME?</v>
      </c>
      <c r="I461" s="104" t="e">
        <f t="shared" ca="1" si="56"/>
        <v>#NAME?</v>
      </c>
      <c r="J461" s="119" t="e">
        <f ca="1">IF(C461="","",MROUND([0]!CSVVLookUP(ROW(行数!A453),配列!$C$4,集計記録,7,1),"0:01"))</f>
        <v>#NAME?</v>
      </c>
      <c r="K461" s="92" t="e">
        <f ca="1">IF(C461="","",[0]!CSVVLookUP(ROW(行数!A453),配列!$C$4,集計記録,5,1))</f>
        <v>#NAME?</v>
      </c>
      <c r="L461" s="104" t="e">
        <f t="shared" ca="1" si="57"/>
        <v>#NAME?</v>
      </c>
      <c r="M461" s="120" t="e">
        <f t="shared" ca="1" si="51"/>
        <v>#NAME?</v>
      </c>
      <c r="N461" s="120" t="e">
        <f ca="1">IF([0]!CSVVLookUP(ROW(行数!A453),配列!$C$4,集計記録,6,1)=0,"",[0]!CSVVLookUP(ROW(行数!A453),配列!$C$4,集計記録,6,1))</f>
        <v>#NAME?</v>
      </c>
      <c r="O461" s="88" t="e">
        <f ca="1">IF(INDIRECT("M"&amp;ROW()-1)&lt;&gt;INDIRECT("M"&amp;ROW()),リスト!$I$5,"")</f>
        <v>#NAME?</v>
      </c>
      <c r="P461" s="88" t="e">
        <f ca="1">IF(INDIRECT("M"&amp;ROW())&lt;&gt;INDIRECT("M"&amp;ROW()+1),リスト!$I$6,"")</f>
        <v>#NAME?</v>
      </c>
    </row>
    <row r="462" spans="1:16" x14ac:dyDescent="0.2">
      <c r="A462" s="169" t="e">
        <f ca="1">IF(C462="","",ROW(行数!A454))</f>
        <v>#NAME?</v>
      </c>
      <c r="B462" s="168" t="e">
        <f t="shared" ca="1" si="52"/>
        <v>#NAME?</v>
      </c>
      <c r="C462" s="90" t="e">
        <f ca="1">[0]!CSVVLookUP(ROW(行数!A454),配列!$C$4,集計記録,3,1)</f>
        <v>#NAME?</v>
      </c>
      <c r="D462" s="90" t="e">
        <f ca="1">[0]!CSVVLookUP(ROW(行数!B454),配列!$C$4,集計記録,4,1)</f>
        <v>#NAME?</v>
      </c>
      <c r="E462" s="118" t="e">
        <f t="shared" ca="1" si="53"/>
        <v>#NAME?</v>
      </c>
      <c r="F462" s="118" t="e">
        <f t="shared" ca="1" si="54"/>
        <v>#NAME?</v>
      </c>
      <c r="G462" s="103" t="e">
        <f t="shared" ca="1" si="55"/>
        <v>#NAME?</v>
      </c>
      <c r="H462" s="104" t="e">
        <f ca="1">IF(C462="","",MROUND([0]!CSVVLookUP(ROW(行数!A454),配列!$C$4,集計記録,8,1),"0:01"))</f>
        <v>#NAME?</v>
      </c>
      <c r="I462" s="104" t="e">
        <f t="shared" ca="1" si="56"/>
        <v>#NAME?</v>
      </c>
      <c r="J462" s="119" t="e">
        <f ca="1">IF(C462="","",MROUND([0]!CSVVLookUP(ROW(行数!A454),配列!$C$4,集計記録,7,1),"0:01"))</f>
        <v>#NAME?</v>
      </c>
      <c r="K462" s="92" t="e">
        <f ca="1">IF(C462="","",[0]!CSVVLookUP(ROW(行数!A454),配列!$C$4,集計記録,5,1))</f>
        <v>#NAME?</v>
      </c>
      <c r="L462" s="104" t="e">
        <f t="shared" ca="1" si="57"/>
        <v>#NAME?</v>
      </c>
      <c r="M462" s="120" t="e">
        <f t="shared" ca="1" si="51"/>
        <v>#NAME?</v>
      </c>
      <c r="N462" s="120" t="e">
        <f ca="1">IF([0]!CSVVLookUP(ROW(行数!A454),配列!$C$4,集計記録,6,1)=0,"",[0]!CSVVLookUP(ROW(行数!A454),配列!$C$4,集計記録,6,1))</f>
        <v>#NAME?</v>
      </c>
      <c r="O462" s="88" t="e">
        <f ca="1">IF(INDIRECT("M"&amp;ROW()-1)&lt;&gt;INDIRECT("M"&amp;ROW()),リスト!$I$5,"")</f>
        <v>#NAME?</v>
      </c>
      <c r="P462" s="88" t="e">
        <f ca="1">IF(INDIRECT("M"&amp;ROW())&lt;&gt;INDIRECT("M"&amp;ROW()+1),リスト!$I$6,"")</f>
        <v>#NAME?</v>
      </c>
    </row>
    <row r="463" spans="1:16" x14ac:dyDescent="0.2">
      <c r="A463" s="169" t="e">
        <f ca="1">IF(C463="","",ROW(行数!A455))</f>
        <v>#NAME?</v>
      </c>
      <c r="B463" s="168" t="e">
        <f t="shared" ca="1" si="52"/>
        <v>#NAME?</v>
      </c>
      <c r="C463" s="90" t="e">
        <f ca="1">[0]!CSVVLookUP(ROW(行数!A455),配列!$C$4,集計記録,3,1)</f>
        <v>#NAME?</v>
      </c>
      <c r="D463" s="90" t="e">
        <f ca="1">[0]!CSVVLookUP(ROW(行数!B455),配列!$C$4,集計記録,4,1)</f>
        <v>#NAME?</v>
      </c>
      <c r="E463" s="118" t="e">
        <f t="shared" ca="1" si="53"/>
        <v>#NAME?</v>
      </c>
      <c r="F463" s="118" t="e">
        <f t="shared" ca="1" si="54"/>
        <v>#NAME?</v>
      </c>
      <c r="G463" s="103" t="e">
        <f t="shared" ca="1" si="55"/>
        <v>#NAME?</v>
      </c>
      <c r="H463" s="104" t="e">
        <f ca="1">IF(C463="","",MROUND([0]!CSVVLookUP(ROW(行数!A455),配列!$C$4,集計記録,8,1),"0:01"))</f>
        <v>#NAME?</v>
      </c>
      <c r="I463" s="104" t="e">
        <f t="shared" ca="1" si="56"/>
        <v>#NAME?</v>
      </c>
      <c r="J463" s="119" t="e">
        <f ca="1">IF(C463="","",MROUND([0]!CSVVLookUP(ROW(行数!A455),配列!$C$4,集計記録,7,1),"0:01"))</f>
        <v>#NAME?</v>
      </c>
      <c r="K463" s="92" t="e">
        <f ca="1">IF(C463="","",[0]!CSVVLookUP(ROW(行数!A455),配列!$C$4,集計記録,5,1))</f>
        <v>#NAME?</v>
      </c>
      <c r="L463" s="104" t="e">
        <f t="shared" ca="1" si="57"/>
        <v>#NAME?</v>
      </c>
      <c r="M463" s="120" t="e">
        <f t="shared" ca="1" si="51"/>
        <v>#NAME?</v>
      </c>
      <c r="N463" s="120" t="e">
        <f ca="1">IF([0]!CSVVLookUP(ROW(行数!A455),配列!$C$4,集計記録,6,1)=0,"",[0]!CSVVLookUP(ROW(行数!A455),配列!$C$4,集計記録,6,1))</f>
        <v>#NAME?</v>
      </c>
      <c r="O463" s="88" t="e">
        <f ca="1">IF(INDIRECT("M"&amp;ROW()-1)&lt;&gt;INDIRECT("M"&amp;ROW()),リスト!$I$5,"")</f>
        <v>#NAME?</v>
      </c>
      <c r="P463" s="88" t="e">
        <f ca="1">IF(INDIRECT("M"&amp;ROW())&lt;&gt;INDIRECT("M"&amp;ROW()+1),リスト!$I$6,"")</f>
        <v>#NAME?</v>
      </c>
    </row>
    <row r="464" spans="1:16" x14ac:dyDescent="0.2">
      <c r="A464" s="169" t="e">
        <f ca="1">IF(C464="","",ROW(行数!A456))</f>
        <v>#NAME?</v>
      </c>
      <c r="B464" s="168" t="e">
        <f t="shared" ca="1" si="52"/>
        <v>#NAME?</v>
      </c>
      <c r="C464" s="90" t="e">
        <f ca="1">[0]!CSVVLookUP(ROW(行数!A456),配列!$C$4,集計記録,3,1)</f>
        <v>#NAME?</v>
      </c>
      <c r="D464" s="90" t="e">
        <f ca="1">[0]!CSVVLookUP(ROW(行数!B456),配列!$C$4,集計記録,4,1)</f>
        <v>#NAME?</v>
      </c>
      <c r="E464" s="118" t="e">
        <f t="shared" ca="1" si="53"/>
        <v>#NAME?</v>
      </c>
      <c r="F464" s="118" t="e">
        <f t="shared" ca="1" si="54"/>
        <v>#NAME?</v>
      </c>
      <c r="G464" s="103" t="e">
        <f t="shared" ca="1" si="55"/>
        <v>#NAME?</v>
      </c>
      <c r="H464" s="104" t="e">
        <f ca="1">IF(C464="","",MROUND([0]!CSVVLookUP(ROW(行数!A456),配列!$C$4,集計記録,8,1),"0:01"))</f>
        <v>#NAME?</v>
      </c>
      <c r="I464" s="104" t="e">
        <f t="shared" ca="1" si="56"/>
        <v>#NAME?</v>
      </c>
      <c r="J464" s="119" t="e">
        <f ca="1">IF(C464="","",MROUND([0]!CSVVLookUP(ROW(行数!A456),配列!$C$4,集計記録,7,1),"0:01"))</f>
        <v>#NAME?</v>
      </c>
      <c r="K464" s="92" t="e">
        <f ca="1">IF(C464="","",[0]!CSVVLookUP(ROW(行数!A456),配列!$C$4,集計記録,5,1))</f>
        <v>#NAME?</v>
      </c>
      <c r="L464" s="104" t="e">
        <f t="shared" ca="1" si="57"/>
        <v>#NAME?</v>
      </c>
      <c r="M464" s="120" t="e">
        <f t="shared" ca="1" si="51"/>
        <v>#NAME?</v>
      </c>
      <c r="N464" s="120" t="e">
        <f ca="1">IF([0]!CSVVLookUP(ROW(行数!A456),配列!$C$4,集計記録,6,1)=0,"",[0]!CSVVLookUP(ROW(行数!A456),配列!$C$4,集計記録,6,1))</f>
        <v>#NAME?</v>
      </c>
      <c r="O464" s="88" t="e">
        <f ca="1">IF(INDIRECT("M"&amp;ROW()-1)&lt;&gt;INDIRECT("M"&amp;ROW()),リスト!$I$5,"")</f>
        <v>#NAME?</v>
      </c>
      <c r="P464" s="88" t="e">
        <f ca="1">IF(INDIRECT("M"&amp;ROW())&lt;&gt;INDIRECT("M"&amp;ROW()+1),リスト!$I$6,"")</f>
        <v>#NAME?</v>
      </c>
    </row>
    <row r="465" spans="1:16" x14ac:dyDescent="0.2">
      <c r="A465" s="169" t="e">
        <f ca="1">IF(C465="","",ROW(行数!A457))</f>
        <v>#NAME?</v>
      </c>
      <c r="B465" s="168" t="e">
        <f t="shared" ca="1" si="52"/>
        <v>#NAME?</v>
      </c>
      <c r="C465" s="90" t="e">
        <f ca="1">[0]!CSVVLookUP(ROW(行数!A457),配列!$C$4,集計記録,3,1)</f>
        <v>#NAME?</v>
      </c>
      <c r="D465" s="90" t="e">
        <f ca="1">[0]!CSVVLookUP(ROW(行数!B457),配列!$C$4,集計記録,4,1)</f>
        <v>#NAME?</v>
      </c>
      <c r="E465" s="118" t="e">
        <f t="shared" ca="1" si="53"/>
        <v>#NAME?</v>
      </c>
      <c r="F465" s="118" t="e">
        <f t="shared" ca="1" si="54"/>
        <v>#NAME?</v>
      </c>
      <c r="G465" s="103" t="e">
        <f t="shared" ca="1" si="55"/>
        <v>#NAME?</v>
      </c>
      <c r="H465" s="104" t="e">
        <f ca="1">IF(C465="","",MROUND([0]!CSVVLookUP(ROW(行数!A457),配列!$C$4,集計記録,8,1),"0:01"))</f>
        <v>#NAME?</v>
      </c>
      <c r="I465" s="104" t="e">
        <f t="shared" ca="1" si="56"/>
        <v>#NAME?</v>
      </c>
      <c r="J465" s="119" t="e">
        <f ca="1">IF(C465="","",MROUND([0]!CSVVLookUP(ROW(行数!A457),配列!$C$4,集計記録,7,1),"0:01"))</f>
        <v>#NAME?</v>
      </c>
      <c r="K465" s="92" t="e">
        <f ca="1">IF(C465="","",[0]!CSVVLookUP(ROW(行数!A457),配列!$C$4,集計記録,5,1))</f>
        <v>#NAME?</v>
      </c>
      <c r="L465" s="104" t="e">
        <f t="shared" ca="1" si="57"/>
        <v>#NAME?</v>
      </c>
      <c r="M465" s="120" t="e">
        <f t="shared" ca="1" si="51"/>
        <v>#NAME?</v>
      </c>
      <c r="N465" s="120" t="e">
        <f ca="1">IF([0]!CSVVLookUP(ROW(行数!A457),配列!$C$4,集計記録,6,1)=0,"",[0]!CSVVLookUP(ROW(行数!A457),配列!$C$4,集計記録,6,1))</f>
        <v>#NAME?</v>
      </c>
      <c r="O465" s="88" t="e">
        <f ca="1">IF(INDIRECT("M"&amp;ROW()-1)&lt;&gt;INDIRECT("M"&amp;ROW()),リスト!$I$5,"")</f>
        <v>#NAME?</v>
      </c>
      <c r="P465" s="88" t="e">
        <f ca="1">IF(INDIRECT("M"&amp;ROW())&lt;&gt;INDIRECT("M"&amp;ROW()+1),リスト!$I$6,"")</f>
        <v>#NAME?</v>
      </c>
    </row>
    <row r="466" spans="1:16" x14ac:dyDescent="0.2">
      <c r="A466" s="169" t="e">
        <f ca="1">IF(C466="","",ROW(行数!A458))</f>
        <v>#NAME?</v>
      </c>
      <c r="B466" s="168" t="e">
        <f t="shared" ca="1" si="52"/>
        <v>#NAME?</v>
      </c>
      <c r="C466" s="90" t="e">
        <f ca="1">[0]!CSVVLookUP(ROW(行数!A458),配列!$C$4,集計記録,3,1)</f>
        <v>#NAME?</v>
      </c>
      <c r="D466" s="90" t="e">
        <f ca="1">[0]!CSVVLookUP(ROW(行数!B458),配列!$C$4,集計記録,4,1)</f>
        <v>#NAME?</v>
      </c>
      <c r="E466" s="118" t="e">
        <f t="shared" ca="1" si="53"/>
        <v>#NAME?</v>
      </c>
      <c r="F466" s="118" t="e">
        <f t="shared" ca="1" si="54"/>
        <v>#NAME?</v>
      </c>
      <c r="G466" s="103" t="e">
        <f t="shared" ca="1" si="55"/>
        <v>#NAME?</v>
      </c>
      <c r="H466" s="104" t="e">
        <f ca="1">IF(C466="","",MROUND([0]!CSVVLookUP(ROW(行数!A458),配列!$C$4,集計記録,8,1),"0:01"))</f>
        <v>#NAME?</v>
      </c>
      <c r="I466" s="104" t="e">
        <f t="shared" ca="1" si="56"/>
        <v>#NAME?</v>
      </c>
      <c r="J466" s="119" t="e">
        <f ca="1">IF(C466="","",MROUND([0]!CSVVLookUP(ROW(行数!A458),配列!$C$4,集計記録,7,1),"0:01"))</f>
        <v>#NAME?</v>
      </c>
      <c r="K466" s="92" t="e">
        <f ca="1">IF(C466="","",[0]!CSVVLookUP(ROW(行数!A458),配列!$C$4,集計記録,5,1))</f>
        <v>#NAME?</v>
      </c>
      <c r="L466" s="104" t="e">
        <f t="shared" ca="1" si="57"/>
        <v>#NAME?</v>
      </c>
      <c r="M466" s="120" t="e">
        <f t="shared" ca="1" si="51"/>
        <v>#NAME?</v>
      </c>
      <c r="N466" s="120" t="e">
        <f ca="1">IF([0]!CSVVLookUP(ROW(行数!A458),配列!$C$4,集計記録,6,1)=0,"",[0]!CSVVLookUP(ROW(行数!A458),配列!$C$4,集計記録,6,1))</f>
        <v>#NAME?</v>
      </c>
      <c r="O466" s="88" t="e">
        <f ca="1">IF(INDIRECT("M"&amp;ROW()-1)&lt;&gt;INDIRECT("M"&amp;ROW()),リスト!$I$5,"")</f>
        <v>#NAME?</v>
      </c>
      <c r="P466" s="88" t="e">
        <f ca="1">IF(INDIRECT("M"&amp;ROW())&lt;&gt;INDIRECT("M"&amp;ROW()+1),リスト!$I$6,"")</f>
        <v>#NAME?</v>
      </c>
    </row>
    <row r="467" spans="1:16" x14ac:dyDescent="0.2">
      <c r="A467" s="169" t="e">
        <f ca="1">IF(C467="","",ROW(行数!A459))</f>
        <v>#NAME?</v>
      </c>
      <c r="B467" s="168" t="e">
        <f t="shared" ca="1" si="52"/>
        <v>#NAME?</v>
      </c>
      <c r="C467" s="90" t="e">
        <f ca="1">[0]!CSVVLookUP(ROW(行数!A459),配列!$C$4,集計記録,3,1)</f>
        <v>#NAME?</v>
      </c>
      <c r="D467" s="90" t="e">
        <f ca="1">[0]!CSVVLookUP(ROW(行数!B459),配列!$C$4,集計記録,4,1)</f>
        <v>#NAME?</v>
      </c>
      <c r="E467" s="118" t="e">
        <f t="shared" ca="1" si="53"/>
        <v>#NAME?</v>
      </c>
      <c r="F467" s="118" t="e">
        <f t="shared" ca="1" si="54"/>
        <v>#NAME?</v>
      </c>
      <c r="G467" s="103" t="e">
        <f t="shared" ca="1" si="55"/>
        <v>#NAME?</v>
      </c>
      <c r="H467" s="104" t="e">
        <f ca="1">IF(C467="","",MROUND([0]!CSVVLookUP(ROW(行数!A459),配列!$C$4,集計記録,8,1),"0:01"))</f>
        <v>#NAME?</v>
      </c>
      <c r="I467" s="104" t="e">
        <f t="shared" ca="1" si="56"/>
        <v>#NAME?</v>
      </c>
      <c r="J467" s="119" t="e">
        <f ca="1">IF(C467="","",MROUND([0]!CSVVLookUP(ROW(行数!A459),配列!$C$4,集計記録,7,1),"0:01"))</f>
        <v>#NAME?</v>
      </c>
      <c r="K467" s="92" t="e">
        <f ca="1">IF(C467="","",[0]!CSVVLookUP(ROW(行数!A459),配列!$C$4,集計記録,5,1))</f>
        <v>#NAME?</v>
      </c>
      <c r="L467" s="104" t="e">
        <f t="shared" ca="1" si="57"/>
        <v>#NAME?</v>
      </c>
      <c r="M467" s="120" t="e">
        <f t="shared" ca="1" si="51"/>
        <v>#NAME?</v>
      </c>
      <c r="N467" s="120" t="e">
        <f ca="1">IF([0]!CSVVLookUP(ROW(行数!A459),配列!$C$4,集計記録,6,1)=0,"",[0]!CSVVLookUP(ROW(行数!A459),配列!$C$4,集計記録,6,1))</f>
        <v>#NAME?</v>
      </c>
      <c r="O467" s="88" t="e">
        <f ca="1">IF(INDIRECT("M"&amp;ROW()-1)&lt;&gt;INDIRECT("M"&amp;ROW()),リスト!$I$5,"")</f>
        <v>#NAME?</v>
      </c>
      <c r="P467" s="88" t="e">
        <f ca="1">IF(INDIRECT("M"&amp;ROW())&lt;&gt;INDIRECT("M"&amp;ROW()+1),リスト!$I$6,"")</f>
        <v>#NAME?</v>
      </c>
    </row>
    <row r="468" spans="1:16" x14ac:dyDescent="0.2">
      <c r="A468" s="169" t="e">
        <f ca="1">IF(C468="","",ROW(行数!A460))</f>
        <v>#NAME?</v>
      </c>
      <c r="B468" s="168" t="e">
        <f t="shared" ca="1" si="52"/>
        <v>#NAME?</v>
      </c>
      <c r="C468" s="90" t="e">
        <f ca="1">[0]!CSVVLookUP(ROW(行数!A460),配列!$C$4,集計記録,3,1)</f>
        <v>#NAME?</v>
      </c>
      <c r="D468" s="90" t="e">
        <f ca="1">[0]!CSVVLookUP(ROW(行数!B460),配列!$C$4,集計記録,4,1)</f>
        <v>#NAME?</v>
      </c>
      <c r="E468" s="118" t="e">
        <f t="shared" ca="1" si="53"/>
        <v>#NAME?</v>
      </c>
      <c r="F468" s="118" t="e">
        <f t="shared" ca="1" si="54"/>
        <v>#NAME?</v>
      </c>
      <c r="G468" s="103" t="e">
        <f t="shared" ca="1" si="55"/>
        <v>#NAME?</v>
      </c>
      <c r="H468" s="104" t="e">
        <f ca="1">IF(C468="","",MROUND([0]!CSVVLookUP(ROW(行数!A460),配列!$C$4,集計記録,8,1),"0:01"))</f>
        <v>#NAME?</v>
      </c>
      <c r="I468" s="104" t="e">
        <f t="shared" ca="1" si="56"/>
        <v>#NAME?</v>
      </c>
      <c r="J468" s="119" t="e">
        <f ca="1">IF(C468="","",MROUND([0]!CSVVLookUP(ROW(行数!A460),配列!$C$4,集計記録,7,1),"0:01"))</f>
        <v>#NAME?</v>
      </c>
      <c r="K468" s="92" t="e">
        <f ca="1">IF(C468="","",[0]!CSVVLookUP(ROW(行数!A460),配列!$C$4,集計記録,5,1))</f>
        <v>#NAME?</v>
      </c>
      <c r="L468" s="104" t="e">
        <f t="shared" ca="1" si="57"/>
        <v>#NAME?</v>
      </c>
      <c r="M468" s="120" t="e">
        <f t="shared" ca="1" si="51"/>
        <v>#NAME?</v>
      </c>
      <c r="N468" s="120" t="e">
        <f ca="1">IF([0]!CSVVLookUP(ROW(行数!A460),配列!$C$4,集計記録,6,1)=0,"",[0]!CSVVLookUP(ROW(行数!A460),配列!$C$4,集計記録,6,1))</f>
        <v>#NAME?</v>
      </c>
      <c r="O468" s="88" t="e">
        <f ca="1">IF(INDIRECT("M"&amp;ROW()-1)&lt;&gt;INDIRECT("M"&amp;ROW()),リスト!$I$5,"")</f>
        <v>#NAME?</v>
      </c>
      <c r="P468" s="88" t="e">
        <f ca="1">IF(INDIRECT("M"&amp;ROW())&lt;&gt;INDIRECT("M"&amp;ROW()+1),リスト!$I$6,"")</f>
        <v>#NAME?</v>
      </c>
    </row>
    <row r="469" spans="1:16" x14ac:dyDescent="0.2">
      <c r="A469" s="169" t="e">
        <f ca="1">IF(C469="","",ROW(行数!A461))</f>
        <v>#NAME?</v>
      </c>
      <c r="B469" s="168" t="e">
        <f t="shared" ca="1" si="52"/>
        <v>#NAME?</v>
      </c>
      <c r="C469" s="90" t="e">
        <f ca="1">[0]!CSVVLookUP(ROW(行数!A461),配列!$C$4,集計記録,3,1)</f>
        <v>#NAME?</v>
      </c>
      <c r="D469" s="90" t="e">
        <f ca="1">[0]!CSVVLookUP(ROW(行数!B461),配列!$C$4,集計記録,4,1)</f>
        <v>#NAME?</v>
      </c>
      <c r="E469" s="118" t="e">
        <f t="shared" ca="1" si="53"/>
        <v>#NAME?</v>
      </c>
      <c r="F469" s="118" t="e">
        <f t="shared" ca="1" si="54"/>
        <v>#NAME?</v>
      </c>
      <c r="G469" s="103" t="e">
        <f t="shared" ca="1" si="55"/>
        <v>#NAME?</v>
      </c>
      <c r="H469" s="104" t="e">
        <f ca="1">IF(C469="","",MROUND([0]!CSVVLookUP(ROW(行数!A461),配列!$C$4,集計記録,8,1),"0:01"))</f>
        <v>#NAME?</v>
      </c>
      <c r="I469" s="104" t="e">
        <f t="shared" ca="1" si="56"/>
        <v>#NAME?</v>
      </c>
      <c r="J469" s="119" t="e">
        <f ca="1">IF(C469="","",MROUND([0]!CSVVLookUP(ROW(行数!A461),配列!$C$4,集計記録,7,1),"0:01"))</f>
        <v>#NAME?</v>
      </c>
      <c r="K469" s="92" t="e">
        <f ca="1">IF(C469="","",[0]!CSVVLookUP(ROW(行数!A461),配列!$C$4,集計記録,5,1))</f>
        <v>#NAME?</v>
      </c>
      <c r="L469" s="104" t="e">
        <f t="shared" ca="1" si="57"/>
        <v>#NAME?</v>
      </c>
      <c r="M469" s="120" t="e">
        <f t="shared" ca="1" si="51"/>
        <v>#NAME?</v>
      </c>
      <c r="N469" s="120" t="e">
        <f ca="1">IF([0]!CSVVLookUP(ROW(行数!A461),配列!$C$4,集計記録,6,1)=0,"",[0]!CSVVLookUP(ROW(行数!A461),配列!$C$4,集計記録,6,1))</f>
        <v>#NAME?</v>
      </c>
      <c r="O469" s="88" t="e">
        <f ca="1">IF(INDIRECT("M"&amp;ROW()-1)&lt;&gt;INDIRECT("M"&amp;ROW()),リスト!$I$5,"")</f>
        <v>#NAME?</v>
      </c>
      <c r="P469" s="88" t="e">
        <f ca="1">IF(INDIRECT("M"&amp;ROW())&lt;&gt;INDIRECT("M"&amp;ROW()+1),リスト!$I$6,"")</f>
        <v>#NAME?</v>
      </c>
    </row>
    <row r="470" spans="1:16" x14ac:dyDescent="0.2">
      <c r="A470" s="169" t="e">
        <f ca="1">IF(C470="","",ROW(行数!A462))</f>
        <v>#NAME?</v>
      </c>
      <c r="B470" s="168" t="e">
        <f t="shared" ca="1" si="52"/>
        <v>#NAME?</v>
      </c>
      <c r="C470" s="90" t="e">
        <f ca="1">[0]!CSVVLookUP(ROW(行数!A462),配列!$C$4,集計記録,3,1)</f>
        <v>#NAME?</v>
      </c>
      <c r="D470" s="90" t="e">
        <f ca="1">[0]!CSVVLookUP(ROW(行数!B462),配列!$C$4,集計記録,4,1)</f>
        <v>#NAME?</v>
      </c>
      <c r="E470" s="118" t="e">
        <f t="shared" ca="1" si="53"/>
        <v>#NAME?</v>
      </c>
      <c r="F470" s="118" t="e">
        <f t="shared" ca="1" si="54"/>
        <v>#NAME?</v>
      </c>
      <c r="G470" s="103" t="e">
        <f t="shared" ca="1" si="55"/>
        <v>#NAME?</v>
      </c>
      <c r="H470" s="104" t="e">
        <f ca="1">IF(C470="","",MROUND([0]!CSVVLookUP(ROW(行数!A462),配列!$C$4,集計記録,8,1),"0:01"))</f>
        <v>#NAME?</v>
      </c>
      <c r="I470" s="104" t="e">
        <f t="shared" ca="1" si="56"/>
        <v>#NAME?</v>
      </c>
      <c r="J470" s="119" t="e">
        <f ca="1">IF(C470="","",MROUND([0]!CSVVLookUP(ROW(行数!A462),配列!$C$4,集計記録,7,1),"0:01"))</f>
        <v>#NAME?</v>
      </c>
      <c r="K470" s="92" t="e">
        <f ca="1">IF(C470="","",[0]!CSVVLookUP(ROW(行数!A462),配列!$C$4,集計記録,5,1))</f>
        <v>#NAME?</v>
      </c>
      <c r="L470" s="104" t="e">
        <f t="shared" ca="1" si="57"/>
        <v>#NAME?</v>
      </c>
      <c r="M470" s="120" t="e">
        <f t="shared" ca="1" si="51"/>
        <v>#NAME?</v>
      </c>
      <c r="N470" s="120" t="e">
        <f ca="1">IF([0]!CSVVLookUP(ROW(行数!A462),配列!$C$4,集計記録,6,1)=0,"",[0]!CSVVLookUP(ROW(行数!A462),配列!$C$4,集計記録,6,1))</f>
        <v>#NAME?</v>
      </c>
      <c r="O470" s="88" t="e">
        <f ca="1">IF(INDIRECT("M"&amp;ROW()-1)&lt;&gt;INDIRECT("M"&amp;ROW()),リスト!$I$5,"")</f>
        <v>#NAME?</v>
      </c>
      <c r="P470" s="88" t="e">
        <f ca="1">IF(INDIRECT("M"&amp;ROW())&lt;&gt;INDIRECT("M"&amp;ROW()+1),リスト!$I$6,"")</f>
        <v>#NAME?</v>
      </c>
    </row>
    <row r="471" spans="1:16" x14ac:dyDescent="0.2">
      <c r="A471" s="169" t="e">
        <f ca="1">IF(C471="","",ROW(行数!A463))</f>
        <v>#NAME?</v>
      </c>
      <c r="B471" s="168" t="e">
        <f t="shared" ca="1" si="52"/>
        <v>#NAME?</v>
      </c>
      <c r="C471" s="90" t="e">
        <f ca="1">[0]!CSVVLookUP(ROW(行数!A463),配列!$C$4,集計記録,3,1)</f>
        <v>#NAME?</v>
      </c>
      <c r="D471" s="90" t="e">
        <f ca="1">[0]!CSVVLookUP(ROW(行数!B463),配列!$C$4,集計記録,4,1)</f>
        <v>#NAME?</v>
      </c>
      <c r="E471" s="118" t="e">
        <f t="shared" ca="1" si="53"/>
        <v>#NAME?</v>
      </c>
      <c r="F471" s="118" t="e">
        <f t="shared" ca="1" si="54"/>
        <v>#NAME?</v>
      </c>
      <c r="G471" s="103" t="e">
        <f t="shared" ca="1" si="55"/>
        <v>#NAME?</v>
      </c>
      <c r="H471" s="104" t="e">
        <f ca="1">IF(C471="","",MROUND([0]!CSVVLookUP(ROW(行数!A463),配列!$C$4,集計記録,8,1),"0:01"))</f>
        <v>#NAME?</v>
      </c>
      <c r="I471" s="104" t="e">
        <f t="shared" ca="1" si="56"/>
        <v>#NAME?</v>
      </c>
      <c r="J471" s="119" t="e">
        <f ca="1">IF(C471="","",MROUND([0]!CSVVLookUP(ROW(行数!A463),配列!$C$4,集計記録,7,1),"0:01"))</f>
        <v>#NAME?</v>
      </c>
      <c r="K471" s="92" t="e">
        <f ca="1">IF(C471="","",[0]!CSVVLookUP(ROW(行数!A463),配列!$C$4,集計記録,5,1))</f>
        <v>#NAME?</v>
      </c>
      <c r="L471" s="104" t="e">
        <f t="shared" ca="1" si="57"/>
        <v>#NAME?</v>
      </c>
      <c r="M471" s="120" t="e">
        <f t="shared" ca="1" si="51"/>
        <v>#NAME?</v>
      </c>
      <c r="N471" s="120" t="e">
        <f ca="1">IF([0]!CSVVLookUP(ROW(行数!A463),配列!$C$4,集計記録,6,1)=0,"",[0]!CSVVLookUP(ROW(行数!A463),配列!$C$4,集計記録,6,1))</f>
        <v>#NAME?</v>
      </c>
      <c r="O471" s="88" t="e">
        <f ca="1">IF(INDIRECT("M"&amp;ROW()-1)&lt;&gt;INDIRECT("M"&amp;ROW()),リスト!$I$5,"")</f>
        <v>#NAME?</v>
      </c>
      <c r="P471" s="88" t="e">
        <f ca="1">IF(INDIRECT("M"&amp;ROW())&lt;&gt;INDIRECT("M"&amp;ROW()+1),リスト!$I$6,"")</f>
        <v>#NAME?</v>
      </c>
    </row>
    <row r="472" spans="1:16" x14ac:dyDescent="0.2">
      <c r="A472" s="169" t="e">
        <f ca="1">IF(C472="","",ROW(行数!A464))</f>
        <v>#NAME?</v>
      </c>
      <c r="B472" s="168" t="e">
        <f t="shared" ca="1" si="52"/>
        <v>#NAME?</v>
      </c>
      <c r="C472" s="90" t="e">
        <f ca="1">[0]!CSVVLookUP(ROW(行数!A464),配列!$C$4,集計記録,3,1)</f>
        <v>#NAME?</v>
      </c>
      <c r="D472" s="90" t="e">
        <f ca="1">[0]!CSVVLookUP(ROW(行数!B464),配列!$C$4,集計記録,4,1)</f>
        <v>#NAME?</v>
      </c>
      <c r="E472" s="118" t="e">
        <f t="shared" ca="1" si="53"/>
        <v>#NAME?</v>
      </c>
      <c r="F472" s="118" t="e">
        <f t="shared" ca="1" si="54"/>
        <v>#NAME?</v>
      </c>
      <c r="G472" s="103" t="e">
        <f t="shared" ca="1" si="55"/>
        <v>#NAME?</v>
      </c>
      <c r="H472" s="104" t="e">
        <f ca="1">IF(C472="","",MROUND([0]!CSVVLookUP(ROW(行数!A464),配列!$C$4,集計記録,8,1),"0:01"))</f>
        <v>#NAME?</v>
      </c>
      <c r="I472" s="104" t="e">
        <f t="shared" ca="1" si="56"/>
        <v>#NAME?</v>
      </c>
      <c r="J472" s="119" t="e">
        <f ca="1">IF(C472="","",MROUND([0]!CSVVLookUP(ROW(行数!A464),配列!$C$4,集計記録,7,1),"0:01"))</f>
        <v>#NAME?</v>
      </c>
      <c r="K472" s="92" t="e">
        <f ca="1">IF(C472="","",[0]!CSVVLookUP(ROW(行数!A464),配列!$C$4,集計記録,5,1))</f>
        <v>#NAME?</v>
      </c>
      <c r="L472" s="104" t="e">
        <f t="shared" ca="1" si="57"/>
        <v>#NAME?</v>
      </c>
      <c r="M472" s="120" t="e">
        <f t="shared" ca="1" si="51"/>
        <v>#NAME?</v>
      </c>
      <c r="N472" s="120" t="e">
        <f ca="1">IF([0]!CSVVLookUP(ROW(行数!A464),配列!$C$4,集計記録,6,1)=0,"",[0]!CSVVLookUP(ROW(行数!A464),配列!$C$4,集計記録,6,1))</f>
        <v>#NAME?</v>
      </c>
      <c r="O472" s="88" t="e">
        <f ca="1">IF(INDIRECT("M"&amp;ROW()-1)&lt;&gt;INDIRECT("M"&amp;ROW()),リスト!$I$5,"")</f>
        <v>#NAME?</v>
      </c>
      <c r="P472" s="88" t="e">
        <f ca="1">IF(INDIRECT("M"&amp;ROW())&lt;&gt;INDIRECT("M"&amp;ROW()+1),リスト!$I$6,"")</f>
        <v>#NAME?</v>
      </c>
    </row>
    <row r="473" spans="1:16" x14ac:dyDescent="0.2">
      <c r="A473" s="169" t="e">
        <f ca="1">IF(C473="","",ROW(行数!A465))</f>
        <v>#NAME?</v>
      </c>
      <c r="B473" s="168" t="e">
        <f t="shared" ca="1" si="52"/>
        <v>#NAME?</v>
      </c>
      <c r="C473" s="90" t="e">
        <f ca="1">[0]!CSVVLookUP(ROW(行数!A465),配列!$C$4,集計記録,3,1)</f>
        <v>#NAME?</v>
      </c>
      <c r="D473" s="90" t="e">
        <f ca="1">[0]!CSVVLookUP(ROW(行数!B465),配列!$C$4,集計記録,4,1)</f>
        <v>#NAME?</v>
      </c>
      <c r="E473" s="118" t="e">
        <f t="shared" ca="1" si="53"/>
        <v>#NAME?</v>
      </c>
      <c r="F473" s="118" t="e">
        <f t="shared" ca="1" si="54"/>
        <v>#NAME?</v>
      </c>
      <c r="G473" s="103" t="e">
        <f t="shared" ca="1" si="55"/>
        <v>#NAME?</v>
      </c>
      <c r="H473" s="104" t="e">
        <f ca="1">IF(C473="","",MROUND([0]!CSVVLookUP(ROW(行数!A465),配列!$C$4,集計記録,8,1),"0:01"))</f>
        <v>#NAME?</v>
      </c>
      <c r="I473" s="104" t="e">
        <f t="shared" ca="1" si="56"/>
        <v>#NAME?</v>
      </c>
      <c r="J473" s="119" t="e">
        <f ca="1">IF(C473="","",MROUND([0]!CSVVLookUP(ROW(行数!A465),配列!$C$4,集計記録,7,1),"0:01"))</f>
        <v>#NAME?</v>
      </c>
      <c r="K473" s="92" t="e">
        <f ca="1">IF(C473="","",[0]!CSVVLookUP(ROW(行数!A465),配列!$C$4,集計記録,5,1))</f>
        <v>#NAME?</v>
      </c>
      <c r="L473" s="104" t="e">
        <f t="shared" ca="1" si="57"/>
        <v>#NAME?</v>
      </c>
      <c r="M473" s="120" t="e">
        <f t="shared" ca="1" si="51"/>
        <v>#NAME?</v>
      </c>
      <c r="N473" s="120" t="e">
        <f ca="1">IF([0]!CSVVLookUP(ROW(行数!A465),配列!$C$4,集計記録,6,1)=0,"",[0]!CSVVLookUP(ROW(行数!A465),配列!$C$4,集計記録,6,1))</f>
        <v>#NAME?</v>
      </c>
      <c r="O473" s="88" t="e">
        <f ca="1">IF(INDIRECT("M"&amp;ROW()-1)&lt;&gt;INDIRECT("M"&amp;ROW()),リスト!$I$5,"")</f>
        <v>#NAME?</v>
      </c>
      <c r="P473" s="88" t="e">
        <f ca="1">IF(INDIRECT("M"&amp;ROW())&lt;&gt;INDIRECT("M"&amp;ROW()+1),リスト!$I$6,"")</f>
        <v>#NAME?</v>
      </c>
    </row>
    <row r="474" spans="1:16" x14ac:dyDescent="0.2">
      <c r="A474" s="169" t="e">
        <f ca="1">IF(C474="","",ROW(行数!A466))</f>
        <v>#NAME?</v>
      </c>
      <c r="B474" s="168" t="e">
        <f t="shared" ca="1" si="52"/>
        <v>#NAME?</v>
      </c>
      <c r="C474" s="90" t="e">
        <f ca="1">[0]!CSVVLookUP(ROW(行数!A466),配列!$C$4,集計記録,3,1)</f>
        <v>#NAME?</v>
      </c>
      <c r="D474" s="90" t="e">
        <f ca="1">[0]!CSVVLookUP(ROW(行数!B466),配列!$C$4,集計記録,4,1)</f>
        <v>#NAME?</v>
      </c>
      <c r="E474" s="118" t="e">
        <f t="shared" ca="1" si="53"/>
        <v>#NAME?</v>
      </c>
      <c r="F474" s="118" t="e">
        <f t="shared" ca="1" si="54"/>
        <v>#NAME?</v>
      </c>
      <c r="G474" s="103" t="e">
        <f t="shared" ca="1" si="55"/>
        <v>#NAME?</v>
      </c>
      <c r="H474" s="104" t="e">
        <f ca="1">IF(C474="","",MROUND([0]!CSVVLookUP(ROW(行数!A466),配列!$C$4,集計記録,8,1),"0:01"))</f>
        <v>#NAME?</v>
      </c>
      <c r="I474" s="104" t="e">
        <f t="shared" ca="1" si="56"/>
        <v>#NAME?</v>
      </c>
      <c r="J474" s="119" t="e">
        <f ca="1">IF(C474="","",MROUND([0]!CSVVLookUP(ROW(行数!A466),配列!$C$4,集計記録,7,1),"0:01"))</f>
        <v>#NAME?</v>
      </c>
      <c r="K474" s="92" t="e">
        <f ca="1">IF(C474="","",[0]!CSVVLookUP(ROW(行数!A466),配列!$C$4,集計記録,5,1))</f>
        <v>#NAME?</v>
      </c>
      <c r="L474" s="104" t="e">
        <f t="shared" ca="1" si="57"/>
        <v>#NAME?</v>
      </c>
      <c r="M474" s="120" t="e">
        <f t="shared" ca="1" si="51"/>
        <v>#NAME?</v>
      </c>
      <c r="N474" s="120" t="e">
        <f ca="1">IF([0]!CSVVLookUP(ROW(行数!A466),配列!$C$4,集計記録,6,1)=0,"",[0]!CSVVLookUP(ROW(行数!A466),配列!$C$4,集計記録,6,1))</f>
        <v>#NAME?</v>
      </c>
      <c r="O474" s="88" t="e">
        <f ca="1">IF(INDIRECT("M"&amp;ROW()-1)&lt;&gt;INDIRECT("M"&amp;ROW()),リスト!$I$5,"")</f>
        <v>#NAME?</v>
      </c>
      <c r="P474" s="88" t="e">
        <f ca="1">IF(INDIRECT("M"&amp;ROW())&lt;&gt;INDIRECT("M"&amp;ROW()+1),リスト!$I$6,"")</f>
        <v>#NAME?</v>
      </c>
    </row>
    <row r="475" spans="1:16" x14ac:dyDescent="0.2">
      <c r="A475" s="169" t="e">
        <f ca="1">IF(C475="","",ROW(行数!A467))</f>
        <v>#NAME?</v>
      </c>
      <c r="B475" s="168" t="e">
        <f t="shared" ca="1" si="52"/>
        <v>#NAME?</v>
      </c>
      <c r="C475" s="90" t="e">
        <f ca="1">[0]!CSVVLookUP(ROW(行数!A467),配列!$C$4,集計記録,3,1)</f>
        <v>#NAME?</v>
      </c>
      <c r="D475" s="90" t="e">
        <f ca="1">[0]!CSVVLookUP(ROW(行数!B467),配列!$C$4,集計記録,4,1)</f>
        <v>#NAME?</v>
      </c>
      <c r="E475" s="118" t="e">
        <f t="shared" ca="1" si="53"/>
        <v>#NAME?</v>
      </c>
      <c r="F475" s="118" t="e">
        <f t="shared" ca="1" si="54"/>
        <v>#NAME?</v>
      </c>
      <c r="G475" s="103" t="e">
        <f t="shared" ca="1" si="55"/>
        <v>#NAME?</v>
      </c>
      <c r="H475" s="104" t="e">
        <f ca="1">IF(C475="","",MROUND([0]!CSVVLookUP(ROW(行数!A467),配列!$C$4,集計記録,8,1),"0:01"))</f>
        <v>#NAME?</v>
      </c>
      <c r="I475" s="104" t="e">
        <f t="shared" ca="1" si="56"/>
        <v>#NAME?</v>
      </c>
      <c r="J475" s="119" t="e">
        <f ca="1">IF(C475="","",MROUND([0]!CSVVLookUP(ROW(行数!A467),配列!$C$4,集計記録,7,1),"0:01"))</f>
        <v>#NAME?</v>
      </c>
      <c r="K475" s="92" t="e">
        <f ca="1">IF(C475="","",[0]!CSVVLookUP(ROW(行数!A467),配列!$C$4,集計記録,5,1))</f>
        <v>#NAME?</v>
      </c>
      <c r="L475" s="104" t="e">
        <f t="shared" ca="1" si="57"/>
        <v>#NAME?</v>
      </c>
      <c r="M475" s="120" t="e">
        <f t="shared" ca="1" si="51"/>
        <v>#NAME?</v>
      </c>
      <c r="N475" s="120" t="e">
        <f ca="1">IF([0]!CSVVLookUP(ROW(行数!A467),配列!$C$4,集計記録,6,1)=0,"",[0]!CSVVLookUP(ROW(行数!A467),配列!$C$4,集計記録,6,1))</f>
        <v>#NAME?</v>
      </c>
      <c r="O475" s="88" t="e">
        <f ca="1">IF(INDIRECT("M"&amp;ROW()-1)&lt;&gt;INDIRECT("M"&amp;ROW()),リスト!$I$5,"")</f>
        <v>#NAME?</v>
      </c>
      <c r="P475" s="88" t="e">
        <f ca="1">IF(INDIRECT("M"&amp;ROW())&lt;&gt;INDIRECT("M"&amp;ROW()+1),リスト!$I$6,"")</f>
        <v>#NAME?</v>
      </c>
    </row>
    <row r="476" spans="1:16" x14ac:dyDescent="0.2">
      <c r="A476" s="169" t="e">
        <f ca="1">IF(C476="","",ROW(行数!A468))</f>
        <v>#NAME?</v>
      </c>
      <c r="B476" s="168" t="e">
        <f t="shared" ca="1" si="52"/>
        <v>#NAME?</v>
      </c>
      <c r="C476" s="90" t="e">
        <f ca="1">[0]!CSVVLookUP(ROW(行数!A468),配列!$C$4,集計記録,3,1)</f>
        <v>#NAME?</v>
      </c>
      <c r="D476" s="90" t="e">
        <f ca="1">[0]!CSVVLookUP(ROW(行数!B468),配列!$C$4,集計記録,4,1)</f>
        <v>#NAME?</v>
      </c>
      <c r="E476" s="118" t="e">
        <f t="shared" ca="1" si="53"/>
        <v>#NAME?</v>
      </c>
      <c r="F476" s="118" t="e">
        <f t="shared" ca="1" si="54"/>
        <v>#NAME?</v>
      </c>
      <c r="G476" s="103" t="e">
        <f t="shared" ca="1" si="55"/>
        <v>#NAME?</v>
      </c>
      <c r="H476" s="104" t="e">
        <f ca="1">IF(C476="","",MROUND([0]!CSVVLookUP(ROW(行数!A468),配列!$C$4,集計記録,8,1),"0:01"))</f>
        <v>#NAME?</v>
      </c>
      <c r="I476" s="104" t="e">
        <f t="shared" ca="1" si="56"/>
        <v>#NAME?</v>
      </c>
      <c r="J476" s="119" t="e">
        <f ca="1">IF(C476="","",MROUND([0]!CSVVLookUP(ROW(行数!A468),配列!$C$4,集計記録,7,1),"0:01"))</f>
        <v>#NAME?</v>
      </c>
      <c r="K476" s="92" t="e">
        <f ca="1">IF(C476="","",[0]!CSVVLookUP(ROW(行数!A468),配列!$C$4,集計記録,5,1))</f>
        <v>#NAME?</v>
      </c>
      <c r="L476" s="104" t="e">
        <f t="shared" ca="1" si="57"/>
        <v>#NAME?</v>
      </c>
      <c r="M476" s="120" t="e">
        <f t="shared" ca="1" si="51"/>
        <v>#NAME?</v>
      </c>
      <c r="N476" s="120" t="e">
        <f ca="1">IF([0]!CSVVLookUP(ROW(行数!A468),配列!$C$4,集計記録,6,1)=0,"",[0]!CSVVLookUP(ROW(行数!A468),配列!$C$4,集計記録,6,1))</f>
        <v>#NAME?</v>
      </c>
      <c r="O476" s="88" t="e">
        <f ca="1">IF(INDIRECT("M"&amp;ROW()-1)&lt;&gt;INDIRECT("M"&amp;ROW()),リスト!$I$5,"")</f>
        <v>#NAME?</v>
      </c>
      <c r="P476" s="88" t="e">
        <f ca="1">IF(INDIRECT("M"&amp;ROW())&lt;&gt;INDIRECT("M"&amp;ROW()+1),リスト!$I$6,"")</f>
        <v>#NAME?</v>
      </c>
    </row>
    <row r="477" spans="1:16" x14ac:dyDescent="0.2">
      <c r="A477" s="169" t="e">
        <f ca="1">IF(C477="","",ROW(行数!A469))</f>
        <v>#NAME?</v>
      </c>
      <c r="B477" s="168" t="e">
        <f t="shared" ca="1" si="52"/>
        <v>#NAME?</v>
      </c>
      <c r="C477" s="90" t="e">
        <f ca="1">[0]!CSVVLookUP(ROW(行数!A469),配列!$C$4,集計記録,3,1)</f>
        <v>#NAME?</v>
      </c>
      <c r="D477" s="90" t="e">
        <f ca="1">[0]!CSVVLookUP(ROW(行数!B469),配列!$C$4,集計記録,4,1)</f>
        <v>#NAME?</v>
      </c>
      <c r="E477" s="118" t="e">
        <f t="shared" ca="1" si="53"/>
        <v>#NAME?</v>
      </c>
      <c r="F477" s="118" t="e">
        <f t="shared" ca="1" si="54"/>
        <v>#NAME?</v>
      </c>
      <c r="G477" s="103" t="e">
        <f t="shared" ca="1" si="55"/>
        <v>#NAME?</v>
      </c>
      <c r="H477" s="104" t="e">
        <f ca="1">IF(C477="","",MROUND([0]!CSVVLookUP(ROW(行数!A469),配列!$C$4,集計記録,8,1),"0:01"))</f>
        <v>#NAME?</v>
      </c>
      <c r="I477" s="104" t="e">
        <f t="shared" ca="1" si="56"/>
        <v>#NAME?</v>
      </c>
      <c r="J477" s="119" t="e">
        <f ca="1">IF(C477="","",MROUND([0]!CSVVLookUP(ROW(行数!A469),配列!$C$4,集計記録,7,1),"0:01"))</f>
        <v>#NAME?</v>
      </c>
      <c r="K477" s="92" t="e">
        <f ca="1">IF(C477="","",[0]!CSVVLookUP(ROW(行数!A469),配列!$C$4,集計記録,5,1))</f>
        <v>#NAME?</v>
      </c>
      <c r="L477" s="104" t="e">
        <f t="shared" ca="1" si="57"/>
        <v>#NAME?</v>
      </c>
      <c r="M477" s="120" t="e">
        <f t="shared" ca="1" si="51"/>
        <v>#NAME?</v>
      </c>
      <c r="N477" s="120" t="e">
        <f ca="1">IF([0]!CSVVLookUP(ROW(行数!A469),配列!$C$4,集計記録,6,1)=0,"",[0]!CSVVLookUP(ROW(行数!A469),配列!$C$4,集計記録,6,1))</f>
        <v>#NAME?</v>
      </c>
      <c r="O477" s="88" t="e">
        <f ca="1">IF(INDIRECT("M"&amp;ROW()-1)&lt;&gt;INDIRECT("M"&amp;ROW()),リスト!$I$5,"")</f>
        <v>#NAME?</v>
      </c>
      <c r="P477" s="88" t="e">
        <f ca="1">IF(INDIRECT("M"&amp;ROW())&lt;&gt;INDIRECT("M"&amp;ROW()+1),リスト!$I$6,"")</f>
        <v>#NAME?</v>
      </c>
    </row>
    <row r="478" spans="1:16" x14ac:dyDescent="0.2">
      <c r="A478" s="169" t="e">
        <f ca="1">IF(C478="","",ROW(行数!A470))</f>
        <v>#NAME?</v>
      </c>
      <c r="B478" s="168" t="e">
        <f t="shared" ca="1" si="52"/>
        <v>#NAME?</v>
      </c>
      <c r="C478" s="90" t="e">
        <f ca="1">[0]!CSVVLookUP(ROW(行数!A470),配列!$C$4,集計記録,3,1)</f>
        <v>#NAME?</v>
      </c>
      <c r="D478" s="90" t="e">
        <f ca="1">[0]!CSVVLookUP(ROW(行数!B470),配列!$C$4,集計記録,4,1)</f>
        <v>#NAME?</v>
      </c>
      <c r="E478" s="118" t="e">
        <f t="shared" ca="1" si="53"/>
        <v>#NAME?</v>
      </c>
      <c r="F478" s="118" t="e">
        <f t="shared" ca="1" si="54"/>
        <v>#NAME?</v>
      </c>
      <c r="G478" s="103" t="e">
        <f t="shared" ca="1" si="55"/>
        <v>#NAME?</v>
      </c>
      <c r="H478" s="104" t="e">
        <f ca="1">IF(C478="","",MROUND([0]!CSVVLookUP(ROW(行数!A470),配列!$C$4,集計記録,8,1),"0:01"))</f>
        <v>#NAME?</v>
      </c>
      <c r="I478" s="104" t="e">
        <f t="shared" ca="1" si="56"/>
        <v>#NAME?</v>
      </c>
      <c r="J478" s="119" t="e">
        <f ca="1">IF(C478="","",MROUND([0]!CSVVLookUP(ROW(行数!A470),配列!$C$4,集計記録,7,1),"0:01"))</f>
        <v>#NAME?</v>
      </c>
      <c r="K478" s="92" t="e">
        <f ca="1">IF(C478="","",[0]!CSVVLookUP(ROW(行数!A470),配列!$C$4,集計記録,5,1))</f>
        <v>#NAME?</v>
      </c>
      <c r="L478" s="104" t="e">
        <f t="shared" ca="1" si="57"/>
        <v>#NAME?</v>
      </c>
      <c r="M478" s="120" t="e">
        <f t="shared" ca="1" si="51"/>
        <v>#NAME?</v>
      </c>
      <c r="N478" s="120" t="e">
        <f ca="1">IF([0]!CSVVLookUP(ROW(行数!A470),配列!$C$4,集計記録,6,1)=0,"",[0]!CSVVLookUP(ROW(行数!A470),配列!$C$4,集計記録,6,1))</f>
        <v>#NAME?</v>
      </c>
      <c r="O478" s="88" t="e">
        <f ca="1">IF(INDIRECT("M"&amp;ROW()-1)&lt;&gt;INDIRECT("M"&amp;ROW()),リスト!$I$5,"")</f>
        <v>#NAME?</v>
      </c>
      <c r="P478" s="88" t="e">
        <f ca="1">IF(INDIRECT("M"&amp;ROW())&lt;&gt;INDIRECT("M"&amp;ROW()+1),リスト!$I$6,"")</f>
        <v>#NAME?</v>
      </c>
    </row>
    <row r="479" spans="1:16" x14ac:dyDescent="0.2">
      <c r="A479" s="169" t="e">
        <f ca="1">IF(C479="","",ROW(行数!A471))</f>
        <v>#NAME?</v>
      </c>
      <c r="B479" s="168" t="e">
        <f t="shared" ca="1" si="52"/>
        <v>#NAME?</v>
      </c>
      <c r="C479" s="90" t="e">
        <f ca="1">[0]!CSVVLookUP(ROW(行数!A471),配列!$C$4,集計記録,3,1)</f>
        <v>#NAME?</v>
      </c>
      <c r="D479" s="90" t="e">
        <f ca="1">[0]!CSVVLookUP(ROW(行数!B471),配列!$C$4,集計記録,4,1)</f>
        <v>#NAME?</v>
      </c>
      <c r="E479" s="118" t="e">
        <f t="shared" ca="1" si="53"/>
        <v>#NAME?</v>
      </c>
      <c r="F479" s="118" t="e">
        <f t="shared" ca="1" si="54"/>
        <v>#NAME?</v>
      </c>
      <c r="G479" s="103" t="e">
        <f t="shared" ca="1" si="55"/>
        <v>#NAME?</v>
      </c>
      <c r="H479" s="104" t="e">
        <f ca="1">IF(C479="","",MROUND([0]!CSVVLookUP(ROW(行数!A471),配列!$C$4,集計記録,8,1),"0:01"))</f>
        <v>#NAME?</v>
      </c>
      <c r="I479" s="104" t="e">
        <f t="shared" ca="1" si="56"/>
        <v>#NAME?</v>
      </c>
      <c r="J479" s="119" t="e">
        <f ca="1">IF(C479="","",MROUND([0]!CSVVLookUP(ROW(行数!A471),配列!$C$4,集計記録,7,1),"0:01"))</f>
        <v>#NAME?</v>
      </c>
      <c r="K479" s="92" t="e">
        <f ca="1">IF(C479="","",[0]!CSVVLookUP(ROW(行数!A471),配列!$C$4,集計記録,5,1))</f>
        <v>#NAME?</v>
      </c>
      <c r="L479" s="104" t="e">
        <f t="shared" ca="1" si="57"/>
        <v>#NAME?</v>
      </c>
      <c r="M479" s="120" t="e">
        <f t="shared" ca="1" si="51"/>
        <v>#NAME?</v>
      </c>
      <c r="N479" s="120" t="e">
        <f ca="1">IF([0]!CSVVLookUP(ROW(行数!A471),配列!$C$4,集計記録,6,1)=0,"",[0]!CSVVLookUP(ROW(行数!A471),配列!$C$4,集計記録,6,1))</f>
        <v>#NAME?</v>
      </c>
      <c r="O479" s="88" t="e">
        <f ca="1">IF(INDIRECT("M"&amp;ROW()-1)&lt;&gt;INDIRECT("M"&amp;ROW()),リスト!$I$5,"")</f>
        <v>#NAME?</v>
      </c>
      <c r="P479" s="88" t="e">
        <f ca="1">IF(INDIRECT("M"&amp;ROW())&lt;&gt;INDIRECT("M"&amp;ROW()+1),リスト!$I$6,"")</f>
        <v>#NAME?</v>
      </c>
    </row>
    <row r="480" spans="1:16" x14ac:dyDescent="0.2">
      <c r="A480" s="169" t="e">
        <f ca="1">IF(C480="","",ROW(行数!A472))</f>
        <v>#NAME?</v>
      </c>
      <c r="B480" s="168" t="e">
        <f t="shared" ca="1" si="52"/>
        <v>#NAME?</v>
      </c>
      <c r="C480" s="90" t="e">
        <f ca="1">[0]!CSVVLookUP(ROW(行数!A472),配列!$C$4,集計記録,3,1)</f>
        <v>#NAME?</v>
      </c>
      <c r="D480" s="90" t="e">
        <f ca="1">[0]!CSVVLookUP(ROW(行数!B472),配列!$C$4,集計記録,4,1)</f>
        <v>#NAME?</v>
      </c>
      <c r="E480" s="118" t="e">
        <f t="shared" ca="1" si="53"/>
        <v>#NAME?</v>
      </c>
      <c r="F480" s="118" t="e">
        <f t="shared" ca="1" si="54"/>
        <v>#NAME?</v>
      </c>
      <c r="G480" s="103" t="e">
        <f t="shared" ca="1" si="55"/>
        <v>#NAME?</v>
      </c>
      <c r="H480" s="104" t="e">
        <f ca="1">IF(C480="","",MROUND([0]!CSVVLookUP(ROW(行数!A472),配列!$C$4,集計記録,8,1),"0:01"))</f>
        <v>#NAME?</v>
      </c>
      <c r="I480" s="104" t="e">
        <f t="shared" ca="1" si="56"/>
        <v>#NAME?</v>
      </c>
      <c r="J480" s="119" t="e">
        <f ca="1">IF(C480="","",MROUND([0]!CSVVLookUP(ROW(行数!A472),配列!$C$4,集計記録,7,1),"0:01"))</f>
        <v>#NAME?</v>
      </c>
      <c r="K480" s="92" t="e">
        <f ca="1">IF(C480="","",[0]!CSVVLookUP(ROW(行数!A472),配列!$C$4,集計記録,5,1))</f>
        <v>#NAME?</v>
      </c>
      <c r="L480" s="104" t="e">
        <f t="shared" ca="1" si="57"/>
        <v>#NAME?</v>
      </c>
      <c r="M480" s="120" t="e">
        <f t="shared" ca="1" si="51"/>
        <v>#NAME?</v>
      </c>
      <c r="N480" s="120" t="e">
        <f ca="1">IF([0]!CSVVLookUP(ROW(行数!A472),配列!$C$4,集計記録,6,1)=0,"",[0]!CSVVLookUP(ROW(行数!A472),配列!$C$4,集計記録,6,1))</f>
        <v>#NAME?</v>
      </c>
      <c r="O480" s="88" t="e">
        <f ca="1">IF(INDIRECT("M"&amp;ROW()-1)&lt;&gt;INDIRECT("M"&amp;ROW()),リスト!$I$5,"")</f>
        <v>#NAME?</v>
      </c>
      <c r="P480" s="88" t="e">
        <f ca="1">IF(INDIRECT("M"&amp;ROW())&lt;&gt;INDIRECT("M"&amp;ROW()+1),リスト!$I$6,"")</f>
        <v>#NAME?</v>
      </c>
    </row>
    <row r="481" spans="1:16" x14ac:dyDescent="0.2">
      <c r="A481" s="169" t="e">
        <f ca="1">IF(C481="","",ROW(行数!A473))</f>
        <v>#NAME?</v>
      </c>
      <c r="B481" s="168" t="e">
        <f t="shared" ca="1" si="52"/>
        <v>#NAME?</v>
      </c>
      <c r="C481" s="90" t="e">
        <f ca="1">[0]!CSVVLookUP(ROW(行数!A473),配列!$C$4,集計記録,3,1)</f>
        <v>#NAME?</v>
      </c>
      <c r="D481" s="90" t="e">
        <f ca="1">[0]!CSVVLookUP(ROW(行数!B473),配列!$C$4,集計記録,4,1)</f>
        <v>#NAME?</v>
      </c>
      <c r="E481" s="118" t="e">
        <f t="shared" ca="1" si="53"/>
        <v>#NAME?</v>
      </c>
      <c r="F481" s="118" t="e">
        <f t="shared" ca="1" si="54"/>
        <v>#NAME?</v>
      </c>
      <c r="G481" s="103" t="e">
        <f t="shared" ca="1" si="55"/>
        <v>#NAME?</v>
      </c>
      <c r="H481" s="104" t="e">
        <f ca="1">IF(C481="","",MROUND([0]!CSVVLookUP(ROW(行数!A473),配列!$C$4,集計記録,8,1),"0:01"))</f>
        <v>#NAME?</v>
      </c>
      <c r="I481" s="104" t="e">
        <f t="shared" ca="1" si="56"/>
        <v>#NAME?</v>
      </c>
      <c r="J481" s="119" t="e">
        <f ca="1">IF(C481="","",MROUND([0]!CSVVLookUP(ROW(行数!A473),配列!$C$4,集計記録,7,1),"0:01"))</f>
        <v>#NAME?</v>
      </c>
      <c r="K481" s="92" t="e">
        <f ca="1">IF(C481="","",[0]!CSVVLookUP(ROW(行数!A473),配列!$C$4,集計記録,5,1))</f>
        <v>#NAME?</v>
      </c>
      <c r="L481" s="104" t="e">
        <f t="shared" ca="1" si="57"/>
        <v>#NAME?</v>
      </c>
      <c r="M481" s="120" t="e">
        <f t="shared" ca="1" si="51"/>
        <v>#NAME?</v>
      </c>
      <c r="N481" s="120" t="e">
        <f ca="1">IF([0]!CSVVLookUP(ROW(行数!A473),配列!$C$4,集計記録,6,1)=0,"",[0]!CSVVLookUP(ROW(行数!A473),配列!$C$4,集計記録,6,1))</f>
        <v>#NAME?</v>
      </c>
      <c r="O481" s="88" t="e">
        <f ca="1">IF(INDIRECT("M"&amp;ROW()-1)&lt;&gt;INDIRECT("M"&amp;ROW()),リスト!$I$5,"")</f>
        <v>#NAME?</v>
      </c>
      <c r="P481" s="88" t="e">
        <f ca="1">IF(INDIRECT("M"&amp;ROW())&lt;&gt;INDIRECT("M"&amp;ROW()+1),リスト!$I$6,"")</f>
        <v>#NAME?</v>
      </c>
    </row>
    <row r="482" spans="1:16" x14ac:dyDescent="0.2">
      <c r="A482" s="169" t="e">
        <f ca="1">IF(C482="","",ROW(行数!A474))</f>
        <v>#NAME?</v>
      </c>
      <c r="B482" s="168" t="e">
        <f t="shared" ca="1" si="52"/>
        <v>#NAME?</v>
      </c>
      <c r="C482" s="90" t="e">
        <f ca="1">[0]!CSVVLookUP(ROW(行数!A474),配列!$C$4,集計記録,3,1)</f>
        <v>#NAME?</v>
      </c>
      <c r="D482" s="90" t="e">
        <f ca="1">[0]!CSVVLookUP(ROW(行数!B474),配列!$C$4,集計記録,4,1)</f>
        <v>#NAME?</v>
      </c>
      <c r="E482" s="118" t="e">
        <f t="shared" ca="1" si="53"/>
        <v>#NAME?</v>
      </c>
      <c r="F482" s="118" t="e">
        <f t="shared" ca="1" si="54"/>
        <v>#NAME?</v>
      </c>
      <c r="G482" s="103" t="e">
        <f t="shared" ca="1" si="55"/>
        <v>#NAME?</v>
      </c>
      <c r="H482" s="104" t="e">
        <f ca="1">IF(C482="","",MROUND([0]!CSVVLookUP(ROW(行数!A474),配列!$C$4,集計記録,8,1),"0:01"))</f>
        <v>#NAME?</v>
      </c>
      <c r="I482" s="104" t="e">
        <f t="shared" ca="1" si="56"/>
        <v>#NAME?</v>
      </c>
      <c r="J482" s="119" t="e">
        <f ca="1">IF(C482="","",MROUND([0]!CSVVLookUP(ROW(行数!A474),配列!$C$4,集計記録,7,1),"0:01"))</f>
        <v>#NAME?</v>
      </c>
      <c r="K482" s="92" t="e">
        <f ca="1">IF(C482="","",[0]!CSVVLookUP(ROW(行数!A474),配列!$C$4,集計記録,5,1))</f>
        <v>#NAME?</v>
      </c>
      <c r="L482" s="104" t="e">
        <f t="shared" ca="1" si="57"/>
        <v>#NAME?</v>
      </c>
      <c r="M482" s="120" t="e">
        <f t="shared" ca="1" si="51"/>
        <v>#NAME?</v>
      </c>
      <c r="N482" s="120" t="e">
        <f ca="1">IF([0]!CSVVLookUP(ROW(行数!A474),配列!$C$4,集計記録,6,1)=0,"",[0]!CSVVLookUP(ROW(行数!A474),配列!$C$4,集計記録,6,1))</f>
        <v>#NAME?</v>
      </c>
      <c r="O482" s="88" t="e">
        <f ca="1">IF(INDIRECT("M"&amp;ROW()-1)&lt;&gt;INDIRECT("M"&amp;ROW()),リスト!$I$5,"")</f>
        <v>#NAME?</v>
      </c>
      <c r="P482" s="88" t="e">
        <f ca="1">IF(INDIRECT("M"&amp;ROW())&lt;&gt;INDIRECT("M"&amp;ROW()+1),リスト!$I$6,"")</f>
        <v>#NAME?</v>
      </c>
    </row>
    <row r="483" spans="1:16" x14ac:dyDescent="0.2">
      <c r="A483" s="169" t="e">
        <f ca="1">IF(C483="","",ROW(行数!A475))</f>
        <v>#NAME?</v>
      </c>
      <c r="B483" s="168" t="e">
        <f t="shared" ca="1" si="52"/>
        <v>#NAME?</v>
      </c>
      <c r="C483" s="90" t="e">
        <f ca="1">[0]!CSVVLookUP(ROW(行数!A475),配列!$C$4,集計記録,3,1)</f>
        <v>#NAME?</v>
      </c>
      <c r="D483" s="90" t="e">
        <f ca="1">[0]!CSVVLookUP(ROW(行数!B475),配列!$C$4,集計記録,4,1)</f>
        <v>#NAME?</v>
      </c>
      <c r="E483" s="118" t="e">
        <f t="shared" ca="1" si="53"/>
        <v>#NAME?</v>
      </c>
      <c r="F483" s="118" t="e">
        <f t="shared" ca="1" si="54"/>
        <v>#NAME?</v>
      </c>
      <c r="G483" s="103" t="e">
        <f t="shared" ca="1" si="55"/>
        <v>#NAME?</v>
      </c>
      <c r="H483" s="104" t="e">
        <f ca="1">IF(C483="","",MROUND([0]!CSVVLookUP(ROW(行数!A475),配列!$C$4,集計記録,8,1),"0:01"))</f>
        <v>#NAME?</v>
      </c>
      <c r="I483" s="104" t="e">
        <f t="shared" ca="1" si="56"/>
        <v>#NAME?</v>
      </c>
      <c r="J483" s="119" t="e">
        <f ca="1">IF(C483="","",MROUND([0]!CSVVLookUP(ROW(行数!A475),配列!$C$4,集計記録,7,1),"0:01"))</f>
        <v>#NAME?</v>
      </c>
      <c r="K483" s="92" t="e">
        <f ca="1">IF(C483="","",[0]!CSVVLookUP(ROW(行数!A475),配列!$C$4,集計記録,5,1))</f>
        <v>#NAME?</v>
      </c>
      <c r="L483" s="104" t="e">
        <f t="shared" ca="1" si="57"/>
        <v>#NAME?</v>
      </c>
      <c r="M483" s="120" t="e">
        <f t="shared" ca="1" si="51"/>
        <v>#NAME?</v>
      </c>
      <c r="N483" s="120" t="e">
        <f ca="1">IF([0]!CSVVLookUP(ROW(行数!A475),配列!$C$4,集計記録,6,1)=0,"",[0]!CSVVLookUP(ROW(行数!A475),配列!$C$4,集計記録,6,1))</f>
        <v>#NAME?</v>
      </c>
      <c r="O483" s="88" t="e">
        <f ca="1">IF(INDIRECT("M"&amp;ROW()-1)&lt;&gt;INDIRECT("M"&amp;ROW()),リスト!$I$5,"")</f>
        <v>#NAME?</v>
      </c>
      <c r="P483" s="88" t="e">
        <f ca="1">IF(INDIRECT("M"&amp;ROW())&lt;&gt;INDIRECT("M"&amp;ROW()+1),リスト!$I$6,"")</f>
        <v>#NAME?</v>
      </c>
    </row>
    <row r="484" spans="1:16" x14ac:dyDescent="0.2">
      <c r="A484" s="169" t="e">
        <f ca="1">IF(C484="","",ROW(行数!A476))</f>
        <v>#NAME?</v>
      </c>
      <c r="B484" s="168" t="e">
        <f t="shared" ca="1" si="52"/>
        <v>#NAME?</v>
      </c>
      <c r="C484" s="90" t="e">
        <f ca="1">[0]!CSVVLookUP(ROW(行数!A476),配列!$C$4,集計記録,3,1)</f>
        <v>#NAME?</v>
      </c>
      <c r="D484" s="90" t="e">
        <f ca="1">[0]!CSVVLookUP(ROW(行数!B476),配列!$C$4,集計記録,4,1)</f>
        <v>#NAME?</v>
      </c>
      <c r="E484" s="118" t="e">
        <f t="shared" ca="1" si="53"/>
        <v>#NAME?</v>
      </c>
      <c r="F484" s="118" t="e">
        <f t="shared" ca="1" si="54"/>
        <v>#NAME?</v>
      </c>
      <c r="G484" s="103" t="e">
        <f t="shared" ca="1" si="55"/>
        <v>#NAME?</v>
      </c>
      <c r="H484" s="104" t="e">
        <f ca="1">IF(C484="","",MROUND([0]!CSVVLookUP(ROW(行数!A476),配列!$C$4,集計記録,8,1),"0:01"))</f>
        <v>#NAME?</v>
      </c>
      <c r="I484" s="104" t="e">
        <f t="shared" ca="1" si="56"/>
        <v>#NAME?</v>
      </c>
      <c r="J484" s="119" t="e">
        <f ca="1">IF(C484="","",MROUND([0]!CSVVLookUP(ROW(行数!A476),配列!$C$4,集計記録,7,1),"0:01"))</f>
        <v>#NAME?</v>
      </c>
      <c r="K484" s="92" t="e">
        <f ca="1">IF(C484="","",[0]!CSVVLookUP(ROW(行数!A476),配列!$C$4,集計記録,5,1))</f>
        <v>#NAME?</v>
      </c>
      <c r="L484" s="104" t="e">
        <f t="shared" ca="1" si="57"/>
        <v>#NAME?</v>
      </c>
      <c r="M484" s="120" t="e">
        <f t="shared" ca="1" si="51"/>
        <v>#NAME?</v>
      </c>
      <c r="N484" s="120" t="e">
        <f ca="1">IF([0]!CSVVLookUP(ROW(行数!A476),配列!$C$4,集計記録,6,1)=0,"",[0]!CSVVLookUP(ROW(行数!A476),配列!$C$4,集計記録,6,1))</f>
        <v>#NAME?</v>
      </c>
      <c r="O484" s="88" t="e">
        <f ca="1">IF(INDIRECT("M"&amp;ROW()-1)&lt;&gt;INDIRECT("M"&amp;ROW()),リスト!$I$5,"")</f>
        <v>#NAME?</v>
      </c>
      <c r="P484" s="88" t="e">
        <f ca="1">IF(INDIRECT("M"&amp;ROW())&lt;&gt;INDIRECT("M"&amp;ROW()+1),リスト!$I$6,"")</f>
        <v>#NAME?</v>
      </c>
    </row>
    <row r="485" spans="1:16" x14ac:dyDescent="0.2">
      <c r="A485" s="169" t="e">
        <f ca="1">IF(C485="","",ROW(行数!A477))</f>
        <v>#NAME?</v>
      </c>
      <c r="B485" s="168" t="e">
        <f t="shared" ca="1" si="52"/>
        <v>#NAME?</v>
      </c>
      <c r="C485" s="90" t="e">
        <f ca="1">[0]!CSVVLookUP(ROW(行数!A477),配列!$C$4,集計記録,3,1)</f>
        <v>#NAME?</v>
      </c>
      <c r="D485" s="90" t="e">
        <f ca="1">[0]!CSVVLookUP(ROW(行数!B477),配列!$C$4,集計記録,4,1)</f>
        <v>#NAME?</v>
      </c>
      <c r="E485" s="118" t="e">
        <f t="shared" ca="1" si="53"/>
        <v>#NAME?</v>
      </c>
      <c r="F485" s="118" t="e">
        <f t="shared" ca="1" si="54"/>
        <v>#NAME?</v>
      </c>
      <c r="G485" s="103" t="e">
        <f t="shared" ca="1" si="55"/>
        <v>#NAME?</v>
      </c>
      <c r="H485" s="104" t="e">
        <f ca="1">IF(C485="","",MROUND([0]!CSVVLookUP(ROW(行数!A477),配列!$C$4,集計記録,8,1),"0:01"))</f>
        <v>#NAME?</v>
      </c>
      <c r="I485" s="104" t="e">
        <f t="shared" ca="1" si="56"/>
        <v>#NAME?</v>
      </c>
      <c r="J485" s="119" t="e">
        <f ca="1">IF(C485="","",MROUND([0]!CSVVLookUP(ROW(行数!A477),配列!$C$4,集計記録,7,1),"0:01"))</f>
        <v>#NAME?</v>
      </c>
      <c r="K485" s="92" t="e">
        <f ca="1">IF(C485="","",[0]!CSVVLookUP(ROW(行数!A477),配列!$C$4,集計記録,5,1))</f>
        <v>#NAME?</v>
      </c>
      <c r="L485" s="104" t="e">
        <f t="shared" ca="1" si="57"/>
        <v>#NAME?</v>
      </c>
      <c r="M485" s="120" t="e">
        <f t="shared" ca="1" si="51"/>
        <v>#NAME?</v>
      </c>
      <c r="N485" s="120" t="e">
        <f ca="1">IF([0]!CSVVLookUP(ROW(行数!A477),配列!$C$4,集計記録,6,1)=0,"",[0]!CSVVLookUP(ROW(行数!A477),配列!$C$4,集計記録,6,1))</f>
        <v>#NAME?</v>
      </c>
      <c r="O485" s="88" t="e">
        <f ca="1">IF(INDIRECT("M"&amp;ROW()-1)&lt;&gt;INDIRECT("M"&amp;ROW()),リスト!$I$5,"")</f>
        <v>#NAME?</v>
      </c>
      <c r="P485" s="88" t="e">
        <f ca="1">IF(INDIRECT("M"&amp;ROW())&lt;&gt;INDIRECT("M"&amp;ROW()+1),リスト!$I$6,"")</f>
        <v>#NAME?</v>
      </c>
    </row>
    <row r="486" spans="1:16" x14ac:dyDescent="0.2">
      <c r="A486" s="169" t="e">
        <f ca="1">IF(C486="","",ROW(行数!A478))</f>
        <v>#NAME?</v>
      </c>
      <c r="B486" s="168" t="e">
        <f t="shared" ca="1" si="52"/>
        <v>#NAME?</v>
      </c>
      <c r="C486" s="90" t="e">
        <f ca="1">[0]!CSVVLookUP(ROW(行数!A478),配列!$C$4,集計記録,3,1)</f>
        <v>#NAME?</v>
      </c>
      <c r="D486" s="90" t="e">
        <f ca="1">[0]!CSVVLookUP(ROW(行数!B478),配列!$C$4,集計記録,4,1)</f>
        <v>#NAME?</v>
      </c>
      <c r="E486" s="118" t="e">
        <f t="shared" ca="1" si="53"/>
        <v>#NAME?</v>
      </c>
      <c r="F486" s="118" t="e">
        <f t="shared" ca="1" si="54"/>
        <v>#NAME?</v>
      </c>
      <c r="G486" s="103" t="e">
        <f t="shared" ca="1" si="55"/>
        <v>#NAME?</v>
      </c>
      <c r="H486" s="104" t="e">
        <f ca="1">IF(C486="","",MROUND([0]!CSVVLookUP(ROW(行数!A478),配列!$C$4,集計記録,8,1),"0:01"))</f>
        <v>#NAME?</v>
      </c>
      <c r="I486" s="104" t="e">
        <f t="shared" ca="1" si="56"/>
        <v>#NAME?</v>
      </c>
      <c r="J486" s="119" t="e">
        <f ca="1">IF(C486="","",MROUND([0]!CSVVLookUP(ROW(行数!A478),配列!$C$4,集計記録,7,1),"0:01"))</f>
        <v>#NAME?</v>
      </c>
      <c r="K486" s="92" t="e">
        <f ca="1">IF(C486="","",[0]!CSVVLookUP(ROW(行数!A478),配列!$C$4,集計記録,5,1))</f>
        <v>#NAME?</v>
      </c>
      <c r="L486" s="104" t="e">
        <f t="shared" ca="1" si="57"/>
        <v>#NAME?</v>
      </c>
      <c r="M486" s="120" t="e">
        <f t="shared" ca="1" si="51"/>
        <v>#NAME?</v>
      </c>
      <c r="N486" s="120" t="e">
        <f ca="1">IF([0]!CSVVLookUP(ROW(行数!A478),配列!$C$4,集計記録,6,1)=0,"",[0]!CSVVLookUP(ROW(行数!A478),配列!$C$4,集計記録,6,1))</f>
        <v>#NAME?</v>
      </c>
      <c r="O486" s="88" t="e">
        <f ca="1">IF(INDIRECT("M"&amp;ROW()-1)&lt;&gt;INDIRECT("M"&amp;ROW()),リスト!$I$5,"")</f>
        <v>#NAME?</v>
      </c>
      <c r="P486" s="88" t="e">
        <f ca="1">IF(INDIRECT("M"&amp;ROW())&lt;&gt;INDIRECT("M"&amp;ROW()+1),リスト!$I$6,"")</f>
        <v>#NAME?</v>
      </c>
    </row>
    <row r="487" spans="1:16" x14ac:dyDescent="0.2">
      <c r="A487" s="169" t="e">
        <f ca="1">IF(C487="","",ROW(行数!A479))</f>
        <v>#NAME?</v>
      </c>
      <c r="B487" s="168" t="e">
        <f t="shared" ca="1" si="52"/>
        <v>#NAME?</v>
      </c>
      <c r="C487" s="90" t="e">
        <f ca="1">[0]!CSVVLookUP(ROW(行数!A479),配列!$C$4,集計記録,3,1)</f>
        <v>#NAME?</v>
      </c>
      <c r="D487" s="90" t="e">
        <f ca="1">[0]!CSVVLookUP(ROW(行数!B479),配列!$C$4,集計記録,4,1)</f>
        <v>#NAME?</v>
      </c>
      <c r="E487" s="118" t="e">
        <f t="shared" ca="1" si="53"/>
        <v>#NAME?</v>
      </c>
      <c r="F487" s="118" t="e">
        <f t="shared" ca="1" si="54"/>
        <v>#NAME?</v>
      </c>
      <c r="G487" s="103" t="e">
        <f t="shared" ca="1" si="55"/>
        <v>#NAME?</v>
      </c>
      <c r="H487" s="104" t="e">
        <f ca="1">IF(C487="","",MROUND([0]!CSVVLookUP(ROW(行数!A479),配列!$C$4,集計記録,8,1),"0:01"))</f>
        <v>#NAME?</v>
      </c>
      <c r="I487" s="104" t="e">
        <f t="shared" ca="1" si="56"/>
        <v>#NAME?</v>
      </c>
      <c r="J487" s="119" t="e">
        <f ca="1">IF(C487="","",MROUND([0]!CSVVLookUP(ROW(行数!A479),配列!$C$4,集計記録,7,1),"0:01"))</f>
        <v>#NAME?</v>
      </c>
      <c r="K487" s="92" t="e">
        <f ca="1">IF(C487="","",[0]!CSVVLookUP(ROW(行数!A479),配列!$C$4,集計記録,5,1))</f>
        <v>#NAME?</v>
      </c>
      <c r="L487" s="104" t="e">
        <f t="shared" ca="1" si="57"/>
        <v>#NAME?</v>
      </c>
      <c r="M487" s="120" t="e">
        <f t="shared" ca="1" si="51"/>
        <v>#NAME?</v>
      </c>
      <c r="N487" s="120" t="e">
        <f ca="1">IF([0]!CSVVLookUP(ROW(行数!A479),配列!$C$4,集計記録,6,1)=0,"",[0]!CSVVLookUP(ROW(行数!A479),配列!$C$4,集計記録,6,1))</f>
        <v>#NAME?</v>
      </c>
      <c r="O487" s="88" t="e">
        <f ca="1">IF(INDIRECT("M"&amp;ROW()-1)&lt;&gt;INDIRECT("M"&amp;ROW()),リスト!$I$5,"")</f>
        <v>#NAME?</v>
      </c>
      <c r="P487" s="88" t="e">
        <f ca="1">IF(INDIRECT("M"&amp;ROW())&lt;&gt;INDIRECT("M"&amp;ROW()+1),リスト!$I$6,"")</f>
        <v>#NAME?</v>
      </c>
    </row>
    <row r="488" spans="1:16" x14ac:dyDescent="0.2">
      <c r="A488" s="169" t="e">
        <f ca="1">IF(C488="","",ROW(行数!A480))</f>
        <v>#NAME?</v>
      </c>
      <c r="B488" s="168" t="e">
        <f t="shared" ca="1" si="52"/>
        <v>#NAME?</v>
      </c>
      <c r="C488" s="90" t="e">
        <f ca="1">[0]!CSVVLookUP(ROW(行数!A480),配列!$C$4,集計記録,3,1)</f>
        <v>#NAME?</v>
      </c>
      <c r="D488" s="90" t="e">
        <f ca="1">[0]!CSVVLookUP(ROW(行数!B480),配列!$C$4,集計記録,4,1)</f>
        <v>#NAME?</v>
      </c>
      <c r="E488" s="118" t="e">
        <f t="shared" ca="1" si="53"/>
        <v>#NAME?</v>
      </c>
      <c r="F488" s="118" t="e">
        <f t="shared" ca="1" si="54"/>
        <v>#NAME?</v>
      </c>
      <c r="G488" s="103" t="e">
        <f t="shared" ca="1" si="55"/>
        <v>#NAME?</v>
      </c>
      <c r="H488" s="104" t="e">
        <f ca="1">IF(C488="","",MROUND([0]!CSVVLookUP(ROW(行数!A480),配列!$C$4,集計記録,8,1),"0:01"))</f>
        <v>#NAME?</v>
      </c>
      <c r="I488" s="104" t="e">
        <f t="shared" ca="1" si="56"/>
        <v>#NAME?</v>
      </c>
      <c r="J488" s="119" t="e">
        <f ca="1">IF(C488="","",MROUND([0]!CSVVLookUP(ROW(行数!A480),配列!$C$4,集計記録,7,1),"0:01"))</f>
        <v>#NAME?</v>
      </c>
      <c r="K488" s="92" t="e">
        <f ca="1">IF(C488="","",[0]!CSVVLookUP(ROW(行数!A480),配列!$C$4,集計記録,5,1))</f>
        <v>#NAME?</v>
      </c>
      <c r="L488" s="104" t="e">
        <f t="shared" ca="1" si="57"/>
        <v>#NAME?</v>
      </c>
      <c r="M488" s="120" t="e">
        <f t="shared" ca="1" si="51"/>
        <v>#NAME?</v>
      </c>
      <c r="N488" s="120" t="e">
        <f ca="1">IF([0]!CSVVLookUP(ROW(行数!A480),配列!$C$4,集計記録,6,1)=0,"",[0]!CSVVLookUP(ROW(行数!A480),配列!$C$4,集計記録,6,1))</f>
        <v>#NAME?</v>
      </c>
      <c r="O488" s="88" t="e">
        <f ca="1">IF(INDIRECT("M"&amp;ROW()-1)&lt;&gt;INDIRECT("M"&amp;ROW()),リスト!$I$5,"")</f>
        <v>#NAME?</v>
      </c>
      <c r="P488" s="88" t="e">
        <f ca="1">IF(INDIRECT("M"&amp;ROW())&lt;&gt;INDIRECT("M"&amp;ROW()+1),リスト!$I$6,"")</f>
        <v>#NAME?</v>
      </c>
    </row>
    <row r="489" spans="1:16" x14ac:dyDescent="0.2">
      <c r="A489" s="169" t="e">
        <f ca="1">IF(C489="","",ROW(行数!A481))</f>
        <v>#NAME?</v>
      </c>
      <c r="B489" s="168" t="e">
        <f t="shared" ca="1" si="52"/>
        <v>#NAME?</v>
      </c>
      <c r="C489" s="90" t="e">
        <f ca="1">[0]!CSVVLookUP(ROW(行数!A481),配列!$C$4,集計記録,3,1)</f>
        <v>#NAME?</v>
      </c>
      <c r="D489" s="90" t="e">
        <f ca="1">[0]!CSVVLookUP(ROW(行数!B481),配列!$C$4,集計記録,4,1)</f>
        <v>#NAME?</v>
      </c>
      <c r="E489" s="118" t="e">
        <f t="shared" ca="1" si="53"/>
        <v>#NAME?</v>
      </c>
      <c r="F489" s="118" t="e">
        <f t="shared" ca="1" si="54"/>
        <v>#NAME?</v>
      </c>
      <c r="G489" s="103" t="e">
        <f t="shared" ca="1" si="55"/>
        <v>#NAME?</v>
      </c>
      <c r="H489" s="104" t="e">
        <f ca="1">IF(C489="","",MROUND([0]!CSVVLookUP(ROW(行数!A481),配列!$C$4,集計記録,8,1),"0:01"))</f>
        <v>#NAME?</v>
      </c>
      <c r="I489" s="104" t="e">
        <f t="shared" ca="1" si="56"/>
        <v>#NAME?</v>
      </c>
      <c r="J489" s="119" t="e">
        <f ca="1">IF(C489="","",MROUND([0]!CSVVLookUP(ROW(行数!A481),配列!$C$4,集計記録,7,1),"0:01"))</f>
        <v>#NAME?</v>
      </c>
      <c r="K489" s="92" t="e">
        <f ca="1">IF(C489="","",[0]!CSVVLookUP(ROW(行数!A481),配列!$C$4,集計記録,5,1))</f>
        <v>#NAME?</v>
      </c>
      <c r="L489" s="104" t="e">
        <f t="shared" ca="1" si="57"/>
        <v>#NAME?</v>
      </c>
      <c r="M489" s="120" t="e">
        <f t="shared" ca="1" si="51"/>
        <v>#NAME?</v>
      </c>
      <c r="N489" s="120" t="e">
        <f ca="1">IF([0]!CSVVLookUP(ROW(行数!A481),配列!$C$4,集計記録,6,1)=0,"",[0]!CSVVLookUP(ROW(行数!A481),配列!$C$4,集計記録,6,1))</f>
        <v>#NAME?</v>
      </c>
      <c r="O489" s="88" t="e">
        <f ca="1">IF(INDIRECT("M"&amp;ROW()-1)&lt;&gt;INDIRECT("M"&amp;ROW()),リスト!$I$5,"")</f>
        <v>#NAME?</v>
      </c>
      <c r="P489" s="88" t="e">
        <f ca="1">IF(INDIRECT("M"&amp;ROW())&lt;&gt;INDIRECT("M"&amp;ROW()+1),リスト!$I$6,"")</f>
        <v>#NAME?</v>
      </c>
    </row>
    <row r="490" spans="1:16" x14ac:dyDescent="0.2">
      <c r="A490" s="169" t="e">
        <f ca="1">IF(C490="","",ROW(行数!A482))</f>
        <v>#NAME?</v>
      </c>
      <c r="B490" s="168" t="e">
        <f t="shared" ca="1" si="52"/>
        <v>#NAME?</v>
      </c>
      <c r="C490" s="90" t="e">
        <f ca="1">[0]!CSVVLookUP(ROW(行数!A482),配列!$C$4,集計記録,3,1)</f>
        <v>#NAME?</v>
      </c>
      <c r="D490" s="90" t="e">
        <f ca="1">[0]!CSVVLookUP(ROW(行数!B482),配列!$C$4,集計記録,4,1)</f>
        <v>#NAME?</v>
      </c>
      <c r="E490" s="118" t="e">
        <f t="shared" ca="1" si="53"/>
        <v>#NAME?</v>
      </c>
      <c r="F490" s="118" t="e">
        <f t="shared" ca="1" si="54"/>
        <v>#NAME?</v>
      </c>
      <c r="G490" s="103" t="e">
        <f t="shared" ca="1" si="55"/>
        <v>#NAME?</v>
      </c>
      <c r="H490" s="104" t="e">
        <f ca="1">IF(C490="","",MROUND([0]!CSVVLookUP(ROW(行数!A482),配列!$C$4,集計記録,8,1),"0:01"))</f>
        <v>#NAME?</v>
      </c>
      <c r="I490" s="104" t="e">
        <f t="shared" ca="1" si="56"/>
        <v>#NAME?</v>
      </c>
      <c r="J490" s="119" t="e">
        <f ca="1">IF(C490="","",MROUND([0]!CSVVLookUP(ROW(行数!A482),配列!$C$4,集計記録,7,1),"0:01"))</f>
        <v>#NAME?</v>
      </c>
      <c r="K490" s="92" t="e">
        <f ca="1">IF(C490="","",[0]!CSVVLookUP(ROW(行数!A482),配列!$C$4,集計記録,5,1))</f>
        <v>#NAME?</v>
      </c>
      <c r="L490" s="104" t="e">
        <f t="shared" ca="1" si="57"/>
        <v>#NAME?</v>
      </c>
      <c r="M490" s="120" t="e">
        <f t="shared" ca="1" si="51"/>
        <v>#NAME?</v>
      </c>
      <c r="N490" s="120" t="e">
        <f ca="1">IF([0]!CSVVLookUP(ROW(行数!A482),配列!$C$4,集計記録,6,1)=0,"",[0]!CSVVLookUP(ROW(行数!A482),配列!$C$4,集計記録,6,1))</f>
        <v>#NAME?</v>
      </c>
      <c r="O490" s="88" t="e">
        <f ca="1">IF(INDIRECT("M"&amp;ROW()-1)&lt;&gt;INDIRECT("M"&amp;ROW()),リスト!$I$5,"")</f>
        <v>#NAME?</v>
      </c>
      <c r="P490" s="88" t="e">
        <f ca="1">IF(INDIRECT("M"&amp;ROW())&lt;&gt;INDIRECT("M"&amp;ROW()+1),リスト!$I$6,"")</f>
        <v>#NAME?</v>
      </c>
    </row>
    <row r="491" spans="1:16" x14ac:dyDescent="0.2">
      <c r="A491" s="169" t="e">
        <f ca="1">IF(C491="","",ROW(行数!A483))</f>
        <v>#NAME?</v>
      </c>
      <c r="B491" s="168" t="e">
        <f t="shared" ca="1" si="52"/>
        <v>#NAME?</v>
      </c>
      <c r="C491" s="90" t="e">
        <f ca="1">[0]!CSVVLookUP(ROW(行数!A483),配列!$C$4,集計記録,3,1)</f>
        <v>#NAME?</v>
      </c>
      <c r="D491" s="90" t="e">
        <f ca="1">[0]!CSVVLookUP(ROW(行数!B483),配列!$C$4,集計記録,4,1)</f>
        <v>#NAME?</v>
      </c>
      <c r="E491" s="118" t="e">
        <f t="shared" ca="1" si="53"/>
        <v>#NAME?</v>
      </c>
      <c r="F491" s="118" t="e">
        <f t="shared" ca="1" si="54"/>
        <v>#NAME?</v>
      </c>
      <c r="G491" s="103" t="e">
        <f t="shared" ca="1" si="55"/>
        <v>#NAME?</v>
      </c>
      <c r="H491" s="104" t="e">
        <f ca="1">IF(C491="","",MROUND([0]!CSVVLookUP(ROW(行数!A483),配列!$C$4,集計記録,8,1),"0:01"))</f>
        <v>#NAME?</v>
      </c>
      <c r="I491" s="104" t="e">
        <f t="shared" ca="1" si="56"/>
        <v>#NAME?</v>
      </c>
      <c r="J491" s="119" t="e">
        <f ca="1">IF(C491="","",MROUND([0]!CSVVLookUP(ROW(行数!A483),配列!$C$4,集計記録,7,1),"0:01"))</f>
        <v>#NAME?</v>
      </c>
      <c r="K491" s="92" t="e">
        <f ca="1">IF(C491="","",[0]!CSVVLookUP(ROW(行数!A483),配列!$C$4,集計記録,5,1))</f>
        <v>#NAME?</v>
      </c>
      <c r="L491" s="104" t="e">
        <f t="shared" ca="1" si="57"/>
        <v>#NAME?</v>
      </c>
      <c r="M491" s="120" t="e">
        <f t="shared" ca="1" si="51"/>
        <v>#NAME?</v>
      </c>
      <c r="N491" s="120" t="e">
        <f ca="1">IF([0]!CSVVLookUP(ROW(行数!A483),配列!$C$4,集計記録,6,1)=0,"",[0]!CSVVLookUP(ROW(行数!A483),配列!$C$4,集計記録,6,1))</f>
        <v>#NAME?</v>
      </c>
      <c r="O491" s="88" t="e">
        <f ca="1">IF(INDIRECT("M"&amp;ROW()-1)&lt;&gt;INDIRECT("M"&amp;ROW()),リスト!$I$5,"")</f>
        <v>#NAME?</v>
      </c>
      <c r="P491" s="88" t="e">
        <f ca="1">IF(INDIRECT("M"&amp;ROW())&lt;&gt;INDIRECT("M"&amp;ROW()+1),リスト!$I$6,"")</f>
        <v>#NAME?</v>
      </c>
    </row>
    <row r="492" spans="1:16" x14ac:dyDescent="0.2">
      <c r="A492" s="169" t="e">
        <f ca="1">IF(C492="","",ROW(行数!A484))</f>
        <v>#NAME?</v>
      </c>
      <c r="B492" s="168" t="e">
        <f t="shared" ca="1" si="52"/>
        <v>#NAME?</v>
      </c>
      <c r="C492" s="90" t="e">
        <f ca="1">[0]!CSVVLookUP(ROW(行数!A484),配列!$C$4,集計記録,3,1)</f>
        <v>#NAME?</v>
      </c>
      <c r="D492" s="90" t="e">
        <f ca="1">[0]!CSVVLookUP(ROW(行数!B484),配列!$C$4,集計記録,4,1)</f>
        <v>#NAME?</v>
      </c>
      <c r="E492" s="118" t="e">
        <f t="shared" ca="1" si="53"/>
        <v>#NAME?</v>
      </c>
      <c r="F492" s="118" t="e">
        <f t="shared" ca="1" si="54"/>
        <v>#NAME?</v>
      </c>
      <c r="G492" s="103" t="e">
        <f t="shared" ca="1" si="55"/>
        <v>#NAME?</v>
      </c>
      <c r="H492" s="104" t="e">
        <f ca="1">IF(C492="","",MROUND([0]!CSVVLookUP(ROW(行数!A484),配列!$C$4,集計記録,8,1),"0:01"))</f>
        <v>#NAME?</v>
      </c>
      <c r="I492" s="104" t="e">
        <f t="shared" ca="1" si="56"/>
        <v>#NAME?</v>
      </c>
      <c r="J492" s="119" t="e">
        <f ca="1">IF(C492="","",MROUND([0]!CSVVLookUP(ROW(行数!A484),配列!$C$4,集計記録,7,1),"0:01"))</f>
        <v>#NAME?</v>
      </c>
      <c r="K492" s="92" t="e">
        <f ca="1">IF(C492="","",[0]!CSVVLookUP(ROW(行数!A484),配列!$C$4,集計記録,5,1))</f>
        <v>#NAME?</v>
      </c>
      <c r="L492" s="104" t="e">
        <f t="shared" ca="1" si="57"/>
        <v>#NAME?</v>
      </c>
      <c r="M492" s="120" t="e">
        <f t="shared" ca="1" si="51"/>
        <v>#NAME?</v>
      </c>
      <c r="N492" s="120" t="e">
        <f ca="1">IF([0]!CSVVLookUP(ROW(行数!A484),配列!$C$4,集計記録,6,1)=0,"",[0]!CSVVLookUP(ROW(行数!A484),配列!$C$4,集計記録,6,1))</f>
        <v>#NAME?</v>
      </c>
      <c r="O492" s="88" t="e">
        <f ca="1">IF(INDIRECT("M"&amp;ROW()-1)&lt;&gt;INDIRECT("M"&amp;ROW()),リスト!$I$5,"")</f>
        <v>#NAME?</v>
      </c>
      <c r="P492" s="88" t="e">
        <f ca="1">IF(INDIRECT("M"&amp;ROW())&lt;&gt;INDIRECT("M"&amp;ROW()+1),リスト!$I$6,"")</f>
        <v>#NAME?</v>
      </c>
    </row>
    <row r="493" spans="1:16" x14ac:dyDescent="0.2">
      <c r="A493" s="169" t="e">
        <f ca="1">IF(C493="","",ROW(行数!A485))</f>
        <v>#NAME?</v>
      </c>
      <c r="B493" s="168" t="e">
        <f t="shared" ca="1" si="52"/>
        <v>#NAME?</v>
      </c>
      <c r="C493" s="90" t="e">
        <f ca="1">[0]!CSVVLookUP(ROW(行数!A485),配列!$C$4,集計記録,3,1)</f>
        <v>#NAME?</v>
      </c>
      <c r="D493" s="90" t="e">
        <f ca="1">[0]!CSVVLookUP(ROW(行数!B485),配列!$C$4,集計記録,4,1)</f>
        <v>#NAME?</v>
      </c>
      <c r="E493" s="118" t="e">
        <f t="shared" ca="1" si="53"/>
        <v>#NAME?</v>
      </c>
      <c r="F493" s="118" t="e">
        <f t="shared" ca="1" si="54"/>
        <v>#NAME?</v>
      </c>
      <c r="G493" s="103" t="e">
        <f t="shared" ca="1" si="55"/>
        <v>#NAME?</v>
      </c>
      <c r="H493" s="104" t="e">
        <f ca="1">IF(C493="","",MROUND([0]!CSVVLookUP(ROW(行数!A485),配列!$C$4,集計記録,8,1),"0:01"))</f>
        <v>#NAME?</v>
      </c>
      <c r="I493" s="104" t="e">
        <f t="shared" ca="1" si="56"/>
        <v>#NAME?</v>
      </c>
      <c r="J493" s="119" t="e">
        <f ca="1">IF(C493="","",MROUND([0]!CSVVLookUP(ROW(行数!A485),配列!$C$4,集計記録,7,1),"0:01"))</f>
        <v>#NAME?</v>
      </c>
      <c r="K493" s="92" t="e">
        <f ca="1">IF(C493="","",[0]!CSVVLookUP(ROW(行数!A485),配列!$C$4,集計記録,5,1))</f>
        <v>#NAME?</v>
      </c>
      <c r="L493" s="104" t="e">
        <f t="shared" ca="1" si="57"/>
        <v>#NAME?</v>
      </c>
      <c r="M493" s="120" t="e">
        <f t="shared" ca="1" si="51"/>
        <v>#NAME?</v>
      </c>
      <c r="N493" s="120" t="e">
        <f ca="1">IF([0]!CSVVLookUP(ROW(行数!A485),配列!$C$4,集計記録,6,1)=0,"",[0]!CSVVLookUP(ROW(行数!A485),配列!$C$4,集計記録,6,1))</f>
        <v>#NAME?</v>
      </c>
      <c r="O493" s="88" t="e">
        <f ca="1">IF(INDIRECT("M"&amp;ROW()-1)&lt;&gt;INDIRECT("M"&amp;ROW()),リスト!$I$5,"")</f>
        <v>#NAME?</v>
      </c>
      <c r="P493" s="88" t="e">
        <f ca="1">IF(INDIRECT("M"&amp;ROW())&lt;&gt;INDIRECT("M"&amp;ROW()+1),リスト!$I$6,"")</f>
        <v>#NAME?</v>
      </c>
    </row>
    <row r="494" spans="1:16" x14ac:dyDescent="0.2">
      <c r="A494" s="169" t="e">
        <f ca="1">IF(C494="","",ROW(行数!A486))</f>
        <v>#NAME?</v>
      </c>
      <c r="B494" s="168" t="e">
        <f t="shared" ca="1" si="52"/>
        <v>#NAME?</v>
      </c>
      <c r="C494" s="90" t="e">
        <f ca="1">[0]!CSVVLookUP(ROW(行数!A486),配列!$C$4,集計記録,3,1)</f>
        <v>#NAME?</v>
      </c>
      <c r="D494" s="90" t="e">
        <f ca="1">[0]!CSVVLookUP(ROW(行数!B486),配列!$C$4,集計記録,4,1)</f>
        <v>#NAME?</v>
      </c>
      <c r="E494" s="118" t="e">
        <f t="shared" ca="1" si="53"/>
        <v>#NAME?</v>
      </c>
      <c r="F494" s="118" t="e">
        <f t="shared" ca="1" si="54"/>
        <v>#NAME?</v>
      </c>
      <c r="G494" s="103" t="e">
        <f t="shared" ca="1" si="55"/>
        <v>#NAME?</v>
      </c>
      <c r="H494" s="104" t="e">
        <f ca="1">IF(C494="","",MROUND([0]!CSVVLookUP(ROW(行数!A486),配列!$C$4,集計記録,8,1),"0:01"))</f>
        <v>#NAME?</v>
      </c>
      <c r="I494" s="104" t="e">
        <f t="shared" ca="1" si="56"/>
        <v>#NAME?</v>
      </c>
      <c r="J494" s="119" t="e">
        <f ca="1">IF(C494="","",MROUND([0]!CSVVLookUP(ROW(行数!A486),配列!$C$4,集計記録,7,1),"0:01"))</f>
        <v>#NAME?</v>
      </c>
      <c r="K494" s="92" t="e">
        <f ca="1">IF(C494="","",[0]!CSVVLookUP(ROW(行数!A486),配列!$C$4,集計記録,5,1))</f>
        <v>#NAME?</v>
      </c>
      <c r="L494" s="104" t="e">
        <f t="shared" ca="1" si="57"/>
        <v>#NAME?</v>
      </c>
      <c r="M494" s="120" t="e">
        <f t="shared" ca="1" si="51"/>
        <v>#NAME?</v>
      </c>
      <c r="N494" s="120" t="e">
        <f ca="1">IF([0]!CSVVLookUP(ROW(行数!A486),配列!$C$4,集計記録,6,1)=0,"",[0]!CSVVLookUP(ROW(行数!A486),配列!$C$4,集計記録,6,1))</f>
        <v>#NAME?</v>
      </c>
      <c r="O494" s="88" t="e">
        <f ca="1">IF(INDIRECT("M"&amp;ROW()-1)&lt;&gt;INDIRECT("M"&amp;ROW()),リスト!$I$5,"")</f>
        <v>#NAME?</v>
      </c>
      <c r="P494" s="88" t="e">
        <f ca="1">IF(INDIRECT("M"&amp;ROW())&lt;&gt;INDIRECT("M"&amp;ROW()+1),リスト!$I$6,"")</f>
        <v>#NAME?</v>
      </c>
    </row>
    <row r="495" spans="1:16" x14ac:dyDescent="0.2">
      <c r="A495" s="169" t="e">
        <f ca="1">IF(C495="","",ROW(行数!A487))</f>
        <v>#NAME?</v>
      </c>
      <c r="B495" s="168" t="e">
        <f t="shared" ca="1" si="52"/>
        <v>#NAME?</v>
      </c>
      <c r="C495" s="90" t="e">
        <f ca="1">[0]!CSVVLookUP(ROW(行数!A487),配列!$C$4,集計記録,3,1)</f>
        <v>#NAME?</v>
      </c>
      <c r="D495" s="90" t="e">
        <f ca="1">[0]!CSVVLookUP(ROW(行数!B487),配列!$C$4,集計記録,4,1)</f>
        <v>#NAME?</v>
      </c>
      <c r="E495" s="118" t="e">
        <f t="shared" ca="1" si="53"/>
        <v>#NAME?</v>
      </c>
      <c r="F495" s="118" t="e">
        <f t="shared" ca="1" si="54"/>
        <v>#NAME?</v>
      </c>
      <c r="G495" s="103" t="e">
        <f t="shared" ca="1" si="55"/>
        <v>#NAME?</v>
      </c>
      <c r="H495" s="104" t="e">
        <f ca="1">IF(C495="","",MROUND([0]!CSVVLookUP(ROW(行数!A487),配列!$C$4,集計記録,8,1),"0:01"))</f>
        <v>#NAME?</v>
      </c>
      <c r="I495" s="104" t="e">
        <f t="shared" ca="1" si="56"/>
        <v>#NAME?</v>
      </c>
      <c r="J495" s="119" t="e">
        <f ca="1">IF(C495="","",MROUND([0]!CSVVLookUP(ROW(行数!A487),配列!$C$4,集計記録,7,1),"0:01"))</f>
        <v>#NAME?</v>
      </c>
      <c r="K495" s="92" t="e">
        <f ca="1">IF(C495="","",[0]!CSVVLookUP(ROW(行数!A487),配列!$C$4,集計記録,5,1))</f>
        <v>#NAME?</v>
      </c>
      <c r="L495" s="104" t="e">
        <f t="shared" ca="1" si="57"/>
        <v>#NAME?</v>
      </c>
      <c r="M495" s="120" t="e">
        <f t="shared" ca="1" si="51"/>
        <v>#NAME?</v>
      </c>
      <c r="N495" s="120" t="e">
        <f ca="1">IF([0]!CSVVLookUP(ROW(行数!A487),配列!$C$4,集計記録,6,1)=0,"",[0]!CSVVLookUP(ROW(行数!A487),配列!$C$4,集計記録,6,1))</f>
        <v>#NAME?</v>
      </c>
      <c r="O495" s="88" t="e">
        <f ca="1">IF(INDIRECT("M"&amp;ROW()-1)&lt;&gt;INDIRECT("M"&amp;ROW()),リスト!$I$5,"")</f>
        <v>#NAME?</v>
      </c>
      <c r="P495" s="88" t="e">
        <f ca="1">IF(INDIRECT("M"&amp;ROW())&lt;&gt;INDIRECT("M"&amp;ROW()+1),リスト!$I$6,"")</f>
        <v>#NAME?</v>
      </c>
    </row>
    <row r="496" spans="1:16" x14ac:dyDescent="0.2">
      <c r="A496" s="169" t="e">
        <f ca="1">IF(C496="","",ROW(行数!A488))</f>
        <v>#NAME?</v>
      </c>
      <c r="B496" s="168" t="e">
        <f t="shared" ca="1" si="52"/>
        <v>#NAME?</v>
      </c>
      <c r="C496" s="90" t="e">
        <f ca="1">[0]!CSVVLookUP(ROW(行数!A488),配列!$C$4,集計記録,3,1)</f>
        <v>#NAME?</v>
      </c>
      <c r="D496" s="90" t="e">
        <f ca="1">[0]!CSVVLookUP(ROW(行数!B488),配列!$C$4,集計記録,4,1)</f>
        <v>#NAME?</v>
      </c>
      <c r="E496" s="118" t="e">
        <f t="shared" ca="1" si="53"/>
        <v>#NAME?</v>
      </c>
      <c r="F496" s="118" t="e">
        <f t="shared" ca="1" si="54"/>
        <v>#NAME?</v>
      </c>
      <c r="G496" s="103" t="e">
        <f t="shared" ca="1" si="55"/>
        <v>#NAME?</v>
      </c>
      <c r="H496" s="104" t="e">
        <f ca="1">IF(C496="","",MROUND([0]!CSVVLookUP(ROW(行数!A488),配列!$C$4,集計記録,8,1),"0:01"))</f>
        <v>#NAME?</v>
      </c>
      <c r="I496" s="104" t="e">
        <f t="shared" ca="1" si="56"/>
        <v>#NAME?</v>
      </c>
      <c r="J496" s="119" t="e">
        <f ca="1">IF(C496="","",MROUND([0]!CSVVLookUP(ROW(行数!A488),配列!$C$4,集計記録,7,1),"0:01"))</f>
        <v>#NAME?</v>
      </c>
      <c r="K496" s="92" t="e">
        <f ca="1">IF(C496="","",[0]!CSVVLookUP(ROW(行数!A488),配列!$C$4,集計記録,5,1))</f>
        <v>#NAME?</v>
      </c>
      <c r="L496" s="104" t="e">
        <f t="shared" ca="1" si="57"/>
        <v>#NAME?</v>
      </c>
      <c r="M496" s="120" t="e">
        <f t="shared" ca="1" si="51"/>
        <v>#NAME?</v>
      </c>
      <c r="N496" s="120" t="e">
        <f ca="1">IF([0]!CSVVLookUP(ROW(行数!A488),配列!$C$4,集計記録,6,1)=0,"",[0]!CSVVLookUP(ROW(行数!A488),配列!$C$4,集計記録,6,1))</f>
        <v>#NAME?</v>
      </c>
      <c r="O496" s="88" t="e">
        <f ca="1">IF(INDIRECT("M"&amp;ROW()-1)&lt;&gt;INDIRECT("M"&amp;ROW()),リスト!$I$5,"")</f>
        <v>#NAME?</v>
      </c>
      <c r="P496" s="88" t="e">
        <f ca="1">IF(INDIRECT("M"&amp;ROW())&lt;&gt;INDIRECT("M"&amp;ROW()+1),リスト!$I$6,"")</f>
        <v>#NAME?</v>
      </c>
    </row>
    <row r="497" spans="1:16" x14ac:dyDescent="0.2">
      <c r="A497" s="169" t="e">
        <f ca="1">IF(C497="","",ROW(行数!A489))</f>
        <v>#NAME?</v>
      </c>
      <c r="B497" s="168" t="e">
        <f t="shared" ca="1" si="52"/>
        <v>#NAME?</v>
      </c>
      <c r="C497" s="90" t="e">
        <f ca="1">[0]!CSVVLookUP(ROW(行数!A489),配列!$C$4,集計記録,3,1)</f>
        <v>#NAME?</v>
      </c>
      <c r="D497" s="90" t="e">
        <f ca="1">[0]!CSVVLookUP(ROW(行数!B489),配列!$C$4,集計記録,4,1)</f>
        <v>#NAME?</v>
      </c>
      <c r="E497" s="118" t="e">
        <f t="shared" ca="1" si="53"/>
        <v>#NAME?</v>
      </c>
      <c r="F497" s="118" t="e">
        <f t="shared" ca="1" si="54"/>
        <v>#NAME?</v>
      </c>
      <c r="G497" s="103" t="e">
        <f t="shared" ca="1" si="55"/>
        <v>#NAME?</v>
      </c>
      <c r="H497" s="104" t="e">
        <f ca="1">IF(C497="","",MROUND([0]!CSVVLookUP(ROW(行数!A489),配列!$C$4,集計記録,8,1),"0:01"))</f>
        <v>#NAME?</v>
      </c>
      <c r="I497" s="104" t="e">
        <f t="shared" ca="1" si="56"/>
        <v>#NAME?</v>
      </c>
      <c r="J497" s="119" t="e">
        <f ca="1">IF(C497="","",MROUND([0]!CSVVLookUP(ROW(行数!A489),配列!$C$4,集計記録,7,1),"0:01"))</f>
        <v>#NAME?</v>
      </c>
      <c r="K497" s="92" t="e">
        <f ca="1">IF(C497="","",[0]!CSVVLookUP(ROW(行数!A489),配列!$C$4,集計記録,5,1))</f>
        <v>#NAME?</v>
      </c>
      <c r="L497" s="104" t="e">
        <f t="shared" ca="1" si="57"/>
        <v>#NAME?</v>
      </c>
      <c r="M497" s="120" t="e">
        <f t="shared" ca="1" si="51"/>
        <v>#NAME?</v>
      </c>
      <c r="N497" s="120" t="e">
        <f ca="1">IF([0]!CSVVLookUP(ROW(行数!A489),配列!$C$4,集計記録,6,1)=0,"",[0]!CSVVLookUP(ROW(行数!A489),配列!$C$4,集計記録,6,1))</f>
        <v>#NAME?</v>
      </c>
      <c r="O497" s="88" t="e">
        <f ca="1">IF(INDIRECT("M"&amp;ROW()-1)&lt;&gt;INDIRECT("M"&amp;ROW()),リスト!$I$5,"")</f>
        <v>#NAME?</v>
      </c>
      <c r="P497" s="88" t="e">
        <f ca="1">IF(INDIRECT("M"&amp;ROW())&lt;&gt;INDIRECT("M"&amp;ROW()+1),リスト!$I$6,"")</f>
        <v>#NAME?</v>
      </c>
    </row>
    <row r="498" spans="1:16" x14ac:dyDescent="0.2">
      <c r="A498" s="169" t="e">
        <f ca="1">IF(C498="","",ROW(行数!A490))</f>
        <v>#NAME?</v>
      </c>
      <c r="B498" s="168" t="e">
        <f t="shared" ca="1" si="52"/>
        <v>#NAME?</v>
      </c>
      <c r="C498" s="90" t="e">
        <f ca="1">[0]!CSVVLookUP(ROW(行数!A490),配列!$C$4,集計記録,3,1)</f>
        <v>#NAME?</v>
      </c>
      <c r="D498" s="90" t="e">
        <f ca="1">[0]!CSVVLookUP(ROW(行数!B490),配列!$C$4,集計記録,4,1)</f>
        <v>#NAME?</v>
      </c>
      <c r="E498" s="118" t="e">
        <f t="shared" ca="1" si="53"/>
        <v>#NAME?</v>
      </c>
      <c r="F498" s="118" t="e">
        <f t="shared" ca="1" si="54"/>
        <v>#NAME?</v>
      </c>
      <c r="G498" s="103" t="e">
        <f t="shared" ca="1" si="55"/>
        <v>#NAME?</v>
      </c>
      <c r="H498" s="104" t="e">
        <f ca="1">IF(C498="","",MROUND([0]!CSVVLookUP(ROW(行数!A490),配列!$C$4,集計記録,8,1),"0:01"))</f>
        <v>#NAME?</v>
      </c>
      <c r="I498" s="104" t="e">
        <f t="shared" ca="1" si="56"/>
        <v>#NAME?</v>
      </c>
      <c r="J498" s="119" t="e">
        <f ca="1">IF(C498="","",MROUND([0]!CSVVLookUP(ROW(行数!A490),配列!$C$4,集計記録,7,1),"0:01"))</f>
        <v>#NAME?</v>
      </c>
      <c r="K498" s="92" t="e">
        <f ca="1">IF(C498="","",[0]!CSVVLookUP(ROW(行数!A490),配列!$C$4,集計記録,5,1))</f>
        <v>#NAME?</v>
      </c>
      <c r="L498" s="104" t="e">
        <f t="shared" ca="1" si="57"/>
        <v>#NAME?</v>
      </c>
      <c r="M498" s="120" t="e">
        <f t="shared" ca="1" si="51"/>
        <v>#NAME?</v>
      </c>
      <c r="N498" s="120" t="e">
        <f ca="1">IF([0]!CSVVLookUP(ROW(行数!A490),配列!$C$4,集計記録,6,1)=0,"",[0]!CSVVLookUP(ROW(行数!A490),配列!$C$4,集計記録,6,1))</f>
        <v>#NAME?</v>
      </c>
      <c r="O498" s="88" t="e">
        <f ca="1">IF(INDIRECT("M"&amp;ROW()-1)&lt;&gt;INDIRECT("M"&amp;ROW()),リスト!$I$5,"")</f>
        <v>#NAME?</v>
      </c>
      <c r="P498" s="88" t="e">
        <f ca="1">IF(INDIRECT("M"&amp;ROW())&lt;&gt;INDIRECT("M"&amp;ROW()+1),リスト!$I$6,"")</f>
        <v>#NAME?</v>
      </c>
    </row>
    <row r="499" spans="1:16" x14ac:dyDescent="0.2">
      <c r="A499" s="169" t="e">
        <f ca="1">IF(C499="","",ROW(行数!A491))</f>
        <v>#NAME?</v>
      </c>
      <c r="B499" s="168" t="e">
        <f t="shared" ca="1" si="52"/>
        <v>#NAME?</v>
      </c>
      <c r="C499" s="90" t="e">
        <f ca="1">[0]!CSVVLookUP(ROW(行数!A491),配列!$C$4,集計記録,3,1)</f>
        <v>#NAME?</v>
      </c>
      <c r="D499" s="90" t="e">
        <f ca="1">[0]!CSVVLookUP(ROW(行数!B491),配列!$C$4,集計記録,4,1)</f>
        <v>#NAME?</v>
      </c>
      <c r="E499" s="118" t="e">
        <f t="shared" ca="1" si="53"/>
        <v>#NAME?</v>
      </c>
      <c r="F499" s="118" t="e">
        <f t="shared" ca="1" si="54"/>
        <v>#NAME?</v>
      </c>
      <c r="G499" s="103" t="e">
        <f t="shared" ca="1" si="55"/>
        <v>#NAME?</v>
      </c>
      <c r="H499" s="104" t="e">
        <f ca="1">IF(C499="","",MROUND([0]!CSVVLookUP(ROW(行数!A491),配列!$C$4,集計記録,8,1),"0:01"))</f>
        <v>#NAME?</v>
      </c>
      <c r="I499" s="104" t="e">
        <f t="shared" ca="1" si="56"/>
        <v>#NAME?</v>
      </c>
      <c r="J499" s="119" t="e">
        <f ca="1">IF(C499="","",MROUND([0]!CSVVLookUP(ROW(行数!A491),配列!$C$4,集計記録,7,1),"0:01"))</f>
        <v>#NAME?</v>
      </c>
      <c r="K499" s="92" t="e">
        <f ca="1">IF(C499="","",[0]!CSVVLookUP(ROW(行数!A491),配列!$C$4,集計記録,5,1))</f>
        <v>#NAME?</v>
      </c>
      <c r="L499" s="104" t="e">
        <f t="shared" ca="1" si="57"/>
        <v>#NAME?</v>
      </c>
      <c r="M499" s="120" t="e">
        <f t="shared" ca="1" si="51"/>
        <v>#NAME?</v>
      </c>
      <c r="N499" s="120" t="e">
        <f ca="1">IF([0]!CSVVLookUP(ROW(行数!A491),配列!$C$4,集計記録,6,1)=0,"",[0]!CSVVLookUP(ROW(行数!A491),配列!$C$4,集計記録,6,1))</f>
        <v>#NAME?</v>
      </c>
      <c r="O499" s="88" t="e">
        <f ca="1">IF(INDIRECT("M"&amp;ROW()-1)&lt;&gt;INDIRECT("M"&amp;ROW()),リスト!$I$5,"")</f>
        <v>#NAME?</v>
      </c>
      <c r="P499" s="88" t="e">
        <f ca="1">IF(INDIRECT("M"&amp;ROW())&lt;&gt;INDIRECT("M"&amp;ROW()+1),リスト!$I$6,"")</f>
        <v>#NAME?</v>
      </c>
    </row>
    <row r="500" spans="1:16" x14ac:dyDescent="0.2">
      <c r="A500" s="169" t="e">
        <f ca="1">IF(C500="","",ROW(行数!A492))</f>
        <v>#NAME?</v>
      </c>
      <c r="B500" s="168" t="e">
        <f t="shared" ca="1" si="52"/>
        <v>#NAME?</v>
      </c>
      <c r="C500" s="90" t="e">
        <f ca="1">[0]!CSVVLookUP(ROW(行数!A492),配列!$C$4,集計記録,3,1)</f>
        <v>#NAME?</v>
      </c>
      <c r="D500" s="90" t="e">
        <f ca="1">[0]!CSVVLookUP(ROW(行数!B492),配列!$C$4,集計記録,4,1)</f>
        <v>#NAME?</v>
      </c>
      <c r="E500" s="118" t="e">
        <f t="shared" ca="1" si="53"/>
        <v>#NAME?</v>
      </c>
      <c r="F500" s="118" t="e">
        <f t="shared" ca="1" si="54"/>
        <v>#NAME?</v>
      </c>
      <c r="G500" s="103" t="e">
        <f t="shared" ca="1" si="55"/>
        <v>#NAME?</v>
      </c>
      <c r="H500" s="104" t="e">
        <f ca="1">IF(C500="","",MROUND([0]!CSVVLookUP(ROW(行数!A492),配列!$C$4,集計記録,8,1),"0:01"))</f>
        <v>#NAME?</v>
      </c>
      <c r="I500" s="104" t="e">
        <f t="shared" ca="1" si="56"/>
        <v>#NAME?</v>
      </c>
      <c r="J500" s="119" t="e">
        <f ca="1">IF(C500="","",MROUND([0]!CSVVLookUP(ROW(行数!A492),配列!$C$4,集計記録,7,1),"0:01"))</f>
        <v>#NAME?</v>
      </c>
      <c r="K500" s="92" t="e">
        <f ca="1">IF(C500="","",[0]!CSVVLookUP(ROW(行数!A492),配列!$C$4,集計記録,5,1))</f>
        <v>#NAME?</v>
      </c>
      <c r="L500" s="104" t="e">
        <f t="shared" ca="1" si="57"/>
        <v>#NAME?</v>
      </c>
      <c r="M500" s="120" t="e">
        <f t="shared" ca="1" si="51"/>
        <v>#NAME?</v>
      </c>
      <c r="N500" s="120" t="e">
        <f ca="1">IF([0]!CSVVLookUP(ROW(行数!A492),配列!$C$4,集計記録,6,1)=0,"",[0]!CSVVLookUP(ROW(行数!A492),配列!$C$4,集計記録,6,1))</f>
        <v>#NAME?</v>
      </c>
      <c r="O500" s="88" t="e">
        <f ca="1">IF(INDIRECT("M"&amp;ROW()-1)&lt;&gt;INDIRECT("M"&amp;ROW()),リスト!$I$5,"")</f>
        <v>#NAME?</v>
      </c>
      <c r="P500" s="88" t="e">
        <f ca="1">IF(INDIRECT("M"&amp;ROW())&lt;&gt;INDIRECT("M"&amp;ROW()+1),リスト!$I$6,"")</f>
        <v>#NAME?</v>
      </c>
    </row>
    <row r="501" spans="1:16" x14ac:dyDescent="0.2">
      <c r="A501" s="169" t="e">
        <f ca="1">IF(C501="","",ROW(行数!A493))</f>
        <v>#NAME?</v>
      </c>
      <c r="B501" s="168" t="e">
        <f t="shared" ca="1" si="52"/>
        <v>#NAME?</v>
      </c>
      <c r="C501" s="90" t="e">
        <f ca="1">[0]!CSVVLookUP(ROW(行数!A493),配列!$C$4,集計記録,3,1)</f>
        <v>#NAME?</v>
      </c>
      <c r="D501" s="90" t="e">
        <f ca="1">[0]!CSVVLookUP(ROW(行数!B493),配列!$C$4,集計記録,4,1)</f>
        <v>#NAME?</v>
      </c>
      <c r="E501" s="118" t="e">
        <f t="shared" ca="1" si="53"/>
        <v>#NAME?</v>
      </c>
      <c r="F501" s="118" t="e">
        <f t="shared" ca="1" si="54"/>
        <v>#NAME?</v>
      </c>
      <c r="G501" s="103" t="e">
        <f t="shared" ca="1" si="55"/>
        <v>#NAME?</v>
      </c>
      <c r="H501" s="104" t="e">
        <f ca="1">IF(C501="","",MROUND([0]!CSVVLookUP(ROW(行数!A493),配列!$C$4,集計記録,8,1),"0:01"))</f>
        <v>#NAME?</v>
      </c>
      <c r="I501" s="104" t="e">
        <f t="shared" ca="1" si="56"/>
        <v>#NAME?</v>
      </c>
      <c r="J501" s="119" t="e">
        <f ca="1">IF(C501="","",MROUND([0]!CSVVLookUP(ROW(行数!A493),配列!$C$4,集計記録,7,1),"0:01"))</f>
        <v>#NAME?</v>
      </c>
      <c r="K501" s="92" t="e">
        <f ca="1">IF(C501="","",[0]!CSVVLookUP(ROW(行数!A493),配列!$C$4,集計記録,5,1))</f>
        <v>#NAME?</v>
      </c>
      <c r="L501" s="104" t="e">
        <f t="shared" ca="1" si="57"/>
        <v>#NAME?</v>
      </c>
      <c r="M501" s="120" t="e">
        <f t="shared" ca="1" si="51"/>
        <v>#NAME?</v>
      </c>
      <c r="N501" s="120" t="e">
        <f ca="1">IF([0]!CSVVLookUP(ROW(行数!A493),配列!$C$4,集計記録,6,1)=0,"",[0]!CSVVLookUP(ROW(行数!A493),配列!$C$4,集計記録,6,1))</f>
        <v>#NAME?</v>
      </c>
      <c r="O501" s="88" t="e">
        <f ca="1">IF(INDIRECT("M"&amp;ROW()-1)&lt;&gt;INDIRECT("M"&amp;ROW()),リスト!$I$5,"")</f>
        <v>#NAME?</v>
      </c>
      <c r="P501" s="88" t="e">
        <f ca="1">IF(INDIRECT("M"&amp;ROW())&lt;&gt;INDIRECT("M"&amp;ROW()+1),リスト!$I$6,"")</f>
        <v>#NAME?</v>
      </c>
    </row>
    <row r="502" spans="1:16" x14ac:dyDescent="0.2">
      <c r="A502" s="169" t="e">
        <f ca="1">IF(C502="","",ROW(行数!A494))</f>
        <v>#NAME?</v>
      </c>
      <c r="B502" s="168" t="e">
        <f t="shared" ca="1" si="52"/>
        <v>#NAME?</v>
      </c>
      <c r="C502" s="90" t="e">
        <f ca="1">[0]!CSVVLookUP(ROW(行数!A494),配列!$C$4,集計記録,3,1)</f>
        <v>#NAME?</v>
      </c>
      <c r="D502" s="90" t="e">
        <f ca="1">[0]!CSVVLookUP(ROW(行数!B494),配列!$C$4,集計記録,4,1)</f>
        <v>#NAME?</v>
      </c>
      <c r="E502" s="118" t="e">
        <f t="shared" ca="1" si="53"/>
        <v>#NAME?</v>
      </c>
      <c r="F502" s="118" t="e">
        <f t="shared" ca="1" si="54"/>
        <v>#NAME?</v>
      </c>
      <c r="G502" s="103" t="e">
        <f t="shared" ca="1" si="55"/>
        <v>#NAME?</v>
      </c>
      <c r="H502" s="104" t="e">
        <f ca="1">IF(C502="","",MROUND([0]!CSVVLookUP(ROW(行数!A494),配列!$C$4,集計記録,8,1),"0:01"))</f>
        <v>#NAME?</v>
      </c>
      <c r="I502" s="104" t="e">
        <f t="shared" ca="1" si="56"/>
        <v>#NAME?</v>
      </c>
      <c r="J502" s="119" t="e">
        <f ca="1">IF(C502="","",MROUND([0]!CSVVLookUP(ROW(行数!A494),配列!$C$4,集計記録,7,1),"0:01"))</f>
        <v>#NAME?</v>
      </c>
      <c r="K502" s="92" t="e">
        <f ca="1">IF(C502="","",[0]!CSVVLookUP(ROW(行数!A494),配列!$C$4,集計記録,5,1))</f>
        <v>#NAME?</v>
      </c>
      <c r="L502" s="104" t="e">
        <f t="shared" ca="1" si="57"/>
        <v>#NAME?</v>
      </c>
      <c r="M502" s="120" t="e">
        <f t="shared" ca="1" si="51"/>
        <v>#NAME?</v>
      </c>
      <c r="N502" s="120" t="e">
        <f ca="1">IF([0]!CSVVLookUP(ROW(行数!A494),配列!$C$4,集計記録,6,1)=0,"",[0]!CSVVLookUP(ROW(行数!A494),配列!$C$4,集計記録,6,1))</f>
        <v>#NAME?</v>
      </c>
      <c r="O502" s="88" t="e">
        <f ca="1">IF(INDIRECT("M"&amp;ROW()-1)&lt;&gt;INDIRECT("M"&amp;ROW()),リスト!$I$5,"")</f>
        <v>#NAME?</v>
      </c>
      <c r="P502" s="88" t="e">
        <f ca="1">IF(INDIRECT("M"&amp;ROW())&lt;&gt;INDIRECT("M"&amp;ROW()+1),リスト!$I$6,"")</f>
        <v>#NAME?</v>
      </c>
    </row>
    <row r="503" spans="1:16" x14ac:dyDescent="0.2">
      <c r="A503" s="169" t="e">
        <f ca="1">IF(C503="","",ROW(行数!A495))</f>
        <v>#NAME?</v>
      </c>
      <c r="B503" s="168" t="e">
        <f t="shared" ca="1" si="52"/>
        <v>#NAME?</v>
      </c>
      <c r="C503" s="90" t="e">
        <f ca="1">[0]!CSVVLookUP(ROW(行数!A495),配列!$C$4,集計記録,3,1)</f>
        <v>#NAME?</v>
      </c>
      <c r="D503" s="90" t="e">
        <f ca="1">[0]!CSVVLookUP(ROW(行数!B495),配列!$C$4,集計記録,4,1)</f>
        <v>#NAME?</v>
      </c>
      <c r="E503" s="118" t="e">
        <f t="shared" ca="1" si="53"/>
        <v>#NAME?</v>
      </c>
      <c r="F503" s="118" t="e">
        <f t="shared" ca="1" si="54"/>
        <v>#NAME?</v>
      </c>
      <c r="G503" s="103" t="e">
        <f t="shared" ca="1" si="55"/>
        <v>#NAME?</v>
      </c>
      <c r="H503" s="104" t="e">
        <f ca="1">IF(C503="","",MROUND([0]!CSVVLookUP(ROW(行数!A495),配列!$C$4,集計記録,8,1),"0:01"))</f>
        <v>#NAME?</v>
      </c>
      <c r="I503" s="104" t="e">
        <f t="shared" ca="1" si="56"/>
        <v>#NAME?</v>
      </c>
      <c r="J503" s="119" t="e">
        <f ca="1">IF(C503="","",MROUND([0]!CSVVLookUP(ROW(行数!A495),配列!$C$4,集計記録,7,1),"0:01"))</f>
        <v>#NAME?</v>
      </c>
      <c r="K503" s="92" t="e">
        <f ca="1">IF(C503="","",[0]!CSVVLookUP(ROW(行数!A495),配列!$C$4,集計記録,5,1))</f>
        <v>#NAME?</v>
      </c>
      <c r="L503" s="104" t="e">
        <f t="shared" ca="1" si="57"/>
        <v>#NAME?</v>
      </c>
      <c r="M503" s="120" t="e">
        <f t="shared" ca="1" si="51"/>
        <v>#NAME?</v>
      </c>
      <c r="N503" s="120" t="e">
        <f ca="1">IF([0]!CSVVLookUP(ROW(行数!A495),配列!$C$4,集計記録,6,1)=0,"",[0]!CSVVLookUP(ROW(行数!A495),配列!$C$4,集計記録,6,1))</f>
        <v>#NAME?</v>
      </c>
      <c r="O503" s="88" t="e">
        <f ca="1">IF(INDIRECT("M"&amp;ROW()-1)&lt;&gt;INDIRECT("M"&amp;ROW()),リスト!$I$5,"")</f>
        <v>#NAME?</v>
      </c>
      <c r="P503" s="88" t="e">
        <f ca="1">IF(INDIRECT("M"&amp;ROW())&lt;&gt;INDIRECT("M"&amp;ROW()+1),リスト!$I$6,"")</f>
        <v>#NAME?</v>
      </c>
    </row>
    <row r="504" spans="1:16" x14ac:dyDescent="0.2">
      <c r="A504" s="169" t="e">
        <f ca="1">IF(C504="","",ROW(行数!A496))</f>
        <v>#NAME?</v>
      </c>
      <c r="B504" s="168" t="e">
        <f t="shared" ca="1" si="52"/>
        <v>#NAME?</v>
      </c>
      <c r="C504" s="90" t="e">
        <f ca="1">[0]!CSVVLookUP(ROW(行数!A496),配列!$C$4,集計記録,3,1)</f>
        <v>#NAME?</v>
      </c>
      <c r="D504" s="90" t="e">
        <f ca="1">[0]!CSVVLookUP(ROW(行数!B496),配列!$C$4,集計記録,4,1)</f>
        <v>#NAME?</v>
      </c>
      <c r="E504" s="118" t="e">
        <f t="shared" ca="1" si="53"/>
        <v>#NAME?</v>
      </c>
      <c r="F504" s="118" t="e">
        <f t="shared" ca="1" si="54"/>
        <v>#NAME?</v>
      </c>
      <c r="G504" s="103" t="e">
        <f t="shared" ca="1" si="55"/>
        <v>#NAME?</v>
      </c>
      <c r="H504" s="104" t="e">
        <f ca="1">IF(C504="","",MROUND([0]!CSVVLookUP(ROW(行数!A496),配列!$C$4,集計記録,8,1),"0:01"))</f>
        <v>#NAME?</v>
      </c>
      <c r="I504" s="104" t="e">
        <f t="shared" ca="1" si="56"/>
        <v>#NAME?</v>
      </c>
      <c r="J504" s="119" t="e">
        <f ca="1">IF(C504="","",MROUND([0]!CSVVLookUP(ROW(行数!A496),配列!$C$4,集計記録,7,1),"0:01"))</f>
        <v>#NAME?</v>
      </c>
      <c r="K504" s="92" t="e">
        <f ca="1">IF(C504="","",[0]!CSVVLookUP(ROW(行数!A496),配列!$C$4,集計記録,5,1))</f>
        <v>#NAME?</v>
      </c>
      <c r="L504" s="104" t="e">
        <f t="shared" ca="1" si="57"/>
        <v>#NAME?</v>
      </c>
      <c r="M504" s="120" t="e">
        <f t="shared" ca="1" si="51"/>
        <v>#NAME?</v>
      </c>
      <c r="N504" s="120" t="e">
        <f ca="1">IF([0]!CSVVLookUP(ROW(行数!A496),配列!$C$4,集計記録,6,1)=0,"",[0]!CSVVLookUP(ROW(行数!A496),配列!$C$4,集計記録,6,1))</f>
        <v>#NAME?</v>
      </c>
      <c r="O504" s="88" t="e">
        <f ca="1">IF(INDIRECT("M"&amp;ROW()-1)&lt;&gt;INDIRECT("M"&amp;ROW()),リスト!$I$5,"")</f>
        <v>#NAME?</v>
      </c>
      <c r="P504" s="88" t="e">
        <f ca="1">IF(INDIRECT("M"&amp;ROW())&lt;&gt;INDIRECT("M"&amp;ROW()+1),リスト!$I$6,"")</f>
        <v>#NAME?</v>
      </c>
    </row>
    <row r="505" spans="1:16" x14ac:dyDescent="0.2">
      <c r="A505" s="169" t="e">
        <f ca="1">IF(C505="","",ROW(行数!A497))</f>
        <v>#NAME?</v>
      </c>
      <c r="B505" s="168" t="e">
        <f t="shared" ca="1" si="52"/>
        <v>#NAME?</v>
      </c>
      <c r="C505" s="90" t="e">
        <f ca="1">[0]!CSVVLookUP(ROW(行数!A497),配列!$C$4,集計記録,3,1)</f>
        <v>#NAME?</v>
      </c>
      <c r="D505" s="90" t="e">
        <f ca="1">[0]!CSVVLookUP(ROW(行数!B497),配列!$C$4,集計記録,4,1)</f>
        <v>#NAME?</v>
      </c>
      <c r="E505" s="118" t="e">
        <f t="shared" ca="1" si="53"/>
        <v>#NAME?</v>
      </c>
      <c r="F505" s="118" t="e">
        <f t="shared" ca="1" si="54"/>
        <v>#NAME?</v>
      </c>
      <c r="G505" s="103" t="e">
        <f t="shared" ca="1" si="55"/>
        <v>#NAME?</v>
      </c>
      <c r="H505" s="104" t="e">
        <f ca="1">IF(C505="","",MROUND([0]!CSVVLookUP(ROW(行数!A497),配列!$C$4,集計記録,8,1),"0:01"))</f>
        <v>#NAME?</v>
      </c>
      <c r="I505" s="104" t="e">
        <f t="shared" ca="1" si="56"/>
        <v>#NAME?</v>
      </c>
      <c r="J505" s="119" t="e">
        <f ca="1">IF(C505="","",MROUND([0]!CSVVLookUP(ROW(行数!A497),配列!$C$4,集計記録,7,1),"0:01"))</f>
        <v>#NAME?</v>
      </c>
      <c r="K505" s="92" t="e">
        <f ca="1">IF(C505="","",[0]!CSVVLookUP(ROW(行数!A497),配列!$C$4,集計記録,5,1))</f>
        <v>#NAME?</v>
      </c>
      <c r="L505" s="104" t="e">
        <f t="shared" ca="1" si="57"/>
        <v>#NAME?</v>
      </c>
      <c r="M505" s="120" t="e">
        <f t="shared" ca="1" si="51"/>
        <v>#NAME?</v>
      </c>
      <c r="N505" s="120" t="e">
        <f ca="1">IF([0]!CSVVLookUP(ROW(行数!A497),配列!$C$4,集計記録,6,1)=0,"",[0]!CSVVLookUP(ROW(行数!A497),配列!$C$4,集計記録,6,1))</f>
        <v>#NAME?</v>
      </c>
      <c r="O505" s="88" t="e">
        <f ca="1">IF(INDIRECT("M"&amp;ROW()-1)&lt;&gt;INDIRECT("M"&amp;ROW()),リスト!$I$5,"")</f>
        <v>#NAME?</v>
      </c>
      <c r="P505" s="88" t="e">
        <f ca="1">IF(INDIRECT("M"&amp;ROW())&lt;&gt;INDIRECT("M"&amp;ROW()+1),リスト!$I$6,"")</f>
        <v>#NAME?</v>
      </c>
    </row>
    <row r="506" spans="1:16" x14ac:dyDescent="0.2">
      <c r="A506" s="169" t="e">
        <f ca="1">IF(C506="","",ROW(行数!A498))</f>
        <v>#NAME?</v>
      </c>
      <c r="B506" s="168" t="e">
        <f t="shared" ca="1" si="52"/>
        <v>#NAME?</v>
      </c>
      <c r="C506" s="90" t="e">
        <f ca="1">[0]!CSVVLookUP(ROW(行数!A498),配列!$C$4,集計記録,3,1)</f>
        <v>#NAME?</v>
      </c>
      <c r="D506" s="90" t="e">
        <f ca="1">[0]!CSVVLookUP(ROW(行数!B498),配列!$C$4,集計記録,4,1)</f>
        <v>#NAME?</v>
      </c>
      <c r="E506" s="118" t="e">
        <f t="shared" ca="1" si="53"/>
        <v>#NAME?</v>
      </c>
      <c r="F506" s="118" t="e">
        <f t="shared" ca="1" si="54"/>
        <v>#NAME?</v>
      </c>
      <c r="G506" s="103" t="e">
        <f t="shared" ca="1" si="55"/>
        <v>#NAME?</v>
      </c>
      <c r="H506" s="104" t="e">
        <f ca="1">IF(C506="","",MROUND([0]!CSVVLookUP(ROW(行数!A498),配列!$C$4,集計記録,8,1),"0:01"))</f>
        <v>#NAME?</v>
      </c>
      <c r="I506" s="104" t="e">
        <f t="shared" ca="1" si="56"/>
        <v>#NAME?</v>
      </c>
      <c r="J506" s="119" t="e">
        <f ca="1">IF(C506="","",MROUND([0]!CSVVLookUP(ROW(行数!A498),配列!$C$4,集計記録,7,1),"0:01"))</f>
        <v>#NAME?</v>
      </c>
      <c r="K506" s="92" t="e">
        <f ca="1">IF(C506="","",[0]!CSVVLookUP(ROW(行数!A498),配列!$C$4,集計記録,5,1))</f>
        <v>#NAME?</v>
      </c>
      <c r="L506" s="104" t="e">
        <f t="shared" ca="1" si="57"/>
        <v>#NAME?</v>
      </c>
      <c r="M506" s="120" t="e">
        <f t="shared" ca="1" si="51"/>
        <v>#NAME?</v>
      </c>
      <c r="N506" s="120" t="e">
        <f ca="1">IF([0]!CSVVLookUP(ROW(行数!A498),配列!$C$4,集計記録,6,1)=0,"",[0]!CSVVLookUP(ROW(行数!A498),配列!$C$4,集計記録,6,1))</f>
        <v>#NAME?</v>
      </c>
      <c r="O506" s="88" t="e">
        <f ca="1">IF(INDIRECT("M"&amp;ROW()-1)&lt;&gt;INDIRECT("M"&amp;ROW()),リスト!$I$5,"")</f>
        <v>#NAME?</v>
      </c>
      <c r="P506" s="88" t="e">
        <f ca="1">IF(INDIRECT("M"&amp;ROW())&lt;&gt;INDIRECT("M"&amp;ROW()+1),リスト!$I$6,"")</f>
        <v>#NAME?</v>
      </c>
    </row>
    <row r="507" spans="1:16" x14ac:dyDescent="0.2">
      <c r="A507" s="169" t="e">
        <f ca="1">IF(C507="","",ROW(行数!A499))</f>
        <v>#NAME?</v>
      </c>
      <c r="B507" s="168" t="e">
        <f t="shared" ca="1" si="52"/>
        <v>#NAME?</v>
      </c>
      <c r="C507" s="90" t="e">
        <f ca="1">[0]!CSVVLookUP(ROW(行数!A499),配列!$C$4,集計記録,3,1)</f>
        <v>#NAME?</v>
      </c>
      <c r="D507" s="90" t="e">
        <f ca="1">[0]!CSVVLookUP(ROW(行数!B499),配列!$C$4,集計記録,4,1)</f>
        <v>#NAME?</v>
      </c>
      <c r="E507" s="118" t="e">
        <f t="shared" ca="1" si="53"/>
        <v>#NAME?</v>
      </c>
      <c r="F507" s="118" t="e">
        <f t="shared" ca="1" si="54"/>
        <v>#NAME?</v>
      </c>
      <c r="G507" s="103" t="e">
        <f t="shared" ca="1" si="55"/>
        <v>#NAME?</v>
      </c>
      <c r="H507" s="104" t="e">
        <f ca="1">IF(C507="","",MROUND([0]!CSVVLookUP(ROW(行数!A499),配列!$C$4,集計記録,8,1),"0:01"))</f>
        <v>#NAME?</v>
      </c>
      <c r="I507" s="104" t="e">
        <f t="shared" ca="1" si="56"/>
        <v>#NAME?</v>
      </c>
      <c r="J507" s="119" t="e">
        <f ca="1">IF(C507="","",MROUND([0]!CSVVLookUP(ROW(行数!A499),配列!$C$4,集計記録,7,1),"0:01"))</f>
        <v>#NAME?</v>
      </c>
      <c r="K507" s="92" t="e">
        <f ca="1">IF(C507="","",[0]!CSVVLookUP(ROW(行数!A499),配列!$C$4,集計記録,5,1))</f>
        <v>#NAME?</v>
      </c>
      <c r="L507" s="104" t="e">
        <f t="shared" ca="1" si="57"/>
        <v>#NAME?</v>
      </c>
      <c r="M507" s="120" t="e">
        <f t="shared" ca="1" si="51"/>
        <v>#NAME?</v>
      </c>
      <c r="N507" s="120" t="e">
        <f ca="1">IF([0]!CSVVLookUP(ROW(行数!A499),配列!$C$4,集計記録,6,1)=0,"",[0]!CSVVLookUP(ROW(行数!A499),配列!$C$4,集計記録,6,1))</f>
        <v>#NAME?</v>
      </c>
      <c r="O507" s="88" t="e">
        <f ca="1">IF(INDIRECT("M"&amp;ROW()-1)&lt;&gt;INDIRECT("M"&amp;ROW()),リスト!$I$5,"")</f>
        <v>#NAME?</v>
      </c>
      <c r="P507" s="88" t="e">
        <f ca="1">IF(INDIRECT("M"&amp;ROW())&lt;&gt;INDIRECT("M"&amp;ROW()+1),リスト!$I$6,"")</f>
        <v>#NAME?</v>
      </c>
    </row>
    <row r="508" spans="1:16" x14ac:dyDescent="0.2">
      <c r="A508" s="169" t="e">
        <f ca="1">IF(C508="","",ROW(行数!A500))</f>
        <v>#NAME?</v>
      </c>
      <c r="B508" s="168" t="e">
        <f t="shared" ca="1" si="52"/>
        <v>#NAME?</v>
      </c>
      <c r="C508" s="90" t="e">
        <f ca="1">[0]!CSVVLookUP(ROW(行数!A500),配列!$C$4,集計記録,3,1)</f>
        <v>#NAME?</v>
      </c>
      <c r="D508" s="90" t="e">
        <f ca="1">[0]!CSVVLookUP(ROW(行数!B500),配列!$C$4,集計記録,4,1)</f>
        <v>#NAME?</v>
      </c>
      <c r="E508" s="118" t="e">
        <f t="shared" ca="1" si="53"/>
        <v>#NAME?</v>
      </c>
      <c r="F508" s="118" t="e">
        <f t="shared" ca="1" si="54"/>
        <v>#NAME?</v>
      </c>
      <c r="G508" s="103" t="e">
        <f t="shared" ca="1" si="55"/>
        <v>#NAME?</v>
      </c>
      <c r="H508" s="104" t="e">
        <f ca="1">IF(C508="","",MROUND([0]!CSVVLookUP(ROW(行数!A500),配列!$C$4,集計記録,8,1),"0:01"))</f>
        <v>#NAME?</v>
      </c>
      <c r="I508" s="104" t="e">
        <f t="shared" ca="1" si="56"/>
        <v>#NAME?</v>
      </c>
      <c r="J508" s="119" t="e">
        <f ca="1">IF(C508="","",MROUND([0]!CSVVLookUP(ROW(行数!A500),配列!$C$4,集計記録,7,1),"0:01"))</f>
        <v>#NAME?</v>
      </c>
      <c r="K508" s="92" t="e">
        <f ca="1">IF(C508="","",[0]!CSVVLookUP(ROW(行数!A500),配列!$C$4,集計記録,5,1))</f>
        <v>#NAME?</v>
      </c>
      <c r="L508" s="104" t="e">
        <f t="shared" ca="1" si="57"/>
        <v>#NAME?</v>
      </c>
      <c r="M508" s="120" t="e">
        <f t="shared" ca="1" si="51"/>
        <v>#NAME?</v>
      </c>
      <c r="N508" s="120" t="e">
        <f ca="1">IF([0]!CSVVLookUP(ROW(行数!A500),配列!$C$4,集計記録,6,1)=0,"",[0]!CSVVLookUP(ROW(行数!A500),配列!$C$4,集計記録,6,1))</f>
        <v>#NAME?</v>
      </c>
      <c r="O508" s="88" t="e">
        <f ca="1">IF(INDIRECT("M"&amp;ROW()-1)&lt;&gt;INDIRECT("M"&amp;ROW()),リスト!$I$5,"")</f>
        <v>#NAME?</v>
      </c>
      <c r="P508" s="88" t="e">
        <f ca="1">IF(INDIRECT("M"&amp;ROW())&lt;&gt;INDIRECT("M"&amp;ROW()+1),リスト!$I$6,"")</f>
        <v>#NAME?</v>
      </c>
    </row>
    <row r="509" spans="1:16" x14ac:dyDescent="0.2">
      <c r="A509" s="169" t="e">
        <f ca="1">IF(C509="","",ROW(行数!A501))</f>
        <v>#NAME?</v>
      </c>
      <c r="B509" s="168" t="e">
        <f t="shared" ca="1" si="52"/>
        <v>#NAME?</v>
      </c>
      <c r="C509" s="90" t="e">
        <f ca="1">[0]!CSVVLookUP(ROW(行数!A501),配列!$C$4,集計記録,3,1)</f>
        <v>#NAME?</v>
      </c>
      <c r="D509" s="90" t="e">
        <f ca="1">[0]!CSVVLookUP(ROW(行数!B501),配列!$C$4,集計記録,4,1)</f>
        <v>#NAME?</v>
      </c>
      <c r="E509" s="118" t="e">
        <f t="shared" ca="1" si="53"/>
        <v>#NAME?</v>
      </c>
      <c r="F509" s="118" t="e">
        <f t="shared" ca="1" si="54"/>
        <v>#NAME?</v>
      </c>
      <c r="G509" s="103" t="e">
        <f t="shared" ca="1" si="55"/>
        <v>#NAME?</v>
      </c>
      <c r="H509" s="104" t="e">
        <f ca="1">IF(C509="","",MROUND([0]!CSVVLookUP(ROW(行数!A501),配列!$C$4,集計記録,8,1),"0:01"))</f>
        <v>#NAME?</v>
      </c>
      <c r="I509" s="104" t="e">
        <f t="shared" ca="1" si="56"/>
        <v>#NAME?</v>
      </c>
      <c r="J509" s="119" t="e">
        <f ca="1">IF(C509="","",MROUND([0]!CSVVLookUP(ROW(行数!A501),配列!$C$4,集計記録,7,1),"0:01"))</f>
        <v>#NAME?</v>
      </c>
      <c r="K509" s="92" t="e">
        <f ca="1">IF(C509="","",[0]!CSVVLookUP(ROW(行数!A501),配列!$C$4,集計記録,5,1))</f>
        <v>#NAME?</v>
      </c>
      <c r="L509" s="104" t="e">
        <f t="shared" ca="1" si="57"/>
        <v>#NAME?</v>
      </c>
      <c r="M509" s="120" t="e">
        <f t="shared" ca="1" si="51"/>
        <v>#NAME?</v>
      </c>
      <c r="N509" s="120" t="e">
        <f ca="1">IF([0]!CSVVLookUP(ROW(行数!A501),配列!$C$4,集計記録,6,1)=0,"",[0]!CSVVLookUP(ROW(行数!A501),配列!$C$4,集計記録,6,1))</f>
        <v>#NAME?</v>
      </c>
      <c r="O509" s="88" t="e">
        <f ca="1">IF(INDIRECT("M"&amp;ROW()-1)&lt;&gt;INDIRECT("M"&amp;ROW()),リスト!$I$5,"")</f>
        <v>#NAME?</v>
      </c>
      <c r="P509" s="88" t="e">
        <f ca="1">IF(INDIRECT("M"&amp;ROW())&lt;&gt;INDIRECT("M"&amp;ROW()+1),リスト!$I$6,"")</f>
        <v>#NAME?</v>
      </c>
    </row>
    <row r="510" spans="1:16" x14ac:dyDescent="0.2">
      <c r="A510" s="169" t="e">
        <f ca="1">IF(C510="","",ROW(行数!A502))</f>
        <v>#NAME?</v>
      </c>
      <c r="B510" s="168" t="e">
        <f t="shared" ca="1" si="52"/>
        <v>#NAME?</v>
      </c>
      <c r="C510" s="90" t="e">
        <f ca="1">[0]!CSVVLookUP(ROW(行数!A502),配列!$C$4,集計記録,3,1)</f>
        <v>#NAME?</v>
      </c>
      <c r="D510" s="90" t="e">
        <f ca="1">[0]!CSVVLookUP(ROW(行数!B502),配列!$C$4,集計記録,4,1)</f>
        <v>#NAME?</v>
      </c>
      <c r="E510" s="118" t="e">
        <f t="shared" ca="1" si="53"/>
        <v>#NAME?</v>
      </c>
      <c r="F510" s="118" t="e">
        <f t="shared" ca="1" si="54"/>
        <v>#NAME?</v>
      </c>
      <c r="G510" s="103" t="e">
        <f t="shared" ca="1" si="55"/>
        <v>#NAME?</v>
      </c>
      <c r="H510" s="104" t="e">
        <f ca="1">IF(C510="","",MROUND([0]!CSVVLookUP(ROW(行数!A502),配列!$C$4,集計記録,8,1),"0:01"))</f>
        <v>#NAME?</v>
      </c>
      <c r="I510" s="104" t="e">
        <f t="shared" ca="1" si="56"/>
        <v>#NAME?</v>
      </c>
      <c r="J510" s="119" t="e">
        <f ca="1">IF(C510="","",MROUND([0]!CSVVLookUP(ROW(行数!A502),配列!$C$4,集計記録,7,1),"0:01"))</f>
        <v>#NAME?</v>
      </c>
      <c r="K510" s="92" t="e">
        <f ca="1">IF(C510="","",[0]!CSVVLookUP(ROW(行数!A502),配列!$C$4,集計記録,5,1))</f>
        <v>#NAME?</v>
      </c>
      <c r="L510" s="104" t="e">
        <f t="shared" ca="1" si="57"/>
        <v>#NAME?</v>
      </c>
      <c r="M510" s="120" t="e">
        <f t="shared" ca="1" si="51"/>
        <v>#NAME?</v>
      </c>
      <c r="N510" s="120" t="e">
        <f ca="1">IF([0]!CSVVLookUP(ROW(行数!A502),配列!$C$4,集計記録,6,1)=0,"",[0]!CSVVLookUP(ROW(行数!A502),配列!$C$4,集計記録,6,1))</f>
        <v>#NAME?</v>
      </c>
      <c r="O510" s="88" t="e">
        <f ca="1">IF(INDIRECT("M"&amp;ROW()-1)&lt;&gt;INDIRECT("M"&amp;ROW()),リスト!$I$5,"")</f>
        <v>#NAME?</v>
      </c>
      <c r="P510" s="88" t="e">
        <f ca="1">IF(INDIRECT("M"&amp;ROW())&lt;&gt;INDIRECT("M"&amp;ROW()+1),リスト!$I$6,"")</f>
        <v>#NAME?</v>
      </c>
    </row>
    <row r="511" spans="1:16" x14ac:dyDescent="0.2">
      <c r="A511" s="169" t="e">
        <f ca="1">IF(C511="","",ROW(行数!A503))</f>
        <v>#NAME?</v>
      </c>
      <c r="B511" s="168" t="e">
        <f t="shared" ca="1" si="52"/>
        <v>#NAME?</v>
      </c>
      <c r="C511" s="90" t="e">
        <f ca="1">[0]!CSVVLookUP(ROW(行数!A503),配列!$C$4,集計記録,3,1)</f>
        <v>#NAME?</v>
      </c>
      <c r="D511" s="90" t="e">
        <f ca="1">[0]!CSVVLookUP(ROW(行数!B503),配列!$C$4,集計記録,4,1)</f>
        <v>#NAME?</v>
      </c>
      <c r="E511" s="118" t="e">
        <f t="shared" ca="1" si="53"/>
        <v>#NAME?</v>
      </c>
      <c r="F511" s="118" t="e">
        <f t="shared" ca="1" si="54"/>
        <v>#NAME?</v>
      </c>
      <c r="G511" s="103" t="e">
        <f t="shared" ca="1" si="55"/>
        <v>#NAME?</v>
      </c>
      <c r="H511" s="104" t="e">
        <f ca="1">IF(C511="","",MROUND([0]!CSVVLookUP(ROW(行数!A503),配列!$C$4,集計記録,8,1),"0:01"))</f>
        <v>#NAME?</v>
      </c>
      <c r="I511" s="104" t="e">
        <f t="shared" ca="1" si="56"/>
        <v>#NAME?</v>
      </c>
      <c r="J511" s="119" t="e">
        <f ca="1">IF(C511="","",MROUND([0]!CSVVLookUP(ROW(行数!A503),配列!$C$4,集計記録,7,1),"0:01"))</f>
        <v>#NAME?</v>
      </c>
      <c r="K511" s="92" t="e">
        <f ca="1">IF(C511="","",[0]!CSVVLookUP(ROW(行数!A503),配列!$C$4,集計記録,5,1))</f>
        <v>#NAME?</v>
      </c>
      <c r="L511" s="104" t="e">
        <f t="shared" ca="1" si="57"/>
        <v>#NAME?</v>
      </c>
      <c r="M511" s="120" t="e">
        <f t="shared" ca="1" si="51"/>
        <v>#NAME?</v>
      </c>
      <c r="N511" s="120" t="e">
        <f ca="1">IF([0]!CSVVLookUP(ROW(行数!A503),配列!$C$4,集計記録,6,1)=0,"",[0]!CSVVLookUP(ROW(行数!A503),配列!$C$4,集計記録,6,1))</f>
        <v>#NAME?</v>
      </c>
      <c r="O511" s="88" t="e">
        <f ca="1">IF(INDIRECT("M"&amp;ROW()-1)&lt;&gt;INDIRECT("M"&amp;ROW()),リスト!$I$5,"")</f>
        <v>#NAME?</v>
      </c>
      <c r="P511" s="88" t="e">
        <f ca="1">IF(INDIRECT("M"&amp;ROW())&lt;&gt;INDIRECT("M"&amp;ROW()+1),リスト!$I$6,"")</f>
        <v>#NAME?</v>
      </c>
    </row>
    <row r="512" spans="1:16" x14ac:dyDescent="0.2">
      <c r="A512" s="169" t="e">
        <f ca="1">IF(C512="","",ROW(行数!A504))</f>
        <v>#NAME?</v>
      </c>
      <c r="B512" s="168" t="e">
        <f t="shared" ca="1" si="52"/>
        <v>#NAME?</v>
      </c>
      <c r="C512" s="90" t="e">
        <f ca="1">[0]!CSVVLookUP(ROW(行数!A504),配列!$C$4,集計記録,3,1)</f>
        <v>#NAME?</v>
      </c>
      <c r="D512" s="90" t="e">
        <f ca="1">[0]!CSVVLookUP(ROW(行数!B504),配列!$C$4,集計記録,4,1)</f>
        <v>#NAME?</v>
      </c>
      <c r="E512" s="118" t="e">
        <f t="shared" ca="1" si="53"/>
        <v>#NAME?</v>
      </c>
      <c r="F512" s="118" t="e">
        <f t="shared" ca="1" si="54"/>
        <v>#NAME?</v>
      </c>
      <c r="G512" s="103" t="e">
        <f t="shared" ca="1" si="55"/>
        <v>#NAME?</v>
      </c>
      <c r="H512" s="104" t="e">
        <f ca="1">IF(C512="","",MROUND([0]!CSVVLookUP(ROW(行数!A504),配列!$C$4,集計記録,8,1),"0:01"))</f>
        <v>#NAME?</v>
      </c>
      <c r="I512" s="104" t="e">
        <f t="shared" ca="1" si="56"/>
        <v>#NAME?</v>
      </c>
      <c r="J512" s="119" t="e">
        <f ca="1">IF(C512="","",MROUND([0]!CSVVLookUP(ROW(行数!A504),配列!$C$4,集計記録,7,1),"0:01"))</f>
        <v>#NAME?</v>
      </c>
      <c r="K512" s="92" t="e">
        <f ca="1">IF(C512="","",[0]!CSVVLookUP(ROW(行数!A504),配列!$C$4,集計記録,5,1))</f>
        <v>#NAME?</v>
      </c>
      <c r="L512" s="104" t="e">
        <f t="shared" ca="1" si="57"/>
        <v>#NAME?</v>
      </c>
      <c r="M512" s="120" t="e">
        <f t="shared" ca="1" si="51"/>
        <v>#NAME?</v>
      </c>
      <c r="N512" s="120" t="e">
        <f ca="1">IF([0]!CSVVLookUP(ROW(行数!A504),配列!$C$4,集計記録,6,1)=0,"",[0]!CSVVLookUP(ROW(行数!A504),配列!$C$4,集計記録,6,1))</f>
        <v>#NAME?</v>
      </c>
      <c r="O512" s="88" t="e">
        <f ca="1">IF(INDIRECT("M"&amp;ROW()-1)&lt;&gt;INDIRECT("M"&amp;ROW()),リスト!$I$5,"")</f>
        <v>#NAME?</v>
      </c>
      <c r="P512" s="88" t="e">
        <f ca="1">IF(INDIRECT("M"&amp;ROW())&lt;&gt;INDIRECT("M"&amp;ROW()+1),リスト!$I$6,"")</f>
        <v>#NAME?</v>
      </c>
    </row>
    <row r="513" spans="1:16" x14ac:dyDescent="0.2">
      <c r="A513" s="169" t="e">
        <f ca="1">IF(C513="","",ROW(行数!A505))</f>
        <v>#NAME?</v>
      </c>
      <c r="B513" s="168" t="e">
        <f t="shared" ca="1" si="52"/>
        <v>#NAME?</v>
      </c>
      <c r="C513" s="90" t="e">
        <f ca="1">[0]!CSVVLookUP(ROW(行数!A505),配列!$C$4,集計記録,3,1)</f>
        <v>#NAME?</v>
      </c>
      <c r="D513" s="90" t="e">
        <f ca="1">[0]!CSVVLookUP(ROW(行数!B505),配列!$C$4,集計記録,4,1)</f>
        <v>#NAME?</v>
      </c>
      <c r="E513" s="118" t="e">
        <f t="shared" ca="1" si="53"/>
        <v>#NAME?</v>
      </c>
      <c r="F513" s="118" t="e">
        <f t="shared" ca="1" si="54"/>
        <v>#NAME?</v>
      </c>
      <c r="G513" s="103" t="e">
        <f t="shared" ca="1" si="55"/>
        <v>#NAME?</v>
      </c>
      <c r="H513" s="104" t="e">
        <f ca="1">IF(C513="","",MROUND([0]!CSVVLookUP(ROW(行数!A505),配列!$C$4,集計記録,8,1),"0:01"))</f>
        <v>#NAME?</v>
      </c>
      <c r="I513" s="104" t="e">
        <f t="shared" ca="1" si="56"/>
        <v>#NAME?</v>
      </c>
      <c r="J513" s="119" t="e">
        <f ca="1">IF(C513="","",MROUND([0]!CSVVLookUP(ROW(行数!A505),配列!$C$4,集計記録,7,1),"0:01"))</f>
        <v>#NAME?</v>
      </c>
      <c r="K513" s="92" t="e">
        <f ca="1">IF(C513="","",[0]!CSVVLookUP(ROW(行数!A505),配列!$C$4,集計記録,5,1))</f>
        <v>#NAME?</v>
      </c>
      <c r="L513" s="104" t="e">
        <f t="shared" ca="1" si="57"/>
        <v>#NAME?</v>
      </c>
      <c r="M513" s="120" t="e">
        <f t="shared" ca="1" si="51"/>
        <v>#NAME?</v>
      </c>
      <c r="N513" s="120" t="e">
        <f ca="1">IF([0]!CSVVLookUP(ROW(行数!A505),配列!$C$4,集計記録,6,1)=0,"",[0]!CSVVLookUP(ROW(行数!A505),配列!$C$4,集計記録,6,1))</f>
        <v>#NAME?</v>
      </c>
      <c r="O513" s="88" t="e">
        <f ca="1">IF(INDIRECT("M"&amp;ROW()-1)&lt;&gt;INDIRECT("M"&amp;ROW()),リスト!$I$5,"")</f>
        <v>#NAME?</v>
      </c>
      <c r="P513" s="88" t="e">
        <f ca="1">IF(INDIRECT("M"&amp;ROW())&lt;&gt;INDIRECT("M"&amp;ROW()+1),リスト!$I$6,"")</f>
        <v>#NAME?</v>
      </c>
    </row>
    <row r="514" spans="1:16" x14ac:dyDescent="0.2">
      <c r="A514" s="169" t="e">
        <f ca="1">IF(C514="","",ROW(行数!A506))</f>
        <v>#NAME?</v>
      </c>
      <c r="B514" s="168" t="e">
        <f t="shared" ca="1" si="52"/>
        <v>#NAME?</v>
      </c>
      <c r="C514" s="90" t="e">
        <f ca="1">[0]!CSVVLookUP(ROW(行数!A506),配列!$C$4,集計記録,3,1)</f>
        <v>#NAME?</v>
      </c>
      <c r="D514" s="90" t="e">
        <f ca="1">[0]!CSVVLookUP(ROW(行数!B506),配列!$C$4,集計記録,4,1)</f>
        <v>#NAME?</v>
      </c>
      <c r="E514" s="118" t="e">
        <f t="shared" ca="1" si="53"/>
        <v>#NAME?</v>
      </c>
      <c r="F514" s="118" t="e">
        <f t="shared" ca="1" si="54"/>
        <v>#NAME?</v>
      </c>
      <c r="G514" s="103" t="e">
        <f t="shared" ca="1" si="55"/>
        <v>#NAME?</v>
      </c>
      <c r="H514" s="104" t="e">
        <f ca="1">IF(C514="","",MROUND([0]!CSVVLookUP(ROW(行数!A506),配列!$C$4,集計記録,8,1),"0:01"))</f>
        <v>#NAME?</v>
      </c>
      <c r="I514" s="104" t="e">
        <f t="shared" ca="1" si="56"/>
        <v>#NAME?</v>
      </c>
      <c r="J514" s="119" t="e">
        <f ca="1">IF(C514="","",MROUND([0]!CSVVLookUP(ROW(行数!A506),配列!$C$4,集計記録,7,1),"0:01"))</f>
        <v>#NAME?</v>
      </c>
      <c r="K514" s="92" t="e">
        <f ca="1">IF(C514="","",[0]!CSVVLookUP(ROW(行数!A506),配列!$C$4,集計記録,5,1))</f>
        <v>#NAME?</v>
      </c>
      <c r="L514" s="104" t="e">
        <f t="shared" ca="1" si="57"/>
        <v>#NAME?</v>
      </c>
      <c r="M514" s="120" t="e">
        <f t="shared" ca="1" si="51"/>
        <v>#NAME?</v>
      </c>
      <c r="N514" s="120" t="e">
        <f ca="1">IF([0]!CSVVLookUP(ROW(行数!A506),配列!$C$4,集計記録,6,1)=0,"",[0]!CSVVLookUP(ROW(行数!A506),配列!$C$4,集計記録,6,1))</f>
        <v>#NAME?</v>
      </c>
      <c r="O514" s="88" t="e">
        <f ca="1">IF(INDIRECT("M"&amp;ROW()-1)&lt;&gt;INDIRECT("M"&amp;ROW()),リスト!$I$5,"")</f>
        <v>#NAME?</v>
      </c>
      <c r="P514" s="88" t="e">
        <f ca="1">IF(INDIRECT("M"&amp;ROW())&lt;&gt;INDIRECT("M"&amp;ROW()+1),リスト!$I$6,"")</f>
        <v>#NAME?</v>
      </c>
    </row>
    <row r="515" spans="1:16" x14ac:dyDescent="0.2">
      <c r="A515" s="169" t="e">
        <f ca="1">IF(C515="","",ROW(行数!A507))</f>
        <v>#NAME?</v>
      </c>
      <c r="B515" s="168" t="e">
        <f t="shared" ca="1" si="52"/>
        <v>#NAME?</v>
      </c>
      <c r="C515" s="90" t="e">
        <f ca="1">[0]!CSVVLookUP(ROW(行数!A507),配列!$C$4,集計記録,3,1)</f>
        <v>#NAME?</v>
      </c>
      <c r="D515" s="90" t="e">
        <f ca="1">[0]!CSVVLookUP(ROW(行数!B507),配列!$C$4,集計記録,4,1)</f>
        <v>#NAME?</v>
      </c>
      <c r="E515" s="118" t="e">
        <f t="shared" ca="1" si="53"/>
        <v>#NAME?</v>
      </c>
      <c r="F515" s="118" t="e">
        <f t="shared" ca="1" si="54"/>
        <v>#NAME?</v>
      </c>
      <c r="G515" s="103" t="e">
        <f t="shared" ca="1" si="55"/>
        <v>#NAME?</v>
      </c>
      <c r="H515" s="104" t="e">
        <f ca="1">IF(C515="","",MROUND([0]!CSVVLookUP(ROW(行数!A507),配列!$C$4,集計記録,8,1),"0:01"))</f>
        <v>#NAME?</v>
      </c>
      <c r="I515" s="104" t="e">
        <f t="shared" ca="1" si="56"/>
        <v>#NAME?</v>
      </c>
      <c r="J515" s="119" t="e">
        <f ca="1">IF(C515="","",MROUND([0]!CSVVLookUP(ROW(行数!A507),配列!$C$4,集計記録,7,1),"0:01"))</f>
        <v>#NAME?</v>
      </c>
      <c r="K515" s="92" t="e">
        <f ca="1">IF(C515="","",[0]!CSVVLookUP(ROW(行数!A507),配列!$C$4,集計記録,5,1))</f>
        <v>#NAME?</v>
      </c>
      <c r="L515" s="104" t="e">
        <f t="shared" ca="1" si="57"/>
        <v>#NAME?</v>
      </c>
      <c r="M515" s="120" t="e">
        <f t="shared" ca="1" si="51"/>
        <v>#NAME?</v>
      </c>
      <c r="N515" s="120" t="e">
        <f ca="1">IF([0]!CSVVLookUP(ROW(行数!A507),配列!$C$4,集計記録,6,1)=0,"",[0]!CSVVLookUP(ROW(行数!A507),配列!$C$4,集計記録,6,1))</f>
        <v>#NAME?</v>
      </c>
      <c r="O515" s="88" t="e">
        <f ca="1">IF(INDIRECT("M"&amp;ROW()-1)&lt;&gt;INDIRECT("M"&amp;ROW()),リスト!$I$5,"")</f>
        <v>#NAME?</v>
      </c>
      <c r="P515" s="88" t="e">
        <f ca="1">IF(INDIRECT("M"&amp;ROW())&lt;&gt;INDIRECT("M"&amp;ROW()+1),リスト!$I$6,"")</f>
        <v>#NAME?</v>
      </c>
    </row>
    <row r="516" spans="1:16" x14ac:dyDescent="0.2">
      <c r="A516" s="169" t="e">
        <f ca="1">IF(C516="","",ROW(行数!A508))</f>
        <v>#NAME?</v>
      </c>
      <c r="B516" s="168" t="e">
        <f t="shared" ca="1" si="52"/>
        <v>#NAME?</v>
      </c>
      <c r="C516" s="90" t="e">
        <f ca="1">[0]!CSVVLookUP(ROW(行数!A508),配列!$C$4,集計記録,3,1)</f>
        <v>#NAME?</v>
      </c>
      <c r="D516" s="90" t="e">
        <f ca="1">[0]!CSVVLookUP(ROW(行数!B508),配列!$C$4,集計記録,4,1)</f>
        <v>#NAME?</v>
      </c>
      <c r="E516" s="118" t="e">
        <f t="shared" ca="1" si="53"/>
        <v>#NAME?</v>
      </c>
      <c r="F516" s="118" t="e">
        <f t="shared" ca="1" si="54"/>
        <v>#NAME?</v>
      </c>
      <c r="G516" s="103" t="e">
        <f t="shared" ca="1" si="55"/>
        <v>#NAME?</v>
      </c>
      <c r="H516" s="104" t="e">
        <f ca="1">IF(C516="","",MROUND([0]!CSVVLookUP(ROW(行数!A508),配列!$C$4,集計記録,8,1),"0:01"))</f>
        <v>#NAME?</v>
      </c>
      <c r="I516" s="104" t="e">
        <f t="shared" ca="1" si="56"/>
        <v>#NAME?</v>
      </c>
      <c r="J516" s="119" t="e">
        <f ca="1">IF(C516="","",MROUND([0]!CSVVLookUP(ROW(行数!A508),配列!$C$4,集計記録,7,1),"0:01"))</f>
        <v>#NAME?</v>
      </c>
      <c r="K516" s="92" t="e">
        <f ca="1">IF(C516="","",[0]!CSVVLookUP(ROW(行数!A508),配列!$C$4,集計記録,5,1))</f>
        <v>#NAME?</v>
      </c>
      <c r="L516" s="104" t="e">
        <f t="shared" ca="1" si="57"/>
        <v>#NAME?</v>
      </c>
      <c r="M516" s="120" t="e">
        <f t="shared" ca="1" si="51"/>
        <v>#NAME?</v>
      </c>
      <c r="N516" s="120" t="e">
        <f ca="1">IF([0]!CSVVLookUP(ROW(行数!A508),配列!$C$4,集計記録,6,1)=0,"",[0]!CSVVLookUP(ROW(行数!A508),配列!$C$4,集計記録,6,1))</f>
        <v>#NAME?</v>
      </c>
      <c r="O516" s="88" t="e">
        <f ca="1">IF(INDIRECT("M"&amp;ROW()-1)&lt;&gt;INDIRECT("M"&amp;ROW()),リスト!$I$5,"")</f>
        <v>#NAME?</v>
      </c>
      <c r="P516" s="88" t="e">
        <f ca="1">IF(INDIRECT("M"&amp;ROW())&lt;&gt;INDIRECT("M"&amp;ROW()+1),リスト!$I$6,"")</f>
        <v>#NAME?</v>
      </c>
    </row>
    <row r="517" spans="1:16" x14ac:dyDescent="0.2">
      <c r="A517" s="169" t="e">
        <f ca="1">IF(C517="","",ROW(行数!A509))</f>
        <v>#NAME?</v>
      </c>
      <c r="B517" s="168" t="e">
        <f t="shared" ca="1" si="52"/>
        <v>#NAME?</v>
      </c>
      <c r="C517" s="90" t="e">
        <f ca="1">[0]!CSVVLookUP(ROW(行数!A509),配列!$C$4,集計記録,3,1)</f>
        <v>#NAME?</v>
      </c>
      <c r="D517" s="90" t="e">
        <f ca="1">[0]!CSVVLookUP(ROW(行数!B509),配列!$C$4,集計記録,4,1)</f>
        <v>#NAME?</v>
      </c>
      <c r="E517" s="118" t="e">
        <f t="shared" ca="1" si="53"/>
        <v>#NAME?</v>
      </c>
      <c r="F517" s="118" t="e">
        <f t="shared" ca="1" si="54"/>
        <v>#NAME?</v>
      </c>
      <c r="G517" s="103" t="e">
        <f t="shared" ca="1" si="55"/>
        <v>#NAME?</v>
      </c>
      <c r="H517" s="104" t="e">
        <f ca="1">IF(C517="","",MROUND([0]!CSVVLookUP(ROW(行数!A509),配列!$C$4,集計記録,8,1),"0:01"))</f>
        <v>#NAME?</v>
      </c>
      <c r="I517" s="104" t="e">
        <f t="shared" ca="1" si="56"/>
        <v>#NAME?</v>
      </c>
      <c r="J517" s="119" t="e">
        <f ca="1">IF(C517="","",MROUND([0]!CSVVLookUP(ROW(行数!A509),配列!$C$4,集計記録,7,1),"0:01"))</f>
        <v>#NAME?</v>
      </c>
      <c r="K517" s="92" t="e">
        <f ca="1">IF(C517="","",[0]!CSVVLookUP(ROW(行数!A509),配列!$C$4,集計記録,5,1))</f>
        <v>#NAME?</v>
      </c>
      <c r="L517" s="104" t="e">
        <f t="shared" ca="1" si="57"/>
        <v>#NAME?</v>
      </c>
      <c r="M517" s="120" t="e">
        <f t="shared" ca="1" si="51"/>
        <v>#NAME?</v>
      </c>
      <c r="N517" s="120" t="e">
        <f ca="1">IF([0]!CSVVLookUP(ROW(行数!A509),配列!$C$4,集計記録,6,1)=0,"",[0]!CSVVLookUP(ROW(行数!A509),配列!$C$4,集計記録,6,1))</f>
        <v>#NAME?</v>
      </c>
      <c r="O517" s="88" t="e">
        <f ca="1">IF(INDIRECT("M"&amp;ROW()-1)&lt;&gt;INDIRECT("M"&amp;ROW()),リスト!$I$5,"")</f>
        <v>#NAME?</v>
      </c>
      <c r="P517" s="88" t="e">
        <f ca="1">IF(INDIRECT("M"&amp;ROW())&lt;&gt;INDIRECT("M"&amp;ROW()+1),リスト!$I$6,"")</f>
        <v>#NAME?</v>
      </c>
    </row>
    <row r="518" spans="1:16" x14ac:dyDescent="0.2">
      <c r="A518" s="169" t="e">
        <f ca="1">IF(C518="","",ROW(行数!A510))</f>
        <v>#NAME?</v>
      </c>
      <c r="B518" s="168" t="e">
        <f t="shared" ca="1" si="52"/>
        <v>#NAME?</v>
      </c>
      <c r="C518" s="90" t="e">
        <f ca="1">[0]!CSVVLookUP(ROW(行数!A510),配列!$C$4,集計記録,3,1)</f>
        <v>#NAME?</v>
      </c>
      <c r="D518" s="90" t="e">
        <f ca="1">[0]!CSVVLookUP(ROW(行数!B510),配列!$C$4,集計記録,4,1)</f>
        <v>#NAME?</v>
      </c>
      <c r="E518" s="118" t="e">
        <f t="shared" ca="1" si="53"/>
        <v>#NAME?</v>
      </c>
      <c r="F518" s="118" t="e">
        <f t="shared" ca="1" si="54"/>
        <v>#NAME?</v>
      </c>
      <c r="G518" s="103" t="e">
        <f t="shared" ca="1" si="55"/>
        <v>#NAME?</v>
      </c>
      <c r="H518" s="104" t="e">
        <f ca="1">IF(C518="","",MROUND([0]!CSVVLookUP(ROW(行数!A510),配列!$C$4,集計記録,8,1),"0:01"))</f>
        <v>#NAME?</v>
      </c>
      <c r="I518" s="104" t="e">
        <f t="shared" ca="1" si="56"/>
        <v>#NAME?</v>
      </c>
      <c r="J518" s="119" t="e">
        <f ca="1">IF(C518="","",MROUND([0]!CSVVLookUP(ROW(行数!A510),配列!$C$4,集計記録,7,1),"0:01"))</f>
        <v>#NAME?</v>
      </c>
      <c r="K518" s="92" t="e">
        <f ca="1">IF(C518="","",[0]!CSVVLookUP(ROW(行数!A510),配列!$C$4,集計記録,5,1))</f>
        <v>#NAME?</v>
      </c>
      <c r="L518" s="104" t="e">
        <f t="shared" ca="1" si="57"/>
        <v>#NAME?</v>
      </c>
      <c r="M518" s="120" t="e">
        <f t="shared" ca="1" si="51"/>
        <v>#NAME?</v>
      </c>
      <c r="N518" s="120" t="e">
        <f ca="1">IF([0]!CSVVLookUP(ROW(行数!A510),配列!$C$4,集計記録,6,1)=0,"",[0]!CSVVLookUP(ROW(行数!A510),配列!$C$4,集計記録,6,1))</f>
        <v>#NAME?</v>
      </c>
      <c r="O518" s="88" t="e">
        <f ca="1">IF(INDIRECT("M"&amp;ROW()-1)&lt;&gt;INDIRECT("M"&amp;ROW()),リスト!$I$5,"")</f>
        <v>#NAME?</v>
      </c>
      <c r="P518" s="88" t="e">
        <f ca="1">IF(INDIRECT("M"&amp;ROW())&lt;&gt;INDIRECT("M"&amp;ROW()+1),リスト!$I$6,"")</f>
        <v>#NAME?</v>
      </c>
    </row>
    <row r="519" spans="1:16" x14ac:dyDescent="0.2">
      <c r="A519" s="169" t="e">
        <f ca="1">IF(C519="","",ROW(行数!A511))</f>
        <v>#NAME?</v>
      </c>
      <c r="B519" s="168" t="e">
        <f t="shared" ca="1" si="52"/>
        <v>#NAME?</v>
      </c>
      <c r="C519" s="90" t="e">
        <f ca="1">[0]!CSVVLookUP(ROW(行数!A511),配列!$C$4,集計記録,3,1)</f>
        <v>#NAME?</v>
      </c>
      <c r="D519" s="90" t="e">
        <f ca="1">[0]!CSVVLookUP(ROW(行数!B511),配列!$C$4,集計記録,4,1)</f>
        <v>#NAME?</v>
      </c>
      <c r="E519" s="118" t="e">
        <f t="shared" ca="1" si="53"/>
        <v>#NAME?</v>
      </c>
      <c r="F519" s="118" t="e">
        <f t="shared" ca="1" si="54"/>
        <v>#NAME?</v>
      </c>
      <c r="G519" s="103" t="e">
        <f t="shared" ca="1" si="55"/>
        <v>#NAME?</v>
      </c>
      <c r="H519" s="104" t="e">
        <f ca="1">IF(C519="","",MROUND([0]!CSVVLookUP(ROW(行数!A511),配列!$C$4,集計記録,8,1),"0:01"))</f>
        <v>#NAME?</v>
      </c>
      <c r="I519" s="104" t="e">
        <f t="shared" ca="1" si="56"/>
        <v>#NAME?</v>
      </c>
      <c r="J519" s="119" t="e">
        <f ca="1">IF(C519="","",MROUND([0]!CSVVLookUP(ROW(行数!A511),配列!$C$4,集計記録,7,1),"0:01"))</f>
        <v>#NAME?</v>
      </c>
      <c r="K519" s="92" t="e">
        <f ca="1">IF(C519="","",[0]!CSVVLookUP(ROW(行数!A511),配列!$C$4,集計記録,5,1))</f>
        <v>#NAME?</v>
      </c>
      <c r="L519" s="104" t="e">
        <f t="shared" ca="1" si="57"/>
        <v>#NAME?</v>
      </c>
      <c r="M519" s="120" t="e">
        <f t="shared" ca="1" si="51"/>
        <v>#NAME?</v>
      </c>
      <c r="N519" s="120" t="e">
        <f ca="1">IF([0]!CSVVLookUP(ROW(行数!A511),配列!$C$4,集計記録,6,1)=0,"",[0]!CSVVLookUP(ROW(行数!A511),配列!$C$4,集計記録,6,1))</f>
        <v>#NAME?</v>
      </c>
      <c r="O519" s="88" t="e">
        <f ca="1">IF(INDIRECT("M"&amp;ROW()-1)&lt;&gt;INDIRECT("M"&amp;ROW()),リスト!$I$5,"")</f>
        <v>#NAME?</v>
      </c>
      <c r="P519" s="88" t="e">
        <f ca="1">IF(INDIRECT("M"&amp;ROW())&lt;&gt;INDIRECT("M"&amp;ROW()+1),リスト!$I$6,"")</f>
        <v>#NAME?</v>
      </c>
    </row>
    <row r="520" spans="1:16" x14ac:dyDescent="0.2">
      <c r="A520" s="169" t="e">
        <f ca="1">IF(C520="","",ROW(行数!A512))</f>
        <v>#NAME?</v>
      </c>
      <c r="B520" s="168" t="e">
        <f t="shared" ca="1" si="52"/>
        <v>#NAME?</v>
      </c>
      <c r="C520" s="90" t="e">
        <f ca="1">[0]!CSVVLookUP(ROW(行数!A512),配列!$C$4,集計記録,3,1)</f>
        <v>#NAME?</v>
      </c>
      <c r="D520" s="90" t="e">
        <f ca="1">[0]!CSVVLookUP(ROW(行数!B512),配列!$C$4,集計記録,4,1)</f>
        <v>#NAME?</v>
      </c>
      <c r="E520" s="118" t="e">
        <f t="shared" ca="1" si="53"/>
        <v>#NAME?</v>
      </c>
      <c r="F520" s="118" t="e">
        <f t="shared" ca="1" si="54"/>
        <v>#NAME?</v>
      </c>
      <c r="G520" s="103" t="e">
        <f t="shared" ca="1" si="55"/>
        <v>#NAME?</v>
      </c>
      <c r="H520" s="104" t="e">
        <f ca="1">IF(C520="","",MROUND([0]!CSVVLookUP(ROW(行数!A512),配列!$C$4,集計記録,8,1),"0:01"))</f>
        <v>#NAME?</v>
      </c>
      <c r="I520" s="104" t="e">
        <f t="shared" ca="1" si="56"/>
        <v>#NAME?</v>
      </c>
      <c r="J520" s="119" t="e">
        <f ca="1">IF(C520="","",MROUND([0]!CSVVLookUP(ROW(行数!A512),配列!$C$4,集計記録,7,1),"0:01"))</f>
        <v>#NAME?</v>
      </c>
      <c r="K520" s="92" t="e">
        <f ca="1">IF(C520="","",[0]!CSVVLookUP(ROW(行数!A512),配列!$C$4,集計記録,5,1))</f>
        <v>#NAME?</v>
      </c>
      <c r="L520" s="104" t="e">
        <f t="shared" ca="1" si="57"/>
        <v>#NAME?</v>
      </c>
      <c r="M520" s="120" t="e">
        <f t="shared" ca="1" si="51"/>
        <v>#NAME?</v>
      </c>
      <c r="N520" s="120" t="e">
        <f ca="1">IF([0]!CSVVLookUP(ROW(行数!A512),配列!$C$4,集計記録,6,1)=0,"",[0]!CSVVLookUP(ROW(行数!A512),配列!$C$4,集計記録,6,1))</f>
        <v>#NAME?</v>
      </c>
      <c r="O520" s="88" t="e">
        <f ca="1">IF(INDIRECT("M"&amp;ROW()-1)&lt;&gt;INDIRECT("M"&amp;ROW()),リスト!$I$5,"")</f>
        <v>#NAME?</v>
      </c>
      <c r="P520" s="88" t="e">
        <f ca="1">IF(INDIRECT("M"&amp;ROW())&lt;&gt;INDIRECT("M"&amp;ROW()+1),リスト!$I$6,"")</f>
        <v>#NAME?</v>
      </c>
    </row>
    <row r="521" spans="1:16" x14ac:dyDescent="0.2">
      <c r="A521" s="169" t="e">
        <f ca="1">IF(C521="","",ROW(行数!A513))</f>
        <v>#NAME?</v>
      </c>
      <c r="B521" s="168" t="e">
        <f t="shared" ca="1" si="52"/>
        <v>#NAME?</v>
      </c>
      <c r="C521" s="90" t="e">
        <f ca="1">[0]!CSVVLookUP(ROW(行数!A513),配列!$C$4,集計記録,3,1)</f>
        <v>#NAME?</v>
      </c>
      <c r="D521" s="90" t="e">
        <f ca="1">[0]!CSVVLookUP(ROW(行数!B513),配列!$C$4,集計記録,4,1)</f>
        <v>#NAME?</v>
      </c>
      <c r="E521" s="118" t="e">
        <f t="shared" ca="1" si="53"/>
        <v>#NAME?</v>
      </c>
      <c r="F521" s="118" t="e">
        <f t="shared" ca="1" si="54"/>
        <v>#NAME?</v>
      </c>
      <c r="G521" s="103" t="e">
        <f t="shared" ca="1" si="55"/>
        <v>#NAME?</v>
      </c>
      <c r="H521" s="104" t="e">
        <f ca="1">IF(C521="","",MROUND([0]!CSVVLookUP(ROW(行数!A513),配列!$C$4,集計記録,8,1),"0:01"))</f>
        <v>#NAME?</v>
      </c>
      <c r="I521" s="104" t="e">
        <f t="shared" ca="1" si="56"/>
        <v>#NAME?</v>
      </c>
      <c r="J521" s="119" t="e">
        <f ca="1">IF(C521="","",MROUND([0]!CSVVLookUP(ROW(行数!A513),配列!$C$4,集計記録,7,1),"0:01"))</f>
        <v>#NAME?</v>
      </c>
      <c r="K521" s="92" t="e">
        <f ca="1">IF(C521="","",[0]!CSVVLookUP(ROW(行数!A513),配列!$C$4,集計記録,5,1))</f>
        <v>#NAME?</v>
      </c>
      <c r="L521" s="104" t="e">
        <f t="shared" ca="1" si="57"/>
        <v>#NAME?</v>
      </c>
      <c r="M521" s="120" t="e">
        <f t="shared" ref="M521:M584" ca="1" si="58">IF(C521="","",VLOOKUP(C521,運転条件判定,13,1))</f>
        <v>#NAME?</v>
      </c>
      <c r="N521" s="120" t="e">
        <f ca="1">IF([0]!CSVVLookUP(ROW(行数!A513),配列!$C$4,集計記録,6,1)=0,"",[0]!CSVVLookUP(ROW(行数!A513),配列!$C$4,集計記録,6,1))</f>
        <v>#NAME?</v>
      </c>
      <c r="O521" s="88" t="e">
        <f ca="1">IF(INDIRECT("M"&amp;ROW()-1)&lt;&gt;INDIRECT("M"&amp;ROW()),リスト!$I$5,"")</f>
        <v>#NAME?</v>
      </c>
      <c r="P521" s="88" t="e">
        <f ca="1">IF(INDIRECT("M"&amp;ROW())&lt;&gt;INDIRECT("M"&amp;ROW()+1),リスト!$I$6,"")</f>
        <v>#NAME?</v>
      </c>
    </row>
    <row r="522" spans="1:16" x14ac:dyDescent="0.2">
      <c r="A522" s="169" t="e">
        <f ca="1">IF(C522="","",ROW(行数!A514))</f>
        <v>#NAME?</v>
      </c>
      <c r="B522" s="168" t="e">
        <f t="shared" ref="B522:B585" ca="1" si="59">IF(C522="","",VLOOKUP(C522,ユニット判定用,3))</f>
        <v>#NAME?</v>
      </c>
      <c r="C522" s="90" t="e">
        <f ca="1">[0]!CSVVLookUP(ROW(行数!A514),配列!$C$4,集計記録,3,1)</f>
        <v>#NAME?</v>
      </c>
      <c r="D522" s="90" t="e">
        <f ca="1">[0]!CSVVLookUP(ROW(行数!B514),配列!$C$4,集計記録,4,1)</f>
        <v>#NAME?</v>
      </c>
      <c r="E522" s="118" t="e">
        <f t="shared" ref="E522:E585" ca="1" si="60">IF(C522="","",D522-C522)</f>
        <v>#NAME?</v>
      </c>
      <c r="F522" s="118" t="e">
        <f t="shared" ref="F522:F585" ca="1" si="61">IF(C522="","",E522-H522-I522)</f>
        <v>#NAME?</v>
      </c>
      <c r="G522" s="103" t="e">
        <f t="shared" ref="G522:G585" ca="1" si="62">IF(C522="","",F522/E522)</f>
        <v>#NAME?</v>
      </c>
      <c r="H522" s="104" t="e">
        <f ca="1">IF(C522="","",MROUND([0]!CSVVLookUP(ROW(行数!A514),配列!$C$4,集計記録,8,1),"0:01"))</f>
        <v>#NAME?</v>
      </c>
      <c r="I522" s="104" t="e">
        <f t="shared" ref="I522:I585" ca="1" si="63">IF(C522="","",MROUND(J522-H522,"0:01"))</f>
        <v>#NAME?</v>
      </c>
      <c r="J522" s="119" t="e">
        <f ca="1">IF(C522="","",MROUND([0]!CSVVLookUP(ROW(行数!A514),配列!$C$4,集計記録,7,1),"0:01"))</f>
        <v>#NAME?</v>
      </c>
      <c r="K522" s="92" t="e">
        <f ca="1">IF(C522="","",[0]!CSVVLookUP(ROW(行数!A514),配列!$C$4,集計記録,5,1))</f>
        <v>#NAME?</v>
      </c>
      <c r="L522" s="104" t="e">
        <f t="shared" ref="L522:L585" ca="1" si="64">IF(C522="","",MROUND(E522/(K522+1),"00:01"))</f>
        <v>#NAME?</v>
      </c>
      <c r="M522" s="120" t="e">
        <f t="shared" ca="1" si="58"/>
        <v>#NAME?</v>
      </c>
      <c r="N522" s="120" t="e">
        <f ca="1">IF([0]!CSVVLookUP(ROW(行数!A514),配列!$C$4,集計記録,6,1)=0,"",[0]!CSVVLookUP(ROW(行数!A514),配列!$C$4,集計記録,6,1))</f>
        <v>#NAME?</v>
      </c>
      <c r="O522" s="88" t="e">
        <f ca="1">IF(INDIRECT("M"&amp;ROW()-1)&lt;&gt;INDIRECT("M"&amp;ROW()),リスト!$I$5,"")</f>
        <v>#NAME?</v>
      </c>
      <c r="P522" s="88" t="e">
        <f ca="1">IF(INDIRECT("M"&amp;ROW())&lt;&gt;INDIRECT("M"&amp;ROW()+1),リスト!$I$6,"")</f>
        <v>#NAME?</v>
      </c>
    </row>
    <row r="523" spans="1:16" x14ac:dyDescent="0.2">
      <c r="A523" s="169" t="e">
        <f ca="1">IF(C523="","",ROW(行数!A515))</f>
        <v>#NAME?</v>
      </c>
      <c r="B523" s="168" t="e">
        <f t="shared" ca="1" si="59"/>
        <v>#NAME?</v>
      </c>
      <c r="C523" s="90" t="e">
        <f ca="1">[0]!CSVVLookUP(ROW(行数!A515),配列!$C$4,集計記録,3,1)</f>
        <v>#NAME?</v>
      </c>
      <c r="D523" s="90" t="e">
        <f ca="1">[0]!CSVVLookUP(ROW(行数!B515),配列!$C$4,集計記録,4,1)</f>
        <v>#NAME?</v>
      </c>
      <c r="E523" s="118" t="e">
        <f t="shared" ca="1" si="60"/>
        <v>#NAME?</v>
      </c>
      <c r="F523" s="118" t="e">
        <f t="shared" ca="1" si="61"/>
        <v>#NAME?</v>
      </c>
      <c r="G523" s="103" t="e">
        <f t="shared" ca="1" si="62"/>
        <v>#NAME?</v>
      </c>
      <c r="H523" s="104" t="e">
        <f ca="1">IF(C523="","",MROUND([0]!CSVVLookUP(ROW(行数!A515),配列!$C$4,集計記録,8,1),"0:01"))</f>
        <v>#NAME?</v>
      </c>
      <c r="I523" s="104" t="e">
        <f t="shared" ca="1" si="63"/>
        <v>#NAME?</v>
      </c>
      <c r="J523" s="119" t="e">
        <f ca="1">IF(C523="","",MROUND([0]!CSVVLookUP(ROW(行数!A515),配列!$C$4,集計記録,7,1),"0:01"))</f>
        <v>#NAME?</v>
      </c>
      <c r="K523" s="92" t="e">
        <f ca="1">IF(C523="","",[0]!CSVVLookUP(ROW(行数!A515),配列!$C$4,集計記録,5,1))</f>
        <v>#NAME?</v>
      </c>
      <c r="L523" s="104" t="e">
        <f t="shared" ca="1" si="64"/>
        <v>#NAME?</v>
      </c>
      <c r="M523" s="120" t="e">
        <f t="shared" ca="1" si="58"/>
        <v>#NAME?</v>
      </c>
      <c r="N523" s="120" t="e">
        <f ca="1">IF([0]!CSVVLookUP(ROW(行数!A515),配列!$C$4,集計記録,6,1)=0,"",[0]!CSVVLookUP(ROW(行数!A515),配列!$C$4,集計記録,6,1))</f>
        <v>#NAME?</v>
      </c>
      <c r="O523" s="88" t="e">
        <f ca="1">IF(INDIRECT("M"&amp;ROW()-1)&lt;&gt;INDIRECT("M"&amp;ROW()),リスト!$I$5,"")</f>
        <v>#NAME?</v>
      </c>
      <c r="P523" s="88" t="e">
        <f ca="1">IF(INDIRECT("M"&amp;ROW())&lt;&gt;INDIRECT("M"&amp;ROW()+1),リスト!$I$6,"")</f>
        <v>#NAME?</v>
      </c>
    </row>
    <row r="524" spans="1:16" x14ac:dyDescent="0.2">
      <c r="A524" s="169" t="e">
        <f ca="1">IF(C524="","",ROW(行数!A516))</f>
        <v>#NAME?</v>
      </c>
      <c r="B524" s="168" t="e">
        <f t="shared" ca="1" si="59"/>
        <v>#NAME?</v>
      </c>
      <c r="C524" s="90" t="e">
        <f ca="1">[0]!CSVVLookUP(ROW(行数!A516),配列!$C$4,集計記録,3,1)</f>
        <v>#NAME?</v>
      </c>
      <c r="D524" s="90" t="e">
        <f ca="1">[0]!CSVVLookUP(ROW(行数!B516),配列!$C$4,集計記録,4,1)</f>
        <v>#NAME?</v>
      </c>
      <c r="E524" s="118" t="e">
        <f t="shared" ca="1" si="60"/>
        <v>#NAME?</v>
      </c>
      <c r="F524" s="118" t="e">
        <f t="shared" ca="1" si="61"/>
        <v>#NAME?</v>
      </c>
      <c r="G524" s="103" t="e">
        <f t="shared" ca="1" si="62"/>
        <v>#NAME?</v>
      </c>
      <c r="H524" s="104" t="e">
        <f ca="1">IF(C524="","",MROUND([0]!CSVVLookUP(ROW(行数!A516),配列!$C$4,集計記録,8,1),"0:01"))</f>
        <v>#NAME?</v>
      </c>
      <c r="I524" s="104" t="e">
        <f t="shared" ca="1" si="63"/>
        <v>#NAME?</v>
      </c>
      <c r="J524" s="119" t="e">
        <f ca="1">IF(C524="","",MROUND([0]!CSVVLookUP(ROW(行数!A516),配列!$C$4,集計記録,7,1),"0:01"))</f>
        <v>#NAME?</v>
      </c>
      <c r="K524" s="92" t="e">
        <f ca="1">IF(C524="","",[0]!CSVVLookUP(ROW(行数!A516),配列!$C$4,集計記録,5,1))</f>
        <v>#NAME?</v>
      </c>
      <c r="L524" s="104" t="e">
        <f t="shared" ca="1" si="64"/>
        <v>#NAME?</v>
      </c>
      <c r="M524" s="120" t="e">
        <f t="shared" ca="1" si="58"/>
        <v>#NAME?</v>
      </c>
      <c r="N524" s="120" t="e">
        <f ca="1">IF([0]!CSVVLookUP(ROW(行数!A516),配列!$C$4,集計記録,6,1)=0,"",[0]!CSVVLookUP(ROW(行数!A516),配列!$C$4,集計記録,6,1))</f>
        <v>#NAME?</v>
      </c>
      <c r="O524" s="88" t="e">
        <f ca="1">IF(INDIRECT("M"&amp;ROW()-1)&lt;&gt;INDIRECT("M"&amp;ROW()),リスト!$I$5,"")</f>
        <v>#NAME?</v>
      </c>
      <c r="P524" s="88" t="e">
        <f ca="1">IF(INDIRECT("M"&amp;ROW())&lt;&gt;INDIRECT("M"&amp;ROW()+1),リスト!$I$6,"")</f>
        <v>#NAME?</v>
      </c>
    </row>
    <row r="525" spans="1:16" x14ac:dyDescent="0.2">
      <c r="A525" s="169" t="e">
        <f ca="1">IF(C525="","",ROW(行数!A517))</f>
        <v>#NAME?</v>
      </c>
      <c r="B525" s="168" t="e">
        <f t="shared" ca="1" si="59"/>
        <v>#NAME?</v>
      </c>
      <c r="C525" s="90" t="e">
        <f ca="1">[0]!CSVVLookUP(ROW(行数!A517),配列!$C$4,集計記録,3,1)</f>
        <v>#NAME?</v>
      </c>
      <c r="D525" s="90" t="e">
        <f ca="1">[0]!CSVVLookUP(ROW(行数!B517),配列!$C$4,集計記録,4,1)</f>
        <v>#NAME?</v>
      </c>
      <c r="E525" s="118" t="e">
        <f t="shared" ca="1" si="60"/>
        <v>#NAME?</v>
      </c>
      <c r="F525" s="118" t="e">
        <f t="shared" ca="1" si="61"/>
        <v>#NAME?</v>
      </c>
      <c r="G525" s="103" t="e">
        <f t="shared" ca="1" si="62"/>
        <v>#NAME?</v>
      </c>
      <c r="H525" s="104" t="e">
        <f ca="1">IF(C525="","",MROUND([0]!CSVVLookUP(ROW(行数!A517),配列!$C$4,集計記録,8,1),"0:01"))</f>
        <v>#NAME?</v>
      </c>
      <c r="I525" s="104" t="e">
        <f t="shared" ca="1" si="63"/>
        <v>#NAME?</v>
      </c>
      <c r="J525" s="119" t="e">
        <f ca="1">IF(C525="","",MROUND([0]!CSVVLookUP(ROW(行数!A517),配列!$C$4,集計記録,7,1),"0:01"))</f>
        <v>#NAME?</v>
      </c>
      <c r="K525" s="92" t="e">
        <f ca="1">IF(C525="","",[0]!CSVVLookUP(ROW(行数!A517),配列!$C$4,集計記録,5,1))</f>
        <v>#NAME?</v>
      </c>
      <c r="L525" s="104" t="e">
        <f t="shared" ca="1" si="64"/>
        <v>#NAME?</v>
      </c>
      <c r="M525" s="120" t="e">
        <f t="shared" ca="1" si="58"/>
        <v>#NAME?</v>
      </c>
      <c r="N525" s="120" t="e">
        <f ca="1">IF([0]!CSVVLookUP(ROW(行数!A517),配列!$C$4,集計記録,6,1)=0,"",[0]!CSVVLookUP(ROW(行数!A517),配列!$C$4,集計記録,6,1))</f>
        <v>#NAME?</v>
      </c>
      <c r="O525" s="88" t="e">
        <f ca="1">IF(INDIRECT("M"&amp;ROW()-1)&lt;&gt;INDIRECT("M"&amp;ROW()),リスト!$I$5,"")</f>
        <v>#NAME?</v>
      </c>
      <c r="P525" s="88" t="e">
        <f ca="1">IF(INDIRECT("M"&amp;ROW())&lt;&gt;INDIRECT("M"&amp;ROW()+1),リスト!$I$6,"")</f>
        <v>#NAME?</v>
      </c>
    </row>
    <row r="526" spans="1:16" x14ac:dyDescent="0.2">
      <c r="A526" s="169" t="e">
        <f ca="1">IF(C526="","",ROW(行数!A518))</f>
        <v>#NAME?</v>
      </c>
      <c r="B526" s="168" t="e">
        <f t="shared" ca="1" si="59"/>
        <v>#NAME?</v>
      </c>
      <c r="C526" s="90" t="e">
        <f ca="1">[0]!CSVVLookUP(ROW(行数!A518),配列!$C$4,集計記録,3,1)</f>
        <v>#NAME?</v>
      </c>
      <c r="D526" s="90" t="e">
        <f ca="1">[0]!CSVVLookUP(ROW(行数!B518),配列!$C$4,集計記録,4,1)</f>
        <v>#NAME?</v>
      </c>
      <c r="E526" s="118" t="e">
        <f t="shared" ca="1" si="60"/>
        <v>#NAME?</v>
      </c>
      <c r="F526" s="118" t="e">
        <f t="shared" ca="1" si="61"/>
        <v>#NAME?</v>
      </c>
      <c r="G526" s="103" t="e">
        <f t="shared" ca="1" si="62"/>
        <v>#NAME?</v>
      </c>
      <c r="H526" s="104" t="e">
        <f ca="1">IF(C526="","",MROUND([0]!CSVVLookUP(ROW(行数!A518),配列!$C$4,集計記録,8,1),"0:01"))</f>
        <v>#NAME?</v>
      </c>
      <c r="I526" s="104" t="e">
        <f t="shared" ca="1" si="63"/>
        <v>#NAME?</v>
      </c>
      <c r="J526" s="119" t="e">
        <f ca="1">IF(C526="","",MROUND([0]!CSVVLookUP(ROW(行数!A518),配列!$C$4,集計記録,7,1),"0:01"))</f>
        <v>#NAME?</v>
      </c>
      <c r="K526" s="92" t="e">
        <f ca="1">IF(C526="","",[0]!CSVVLookUP(ROW(行数!A518),配列!$C$4,集計記録,5,1))</f>
        <v>#NAME?</v>
      </c>
      <c r="L526" s="104" t="e">
        <f t="shared" ca="1" si="64"/>
        <v>#NAME?</v>
      </c>
      <c r="M526" s="120" t="e">
        <f t="shared" ca="1" si="58"/>
        <v>#NAME?</v>
      </c>
      <c r="N526" s="120" t="e">
        <f ca="1">IF([0]!CSVVLookUP(ROW(行数!A518),配列!$C$4,集計記録,6,1)=0,"",[0]!CSVVLookUP(ROW(行数!A518),配列!$C$4,集計記録,6,1))</f>
        <v>#NAME?</v>
      </c>
      <c r="O526" s="88" t="e">
        <f ca="1">IF(INDIRECT("M"&amp;ROW()-1)&lt;&gt;INDIRECT("M"&amp;ROW()),リスト!$I$5,"")</f>
        <v>#NAME?</v>
      </c>
      <c r="P526" s="88" t="e">
        <f ca="1">IF(INDIRECT("M"&amp;ROW())&lt;&gt;INDIRECT("M"&amp;ROW()+1),リスト!$I$6,"")</f>
        <v>#NAME?</v>
      </c>
    </row>
    <row r="527" spans="1:16" x14ac:dyDescent="0.2">
      <c r="A527" s="169" t="e">
        <f ca="1">IF(C527="","",ROW(行数!A519))</f>
        <v>#NAME?</v>
      </c>
      <c r="B527" s="168" t="e">
        <f t="shared" ca="1" si="59"/>
        <v>#NAME?</v>
      </c>
      <c r="C527" s="90" t="e">
        <f ca="1">[0]!CSVVLookUP(ROW(行数!A519),配列!$C$4,集計記録,3,1)</f>
        <v>#NAME?</v>
      </c>
      <c r="D527" s="90" t="e">
        <f ca="1">[0]!CSVVLookUP(ROW(行数!B519),配列!$C$4,集計記録,4,1)</f>
        <v>#NAME?</v>
      </c>
      <c r="E527" s="118" t="e">
        <f t="shared" ca="1" si="60"/>
        <v>#NAME?</v>
      </c>
      <c r="F527" s="118" t="e">
        <f t="shared" ca="1" si="61"/>
        <v>#NAME?</v>
      </c>
      <c r="G527" s="103" t="e">
        <f t="shared" ca="1" si="62"/>
        <v>#NAME?</v>
      </c>
      <c r="H527" s="104" t="e">
        <f ca="1">IF(C527="","",MROUND([0]!CSVVLookUP(ROW(行数!A519),配列!$C$4,集計記録,8,1),"0:01"))</f>
        <v>#NAME?</v>
      </c>
      <c r="I527" s="104" t="e">
        <f t="shared" ca="1" si="63"/>
        <v>#NAME?</v>
      </c>
      <c r="J527" s="119" t="e">
        <f ca="1">IF(C527="","",MROUND([0]!CSVVLookUP(ROW(行数!A519),配列!$C$4,集計記録,7,1),"0:01"))</f>
        <v>#NAME?</v>
      </c>
      <c r="K527" s="92" t="e">
        <f ca="1">IF(C527="","",[0]!CSVVLookUP(ROW(行数!A519),配列!$C$4,集計記録,5,1))</f>
        <v>#NAME?</v>
      </c>
      <c r="L527" s="104" t="e">
        <f t="shared" ca="1" si="64"/>
        <v>#NAME?</v>
      </c>
      <c r="M527" s="120" t="e">
        <f t="shared" ca="1" si="58"/>
        <v>#NAME?</v>
      </c>
      <c r="N527" s="120" t="e">
        <f ca="1">IF([0]!CSVVLookUP(ROW(行数!A519),配列!$C$4,集計記録,6,1)=0,"",[0]!CSVVLookUP(ROW(行数!A519),配列!$C$4,集計記録,6,1))</f>
        <v>#NAME?</v>
      </c>
      <c r="O527" s="88" t="e">
        <f ca="1">IF(INDIRECT("M"&amp;ROW()-1)&lt;&gt;INDIRECT("M"&amp;ROW()),リスト!$I$5,"")</f>
        <v>#NAME?</v>
      </c>
      <c r="P527" s="88" t="e">
        <f ca="1">IF(INDIRECT("M"&amp;ROW())&lt;&gt;INDIRECT("M"&amp;ROW()+1),リスト!$I$6,"")</f>
        <v>#NAME?</v>
      </c>
    </row>
    <row r="528" spans="1:16" x14ac:dyDescent="0.2">
      <c r="A528" s="169" t="e">
        <f ca="1">IF(C528="","",ROW(行数!A520))</f>
        <v>#NAME?</v>
      </c>
      <c r="B528" s="168" t="e">
        <f t="shared" ca="1" si="59"/>
        <v>#NAME?</v>
      </c>
      <c r="C528" s="90" t="e">
        <f ca="1">[0]!CSVVLookUP(ROW(行数!A520),配列!$C$4,集計記録,3,1)</f>
        <v>#NAME?</v>
      </c>
      <c r="D528" s="90" t="e">
        <f ca="1">[0]!CSVVLookUP(ROW(行数!B520),配列!$C$4,集計記録,4,1)</f>
        <v>#NAME?</v>
      </c>
      <c r="E528" s="118" t="e">
        <f t="shared" ca="1" si="60"/>
        <v>#NAME?</v>
      </c>
      <c r="F528" s="118" t="e">
        <f t="shared" ca="1" si="61"/>
        <v>#NAME?</v>
      </c>
      <c r="G528" s="103" t="e">
        <f t="shared" ca="1" si="62"/>
        <v>#NAME?</v>
      </c>
      <c r="H528" s="104" t="e">
        <f ca="1">IF(C528="","",MROUND([0]!CSVVLookUP(ROW(行数!A520),配列!$C$4,集計記録,8,1),"0:01"))</f>
        <v>#NAME?</v>
      </c>
      <c r="I528" s="104" t="e">
        <f t="shared" ca="1" si="63"/>
        <v>#NAME?</v>
      </c>
      <c r="J528" s="119" t="e">
        <f ca="1">IF(C528="","",MROUND([0]!CSVVLookUP(ROW(行数!A520),配列!$C$4,集計記録,7,1),"0:01"))</f>
        <v>#NAME?</v>
      </c>
      <c r="K528" s="92" t="e">
        <f ca="1">IF(C528="","",[0]!CSVVLookUP(ROW(行数!A520),配列!$C$4,集計記録,5,1))</f>
        <v>#NAME?</v>
      </c>
      <c r="L528" s="104" t="e">
        <f t="shared" ca="1" si="64"/>
        <v>#NAME?</v>
      </c>
      <c r="M528" s="120" t="e">
        <f t="shared" ca="1" si="58"/>
        <v>#NAME?</v>
      </c>
      <c r="N528" s="120" t="e">
        <f ca="1">IF([0]!CSVVLookUP(ROW(行数!A520),配列!$C$4,集計記録,6,1)=0,"",[0]!CSVVLookUP(ROW(行数!A520),配列!$C$4,集計記録,6,1))</f>
        <v>#NAME?</v>
      </c>
      <c r="O528" s="88" t="e">
        <f ca="1">IF(INDIRECT("M"&amp;ROW()-1)&lt;&gt;INDIRECT("M"&amp;ROW()),リスト!$I$5,"")</f>
        <v>#NAME?</v>
      </c>
      <c r="P528" s="88" t="e">
        <f ca="1">IF(INDIRECT("M"&amp;ROW())&lt;&gt;INDIRECT("M"&amp;ROW()+1),リスト!$I$6,"")</f>
        <v>#NAME?</v>
      </c>
    </row>
    <row r="529" spans="1:16" x14ac:dyDescent="0.2">
      <c r="A529" s="169" t="e">
        <f ca="1">IF(C529="","",ROW(行数!A521))</f>
        <v>#NAME?</v>
      </c>
      <c r="B529" s="168" t="e">
        <f t="shared" ca="1" si="59"/>
        <v>#NAME?</v>
      </c>
      <c r="C529" s="90" t="e">
        <f ca="1">[0]!CSVVLookUP(ROW(行数!A521),配列!$C$4,集計記録,3,1)</f>
        <v>#NAME?</v>
      </c>
      <c r="D529" s="90" t="e">
        <f ca="1">[0]!CSVVLookUP(ROW(行数!B521),配列!$C$4,集計記録,4,1)</f>
        <v>#NAME?</v>
      </c>
      <c r="E529" s="118" t="e">
        <f t="shared" ca="1" si="60"/>
        <v>#NAME?</v>
      </c>
      <c r="F529" s="118" t="e">
        <f t="shared" ca="1" si="61"/>
        <v>#NAME?</v>
      </c>
      <c r="G529" s="103" t="e">
        <f t="shared" ca="1" si="62"/>
        <v>#NAME?</v>
      </c>
      <c r="H529" s="104" t="e">
        <f ca="1">IF(C529="","",MROUND([0]!CSVVLookUP(ROW(行数!A521),配列!$C$4,集計記録,8,1),"0:01"))</f>
        <v>#NAME?</v>
      </c>
      <c r="I529" s="104" t="e">
        <f t="shared" ca="1" si="63"/>
        <v>#NAME?</v>
      </c>
      <c r="J529" s="119" t="e">
        <f ca="1">IF(C529="","",MROUND([0]!CSVVLookUP(ROW(行数!A521),配列!$C$4,集計記録,7,1),"0:01"))</f>
        <v>#NAME?</v>
      </c>
      <c r="K529" s="92" t="e">
        <f ca="1">IF(C529="","",[0]!CSVVLookUP(ROW(行数!A521),配列!$C$4,集計記録,5,1))</f>
        <v>#NAME?</v>
      </c>
      <c r="L529" s="104" t="e">
        <f t="shared" ca="1" si="64"/>
        <v>#NAME?</v>
      </c>
      <c r="M529" s="120" t="e">
        <f t="shared" ca="1" si="58"/>
        <v>#NAME?</v>
      </c>
      <c r="N529" s="120" t="e">
        <f ca="1">IF([0]!CSVVLookUP(ROW(行数!A521),配列!$C$4,集計記録,6,1)=0,"",[0]!CSVVLookUP(ROW(行数!A521),配列!$C$4,集計記録,6,1))</f>
        <v>#NAME?</v>
      </c>
      <c r="O529" s="88" t="e">
        <f ca="1">IF(INDIRECT("M"&amp;ROW()-1)&lt;&gt;INDIRECT("M"&amp;ROW()),リスト!$I$5,"")</f>
        <v>#NAME?</v>
      </c>
      <c r="P529" s="88" t="e">
        <f ca="1">IF(INDIRECT("M"&amp;ROW())&lt;&gt;INDIRECT("M"&amp;ROW()+1),リスト!$I$6,"")</f>
        <v>#NAME?</v>
      </c>
    </row>
    <row r="530" spans="1:16" x14ac:dyDescent="0.2">
      <c r="A530" s="169" t="e">
        <f ca="1">IF(C530="","",ROW(行数!A522))</f>
        <v>#NAME?</v>
      </c>
      <c r="B530" s="168" t="e">
        <f t="shared" ca="1" si="59"/>
        <v>#NAME?</v>
      </c>
      <c r="C530" s="90" t="e">
        <f ca="1">[0]!CSVVLookUP(ROW(行数!A522),配列!$C$4,集計記録,3,1)</f>
        <v>#NAME?</v>
      </c>
      <c r="D530" s="90" t="e">
        <f ca="1">[0]!CSVVLookUP(ROW(行数!B522),配列!$C$4,集計記録,4,1)</f>
        <v>#NAME?</v>
      </c>
      <c r="E530" s="118" t="e">
        <f t="shared" ca="1" si="60"/>
        <v>#NAME?</v>
      </c>
      <c r="F530" s="118" t="e">
        <f t="shared" ca="1" si="61"/>
        <v>#NAME?</v>
      </c>
      <c r="G530" s="103" t="e">
        <f t="shared" ca="1" si="62"/>
        <v>#NAME?</v>
      </c>
      <c r="H530" s="104" t="e">
        <f ca="1">IF(C530="","",MROUND([0]!CSVVLookUP(ROW(行数!A522),配列!$C$4,集計記録,8,1),"0:01"))</f>
        <v>#NAME?</v>
      </c>
      <c r="I530" s="104" t="e">
        <f t="shared" ca="1" si="63"/>
        <v>#NAME?</v>
      </c>
      <c r="J530" s="119" t="e">
        <f ca="1">IF(C530="","",MROUND([0]!CSVVLookUP(ROW(行数!A522),配列!$C$4,集計記録,7,1),"0:01"))</f>
        <v>#NAME?</v>
      </c>
      <c r="K530" s="92" t="e">
        <f ca="1">IF(C530="","",[0]!CSVVLookUP(ROW(行数!A522),配列!$C$4,集計記録,5,1))</f>
        <v>#NAME?</v>
      </c>
      <c r="L530" s="104" t="e">
        <f t="shared" ca="1" si="64"/>
        <v>#NAME?</v>
      </c>
      <c r="M530" s="120" t="e">
        <f t="shared" ca="1" si="58"/>
        <v>#NAME?</v>
      </c>
      <c r="N530" s="120" t="e">
        <f ca="1">IF([0]!CSVVLookUP(ROW(行数!A522),配列!$C$4,集計記録,6,1)=0,"",[0]!CSVVLookUP(ROW(行数!A522),配列!$C$4,集計記録,6,1))</f>
        <v>#NAME?</v>
      </c>
      <c r="O530" s="88" t="e">
        <f ca="1">IF(INDIRECT("M"&amp;ROW()-1)&lt;&gt;INDIRECT("M"&amp;ROW()),リスト!$I$5,"")</f>
        <v>#NAME?</v>
      </c>
      <c r="P530" s="88" t="e">
        <f ca="1">IF(INDIRECT("M"&amp;ROW())&lt;&gt;INDIRECT("M"&amp;ROW()+1),リスト!$I$6,"")</f>
        <v>#NAME?</v>
      </c>
    </row>
    <row r="531" spans="1:16" x14ac:dyDescent="0.2">
      <c r="A531" s="169" t="e">
        <f ca="1">IF(C531="","",ROW(行数!A523))</f>
        <v>#NAME?</v>
      </c>
      <c r="B531" s="168" t="e">
        <f t="shared" ca="1" si="59"/>
        <v>#NAME?</v>
      </c>
      <c r="C531" s="90" t="e">
        <f ca="1">[0]!CSVVLookUP(ROW(行数!A523),配列!$C$4,集計記録,3,1)</f>
        <v>#NAME?</v>
      </c>
      <c r="D531" s="90" t="e">
        <f ca="1">[0]!CSVVLookUP(ROW(行数!B523),配列!$C$4,集計記録,4,1)</f>
        <v>#NAME?</v>
      </c>
      <c r="E531" s="118" t="e">
        <f t="shared" ca="1" si="60"/>
        <v>#NAME?</v>
      </c>
      <c r="F531" s="118" t="e">
        <f t="shared" ca="1" si="61"/>
        <v>#NAME?</v>
      </c>
      <c r="G531" s="103" t="e">
        <f t="shared" ca="1" si="62"/>
        <v>#NAME?</v>
      </c>
      <c r="H531" s="104" t="e">
        <f ca="1">IF(C531="","",MROUND([0]!CSVVLookUP(ROW(行数!A523),配列!$C$4,集計記録,8,1),"0:01"))</f>
        <v>#NAME?</v>
      </c>
      <c r="I531" s="104" t="e">
        <f t="shared" ca="1" si="63"/>
        <v>#NAME?</v>
      </c>
      <c r="J531" s="119" t="e">
        <f ca="1">IF(C531="","",MROUND([0]!CSVVLookUP(ROW(行数!A523),配列!$C$4,集計記録,7,1),"0:01"))</f>
        <v>#NAME?</v>
      </c>
      <c r="K531" s="92" t="e">
        <f ca="1">IF(C531="","",[0]!CSVVLookUP(ROW(行数!A523),配列!$C$4,集計記録,5,1))</f>
        <v>#NAME?</v>
      </c>
      <c r="L531" s="104" t="e">
        <f t="shared" ca="1" si="64"/>
        <v>#NAME?</v>
      </c>
      <c r="M531" s="120" t="e">
        <f t="shared" ca="1" si="58"/>
        <v>#NAME?</v>
      </c>
      <c r="N531" s="120" t="e">
        <f ca="1">IF([0]!CSVVLookUP(ROW(行数!A523),配列!$C$4,集計記録,6,1)=0,"",[0]!CSVVLookUP(ROW(行数!A523),配列!$C$4,集計記録,6,1))</f>
        <v>#NAME?</v>
      </c>
      <c r="O531" s="88" t="e">
        <f ca="1">IF(INDIRECT("M"&amp;ROW()-1)&lt;&gt;INDIRECT("M"&amp;ROW()),リスト!$I$5,"")</f>
        <v>#NAME?</v>
      </c>
      <c r="P531" s="88" t="e">
        <f ca="1">IF(INDIRECT("M"&amp;ROW())&lt;&gt;INDIRECT("M"&amp;ROW()+1),リスト!$I$6,"")</f>
        <v>#NAME?</v>
      </c>
    </row>
    <row r="532" spans="1:16" x14ac:dyDescent="0.2">
      <c r="A532" s="169" t="e">
        <f ca="1">IF(C532="","",ROW(行数!A524))</f>
        <v>#NAME?</v>
      </c>
      <c r="B532" s="168" t="e">
        <f t="shared" ca="1" si="59"/>
        <v>#NAME?</v>
      </c>
      <c r="C532" s="90" t="e">
        <f ca="1">[0]!CSVVLookUP(ROW(行数!A524),配列!$C$4,集計記録,3,1)</f>
        <v>#NAME?</v>
      </c>
      <c r="D532" s="90" t="e">
        <f ca="1">[0]!CSVVLookUP(ROW(行数!B524),配列!$C$4,集計記録,4,1)</f>
        <v>#NAME?</v>
      </c>
      <c r="E532" s="118" t="e">
        <f t="shared" ca="1" si="60"/>
        <v>#NAME?</v>
      </c>
      <c r="F532" s="118" t="e">
        <f t="shared" ca="1" si="61"/>
        <v>#NAME?</v>
      </c>
      <c r="G532" s="103" t="e">
        <f t="shared" ca="1" si="62"/>
        <v>#NAME?</v>
      </c>
      <c r="H532" s="104" t="e">
        <f ca="1">IF(C532="","",MROUND([0]!CSVVLookUP(ROW(行数!A524),配列!$C$4,集計記録,8,1),"0:01"))</f>
        <v>#NAME?</v>
      </c>
      <c r="I532" s="104" t="e">
        <f t="shared" ca="1" si="63"/>
        <v>#NAME?</v>
      </c>
      <c r="J532" s="119" t="e">
        <f ca="1">IF(C532="","",MROUND([0]!CSVVLookUP(ROW(行数!A524),配列!$C$4,集計記録,7,1),"0:01"))</f>
        <v>#NAME?</v>
      </c>
      <c r="K532" s="92" t="e">
        <f ca="1">IF(C532="","",[0]!CSVVLookUP(ROW(行数!A524),配列!$C$4,集計記録,5,1))</f>
        <v>#NAME?</v>
      </c>
      <c r="L532" s="104" t="e">
        <f t="shared" ca="1" si="64"/>
        <v>#NAME?</v>
      </c>
      <c r="M532" s="120" t="e">
        <f t="shared" ca="1" si="58"/>
        <v>#NAME?</v>
      </c>
      <c r="N532" s="120" t="e">
        <f ca="1">IF([0]!CSVVLookUP(ROW(行数!A524),配列!$C$4,集計記録,6,1)=0,"",[0]!CSVVLookUP(ROW(行数!A524),配列!$C$4,集計記録,6,1))</f>
        <v>#NAME?</v>
      </c>
      <c r="O532" s="88" t="e">
        <f ca="1">IF(INDIRECT("M"&amp;ROW()-1)&lt;&gt;INDIRECT("M"&amp;ROW()),リスト!$I$5,"")</f>
        <v>#NAME?</v>
      </c>
      <c r="P532" s="88" t="e">
        <f ca="1">IF(INDIRECT("M"&amp;ROW())&lt;&gt;INDIRECT("M"&amp;ROW()+1),リスト!$I$6,"")</f>
        <v>#NAME?</v>
      </c>
    </row>
    <row r="533" spans="1:16" x14ac:dyDescent="0.2">
      <c r="A533" s="169" t="e">
        <f ca="1">IF(C533="","",ROW(行数!A525))</f>
        <v>#NAME?</v>
      </c>
      <c r="B533" s="168" t="e">
        <f t="shared" ca="1" si="59"/>
        <v>#NAME?</v>
      </c>
      <c r="C533" s="90" t="e">
        <f ca="1">[0]!CSVVLookUP(ROW(行数!A525),配列!$C$4,集計記録,3,1)</f>
        <v>#NAME?</v>
      </c>
      <c r="D533" s="90" t="e">
        <f ca="1">[0]!CSVVLookUP(ROW(行数!B525),配列!$C$4,集計記録,4,1)</f>
        <v>#NAME?</v>
      </c>
      <c r="E533" s="118" t="e">
        <f t="shared" ca="1" si="60"/>
        <v>#NAME?</v>
      </c>
      <c r="F533" s="118" t="e">
        <f t="shared" ca="1" si="61"/>
        <v>#NAME?</v>
      </c>
      <c r="G533" s="103" t="e">
        <f t="shared" ca="1" si="62"/>
        <v>#NAME?</v>
      </c>
      <c r="H533" s="104" t="e">
        <f ca="1">IF(C533="","",MROUND([0]!CSVVLookUP(ROW(行数!A525),配列!$C$4,集計記録,8,1),"0:01"))</f>
        <v>#NAME?</v>
      </c>
      <c r="I533" s="104" t="e">
        <f t="shared" ca="1" si="63"/>
        <v>#NAME?</v>
      </c>
      <c r="J533" s="119" t="e">
        <f ca="1">IF(C533="","",MROUND([0]!CSVVLookUP(ROW(行数!A525),配列!$C$4,集計記録,7,1),"0:01"))</f>
        <v>#NAME?</v>
      </c>
      <c r="K533" s="92" t="e">
        <f ca="1">IF(C533="","",[0]!CSVVLookUP(ROW(行数!A525),配列!$C$4,集計記録,5,1))</f>
        <v>#NAME?</v>
      </c>
      <c r="L533" s="104" t="e">
        <f t="shared" ca="1" si="64"/>
        <v>#NAME?</v>
      </c>
      <c r="M533" s="120" t="e">
        <f t="shared" ca="1" si="58"/>
        <v>#NAME?</v>
      </c>
      <c r="N533" s="120" t="e">
        <f ca="1">IF([0]!CSVVLookUP(ROW(行数!A525),配列!$C$4,集計記録,6,1)=0,"",[0]!CSVVLookUP(ROW(行数!A525),配列!$C$4,集計記録,6,1))</f>
        <v>#NAME?</v>
      </c>
      <c r="O533" s="88" t="e">
        <f ca="1">IF(INDIRECT("M"&amp;ROW()-1)&lt;&gt;INDIRECT("M"&amp;ROW()),リスト!$I$5,"")</f>
        <v>#NAME?</v>
      </c>
      <c r="P533" s="88" t="e">
        <f ca="1">IF(INDIRECT("M"&amp;ROW())&lt;&gt;INDIRECT("M"&amp;ROW()+1),リスト!$I$6,"")</f>
        <v>#NAME?</v>
      </c>
    </row>
    <row r="534" spans="1:16" x14ac:dyDescent="0.2">
      <c r="A534" s="169" t="e">
        <f ca="1">IF(C534="","",ROW(行数!A526))</f>
        <v>#NAME?</v>
      </c>
      <c r="B534" s="168" t="e">
        <f t="shared" ca="1" si="59"/>
        <v>#NAME?</v>
      </c>
      <c r="C534" s="90" t="e">
        <f ca="1">[0]!CSVVLookUP(ROW(行数!A526),配列!$C$4,集計記録,3,1)</f>
        <v>#NAME?</v>
      </c>
      <c r="D534" s="90" t="e">
        <f ca="1">[0]!CSVVLookUP(ROW(行数!B526),配列!$C$4,集計記録,4,1)</f>
        <v>#NAME?</v>
      </c>
      <c r="E534" s="118" t="e">
        <f t="shared" ca="1" si="60"/>
        <v>#NAME?</v>
      </c>
      <c r="F534" s="118" t="e">
        <f t="shared" ca="1" si="61"/>
        <v>#NAME?</v>
      </c>
      <c r="G534" s="103" t="e">
        <f t="shared" ca="1" si="62"/>
        <v>#NAME?</v>
      </c>
      <c r="H534" s="104" t="e">
        <f ca="1">IF(C534="","",MROUND([0]!CSVVLookUP(ROW(行数!A526),配列!$C$4,集計記録,8,1),"0:01"))</f>
        <v>#NAME?</v>
      </c>
      <c r="I534" s="104" t="e">
        <f t="shared" ca="1" si="63"/>
        <v>#NAME?</v>
      </c>
      <c r="J534" s="119" t="e">
        <f ca="1">IF(C534="","",MROUND([0]!CSVVLookUP(ROW(行数!A526),配列!$C$4,集計記録,7,1),"0:01"))</f>
        <v>#NAME?</v>
      </c>
      <c r="K534" s="92" t="e">
        <f ca="1">IF(C534="","",[0]!CSVVLookUP(ROW(行数!A526),配列!$C$4,集計記録,5,1))</f>
        <v>#NAME?</v>
      </c>
      <c r="L534" s="104" t="e">
        <f t="shared" ca="1" si="64"/>
        <v>#NAME?</v>
      </c>
      <c r="M534" s="120" t="e">
        <f t="shared" ca="1" si="58"/>
        <v>#NAME?</v>
      </c>
      <c r="N534" s="120" t="e">
        <f ca="1">IF([0]!CSVVLookUP(ROW(行数!A526),配列!$C$4,集計記録,6,1)=0,"",[0]!CSVVLookUP(ROW(行数!A526),配列!$C$4,集計記録,6,1))</f>
        <v>#NAME?</v>
      </c>
      <c r="O534" s="88" t="e">
        <f ca="1">IF(INDIRECT("M"&amp;ROW()-1)&lt;&gt;INDIRECT("M"&amp;ROW()),リスト!$I$5,"")</f>
        <v>#NAME?</v>
      </c>
      <c r="P534" s="88" t="e">
        <f ca="1">IF(INDIRECT("M"&amp;ROW())&lt;&gt;INDIRECT("M"&amp;ROW()+1),リスト!$I$6,"")</f>
        <v>#NAME?</v>
      </c>
    </row>
    <row r="535" spans="1:16" x14ac:dyDescent="0.2">
      <c r="A535" s="169" t="e">
        <f ca="1">IF(C535="","",ROW(行数!A527))</f>
        <v>#NAME?</v>
      </c>
      <c r="B535" s="168" t="e">
        <f t="shared" ca="1" si="59"/>
        <v>#NAME?</v>
      </c>
      <c r="C535" s="90" t="e">
        <f ca="1">[0]!CSVVLookUP(ROW(行数!A527),配列!$C$4,集計記録,3,1)</f>
        <v>#NAME?</v>
      </c>
      <c r="D535" s="90" t="e">
        <f ca="1">[0]!CSVVLookUP(ROW(行数!B527),配列!$C$4,集計記録,4,1)</f>
        <v>#NAME?</v>
      </c>
      <c r="E535" s="118" t="e">
        <f t="shared" ca="1" si="60"/>
        <v>#NAME?</v>
      </c>
      <c r="F535" s="118" t="e">
        <f t="shared" ca="1" si="61"/>
        <v>#NAME?</v>
      </c>
      <c r="G535" s="103" t="e">
        <f t="shared" ca="1" si="62"/>
        <v>#NAME?</v>
      </c>
      <c r="H535" s="104" t="e">
        <f ca="1">IF(C535="","",MROUND([0]!CSVVLookUP(ROW(行数!A527),配列!$C$4,集計記録,8,1),"0:01"))</f>
        <v>#NAME?</v>
      </c>
      <c r="I535" s="104" t="e">
        <f t="shared" ca="1" si="63"/>
        <v>#NAME?</v>
      </c>
      <c r="J535" s="119" t="e">
        <f ca="1">IF(C535="","",MROUND([0]!CSVVLookUP(ROW(行数!A527),配列!$C$4,集計記録,7,1),"0:01"))</f>
        <v>#NAME?</v>
      </c>
      <c r="K535" s="92" t="e">
        <f ca="1">IF(C535="","",[0]!CSVVLookUP(ROW(行数!A527),配列!$C$4,集計記録,5,1))</f>
        <v>#NAME?</v>
      </c>
      <c r="L535" s="104" t="e">
        <f t="shared" ca="1" si="64"/>
        <v>#NAME?</v>
      </c>
      <c r="M535" s="120" t="e">
        <f t="shared" ca="1" si="58"/>
        <v>#NAME?</v>
      </c>
      <c r="N535" s="120" t="e">
        <f ca="1">IF([0]!CSVVLookUP(ROW(行数!A527),配列!$C$4,集計記録,6,1)=0,"",[0]!CSVVLookUP(ROW(行数!A527),配列!$C$4,集計記録,6,1))</f>
        <v>#NAME?</v>
      </c>
      <c r="O535" s="88" t="e">
        <f ca="1">IF(INDIRECT("M"&amp;ROW()-1)&lt;&gt;INDIRECT("M"&amp;ROW()),リスト!$I$5,"")</f>
        <v>#NAME?</v>
      </c>
      <c r="P535" s="88" t="e">
        <f ca="1">IF(INDIRECT("M"&amp;ROW())&lt;&gt;INDIRECT("M"&amp;ROW()+1),リスト!$I$6,"")</f>
        <v>#NAME?</v>
      </c>
    </row>
    <row r="536" spans="1:16" x14ac:dyDescent="0.2">
      <c r="A536" s="169" t="e">
        <f ca="1">IF(C536="","",ROW(行数!A528))</f>
        <v>#NAME?</v>
      </c>
      <c r="B536" s="168" t="e">
        <f t="shared" ca="1" si="59"/>
        <v>#NAME?</v>
      </c>
      <c r="C536" s="90" t="e">
        <f ca="1">[0]!CSVVLookUP(ROW(行数!A528),配列!$C$4,集計記録,3,1)</f>
        <v>#NAME?</v>
      </c>
      <c r="D536" s="90" t="e">
        <f ca="1">[0]!CSVVLookUP(ROW(行数!B528),配列!$C$4,集計記録,4,1)</f>
        <v>#NAME?</v>
      </c>
      <c r="E536" s="118" t="e">
        <f t="shared" ca="1" si="60"/>
        <v>#NAME?</v>
      </c>
      <c r="F536" s="118" t="e">
        <f t="shared" ca="1" si="61"/>
        <v>#NAME?</v>
      </c>
      <c r="G536" s="103" t="e">
        <f t="shared" ca="1" si="62"/>
        <v>#NAME?</v>
      </c>
      <c r="H536" s="104" t="e">
        <f ca="1">IF(C536="","",MROUND([0]!CSVVLookUP(ROW(行数!A528),配列!$C$4,集計記録,8,1),"0:01"))</f>
        <v>#NAME?</v>
      </c>
      <c r="I536" s="104" t="e">
        <f t="shared" ca="1" si="63"/>
        <v>#NAME?</v>
      </c>
      <c r="J536" s="119" t="e">
        <f ca="1">IF(C536="","",MROUND([0]!CSVVLookUP(ROW(行数!A528),配列!$C$4,集計記録,7,1),"0:01"))</f>
        <v>#NAME?</v>
      </c>
      <c r="K536" s="92" t="e">
        <f ca="1">IF(C536="","",[0]!CSVVLookUP(ROW(行数!A528),配列!$C$4,集計記録,5,1))</f>
        <v>#NAME?</v>
      </c>
      <c r="L536" s="104" t="e">
        <f t="shared" ca="1" si="64"/>
        <v>#NAME?</v>
      </c>
      <c r="M536" s="120" t="e">
        <f t="shared" ca="1" si="58"/>
        <v>#NAME?</v>
      </c>
      <c r="N536" s="120" t="e">
        <f ca="1">IF([0]!CSVVLookUP(ROW(行数!A528),配列!$C$4,集計記録,6,1)=0,"",[0]!CSVVLookUP(ROW(行数!A528),配列!$C$4,集計記録,6,1))</f>
        <v>#NAME?</v>
      </c>
      <c r="O536" s="88" t="e">
        <f ca="1">IF(INDIRECT("M"&amp;ROW()-1)&lt;&gt;INDIRECT("M"&amp;ROW()),リスト!$I$5,"")</f>
        <v>#NAME?</v>
      </c>
      <c r="P536" s="88" t="e">
        <f ca="1">IF(INDIRECT("M"&amp;ROW())&lt;&gt;INDIRECT("M"&amp;ROW()+1),リスト!$I$6,"")</f>
        <v>#NAME?</v>
      </c>
    </row>
    <row r="537" spans="1:16" x14ac:dyDescent="0.2">
      <c r="A537" s="169" t="e">
        <f ca="1">IF(C537="","",ROW(行数!A529))</f>
        <v>#NAME?</v>
      </c>
      <c r="B537" s="168" t="e">
        <f t="shared" ca="1" si="59"/>
        <v>#NAME?</v>
      </c>
      <c r="C537" s="90" t="e">
        <f ca="1">[0]!CSVVLookUP(ROW(行数!A529),配列!$C$4,集計記録,3,1)</f>
        <v>#NAME?</v>
      </c>
      <c r="D537" s="90" t="e">
        <f ca="1">[0]!CSVVLookUP(ROW(行数!B529),配列!$C$4,集計記録,4,1)</f>
        <v>#NAME?</v>
      </c>
      <c r="E537" s="118" t="e">
        <f t="shared" ca="1" si="60"/>
        <v>#NAME?</v>
      </c>
      <c r="F537" s="118" t="e">
        <f t="shared" ca="1" si="61"/>
        <v>#NAME?</v>
      </c>
      <c r="G537" s="103" t="e">
        <f t="shared" ca="1" si="62"/>
        <v>#NAME?</v>
      </c>
      <c r="H537" s="104" t="e">
        <f ca="1">IF(C537="","",MROUND([0]!CSVVLookUP(ROW(行数!A529),配列!$C$4,集計記録,8,1),"0:01"))</f>
        <v>#NAME?</v>
      </c>
      <c r="I537" s="104" t="e">
        <f t="shared" ca="1" si="63"/>
        <v>#NAME?</v>
      </c>
      <c r="J537" s="119" t="e">
        <f ca="1">IF(C537="","",MROUND([0]!CSVVLookUP(ROW(行数!A529),配列!$C$4,集計記録,7,1),"0:01"))</f>
        <v>#NAME?</v>
      </c>
      <c r="K537" s="92" t="e">
        <f ca="1">IF(C537="","",[0]!CSVVLookUP(ROW(行数!A529),配列!$C$4,集計記録,5,1))</f>
        <v>#NAME?</v>
      </c>
      <c r="L537" s="104" t="e">
        <f t="shared" ca="1" si="64"/>
        <v>#NAME?</v>
      </c>
      <c r="M537" s="120" t="e">
        <f t="shared" ca="1" si="58"/>
        <v>#NAME?</v>
      </c>
      <c r="N537" s="120" t="e">
        <f ca="1">IF([0]!CSVVLookUP(ROW(行数!A529),配列!$C$4,集計記録,6,1)=0,"",[0]!CSVVLookUP(ROW(行数!A529),配列!$C$4,集計記録,6,1))</f>
        <v>#NAME?</v>
      </c>
      <c r="O537" s="88" t="e">
        <f ca="1">IF(INDIRECT("M"&amp;ROW()-1)&lt;&gt;INDIRECT("M"&amp;ROW()),リスト!$I$5,"")</f>
        <v>#NAME?</v>
      </c>
      <c r="P537" s="88" t="e">
        <f ca="1">IF(INDIRECT("M"&amp;ROW())&lt;&gt;INDIRECT("M"&amp;ROW()+1),リスト!$I$6,"")</f>
        <v>#NAME?</v>
      </c>
    </row>
    <row r="538" spans="1:16" x14ac:dyDescent="0.2">
      <c r="A538" s="169" t="e">
        <f ca="1">IF(C538="","",ROW(行数!A530))</f>
        <v>#NAME?</v>
      </c>
      <c r="B538" s="168" t="e">
        <f t="shared" ca="1" si="59"/>
        <v>#NAME?</v>
      </c>
      <c r="C538" s="90" t="e">
        <f ca="1">[0]!CSVVLookUP(ROW(行数!A530),配列!$C$4,集計記録,3,1)</f>
        <v>#NAME?</v>
      </c>
      <c r="D538" s="90" t="e">
        <f ca="1">[0]!CSVVLookUP(ROW(行数!B530),配列!$C$4,集計記録,4,1)</f>
        <v>#NAME?</v>
      </c>
      <c r="E538" s="118" t="e">
        <f t="shared" ca="1" si="60"/>
        <v>#NAME?</v>
      </c>
      <c r="F538" s="118" t="e">
        <f t="shared" ca="1" si="61"/>
        <v>#NAME?</v>
      </c>
      <c r="G538" s="103" t="e">
        <f t="shared" ca="1" si="62"/>
        <v>#NAME?</v>
      </c>
      <c r="H538" s="104" t="e">
        <f ca="1">IF(C538="","",MROUND([0]!CSVVLookUP(ROW(行数!A530),配列!$C$4,集計記録,8,1),"0:01"))</f>
        <v>#NAME?</v>
      </c>
      <c r="I538" s="104" t="e">
        <f t="shared" ca="1" si="63"/>
        <v>#NAME?</v>
      </c>
      <c r="J538" s="119" t="e">
        <f ca="1">IF(C538="","",MROUND([0]!CSVVLookUP(ROW(行数!A530),配列!$C$4,集計記録,7,1),"0:01"))</f>
        <v>#NAME?</v>
      </c>
      <c r="K538" s="92" t="e">
        <f ca="1">IF(C538="","",[0]!CSVVLookUP(ROW(行数!A530),配列!$C$4,集計記録,5,1))</f>
        <v>#NAME?</v>
      </c>
      <c r="L538" s="104" t="e">
        <f t="shared" ca="1" si="64"/>
        <v>#NAME?</v>
      </c>
      <c r="M538" s="120" t="e">
        <f t="shared" ca="1" si="58"/>
        <v>#NAME?</v>
      </c>
      <c r="N538" s="120" t="e">
        <f ca="1">IF([0]!CSVVLookUP(ROW(行数!A530),配列!$C$4,集計記録,6,1)=0,"",[0]!CSVVLookUP(ROW(行数!A530),配列!$C$4,集計記録,6,1))</f>
        <v>#NAME?</v>
      </c>
      <c r="O538" s="88" t="e">
        <f ca="1">IF(INDIRECT("M"&amp;ROW()-1)&lt;&gt;INDIRECT("M"&amp;ROW()),リスト!$I$5,"")</f>
        <v>#NAME?</v>
      </c>
      <c r="P538" s="88" t="e">
        <f ca="1">IF(INDIRECT("M"&amp;ROW())&lt;&gt;INDIRECT("M"&amp;ROW()+1),リスト!$I$6,"")</f>
        <v>#NAME?</v>
      </c>
    </row>
    <row r="539" spans="1:16" x14ac:dyDescent="0.2">
      <c r="A539" s="169" t="e">
        <f ca="1">IF(C539="","",ROW(行数!A531))</f>
        <v>#NAME?</v>
      </c>
      <c r="B539" s="168" t="e">
        <f t="shared" ca="1" si="59"/>
        <v>#NAME?</v>
      </c>
      <c r="C539" s="90" t="e">
        <f ca="1">[0]!CSVVLookUP(ROW(行数!A531),配列!$C$4,集計記録,3,1)</f>
        <v>#NAME?</v>
      </c>
      <c r="D539" s="90" t="e">
        <f ca="1">[0]!CSVVLookUP(ROW(行数!B531),配列!$C$4,集計記録,4,1)</f>
        <v>#NAME?</v>
      </c>
      <c r="E539" s="118" t="e">
        <f t="shared" ca="1" si="60"/>
        <v>#NAME?</v>
      </c>
      <c r="F539" s="118" t="e">
        <f t="shared" ca="1" si="61"/>
        <v>#NAME?</v>
      </c>
      <c r="G539" s="103" t="e">
        <f t="shared" ca="1" si="62"/>
        <v>#NAME?</v>
      </c>
      <c r="H539" s="104" t="e">
        <f ca="1">IF(C539="","",MROUND([0]!CSVVLookUP(ROW(行数!A531),配列!$C$4,集計記録,8,1),"0:01"))</f>
        <v>#NAME?</v>
      </c>
      <c r="I539" s="104" t="e">
        <f t="shared" ca="1" si="63"/>
        <v>#NAME?</v>
      </c>
      <c r="J539" s="119" t="e">
        <f ca="1">IF(C539="","",MROUND([0]!CSVVLookUP(ROW(行数!A531),配列!$C$4,集計記録,7,1),"0:01"))</f>
        <v>#NAME?</v>
      </c>
      <c r="K539" s="92" t="e">
        <f ca="1">IF(C539="","",[0]!CSVVLookUP(ROW(行数!A531),配列!$C$4,集計記録,5,1))</f>
        <v>#NAME?</v>
      </c>
      <c r="L539" s="104" t="e">
        <f t="shared" ca="1" si="64"/>
        <v>#NAME?</v>
      </c>
      <c r="M539" s="120" t="e">
        <f t="shared" ca="1" si="58"/>
        <v>#NAME?</v>
      </c>
      <c r="N539" s="120" t="e">
        <f ca="1">IF([0]!CSVVLookUP(ROW(行数!A531),配列!$C$4,集計記録,6,1)=0,"",[0]!CSVVLookUP(ROW(行数!A531),配列!$C$4,集計記録,6,1))</f>
        <v>#NAME?</v>
      </c>
      <c r="O539" s="88" t="e">
        <f ca="1">IF(INDIRECT("M"&amp;ROW()-1)&lt;&gt;INDIRECT("M"&amp;ROW()),リスト!$I$5,"")</f>
        <v>#NAME?</v>
      </c>
      <c r="P539" s="88" t="e">
        <f ca="1">IF(INDIRECT("M"&amp;ROW())&lt;&gt;INDIRECT("M"&amp;ROW()+1),リスト!$I$6,"")</f>
        <v>#NAME?</v>
      </c>
    </row>
    <row r="540" spans="1:16" x14ac:dyDescent="0.2">
      <c r="A540" s="169" t="e">
        <f ca="1">IF(C540="","",ROW(行数!A532))</f>
        <v>#NAME?</v>
      </c>
      <c r="B540" s="168" t="e">
        <f t="shared" ca="1" si="59"/>
        <v>#NAME?</v>
      </c>
      <c r="C540" s="90" t="e">
        <f ca="1">[0]!CSVVLookUP(ROW(行数!A532),配列!$C$4,集計記録,3,1)</f>
        <v>#NAME?</v>
      </c>
      <c r="D540" s="90" t="e">
        <f ca="1">[0]!CSVVLookUP(ROW(行数!B532),配列!$C$4,集計記録,4,1)</f>
        <v>#NAME?</v>
      </c>
      <c r="E540" s="118" t="e">
        <f t="shared" ca="1" si="60"/>
        <v>#NAME?</v>
      </c>
      <c r="F540" s="118" t="e">
        <f t="shared" ca="1" si="61"/>
        <v>#NAME?</v>
      </c>
      <c r="G540" s="103" t="e">
        <f t="shared" ca="1" si="62"/>
        <v>#NAME?</v>
      </c>
      <c r="H540" s="104" t="e">
        <f ca="1">IF(C540="","",MROUND([0]!CSVVLookUP(ROW(行数!A532),配列!$C$4,集計記録,8,1),"0:01"))</f>
        <v>#NAME?</v>
      </c>
      <c r="I540" s="104" t="e">
        <f t="shared" ca="1" si="63"/>
        <v>#NAME?</v>
      </c>
      <c r="J540" s="119" t="e">
        <f ca="1">IF(C540="","",MROUND([0]!CSVVLookUP(ROW(行数!A532),配列!$C$4,集計記録,7,1),"0:01"))</f>
        <v>#NAME?</v>
      </c>
      <c r="K540" s="92" t="e">
        <f ca="1">IF(C540="","",[0]!CSVVLookUP(ROW(行数!A532),配列!$C$4,集計記録,5,1))</f>
        <v>#NAME?</v>
      </c>
      <c r="L540" s="104" t="e">
        <f t="shared" ca="1" si="64"/>
        <v>#NAME?</v>
      </c>
      <c r="M540" s="120" t="e">
        <f t="shared" ca="1" si="58"/>
        <v>#NAME?</v>
      </c>
      <c r="N540" s="120" t="e">
        <f ca="1">IF([0]!CSVVLookUP(ROW(行数!A532),配列!$C$4,集計記録,6,1)=0,"",[0]!CSVVLookUP(ROW(行数!A532),配列!$C$4,集計記録,6,1))</f>
        <v>#NAME?</v>
      </c>
      <c r="O540" s="88" t="e">
        <f ca="1">IF(INDIRECT("M"&amp;ROW()-1)&lt;&gt;INDIRECT("M"&amp;ROW()),リスト!$I$5,"")</f>
        <v>#NAME?</v>
      </c>
      <c r="P540" s="88" t="e">
        <f ca="1">IF(INDIRECT("M"&amp;ROW())&lt;&gt;INDIRECT("M"&amp;ROW()+1),リスト!$I$6,"")</f>
        <v>#NAME?</v>
      </c>
    </row>
    <row r="541" spans="1:16" x14ac:dyDescent="0.2">
      <c r="A541" s="169" t="e">
        <f ca="1">IF(C541="","",ROW(行数!A533))</f>
        <v>#NAME?</v>
      </c>
      <c r="B541" s="168" t="e">
        <f t="shared" ca="1" si="59"/>
        <v>#NAME?</v>
      </c>
      <c r="C541" s="90" t="e">
        <f ca="1">[0]!CSVVLookUP(ROW(行数!A533),配列!$C$4,集計記録,3,1)</f>
        <v>#NAME?</v>
      </c>
      <c r="D541" s="90" t="e">
        <f ca="1">[0]!CSVVLookUP(ROW(行数!B533),配列!$C$4,集計記録,4,1)</f>
        <v>#NAME?</v>
      </c>
      <c r="E541" s="118" t="e">
        <f t="shared" ca="1" si="60"/>
        <v>#NAME?</v>
      </c>
      <c r="F541" s="118" t="e">
        <f t="shared" ca="1" si="61"/>
        <v>#NAME?</v>
      </c>
      <c r="G541" s="103" t="e">
        <f t="shared" ca="1" si="62"/>
        <v>#NAME?</v>
      </c>
      <c r="H541" s="104" t="e">
        <f ca="1">IF(C541="","",MROUND([0]!CSVVLookUP(ROW(行数!A533),配列!$C$4,集計記録,8,1),"0:01"))</f>
        <v>#NAME?</v>
      </c>
      <c r="I541" s="104" t="e">
        <f t="shared" ca="1" si="63"/>
        <v>#NAME?</v>
      </c>
      <c r="J541" s="119" t="e">
        <f ca="1">IF(C541="","",MROUND([0]!CSVVLookUP(ROW(行数!A533),配列!$C$4,集計記録,7,1),"0:01"))</f>
        <v>#NAME?</v>
      </c>
      <c r="K541" s="92" t="e">
        <f ca="1">IF(C541="","",[0]!CSVVLookUP(ROW(行数!A533),配列!$C$4,集計記録,5,1))</f>
        <v>#NAME?</v>
      </c>
      <c r="L541" s="104" t="e">
        <f t="shared" ca="1" si="64"/>
        <v>#NAME?</v>
      </c>
      <c r="M541" s="120" t="e">
        <f t="shared" ca="1" si="58"/>
        <v>#NAME?</v>
      </c>
      <c r="N541" s="120" t="e">
        <f ca="1">IF([0]!CSVVLookUP(ROW(行数!A533),配列!$C$4,集計記録,6,1)=0,"",[0]!CSVVLookUP(ROW(行数!A533),配列!$C$4,集計記録,6,1))</f>
        <v>#NAME?</v>
      </c>
      <c r="O541" s="88" t="e">
        <f ca="1">IF(INDIRECT("M"&amp;ROW()-1)&lt;&gt;INDIRECT("M"&amp;ROW()),リスト!$I$5,"")</f>
        <v>#NAME?</v>
      </c>
      <c r="P541" s="88" t="e">
        <f ca="1">IF(INDIRECT("M"&amp;ROW())&lt;&gt;INDIRECT("M"&amp;ROW()+1),リスト!$I$6,"")</f>
        <v>#NAME?</v>
      </c>
    </row>
    <row r="542" spans="1:16" x14ac:dyDescent="0.2">
      <c r="A542" s="169" t="e">
        <f ca="1">IF(C542="","",ROW(行数!A534))</f>
        <v>#NAME?</v>
      </c>
      <c r="B542" s="168" t="e">
        <f t="shared" ca="1" si="59"/>
        <v>#NAME?</v>
      </c>
      <c r="C542" s="90" t="e">
        <f ca="1">[0]!CSVVLookUP(ROW(行数!A534),配列!$C$4,集計記録,3,1)</f>
        <v>#NAME?</v>
      </c>
      <c r="D542" s="90" t="e">
        <f ca="1">[0]!CSVVLookUP(ROW(行数!B534),配列!$C$4,集計記録,4,1)</f>
        <v>#NAME?</v>
      </c>
      <c r="E542" s="118" t="e">
        <f t="shared" ca="1" si="60"/>
        <v>#NAME?</v>
      </c>
      <c r="F542" s="118" t="e">
        <f t="shared" ca="1" si="61"/>
        <v>#NAME?</v>
      </c>
      <c r="G542" s="103" t="e">
        <f t="shared" ca="1" si="62"/>
        <v>#NAME?</v>
      </c>
      <c r="H542" s="104" t="e">
        <f ca="1">IF(C542="","",MROUND([0]!CSVVLookUP(ROW(行数!A534),配列!$C$4,集計記録,8,1),"0:01"))</f>
        <v>#NAME?</v>
      </c>
      <c r="I542" s="104" t="e">
        <f t="shared" ca="1" si="63"/>
        <v>#NAME?</v>
      </c>
      <c r="J542" s="119" t="e">
        <f ca="1">IF(C542="","",MROUND([0]!CSVVLookUP(ROW(行数!A534),配列!$C$4,集計記録,7,1),"0:01"))</f>
        <v>#NAME?</v>
      </c>
      <c r="K542" s="92" t="e">
        <f ca="1">IF(C542="","",[0]!CSVVLookUP(ROW(行数!A534),配列!$C$4,集計記録,5,1))</f>
        <v>#NAME?</v>
      </c>
      <c r="L542" s="104" t="e">
        <f t="shared" ca="1" si="64"/>
        <v>#NAME?</v>
      </c>
      <c r="M542" s="120" t="e">
        <f t="shared" ca="1" si="58"/>
        <v>#NAME?</v>
      </c>
      <c r="N542" s="120" t="e">
        <f ca="1">IF([0]!CSVVLookUP(ROW(行数!A534),配列!$C$4,集計記録,6,1)=0,"",[0]!CSVVLookUP(ROW(行数!A534),配列!$C$4,集計記録,6,1))</f>
        <v>#NAME?</v>
      </c>
      <c r="O542" s="88" t="e">
        <f ca="1">IF(INDIRECT("M"&amp;ROW()-1)&lt;&gt;INDIRECT("M"&amp;ROW()),リスト!$I$5,"")</f>
        <v>#NAME?</v>
      </c>
      <c r="P542" s="88" t="e">
        <f ca="1">IF(INDIRECT("M"&amp;ROW())&lt;&gt;INDIRECT("M"&amp;ROW()+1),リスト!$I$6,"")</f>
        <v>#NAME?</v>
      </c>
    </row>
    <row r="543" spans="1:16" x14ac:dyDescent="0.2">
      <c r="A543" s="169" t="e">
        <f ca="1">IF(C543="","",ROW(行数!A535))</f>
        <v>#NAME?</v>
      </c>
      <c r="B543" s="168" t="e">
        <f t="shared" ca="1" si="59"/>
        <v>#NAME?</v>
      </c>
      <c r="C543" s="90" t="e">
        <f ca="1">[0]!CSVVLookUP(ROW(行数!A535),配列!$C$4,集計記録,3,1)</f>
        <v>#NAME?</v>
      </c>
      <c r="D543" s="90" t="e">
        <f ca="1">[0]!CSVVLookUP(ROW(行数!B535),配列!$C$4,集計記録,4,1)</f>
        <v>#NAME?</v>
      </c>
      <c r="E543" s="118" t="e">
        <f t="shared" ca="1" si="60"/>
        <v>#NAME?</v>
      </c>
      <c r="F543" s="118" t="e">
        <f t="shared" ca="1" si="61"/>
        <v>#NAME?</v>
      </c>
      <c r="G543" s="103" t="e">
        <f t="shared" ca="1" si="62"/>
        <v>#NAME?</v>
      </c>
      <c r="H543" s="104" t="e">
        <f ca="1">IF(C543="","",MROUND([0]!CSVVLookUP(ROW(行数!A535),配列!$C$4,集計記録,8,1),"0:01"))</f>
        <v>#NAME?</v>
      </c>
      <c r="I543" s="104" t="e">
        <f t="shared" ca="1" si="63"/>
        <v>#NAME?</v>
      </c>
      <c r="J543" s="119" t="e">
        <f ca="1">IF(C543="","",MROUND([0]!CSVVLookUP(ROW(行数!A535),配列!$C$4,集計記録,7,1),"0:01"))</f>
        <v>#NAME?</v>
      </c>
      <c r="K543" s="92" t="e">
        <f ca="1">IF(C543="","",[0]!CSVVLookUP(ROW(行数!A535),配列!$C$4,集計記録,5,1))</f>
        <v>#NAME?</v>
      </c>
      <c r="L543" s="104" t="e">
        <f t="shared" ca="1" si="64"/>
        <v>#NAME?</v>
      </c>
      <c r="M543" s="120" t="e">
        <f t="shared" ca="1" si="58"/>
        <v>#NAME?</v>
      </c>
      <c r="N543" s="120" t="e">
        <f ca="1">IF([0]!CSVVLookUP(ROW(行数!A535),配列!$C$4,集計記録,6,1)=0,"",[0]!CSVVLookUP(ROW(行数!A535),配列!$C$4,集計記録,6,1))</f>
        <v>#NAME?</v>
      </c>
      <c r="O543" s="88" t="e">
        <f ca="1">IF(INDIRECT("M"&amp;ROW()-1)&lt;&gt;INDIRECT("M"&amp;ROW()),リスト!$I$5,"")</f>
        <v>#NAME?</v>
      </c>
      <c r="P543" s="88" t="e">
        <f ca="1">IF(INDIRECT("M"&amp;ROW())&lt;&gt;INDIRECT("M"&amp;ROW()+1),リスト!$I$6,"")</f>
        <v>#NAME?</v>
      </c>
    </row>
    <row r="544" spans="1:16" x14ac:dyDescent="0.2">
      <c r="A544" s="169" t="e">
        <f ca="1">IF(C544="","",ROW(行数!A536))</f>
        <v>#NAME?</v>
      </c>
      <c r="B544" s="168" t="e">
        <f t="shared" ca="1" si="59"/>
        <v>#NAME?</v>
      </c>
      <c r="C544" s="90" t="e">
        <f ca="1">[0]!CSVVLookUP(ROW(行数!A536),配列!$C$4,集計記録,3,1)</f>
        <v>#NAME?</v>
      </c>
      <c r="D544" s="90" t="e">
        <f ca="1">[0]!CSVVLookUP(ROW(行数!B536),配列!$C$4,集計記録,4,1)</f>
        <v>#NAME?</v>
      </c>
      <c r="E544" s="118" t="e">
        <f t="shared" ca="1" si="60"/>
        <v>#NAME?</v>
      </c>
      <c r="F544" s="118" t="e">
        <f t="shared" ca="1" si="61"/>
        <v>#NAME?</v>
      </c>
      <c r="G544" s="103" t="e">
        <f t="shared" ca="1" si="62"/>
        <v>#NAME?</v>
      </c>
      <c r="H544" s="104" t="e">
        <f ca="1">IF(C544="","",MROUND([0]!CSVVLookUP(ROW(行数!A536),配列!$C$4,集計記録,8,1),"0:01"))</f>
        <v>#NAME?</v>
      </c>
      <c r="I544" s="104" t="e">
        <f t="shared" ca="1" si="63"/>
        <v>#NAME?</v>
      </c>
      <c r="J544" s="119" t="e">
        <f ca="1">IF(C544="","",MROUND([0]!CSVVLookUP(ROW(行数!A536),配列!$C$4,集計記録,7,1),"0:01"))</f>
        <v>#NAME?</v>
      </c>
      <c r="K544" s="92" t="e">
        <f ca="1">IF(C544="","",[0]!CSVVLookUP(ROW(行数!A536),配列!$C$4,集計記録,5,1))</f>
        <v>#NAME?</v>
      </c>
      <c r="L544" s="104" t="e">
        <f t="shared" ca="1" si="64"/>
        <v>#NAME?</v>
      </c>
      <c r="M544" s="120" t="e">
        <f t="shared" ca="1" si="58"/>
        <v>#NAME?</v>
      </c>
      <c r="N544" s="120" t="e">
        <f ca="1">IF([0]!CSVVLookUP(ROW(行数!A536),配列!$C$4,集計記録,6,1)=0,"",[0]!CSVVLookUP(ROW(行数!A536),配列!$C$4,集計記録,6,1))</f>
        <v>#NAME?</v>
      </c>
      <c r="O544" s="88" t="e">
        <f ca="1">IF(INDIRECT("M"&amp;ROW()-1)&lt;&gt;INDIRECT("M"&amp;ROW()),リスト!$I$5,"")</f>
        <v>#NAME?</v>
      </c>
      <c r="P544" s="88" t="e">
        <f ca="1">IF(INDIRECT("M"&amp;ROW())&lt;&gt;INDIRECT("M"&amp;ROW()+1),リスト!$I$6,"")</f>
        <v>#NAME?</v>
      </c>
    </row>
    <row r="545" spans="1:16" x14ac:dyDescent="0.2">
      <c r="A545" s="169" t="e">
        <f ca="1">IF(C545="","",ROW(行数!A537))</f>
        <v>#NAME?</v>
      </c>
      <c r="B545" s="168" t="e">
        <f t="shared" ca="1" si="59"/>
        <v>#NAME?</v>
      </c>
      <c r="C545" s="90" t="e">
        <f ca="1">[0]!CSVVLookUP(ROW(行数!A537),配列!$C$4,集計記録,3,1)</f>
        <v>#NAME?</v>
      </c>
      <c r="D545" s="90" t="e">
        <f ca="1">[0]!CSVVLookUP(ROW(行数!B537),配列!$C$4,集計記録,4,1)</f>
        <v>#NAME?</v>
      </c>
      <c r="E545" s="118" t="e">
        <f t="shared" ca="1" si="60"/>
        <v>#NAME?</v>
      </c>
      <c r="F545" s="118" t="e">
        <f t="shared" ca="1" si="61"/>
        <v>#NAME?</v>
      </c>
      <c r="G545" s="103" t="e">
        <f t="shared" ca="1" si="62"/>
        <v>#NAME?</v>
      </c>
      <c r="H545" s="104" t="e">
        <f ca="1">IF(C545="","",MROUND([0]!CSVVLookUP(ROW(行数!A537),配列!$C$4,集計記録,8,1),"0:01"))</f>
        <v>#NAME?</v>
      </c>
      <c r="I545" s="104" t="e">
        <f t="shared" ca="1" si="63"/>
        <v>#NAME?</v>
      </c>
      <c r="J545" s="119" t="e">
        <f ca="1">IF(C545="","",MROUND([0]!CSVVLookUP(ROW(行数!A537),配列!$C$4,集計記録,7,1),"0:01"))</f>
        <v>#NAME?</v>
      </c>
      <c r="K545" s="92" t="e">
        <f ca="1">IF(C545="","",[0]!CSVVLookUP(ROW(行数!A537),配列!$C$4,集計記録,5,1))</f>
        <v>#NAME?</v>
      </c>
      <c r="L545" s="104" t="e">
        <f t="shared" ca="1" si="64"/>
        <v>#NAME?</v>
      </c>
      <c r="M545" s="120" t="e">
        <f t="shared" ca="1" si="58"/>
        <v>#NAME?</v>
      </c>
      <c r="N545" s="120" t="e">
        <f ca="1">IF([0]!CSVVLookUP(ROW(行数!A537),配列!$C$4,集計記録,6,1)=0,"",[0]!CSVVLookUP(ROW(行数!A537),配列!$C$4,集計記録,6,1))</f>
        <v>#NAME?</v>
      </c>
      <c r="O545" s="88" t="e">
        <f ca="1">IF(INDIRECT("M"&amp;ROW()-1)&lt;&gt;INDIRECT("M"&amp;ROW()),リスト!$I$5,"")</f>
        <v>#NAME?</v>
      </c>
      <c r="P545" s="88" t="e">
        <f ca="1">IF(INDIRECT("M"&amp;ROW())&lt;&gt;INDIRECT("M"&amp;ROW()+1),リスト!$I$6,"")</f>
        <v>#NAME?</v>
      </c>
    </row>
    <row r="546" spans="1:16" x14ac:dyDescent="0.2">
      <c r="A546" s="169" t="e">
        <f ca="1">IF(C546="","",ROW(行数!A538))</f>
        <v>#NAME?</v>
      </c>
      <c r="B546" s="168" t="e">
        <f t="shared" ca="1" si="59"/>
        <v>#NAME?</v>
      </c>
      <c r="C546" s="90" t="e">
        <f ca="1">[0]!CSVVLookUP(ROW(行数!A538),配列!$C$4,集計記録,3,1)</f>
        <v>#NAME?</v>
      </c>
      <c r="D546" s="90" t="e">
        <f ca="1">[0]!CSVVLookUP(ROW(行数!B538),配列!$C$4,集計記録,4,1)</f>
        <v>#NAME?</v>
      </c>
      <c r="E546" s="118" t="e">
        <f t="shared" ca="1" si="60"/>
        <v>#NAME?</v>
      </c>
      <c r="F546" s="118" t="e">
        <f t="shared" ca="1" si="61"/>
        <v>#NAME?</v>
      </c>
      <c r="G546" s="103" t="e">
        <f t="shared" ca="1" si="62"/>
        <v>#NAME?</v>
      </c>
      <c r="H546" s="104" t="e">
        <f ca="1">IF(C546="","",MROUND([0]!CSVVLookUP(ROW(行数!A538),配列!$C$4,集計記録,8,1),"0:01"))</f>
        <v>#NAME?</v>
      </c>
      <c r="I546" s="104" t="e">
        <f t="shared" ca="1" si="63"/>
        <v>#NAME?</v>
      </c>
      <c r="J546" s="119" t="e">
        <f ca="1">IF(C546="","",MROUND([0]!CSVVLookUP(ROW(行数!A538),配列!$C$4,集計記録,7,1),"0:01"))</f>
        <v>#NAME?</v>
      </c>
      <c r="K546" s="92" t="e">
        <f ca="1">IF(C546="","",[0]!CSVVLookUP(ROW(行数!A538),配列!$C$4,集計記録,5,1))</f>
        <v>#NAME?</v>
      </c>
      <c r="L546" s="104" t="e">
        <f t="shared" ca="1" si="64"/>
        <v>#NAME?</v>
      </c>
      <c r="M546" s="120" t="e">
        <f t="shared" ca="1" si="58"/>
        <v>#NAME?</v>
      </c>
      <c r="N546" s="120" t="e">
        <f ca="1">IF([0]!CSVVLookUP(ROW(行数!A538),配列!$C$4,集計記録,6,1)=0,"",[0]!CSVVLookUP(ROW(行数!A538),配列!$C$4,集計記録,6,1))</f>
        <v>#NAME?</v>
      </c>
      <c r="O546" s="88" t="e">
        <f ca="1">IF(INDIRECT("M"&amp;ROW()-1)&lt;&gt;INDIRECT("M"&amp;ROW()),リスト!$I$5,"")</f>
        <v>#NAME?</v>
      </c>
      <c r="P546" s="88" t="e">
        <f ca="1">IF(INDIRECT("M"&amp;ROW())&lt;&gt;INDIRECT("M"&amp;ROW()+1),リスト!$I$6,"")</f>
        <v>#NAME?</v>
      </c>
    </row>
    <row r="547" spans="1:16" x14ac:dyDescent="0.2">
      <c r="A547" s="169" t="e">
        <f ca="1">IF(C547="","",ROW(行数!A539))</f>
        <v>#NAME?</v>
      </c>
      <c r="B547" s="168" t="e">
        <f t="shared" ca="1" si="59"/>
        <v>#NAME?</v>
      </c>
      <c r="C547" s="90" t="e">
        <f ca="1">[0]!CSVVLookUP(ROW(行数!A539),配列!$C$4,集計記録,3,1)</f>
        <v>#NAME?</v>
      </c>
      <c r="D547" s="90" t="e">
        <f ca="1">[0]!CSVVLookUP(ROW(行数!B539),配列!$C$4,集計記録,4,1)</f>
        <v>#NAME?</v>
      </c>
      <c r="E547" s="118" t="e">
        <f t="shared" ca="1" si="60"/>
        <v>#NAME?</v>
      </c>
      <c r="F547" s="118" t="e">
        <f t="shared" ca="1" si="61"/>
        <v>#NAME?</v>
      </c>
      <c r="G547" s="103" t="e">
        <f t="shared" ca="1" si="62"/>
        <v>#NAME?</v>
      </c>
      <c r="H547" s="104" t="e">
        <f ca="1">IF(C547="","",MROUND([0]!CSVVLookUP(ROW(行数!A539),配列!$C$4,集計記録,8,1),"0:01"))</f>
        <v>#NAME?</v>
      </c>
      <c r="I547" s="104" t="e">
        <f t="shared" ca="1" si="63"/>
        <v>#NAME?</v>
      </c>
      <c r="J547" s="119" t="e">
        <f ca="1">IF(C547="","",MROUND([0]!CSVVLookUP(ROW(行数!A539),配列!$C$4,集計記録,7,1),"0:01"))</f>
        <v>#NAME?</v>
      </c>
      <c r="K547" s="92" t="e">
        <f ca="1">IF(C547="","",[0]!CSVVLookUP(ROW(行数!A539),配列!$C$4,集計記録,5,1))</f>
        <v>#NAME?</v>
      </c>
      <c r="L547" s="104" t="e">
        <f t="shared" ca="1" si="64"/>
        <v>#NAME?</v>
      </c>
      <c r="M547" s="120" t="e">
        <f t="shared" ca="1" si="58"/>
        <v>#NAME?</v>
      </c>
      <c r="N547" s="120" t="e">
        <f ca="1">IF([0]!CSVVLookUP(ROW(行数!A539),配列!$C$4,集計記録,6,1)=0,"",[0]!CSVVLookUP(ROW(行数!A539),配列!$C$4,集計記録,6,1))</f>
        <v>#NAME?</v>
      </c>
      <c r="O547" s="88" t="e">
        <f ca="1">IF(INDIRECT("M"&amp;ROW()-1)&lt;&gt;INDIRECT("M"&amp;ROW()),リスト!$I$5,"")</f>
        <v>#NAME?</v>
      </c>
      <c r="P547" s="88" t="e">
        <f ca="1">IF(INDIRECT("M"&amp;ROW())&lt;&gt;INDIRECT("M"&amp;ROW()+1),リスト!$I$6,"")</f>
        <v>#NAME?</v>
      </c>
    </row>
    <row r="548" spans="1:16" x14ac:dyDescent="0.2">
      <c r="A548" s="169" t="e">
        <f ca="1">IF(C548="","",ROW(行数!A540))</f>
        <v>#NAME?</v>
      </c>
      <c r="B548" s="168" t="e">
        <f t="shared" ca="1" si="59"/>
        <v>#NAME?</v>
      </c>
      <c r="C548" s="90" t="e">
        <f ca="1">[0]!CSVVLookUP(ROW(行数!A540),配列!$C$4,集計記録,3,1)</f>
        <v>#NAME?</v>
      </c>
      <c r="D548" s="90" t="e">
        <f ca="1">[0]!CSVVLookUP(ROW(行数!B540),配列!$C$4,集計記録,4,1)</f>
        <v>#NAME?</v>
      </c>
      <c r="E548" s="118" t="e">
        <f t="shared" ca="1" si="60"/>
        <v>#NAME?</v>
      </c>
      <c r="F548" s="118" t="e">
        <f t="shared" ca="1" si="61"/>
        <v>#NAME?</v>
      </c>
      <c r="G548" s="103" t="e">
        <f t="shared" ca="1" si="62"/>
        <v>#NAME?</v>
      </c>
      <c r="H548" s="104" t="e">
        <f ca="1">IF(C548="","",MROUND([0]!CSVVLookUP(ROW(行数!A540),配列!$C$4,集計記録,8,1),"0:01"))</f>
        <v>#NAME?</v>
      </c>
      <c r="I548" s="104" t="e">
        <f t="shared" ca="1" si="63"/>
        <v>#NAME?</v>
      </c>
      <c r="J548" s="119" t="e">
        <f ca="1">IF(C548="","",MROUND([0]!CSVVLookUP(ROW(行数!A540),配列!$C$4,集計記録,7,1),"0:01"))</f>
        <v>#NAME?</v>
      </c>
      <c r="K548" s="92" t="e">
        <f ca="1">IF(C548="","",[0]!CSVVLookUP(ROW(行数!A540),配列!$C$4,集計記録,5,1))</f>
        <v>#NAME?</v>
      </c>
      <c r="L548" s="104" t="e">
        <f t="shared" ca="1" si="64"/>
        <v>#NAME?</v>
      </c>
      <c r="M548" s="120" t="e">
        <f t="shared" ca="1" si="58"/>
        <v>#NAME?</v>
      </c>
      <c r="N548" s="120" t="e">
        <f ca="1">IF([0]!CSVVLookUP(ROW(行数!A540),配列!$C$4,集計記録,6,1)=0,"",[0]!CSVVLookUP(ROW(行数!A540),配列!$C$4,集計記録,6,1))</f>
        <v>#NAME?</v>
      </c>
      <c r="O548" s="88" t="e">
        <f ca="1">IF(INDIRECT("M"&amp;ROW()-1)&lt;&gt;INDIRECT("M"&amp;ROW()),リスト!$I$5,"")</f>
        <v>#NAME?</v>
      </c>
      <c r="P548" s="88" t="e">
        <f ca="1">IF(INDIRECT("M"&amp;ROW())&lt;&gt;INDIRECT("M"&amp;ROW()+1),リスト!$I$6,"")</f>
        <v>#NAME?</v>
      </c>
    </row>
    <row r="549" spans="1:16" x14ac:dyDescent="0.2">
      <c r="A549" s="169" t="e">
        <f ca="1">IF(C549="","",ROW(行数!A541))</f>
        <v>#NAME?</v>
      </c>
      <c r="B549" s="168" t="e">
        <f t="shared" ca="1" si="59"/>
        <v>#NAME?</v>
      </c>
      <c r="C549" s="90" t="e">
        <f ca="1">[0]!CSVVLookUP(ROW(行数!A541),配列!$C$4,集計記録,3,1)</f>
        <v>#NAME?</v>
      </c>
      <c r="D549" s="90" t="e">
        <f ca="1">[0]!CSVVLookUP(ROW(行数!B541),配列!$C$4,集計記録,4,1)</f>
        <v>#NAME?</v>
      </c>
      <c r="E549" s="118" t="e">
        <f t="shared" ca="1" si="60"/>
        <v>#NAME?</v>
      </c>
      <c r="F549" s="118" t="e">
        <f t="shared" ca="1" si="61"/>
        <v>#NAME?</v>
      </c>
      <c r="G549" s="103" t="e">
        <f t="shared" ca="1" si="62"/>
        <v>#NAME?</v>
      </c>
      <c r="H549" s="104" t="e">
        <f ca="1">IF(C549="","",MROUND([0]!CSVVLookUP(ROW(行数!A541),配列!$C$4,集計記録,8,1),"0:01"))</f>
        <v>#NAME?</v>
      </c>
      <c r="I549" s="104" t="e">
        <f t="shared" ca="1" si="63"/>
        <v>#NAME?</v>
      </c>
      <c r="J549" s="119" t="e">
        <f ca="1">IF(C549="","",MROUND([0]!CSVVLookUP(ROW(行数!A541),配列!$C$4,集計記録,7,1),"0:01"))</f>
        <v>#NAME?</v>
      </c>
      <c r="K549" s="92" t="e">
        <f ca="1">IF(C549="","",[0]!CSVVLookUP(ROW(行数!A541),配列!$C$4,集計記録,5,1))</f>
        <v>#NAME?</v>
      </c>
      <c r="L549" s="104" t="e">
        <f t="shared" ca="1" si="64"/>
        <v>#NAME?</v>
      </c>
      <c r="M549" s="120" t="e">
        <f t="shared" ca="1" si="58"/>
        <v>#NAME?</v>
      </c>
      <c r="N549" s="120" t="e">
        <f ca="1">IF([0]!CSVVLookUP(ROW(行数!A541),配列!$C$4,集計記録,6,1)=0,"",[0]!CSVVLookUP(ROW(行数!A541),配列!$C$4,集計記録,6,1))</f>
        <v>#NAME?</v>
      </c>
      <c r="O549" s="88" t="e">
        <f ca="1">IF(INDIRECT("M"&amp;ROW()-1)&lt;&gt;INDIRECT("M"&amp;ROW()),リスト!$I$5,"")</f>
        <v>#NAME?</v>
      </c>
      <c r="P549" s="88" t="e">
        <f ca="1">IF(INDIRECT("M"&amp;ROW())&lt;&gt;INDIRECT("M"&amp;ROW()+1),リスト!$I$6,"")</f>
        <v>#NAME?</v>
      </c>
    </row>
    <row r="550" spans="1:16" x14ac:dyDescent="0.2">
      <c r="A550" s="169" t="e">
        <f ca="1">IF(C550="","",ROW(行数!A542))</f>
        <v>#NAME?</v>
      </c>
      <c r="B550" s="168" t="e">
        <f t="shared" ca="1" si="59"/>
        <v>#NAME?</v>
      </c>
      <c r="C550" s="90" t="e">
        <f ca="1">[0]!CSVVLookUP(ROW(行数!A542),配列!$C$4,集計記録,3,1)</f>
        <v>#NAME?</v>
      </c>
      <c r="D550" s="90" t="e">
        <f ca="1">[0]!CSVVLookUP(ROW(行数!B542),配列!$C$4,集計記録,4,1)</f>
        <v>#NAME?</v>
      </c>
      <c r="E550" s="118" t="e">
        <f t="shared" ca="1" si="60"/>
        <v>#NAME?</v>
      </c>
      <c r="F550" s="118" t="e">
        <f t="shared" ca="1" si="61"/>
        <v>#NAME?</v>
      </c>
      <c r="G550" s="103" t="e">
        <f t="shared" ca="1" si="62"/>
        <v>#NAME?</v>
      </c>
      <c r="H550" s="104" t="e">
        <f ca="1">IF(C550="","",MROUND([0]!CSVVLookUP(ROW(行数!A542),配列!$C$4,集計記録,8,1),"0:01"))</f>
        <v>#NAME?</v>
      </c>
      <c r="I550" s="104" t="e">
        <f t="shared" ca="1" si="63"/>
        <v>#NAME?</v>
      </c>
      <c r="J550" s="119" t="e">
        <f ca="1">IF(C550="","",MROUND([0]!CSVVLookUP(ROW(行数!A542),配列!$C$4,集計記録,7,1),"0:01"))</f>
        <v>#NAME?</v>
      </c>
      <c r="K550" s="92" t="e">
        <f ca="1">IF(C550="","",[0]!CSVVLookUP(ROW(行数!A542),配列!$C$4,集計記録,5,1))</f>
        <v>#NAME?</v>
      </c>
      <c r="L550" s="104" t="e">
        <f t="shared" ca="1" si="64"/>
        <v>#NAME?</v>
      </c>
      <c r="M550" s="120" t="e">
        <f t="shared" ca="1" si="58"/>
        <v>#NAME?</v>
      </c>
      <c r="N550" s="120" t="e">
        <f ca="1">IF([0]!CSVVLookUP(ROW(行数!A542),配列!$C$4,集計記録,6,1)=0,"",[0]!CSVVLookUP(ROW(行数!A542),配列!$C$4,集計記録,6,1))</f>
        <v>#NAME?</v>
      </c>
      <c r="O550" s="88" t="e">
        <f ca="1">IF(INDIRECT("M"&amp;ROW()-1)&lt;&gt;INDIRECT("M"&amp;ROW()),リスト!$I$5,"")</f>
        <v>#NAME?</v>
      </c>
      <c r="P550" s="88" t="e">
        <f ca="1">IF(INDIRECT("M"&amp;ROW())&lt;&gt;INDIRECT("M"&amp;ROW()+1),リスト!$I$6,"")</f>
        <v>#NAME?</v>
      </c>
    </row>
    <row r="551" spans="1:16" x14ac:dyDescent="0.2">
      <c r="A551" s="169" t="e">
        <f ca="1">IF(C551="","",ROW(行数!A543))</f>
        <v>#NAME?</v>
      </c>
      <c r="B551" s="168" t="e">
        <f t="shared" ca="1" si="59"/>
        <v>#NAME?</v>
      </c>
      <c r="C551" s="90" t="e">
        <f ca="1">[0]!CSVVLookUP(ROW(行数!A543),配列!$C$4,集計記録,3,1)</f>
        <v>#NAME?</v>
      </c>
      <c r="D551" s="90" t="e">
        <f ca="1">[0]!CSVVLookUP(ROW(行数!B543),配列!$C$4,集計記録,4,1)</f>
        <v>#NAME?</v>
      </c>
      <c r="E551" s="118" t="e">
        <f t="shared" ca="1" si="60"/>
        <v>#NAME?</v>
      </c>
      <c r="F551" s="118" t="e">
        <f t="shared" ca="1" si="61"/>
        <v>#NAME?</v>
      </c>
      <c r="G551" s="103" t="e">
        <f t="shared" ca="1" si="62"/>
        <v>#NAME?</v>
      </c>
      <c r="H551" s="104" t="e">
        <f ca="1">IF(C551="","",MROUND([0]!CSVVLookUP(ROW(行数!A543),配列!$C$4,集計記録,8,1),"0:01"))</f>
        <v>#NAME?</v>
      </c>
      <c r="I551" s="104" t="e">
        <f t="shared" ca="1" si="63"/>
        <v>#NAME?</v>
      </c>
      <c r="J551" s="119" t="e">
        <f ca="1">IF(C551="","",MROUND([0]!CSVVLookUP(ROW(行数!A543),配列!$C$4,集計記録,7,1),"0:01"))</f>
        <v>#NAME?</v>
      </c>
      <c r="K551" s="92" t="e">
        <f ca="1">IF(C551="","",[0]!CSVVLookUP(ROW(行数!A543),配列!$C$4,集計記録,5,1))</f>
        <v>#NAME?</v>
      </c>
      <c r="L551" s="104" t="e">
        <f t="shared" ca="1" si="64"/>
        <v>#NAME?</v>
      </c>
      <c r="M551" s="120" t="e">
        <f t="shared" ca="1" si="58"/>
        <v>#NAME?</v>
      </c>
      <c r="N551" s="120" t="e">
        <f ca="1">IF([0]!CSVVLookUP(ROW(行数!A543),配列!$C$4,集計記録,6,1)=0,"",[0]!CSVVLookUP(ROW(行数!A543),配列!$C$4,集計記録,6,1))</f>
        <v>#NAME?</v>
      </c>
      <c r="O551" s="88" t="e">
        <f ca="1">IF(INDIRECT("M"&amp;ROW()-1)&lt;&gt;INDIRECT("M"&amp;ROW()),リスト!$I$5,"")</f>
        <v>#NAME?</v>
      </c>
      <c r="P551" s="88" t="e">
        <f ca="1">IF(INDIRECT("M"&amp;ROW())&lt;&gt;INDIRECT("M"&amp;ROW()+1),リスト!$I$6,"")</f>
        <v>#NAME?</v>
      </c>
    </row>
    <row r="552" spans="1:16" x14ac:dyDescent="0.2">
      <c r="A552" s="169" t="e">
        <f ca="1">IF(C552="","",ROW(行数!A544))</f>
        <v>#NAME?</v>
      </c>
      <c r="B552" s="168" t="e">
        <f t="shared" ca="1" si="59"/>
        <v>#NAME?</v>
      </c>
      <c r="C552" s="90" t="e">
        <f ca="1">[0]!CSVVLookUP(ROW(行数!A544),配列!$C$4,集計記録,3,1)</f>
        <v>#NAME?</v>
      </c>
      <c r="D552" s="90" t="e">
        <f ca="1">[0]!CSVVLookUP(ROW(行数!B544),配列!$C$4,集計記録,4,1)</f>
        <v>#NAME?</v>
      </c>
      <c r="E552" s="118" t="e">
        <f t="shared" ca="1" si="60"/>
        <v>#NAME?</v>
      </c>
      <c r="F552" s="118" t="e">
        <f t="shared" ca="1" si="61"/>
        <v>#NAME?</v>
      </c>
      <c r="G552" s="103" t="e">
        <f t="shared" ca="1" si="62"/>
        <v>#NAME?</v>
      </c>
      <c r="H552" s="104" t="e">
        <f ca="1">IF(C552="","",MROUND([0]!CSVVLookUP(ROW(行数!A544),配列!$C$4,集計記録,8,1),"0:01"))</f>
        <v>#NAME?</v>
      </c>
      <c r="I552" s="104" t="e">
        <f t="shared" ca="1" si="63"/>
        <v>#NAME?</v>
      </c>
      <c r="J552" s="119" t="e">
        <f ca="1">IF(C552="","",MROUND([0]!CSVVLookUP(ROW(行数!A544),配列!$C$4,集計記録,7,1),"0:01"))</f>
        <v>#NAME?</v>
      </c>
      <c r="K552" s="92" t="e">
        <f ca="1">IF(C552="","",[0]!CSVVLookUP(ROW(行数!A544),配列!$C$4,集計記録,5,1))</f>
        <v>#NAME?</v>
      </c>
      <c r="L552" s="104" t="e">
        <f t="shared" ca="1" si="64"/>
        <v>#NAME?</v>
      </c>
      <c r="M552" s="120" t="e">
        <f t="shared" ca="1" si="58"/>
        <v>#NAME?</v>
      </c>
      <c r="N552" s="120" t="e">
        <f ca="1">IF([0]!CSVVLookUP(ROW(行数!A544),配列!$C$4,集計記録,6,1)=0,"",[0]!CSVVLookUP(ROW(行数!A544),配列!$C$4,集計記録,6,1))</f>
        <v>#NAME?</v>
      </c>
      <c r="O552" s="88" t="e">
        <f ca="1">IF(INDIRECT("M"&amp;ROW()-1)&lt;&gt;INDIRECT("M"&amp;ROW()),リスト!$I$5,"")</f>
        <v>#NAME?</v>
      </c>
      <c r="P552" s="88" t="e">
        <f ca="1">IF(INDIRECT("M"&amp;ROW())&lt;&gt;INDIRECT("M"&amp;ROW()+1),リスト!$I$6,"")</f>
        <v>#NAME?</v>
      </c>
    </row>
    <row r="553" spans="1:16" x14ac:dyDescent="0.2">
      <c r="A553" s="169" t="e">
        <f ca="1">IF(C553="","",ROW(行数!A545))</f>
        <v>#NAME?</v>
      </c>
      <c r="B553" s="168" t="e">
        <f t="shared" ca="1" si="59"/>
        <v>#NAME?</v>
      </c>
      <c r="C553" s="90" t="e">
        <f ca="1">[0]!CSVVLookUP(ROW(行数!A545),配列!$C$4,集計記録,3,1)</f>
        <v>#NAME?</v>
      </c>
      <c r="D553" s="90" t="e">
        <f ca="1">[0]!CSVVLookUP(ROW(行数!B545),配列!$C$4,集計記録,4,1)</f>
        <v>#NAME?</v>
      </c>
      <c r="E553" s="118" t="e">
        <f t="shared" ca="1" si="60"/>
        <v>#NAME?</v>
      </c>
      <c r="F553" s="118" t="e">
        <f t="shared" ca="1" si="61"/>
        <v>#NAME?</v>
      </c>
      <c r="G553" s="103" t="e">
        <f t="shared" ca="1" si="62"/>
        <v>#NAME?</v>
      </c>
      <c r="H553" s="104" t="e">
        <f ca="1">IF(C553="","",MROUND([0]!CSVVLookUP(ROW(行数!A545),配列!$C$4,集計記録,8,1),"0:01"))</f>
        <v>#NAME?</v>
      </c>
      <c r="I553" s="104" t="e">
        <f t="shared" ca="1" si="63"/>
        <v>#NAME?</v>
      </c>
      <c r="J553" s="119" t="e">
        <f ca="1">IF(C553="","",MROUND([0]!CSVVLookUP(ROW(行数!A545),配列!$C$4,集計記録,7,1),"0:01"))</f>
        <v>#NAME?</v>
      </c>
      <c r="K553" s="92" t="e">
        <f ca="1">IF(C553="","",[0]!CSVVLookUP(ROW(行数!A545),配列!$C$4,集計記録,5,1))</f>
        <v>#NAME?</v>
      </c>
      <c r="L553" s="104" t="e">
        <f t="shared" ca="1" si="64"/>
        <v>#NAME?</v>
      </c>
      <c r="M553" s="120" t="e">
        <f t="shared" ca="1" si="58"/>
        <v>#NAME?</v>
      </c>
      <c r="N553" s="120" t="e">
        <f ca="1">IF([0]!CSVVLookUP(ROW(行数!A545),配列!$C$4,集計記録,6,1)=0,"",[0]!CSVVLookUP(ROW(行数!A545),配列!$C$4,集計記録,6,1))</f>
        <v>#NAME?</v>
      </c>
      <c r="O553" s="88" t="e">
        <f ca="1">IF(INDIRECT("M"&amp;ROW()-1)&lt;&gt;INDIRECT("M"&amp;ROW()),リスト!$I$5,"")</f>
        <v>#NAME?</v>
      </c>
      <c r="P553" s="88" t="e">
        <f ca="1">IF(INDIRECT("M"&amp;ROW())&lt;&gt;INDIRECT("M"&amp;ROW()+1),リスト!$I$6,"")</f>
        <v>#NAME?</v>
      </c>
    </row>
    <row r="554" spans="1:16" x14ac:dyDescent="0.2">
      <c r="A554" s="169" t="e">
        <f ca="1">IF(C554="","",ROW(行数!A546))</f>
        <v>#NAME?</v>
      </c>
      <c r="B554" s="168" t="e">
        <f t="shared" ca="1" si="59"/>
        <v>#NAME?</v>
      </c>
      <c r="C554" s="90" t="e">
        <f ca="1">[0]!CSVVLookUP(ROW(行数!A546),配列!$C$4,集計記録,3,1)</f>
        <v>#NAME?</v>
      </c>
      <c r="D554" s="90" t="e">
        <f ca="1">[0]!CSVVLookUP(ROW(行数!B546),配列!$C$4,集計記録,4,1)</f>
        <v>#NAME?</v>
      </c>
      <c r="E554" s="118" t="e">
        <f t="shared" ca="1" si="60"/>
        <v>#NAME?</v>
      </c>
      <c r="F554" s="118" t="e">
        <f t="shared" ca="1" si="61"/>
        <v>#NAME?</v>
      </c>
      <c r="G554" s="103" t="e">
        <f t="shared" ca="1" si="62"/>
        <v>#NAME?</v>
      </c>
      <c r="H554" s="104" t="e">
        <f ca="1">IF(C554="","",MROUND([0]!CSVVLookUP(ROW(行数!A546),配列!$C$4,集計記録,8,1),"0:01"))</f>
        <v>#NAME?</v>
      </c>
      <c r="I554" s="104" t="e">
        <f t="shared" ca="1" si="63"/>
        <v>#NAME?</v>
      </c>
      <c r="J554" s="119" t="e">
        <f ca="1">IF(C554="","",MROUND([0]!CSVVLookUP(ROW(行数!A546),配列!$C$4,集計記録,7,1),"0:01"))</f>
        <v>#NAME?</v>
      </c>
      <c r="K554" s="92" t="e">
        <f ca="1">IF(C554="","",[0]!CSVVLookUP(ROW(行数!A546),配列!$C$4,集計記録,5,1))</f>
        <v>#NAME?</v>
      </c>
      <c r="L554" s="104" t="e">
        <f t="shared" ca="1" si="64"/>
        <v>#NAME?</v>
      </c>
      <c r="M554" s="120" t="e">
        <f t="shared" ca="1" si="58"/>
        <v>#NAME?</v>
      </c>
      <c r="N554" s="120" t="e">
        <f ca="1">IF([0]!CSVVLookUP(ROW(行数!A546),配列!$C$4,集計記録,6,1)=0,"",[0]!CSVVLookUP(ROW(行数!A546),配列!$C$4,集計記録,6,1))</f>
        <v>#NAME?</v>
      </c>
      <c r="O554" s="88" t="e">
        <f ca="1">IF(INDIRECT("M"&amp;ROW()-1)&lt;&gt;INDIRECT("M"&amp;ROW()),リスト!$I$5,"")</f>
        <v>#NAME?</v>
      </c>
      <c r="P554" s="88" t="e">
        <f ca="1">IF(INDIRECT("M"&amp;ROW())&lt;&gt;INDIRECT("M"&amp;ROW()+1),リスト!$I$6,"")</f>
        <v>#NAME?</v>
      </c>
    </row>
    <row r="555" spans="1:16" x14ac:dyDescent="0.2">
      <c r="A555" s="169" t="e">
        <f ca="1">IF(C555="","",ROW(行数!A547))</f>
        <v>#NAME?</v>
      </c>
      <c r="B555" s="168" t="e">
        <f t="shared" ca="1" si="59"/>
        <v>#NAME?</v>
      </c>
      <c r="C555" s="90" t="e">
        <f ca="1">[0]!CSVVLookUP(ROW(行数!A547),配列!$C$4,集計記録,3,1)</f>
        <v>#NAME?</v>
      </c>
      <c r="D555" s="90" t="e">
        <f ca="1">[0]!CSVVLookUP(ROW(行数!B547),配列!$C$4,集計記録,4,1)</f>
        <v>#NAME?</v>
      </c>
      <c r="E555" s="118" t="e">
        <f t="shared" ca="1" si="60"/>
        <v>#NAME?</v>
      </c>
      <c r="F555" s="118" t="e">
        <f t="shared" ca="1" si="61"/>
        <v>#NAME?</v>
      </c>
      <c r="G555" s="103" t="e">
        <f t="shared" ca="1" si="62"/>
        <v>#NAME?</v>
      </c>
      <c r="H555" s="104" t="e">
        <f ca="1">IF(C555="","",MROUND([0]!CSVVLookUP(ROW(行数!A547),配列!$C$4,集計記録,8,1),"0:01"))</f>
        <v>#NAME?</v>
      </c>
      <c r="I555" s="104" t="e">
        <f t="shared" ca="1" si="63"/>
        <v>#NAME?</v>
      </c>
      <c r="J555" s="119" t="e">
        <f ca="1">IF(C555="","",MROUND([0]!CSVVLookUP(ROW(行数!A547),配列!$C$4,集計記録,7,1),"0:01"))</f>
        <v>#NAME?</v>
      </c>
      <c r="K555" s="92" t="e">
        <f ca="1">IF(C555="","",[0]!CSVVLookUP(ROW(行数!A547),配列!$C$4,集計記録,5,1))</f>
        <v>#NAME?</v>
      </c>
      <c r="L555" s="104" t="e">
        <f t="shared" ca="1" si="64"/>
        <v>#NAME?</v>
      </c>
      <c r="M555" s="120" t="e">
        <f t="shared" ca="1" si="58"/>
        <v>#NAME?</v>
      </c>
      <c r="N555" s="120" t="e">
        <f ca="1">IF([0]!CSVVLookUP(ROW(行数!A547),配列!$C$4,集計記録,6,1)=0,"",[0]!CSVVLookUP(ROW(行数!A547),配列!$C$4,集計記録,6,1))</f>
        <v>#NAME?</v>
      </c>
      <c r="O555" s="88" t="e">
        <f ca="1">IF(INDIRECT("M"&amp;ROW()-1)&lt;&gt;INDIRECT("M"&amp;ROW()),リスト!$I$5,"")</f>
        <v>#NAME?</v>
      </c>
      <c r="P555" s="88" t="e">
        <f ca="1">IF(INDIRECT("M"&amp;ROW())&lt;&gt;INDIRECT("M"&amp;ROW()+1),リスト!$I$6,"")</f>
        <v>#NAME?</v>
      </c>
    </row>
    <row r="556" spans="1:16" x14ac:dyDescent="0.2">
      <c r="A556" s="169" t="e">
        <f ca="1">IF(C556="","",ROW(行数!A548))</f>
        <v>#NAME?</v>
      </c>
      <c r="B556" s="168" t="e">
        <f t="shared" ca="1" si="59"/>
        <v>#NAME?</v>
      </c>
      <c r="C556" s="90" t="e">
        <f ca="1">[0]!CSVVLookUP(ROW(行数!A548),配列!$C$4,集計記録,3,1)</f>
        <v>#NAME?</v>
      </c>
      <c r="D556" s="90" t="e">
        <f ca="1">[0]!CSVVLookUP(ROW(行数!B548),配列!$C$4,集計記録,4,1)</f>
        <v>#NAME?</v>
      </c>
      <c r="E556" s="118" t="e">
        <f t="shared" ca="1" si="60"/>
        <v>#NAME?</v>
      </c>
      <c r="F556" s="118" t="e">
        <f t="shared" ca="1" si="61"/>
        <v>#NAME?</v>
      </c>
      <c r="G556" s="103" t="e">
        <f t="shared" ca="1" si="62"/>
        <v>#NAME?</v>
      </c>
      <c r="H556" s="104" t="e">
        <f ca="1">IF(C556="","",MROUND([0]!CSVVLookUP(ROW(行数!A548),配列!$C$4,集計記録,8,1),"0:01"))</f>
        <v>#NAME?</v>
      </c>
      <c r="I556" s="104" t="e">
        <f t="shared" ca="1" si="63"/>
        <v>#NAME?</v>
      </c>
      <c r="J556" s="119" t="e">
        <f ca="1">IF(C556="","",MROUND([0]!CSVVLookUP(ROW(行数!A548),配列!$C$4,集計記録,7,1),"0:01"))</f>
        <v>#NAME?</v>
      </c>
      <c r="K556" s="92" t="e">
        <f ca="1">IF(C556="","",[0]!CSVVLookUP(ROW(行数!A548),配列!$C$4,集計記録,5,1))</f>
        <v>#NAME?</v>
      </c>
      <c r="L556" s="104" t="e">
        <f t="shared" ca="1" si="64"/>
        <v>#NAME?</v>
      </c>
      <c r="M556" s="120" t="e">
        <f t="shared" ca="1" si="58"/>
        <v>#NAME?</v>
      </c>
      <c r="N556" s="120" t="e">
        <f ca="1">IF([0]!CSVVLookUP(ROW(行数!A548),配列!$C$4,集計記録,6,1)=0,"",[0]!CSVVLookUP(ROW(行数!A548),配列!$C$4,集計記録,6,1))</f>
        <v>#NAME?</v>
      </c>
      <c r="O556" s="88" t="e">
        <f ca="1">IF(INDIRECT("M"&amp;ROW()-1)&lt;&gt;INDIRECT("M"&amp;ROW()),リスト!$I$5,"")</f>
        <v>#NAME?</v>
      </c>
      <c r="P556" s="88" t="e">
        <f ca="1">IF(INDIRECT("M"&amp;ROW())&lt;&gt;INDIRECT("M"&amp;ROW()+1),リスト!$I$6,"")</f>
        <v>#NAME?</v>
      </c>
    </row>
    <row r="557" spans="1:16" x14ac:dyDescent="0.2">
      <c r="A557" s="169" t="e">
        <f ca="1">IF(C557="","",ROW(行数!A549))</f>
        <v>#NAME?</v>
      </c>
      <c r="B557" s="168" t="e">
        <f t="shared" ca="1" si="59"/>
        <v>#NAME?</v>
      </c>
      <c r="C557" s="90" t="e">
        <f ca="1">[0]!CSVVLookUP(ROW(行数!A549),配列!$C$4,集計記録,3,1)</f>
        <v>#NAME?</v>
      </c>
      <c r="D557" s="90" t="e">
        <f ca="1">[0]!CSVVLookUP(ROW(行数!B549),配列!$C$4,集計記録,4,1)</f>
        <v>#NAME?</v>
      </c>
      <c r="E557" s="118" t="e">
        <f t="shared" ca="1" si="60"/>
        <v>#NAME?</v>
      </c>
      <c r="F557" s="118" t="e">
        <f t="shared" ca="1" si="61"/>
        <v>#NAME?</v>
      </c>
      <c r="G557" s="103" t="e">
        <f t="shared" ca="1" si="62"/>
        <v>#NAME?</v>
      </c>
      <c r="H557" s="104" t="e">
        <f ca="1">IF(C557="","",MROUND([0]!CSVVLookUP(ROW(行数!A549),配列!$C$4,集計記録,8,1),"0:01"))</f>
        <v>#NAME?</v>
      </c>
      <c r="I557" s="104" t="e">
        <f t="shared" ca="1" si="63"/>
        <v>#NAME?</v>
      </c>
      <c r="J557" s="119" t="e">
        <f ca="1">IF(C557="","",MROUND([0]!CSVVLookUP(ROW(行数!A549),配列!$C$4,集計記録,7,1),"0:01"))</f>
        <v>#NAME?</v>
      </c>
      <c r="K557" s="92" t="e">
        <f ca="1">IF(C557="","",[0]!CSVVLookUP(ROW(行数!A549),配列!$C$4,集計記録,5,1))</f>
        <v>#NAME?</v>
      </c>
      <c r="L557" s="104" t="e">
        <f t="shared" ca="1" si="64"/>
        <v>#NAME?</v>
      </c>
      <c r="M557" s="120" t="e">
        <f t="shared" ca="1" si="58"/>
        <v>#NAME?</v>
      </c>
      <c r="N557" s="120" t="e">
        <f ca="1">IF([0]!CSVVLookUP(ROW(行数!A549),配列!$C$4,集計記録,6,1)=0,"",[0]!CSVVLookUP(ROW(行数!A549),配列!$C$4,集計記録,6,1))</f>
        <v>#NAME?</v>
      </c>
      <c r="O557" s="88" t="e">
        <f ca="1">IF(INDIRECT("M"&amp;ROW()-1)&lt;&gt;INDIRECT("M"&amp;ROW()),リスト!$I$5,"")</f>
        <v>#NAME?</v>
      </c>
      <c r="P557" s="88" t="e">
        <f ca="1">IF(INDIRECT("M"&amp;ROW())&lt;&gt;INDIRECT("M"&amp;ROW()+1),リスト!$I$6,"")</f>
        <v>#NAME?</v>
      </c>
    </row>
    <row r="558" spans="1:16" x14ac:dyDescent="0.2">
      <c r="A558" s="169" t="e">
        <f ca="1">IF(C558="","",ROW(行数!A550))</f>
        <v>#NAME?</v>
      </c>
      <c r="B558" s="168" t="e">
        <f t="shared" ca="1" si="59"/>
        <v>#NAME?</v>
      </c>
      <c r="C558" s="90" t="e">
        <f ca="1">[0]!CSVVLookUP(ROW(行数!A550),配列!$C$4,集計記録,3,1)</f>
        <v>#NAME?</v>
      </c>
      <c r="D558" s="90" t="e">
        <f ca="1">[0]!CSVVLookUP(ROW(行数!B550),配列!$C$4,集計記録,4,1)</f>
        <v>#NAME?</v>
      </c>
      <c r="E558" s="118" t="e">
        <f t="shared" ca="1" si="60"/>
        <v>#NAME?</v>
      </c>
      <c r="F558" s="118" t="e">
        <f t="shared" ca="1" si="61"/>
        <v>#NAME?</v>
      </c>
      <c r="G558" s="103" t="e">
        <f t="shared" ca="1" si="62"/>
        <v>#NAME?</v>
      </c>
      <c r="H558" s="104" t="e">
        <f ca="1">IF(C558="","",MROUND([0]!CSVVLookUP(ROW(行数!A550),配列!$C$4,集計記録,8,1),"0:01"))</f>
        <v>#NAME?</v>
      </c>
      <c r="I558" s="104" t="e">
        <f t="shared" ca="1" si="63"/>
        <v>#NAME?</v>
      </c>
      <c r="J558" s="119" t="e">
        <f ca="1">IF(C558="","",MROUND([0]!CSVVLookUP(ROW(行数!A550),配列!$C$4,集計記録,7,1),"0:01"))</f>
        <v>#NAME?</v>
      </c>
      <c r="K558" s="92" t="e">
        <f ca="1">IF(C558="","",[0]!CSVVLookUP(ROW(行数!A550),配列!$C$4,集計記録,5,1))</f>
        <v>#NAME?</v>
      </c>
      <c r="L558" s="104" t="e">
        <f t="shared" ca="1" si="64"/>
        <v>#NAME?</v>
      </c>
      <c r="M558" s="120" t="e">
        <f t="shared" ca="1" si="58"/>
        <v>#NAME?</v>
      </c>
      <c r="N558" s="120" t="e">
        <f ca="1">IF([0]!CSVVLookUP(ROW(行数!A550),配列!$C$4,集計記録,6,1)=0,"",[0]!CSVVLookUP(ROW(行数!A550),配列!$C$4,集計記録,6,1))</f>
        <v>#NAME?</v>
      </c>
      <c r="O558" s="88" t="e">
        <f ca="1">IF(INDIRECT("M"&amp;ROW()-1)&lt;&gt;INDIRECT("M"&amp;ROW()),リスト!$I$5,"")</f>
        <v>#NAME?</v>
      </c>
      <c r="P558" s="88" t="e">
        <f ca="1">IF(INDIRECT("M"&amp;ROW())&lt;&gt;INDIRECT("M"&amp;ROW()+1),リスト!$I$6,"")</f>
        <v>#NAME?</v>
      </c>
    </row>
    <row r="559" spans="1:16" x14ac:dyDescent="0.2">
      <c r="A559" s="169" t="e">
        <f ca="1">IF(C559="","",ROW(行数!A551))</f>
        <v>#NAME?</v>
      </c>
      <c r="B559" s="168" t="e">
        <f t="shared" ca="1" si="59"/>
        <v>#NAME?</v>
      </c>
      <c r="C559" s="90" t="e">
        <f ca="1">[0]!CSVVLookUP(ROW(行数!A551),配列!$C$4,集計記録,3,1)</f>
        <v>#NAME?</v>
      </c>
      <c r="D559" s="90" t="e">
        <f ca="1">[0]!CSVVLookUP(ROW(行数!B551),配列!$C$4,集計記録,4,1)</f>
        <v>#NAME?</v>
      </c>
      <c r="E559" s="118" t="e">
        <f t="shared" ca="1" si="60"/>
        <v>#NAME?</v>
      </c>
      <c r="F559" s="118" t="e">
        <f t="shared" ca="1" si="61"/>
        <v>#NAME?</v>
      </c>
      <c r="G559" s="103" t="e">
        <f t="shared" ca="1" si="62"/>
        <v>#NAME?</v>
      </c>
      <c r="H559" s="104" t="e">
        <f ca="1">IF(C559="","",MROUND([0]!CSVVLookUP(ROW(行数!A551),配列!$C$4,集計記録,8,1),"0:01"))</f>
        <v>#NAME?</v>
      </c>
      <c r="I559" s="104" t="e">
        <f t="shared" ca="1" si="63"/>
        <v>#NAME?</v>
      </c>
      <c r="J559" s="119" t="e">
        <f ca="1">IF(C559="","",MROUND([0]!CSVVLookUP(ROW(行数!A551),配列!$C$4,集計記録,7,1),"0:01"))</f>
        <v>#NAME?</v>
      </c>
      <c r="K559" s="92" t="e">
        <f ca="1">IF(C559="","",[0]!CSVVLookUP(ROW(行数!A551),配列!$C$4,集計記録,5,1))</f>
        <v>#NAME?</v>
      </c>
      <c r="L559" s="104" t="e">
        <f t="shared" ca="1" si="64"/>
        <v>#NAME?</v>
      </c>
      <c r="M559" s="120" t="e">
        <f t="shared" ca="1" si="58"/>
        <v>#NAME?</v>
      </c>
      <c r="N559" s="120" t="e">
        <f ca="1">IF([0]!CSVVLookUP(ROW(行数!A551),配列!$C$4,集計記録,6,1)=0,"",[0]!CSVVLookUP(ROW(行数!A551),配列!$C$4,集計記録,6,1))</f>
        <v>#NAME?</v>
      </c>
      <c r="O559" s="88" t="e">
        <f ca="1">IF(INDIRECT("M"&amp;ROW()-1)&lt;&gt;INDIRECT("M"&amp;ROW()),リスト!$I$5,"")</f>
        <v>#NAME?</v>
      </c>
      <c r="P559" s="88" t="e">
        <f ca="1">IF(INDIRECT("M"&amp;ROW())&lt;&gt;INDIRECT("M"&amp;ROW()+1),リスト!$I$6,"")</f>
        <v>#NAME?</v>
      </c>
    </row>
    <row r="560" spans="1:16" x14ac:dyDescent="0.2">
      <c r="A560" s="169" t="e">
        <f ca="1">IF(C560="","",ROW(行数!A552))</f>
        <v>#NAME?</v>
      </c>
      <c r="B560" s="168" t="e">
        <f t="shared" ca="1" si="59"/>
        <v>#NAME?</v>
      </c>
      <c r="C560" s="90" t="e">
        <f ca="1">[0]!CSVVLookUP(ROW(行数!A552),配列!$C$4,集計記録,3,1)</f>
        <v>#NAME?</v>
      </c>
      <c r="D560" s="90" t="e">
        <f ca="1">[0]!CSVVLookUP(ROW(行数!B552),配列!$C$4,集計記録,4,1)</f>
        <v>#NAME?</v>
      </c>
      <c r="E560" s="118" t="e">
        <f t="shared" ca="1" si="60"/>
        <v>#NAME?</v>
      </c>
      <c r="F560" s="118" t="e">
        <f t="shared" ca="1" si="61"/>
        <v>#NAME?</v>
      </c>
      <c r="G560" s="103" t="e">
        <f t="shared" ca="1" si="62"/>
        <v>#NAME?</v>
      </c>
      <c r="H560" s="104" t="e">
        <f ca="1">IF(C560="","",MROUND([0]!CSVVLookUP(ROW(行数!A552),配列!$C$4,集計記録,8,1),"0:01"))</f>
        <v>#NAME?</v>
      </c>
      <c r="I560" s="104" t="e">
        <f t="shared" ca="1" si="63"/>
        <v>#NAME?</v>
      </c>
      <c r="J560" s="119" t="e">
        <f ca="1">IF(C560="","",MROUND([0]!CSVVLookUP(ROW(行数!A552),配列!$C$4,集計記録,7,1),"0:01"))</f>
        <v>#NAME?</v>
      </c>
      <c r="K560" s="92" t="e">
        <f ca="1">IF(C560="","",[0]!CSVVLookUP(ROW(行数!A552),配列!$C$4,集計記録,5,1))</f>
        <v>#NAME?</v>
      </c>
      <c r="L560" s="104" t="e">
        <f t="shared" ca="1" si="64"/>
        <v>#NAME?</v>
      </c>
      <c r="M560" s="120" t="e">
        <f t="shared" ca="1" si="58"/>
        <v>#NAME?</v>
      </c>
      <c r="N560" s="120" t="e">
        <f ca="1">IF([0]!CSVVLookUP(ROW(行数!A552),配列!$C$4,集計記録,6,1)=0,"",[0]!CSVVLookUP(ROW(行数!A552),配列!$C$4,集計記録,6,1))</f>
        <v>#NAME?</v>
      </c>
      <c r="O560" s="88" t="e">
        <f ca="1">IF(INDIRECT("M"&amp;ROW()-1)&lt;&gt;INDIRECT("M"&amp;ROW()),リスト!$I$5,"")</f>
        <v>#NAME?</v>
      </c>
      <c r="P560" s="88" t="e">
        <f ca="1">IF(INDIRECT("M"&amp;ROW())&lt;&gt;INDIRECT("M"&amp;ROW()+1),リスト!$I$6,"")</f>
        <v>#NAME?</v>
      </c>
    </row>
    <row r="561" spans="1:16" x14ac:dyDescent="0.2">
      <c r="A561" s="169" t="e">
        <f ca="1">IF(C561="","",ROW(行数!A553))</f>
        <v>#NAME?</v>
      </c>
      <c r="B561" s="168" t="e">
        <f t="shared" ca="1" si="59"/>
        <v>#NAME?</v>
      </c>
      <c r="C561" s="90" t="e">
        <f ca="1">[0]!CSVVLookUP(ROW(行数!A553),配列!$C$4,集計記録,3,1)</f>
        <v>#NAME?</v>
      </c>
      <c r="D561" s="90" t="e">
        <f ca="1">[0]!CSVVLookUP(ROW(行数!B553),配列!$C$4,集計記録,4,1)</f>
        <v>#NAME?</v>
      </c>
      <c r="E561" s="118" t="e">
        <f t="shared" ca="1" si="60"/>
        <v>#NAME?</v>
      </c>
      <c r="F561" s="118" t="e">
        <f t="shared" ca="1" si="61"/>
        <v>#NAME?</v>
      </c>
      <c r="G561" s="103" t="e">
        <f t="shared" ca="1" si="62"/>
        <v>#NAME?</v>
      </c>
      <c r="H561" s="104" t="e">
        <f ca="1">IF(C561="","",MROUND([0]!CSVVLookUP(ROW(行数!A553),配列!$C$4,集計記録,8,1),"0:01"))</f>
        <v>#NAME?</v>
      </c>
      <c r="I561" s="104" t="e">
        <f t="shared" ca="1" si="63"/>
        <v>#NAME?</v>
      </c>
      <c r="J561" s="119" t="e">
        <f ca="1">IF(C561="","",MROUND([0]!CSVVLookUP(ROW(行数!A553),配列!$C$4,集計記録,7,1),"0:01"))</f>
        <v>#NAME?</v>
      </c>
      <c r="K561" s="92" t="e">
        <f ca="1">IF(C561="","",[0]!CSVVLookUP(ROW(行数!A553),配列!$C$4,集計記録,5,1))</f>
        <v>#NAME?</v>
      </c>
      <c r="L561" s="104" t="e">
        <f t="shared" ca="1" si="64"/>
        <v>#NAME?</v>
      </c>
      <c r="M561" s="120" t="e">
        <f t="shared" ca="1" si="58"/>
        <v>#NAME?</v>
      </c>
      <c r="N561" s="120" t="e">
        <f ca="1">IF([0]!CSVVLookUP(ROW(行数!A553),配列!$C$4,集計記録,6,1)=0,"",[0]!CSVVLookUP(ROW(行数!A553),配列!$C$4,集計記録,6,1))</f>
        <v>#NAME?</v>
      </c>
      <c r="O561" s="88" t="e">
        <f ca="1">IF(INDIRECT("M"&amp;ROW()-1)&lt;&gt;INDIRECT("M"&amp;ROW()),リスト!$I$5,"")</f>
        <v>#NAME?</v>
      </c>
      <c r="P561" s="88" t="e">
        <f ca="1">IF(INDIRECT("M"&amp;ROW())&lt;&gt;INDIRECT("M"&amp;ROW()+1),リスト!$I$6,"")</f>
        <v>#NAME?</v>
      </c>
    </row>
    <row r="562" spans="1:16" x14ac:dyDescent="0.2">
      <c r="A562" s="169" t="e">
        <f ca="1">IF(C562="","",ROW(行数!A554))</f>
        <v>#NAME?</v>
      </c>
      <c r="B562" s="168" t="e">
        <f t="shared" ca="1" si="59"/>
        <v>#NAME?</v>
      </c>
      <c r="C562" s="90" t="e">
        <f ca="1">[0]!CSVVLookUP(ROW(行数!A554),配列!$C$4,集計記録,3,1)</f>
        <v>#NAME?</v>
      </c>
      <c r="D562" s="90" t="e">
        <f ca="1">[0]!CSVVLookUP(ROW(行数!B554),配列!$C$4,集計記録,4,1)</f>
        <v>#NAME?</v>
      </c>
      <c r="E562" s="118" t="e">
        <f t="shared" ca="1" si="60"/>
        <v>#NAME?</v>
      </c>
      <c r="F562" s="118" t="e">
        <f t="shared" ca="1" si="61"/>
        <v>#NAME?</v>
      </c>
      <c r="G562" s="103" t="e">
        <f t="shared" ca="1" si="62"/>
        <v>#NAME?</v>
      </c>
      <c r="H562" s="104" t="e">
        <f ca="1">IF(C562="","",MROUND([0]!CSVVLookUP(ROW(行数!A554),配列!$C$4,集計記録,8,1),"0:01"))</f>
        <v>#NAME?</v>
      </c>
      <c r="I562" s="104" t="e">
        <f t="shared" ca="1" si="63"/>
        <v>#NAME?</v>
      </c>
      <c r="J562" s="119" t="e">
        <f ca="1">IF(C562="","",MROUND([0]!CSVVLookUP(ROW(行数!A554),配列!$C$4,集計記録,7,1),"0:01"))</f>
        <v>#NAME?</v>
      </c>
      <c r="K562" s="92" t="e">
        <f ca="1">IF(C562="","",[0]!CSVVLookUP(ROW(行数!A554),配列!$C$4,集計記録,5,1))</f>
        <v>#NAME?</v>
      </c>
      <c r="L562" s="104" t="e">
        <f t="shared" ca="1" si="64"/>
        <v>#NAME?</v>
      </c>
      <c r="M562" s="120" t="e">
        <f t="shared" ca="1" si="58"/>
        <v>#NAME?</v>
      </c>
      <c r="N562" s="120" t="e">
        <f ca="1">IF([0]!CSVVLookUP(ROW(行数!A554),配列!$C$4,集計記録,6,1)=0,"",[0]!CSVVLookUP(ROW(行数!A554),配列!$C$4,集計記録,6,1))</f>
        <v>#NAME?</v>
      </c>
      <c r="O562" s="88" t="e">
        <f ca="1">IF(INDIRECT("M"&amp;ROW()-1)&lt;&gt;INDIRECT("M"&amp;ROW()),リスト!$I$5,"")</f>
        <v>#NAME?</v>
      </c>
      <c r="P562" s="88" t="e">
        <f ca="1">IF(INDIRECT("M"&amp;ROW())&lt;&gt;INDIRECT("M"&amp;ROW()+1),リスト!$I$6,"")</f>
        <v>#NAME?</v>
      </c>
    </row>
    <row r="563" spans="1:16" x14ac:dyDescent="0.2">
      <c r="A563" s="169" t="e">
        <f ca="1">IF(C563="","",ROW(行数!A555))</f>
        <v>#NAME?</v>
      </c>
      <c r="B563" s="168" t="e">
        <f t="shared" ca="1" si="59"/>
        <v>#NAME?</v>
      </c>
      <c r="C563" s="90" t="e">
        <f ca="1">[0]!CSVVLookUP(ROW(行数!A555),配列!$C$4,集計記録,3,1)</f>
        <v>#NAME?</v>
      </c>
      <c r="D563" s="90" t="e">
        <f ca="1">[0]!CSVVLookUP(ROW(行数!B555),配列!$C$4,集計記録,4,1)</f>
        <v>#NAME?</v>
      </c>
      <c r="E563" s="118" t="e">
        <f t="shared" ca="1" si="60"/>
        <v>#NAME?</v>
      </c>
      <c r="F563" s="118" t="e">
        <f t="shared" ca="1" si="61"/>
        <v>#NAME?</v>
      </c>
      <c r="G563" s="103" t="e">
        <f t="shared" ca="1" si="62"/>
        <v>#NAME?</v>
      </c>
      <c r="H563" s="104" t="e">
        <f ca="1">IF(C563="","",MROUND([0]!CSVVLookUP(ROW(行数!A555),配列!$C$4,集計記録,8,1),"0:01"))</f>
        <v>#NAME?</v>
      </c>
      <c r="I563" s="104" t="e">
        <f t="shared" ca="1" si="63"/>
        <v>#NAME?</v>
      </c>
      <c r="J563" s="119" t="e">
        <f ca="1">IF(C563="","",MROUND([0]!CSVVLookUP(ROW(行数!A555),配列!$C$4,集計記録,7,1),"0:01"))</f>
        <v>#NAME?</v>
      </c>
      <c r="K563" s="92" t="e">
        <f ca="1">IF(C563="","",[0]!CSVVLookUP(ROW(行数!A555),配列!$C$4,集計記録,5,1))</f>
        <v>#NAME?</v>
      </c>
      <c r="L563" s="104" t="e">
        <f t="shared" ca="1" si="64"/>
        <v>#NAME?</v>
      </c>
      <c r="M563" s="120" t="e">
        <f t="shared" ca="1" si="58"/>
        <v>#NAME?</v>
      </c>
      <c r="N563" s="120" t="e">
        <f ca="1">IF([0]!CSVVLookUP(ROW(行数!A555),配列!$C$4,集計記録,6,1)=0,"",[0]!CSVVLookUP(ROW(行数!A555),配列!$C$4,集計記録,6,1))</f>
        <v>#NAME?</v>
      </c>
      <c r="O563" s="88" t="e">
        <f ca="1">IF(INDIRECT("M"&amp;ROW()-1)&lt;&gt;INDIRECT("M"&amp;ROW()),リスト!$I$5,"")</f>
        <v>#NAME?</v>
      </c>
      <c r="P563" s="88" t="e">
        <f ca="1">IF(INDIRECT("M"&amp;ROW())&lt;&gt;INDIRECT("M"&amp;ROW()+1),リスト!$I$6,"")</f>
        <v>#NAME?</v>
      </c>
    </row>
    <row r="564" spans="1:16" x14ac:dyDescent="0.2">
      <c r="A564" s="169" t="e">
        <f ca="1">IF(C564="","",ROW(行数!A556))</f>
        <v>#NAME?</v>
      </c>
      <c r="B564" s="168" t="e">
        <f t="shared" ca="1" si="59"/>
        <v>#NAME?</v>
      </c>
      <c r="C564" s="90" t="e">
        <f ca="1">[0]!CSVVLookUP(ROW(行数!A556),配列!$C$4,集計記録,3,1)</f>
        <v>#NAME?</v>
      </c>
      <c r="D564" s="90" t="e">
        <f ca="1">[0]!CSVVLookUP(ROW(行数!B556),配列!$C$4,集計記録,4,1)</f>
        <v>#NAME?</v>
      </c>
      <c r="E564" s="118" t="e">
        <f t="shared" ca="1" si="60"/>
        <v>#NAME?</v>
      </c>
      <c r="F564" s="118" t="e">
        <f t="shared" ca="1" si="61"/>
        <v>#NAME?</v>
      </c>
      <c r="G564" s="103" t="e">
        <f t="shared" ca="1" si="62"/>
        <v>#NAME?</v>
      </c>
      <c r="H564" s="104" t="e">
        <f ca="1">IF(C564="","",MROUND([0]!CSVVLookUP(ROW(行数!A556),配列!$C$4,集計記録,8,1),"0:01"))</f>
        <v>#NAME?</v>
      </c>
      <c r="I564" s="104" t="e">
        <f t="shared" ca="1" si="63"/>
        <v>#NAME?</v>
      </c>
      <c r="J564" s="119" t="e">
        <f ca="1">IF(C564="","",MROUND([0]!CSVVLookUP(ROW(行数!A556),配列!$C$4,集計記録,7,1),"0:01"))</f>
        <v>#NAME?</v>
      </c>
      <c r="K564" s="92" t="e">
        <f ca="1">IF(C564="","",[0]!CSVVLookUP(ROW(行数!A556),配列!$C$4,集計記録,5,1))</f>
        <v>#NAME?</v>
      </c>
      <c r="L564" s="104" t="e">
        <f t="shared" ca="1" si="64"/>
        <v>#NAME?</v>
      </c>
      <c r="M564" s="120" t="e">
        <f t="shared" ca="1" si="58"/>
        <v>#NAME?</v>
      </c>
      <c r="N564" s="120" t="e">
        <f ca="1">IF([0]!CSVVLookUP(ROW(行数!A556),配列!$C$4,集計記録,6,1)=0,"",[0]!CSVVLookUP(ROW(行数!A556),配列!$C$4,集計記録,6,1))</f>
        <v>#NAME?</v>
      </c>
      <c r="O564" s="88" t="e">
        <f ca="1">IF(INDIRECT("M"&amp;ROW()-1)&lt;&gt;INDIRECT("M"&amp;ROW()),リスト!$I$5,"")</f>
        <v>#NAME?</v>
      </c>
      <c r="P564" s="88" t="e">
        <f ca="1">IF(INDIRECT("M"&amp;ROW())&lt;&gt;INDIRECT("M"&amp;ROW()+1),リスト!$I$6,"")</f>
        <v>#NAME?</v>
      </c>
    </row>
    <row r="565" spans="1:16" x14ac:dyDescent="0.2">
      <c r="A565" s="169" t="e">
        <f ca="1">IF(C565="","",ROW(行数!A557))</f>
        <v>#NAME?</v>
      </c>
      <c r="B565" s="168" t="e">
        <f t="shared" ca="1" si="59"/>
        <v>#NAME?</v>
      </c>
      <c r="C565" s="90" t="e">
        <f ca="1">[0]!CSVVLookUP(ROW(行数!A557),配列!$C$4,集計記録,3,1)</f>
        <v>#NAME?</v>
      </c>
      <c r="D565" s="90" t="e">
        <f ca="1">[0]!CSVVLookUP(ROW(行数!B557),配列!$C$4,集計記録,4,1)</f>
        <v>#NAME?</v>
      </c>
      <c r="E565" s="118" t="e">
        <f t="shared" ca="1" si="60"/>
        <v>#NAME?</v>
      </c>
      <c r="F565" s="118" t="e">
        <f t="shared" ca="1" si="61"/>
        <v>#NAME?</v>
      </c>
      <c r="G565" s="103" t="e">
        <f t="shared" ca="1" si="62"/>
        <v>#NAME?</v>
      </c>
      <c r="H565" s="104" t="e">
        <f ca="1">IF(C565="","",MROUND([0]!CSVVLookUP(ROW(行数!A557),配列!$C$4,集計記録,8,1),"0:01"))</f>
        <v>#NAME?</v>
      </c>
      <c r="I565" s="104" t="e">
        <f t="shared" ca="1" si="63"/>
        <v>#NAME?</v>
      </c>
      <c r="J565" s="119" t="e">
        <f ca="1">IF(C565="","",MROUND([0]!CSVVLookUP(ROW(行数!A557),配列!$C$4,集計記録,7,1),"0:01"))</f>
        <v>#NAME?</v>
      </c>
      <c r="K565" s="92" t="e">
        <f ca="1">IF(C565="","",[0]!CSVVLookUP(ROW(行数!A557),配列!$C$4,集計記録,5,1))</f>
        <v>#NAME?</v>
      </c>
      <c r="L565" s="104" t="e">
        <f t="shared" ca="1" si="64"/>
        <v>#NAME?</v>
      </c>
      <c r="M565" s="120" t="e">
        <f t="shared" ca="1" si="58"/>
        <v>#NAME?</v>
      </c>
      <c r="N565" s="120" t="e">
        <f ca="1">IF([0]!CSVVLookUP(ROW(行数!A557),配列!$C$4,集計記録,6,1)=0,"",[0]!CSVVLookUP(ROW(行数!A557),配列!$C$4,集計記録,6,1))</f>
        <v>#NAME?</v>
      </c>
      <c r="O565" s="88" t="e">
        <f ca="1">IF(INDIRECT("M"&amp;ROW()-1)&lt;&gt;INDIRECT("M"&amp;ROW()),リスト!$I$5,"")</f>
        <v>#NAME?</v>
      </c>
      <c r="P565" s="88" t="e">
        <f ca="1">IF(INDIRECT("M"&amp;ROW())&lt;&gt;INDIRECT("M"&amp;ROW()+1),リスト!$I$6,"")</f>
        <v>#NAME?</v>
      </c>
    </row>
    <row r="566" spans="1:16" x14ac:dyDescent="0.2">
      <c r="A566" s="169" t="e">
        <f ca="1">IF(C566="","",ROW(行数!A558))</f>
        <v>#NAME?</v>
      </c>
      <c r="B566" s="168" t="e">
        <f t="shared" ca="1" si="59"/>
        <v>#NAME?</v>
      </c>
      <c r="C566" s="90" t="e">
        <f ca="1">[0]!CSVVLookUP(ROW(行数!A558),配列!$C$4,集計記録,3,1)</f>
        <v>#NAME?</v>
      </c>
      <c r="D566" s="90" t="e">
        <f ca="1">[0]!CSVVLookUP(ROW(行数!B558),配列!$C$4,集計記録,4,1)</f>
        <v>#NAME?</v>
      </c>
      <c r="E566" s="118" t="e">
        <f t="shared" ca="1" si="60"/>
        <v>#NAME?</v>
      </c>
      <c r="F566" s="118" t="e">
        <f t="shared" ca="1" si="61"/>
        <v>#NAME?</v>
      </c>
      <c r="G566" s="103" t="e">
        <f t="shared" ca="1" si="62"/>
        <v>#NAME?</v>
      </c>
      <c r="H566" s="104" t="e">
        <f ca="1">IF(C566="","",MROUND([0]!CSVVLookUP(ROW(行数!A558),配列!$C$4,集計記録,8,1),"0:01"))</f>
        <v>#NAME?</v>
      </c>
      <c r="I566" s="104" t="e">
        <f t="shared" ca="1" si="63"/>
        <v>#NAME?</v>
      </c>
      <c r="J566" s="119" t="e">
        <f ca="1">IF(C566="","",MROUND([0]!CSVVLookUP(ROW(行数!A558),配列!$C$4,集計記録,7,1),"0:01"))</f>
        <v>#NAME?</v>
      </c>
      <c r="K566" s="92" t="e">
        <f ca="1">IF(C566="","",[0]!CSVVLookUP(ROW(行数!A558),配列!$C$4,集計記録,5,1))</f>
        <v>#NAME?</v>
      </c>
      <c r="L566" s="104" t="e">
        <f t="shared" ca="1" si="64"/>
        <v>#NAME?</v>
      </c>
      <c r="M566" s="120" t="e">
        <f t="shared" ca="1" si="58"/>
        <v>#NAME?</v>
      </c>
      <c r="N566" s="120" t="e">
        <f ca="1">IF([0]!CSVVLookUP(ROW(行数!A558),配列!$C$4,集計記録,6,1)=0,"",[0]!CSVVLookUP(ROW(行数!A558),配列!$C$4,集計記録,6,1))</f>
        <v>#NAME?</v>
      </c>
      <c r="O566" s="88" t="e">
        <f ca="1">IF(INDIRECT("M"&amp;ROW()-1)&lt;&gt;INDIRECT("M"&amp;ROW()),リスト!$I$5,"")</f>
        <v>#NAME?</v>
      </c>
      <c r="P566" s="88" t="e">
        <f ca="1">IF(INDIRECT("M"&amp;ROW())&lt;&gt;INDIRECT("M"&amp;ROW()+1),リスト!$I$6,"")</f>
        <v>#NAME?</v>
      </c>
    </row>
    <row r="567" spans="1:16" x14ac:dyDescent="0.2">
      <c r="A567" s="169" t="e">
        <f ca="1">IF(C567="","",ROW(行数!A559))</f>
        <v>#NAME?</v>
      </c>
      <c r="B567" s="168" t="e">
        <f t="shared" ca="1" si="59"/>
        <v>#NAME?</v>
      </c>
      <c r="C567" s="90" t="e">
        <f ca="1">[0]!CSVVLookUP(ROW(行数!A559),配列!$C$4,集計記録,3,1)</f>
        <v>#NAME?</v>
      </c>
      <c r="D567" s="90" t="e">
        <f ca="1">[0]!CSVVLookUP(ROW(行数!B559),配列!$C$4,集計記録,4,1)</f>
        <v>#NAME?</v>
      </c>
      <c r="E567" s="118" t="e">
        <f t="shared" ca="1" si="60"/>
        <v>#NAME?</v>
      </c>
      <c r="F567" s="118" t="e">
        <f t="shared" ca="1" si="61"/>
        <v>#NAME?</v>
      </c>
      <c r="G567" s="103" t="e">
        <f t="shared" ca="1" si="62"/>
        <v>#NAME?</v>
      </c>
      <c r="H567" s="104" t="e">
        <f ca="1">IF(C567="","",MROUND([0]!CSVVLookUP(ROW(行数!A559),配列!$C$4,集計記録,8,1),"0:01"))</f>
        <v>#NAME?</v>
      </c>
      <c r="I567" s="104" t="e">
        <f t="shared" ca="1" si="63"/>
        <v>#NAME?</v>
      </c>
      <c r="J567" s="119" t="e">
        <f ca="1">IF(C567="","",MROUND([0]!CSVVLookUP(ROW(行数!A559),配列!$C$4,集計記録,7,1),"0:01"))</f>
        <v>#NAME?</v>
      </c>
      <c r="K567" s="92" t="e">
        <f ca="1">IF(C567="","",[0]!CSVVLookUP(ROW(行数!A559),配列!$C$4,集計記録,5,1))</f>
        <v>#NAME?</v>
      </c>
      <c r="L567" s="104" t="e">
        <f t="shared" ca="1" si="64"/>
        <v>#NAME?</v>
      </c>
      <c r="M567" s="120" t="e">
        <f t="shared" ca="1" si="58"/>
        <v>#NAME?</v>
      </c>
      <c r="N567" s="120" t="e">
        <f ca="1">IF([0]!CSVVLookUP(ROW(行数!A559),配列!$C$4,集計記録,6,1)=0,"",[0]!CSVVLookUP(ROW(行数!A559),配列!$C$4,集計記録,6,1))</f>
        <v>#NAME?</v>
      </c>
      <c r="O567" s="88" t="e">
        <f ca="1">IF(INDIRECT("M"&amp;ROW()-1)&lt;&gt;INDIRECT("M"&amp;ROW()),リスト!$I$5,"")</f>
        <v>#NAME?</v>
      </c>
      <c r="P567" s="88" t="e">
        <f ca="1">IF(INDIRECT("M"&amp;ROW())&lt;&gt;INDIRECT("M"&amp;ROW()+1),リスト!$I$6,"")</f>
        <v>#NAME?</v>
      </c>
    </row>
    <row r="568" spans="1:16" x14ac:dyDescent="0.2">
      <c r="A568" s="169" t="e">
        <f ca="1">IF(C568="","",ROW(行数!A560))</f>
        <v>#NAME?</v>
      </c>
      <c r="B568" s="168" t="e">
        <f t="shared" ca="1" si="59"/>
        <v>#NAME?</v>
      </c>
      <c r="C568" s="90" t="e">
        <f ca="1">[0]!CSVVLookUP(ROW(行数!A560),配列!$C$4,集計記録,3,1)</f>
        <v>#NAME?</v>
      </c>
      <c r="D568" s="90" t="e">
        <f ca="1">[0]!CSVVLookUP(ROW(行数!B560),配列!$C$4,集計記録,4,1)</f>
        <v>#NAME?</v>
      </c>
      <c r="E568" s="118" t="e">
        <f t="shared" ca="1" si="60"/>
        <v>#NAME?</v>
      </c>
      <c r="F568" s="118" t="e">
        <f t="shared" ca="1" si="61"/>
        <v>#NAME?</v>
      </c>
      <c r="G568" s="103" t="e">
        <f t="shared" ca="1" si="62"/>
        <v>#NAME?</v>
      </c>
      <c r="H568" s="104" t="e">
        <f ca="1">IF(C568="","",MROUND([0]!CSVVLookUP(ROW(行数!A560),配列!$C$4,集計記録,8,1),"0:01"))</f>
        <v>#NAME?</v>
      </c>
      <c r="I568" s="104" t="e">
        <f t="shared" ca="1" si="63"/>
        <v>#NAME?</v>
      </c>
      <c r="J568" s="119" t="e">
        <f ca="1">IF(C568="","",MROUND([0]!CSVVLookUP(ROW(行数!A560),配列!$C$4,集計記録,7,1),"0:01"))</f>
        <v>#NAME?</v>
      </c>
      <c r="K568" s="92" t="e">
        <f ca="1">IF(C568="","",[0]!CSVVLookUP(ROW(行数!A560),配列!$C$4,集計記録,5,1))</f>
        <v>#NAME?</v>
      </c>
      <c r="L568" s="104" t="e">
        <f t="shared" ca="1" si="64"/>
        <v>#NAME?</v>
      </c>
      <c r="M568" s="120" t="e">
        <f t="shared" ca="1" si="58"/>
        <v>#NAME?</v>
      </c>
      <c r="N568" s="120" t="e">
        <f ca="1">IF([0]!CSVVLookUP(ROW(行数!A560),配列!$C$4,集計記録,6,1)=0,"",[0]!CSVVLookUP(ROW(行数!A560),配列!$C$4,集計記録,6,1))</f>
        <v>#NAME?</v>
      </c>
      <c r="O568" s="88" t="e">
        <f ca="1">IF(INDIRECT("M"&amp;ROW()-1)&lt;&gt;INDIRECT("M"&amp;ROW()),リスト!$I$5,"")</f>
        <v>#NAME?</v>
      </c>
      <c r="P568" s="88" t="e">
        <f ca="1">IF(INDIRECT("M"&amp;ROW())&lt;&gt;INDIRECT("M"&amp;ROW()+1),リスト!$I$6,"")</f>
        <v>#NAME?</v>
      </c>
    </row>
    <row r="569" spans="1:16" x14ac:dyDescent="0.2">
      <c r="A569" s="169" t="e">
        <f ca="1">IF(C569="","",ROW(行数!A561))</f>
        <v>#NAME?</v>
      </c>
      <c r="B569" s="168" t="e">
        <f t="shared" ca="1" si="59"/>
        <v>#NAME?</v>
      </c>
      <c r="C569" s="90" t="e">
        <f ca="1">[0]!CSVVLookUP(ROW(行数!A561),配列!$C$4,集計記録,3,1)</f>
        <v>#NAME?</v>
      </c>
      <c r="D569" s="90" t="e">
        <f ca="1">[0]!CSVVLookUP(ROW(行数!B561),配列!$C$4,集計記録,4,1)</f>
        <v>#NAME?</v>
      </c>
      <c r="E569" s="118" t="e">
        <f t="shared" ca="1" si="60"/>
        <v>#NAME?</v>
      </c>
      <c r="F569" s="118" t="e">
        <f t="shared" ca="1" si="61"/>
        <v>#NAME?</v>
      </c>
      <c r="G569" s="103" t="e">
        <f t="shared" ca="1" si="62"/>
        <v>#NAME?</v>
      </c>
      <c r="H569" s="104" t="e">
        <f ca="1">IF(C569="","",MROUND([0]!CSVVLookUP(ROW(行数!A561),配列!$C$4,集計記録,8,1),"0:01"))</f>
        <v>#NAME?</v>
      </c>
      <c r="I569" s="104" t="e">
        <f t="shared" ca="1" si="63"/>
        <v>#NAME?</v>
      </c>
      <c r="J569" s="119" t="e">
        <f ca="1">IF(C569="","",MROUND([0]!CSVVLookUP(ROW(行数!A561),配列!$C$4,集計記録,7,1),"0:01"))</f>
        <v>#NAME?</v>
      </c>
      <c r="K569" s="92" t="e">
        <f ca="1">IF(C569="","",[0]!CSVVLookUP(ROW(行数!A561),配列!$C$4,集計記録,5,1))</f>
        <v>#NAME?</v>
      </c>
      <c r="L569" s="104" t="e">
        <f t="shared" ca="1" si="64"/>
        <v>#NAME?</v>
      </c>
      <c r="M569" s="120" t="e">
        <f t="shared" ca="1" si="58"/>
        <v>#NAME?</v>
      </c>
      <c r="N569" s="120" t="e">
        <f ca="1">IF([0]!CSVVLookUP(ROW(行数!A561),配列!$C$4,集計記録,6,1)=0,"",[0]!CSVVLookUP(ROW(行数!A561),配列!$C$4,集計記録,6,1))</f>
        <v>#NAME?</v>
      </c>
      <c r="O569" s="88" t="e">
        <f ca="1">IF(INDIRECT("M"&amp;ROW()-1)&lt;&gt;INDIRECT("M"&amp;ROW()),リスト!$I$5,"")</f>
        <v>#NAME?</v>
      </c>
      <c r="P569" s="88" t="e">
        <f ca="1">IF(INDIRECT("M"&amp;ROW())&lt;&gt;INDIRECT("M"&amp;ROW()+1),リスト!$I$6,"")</f>
        <v>#NAME?</v>
      </c>
    </row>
    <row r="570" spans="1:16" x14ac:dyDescent="0.2">
      <c r="A570" s="169" t="e">
        <f ca="1">IF(C570="","",ROW(行数!A562))</f>
        <v>#NAME?</v>
      </c>
      <c r="B570" s="168" t="e">
        <f t="shared" ca="1" si="59"/>
        <v>#NAME?</v>
      </c>
      <c r="C570" s="90" t="e">
        <f ca="1">[0]!CSVVLookUP(ROW(行数!A562),配列!$C$4,集計記録,3,1)</f>
        <v>#NAME?</v>
      </c>
      <c r="D570" s="90" t="e">
        <f ca="1">[0]!CSVVLookUP(ROW(行数!B562),配列!$C$4,集計記録,4,1)</f>
        <v>#NAME?</v>
      </c>
      <c r="E570" s="118" t="e">
        <f t="shared" ca="1" si="60"/>
        <v>#NAME?</v>
      </c>
      <c r="F570" s="118" t="e">
        <f t="shared" ca="1" si="61"/>
        <v>#NAME?</v>
      </c>
      <c r="G570" s="103" t="e">
        <f t="shared" ca="1" si="62"/>
        <v>#NAME?</v>
      </c>
      <c r="H570" s="104" t="e">
        <f ca="1">IF(C570="","",MROUND([0]!CSVVLookUP(ROW(行数!A562),配列!$C$4,集計記録,8,1),"0:01"))</f>
        <v>#NAME?</v>
      </c>
      <c r="I570" s="104" t="e">
        <f t="shared" ca="1" si="63"/>
        <v>#NAME?</v>
      </c>
      <c r="J570" s="119" t="e">
        <f ca="1">IF(C570="","",MROUND([0]!CSVVLookUP(ROW(行数!A562),配列!$C$4,集計記録,7,1),"0:01"))</f>
        <v>#NAME?</v>
      </c>
      <c r="K570" s="92" t="e">
        <f ca="1">IF(C570="","",[0]!CSVVLookUP(ROW(行数!A562),配列!$C$4,集計記録,5,1))</f>
        <v>#NAME?</v>
      </c>
      <c r="L570" s="104" t="e">
        <f t="shared" ca="1" si="64"/>
        <v>#NAME?</v>
      </c>
      <c r="M570" s="120" t="e">
        <f t="shared" ca="1" si="58"/>
        <v>#NAME?</v>
      </c>
      <c r="N570" s="120" t="e">
        <f ca="1">IF([0]!CSVVLookUP(ROW(行数!A562),配列!$C$4,集計記録,6,1)=0,"",[0]!CSVVLookUP(ROW(行数!A562),配列!$C$4,集計記録,6,1))</f>
        <v>#NAME?</v>
      </c>
      <c r="O570" s="88" t="e">
        <f ca="1">IF(INDIRECT("M"&amp;ROW()-1)&lt;&gt;INDIRECT("M"&amp;ROW()),リスト!$I$5,"")</f>
        <v>#NAME?</v>
      </c>
      <c r="P570" s="88" t="e">
        <f ca="1">IF(INDIRECT("M"&amp;ROW())&lt;&gt;INDIRECT("M"&amp;ROW()+1),リスト!$I$6,"")</f>
        <v>#NAME?</v>
      </c>
    </row>
    <row r="571" spans="1:16" x14ac:dyDescent="0.2">
      <c r="A571" s="169" t="e">
        <f ca="1">IF(C571="","",ROW(行数!A563))</f>
        <v>#NAME?</v>
      </c>
      <c r="B571" s="168" t="e">
        <f t="shared" ca="1" si="59"/>
        <v>#NAME?</v>
      </c>
      <c r="C571" s="90" t="e">
        <f ca="1">[0]!CSVVLookUP(ROW(行数!A563),配列!$C$4,集計記録,3,1)</f>
        <v>#NAME?</v>
      </c>
      <c r="D571" s="90" t="e">
        <f ca="1">[0]!CSVVLookUP(ROW(行数!B563),配列!$C$4,集計記録,4,1)</f>
        <v>#NAME?</v>
      </c>
      <c r="E571" s="118" t="e">
        <f t="shared" ca="1" si="60"/>
        <v>#NAME?</v>
      </c>
      <c r="F571" s="118" t="e">
        <f t="shared" ca="1" si="61"/>
        <v>#NAME?</v>
      </c>
      <c r="G571" s="103" t="e">
        <f t="shared" ca="1" si="62"/>
        <v>#NAME?</v>
      </c>
      <c r="H571" s="104" t="e">
        <f ca="1">IF(C571="","",MROUND([0]!CSVVLookUP(ROW(行数!A563),配列!$C$4,集計記録,8,1),"0:01"))</f>
        <v>#NAME?</v>
      </c>
      <c r="I571" s="104" t="e">
        <f t="shared" ca="1" si="63"/>
        <v>#NAME?</v>
      </c>
      <c r="J571" s="119" t="e">
        <f ca="1">IF(C571="","",MROUND([0]!CSVVLookUP(ROW(行数!A563),配列!$C$4,集計記録,7,1),"0:01"))</f>
        <v>#NAME?</v>
      </c>
      <c r="K571" s="92" t="e">
        <f ca="1">IF(C571="","",[0]!CSVVLookUP(ROW(行数!A563),配列!$C$4,集計記録,5,1))</f>
        <v>#NAME?</v>
      </c>
      <c r="L571" s="104" t="e">
        <f t="shared" ca="1" si="64"/>
        <v>#NAME?</v>
      </c>
      <c r="M571" s="120" t="e">
        <f t="shared" ca="1" si="58"/>
        <v>#NAME?</v>
      </c>
      <c r="N571" s="120" t="e">
        <f ca="1">IF([0]!CSVVLookUP(ROW(行数!A563),配列!$C$4,集計記録,6,1)=0,"",[0]!CSVVLookUP(ROW(行数!A563),配列!$C$4,集計記録,6,1))</f>
        <v>#NAME?</v>
      </c>
      <c r="O571" s="88" t="e">
        <f ca="1">IF(INDIRECT("M"&amp;ROW()-1)&lt;&gt;INDIRECT("M"&amp;ROW()),リスト!$I$5,"")</f>
        <v>#NAME?</v>
      </c>
      <c r="P571" s="88" t="e">
        <f ca="1">IF(INDIRECT("M"&amp;ROW())&lt;&gt;INDIRECT("M"&amp;ROW()+1),リスト!$I$6,"")</f>
        <v>#NAME?</v>
      </c>
    </row>
    <row r="572" spans="1:16" x14ac:dyDescent="0.2">
      <c r="A572" s="169" t="e">
        <f ca="1">IF(C572="","",ROW(行数!A564))</f>
        <v>#NAME?</v>
      </c>
      <c r="B572" s="168" t="e">
        <f t="shared" ca="1" si="59"/>
        <v>#NAME?</v>
      </c>
      <c r="C572" s="90" t="e">
        <f ca="1">[0]!CSVVLookUP(ROW(行数!A564),配列!$C$4,集計記録,3,1)</f>
        <v>#NAME?</v>
      </c>
      <c r="D572" s="90" t="e">
        <f ca="1">[0]!CSVVLookUP(ROW(行数!B564),配列!$C$4,集計記録,4,1)</f>
        <v>#NAME?</v>
      </c>
      <c r="E572" s="118" t="e">
        <f t="shared" ca="1" si="60"/>
        <v>#NAME?</v>
      </c>
      <c r="F572" s="118" t="e">
        <f t="shared" ca="1" si="61"/>
        <v>#NAME?</v>
      </c>
      <c r="G572" s="103" t="e">
        <f t="shared" ca="1" si="62"/>
        <v>#NAME?</v>
      </c>
      <c r="H572" s="104" t="e">
        <f ca="1">IF(C572="","",MROUND([0]!CSVVLookUP(ROW(行数!A564),配列!$C$4,集計記録,8,1),"0:01"))</f>
        <v>#NAME?</v>
      </c>
      <c r="I572" s="104" t="e">
        <f t="shared" ca="1" si="63"/>
        <v>#NAME?</v>
      </c>
      <c r="J572" s="119" t="e">
        <f ca="1">IF(C572="","",MROUND([0]!CSVVLookUP(ROW(行数!A564),配列!$C$4,集計記録,7,1),"0:01"))</f>
        <v>#NAME?</v>
      </c>
      <c r="K572" s="92" t="e">
        <f ca="1">IF(C572="","",[0]!CSVVLookUP(ROW(行数!A564),配列!$C$4,集計記録,5,1))</f>
        <v>#NAME?</v>
      </c>
      <c r="L572" s="104" t="e">
        <f t="shared" ca="1" si="64"/>
        <v>#NAME?</v>
      </c>
      <c r="M572" s="120" t="e">
        <f t="shared" ca="1" si="58"/>
        <v>#NAME?</v>
      </c>
      <c r="N572" s="120" t="e">
        <f ca="1">IF([0]!CSVVLookUP(ROW(行数!A564),配列!$C$4,集計記録,6,1)=0,"",[0]!CSVVLookUP(ROW(行数!A564),配列!$C$4,集計記録,6,1))</f>
        <v>#NAME?</v>
      </c>
      <c r="O572" s="88" t="e">
        <f ca="1">IF(INDIRECT("M"&amp;ROW()-1)&lt;&gt;INDIRECT("M"&amp;ROW()),リスト!$I$5,"")</f>
        <v>#NAME?</v>
      </c>
      <c r="P572" s="88" t="e">
        <f ca="1">IF(INDIRECT("M"&amp;ROW())&lt;&gt;INDIRECT("M"&amp;ROW()+1),リスト!$I$6,"")</f>
        <v>#NAME?</v>
      </c>
    </row>
    <row r="573" spans="1:16" x14ac:dyDescent="0.2">
      <c r="A573" s="169" t="e">
        <f ca="1">IF(C573="","",ROW(行数!A565))</f>
        <v>#NAME?</v>
      </c>
      <c r="B573" s="168" t="e">
        <f t="shared" ca="1" si="59"/>
        <v>#NAME?</v>
      </c>
      <c r="C573" s="90" t="e">
        <f ca="1">[0]!CSVVLookUP(ROW(行数!A565),配列!$C$4,集計記録,3,1)</f>
        <v>#NAME?</v>
      </c>
      <c r="D573" s="90" t="e">
        <f ca="1">[0]!CSVVLookUP(ROW(行数!B565),配列!$C$4,集計記録,4,1)</f>
        <v>#NAME?</v>
      </c>
      <c r="E573" s="118" t="e">
        <f t="shared" ca="1" si="60"/>
        <v>#NAME?</v>
      </c>
      <c r="F573" s="118" t="e">
        <f t="shared" ca="1" si="61"/>
        <v>#NAME?</v>
      </c>
      <c r="G573" s="103" t="e">
        <f t="shared" ca="1" si="62"/>
        <v>#NAME?</v>
      </c>
      <c r="H573" s="104" t="e">
        <f ca="1">IF(C573="","",MROUND([0]!CSVVLookUP(ROW(行数!A565),配列!$C$4,集計記録,8,1),"0:01"))</f>
        <v>#NAME?</v>
      </c>
      <c r="I573" s="104" t="e">
        <f t="shared" ca="1" si="63"/>
        <v>#NAME?</v>
      </c>
      <c r="J573" s="119" t="e">
        <f ca="1">IF(C573="","",MROUND([0]!CSVVLookUP(ROW(行数!A565),配列!$C$4,集計記録,7,1),"0:01"))</f>
        <v>#NAME?</v>
      </c>
      <c r="K573" s="92" t="e">
        <f ca="1">IF(C573="","",[0]!CSVVLookUP(ROW(行数!A565),配列!$C$4,集計記録,5,1))</f>
        <v>#NAME?</v>
      </c>
      <c r="L573" s="104" t="e">
        <f t="shared" ca="1" si="64"/>
        <v>#NAME?</v>
      </c>
      <c r="M573" s="120" t="e">
        <f t="shared" ca="1" si="58"/>
        <v>#NAME?</v>
      </c>
      <c r="N573" s="120" t="e">
        <f ca="1">IF([0]!CSVVLookUP(ROW(行数!A565),配列!$C$4,集計記録,6,1)=0,"",[0]!CSVVLookUP(ROW(行数!A565),配列!$C$4,集計記録,6,1))</f>
        <v>#NAME?</v>
      </c>
      <c r="O573" s="88" t="e">
        <f ca="1">IF(INDIRECT("M"&amp;ROW()-1)&lt;&gt;INDIRECT("M"&amp;ROW()),リスト!$I$5,"")</f>
        <v>#NAME?</v>
      </c>
      <c r="P573" s="88" t="e">
        <f ca="1">IF(INDIRECT("M"&amp;ROW())&lt;&gt;INDIRECT("M"&amp;ROW()+1),リスト!$I$6,"")</f>
        <v>#NAME?</v>
      </c>
    </row>
    <row r="574" spans="1:16" x14ac:dyDescent="0.2">
      <c r="A574" s="169" t="e">
        <f ca="1">IF(C574="","",ROW(行数!A566))</f>
        <v>#NAME?</v>
      </c>
      <c r="B574" s="168" t="e">
        <f t="shared" ca="1" si="59"/>
        <v>#NAME?</v>
      </c>
      <c r="C574" s="90" t="e">
        <f ca="1">[0]!CSVVLookUP(ROW(行数!A566),配列!$C$4,集計記録,3,1)</f>
        <v>#NAME?</v>
      </c>
      <c r="D574" s="90" t="e">
        <f ca="1">[0]!CSVVLookUP(ROW(行数!B566),配列!$C$4,集計記録,4,1)</f>
        <v>#NAME?</v>
      </c>
      <c r="E574" s="118" t="e">
        <f t="shared" ca="1" si="60"/>
        <v>#NAME?</v>
      </c>
      <c r="F574" s="118" t="e">
        <f t="shared" ca="1" si="61"/>
        <v>#NAME?</v>
      </c>
      <c r="G574" s="103" t="e">
        <f t="shared" ca="1" si="62"/>
        <v>#NAME?</v>
      </c>
      <c r="H574" s="104" t="e">
        <f ca="1">IF(C574="","",MROUND([0]!CSVVLookUP(ROW(行数!A566),配列!$C$4,集計記録,8,1),"0:01"))</f>
        <v>#NAME?</v>
      </c>
      <c r="I574" s="104" t="e">
        <f t="shared" ca="1" si="63"/>
        <v>#NAME?</v>
      </c>
      <c r="J574" s="119" t="e">
        <f ca="1">IF(C574="","",MROUND([0]!CSVVLookUP(ROW(行数!A566),配列!$C$4,集計記録,7,1),"0:01"))</f>
        <v>#NAME?</v>
      </c>
      <c r="K574" s="92" t="e">
        <f ca="1">IF(C574="","",[0]!CSVVLookUP(ROW(行数!A566),配列!$C$4,集計記録,5,1))</f>
        <v>#NAME?</v>
      </c>
      <c r="L574" s="104" t="e">
        <f t="shared" ca="1" si="64"/>
        <v>#NAME?</v>
      </c>
      <c r="M574" s="120" t="e">
        <f t="shared" ca="1" si="58"/>
        <v>#NAME?</v>
      </c>
      <c r="N574" s="120" t="e">
        <f ca="1">IF([0]!CSVVLookUP(ROW(行数!A566),配列!$C$4,集計記録,6,1)=0,"",[0]!CSVVLookUP(ROW(行数!A566),配列!$C$4,集計記録,6,1))</f>
        <v>#NAME?</v>
      </c>
      <c r="O574" s="88" t="e">
        <f ca="1">IF(INDIRECT("M"&amp;ROW()-1)&lt;&gt;INDIRECT("M"&amp;ROW()),リスト!$I$5,"")</f>
        <v>#NAME?</v>
      </c>
      <c r="P574" s="88" t="e">
        <f ca="1">IF(INDIRECT("M"&amp;ROW())&lt;&gt;INDIRECT("M"&amp;ROW()+1),リスト!$I$6,"")</f>
        <v>#NAME?</v>
      </c>
    </row>
    <row r="575" spans="1:16" x14ac:dyDescent="0.2">
      <c r="A575" s="169" t="e">
        <f ca="1">IF(C575="","",ROW(行数!A567))</f>
        <v>#NAME?</v>
      </c>
      <c r="B575" s="168" t="e">
        <f t="shared" ca="1" si="59"/>
        <v>#NAME?</v>
      </c>
      <c r="C575" s="90" t="e">
        <f ca="1">[0]!CSVVLookUP(ROW(行数!A567),配列!$C$4,集計記録,3,1)</f>
        <v>#NAME?</v>
      </c>
      <c r="D575" s="90" t="e">
        <f ca="1">[0]!CSVVLookUP(ROW(行数!B567),配列!$C$4,集計記録,4,1)</f>
        <v>#NAME?</v>
      </c>
      <c r="E575" s="118" t="e">
        <f t="shared" ca="1" si="60"/>
        <v>#NAME?</v>
      </c>
      <c r="F575" s="118" t="e">
        <f t="shared" ca="1" si="61"/>
        <v>#NAME?</v>
      </c>
      <c r="G575" s="103" t="e">
        <f t="shared" ca="1" si="62"/>
        <v>#NAME?</v>
      </c>
      <c r="H575" s="104" t="e">
        <f ca="1">IF(C575="","",MROUND([0]!CSVVLookUP(ROW(行数!A567),配列!$C$4,集計記録,8,1),"0:01"))</f>
        <v>#NAME?</v>
      </c>
      <c r="I575" s="104" t="e">
        <f t="shared" ca="1" si="63"/>
        <v>#NAME?</v>
      </c>
      <c r="J575" s="119" t="e">
        <f ca="1">IF(C575="","",MROUND([0]!CSVVLookUP(ROW(行数!A567),配列!$C$4,集計記録,7,1),"0:01"))</f>
        <v>#NAME?</v>
      </c>
      <c r="K575" s="92" t="e">
        <f ca="1">IF(C575="","",[0]!CSVVLookUP(ROW(行数!A567),配列!$C$4,集計記録,5,1))</f>
        <v>#NAME?</v>
      </c>
      <c r="L575" s="104" t="e">
        <f t="shared" ca="1" si="64"/>
        <v>#NAME?</v>
      </c>
      <c r="M575" s="120" t="e">
        <f t="shared" ca="1" si="58"/>
        <v>#NAME?</v>
      </c>
      <c r="N575" s="120" t="e">
        <f ca="1">IF([0]!CSVVLookUP(ROW(行数!A567),配列!$C$4,集計記録,6,1)=0,"",[0]!CSVVLookUP(ROW(行数!A567),配列!$C$4,集計記録,6,1))</f>
        <v>#NAME?</v>
      </c>
      <c r="O575" s="88" t="e">
        <f ca="1">IF(INDIRECT("M"&amp;ROW()-1)&lt;&gt;INDIRECT("M"&amp;ROW()),リスト!$I$5,"")</f>
        <v>#NAME?</v>
      </c>
      <c r="P575" s="88" t="e">
        <f ca="1">IF(INDIRECT("M"&amp;ROW())&lt;&gt;INDIRECT("M"&amp;ROW()+1),リスト!$I$6,"")</f>
        <v>#NAME?</v>
      </c>
    </row>
    <row r="576" spans="1:16" x14ac:dyDescent="0.2">
      <c r="A576" s="169" t="e">
        <f ca="1">IF(C576="","",ROW(行数!A568))</f>
        <v>#NAME?</v>
      </c>
      <c r="B576" s="168" t="e">
        <f t="shared" ca="1" si="59"/>
        <v>#NAME?</v>
      </c>
      <c r="C576" s="90" t="e">
        <f ca="1">[0]!CSVVLookUP(ROW(行数!A568),配列!$C$4,集計記録,3,1)</f>
        <v>#NAME?</v>
      </c>
      <c r="D576" s="90" t="e">
        <f ca="1">[0]!CSVVLookUP(ROW(行数!B568),配列!$C$4,集計記録,4,1)</f>
        <v>#NAME?</v>
      </c>
      <c r="E576" s="118" t="e">
        <f t="shared" ca="1" si="60"/>
        <v>#NAME?</v>
      </c>
      <c r="F576" s="118" t="e">
        <f t="shared" ca="1" si="61"/>
        <v>#NAME?</v>
      </c>
      <c r="G576" s="103" t="e">
        <f t="shared" ca="1" si="62"/>
        <v>#NAME?</v>
      </c>
      <c r="H576" s="104" t="e">
        <f ca="1">IF(C576="","",MROUND([0]!CSVVLookUP(ROW(行数!A568),配列!$C$4,集計記録,8,1),"0:01"))</f>
        <v>#NAME?</v>
      </c>
      <c r="I576" s="104" t="e">
        <f t="shared" ca="1" si="63"/>
        <v>#NAME?</v>
      </c>
      <c r="J576" s="119" t="e">
        <f ca="1">IF(C576="","",MROUND([0]!CSVVLookUP(ROW(行数!A568),配列!$C$4,集計記録,7,1),"0:01"))</f>
        <v>#NAME?</v>
      </c>
      <c r="K576" s="92" t="e">
        <f ca="1">IF(C576="","",[0]!CSVVLookUP(ROW(行数!A568),配列!$C$4,集計記録,5,1))</f>
        <v>#NAME?</v>
      </c>
      <c r="L576" s="104" t="e">
        <f t="shared" ca="1" si="64"/>
        <v>#NAME?</v>
      </c>
      <c r="M576" s="120" t="e">
        <f t="shared" ca="1" si="58"/>
        <v>#NAME?</v>
      </c>
      <c r="N576" s="120" t="e">
        <f ca="1">IF([0]!CSVVLookUP(ROW(行数!A568),配列!$C$4,集計記録,6,1)=0,"",[0]!CSVVLookUP(ROW(行数!A568),配列!$C$4,集計記録,6,1))</f>
        <v>#NAME?</v>
      </c>
      <c r="O576" s="88" t="e">
        <f ca="1">IF(INDIRECT("M"&amp;ROW()-1)&lt;&gt;INDIRECT("M"&amp;ROW()),リスト!$I$5,"")</f>
        <v>#NAME?</v>
      </c>
      <c r="P576" s="88" t="e">
        <f ca="1">IF(INDIRECT("M"&amp;ROW())&lt;&gt;INDIRECT("M"&amp;ROW()+1),リスト!$I$6,"")</f>
        <v>#NAME?</v>
      </c>
    </row>
    <row r="577" spans="1:16" x14ac:dyDescent="0.2">
      <c r="A577" s="169" t="e">
        <f ca="1">IF(C577="","",ROW(行数!A569))</f>
        <v>#NAME?</v>
      </c>
      <c r="B577" s="168" t="e">
        <f t="shared" ca="1" si="59"/>
        <v>#NAME?</v>
      </c>
      <c r="C577" s="90" t="e">
        <f ca="1">[0]!CSVVLookUP(ROW(行数!A569),配列!$C$4,集計記録,3,1)</f>
        <v>#NAME?</v>
      </c>
      <c r="D577" s="90" t="e">
        <f ca="1">[0]!CSVVLookUP(ROW(行数!B569),配列!$C$4,集計記録,4,1)</f>
        <v>#NAME?</v>
      </c>
      <c r="E577" s="118" t="e">
        <f t="shared" ca="1" si="60"/>
        <v>#NAME?</v>
      </c>
      <c r="F577" s="118" t="e">
        <f t="shared" ca="1" si="61"/>
        <v>#NAME?</v>
      </c>
      <c r="G577" s="103" t="e">
        <f t="shared" ca="1" si="62"/>
        <v>#NAME?</v>
      </c>
      <c r="H577" s="104" t="e">
        <f ca="1">IF(C577="","",MROUND([0]!CSVVLookUP(ROW(行数!A569),配列!$C$4,集計記録,8,1),"0:01"))</f>
        <v>#NAME?</v>
      </c>
      <c r="I577" s="104" t="e">
        <f t="shared" ca="1" si="63"/>
        <v>#NAME?</v>
      </c>
      <c r="J577" s="119" t="e">
        <f ca="1">IF(C577="","",MROUND([0]!CSVVLookUP(ROW(行数!A569),配列!$C$4,集計記録,7,1),"0:01"))</f>
        <v>#NAME?</v>
      </c>
      <c r="K577" s="92" t="e">
        <f ca="1">IF(C577="","",[0]!CSVVLookUP(ROW(行数!A569),配列!$C$4,集計記録,5,1))</f>
        <v>#NAME?</v>
      </c>
      <c r="L577" s="104" t="e">
        <f t="shared" ca="1" si="64"/>
        <v>#NAME?</v>
      </c>
      <c r="M577" s="120" t="e">
        <f t="shared" ca="1" si="58"/>
        <v>#NAME?</v>
      </c>
      <c r="N577" s="120" t="e">
        <f ca="1">IF([0]!CSVVLookUP(ROW(行数!A569),配列!$C$4,集計記録,6,1)=0,"",[0]!CSVVLookUP(ROW(行数!A569),配列!$C$4,集計記録,6,1))</f>
        <v>#NAME?</v>
      </c>
      <c r="O577" s="88" t="e">
        <f ca="1">IF(INDIRECT("M"&amp;ROW()-1)&lt;&gt;INDIRECT("M"&amp;ROW()),リスト!$I$5,"")</f>
        <v>#NAME?</v>
      </c>
      <c r="P577" s="88" t="e">
        <f ca="1">IF(INDIRECT("M"&amp;ROW())&lt;&gt;INDIRECT("M"&amp;ROW()+1),リスト!$I$6,"")</f>
        <v>#NAME?</v>
      </c>
    </row>
    <row r="578" spans="1:16" x14ac:dyDescent="0.2">
      <c r="A578" s="169" t="e">
        <f ca="1">IF(C578="","",ROW(行数!A570))</f>
        <v>#NAME?</v>
      </c>
      <c r="B578" s="168" t="e">
        <f t="shared" ca="1" si="59"/>
        <v>#NAME?</v>
      </c>
      <c r="C578" s="90" t="e">
        <f ca="1">[0]!CSVVLookUP(ROW(行数!A570),配列!$C$4,集計記録,3,1)</f>
        <v>#NAME?</v>
      </c>
      <c r="D578" s="90" t="e">
        <f ca="1">[0]!CSVVLookUP(ROW(行数!B570),配列!$C$4,集計記録,4,1)</f>
        <v>#NAME?</v>
      </c>
      <c r="E578" s="118" t="e">
        <f t="shared" ca="1" si="60"/>
        <v>#NAME?</v>
      </c>
      <c r="F578" s="118" t="e">
        <f t="shared" ca="1" si="61"/>
        <v>#NAME?</v>
      </c>
      <c r="G578" s="103" t="e">
        <f t="shared" ca="1" si="62"/>
        <v>#NAME?</v>
      </c>
      <c r="H578" s="104" t="e">
        <f ca="1">IF(C578="","",MROUND([0]!CSVVLookUP(ROW(行数!A570),配列!$C$4,集計記録,8,1),"0:01"))</f>
        <v>#NAME?</v>
      </c>
      <c r="I578" s="104" t="e">
        <f t="shared" ca="1" si="63"/>
        <v>#NAME?</v>
      </c>
      <c r="J578" s="119" t="e">
        <f ca="1">IF(C578="","",MROUND([0]!CSVVLookUP(ROW(行数!A570),配列!$C$4,集計記録,7,1),"0:01"))</f>
        <v>#NAME?</v>
      </c>
      <c r="K578" s="92" t="e">
        <f ca="1">IF(C578="","",[0]!CSVVLookUP(ROW(行数!A570),配列!$C$4,集計記録,5,1))</f>
        <v>#NAME?</v>
      </c>
      <c r="L578" s="104" t="e">
        <f t="shared" ca="1" si="64"/>
        <v>#NAME?</v>
      </c>
      <c r="M578" s="120" t="e">
        <f t="shared" ca="1" si="58"/>
        <v>#NAME?</v>
      </c>
      <c r="N578" s="120" t="e">
        <f ca="1">IF([0]!CSVVLookUP(ROW(行数!A570),配列!$C$4,集計記録,6,1)=0,"",[0]!CSVVLookUP(ROW(行数!A570),配列!$C$4,集計記録,6,1))</f>
        <v>#NAME?</v>
      </c>
      <c r="O578" s="88" t="e">
        <f ca="1">IF(INDIRECT("M"&amp;ROW()-1)&lt;&gt;INDIRECT("M"&amp;ROW()),リスト!$I$5,"")</f>
        <v>#NAME?</v>
      </c>
      <c r="P578" s="88" t="e">
        <f ca="1">IF(INDIRECT("M"&amp;ROW())&lt;&gt;INDIRECT("M"&amp;ROW()+1),リスト!$I$6,"")</f>
        <v>#NAME?</v>
      </c>
    </row>
    <row r="579" spans="1:16" x14ac:dyDescent="0.2">
      <c r="A579" s="169" t="e">
        <f ca="1">IF(C579="","",ROW(行数!A571))</f>
        <v>#NAME?</v>
      </c>
      <c r="B579" s="168" t="e">
        <f t="shared" ca="1" si="59"/>
        <v>#NAME?</v>
      </c>
      <c r="C579" s="90" t="e">
        <f ca="1">[0]!CSVVLookUP(ROW(行数!A571),配列!$C$4,集計記録,3,1)</f>
        <v>#NAME?</v>
      </c>
      <c r="D579" s="90" t="e">
        <f ca="1">[0]!CSVVLookUP(ROW(行数!B571),配列!$C$4,集計記録,4,1)</f>
        <v>#NAME?</v>
      </c>
      <c r="E579" s="118" t="e">
        <f t="shared" ca="1" si="60"/>
        <v>#NAME?</v>
      </c>
      <c r="F579" s="118" t="e">
        <f t="shared" ca="1" si="61"/>
        <v>#NAME?</v>
      </c>
      <c r="G579" s="103" t="e">
        <f t="shared" ca="1" si="62"/>
        <v>#NAME?</v>
      </c>
      <c r="H579" s="104" t="e">
        <f ca="1">IF(C579="","",MROUND([0]!CSVVLookUP(ROW(行数!A571),配列!$C$4,集計記録,8,1),"0:01"))</f>
        <v>#NAME?</v>
      </c>
      <c r="I579" s="104" t="e">
        <f t="shared" ca="1" si="63"/>
        <v>#NAME?</v>
      </c>
      <c r="J579" s="119" t="e">
        <f ca="1">IF(C579="","",MROUND([0]!CSVVLookUP(ROW(行数!A571),配列!$C$4,集計記録,7,1),"0:01"))</f>
        <v>#NAME?</v>
      </c>
      <c r="K579" s="92" t="e">
        <f ca="1">IF(C579="","",[0]!CSVVLookUP(ROW(行数!A571),配列!$C$4,集計記録,5,1))</f>
        <v>#NAME?</v>
      </c>
      <c r="L579" s="104" t="e">
        <f t="shared" ca="1" si="64"/>
        <v>#NAME?</v>
      </c>
      <c r="M579" s="120" t="e">
        <f t="shared" ca="1" si="58"/>
        <v>#NAME?</v>
      </c>
      <c r="N579" s="120" t="e">
        <f ca="1">IF([0]!CSVVLookUP(ROW(行数!A571),配列!$C$4,集計記録,6,1)=0,"",[0]!CSVVLookUP(ROW(行数!A571),配列!$C$4,集計記録,6,1))</f>
        <v>#NAME?</v>
      </c>
      <c r="O579" s="88" t="e">
        <f ca="1">IF(INDIRECT("M"&amp;ROW()-1)&lt;&gt;INDIRECT("M"&amp;ROW()),リスト!$I$5,"")</f>
        <v>#NAME?</v>
      </c>
      <c r="P579" s="88" t="e">
        <f ca="1">IF(INDIRECT("M"&amp;ROW())&lt;&gt;INDIRECT("M"&amp;ROW()+1),リスト!$I$6,"")</f>
        <v>#NAME?</v>
      </c>
    </row>
    <row r="580" spans="1:16" x14ac:dyDescent="0.2">
      <c r="A580" s="169" t="e">
        <f ca="1">IF(C580="","",ROW(行数!A572))</f>
        <v>#NAME?</v>
      </c>
      <c r="B580" s="168" t="e">
        <f t="shared" ca="1" si="59"/>
        <v>#NAME?</v>
      </c>
      <c r="C580" s="90" t="e">
        <f ca="1">[0]!CSVVLookUP(ROW(行数!A572),配列!$C$4,集計記録,3,1)</f>
        <v>#NAME?</v>
      </c>
      <c r="D580" s="90" t="e">
        <f ca="1">[0]!CSVVLookUP(ROW(行数!B572),配列!$C$4,集計記録,4,1)</f>
        <v>#NAME?</v>
      </c>
      <c r="E580" s="118" t="e">
        <f t="shared" ca="1" si="60"/>
        <v>#NAME?</v>
      </c>
      <c r="F580" s="118" t="e">
        <f t="shared" ca="1" si="61"/>
        <v>#NAME?</v>
      </c>
      <c r="G580" s="103" t="e">
        <f t="shared" ca="1" si="62"/>
        <v>#NAME?</v>
      </c>
      <c r="H580" s="104" t="e">
        <f ca="1">IF(C580="","",MROUND([0]!CSVVLookUP(ROW(行数!A572),配列!$C$4,集計記録,8,1),"0:01"))</f>
        <v>#NAME?</v>
      </c>
      <c r="I580" s="104" t="e">
        <f t="shared" ca="1" si="63"/>
        <v>#NAME?</v>
      </c>
      <c r="J580" s="119" t="e">
        <f ca="1">IF(C580="","",MROUND([0]!CSVVLookUP(ROW(行数!A572),配列!$C$4,集計記録,7,1),"0:01"))</f>
        <v>#NAME?</v>
      </c>
      <c r="K580" s="92" t="e">
        <f ca="1">IF(C580="","",[0]!CSVVLookUP(ROW(行数!A572),配列!$C$4,集計記録,5,1))</f>
        <v>#NAME?</v>
      </c>
      <c r="L580" s="104" t="e">
        <f t="shared" ca="1" si="64"/>
        <v>#NAME?</v>
      </c>
      <c r="M580" s="120" t="e">
        <f t="shared" ca="1" si="58"/>
        <v>#NAME?</v>
      </c>
      <c r="N580" s="120" t="e">
        <f ca="1">IF([0]!CSVVLookUP(ROW(行数!A572),配列!$C$4,集計記録,6,1)=0,"",[0]!CSVVLookUP(ROW(行数!A572),配列!$C$4,集計記録,6,1))</f>
        <v>#NAME?</v>
      </c>
      <c r="O580" s="88" t="e">
        <f ca="1">IF(INDIRECT("M"&amp;ROW()-1)&lt;&gt;INDIRECT("M"&amp;ROW()),リスト!$I$5,"")</f>
        <v>#NAME?</v>
      </c>
      <c r="P580" s="88" t="e">
        <f ca="1">IF(INDIRECT("M"&amp;ROW())&lt;&gt;INDIRECT("M"&amp;ROW()+1),リスト!$I$6,"")</f>
        <v>#NAME?</v>
      </c>
    </row>
    <row r="581" spans="1:16" x14ac:dyDescent="0.2">
      <c r="A581" s="169" t="e">
        <f ca="1">IF(C581="","",ROW(行数!A573))</f>
        <v>#NAME?</v>
      </c>
      <c r="B581" s="168" t="e">
        <f t="shared" ca="1" si="59"/>
        <v>#NAME?</v>
      </c>
      <c r="C581" s="90" t="e">
        <f ca="1">[0]!CSVVLookUP(ROW(行数!A573),配列!$C$4,集計記録,3,1)</f>
        <v>#NAME?</v>
      </c>
      <c r="D581" s="90" t="e">
        <f ca="1">[0]!CSVVLookUP(ROW(行数!B573),配列!$C$4,集計記録,4,1)</f>
        <v>#NAME?</v>
      </c>
      <c r="E581" s="118" t="e">
        <f t="shared" ca="1" si="60"/>
        <v>#NAME?</v>
      </c>
      <c r="F581" s="118" t="e">
        <f t="shared" ca="1" si="61"/>
        <v>#NAME?</v>
      </c>
      <c r="G581" s="103" t="e">
        <f t="shared" ca="1" si="62"/>
        <v>#NAME?</v>
      </c>
      <c r="H581" s="104" t="e">
        <f ca="1">IF(C581="","",MROUND([0]!CSVVLookUP(ROW(行数!A573),配列!$C$4,集計記録,8,1),"0:01"))</f>
        <v>#NAME?</v>
      </c>
      <c r="I581" s="104" t="e">
        <f t="shared" ca="1" si="63"/>
        <v>#NAME?</v>
      </c>
      <c r="J581" s="119" t="e">
        <f ca="1">IF(C581="","",MROUND([0]!CSVVLookUP(ROW(行数!A573),配列!$C$4,集計記録,7,1),"0:01"))</f>
        <v>#NAME?</v>
      </c>
      <c r="K581" s="92" t="e">
        <f ca="1">IF(C581="","",[0]!CSVVLookUP(ROW(行数!A573),配列!$C$4,集計記録,5,1))</f>
        <v>#NAME?</v>
      </c>
      <c r="L581" s="104" t="e">
        <f t="shared" ca="1" si="64"/>
        <v>#NAME?</v>
      </c>
      <c r="M581" s="120" t="e">
        <f t="shared" ca="1" si="58"/>
        <v>#NAME?</v>
      </c>
      <c r="N581" s="120" t="e">
        <f ca="1">IF([0]!CSVVLookUP(ROW(行数!A573),配列!$C$4,集計記録,6,1)=0,"",[0]!CSVVLookUP(ROW(行数!A573),配列!$C$4,集計記録,6,1))</f>
        <v>#NAME?</v>
      </c>
      <c r="O581" s="88" t="e">
        <f ca="1">IF(INDIRECT("M"&amp;ROW()-1)&lt;&gt;INDIRECT("M"&amp;ROW()),リスト!$I$5,"")</f>
        <v>#NAME?</v>
      </c>
      <c r="P581" s="88" t="e">
        <f ca="1">IF(INDIRECT("M"&amp;ROW())&lt;&gt;INDIRECT("M"&amp;ROW()+1),リスト!$I$6,"")</f>
        <v>#NAME?</v>
      </c>
    </row>
    <row r="582" spans="1:16" x14ac:dyDescent="0.2">
      <c r="A582" s="169" t="e">
        <f ca="1">IF(C582="","",ROW(行数!A574))</f>
        <v>#NAME?</v>
      </c>
      <c r="B582" s="168" t="e">
        <f t="shared" ca="1" si="59"/>
        <v>#NAME?</v>
      </c>
      <c r="C582" s="90" t="e">
        <f ca="1">[0]!CSVVLookUP(ROW(行数!A574),配列!$C$4,集計記録,3,1)</f>
        <v>#NAME?</v>
      </c>
      <c r="D582" s="90" t="e">
        <f ca="1">[0]!CSVVLookUP(ROW(行数!B574),配列!$C$4,集計記録,4,1)</f>
        <v>#NAME?</v>
      </c>
      <c r="E582" s="118" t="e">
        <f t="shared" ca="1" si="60"/>
        <v>#NAME?</v>
      </c>
      <c r="F582" s="118" t="e">
        <f t="shared" ca="1" si="61"/>
        <v>#NAME?</v>
      </c>
      <c r="G582" s="103" t="e">
        <f t="shared" ca="1" si="62"/>
        <v>#NAME?</v>
      </c>
      <c r="H582" s="104" t="e">
        <f ca="1">IF(C582="","",MROUND([0]!CSVVLookUP(ROW(行数!A574),配列!$C$4,集計記録,8,1),"0:01"))</f>
        <v>#NAME?</v>
      </c>
      <c r="I582" s="104" t="e">
        <f t="shared" ca="1" si="63"/>
        <v>#NAME?</v>
      </c>
      <c r="J582" s="119" t="e">
        <f ca="1">IF(C582="","",MROUND([0]!CSVVLookUP(ROW(行数!A574),配列!$C$4,集計記録,7,1),"0:01"))</f>
        <v>#NAME?</v>
      </c>
      <c r="K582" s="92" t="e">
        <f ca="1">IF(C582="","",[0]!CSVVLookUP(ROW(行数!A574),配列!$C$4,集計記録,5,1))</f>
        <v>#NAME?</v>
      </c>
      <c r="L582" s="104" t="e">
        <f t="shared" ca="1" si="64"/>
        <v>#NAME?</v>
      </c>
      <c r="M582" s="120" t="e">
        <f t="shared" ca="1" si="58"/>
        <v>#NAME?</v>
      </c>
      <c r="N582" s="120" t="e">
        <f ca="1">IF([0]!CSVVLookUP(ROW(行数!A574),配列!$C$4,集計記録,6,1)=0,"",[0]!CSVVLookUP(ROW(行数!A574),配列!$C$4,集計記録,6,1))</f>
        <v>#NAME?</v>
      </c>
      <c r="O582" s="88" t="e">
        <f ca="1">IF(INDIRECT("M"&amp;ROW()-1)&lt;&gt;INDIRECT("M"&amp;ROW()),リスト!$I$5,"")</f>
        <v>#NAME?</v>
      </c>
      <c r="P582" s="88" t="e">
        <f ca="1">IF(INDIRECT("M"&amp;ROW())&lt;&gt;INDIRECT("M"&amp;ROW()+1),リスト!$I$6,"")</f>
        <v>#NAME?</v>
      </c>
    </row>
    <row r="583" spans="1:16" x14ac:dyDescent="0.2">
      <c r="A583" s="169" t="e">
        <f ca="1">IF(C583="","",ROW(行数!A575))</f>
        <v>#NAME?</v>
      </c>
      <c r="B583" s="168" t="e">
        <f t="shared" ca="1" si="59"/>
        <v>#NAME?</v>
      </c>
      <c r="C583" s="90" t="e">
        <f ca="1">[0]!CSVVLookUP(ROW(行数!A575),配列!$C$4,集計記録,3,1)</f>
        <v>#NAME?</v>
      </c>
      <c r="D583" s="90" t="e">
        <f ca="1">[0]!CSVVLookUP(ROW(行数!B575),配列!$C$4,集計記録,4,1)</f>
        <v>#NAME?</v>
      </c>
      <c r="E583" s="118" t="e">
        <f t="shared" ca="1" si="60"/>
        <v>#NAME?</v>
      </c>
      <c r="F583" s="118" t="e">
        <f t="shared" ca="1" si="61"/>
        <v>#NAME?</v>
      </c>
      <c r="G583" s="103" t="e">
        <f t="shared" ca="1" si="62"/>
        <v>#NAME?</v>
      </c>
      <c r="H583" s="104" t="e">
        <f ca="1">IF(C583="","",MROUND([0]!CSVVLookUP(ROW(行数!A575),配列!$C$4,集計記録,8,1),"0:01"))</f>
        <v>#NAME?</v>
      </c>
      <c r="I583" s="104" t="e">
        <f t="shared" ca="1" si="63"/>
        <v>#NAME?</v>
      </c>
      <c r="J583" s="119" t="e">
        <f ca="1">IF(C583="","",MROUND([0]!CSVVLookUP(ROW(行数!A575),配列!$C$4,集計記録,7,1),"0:01"))</f>
        <v>#NAME?</v>
      </c>
      <c r="K583" s="92" t="e">
        <f ca="1">IF(C583="","",[0]!CSVVLookUP(ROW(行数!A575),配列!$C$4,集計記録,5,1))</f>
        <v>#NAME?</v>
      </c>
      <c r="L583" s="104" t="e">
        <f t="shared" ca="1" si="64"/>
        <v>#NAME?</v>
      </c>
      <c r="M583" s="120" t="e">
        <f t="shared" ca="1" si="58"/>
        <v>#NAME?</v>
      </c>
      <c r="N583" s="120" t="e">
        <f ca="1">IF([0]!CSVVLookUP(ROW(行数!A575),配列!$C$4,集計記録,6,1)=0,"",[0]!CSVVLookUP(ROW(行数!A575),配列!$C$4,集計記録,6,1))</f>
        <v>#NAME?</v>
      </c>
      <c r="O583" s="88" t="e">
        <f ca="1">IF(INDIRECT("M"&amp;ROW()-1)&lt;&gt;INDIRECT("M"&amp;ROW()),リスト!$I$5,"")</f>
        <v>#NAME?</v>
      </c>
      <c r="P583" s="88" t="e">
        <f ca="1">IF(INDIRECT("M"&amp;ROW())&lt;&gt;INDIRECT("M"&amp;ROW()+1),リスト!$I$6,"")</f>
        <v>#NAME?</v>
      </c>
    </row>
    <row r="584" spans="1:16" x14ac:dyDescent="0.2">
      <c r="A584" s="169" t="e">
        <f ca="1">IF(C584="","",ROW(行数!A576))</f>
        <v>#NAME?</v>
      </c>
      <c r="B584" s="168" t="e">
        <f t="shared" ca="1" si="59"/>
        <v>#NAME?</v>
      </c>
      <c r="C584" s="90" t="e">
        <f ca="1">[0]!CSVVLookUP(ROW(行数!A576),配列!$C$4,集計記録,3,1)</f>
        <v>#NAME?</v>
      </c>
      <c r="D584" s="90" t="e">
        <f ca="1">[0]!CSVVLookUP(ROW(行数!B576),配列!$C$4,集計記録,4,1)</f>
        <v>#NAME?</v>
      </c>
      <c r="E584" s="118" t="e">
        <f t="shared" ca="1" si="60"/>
        <v>#NAME?</v>
      </c>
      <c r="F584" s="118" t="e">
        <f t="shared" ca="1" si="61"/>
        <v>#NAME?</v>
      </c>
      <c r="G584" s="103" t="e">
        <f t="shared" ca="1" si="62"/>
        <v>#NAME?</v>
      </c>
      <c r="H584" s="104" t="e">
        <f ca="1">IF(C584="","",MROUND([0]!CSVVLookUP(ROW(行数!A576),配列!$C$4,集計記録,8,1),"0:01"))</f>
        <v>#NAME?</v>
      </c>
      <c r="I584" s="104" t="e">
        <f t="shared" ca="1" si="63"/>
        <v>#NAME?</v>
      </c>
      <c r="J584" s="119" t="e">
        <f ca="1">IF(C584="","",MROUND([0]!CSVVLookUP(ROW(行数!A576),配列!$C$4,集計記録,7,1),"0:01"))</f>
        <v>#NAME?</v>
      </c>
      <c r="K584" s="92" t="e">
        <f ca="1">IF(C584="","",[0]!CSVVLookUP(ROW(行数!A576),配列!$C$4,集計記録,5,1))</f>
        <v>#NAME?</v>
      </c>
      <c r="L584" s="104" t="e">
        <f t="shared" ca="1" si="64"/>
        <v>#NAME?</v>
      </c>
      <c r="M584" s="120" t="e">
        <f t="shared" ca="1" si="58"/>
        <v>#NAME?</v>
      </c>
      <c r="N584" s="120" t="e">
        <f ca="1">IF([0]!CSVVLookUP(ROW(行数!A576),配列!$C$4,集計記録,6,1)=0,"",[0]!CSVVLookUP(ROW(行数!A576),配列!$C$4,集計記録,6,1))</f>
        <v>#NAME?</v>
      </c>
      <c r="O584" s="88" t="e">
        <f ca="1">IF(INDIRECT("M"&amp;ROW()-1)&lt;&gt;INDIRECT("M"&amp;ROW()),リスト!$I$5,"")</f>
        <v>#NAME?</v>
      </c>
      <c r="P584" s="88" t="e">
        <f ca="1">IF(INDIRECT("M"&amp;ROW())&lt;&gt;INDIRECT("M"&amp;ROW()+1),リスト!$I$6,"")</f>
        <v>#NAME?</v>
      </c>
    </row>
    <row r="585" spans="1:16" x14ac:dyDescent="0.2">
      <c r="A585" s="169" t="e">
        <f ca="1">IF(C585="","",ROW(行数!A577))</f>
        <v>#NAME?</v>
      </c>
      <c r="B585" s="168" t="e">
        <f t="shared" ca="1" si="59"/>
        <v>#NAME?</v>
      </c>
      <c r="C585" s="90" t="e">
        <f ca="1">[0]!CSVVLookUP(ROW(行数!A577),配列!$C$4,集計記録,3,1)</f>
        <v>#NAME?</v>
      </c>
      <c r="D585" s="90" t="e">
        <f ca="1">[0]!CSVVLookUP(ROW(行数!B577),配列!$C$4,集計記録,4,1)</f>
        <v>#NAME?</v>
      </c>
      <c r="E585" s="118" t="e">
        <f t="shared" ca="1" si="60"/>
        <v>#NAME?</v>
      </c>
      <c r="F585" s="118" t="e">
        <f t="shared" ca="1" si="61"/>
        <v>#NAME?</v>
      </c>
      <c r="G585" s="103" t="e">
        <f t="shared" ca="1" si="62"/>
        <v>#NAME?</v>
      </c>
      <c r="H585" s="104" t="e">
        <f ca="1">IF(C585="","",MROUND([0]!CSVVLookUP(ROW(行数!A577),配列!$C$4,集計記録,8,1),"0:01"))</f>
        <v>#NAME?</v>
      </c>
      <c r="I585" s="104" t="e">
        <f t="shared" ca="1" si="63"/>
        <v>#NAME?</v>
      </c>
      <c r="J585" s="119" t="e">
        <f ca="1">IF(C585="","",MROUND([0]!CSVVLookUP(ROW(行数!A577),配列!$C$4,集計記録,7,1),"0:01"))</f>
        <v>#NAME?</v>
      </c>
      <c r="K585" s="92" t="e">
        <f ca="1">IF(C585="","",[0]!CSVVLookUP(ROW(行数!A577),配列!$C$4,集計記録,5,1))</f>
        <v>#NAME?</v>
      </c>
      <c r="L585" s="104" t="e">
        <f t="shared" ca="1" si="64"/>
        <v>#NAME?</v>
      </c>
      <c r="M585" s="120" t="e">
        <f t="shared" ref="M585:M648" ca="1" si="65">IF(C585="","",VLOOKUP(C585,運転条件判定,13,1))</f>
        <v>#NAME?</v>
      </c>
      <c r="N585" s="120" t="e">
        <f ca="1">IF([0]!CSVVLookUP(ROW(行数!A577),配列!$C$4,集計記録,6,1)=0,"",[0]!CSVVLookUP(ROW(行数!A577),配列!$C$4,集計記録,6,1))</f>
        <v>#NAME?</v>
      </c>
      <c r="O585" s="88" t="e">
        <f ca="1">IF(INDIRECT("M"&amp;ROW()-1)&lt;&gt;INDIRECT("M"&amp;ROW()),リスト!$I$5,"")</f>
        <v>#NAME?</v>
      </c>
      <c r="P585" s="88" t="e">
        <f ca="1">IF(INDIRECT("M"&amp;ROW())&lt;&gt;INDIRECT("M"&amp;ROW()+1),リスト!$I$6,"")</f>
        <v>#NAME?</v>
      </c>
    </row>
    <row r="586" spans="1:16" x14ac:dyDescent="0.2">
      <c r="A586" s="169" t="e">
        <f ca="1">IF(C586="","",ROW(行数!A578))</f>
        <v>#NAME?</v>
      </c>
      <c r="B586" s="168" t="e">
        <f t="shared" ref="B586:B649" ca="1" si="66">IF(C586="","",VLOOKUP(C586,ユニット判定用,3))</f>
        <v>#NAME?</v>
      </c>
      <c r="C586" s="90" t="e">
        <f ca="1">[0]!CSVVLookUP(ROW(行数!A578),配列!$C$4,集計記録,3,1)</f>
        <v>#NAME?</v>
      </c>
      <c r="D586" s="90" t="e">
        <f ca="1">[0]!CSVVLookUP(ROW(行数!B578),配列!$C$4,集計記録,4,1)</f>
        <v>#NAME?</v>
      </c>
      <c r="E586" s="118" t="e">
        <f t="shared" ref="E586:E649" ca="1" si="67">IF(C586="","",D586-C586)</f>
        <v>#NAME?</v>
      </c>
      <c r="F586" s="118" t="e">
        <f t="shared" ref="F586:F649" ca="1" si="68">IF(C586="","",E586-H586-I586)</f>
        <v>#NAME?</v>
      </c>
      <c r="G586" s="103" t="e">
        <f t="shared" ref="G586:G649" ca="1" si="69">IF(C586="","",F586/E586)</f>
        <v>#NAME?</v>
      </c>
      <c r="H586" s="104" t="e">
        <f ca="1">IF(C586="","",MROUND([0]!CSVVLookUP(ROW(行数!A578),配列!$C$4,集計記録,8,1),"0:01"))</f>
        <v>#NAME?</v>
      </c>
      <c r="I586" s="104" t="e">
        <f t="shared" ref="I586:I649" ca="1" si="70">IF(C586="","",MROUND(J586-H586,"0:01"))</f>
        <v>#NAME?</v>
      </c>
      <c r="J586" s="119" t="e">
        <f ca="1">IF(C586="","",MROUND([0]!CSVVLookUP(ROW(行数!A578),配列!$C$4,集計記録,7,1),"0:01"))</f>
        <v>#NAME?</v>
      </c>
      <c r="K586" s="92" t="e">
        <f ca="1">IF(C586="","",[0]!CSVVLookUP(ROW(行数!A578),配列!$C$4,集計記録,5,1))</f>
        <v>#NAME?</v>
      </c>
      <c r="L586" s="104" t="e">
        <f t="shared" ref="L586:L649" ca="1" si="71">IF(C586="","",MROUND(E586/(K586+1),"00:01"))</f>
        <v>#NAME?</v>
      </c>
      <c r="M586" s="120" t="e">
        <f t="shared" ca="1" si="65"/>
        <v>#NAME?</v>
      </c>
      <c r="N586" s="120" t="e">
        <f ca="1">IF([0]!CSVVLookUP(ROW(行数!A578),配列!$C$4,集計記録,6,1)=0,"",[0]!CSVVLookUP(ROW(行数!A578),配列!$C$4,集計記録,6,1))</f>
        <v>#NAME?</v>
      </c>
      <c r="O586" s="88" t="e">
        <f ca="1">IF(INDIRECT("M"&amp;ROW()-1)&lt;&gt;INDIRECT("M"&amp;ROW()),リスト!$I$5,"")</f>
        <v>#NAME?</v>
      </c>
      <c r="P586" s="88" t="e">
        <f ca="1">IF(INDIRECT("M"&amp;ROW())&lt;&gt;INDIRECT("M"&amp;ROW()+1),リスト!$I$6,"")</f>
        <v>#NAME?</v>
      </c>
    </row>
    <row r="587" spans="1:16" x14ac:dyDescent="0.2">
      <c r="A587" s="169" t="e">
        <f ca="1">IF(C587="","",ROW(行数!A579))</f>
        <v>#NAME?</v>
      </c>
      <c r="B587" s="168" t="e">
        <f t="shared" ca="1" si="66"/>
        <v>#NAME?</v>
      </c>
      <c r="C587" s="90" t="e">
        <f ca="1">[0]!CSVVLookUP(ROW(行数!A579),配列!$C$4,集計記録,3,1)</f>
        <v>#NAME?</v>
      </c>
      <c r="D587" s="90" t="e">
        <f ca="1">[0]!CSVVLookUP(ROW(行数!B579),配列!$C$4,集計記録,4,1)</f>
        <v>#NAME?</v>
      </c>
      <c r="E587" s="118" t="e">
        <f t="shared" ca="1" si="67"/>
        <v>#NAME?</v>
      </c>
      <c r="F587" s="118" t="e">
        <f t="shared" ca="1" si="68"/>
        <v>#NAME?</v>
      </c>
      <c r="G587" s="103" t="e">
        <f t="shared" ca="1" si="69"/>
        <v>#NAME?</v>
      </c>
      <c r="H587" s="104" t="e">
        <f ca="1">IF(C587="","",MROUND([0]!CSVVLookUP(ROW(行数!A579),配列!$C$4,集計記録,8,1),"0:01"))</f>
        <v>#NAME?</v>
      </c>
      <c r="I587" s="104" t="e">
        <f t="shared" ca="1" si="70"/>
        <v>#NAME?</v>
      </c>
      <c r="J587" s="119" t="e">
        <f ca="1">IF(C587="","",MROUND([0]!CSVVLookUP(ROW(行数!A579),配列!$C$4,集計記録,7,1),"0:01"))</f>
        <v>#NAME?</v>
      </c>
      <c r="K587" s="92" t="e">
        <f ca="1">IF(C587="","",[0]!CSVVLookUP(ROW(行数!A579),配列!$C$4,集計記録,5,1))</f>
        <v>#NAME?</v>
      </c>
      <c r="L587" s="104" t="e">
        <f t="shared" ca="1" si="71"/>
        <v>#NAME?</v>
      </c>
      <c r="M587" s="120" t="e">
        <f t="shared" ca="1" si="65"/>
        <v>#NAME?</v>
      </c>
      <c r="N587" s="120" t="e">
        <f ca="1">IF([0]!CSVVLookUP(ROW(行数!A579),配列!$C$4,集計記録,6,1)=0,"",[0]!CSVVLookUP(ROW(行数!A579),配列!$C$4,集計記録,6,1))</f>
        <v>#NAME?</v>
      </c>
      <c r="O587" s="88" t="e">
        <f ca="1">IF(INDIRECT("M"&amp;ROW()-1)&lt;&gt;INDIRECT("M"&amp;ROW()),リスト!$I$5,"")</f>
        <v>#NAME?</v>
      </c>
      <c r="P587" s="88" t="e">
        <f ca="1">IF(INDIRECT("M"&amp;ROW())&lt;&gt;INDIRECT("M"&amp;ROW()+1),リスト!$I$6,"")</f>
        <v>#NAME?</v>
      </c>
    </row>
    <row r="588" spans="1:16" x14ac:dyDescent="0.2">
      <c r="A588" s="169" t="e">
        <f ca="1">IF(C588="","",ROW(行数!A580))</f>
        <v>#NAME?</v>
      </c>
      <c r="B588" s="168" t="e">
        <f t="shared" ca="1" si="66"/>
        <v>#NAME?</v>
      </c>
      <c r="C588" s="90" t="e">
        <f ca="1">[0]!CSVVLookUP(ROW(行数!A580),配列!$C$4,集計記録,3,1)</f>
        <v>#NAME?</v>
      </c>
      <c r="D588" s="90" t="e">
        <f ca="1">[0]!CSVVLookUP(ROW(行数!B580),配列!$C$4,集計記録,4,1)</f>
        <v>#NAME?</v>
      </c>
      <c r="E588" s="118" t="e">
        <f t="shared" ca="1" si="67"/>
        <v>#NAME?</v>
      </c>
      <c r="F588" s="118" t="e">
        <f t="shared" ca="1" si="68"/>
        <v>#NAME?</v>
      </c>
      <c r="G588" s="103" t="e">
        <f t="shared" ca="1" si="69"/>
        <v>#NAME?</v>
      </c>
      <c r="H588" s="104" t="e">
        <f ca="1">IF(C588="","",MROUND([0]!CSVVLookUP(ROW(行数!A580),配列!$C$4,集計記録,8,1),"0:01"))</f>
        <v>#NAME?</v>
      </c>
      <c r="I588" s="104" t="e">
        <f t="shared" ca="1" si="70"/>
        <v>#NAME?</v>
      </c>
      <c r="J588" s="119" t="e">
        <f ca="1">IF(C588="","",MROUND([0]!CSVVLookUP(ROW(行数!A580),配列!$C$4,集計記録,7,1),"0:01"))</f>
        <v>#NAME?</v>
      </c>
      <c r="K588" s="92" t="e">
        <f ca="1">IF(C588="","",[0]!CSVVLookUP(ROW(行数!A580),配列!$C$4,集計記録,5,1))</f>
        <v>#NAME?</v>
      </c>
      <c r="L588" s="104" t="e">
        <f t="shared" ca="1" si="71"/>
        <v>#NAME?</v>
      </c>
      <c r="M588" s="120" t="e">
        <f t="shared" ca="1" si="65"/>
        <v>#NAME?</v>
      </c>
      <c r="N588" s="120" t="e">
        <f ca="1">IF([0]!CSVVLookUP(ROW(行数!A580),配列!$C$4,集計記録,6,1)=0,"",[0]!CSVVLookUP(ROW(行数!A580),配列!$C$4,集計記録,6,1))</f>
        <v>#NAME?</v>
      </c>
      <c r="O588" s="88" t="e">
        <f ca="1">IF(INDIRECT("M"&amp;ROW()-1)&lt;&gt;INDIRECT("M"&amp;ROW()),リスト!$I$5,"")</f>
        <v>#NAME?</v>
      </c>
      <c r="P588" s="88" t="e">
        <f ca="1">IF(INDIRECT("M"&amp;ROW())&lt;&gt;INDIRECT("M"&amp;ROW()+1),リスト!$I$6,"")</f>
        <v>#NAME?</v>
      </c>
    </row>
    <row r="589" spans="1:16" x14ac:dyDescent="0.2">
      <c r="A589" s="169" t="e">
        <f ca="1">IF(C589="","",ROW(行数!A581))</f>
        <v>#NAME?</v>
      </c>
      <c r="B589" s="168" t="e">
        <f t="shared" ca="1" si="66"/>
        <v>#NAME?</v>
      </c>
      <c r="C589" s="90" t="e">
        <f ca="1">[0]!CSVVLookUP(ROW(行数!A581),配列!$C$4,集計記録,3,1)</f>
        <v>#NAME?</v>
      </c>
      <c r="D589" s="90" t="e">
        <f ca="1">[0]!CSVVLookUP(ROW(行数!B581),配列!$C$4,集計記録,4,1)</f>
        <v>#NAME?</v>
      </c>
      <c r="E589" s="118" t="e">
        <f t="shared" ca="1" si="67"/>
        <v>#NAME?</v>
      </c>
      <c r="F589" s="118" t="e">
        <f t="shared" ca="1" si="68"/>
        <v>#NAME?</v>
      </c>
      <c r="G589" s="103" t="e">
        <f t="shared" ca="1" si="69"/>
        <v>#NAME?</v>
      </c>
      <c r="H589" s="104" t="e">
        <f ca="1">IF(C589="","",MROUND([0]!CSVVLookUP(ROW(行数!A581),配列!$C$4,集計記録,8,1),"0:01"))</f>
        <v>#NAME?</v>
      </c>
      <c r="I589" s="104" t="e">
        <f t="shared" ca="1" si="70"/>
        <v>#NAME?</v>
      </c>
      <c r="J589" s="119" t="e">
        <f ca="1">IF(C589="","",MROUND([0]!CSVVLookUP(ROW(行数!A581),配列!$C$4,集計記録,7,1),"0:01"))</f>
        <v>#NAME?</v>
      </c>
      <c r="K589" s="92" t="e">
        <f ca="1">IF(C589="","",[0]!CSVVLookUP(ROW(行数!A581),配列!$C$4,集計記録,5,1))</f>
        <v>#NAME?</v>
      </c>
      <c r="L589" s="104" t="e">
        <f t="shared" ca="1" si="71"/>
        <v>#NAME?</v>
      </c>
      <c r="M589" s="120" t="e">
        <f t="shared" ca="1" si="65"/>
        <v>#NAME?</v>
      </c>
      <c r="N589" s="120" t="e">
        <f ca="1">IF([0]!CSVVLookUP(ROW(行数!A581),配列!$C$4,集計記録,6,1)=0,"",[0]!CSVVLookUP(ROW(行数!A581),配列!$C$4,集計記録,6,1))</f>
        <v>#NAME?</v>
      </c>
      <c r="O589" s="88" t="e">
        <f ca="1">IF(INDIRECT("M"&amp;ROW()-1)&lt;&gt;INDIRECT("M"&amp;ROW()),リスト!$I$5,"")</f>
        <v>#NAME?</v>
      </c>
      <c r="P589" s="88" t="e">
        <f ca="1">IF(INDIRECT("M"&amp;ROW())&lt;&gt;INDIRECT("M"&amp;ROW()+1),リスト!$I$6,"")</f>
        <v>#NAME?</v>
      </c>
    </row>
    <row r="590" spans="1:16" x14ac:dyDescent="0.2">
      <c r="A590" s="169" t="e">
        <f ca="1">IF(C590="","",ROW(行数!A582))</f>
        <v>#NAME?</v>
      </c>
      <c r="B590" s="168" t="e">
        <f t="shared" ca="1" si="66"/>
        <v>#NAME?</v>
      </c>
      <c r="C590" s="90" t="e">
        <f ca="1">[0]!CSVVLookUP(ROW(行数!A582),配列!$C$4,集計記録,3,1)</f>
        <v>#NAME?</v>
      </c>
      <c r="D590" s="90" t="e">
        <f ca="1">[0]!CSVVLookUP(ROW(行数!B582),配列!$C$4,集計記録,4,1)</f>
        <v>#NAME?</v>
      </c>
      <c r="E590" s="118" t="e">
        <f t="shared" ca="1" si="67"/>
        <v>#NAME?</v>
      </c>
      <c r="F590" s="118" t="e">
        <f t="shared" ca="1" si="68"/>
        <v>#NAME?</v>
      </c>
      <c r="G590" s="103" t="e">
        <f t="shared" ca="1" si="69"/>
        <v>#NAME?</v>
      </c>
      <c r="H590" s="104" t="e">
        <f ca="1">IF(C590="","",MROUND([0]!CSVVLookUP(ROW(行数!A582),配列!$C$4,集計記録,8,1),"0:01"))</f>
        <v>#NAME?</v>
      </c>
      <c r="I590" s="104" t="e">
        <f t="shared" ca="1" si="70"/>
        <v>#NAME?</v>
      </c>
      <c r="J590" s="119" t="e">
        <f ca="1">IF(C590="","",MROUND([0]!CSVVLookUP(ROW(行数!A582),配列!$C$4,集計記録,7,1),"0:01"))</f>
        <v>#NAME?</v>
      </c>
      <c r="K590" s="92" t="e">
        <f ca="1">IF(C590="","",[0]!CSVVLookUP(ROW(行数!A582),配列!$C$4,集計記録,5,1))</f>
        <v>#NAME?</v>
      </c>
      <c r="L590" s="104" t="e">
        <f t="shared" ca="1" si="71"/>
        <v>#NAME?</v>
      </c>
      <c r="M590" s="120" t="e">
        <f t="shared" ca="1" si="65"/>
        <v>#NAME?</v>
      </c>
      <c r="N590" s="120" t="e">
        <f ca="1">IF([0]!CSVVLookUP(ROW(行数!A582),配列!$C$4,集計記録,6,1)=0,"",[0]!CSVVLookUP(ROW(行数!A582),配列!$C$4,集計記録,6,1))</f>
        <v>#NAME?</v>
      </c>
      <c r="O590" s="88" t="e">
        <f ca="1">IF(INDIRECT("M"&amp;ROW()-1)&lt;&gt;INDIRECT("M"&amp;ROW()),リスト!$I$5,"")</f>
        <v>#NAME?</v>
      </c>
      <c r="P590" s="88" t="e">
        <f ca="1">IF(INDIRECT("M"&amp;ROW())&lt;&gt;INDIRECT("M"&amp;ROW()+1),リスト!$I$6,"")</f>
        <v>#NAME?</v>
      </c>
    </row>
    <row r="591" spans="1:16" x14ac:dyDescent="0.2">
      <c r="A591" s="169" t="e">
        <f ca="1">IF(C591="","",ROW(行数!A583))</f>
        <v>#NAME?</v>
      </c>
      <c r="B591" s="168" t="e">
        <f t="shared" ca="1" si="66"/>
        <v>#NAME?</v>
      </c>
      <c r="C591" s="90" t="e">
        <f ca="1">[0]!CSVVLookUP(ROW(行数!A583),配列!$C$4,集計記録,3,1)</f>
        <v>#NAME?</v>
      </c>
      <c r="D591" s="90" t="e">
        <f ca="1">[0]!CSVVLookUP(ROW(行数!B583),配列!$C$4,集計記録,4,1)</f>
        <v>#NAME?</v>
      </c>
      <c r="E591" s="118" t="e">
        <f t="shared" ca="1" si="67"/>
        <v>#NAME?</v>
      </c>
      <c r="F591" s="118" t="e">
        <f t="shared" ca="1" si="68"/>
        <v>#NAME?</v>
      </c>
      <c r="G591" s="103" t="e">
        <f t="shared" ca="1" si="69"/>
        <v>#NAME?</v>
      </c>
      <c r="H591" s="104" t="e">
        <f ca="1">IF(C591="","",MROUND([0]!CSVVLookUP(ROW(行数!A583),配列!$C$4,集計記録,8,1),"0:01"))</f>
        <v>#NAME?</v>
      </c>
      <c r="I591" s="104" t="e">
        <f t="shared" ca="1" si="70"/>
        <v>#NAME?</v>
      </c>
      <c r="J591" s="119" t="e">
        <f ca="1">IF(C591="","",MROUND([0]!CSVVLookUP(ROW(行数!A583),配列!$C$4,集計記録,7,1),"0:01"))</f>
        <v>#NAME?</v>
      </c>
      <c r="K591" s="92" t="e">
        <f ca="1">IF(C591="","",[0]!CSVVLookUP(ROW(行数!A583),配列!$C$4,集計記録,5,1))</f>
        <v>#NAME?</v>
      </c>
      <c r="L591" s="104" t="e">
        <f t="shared" ca="1" si="71"/>
        <v>#NAME?</v>
      </c>
      <c r="M591" s="120" t="e">
        <f t="shared" ca="1" si="65"/>
        <v>#NAME?</v>
      </c>
      <c r="N591" s="120" t="e">
        <f ca="1">IF([0]!CSVVLookUP(ROW(行数!A583),配列!$C$4,集計記録,6,1)=0,"",[0]!CSVVLookUP(ROW(行数!A583),配列!$C$4,集計記録,6,1))</f>
        <v>#NAME?</v>
      </c>
      <c r="O591" s="88" t="e">
        <f ca="1">IF(INDIRECT("M"&amp;ROW()-1)&lt;&gt;INDIRECT("M"&amp;ROW()),リスト!$I$5,"")</f>
        <v>#NAME?</v>
      </c>
      <c r="P591" s="88" t="e">
        <f ca="1">IF(INDIRECT("M"&amp;ROW())&lt;&gt;INDIRECT("M"&amp;ROW()+1),リスト!$I$6,"")</f>
        <v>#NAME?</v>
      </c>
    </row>
    <row r="592" spans="1:16" x14ac:dyDescent="0.2">
      <c r="A592" s="169" t="e">
        <f ca="1">IF(C592="","",ROW(行数!A584))</f>
        <v>#NAME?</v>
      </c>
      <c r="B592" s="168" t="e">
        <f t="shared" ca="1" si="66"/>
        <v>#NAME?</v>
      </c>
      <c r="C592" s="90" t="e">
        <f ca="1">[0]!CSVVLookUP(ROW(行数!A584),配列!$C$4,集計記録,3,1)</f>
        <v>#NAME?</v>
      </c>
      <c r="D592" s="90" t="e">
        <f ca="1">[0]!CSVVLookUP(ROW(行数!B584),配列!$C$4,集計記録,4,1)</f>
        <v>#NAME?</v>
      </c>
      <c r="E592" s="118" t="e">
        <f t="shared" ca="1" si="67"/>
        <v>#NAME?</v>
      </c>
      <c r="F592" s="118" t="e">
        <f t="shared" ca="1" si="68"/>
        <v>#NAME?</v>
      </c>
      <c r="G592" s="103" t="e">
        <f t="shared" ca="1" si="69"/>
        <v>#NAME?</v>
      </c>
      <c r="H592" s="104" t="e">
        <f ca="1">IF(C592="","",MROUND([0]!CSVVLookUP(ROW(行数!A584),配列!$C$4,集計記録,8,1),"0:01"))</f>
        <v>#NAME?</v>
      </c>
      <c r="I592" s="104" t="e">
        <f t="shared" ca="1" si="70"/>
        <v>#NAME?</v>
      </c>
      <c r="J592" s="119" t="e">
        <f ca="1">IF(C592="","",MROUND([0]!CSVVLookUP(ROW(行数!A584),配列!$C$4,集計記録,7,1),"0:01"))</f>
        <v>#NAME?</v>
      </c>
      <c r="K592" s="92" t="e">
        <f ca="1">IF(C592="","",[0]!CSVVLookUP(ROW(行数!A584),配列!$C$4,集計記録,5,1))</f>
        <v>#NAME?</v>
      </c>
      <c r="L592" s="104" t="e">
        <f t="shared" ca="1" si="71"/>
        <v>#NAME?</v>
      </c>
      <c r="M592" s="120" t="e">
        <f t="shared" ca="1" si="65"/>
        <v>#NAME?</v>
      </c>
      <c r="N592" s="120" t="e">
        <f ca="1">IF([0]!CSVVLookUP(ROW(行数!A584),配列!$C$4,集計記録,6,1)=0,"",[0]!CSVVLookUP(ROW(行数!A584),配列!$C$4,集計記録,6,1))</f>
        <v>#NAME?</v>
      </c>
      <c r="O592" s="88" t="e">
        <f ca="1">IF(INDIRECT("M"&amp;ROW()-1)&lt;&gt;INDIRECT("M"&amp;ROW()),リスト!$I$5,"")</f>
        <v>#NAME?</v>
      </c>
      <c r="P592" s="88" t="e">
        <f ca="1">IF(INDIRECT("M"&amp;ROW())&lt;&gt;INDIRECT("M"&amp;ROW()+1),リスト!$I$6,"")</f>
        <v>#NAME?</v>
      </c>
    </row>
    <row r="593" spans="1:16" x14ac:dyDescent="0.2">
      <c r="A593" s="169" t="e">
        <f ca="1">IF(C593="","",ROW(行数!A585))</f>
        <v>#NAME?</v>
      </c>
      <c r="B593" s="168" t="e">
        <f t="shared" ca="1" si="66"/>
        <v>#NAME?</v>
      </c>
      <c r="C593" s="90" t="e">
        <f ca="1">[0]!CSVVLookUP(ROW(行数!A585),配列!$C$4,集計記録,3,1)</f>
        <v>#NAME?</v>
      </c>
      <c r="D593" s="90" t="e">
        <f ca="1">[0]!CSVVLookUP(ROW(行数!B585),配列!$C$4,集計記録,4,1)</f>
        <v>#NAME?</v>
      </c>
      <c r="E593" s="118" t="e">
        <f t="shared" ca="1" si="67"/>
        <v>#NAME?</v>
      </c>
      <c r="F593" s="118" t="e">
        <f t="shared" ca="1" si="68"/>
        <v>#NAME?</v>
      </c>
      <c r="G593" s="103" t="e">
        <f t="shared" ca="1" si="69"/>
        <v>#NAME?</v>
      </c>
      <c r="H593" s="104" t="e">
        <f ca="1">IF(C593="","",MROUND([0]!CSVVLookUP(ROW(行数!A585),配列!$C$4,集計記録,8,1),"0:01"))</f>
        <v>#NAME?</v>
      </c>
      <c r="I593" s="104" t="e">
        <f t="shared" ca="1" si="70"/>
        <v>#NAME?</v>
      </c>
      <c r="J593" s="119" t="e">
        <f ca="1">IF(C593="","",MROUND([0]!CSVVLookUP(ROW(行数!A585),配列!$C$4,集計記録,7,1),"0:01"))</f>
        <v>#NAME?</v>
      </c>
      <c r="K593" s="92" t="e">
        <f ca="1">IF(C593="","",[0]!CSVVLookUP(ROW(行数!A585),配列!$C$4,集計記録,5,1))</f>
        <v>#NAME?</v>
      </c>
      <c r="L593" s="104" t="e">
        <f t="shared" ca="1" si="71"/>
        <v>#NAME?</v>
      </c>
      <c r="M593" s="120" t="e">
        <f t="shared" ca="1" si="65"/>
        <v>#NAME?</v>
      </c>
      <c r="N593" s="120" t="e">
        <f ca="1">IF([0]!CSVVLookUP(ROW(行数!A585),配列!$C$4,集計記録,6,1)=0,"",[0]!CSVVLookUP(ROW(行数!A585),配列!$C$4,集計記録,6,1))</f>
        <v>#NAME?</v>
      </c>
      <c r="O593" s="88" t="e">
        <f ca="1">IF(INDIRECT("M"&amp;ROW()-1)&lt;&gt;INDIRECT("M"&amp;ROW()),リスト!$I$5,"")</f>
        <v>#NAME?</v>
      </c>
      <c r="P593" s="88" t="e">
        <f ca="1">IF(INDIRECT("M"&amp;ROW())&lt;&gt;INDIRECT("M"&amp;ROW()+1),リスト!$I$6,"")</f>
        <v>#NAME?</v>
      </c>
    </row>
    <row r="594" spans="1:16" x14ac:dyDescent="0.2">
      <c r="A594" s="169" t="e">
        <f ca="1">IF(C594="","",ROW(行数!A586))</f>
        <v>#NAME?</v>
      </c>
      <c r="B594" s="168" t="e">
        <f t="shared" ca="1" si="66"/>
        <v>#NAME?</v>
      </c>
      <c r="C594" s="90" t="e">
        <f ca="1">[0]!CSVVLookUP(ROW(行数!A586),配列!$C$4,集計記録,3,1)</f>
        <v>#NAME?</v>
      </c>
      <c r="D594" s="90" t="e">
        <f ca="1">[0]!CSVVLookUP(ROW(行数!B586),配列!$C$4,集計記録,4,1)</f>
        <v>#NAME?</v>
      </c>
      <c r="E594" s="118" t="e">
        <f t="shared" ca="1" si="67"/>
        <v>#NAME?</v>
      </c>
      <c r="F594" s="118" t="e">
        <f t="shared" ca="1" si="68"/>
        <v>#NAME?</v>
      </c>
      <c r="G594" s="103" t="e">
        <f t="shared" ca="1" si="69"/>
        <v>#NAME?</v>
      </c>
      <c r="H594" s="104" t="e">
        <f ca="1">IF(C594="","",MROUND([0]!CSVVLookUP(ROW(行数!A586),配列!$C$4,集計記録,8,1),"0:01"))</f>
        <v>#NAME?</v>
      </c>
      <c r="I594" s="104" t="e">
        <f t="shared" ca="1" si="70"/>
        <v>#NAME?</v>
      </c>
      <c r="J594" s="119" t="e">
        <f ca="1">IF(C594="","",MROUND([0]!CSVVLookUP(ROW(行数!A586),配列!$C$4,集計記録,7,1),"0:01"))</f>
        <v>#NAME?</v>
      </c>
      <c r="K594" s="92" t="e">
        <f ca="1">IF(C594="","",[0]!CSVVLookUP(ROW(行数!A586),配列!$C$4,集計記録,5,1))</f>
        <v>#NAME?</v>
      </c>
      <c r="L594" s="104" t="e">
        <f t="shared" ca="1" si="71"/>
        <v>#NAME?</v>
      </c>
      <c r="M594" s="120" t="e">
        <f t="shared" ca="1" si="65"/>
        <v>#NAME?</v>
      </c>
      <c r="N594" s="120" t="e">
        <f ca="1">IF([0]!CSVVLookUP(ROW(行数!A586),配列!$C$4,集計記録,6,1)=0,"",[0]!CSVVLookUP(ROW(行数!A586),配列!$C$4,集計記録,6,1))</f>
        <v>#NAME?</v>
      </c>
      <c r="O594" s="88" t="e">
        <f ca="1">IF(INDIRECT("M"&amp;ROW()-1)&lt;&gt;INDIRECT("M"&amp;ROW()),リスト!$I$5,"")</f>
        <v>#NAME?</v>
      </c>
      <c r="P594" s="88" t="e">
        <f ca="1">IF(INDIRECT("M"&amp;ROW())&lt;&gt;INDIRECT("M"&amp;ROW()+1),リスト!$I$6,"")</f>
        <v>#NAME?</v>
      </c>
    </row>
    <row r="595" spans="1:16" x14ac:dyDescent="0.2">
      <c r="A595" s="169" t="e">
        <f ca="1">IF(C595="","",ROW(行数!A587))</f>
        <v>#NAME?</v>
      </c>
      <c r="B595" s="168" t="e">
        <f t="shared" ca="1" si="66"/>
        <v>#NAME?</v>
      </c>
      <c r="C595" s="90" t="e">
        <f ca="1">[0]!CSVVLookUP(ROW(行数!A587),配列!$C$4,集計記録,3,1)</f>
        <v>#NAME?</v>
      </c>
      <c r="D595" s="90" t="e">
        <f ca="1">[0]!CSVVLookUP(ROW(行数!B587),配列!$C$4,集計記録,4,1)</f>
        <v>#NAME?</v>
      </c>
      <c r="E595" s="118" t="e">
        <f t="shared" ca="1" si="67"/>
        <v>#NAME?</v>
      </c>
      <c r="F595" s="118" t="e">
        <f t="shared" ca="1" si="68"/>
        <v>#NAME?</v>
      </c>
      <c r="G595" s="103" t="e">
        <f t="shared" ca="1" si="69"/>
        <v>#NAME?</v>
      </c>
      <c r="H595" s="104" t="e">
        <f ca="1">IF(C595="","",MROUND([0]!CSVVLookUP(ROW(行数!A587),配列!$C$4,集計記録,8,1),"0:01"))</f>
        <v>#NAME?</v>
      </c>
      <c r="I595" s="104" t="e">
        <f t="shared" ca="1" si="70"/>
        <v>#NAME?</v>
      </c>
      <c r="J595" s="119" t="e">
        <f ca="1">IF(C595="","",MROUND([0]!CSVVLookUP(ROW(行数!A587),配列!$C$4,集計記録,7,1),"0:01"))</f>
        <v>#NAME?</v>
      </c>
      <c r="K595" s="92" t="e">
        <f ca="1">IF(C595="","",[0]!CSVVLookUP(ROW(行数!A587),配列!$C$4,集計記録,5,1))</f>
        <v>#NAME?</v>
      </c>
      <c r="L595" s="104" t="e">
        <f t="shared" ca="1" si="71"/>
        <v>#NAME?</v>
      </c>
      <c r="M595" s="120" t="e">
        <f t="shared" ca="1" si="65"/>
        <v>#NAME?</v>
      </c>
      <c r="N595" s="120" t="e">
        <f ca="1">IF([0]!CSVVLookUP(ROW(行数!A587),配列!$C$4,集計記録,6,1)=0,"",[0]!CSVVLookUP(ROW(行数!A587),配列!$C$4,集計記録,6,1))</f>
        <v>#NAME?</v>
      </c>
      <c r="O595" s="88" t="e">
        <f ca="1">IF(INDIRECT("M"&amp;ROW()-1)&lt;&gt;INDIRECT("M"&amp;ROW()),リスト!$I$5,"")</f>
        <v>#NAME?</v>
      </c>
      <c r="P595" s="88" t="e">
        <f ca="1">IF(INDIRECT("M"&amp;ROW())&lt;&gt;INDIRECT("M"&amp;ROW()+1),リスト!$I$6,"")</f>
        <v>#NAME?</v>
      </c>
    </row>
    <row r="596" spans="1:16" x14ac:dyDescent="0.2">
      <c r="A596" s="169" t="e">
        <f ca="1">IF(C596="","",ROW(行数!A588))</f>
        <v>#NAME?</v>
      </c>
      <c r="B596" s="168" t="e">
        <f t="shared" ca="1" si="66"/>
        <v>#NAME?</v>
      </c>
      <c r="C596" s="90" t="e">
        <f ca="1">[0]!CSVVLookUP(ROW(行数!A588),配列!$C$4,集計記録,3,1)</f>
        <v>#NAME?</v>
      </c>
      <c r="D596" s="90" t="e">
        <f ca="1">[0]!CSVVLookUP(ROW(行数!B588),配列!$C$4,集計記録,4,1)</f>
        <v>#NAME?</v>
      </c>
      <c r="E596" s="118" t="e">
        <f t="shared" ca="1" si="67"/>
        <v>#NAME?</v>
      </c>
      <c r="F596" s="118" t="e">
        <f t="shared" ca="1" si="68"/>
        <v>#NAME?</v>
      </c>
      <c r="G596" s="103" t="e">
        <f t="shared" ca="1" si="69"/>
        <v>#NAME?</v>
      </c>
      <c r="H596" s="104" t="e">
        <f ca="1">IF(C596="","",MROUND([0]!CSVVLookUP(ROW(行数!A588),配列!$C$4,集計記録,8,1),"0:01"))</f>
        <v>#NAME?</v>
      </c>
      <c r="I596" s="104" t="e">
        <f t="shared" ca="1" si="70"/>
        <v>#NAME?</v>
      </c>
      <c r="J596" s="119" t="e">
        <f ca="1">IF(C596="","",MROUND([0]!CSVVLookUP(ROW(行数!A588),配列!$C$4,集計記録,7,1),"0:01"))</f>
        <v>#NAME?</v>
      </c>
      <c r="K596" s="92" t="e">
        <f ca="1">IF(C596="","",[0]!CSVVLookUP(ROW(行数!A588),配列!$C$4,集計記録,5,1))</f>
        <v>#NAME?</v>
      </c>
      <c r="L596" s="104" t="e">
        <f t="shared" ca="1" si="71"/>
        <v>#NAME?</v>
      </c>
      <c r="M596" s="120" t="e">
        <f t="shared" ca="1" si="65"/>
        <v>#NAME?</v>
      </c>
      <c r="N596" s="120" t="e">
        <f ca="1">IF([0]!CSVVLookUP(ROW(行数!A588),配列!$C$4,集計記録,6,1)=0,"",[0]!CSVVLookUP(ROW(行数!A588),配列!$C$4,集計記録,6,1))</f>
        <v>#NAME?</v>
      </c>
      <c r="O596" s="88" t="e">
        <f ca="1">IF(INDIRECT("M"&amp;ROW()-1)&lt;&gt;INDIRECT("M"&amp;ROW()),リスト!$I$5,"")</f>
        <v>#NAME?</v>
      </c>
      <c r="P596" s="88" t="e">
        <f ca="1">IF(INDIRECT("M"&amp;ROW())&lt;&gt;INDIRECT("M"&amp;ROW()+1),リスト!$I$6,"")</f>
        <v>#NAME?</v>
      </c>
    </row>
    <row r="597" spans="1:16" x14ac:dyDescent="0.2">
      <c r="A597" s="169" t="e">
        <f ca="1">IF(C597="","",ROW(行数!A589))</f>
        <v>#NAME?</v>
      </c>
      <c r="B597" s="168" t="e">
        <f t="shared" ca="1" si="66"/>
        <v>#NAME?</v>
      </c>
      <c r="C597" s="90" t="e">
        <f ca="1">[0]!CSVVLookUP(ROW(行数!A589),配列!$C$4,集計記録,3,1)</f>
        <v>#NAME?</v>
      </c>
      <c r="D597" s="90" t="e">
        <f ca="1">[0]!CSVVLookUP(ROW(行数!B589),配列!$C$4,集計記録,4,1)</f>
        <v>#NAME?</v>
      </c>
      <c r="E597" s="118" t="e">
        <f t="shared" ca="1" si="67"/>
        <v>#NAME?</v>
      </c>
      <c r="F597" s="118" t="e">
        <f t="shared" ca="1" si="68"/>
        <v>#NAME?</v>
      </c>
      <c r="G597" s="103" t="e">
        <f t="shared" ca="1" si="69"/>
        <v>#NAME?</v>
      </c>
      <c r="H597" s="104" t="e">
        <f ca="1">IF(C597="","",MROUND([0]!CSVVLookUP(ROW(行数!A589),配列!$C$4,集計記録,8,1),"0:01"))</f>
        <v>#NAME?</v>
      </c>
      <c r="I597" s="104" t="e">
        <f t="shared" ca="1" si="70"/>
        <v>#NAME?</v>
      </c>
      <c r="J597" s="119" t="e">
        <f ca="1">IF(C597="","",MROUND([0]!CSVVLookUP(ROW(行数!A589),配列!$C$4,集計記録,7,1),"0:01"))</f>
        <v>#NAME?</v>
      </c>
      <c r="K597" s="92" t="e">
        <f ca="1">IF(C597="","",[0]!CSVVLookUP(ROW(行数!A589),配列!$C$4,集計記録,5,1))</f>
        <v>#NAME?</v>
      </c>
      <c r="L597" s="104" t="e">
        <f t="shared" ca="1" si="71"/>
        <v>#NAME?</v>
      </c>
      <c r="M597" s="120" t="e">
        <f t="shared" ca="1" si="65"/>
        <v>#NAME?</v>
      </c>
      <c r="N597" s="120" t="e">
        <f ca="1">IF([0]!CSVVLookUP(ROW(行数!A589),配列!$C$4,集計記録,6,1)=0,"",[0]!CSVVLookUP(ROW(行数!A589),配列!$C$4,集計記録,6,1))</f>
        <v>#NAME?</v>
      </c>
      <c r="O597" s="88" t="e">
        <f ca="1">IF(INDIRECT("M"&amp;ROW()-1)&lt;&gt;INDIRECT("M"&amp;ROW()),リスト!$I$5,"")</f>
        <v>#NAME?</v>
      </c>
      <c r="P597" s="88" t="e">
        <f ca="1">IF(INDIRECT("M"&amp;ROW())&lt;&gt;INDIRECT("M"&amp;ROW()+1),リスト!$I$6,"")</f>
        <v>#NAME?</v>
      </c>
    </row>
    <row r="598" spans="1:16" x14ac:dyDescent="0.2">
      <c r="A598" s="169" t="e">
        <f ca="1">IF(C598="","",ROW(行数!A590))</f>
        <v>#NAME?</v>
      </c>
      <c r="B598" s="168" t="e">
        <f t="shared" ca="1" si="66"/>
        <v>#NAME?</v>
      </c>
      <c r="C598" s="90" t="e">
        <f ca="1">[0]!CSVVLookUP(ROW(行数!A590),配列!$C$4,集計記録,3,1)</f>
        <v>#NAME?</v>
      </c>
      <c r="D598" s="90" t="e">
        <f ca="1">[0]!CSVVLookUP(ROW(行数!B590),配列!$C$4,集計記録,4,1)</f>
        <v>#NAME?</v>
      </c>
      <c r="E598" s="118" t="e">
        <f t="shared" ca="1" si="67"/>
        <v>#NAME?</v>
      </c>
      <c r="F598" s="118" t="e">
        <f t="shared" ca="1" si="68"/>
        <v>#NAME?</v>
      </c>
      <c r="G598" s="103" t="e">
        <f t="shared" ca="1" si="69"/>
        <v>#NAME?</v>
      </c>
      <c r="H598" s="104" t="e">
        <f ca="1">IF(C598="","",MROUND([0]!CSVVLookUP(ROW(行数!A590),配列!$C$4,集計記録,8,1),"0:01"))</f>
        <v>#NAME?</v>
      </c>
      <c r="I598" s="104" t="e">
        <f t="shared" ca="1" si="70"/>
        <v>#NAME?</v>
      </c>
      <c r="J598" s="119" t="e">
        <f ca="1">IF(C598="","",MROUND([0]!CSVVLookUP(ROW(行数!A590),配列!$C$4,集計記録,7,1),"0:01"))</f>
        <v>#NAME?</v>
      </c>
      <c r="K598" s="92" t="e">
        <f ca="1">IF(C598="","",[0]!CSVVLookUP(ROW(行数!A590),配列!$C$4,集計記録,5,1))</f>
        <v>#NAME?</v>
      </c>
      <c r="L598" s="104" t="e">
        <f t="shared" ca="1" si="71"/>
        <v>#NAME?</v>
      </c>
      <c r="M598" s="120" t="e">
        <f t="shared" ca="1" si="65"/>
        <v>#NAME?</v>
      </c>
      <c r="N598" s="120" t="e">
        <f ca="1">IF([0]!CSVVLookUP(ROW(行数!A590),配列!$C$4,集計記録,6,1)=0,"",[0]!CSVVLookUP(ROW(行数!A590),配列!$C$4,集計記録,6,1))</f>
        <v>#NAME?</v>
      </c>
      <c r="O598" s="88" t="e">
        <f ca="1">IF(INDIRECT("M"&amp;ROW()-1)&lt;&gt;INDIRECT("M"&amp;ROW()),リスト!$I$5,"")</f>
        <v>#NAME?</v>
      </c>
      <c r="P598" s="88" t="e">
        <f ca="1">IF(INDIRECT("M"&amp;ROW())&lt;&gt;INDIRECT("M"&amp;ROW()+1),リスト!$I$6,"")</f>
        <v>#NAME?</v>
      </c>
    </row>
    <row r="599" spans="1:16" x14ac:dyDescent="0.2">
      <c r="A599" s="169" t="e">
        <f ca="1">IF(C599="","",ROW(行数!A591))</f>
        <v>#NAME?</v>
      </c>
      <c r="B599" s="168" t="e">
        <f t="shared" ca="1" si="66"/>
        <v>#NAME?</v>
      </c>
      <c r="C599" s="90" t="e">
        <f ca="1">[0]!CSVVLookUP(ROW(行数!A591),配列!$C$4,集計記録,3,1)</f>
        <v>#NAME?</v>
      </c>
      <c r="D599" s="90" t="e">
        <f ca="1">[0]!CSVVLookUP(ROW(行数!B591),配列!$C$4,集計記録,4,1)</f>
        <v>#NAME?</v>
      </c>
      <c r="E599" s="118" t="e">
        <f t="shared" ca="1" si="67"/>
        <v>#NAME?</v>
      </c>
      <c r="F599" s="118" t="e">
        <f t="shared" ca="1" si="68"/>
        <v>#NAME?</v>
      </c>
      <c r="G599" s="103" t="e">
        <f t="shared" ca="1" si="69"/>
        <v>#NAME?</v>
      </c>
      <c r="H599" s="104" t="e">
        <f ca="1">IF(C599="","",MROUND([0]!CSVVLookUP(ROW(行数!A591),配列!$C$4,集計記録,8,1),"0:01"))</f>
        <v>#NAME?</v>
      </c>
      <c r="I599" s="104" t="e">
        <f t="shared" ca="1" si="70"/>
        <v>#NAME?</v>
      </c>
      <c r="J599" s="119" t="e">
        <f ca="1">IF(C599="","",MROUND([0]!CSVVLookUP(ROW(行数!A591),配列!$C$4,集計記録,7,1),"0:01"))</f>
        <v>#NAME?</v>
      </c>
      <c r="K599" s="92" t="e">
        <f ca="1">IF(C599="","",[0]!CSVVLookUP(ROW(行数!A591),配列!$C$4,集計記録,5,1))</f>
        <v>#NAME?</v>
      </c>
      <c r="L599" s="104" t="e">
        <f t="shared" ca="1" si="71"/>
        <v>#NAME?</v>
      </c>
      <c r="M599" s="120" t="e">
        <f t="shared" ca="1" si="65"/>
        <v>#NAME?</v>
      </c>
      <c r="N599" s="120" t="e">
        <f ca="1">IF([0]!CSVVLookUP(ROW(行数!A591),配列!$C$4,集計記録,6,1)=0,"",[0]!CSVVLookUP(ROW(行数!A591),配列!$C$4,集計記録,6,1))</f>
        <v>#NAME?</v>
      </c>
      <c r="O599" s="88" t="e">
        <f ca="1">IF(INDIRECT("M"&amp;ROW()-1)&lt;&gt;INDIRECT("M"&amp;ROW()),リスト!$I$5,"")</f>
        <v>#NAME?</v>
      </c>
      <c r="P599" s="88" t="e">
        <f ca="1">IF(INDIRECT("M"&amp;ROW())&lt;&gt;INDIRECT("M"&amp;ROW()+1),リスト!$I$6,"")</f>
        <v>#NAME?</v>
      </c>
    </row>
    <row r="600" spans="1:16" x14ac:dyDescent="0.2">
      <c r="A600" s="169" t="e">
        <f ca="1">IF(C600="","",ROW(行数!A592))</f>
        <v>#NAME?</v>
      </c>
      <c r="B600" s="168" t="e">
        <f t="shared" ca="1" si="66"/>
        <v>#NAME?</v>
      </c>
      <c r="C600" s="90" t="e">
        <f ca="1">[0]!CSVVLookUP(ROW(行数!A592),配列!$C$4,集計記録,3,1)</f>
        <v>#NAME?</v>
      </c>
      <c r="D600" s="90" t="e">
        <f ca="1">[0]!CSVVLookUP(ROW(行数!B592),配列!$C$4,集計記録,4,1)</f>
        <v>#NAME?</v>
      </c>
      <c r="E600" s="118" t="e">
        <f t="shared" ca="1" si="67"/>
        <v>#NAME?</v>
      </c>
      <c r="F600" s="118" t="e">
        <f t="shared" ca="1" si="68"/>
        <v>#NAME?</v>
      </c>
      <c r="G600" s="103" t="e">
        <f t="shared" ca="1" si="69"/>
        <v>#NAME?</v>
      </c>
      <c r="H600" s="104" t="e">
        <f ca="1">IF(C600="","",MROUND([0]!CSVVLookUP(ROW(行数!A592),配列!$C$4,集計記録,8,1),"0:01"))</f>
        <v>#NAME?</v>
      </c>
      <c r="I600" s="104" t="e">
        <f t="shared" ca="1" si="70"/>
        <v>#NAME?</v>
      </c>
      <c r="J600" s="119" t="e">
        <f ca="1">IF(C600="","",MROUND([0]!CSVVLookUP(ROW(行数!A592),配列!$C$4,集計記録,7,1),"0:01"))</f>
        <v>#NAME?</v>
      </c>
      <c r="K600" s="92" t="e">
        <f ca="1">IF(C600="","",[0]!CSVVLookUP(ROW(行数!A592),配列!$C$4,集計記録,5,1))</f>
        <v>#NAME?</v>
      </c>
      <c r="L600" s="104" t="e">
        <f t="shared" ca="1" si="71"/>
        <v>#NAME?</v>
      </c>
      <c r="M600" s="120" t="e">
        <f t="shared" ca="1" si="65"/>
        <v>#NAME?</v>
      </c>
      <c r="N600" s="120" t="e">
        <f ca="1">IF([0]!CSVVLookUP(ROW(行数!A592),配列!$C$4,集計記録,6,1)=0,"",[0]!CSVVLookUP(ROW(行数!A592),配列!$C$4,集計記録,6,1))</f>
        <v>#NAME?</v>
      </c>
      <c r="O600" s="88" t="e">
        <f ca="1">IF(INDIRECT("M"&amp;ROW()-1)&lt;&gt;INDIRECT("M"&amp;ROW()),リスト!$I$5,"")</f>
        <v>#NAME?</v>
      </c>
      <c r="P600" s="88" t="e">
        <f ca="1">IF(INDIRECT("M"&amp;ROW())&lt;&gt;INDIRECT("M"&amp;ROW()+1),リスト!$I$6,"")</f>
        <v>#NAME?</v>
      </c>
    </row>
    <row r="601" spans="1:16" x14ac:dyDescent="0.2">
      <c r="A601" s="169" t="e">
        <f ca="1">IF(C601="","",ROW(行数!A593))</f>
        <v>#NAME?</v>
      </c>
      <c r="B601" s="168" t="e">
        <f t="shared" ca="1" si="66"/>
        <v>#NAME?</v>
      </c>
      <c r="C601" s="90" t="e">
        <f ca="1">[0]!CSVVLookUP(ROW(行数!A593),配列!$C$4,集計記録,3,1)</f>
        <v>#NAME?</v>
      </c>
      <c r="D601" s="90" t="e">
        <f ca="1">[0]!CSVVLookUP(ROW(行数!B593),配列!$C$4,集計記録,4,1)</f>
        <v>#NAME?</v>
      </c>
      <c r="E601" s="118" t="e">
        <f t="shared" ca="1" si="67"/>
        <v>#NAME?</v>
      </c>
      <c r="F601" s="118" t="e">
        <f t="shared" ca="1" si="68"/>
        <v>#NAME?</v>
      </c>
      <c r="G601" s="103" t="e">
        <f t="shared" ca="1" si="69"/>
        <v>#NAME?</v>
      </c>
      <c r="H601" s="104" t="e">
        <f ca="1">IF(C601="","",MROUND([0]!CSVVLookUP(ROW(行数!A593),配列!$C$4,集計記録,8,1),"0:01"))</f>
        <v>#NAME?</v>
      </c>
      <c r="I601" s="104" t="e">
        <f t="shared" ca="1" si="70"/>
        <v>#NAME?</v>
      </c>
      <c r="J601" s="119" t="e">
        <f ca="1">IF(C601="","",MROUND([0]!CSVVLookUP(ROW(行数!A593),配列!$C$4,集計記録,7,1),"0:01"))</f>
        <v>#NAME?</v>
      </c>
      <c r="K601" s="92" t="e">
        <f ca="1">IF(C601="","",[0]!CSVVLookUP(ROW(行数!A593),配列!$C$4,集計記録,5,1))</f>
        <v>#NAME?</v>
      </c>
      <c r="L601" s="104" t="e">
        <f t="shared" ca="1" si="71"/>
        <v>#NAME?</v>
      </c>
      <c r="M601" s="120" t="e">
        <f t="shared" ca="1" si="65"/>
        <v>#NAME?</v>
      </c>
      <c r="N601" s="120" t="e">
        <f ca="1">IF([0]!CSVVLookUP(ROW(行数!A593),配列!$C$4,集計記録,6,1)=0,"",[0]!CSVVLookUP(ROW(行数!A593),配列!$C$4,集計記録,6,1))</f>
        <v>#NAME?</v>
      </c>
      <c r="O601" s="88" t="e">
        <f ca="1">IF(INDIRECT("M"&amp;ROW()-1)&lt;&gt;INDIRECT("M"&amp;ROW()),リスト!$I$5,"")</f>
        <v>#NAME?</v>
      </c>
      <c r="P601" s="88" t="e">
        <f ca="1">IF(INDIRECT("M"&amp;ROW())&lt;&gt;INDIRECT("M"&amp;ROW()+1),リスト!$I$6,"")</f>
        <v>#NAME?</v>
      </c>
    </row>
    <row r="602" spans="1:16" x14ac:dyDescent="0.2">
      <c r="A602" s="169" t="e">
        <f ca="1">IF(C602="","",ROW(行数!A594))</f>
        <v>#NAME?</v>
      </c>
      <c r="B602" s="168" t="e">
        <f t="shared" ca="1" si="66"/>
        <v>#NAME?</v>
      </c>
      <c r="C602" s="90" t="e">
        <f ca="1">[0]!CSVVLookUP(ROW(行数!A594),配列!$C$4,集計記録,3,1)</f>
        <v>#NAME?</v>
      </c>
      <c r="D602" s="90" t="e">
        <f ca="1">[0]!CSVVLookUP(ROW(行数!B594),配列!$C$4,集計記録,4,1)</f>
        <v>#NAME?</v>
      </c>
      <c r="E602" s="118" t="e">
        <f t="shared" ca="1" si="67"/>
        <v>#NAME?</v>
      </c>
      <c r="F602" s="118" t="e">
        <f t="shared" ca="1" si="68"/>
        <v>#NAME?</v>
      </c>
      <c r="G602" s="103" t="e">
        <f t="shared" ca="1" si="69"/>
        <v>#NAME?</v>
      </c>
      <c r="H602" s="104" t="e">
        <f ca="1">IF(C602="","",MROUND([0]!CSVVLookUP(ROW(行数!A594),配列!$C$4,集計記録,8,1),"0:01"))</f>
        <v>#NAME?</v>
      </c>
      <c r="I602" s="104" t="e">
        <f t="shared" ca="1" si="70"/>
        <v>#NAME?</v>
      </c>
      <c r="J602" s="119" t="e">
        <f ca="1">IF(C602="","",MROUND([0]!CSVVLookUP(ROW(行数!A594),配列!$C$4,集計記録,7,1),"0:01"))</f>
        <v>#NAME?</v>
      </c>
      <c r="K602" s="92" t="e">
        <f ca="1">IF(C602="","",[0]!CSVVLookUP(ROW(行数!A594),配列!$C$4,集計記録,5,1))</f>
        <v>#NAME?</v>
      </c>
      <c r="L602" s="104" t="e">
        <f t="shared" ca="1" si="71"/>
        <v>#NAME?</v>
      </c>
      <c r="M602" s="120" t="e">
        <f t="shared" ca="1" si="65"/>
        <v>#NAME?</v>
      </c>
      <c r="N602" s="120" t="e">
        <f ca="1">IF([0]!CSVVLookUP(ROW(行数!A594),配列!$C$4,集計記録,6,1)=0,"",[0]!CSVVLookUP(ROW(行数!A594),配列!$C$4,集計記録,6,1))</f>
        <v>#NAME?</v>
      </c>
      <c r="O602" s="88" t="e">
        <f ca="1">IF(INDIRECT("M"&amp;ROW()-1)&lt;&gt;INDIRECT("M"&amp;ROW()),リスト!$I$5,"")</f>
        <v>#NAME?</v>
      </c>
      <c r="P602" s="88" t="e">
        <f ca="1">IF(INDIRECT("M"&amp;ROW())&lt;&gt;INDIRECT("M"&amp;ROW()+1),リスト!$I$6,"")</f>
        <v>#NAME?</v>
      </c>
    </row>
    <row r="603" spans="1:16" x14ac:dyDescent="0.2">
      <c r="A603" s="169" t="e">
        <f ca="1">IF(C603="","",ROW(行数!A595))</f>
        <v>#NAME?</v>
      </c>
      <c r="B603" s="168" t="e">
        <f t="shared" ca="1" si="66"/>
        <v>#NAME?</v>
      </c>
      <c r="C603" s="90" t="e">
        <f ca="1">[0]!CSVVLookUP(ROW(行数!A595),配列!$C$4,集計記録,3,1)</f>
        <v>#NAME?</v>
      </c>
      <c r="D603" s="90" t="e">
        <f ca="1">[0]!CSVVLookUP(ROW(行数!B595),配列!$C$4,集計記録,4,1)</f>
        <v>#NAME?</v>
      </c>
      <c r="E603" s="118" t="e">
        <f t="shared" ca="1" si="67"/>
        <v>#NAME?</v>
      </c>
      <c r="F603" s="118" t="e">
        <f t="shared" ca="1" si="68"/>
        <v>#NAME?</v>
      </c>
      <c r="G603" s="103" t="e">
        <f t="shared" ca="1" si="69"/>
        <v>#NAME?</v>
      </c>
      <c r="H603" s="104" t="e">
        <f ca="1">IF(C603="","",MROUND([0]!CSVVLookUP(ROW(行数!A595),配列!$C$4,集計記録,8,1),"0:01"))</f>
        <v>#NAME?</v>
      </c>
      <c r="I603" s="104" t="e">
        <f t="shared" ca="1" si="70"/>
        <v>#NAME?</v>
      </c>
      <c r="J603" s="119" t="e">
        <f ca="1">IF(C603="","",MROUND([0]!CSVVLookUP(ROW(行数!A595),配列!$C$4,集計記録,7,1),"0:01"))</f>
        <v>#NAME?</v>
      </c>
      <c r="K603" s="92" t="e">
        <f ca="1">IF(C603="","",[0]!CSVVLookUP(ROW(行数!A595),配列!$C$4,集計記録,5,1))</f>
        <v>#NAME?</v>
      </c>
      <c r="L603" s="104" t="e">
        <f t="shared" ca="1" si="71"/>
        <v>#NAME?</v>
      </c>
      <c r="M603" s="120" t="e">
        <f t="shared" ca="1" si="65"/>
        <v>#NAME?</v>
      </c>
      <c r="N603" s="120" t="e">
        <f ca="1">IF([0]!CSVVLookUP(ROW(行数!A595),配列!$C$4,集計記録,6,1)=0,"",[0]!CSVVLookUP(ROW(行数!A595),配列!$C$4,集計記録,6,1))</f>
        <v>#NAME?</v>
      </c>
      <c r="O603" s="88" t="e">
        <f ca="1">IF(INDIRECT("M"&amp;ROW()-1)&lt;&gt;INDIRECT("M"&amp;ROW()),リスト!$I$5,"")</f>
        <v>#NAME?</v>
      </c>
      <c r="P603" s="88" t="e">
        <f ca="1">IF(INDIRECT("M"&amp;ROW())&lt;&gt;INDIRECT("M"&amp;ROW()+1),リスト!$I$6,"")</f>
        <v>#NAME?</v>
      </c>
    </row>
    <row r="604" spans="1:16" x14ac:dyDescent="0.2">
      <c r="A604" s="169" t="e">
        <f ca="1">IF(C604="","",ROW(行数!A596))</f>
        <v>#NAME?</v>
      </c>
      <c r="B604" s="168" t="e">
        <f t="shared" ca="1" si="66"/>
        <v>#NAME?</v>
      </c>
      <c r="C604" s="90" t="e">
        <f ca="1">[0]!CSVVLookUP(ROW(行数!A596),配列!$C$4,集計記録,3,1)</f>
        <v>#NAME?</v>
      </c>
      <c r="D604" s="90" t="e">
        <f ca="1">[0]!CSVVLookUP(ROW(行数!B596),配列!$C$4,集計記録,4,1)</f>
        <v>#NAME?</v>
      </c>
      <c r="E604" s="118" t="e">
        <f t="shared" ca="1" si="67"/>
        <v>#NAME?</v>
      </c>
      <c r="F604" s="118" t="e">
        <f t="shared" ca="1" si="68"/>
        <v>#NAME?</v>
      </c>
      <c r="G604" s="103" t="e">
        <f t="shared" ca="1" si="69"/>
        <v>#NAME?</v>
      </c>
      <c r="H604" s="104" t="e">
        <f ca="1">IF(C604="","",MROUND([0]!CSVVLookUP(ROW(行数!A596),配列!$C$4,集計記録,8,1),"0:01"))</f>
        <v>#NAME?</v>
      </c>
      <c r="I604" s="104" t="e">
        <f t="shared" ca="1" si="70"/>
        <v>#NAME?</v>
      </c>
      <c r="J604" s="119" t="e">
        <f ca="1">IF(C604="","",MROUND([0]!CSVVLookUP(ROW(行数!A596),配列!$C$4,集計記録,7,1),"0:01"))</f>
        <v>#NAME?</v>
      </c>
      <c r="K604" s="92" t="e">
        <f ca="1">IF(C604="","",[0]!CSVVLookUP(ROW(行数!A596),配列!$C$4,集計記録,5,1))</f>
        <v>#NAME?</v>
      </c>
      <c r="L604" s="104" t="e">
        <f t="shared" ca="1" si="71"/>
        <v>#NAME?</v>
      </c>
      <c r="M604" s="120" t="e">
        <f t="shared" ca="1" si="65"/>
        <v>#NAME?</v>
      </c>
      <c r="N604" s="120" t="e">
        <f ca="1">IF([0]!CSVVLookUP(ROW(行数!A596),配列!$C$4,集計記録,6,1)=0,"",[0]!CSVVLookUP(ROW(行数!A596),配列!$C$4,集計記録,6,1))</f>
        <v>#NAME?</v>
      </c>
      <c r="O604" s="88" t="e">
        <f ca="1">IF(INDIRECT("M"&amp;ROW()-1)&lt;&gt;INDIRECT("M"&amp;ROW()),リスト!$I$5,"")</f>
        <v>#NAME?</v>
      </c>
      <c r="P604" s="88" t="e">
        <f ca="1">IF(INDIRECT("M"&amp;ROW())&lt;&gt;INDIRECT("M"&amp;ROW()+1),リスト!$I$6,"")</f>
        <v>#NAME?</v>
      </c>
    </row>
    <row r="605" spans="1:16" x14ac:dyDescent="0.2">
      <c r="A605" s="169" t="e">
        <f ca="1">IF(C605="","",ROW(行数!A597))</f>
        <v>#NAME?</v>
      </c>
      <c r="B605" s="168" t="e">
        <f t="shared" ca="1" si="66"/>
        <v>#NAME?</v>
      </c>
      <c r="C605" s="90" t="e">
        <f ca="1">[0]!CSVVLookUP(ROW(行数!A597),配列!$C$4,集計記録,3,1)</f>
        <v>#NAME?</v>
      </c>
      <c r="D605" s="90" t="e">
        <f ca="1">[0]!CSVVLookUP(ROW(行数!B597),配列!$C$4,集計記録,4,1)</f>
        <v>#NAME?</v>
      </c>
      <c r="E605" s="118" t="e">
        <f t="shared" ca="1" si="67"/>
        <v>#NAME?</v>
      </c>
      <c r="F605" s="118" t="e">
        <f t="shared" ca="1" si="68"/>
        <v>#NAME?</v>
      </c>
      <c r="G605" s="103" t="e">
        <f t="shared" ca="1" si="69"/>
        <v>#NAME?</v>
      </c>
      <c r="H605" s="104" t="e">
        <f ca="1">IF(C605="","",MROUND([0]!CSVVLookUP(ROW(行数!A597),配列!$C$4,集計記録,8,1),"0:01"))</f>
        <v>#NAME?</v>
      </c>
      <c r="I605" s="104" t="e">
        <f t="shared" ca="1" si="70"/>
        <v>#NAME?</v>
      </c>
      <c r="J605" s="119" t="e">
        <f ca="1">IF(C605="","",MROUND([0]!CSVVLookUP(ROW(行数!A597),配列!$C$4,集計記録,7,1),"0:01"))</f>
        <v>#NAME?</v>
      </c>
      <c r="K605" s="92" t="e">
        <f ca="1">IF(C605="","",[0]!CSVVLookUP(ROW(行数!A597),配列!$C$4,集計記録,5,1))</f>
        <v>#NAME?</v>
      </c>
      <c r="L605" s="104" t="e">
        <f t="shared" ca="1" si="71"/>
        <v>#NAME?</v>
      </c>
      <c r="M605" s="120" t="e">
        <f t="shared" ca="1" si="65"/>
        <v>#NAME?</v>
      </c>
      <c r="N605" s="120" t="e">
        <f ca="1">IF([0]!CSVVLookUP(ROW(行数!A597),配列!$C$4,集計記録,6,1)=0,"",[0]!CSVVLookUP(ROW(行数!A597),配列!$C$4,集計記録,6,1))</f>
        <v>#NAME?</v>
      </c>
      <c r="O605" s="88" t="e">
        <f ca="1">IF(INDIRECT("M"&amp;ROW()-1)&lt;&gt;INDIRECT("M"&amp;ROW()),リスト!$I$5,"")</f>
        <v>#NAME?</v>
      </c>
      <c r="P605" s="88" t="e">
        <f ca="1">IF(INDIRECT("M"&amp;ROW())&lt;&gt;INDIRECT("M"&amp;ROW()+1),リスト!$I$6,"")</f>
        <v>#NAME?</v>
      </c>
    </row>
    <row r="606" spans="1:16" x14ac:dyDescent="0.2">
      <c r="A606" s="169" t="e">
        <f ca="1">IF(C606="","",ROW(行数!A598))</f>
        <v>#NAME?</v>
      </c>
      <c r="B606" s="168" t="e">
        <f t="shared" ca="1" si="66"/>
        <v>#NAME?</v>
      </c>
      <c r="C606" s="90" t="e">
        <f ca="1">[0]!CSVVLookUP(ROW(行数!A598),配列!$C$4,集計記録,3,1)</f>
        <v>#NAME?</v>
      </c>
      <c r="D606" s="90" t="e">
        <f ca="1">[0]!CSVVLookUP(ROW(行数!B598),配列!$C$4,集計記録,4,1)</f>
        <v>#NAME?</v>
      </c>
      <c r="E606" s="118" t="e">
        <f t="shared" ca="1" si="67"/>
        <v>#NAME?</v>
      </c>
      <c r="F606" s="118" t="e">
        <f t="shared" ca="1" si="68"/>
        <v>#NAME?</v>
      </c>
      <c r="G606" s="103" t="e">
        <f t="shared" ca="1" si="69"/>
        <v>#NAME?</v>
      </c>
      <c r="H606" s="104" t="e">
        <f ca="1">IF(C606="","",MROUND([0]!CSVVLookUP(ROW(行数!A598),配列!$C$4,集計記録,8,1),"0:01"))</f>
        <v>#NAME?</v>
      </c>
      <c r="I606" s="104" t="e">
        <f t="shared" ca="1" si="70"/>
        <v>#NAME?</v>
      </c>
      <c r="J606" s="119" t="e">
        <f ca="1">IF(C606="","",MROUND([0]!CSVVLookUP(ROW(行数!A598),配列!$C$4,集計記録,7,1),"0:01"))</f>
        <v>#NAME?</v>
      </c>
      <c r="K606" s="92" t="e">
        <f ca="1">IF(C606="","",[0]!CSVVLookUP(ROW(行数!A598),配列!$C$4,集計記録,5,1))</f>
        <v>#NAME?</v>
      </c>
      <c r="L606" s="104" t="e">
        <f t="shared" ca="1" si="71"/>
        <v>#NAME?</v>
      </c>
      <c r="M606" s="120" t="e">
        <f t="shared" ca="1" si="65"/>
        <v>#NAME?</v>
      </c>
      <c r="N606" s="120" t="e">
        <f ca="1">IF([0]!CSVVLookUP(ROW(行数!A598),配列!$C$4,集計記録,6,1)=0,"",[0]!CSVVLookUP(ROW(行数!A598),配列!$C$4,集計記録,6,1))</f>
        <v>#NAME?</v>
      </c>
      <c r="O606" s="88" t="e">
        <f ca="1">IF(INDIRECT("M"&amp;ROW()-1)&lt;&gt;INDIRECT("M"&amp;ROW()),リスト!$I$5,"")</f>
        <v>#NAME?</v>
      </c>
      <c r="P606" s="88" t="e">
        <f ca="1">IF(INDIRECT("M"&amp;ROW())&lt;&gt;INDIRECT("M"&amp;ROW()+1),リスト!$I$6,"")</f>
        <v>#NAME?</v>
      </c>
    </row>
    <row r="607" spans="1:16" x14ac:dyDescent="0.2">
      <c r="A607" s="169" t="e">
        <f ca="1">IF(C607="","",ROW(行数!A599))</f>
        <v>#NAME?</v>
      </c>
      <c r="B607" s="168" t="e">
        <f t="shared" ca="1" si="66"/>
        <v>#NAME?</v>
      </c>
      <c r="C607" s="90" t="e">
        <f ca="1">[0]!CSVVLookUP(ROW(行数!A599),配列!$C$4,集計記録,3,1)</f>
        <v>#NAME?</v>
      </c>
      <c r="D607" s="90" t="e">
        <f ca="1">[0]!CSVVLookUP(ROW(行数!B599),配列!$C$4,集計記録,4,1)</f>
        <v>#NAME?</v>
      </c>
      <c r="E607" s="118" t="e">
        <f t="shared" ca="1" si="67"/>
        <v>#NAME?</v>
      </c>
      <c r="F607" s="118" t="e">
        <f t="shared" ca="1" si="68"/>
        <v>#NAME?</v>
      </c>
      <c r="G607" s="103" t="e">
        <f t="shared" ca="1" si="69"/>
        <v>#NAME?</v>
      </c>
      <c r="H607" s="104" t="e">
        <f ca="1">IF(C607="","",MROUND([0]!CSVVLookUP(ROW(行数!A599),配列!$C$4,集計記録,8,1),"0:01"))</f>
        <v>#NAME?</v>
      </c>
      <c r="I607" s="104" t="e">
        <f t="shared" ca="1" si="70"/>
        <v>#NAME?</v>
      </c>
      <c r="J607" s="119" t="e">
        <f ca="1">IF(C607="","",MROUND([0]!CSVVLookUP(ROW(行数!A599),配列!$C$4,集計記録,7,1),"0:01"))</f>
        <v>#NAME?</v>
      </c>
      <c r="K607" s="92" t="e">
        <f ca="1">IF(C607="","",[0]!CSVVLookUP(ROW(行数!A599),配列!$C$4,集計記録,5,1))</f>
        <v>#NAME?</v>
      </c>
      <c r="L607" s="104" t="e">
        <f t="shared" ca="1" si="71"/>
        <v>#NAME?</v>
      </c>
      <c r="M607" s="120" t="e">
        <f t="shared" ca="1" si="65"/>
        <v>#NAME?</v>
      </c>
      <c r="N607" s="120" t="e">
        <f ca="1">IF([0]!CSVVLookUP(ROW(行数!A599),配列!$C$4,集計記録,6,1)=0,"",[0]!CSVVLookUP(ROW(行数!A599),配列!$C$4,集計記録,6,1))</f>
        <v>#NAME?</v>
      </c>
      <c r="O607" s="88" t="e">
        <f ca="1">IF(INDIRECT("M"&amp;ROW()-1)&lt;&gt;INDIRECT("M"&amp;ROW()),リスト!$I$5,"")</f>
        <v>#NAME?</v>
      </c>
      <c r="P607" s="88" t="e">
        <f ca="1">IF(INDIRECT("M"&amp;ROW())&lt;&gt;INDIRECT("M"&amp;ROW()+1),リスト!$I$6,"")</f>
        <v>#NAME?</v>
      </c>
    </row>
    <row r="608" spans="1:16" x14ac:dyDescent="0.2">
      <c r="A608" s="169" t="e">
        <f ca="1">IF(C608="","",ROW(行数!A600))</f>
        <v>#NAME?</v>
      </c>
      <c r="B608" s="168" t="e">
        <f t="shared" ca="1" si="66"/>
        <v>#NAME?</v>
      </c>
      <c r="C608" s="90" t="e">
        <f ca="1">[0]!CSVVLookUP(ROW(行数!A600),配列!$C$4,集計記録,3,1)</f>
        <v>#NAME?</v>
      </c>
      <c r="D608" s="90" t="e">
        <f ca="1">[0]!CSVVLookUP(ROW(行数!B600),配列!$C$4,集計記録,4,1)</f>
        <v>#NAME?</v>
      </c>
      <c r="E608" s="118" t="e">
        <f t="shared" ca="1" si="67"/>
        <v>#NAME?</v>
      </c>
      <c r="F608" s="118" t="e">
        <f t="shared" ca="1" si="68"/>
        <v>#NAME?</v>
      </c>
      <c r="G608" s="103" t="e">
        <f t="shared" ca="1" si="69"/>
        <v>#NAME?</v>
      </c>
      <c r="H608" s="104" t="e">
        <f ca="1">IF(C608="","",MROUND([0]!CSVVLookUP(ROW(行数!A600),配列!$C$4,集計記録,8,1),"0:01"))</f>
        <v>#NAME?</v>
      </c>
      <c r="I608" s="104" t="e">
        <f t="shared" ca="1" si="70"/>
        <v>#NAME?</v>
      </c>
      <c r="J608" s="119" t="e">
        <f ca="1">IF(C608="","",MROUND([0]!CSVVLookUP(ROW(行数!A600),配列!$C$4,集計記録,7,1),"0:01"))</f>
        <v>#NAME?</v>
      </c>
      <c r="K608" s="92" t="e">
        <f ca="1">IF(C608="","",[0]!CSVVLookUP(ROW(行数!A600),配列!$C$4,集計記録,5,1))</f>
        <v>#NAME?</v>
      </c>
      <c r="L608" s="104" t="e">
        <f t="shared" ca="1" si="71"/>
        <v>#NAME?</v>
      </c>
      <c r="M608" s="120" t="e">
        <f t="shared" ca="1" si="65"/>
        <v>#NAME?</v>
      </c>
      <c r="N608" s="120" t="e">
        <f ca="1">IF([0]!CSVVLookUP(ROW(行数!A600),配列!$C$4,集計記録,6,1)=0,"",[0]!CSVVLookUP(ROW(行数!A600),配列!$C$4,集計記録,6,1))</f>
        <v>#NAME?</v>
      </c>
      <c r="O608" s="88" t="e">
        <f ca="1">IF(INDIRECT("M"&amp;ROW()-1)&lt;&gt;INDIRECT("M"&amp;ROW()),リスト!$I$5,"")</f>
        <v>#NAME?</v>
      </c>
      <c r="P608" s="88" t="e">
        <f ca="1">IF(INDIRECT("M"&amp;ROW())&lt;&gt;INDIRECT("M"&amp;ROW()+1),リスト!$I$6,"")</f>
        <v>#NAME?</v>
      </c>
    </row>
    <row r="609" spans="1:16" x14ac:dyDescent="0.2">
      <c r="A609" s="169" t="e">
        <f ca="1">IF(C609="","",ROW(行数!A601))</f>
        <v>#NAME?</v>
      </c>
      <c r="B609" s="168" t="e">
        <f t="shared" ca="1" si="66"/>
        <v>#NAME?</v>
      </c>
      <c r="C609" s="90" t="e">
        <f ca="1">[0]!CSVVLookUP(ROW(行数!A601),配列!$C$4,集計記録,3,1)</f>
        <v>#NAME?</v>
      </c>
      <c r="D609" s="90" t="e">
        <f ca="1">[0]!CSVVLookUP(ROW(行数!B601),配列!$C$4,集計記録,4,1)</f>
        <v>#NAME?</v>
      </c>
      <c r="E609" s="118" t="e">
        <f t="shared" ca="1" si="67"/>
        <v>#NAME?</v>
      </c>
      <c r="F609" s="118" t="e">
        <f t="shared" ca="1" si="68"/>
        <v>#NAME?</v>
      </c>
      <c r="G609" s="103" t="e">
        <f t="shared" ca="1" si="69"/>
        <v>#NAME?</v>
      </c>
      <c r="H609" s="104" t="e">
        <f ca="1">IF(C609="","",MROUND([0]!CSVVLookUP(ROW(行数!A601),配列!$C$4,集計記録,8,1),"0:01"))</f>
        <v>#NAME?</v>
      </c>
      <c r="I609" s="104" t="e">
        <f t="shared" ca="1" si="70"/>
        <v>#NAME?</v>
      </c>
      <c r="J609" s="119" t="e">
        <f ca="1">IF(C609="","",MROUND([0]!CSVVLookUP(ROW(行数!A601),配列!$C$4,集計記録,7,1),"0:01"))</f>
        <v>#NAME?</v>
      </c>
      <c r="K609" s="92" t="e">
        <f ca="1">IF(C609="","",[0]!CSVVLookUP(ROW(行数!A601),配列!$C$4,集計記録,5,1))</f>
        <v>#NAME?</v>
      </c>
      <c r="L609" s="104" t="e">
        <f t="shared" ca="1" si="71"/>
        <v>#NAME?</v>
      </c>
      <c r="M609" s="120" t="e">
        <f t="shared" ca="1" si="65"/>
        <v>#NAME?</v>
      </c>
      <c r="N609" s="120" t="e">
        <f ca="1">IF([0]!CSVVLookUP(ROW(行数!A601),配列!$C$4,集計記録,6,1)=0,"",[0]!CSVVLookUP(ROW(行数!A601),配列!$C$4,集計記録,6,1))</f>
        <v>#NAME?</v>
      </c>
      <c r="O609" s="88" t="e">
        <f ca="1">IF(INDIRECT("M"&amp;ROW()-1)&lt;&gt;INDIRECT("M"&amp;ROW()),リスト!$I$5,"")</f>
        <v>#NAME?</v>
      </c>
      <c r="P609" s="88" t="e">
        <f ca="1">IF(INDIRECT("M"&amp;ROW())&lt;&gt;INDIRECT("M"&amp;ROW()+1),リスト!$I$6,"")</f>
        <v>#NAME?</v>
      </c>
    </row>
    <row r="610" spans="1:16" x14ac:dyDescent="0.2">
      <c r="A610" s="169" t="e">
        <f ca="1">IF(C610="","",ROW(行数!A602))</f>
        <v>#NAME?</v>
      </c>
      <c r="B610" s="168" t="e">
        <f t="shared" ca="1" si="66"/>
        <v>#NAME?</v>
      </c>
      <c r="C610" s="90" t="e">
        <f ca="1">[0]!CSVVLookUP(ROW(行数!A602),配列!$C$4,集計記録,3,1)</f>
        <v>#NAME?</v>
      </c>
      <c r="D610" s="90" t="e">
        <f ca="1">[0]!CSVVLookUP(ROW(行数!B602),配列!$C$4,集計記録,4,1)</f>
        <v>#NAME?</v>
      </c>
      <c r="E610" s="118" t="e">
        <f t="shared" ca="1" si="67"/>
        <v>#NAME?</v>
      </c>
      <c r="F610" s="118" t="e">
        <f t="shared" ca="1" si="68"/>
        <v>#NAME?</v>
      </c>
      <c r="G610" s="103" t="e">
        <f t="shared" ca="1" si="69"/>
        <v>#NAME?</v>
      </c>
      <c r="H610" s="104" t="e">
        <f ca="1">IF(C610="","",MROUND([0]!CSVVLookUP(ROW(行数!A602),配列!$C$4,集計記録,8,1),"0:01"))</f>
        <v>#NAME?</v>
      </c>
      <c r="I610" s="104" t="e">
        <f t="shared" ca="1" si="70"/>
        <v>#NAME?</v>
      </c>
      <c r="J610" s="119" t="e">
        <f ca="1">IF(C610="","",MROUND([0]!CSVVLookUP(ROW(行数!A602),配列!$C$4,集計記録,7,1),"0:01"))</f>
        <v>#NAME?</v>
      </c>
      <c r="K610" s="92" t="e">
        <f ca="1">IF(C610="","",[0]!CSVVLookUP(ROW(行数!A602),配列!$C$4,集計記録,5,1))</f>
        <v>#NAME?</v>
      </c>
      <c r="L610" s="104" t="e">
        <f t="shared" ca="1" si="71"/>
        <v>#NAME?</v>
      </c>
      <c r="M610" s="120" t="e">
        <f t="shared" ca="1" si="65"/>
        <v>#NAME?</v>
      </c>
      <c r="N610" s="120" t="e">
        <f ca="1">IF([0]!CSVVLookUP(ROW(行数!A602),配列!$C$4,集計記録,6,1)=0,"",[0]!CSVVLookUP(ROW(行数!A602),配列!$C$4,集計記録,6,1))</f>
        <v>#NAME?</v>
      </c>
      <c r="O610" s="88" t="e">
        <f ca="1">IF(INDIRECT("M"&amp;ROW()-1)&lt;&gt;INDIRECT("M"&amp;ROW()),リスト!$I$5,"")</f>
        <v>#NAME?</v>
      </c>
      <c r="P610" s="88" t="e">
        <f ca="1">IF(INDIRECT("M"&amp;ROW())&lt;&gt;INDIRECT("M"&amp;ROW()+1),リスト!$I$6,"")</f>
        <v>#NAME?</v>
      </c>
    </row>
    <row r="611" spans="1:16" x14ac:dyDescent="0.2">
      <c r="A611" s="169" t="e">
        <f ca="1">IF(C611="","",ROW(行数!A603))</f>
        <v>#NAME?</v>
      </c>
      <c r="B611" s="168" t="e">
        <f t="shared" ca="1" si="66"/>
        <v>#NAME?</v>
      </c>
      <c r="C611" s="90" t="e">
        <f ca="1">[0]!CSVVLookUP(ROW(行数!A603),配列!$C$4,集計記録,3,1)</f>
        <v>#NAME?</v>
      </c>
      <c r="D611" s="90" t="e">
        <f ca="1">[0]!CSVVLookUP(ROW(行数!B603),配列!$C$4,集計記録,4,1)</f>
        <v>#NAME?</v>
      </c>
      <c r="E611" s="118" t="e">
        <f t="shared" ca="1" si="67"/>
        <v>#NAME?</v>
      </c>
      <c r="F611" s="118" t="e">
        <f t="shared" ca="1" si="68"/>
        <v>#NAME?</v>
      </c>
      <c r="G611" s="103" t="e">
        <f t="shared" ca="1" si="69"/>
        <v>#NAME?</v>
      </c>
      <c r="H611" s="104" t="e">
        <f ca="1">IF(C611="","",MROUND([0]!CSVVLookUP(ROW(行数!A603),配列!$C$4,集計記録,8,1),"0:01"))</f>
        <v>#NAME?</v>
      </c>
      <c r="I611" s="104" t="e">
        <f t="shared" ca="1" si="70"/>
        <v>#NAME?</v>
      </c>
      <c r="J611" s="119" t="e">
        <f ca="1">IF(C611="","",MROUND([0]!CSVVLookUP(ROW(行数!A603),配列!$C$4,集計記録,7,1),"0:01"))</f>
        <v>#NAME?</v>
      </c>
      <c r="K611" s="92" t="e">
        <f ca="1">IF(C611="","",[0]!CSVVLookUP(ROW(行数!A603),配列!$C$4,集計記録,5,1))</f>
        <v>#NAME?</v>
      </c>
      <c r="L611" s="104" t="e">
        <f t="shared" ca="1" si="71"/>
        <v>#NAME?</v>
      </c>
      <c r="M611" s="120" t="e">
        <f t="shared" ca="1" si="65"/>
        <v>#NAME?</v>
      </c>
      <c r="N611" s="120" t="e">
        <f ca="1">IF([0]!CSVVLookUP(ROW(行数!A603),配列!$C$4,集計記録,6,1)=0,"",[0]!CSVVLookUP(ROW(行数!A603),配列!$C$4,集計記録,6,1))</f>
        <v>#NAME?</v>
      </c>
      <c r="O611" s="88" t="e">
        <f ca="1">IF(INDIRECT("M"&amp;ROW()-1)&lt;&gt;INDIRECT("M"&amp;ROW()),リスト!$I$5,"")</f>
        <v>#NAME?</v>
      </c>
      <c r="P611" s="88" t="e">
        <f ca="1">IF(INDIRECT("M"&amp;ROW())&lt;&gt;INDIRECT("M"&amp;ROW()+1),リスト!$I$6,"")</f>
        <v>#NAME?</v>
      </c>
    </row>
    <row r="612" spans="1:16" x14ac:dyDescent="0.2">
      <c r="A612" s="169" t="e">
        <f ca="1">IF(C612="","",ROW(行数!A604))</f>
        <v>#NAME?</v>
      </c>
      <c r="B612" s="168" t="e">
        <f t="shared" ca="1" si="66"/>
        <v>#NAME?</v>
      </c>
      <c r="C612" s="90" t="e">
        <f ca="1">[0]!CSVVLookUP(ROW(行数!A604),配列!$C$4,集計記録,3,1)</f>
        <v>#NAME?</v>
      </c>
      <c r="D612" s="90" t="e">
        <f ca="1">[0]!CSVVLookUP(ROW(行数!B604),配列!$C$4,集計記録,4,1)</f>
        <v>#NAME?</v>
      </c>
      <c r="E612" s="118" t="e">
        <f t="shared" ca="1" si="67"/>
        <v>#NAME?</v>
      </c>
      <c r="F612" s="118" t="e">
        <f t="shared" ca="1" si="68"/>
        <v>#NAME?</v>
      </c>
      <c r="G612" s="103" t="e">
        <f t="shared" ca="1" si="69"/>
        <v>#NAME?</v>
      </c>
      <c r="H612" s="104" t="e">
        <f ca="1">IF(C612="","",MROUND([0]!CSVVLookUP(ROW(行数!A604),配列!$C$4,集計記録,8,1),"0:01"))</f>
        <v>#NAME?</v>
      </c>
      <c r="I612" s="104" t="e">
        <f t="shared" ca="1" si="70"/>
        <v>#NAME?</v>
      </c>
      <c r="J612" s="119" t="e">
        <f ca="1">IF(C612="","",MROUND([0]!CSVVLookUP(ROW(行数!A604),配列!$C$4,集計記録,7,1),"0:01"))</f>
        <v>#NAME?</v>
      </c>
      <c r="K612" s="92" t="e">
        <f ca="1">IF(C612="","",[0]!CSVVLookUP(ROW(行数!A604),配列!$C$4,集計記録,5,1))</f>
        <v>#NAME?</v>
      </c>
      <c r="L612" s="104" t="e">
        <f t="shared" ca="1" si="71"/>
        <v>#NAME?</v>
      </c>
      <c r="M612" s="120" t="e">
        <f t="shared" ca="1" si="65"/>
        <v>#NAME?</v>
      </c>
      <c r="N612" s="120" t="e">
        <f ca="1">IF([0]!CSVVLookUP(ROW(行数!A604),配列!$C$4,集計記録,6,1)=0,"",[0]!CSVVLookUP(ROW(行数!A604),配列!$C$4,集計記録,6,1))</f>
        <v>#NAME?</v>
      </c>
      <c r="O612" s="88" t="e">
        <f ca="1">IF(INDIRECT("M"&amp;ROW()-1)&lt;&gt;INDIRECT("M"&amp;ROW()),リスト!$I$5,"")</f>
        <v>#NAME?</v>
      </c>
      <c r="P612" s="88" t="e">
        <f ca="1">IF(INDIRECT("M"&amp;ROW())&lt;&gt;INDIRECT("M"&amp;ROW()+1),リスト!$I$6,"")</f>
        <v>#NAME?</v>
      </c>
    </row>
    <row r="613" spans="1:16" x14ac:dyDescent="0.2">
      <c r="A613" s="169" t="e">
        <f ca="1">IF(C613="","",ROW(行数!A605))</f>
        <v>#NAME?</v>
      </c>
      <c r="B613" s="168" t="e">
        <f t="shared" ca="1" si="66"/>
        <v>#NAME?</v>
      </c>
      <c r="C613" s="90" t="e">
        <f ca="1">[0]!CSVVLookUP(ROW(行数!A605),配列!$C$4,集計記録,3,1)</f>
        <v>#NAME?</v>
      </c>
      <c r="D613" s="90" t="e">
        <f ca="1">[0]!CSVVLookUP(ROW(行数!B605),配列!$C$4,集計記録,4,1)</f>
        <v>#NAME?</v>
      </c>
      <c r="E613" s="118" t="e">
        <f t="shared" ca="1" si="67"/>
        <v>#NAME?</v>
      </c>
      <c r="F613" s="118" t="e">
        <f t="shared" ca="1" si="68"/>
        <v>#NAME?</v>
      </c>
      <c r="G613" s="103" t="e">
        <f t="shared" ca="1" si="69"/>
        <v>#NAME?</v>
      </c>
      <c r="H613" s="104" t="e">
        <f ca="1">IF(C613="","",MROUND([0]!CSVVLookUP(ROW(行数!A605),配列!$C$4,集計記録,8,1),"0:01"))</f>
        <v>#NAME?</v>
      </c>
      <c r="I613" s="104" t="e">
        <f t="shared" ca="1" si="70"/>
        <v>#NAME?</v>
      </c>
      <c r="J613" s="119" t="e">
        <f ca="1">IF(C613="","",MROUND([0]!CSVVLookUP(ROW(行数!A605),配列!$C$4,集計記録,7,1),"0:01"))</f>
        <v>#NAME?</v>
      </c>
      <c r="K613" s="92" t="e">
        <f ca="1">IF(C613="","",[0]!CSVVLookUP(ROW(行数!A605),配列!$C$4,集計記録,5,1))</f>
        <v>#NAME?</v>
      </c>
      <c r="L613" s="104" t="e">
        <f t="shared" ca="1" si="71"/>
        <v>#NAME?</v>
      </c>
      <c r="M613" s="120" t="e">
        <f t="shared" ca="1" si="65"/>
        <v>#NAME?</v>
      </c>
      <c r="N613" s="120" t="e">
        <f ca="1">IF([0]!CSVVLookUP(ROW(行数!A605),配列!$C$4,集計記録,6,1)=0,"",[0]!CSVVLookUP(ROW(行数!A605),配列!$C$4,集計記録,6,1))</f>
        <v>#NAME?</v>
      </c>
      <c r="O613" s="88" t="e">
        <f ca="1">IF(INDIRECT("M"&amp;ROW()-1)&lt;&gt;INDIRECT("M"&amp;ROW()),リスト!$I$5,"")</f>
        <v>#NAME?</v>
      </c>
      <c r="P613" s="88" t="e">
        <f ca="1">IF(INDIRECT("M"&amp;ROW())&lt;&gt;INDIRECT("M"&amp;ROW()+1),リスト!$I$6,"")</f>
        <v>#NAME?</v>
      </c>
    </row>
    <row r="614" spans="1:16" x14ac:dyDescent="0.2">
      <c r="A614" s="169" t="e">
        <f ca="1">IF(C614="","",ROW(行数!A606))</f>
        <v>#NAME?</v>
      </c>
      <c r="B614" s="168" t="e">
        <f t="shared" ca="1" si="66"/>
        <v>#NAME?</v>
      </c>
      <c r="C614" s="90" t="e">
        <f ca="1">[0]!CSVVLookUP(ROW(行数!A606),配列!$C$4,集計記録,3,1)</f>
        <v>#NAME?</v>
      </c>
      <c r="D614" s="90" t="e">
        <f ca="1">[0]!CSVVLookUP(ROW(行数!B606),配列!$C$4,集計記録,4,1)</f>
        <v>#NAME?</v>
      </c>
      <c r="E614" s="118" t="e">
        <f t="shared" ca="1" si="67"/>
        <v>#NAME?</v>
      </c>
      <c r="F614" s="118" t="e">
        <f t="shared" ca="1" si="68"/>
        <v>#NAME?</v>
      </c>
      <c r="G614" s="103" t="e">
        <f t="shared" ca="1" si="69"/>
        <v>#NAME?</v>
      </c>
      <c r="H614" s="104" t="e">
        <f ca="1">IF(C614="","",MROUND([0]!CSVVLookUP(ROW(行数!A606),配列!$C$4,集計記録,8,1),"0:01"))</f>
        <v>#NAME?</v>
      </c>
      <c r="I614" s="104" t="e">
        <f t="shared" ca="1" si="70"/>
        <v>#NAME?</v>
      </c>
      <c r="J614" s="119" t="e">
        <f ca="1">IF(C614="","",MROUND([0]!CSVVLookUP(ROW(行数!A606),配列!$C$4,集計記録,7,1),"0:01"))</f>
        <v>#NAME?</v>
      </c>
      <c r="K614" s="92" t="e">
        <f ca="1">IF(C614="","",[0]!CSVVLookUP(ROW(行数!A606),配列!$C$4,集計記録,5,1))</f>
        <v>#NAME?</v>
      </c>
      <c r="L614" s="104" t="e">
        <f t="shared" ca="1" si="71"/>
        <v>#NAME?</v>
      </c>
      <c r="M614" s="120" t="e">
        <f t="shared" ca="1" si="65"/>
        <v>#NAME?</v>
      </c>
      <c r="N614" s="120" t="e">
        <f ca="1">IF([0]!CSVVLookUP(ROW(行数!A606),配列!$C$4,集計記録,6,1)=0,"",[0]!CSVVLookUP(ROW(行数!A606),配列!$C$4,集計記録,6,1))</f>
        <v>#NAME?</v>
      </c>
      <c r="O614" s="88" t="e">
        <f ca="1">IF(INDIRECT("M"&amp;ROW()-1)&lt;&gt;INDIRECT("M"&amp;ROW()),リスト!$I$5,"")</f>
        <v>#NAME?</v>
      </c>
      <c r="P614" s="88" t="e">
        <f ca="1">IF(INDIRECT("M"&amp;ROW())&lt;&gt;INDIRECT("M"&amp;ROW()+1),リスト!$I$6,"")</f>
        <v>#NAME?</v>
      </c>
    </row>
    <row r="615" spans="1:16" x14ac:dyDescent="0.2">
      <c r="A615" s="169" t="e">
        <f ca="1">IF(C615="","",ROW(行数!A607))</f>
        <v>#NAME?</v>
      </c>
      <c r="B615" s="168" t="e">
        <f t="shared" ca="1" si="66"/>
        <v>#NAME?</v>
      </c>
      <c r="C615" s="90" t="e">
        <f ca="1">[0]!CSVVLookUP(ROW(行数!A607),配列!$C$4,集計記録,3,1)</f>
        <v>#NAME?</v>
      </c>
      <c r="D615" s="90" t="e">
        <f ca="1">[0]!CSVVLookUP(ROW(行数!B607),配列!$C$4,集計記録,4,1)</f>
        <v>#NAME?</v>
      </c>
      <c r="E615" s="118" t="e">
        <f t="shared" ca="1" si="67"/>
        <v>#NAME?</v>
      </c>
      <c r="F615" s="118" t="e">
        <f t="shared" ca="1" si="68"/>
        <v>#NAME?</v>
      </c>
      <c r="G615" s="103" t="e">
        <f t="shared" ca="1" si="69"/>
        <v>#NAME?</v>
      </c>
      <c r="H615" s="104" t="e">
        <f ca="1">IF(C615="","",MROUND([0]!CSVVLookUP(ROW(行数!A607),配列!$C$4,集計記録,8,1),"0:01"))</f>
        <v>#NAME?</v>
      </c>
      <c r="I615" s="104" t="e">
        <f t="shared" ca="1" si="70"/>
        <v>#NAME?</v>
      </c>
      <c r="J615" s="119" t="e">
        <f ca="1">IF(C615="","",MROUND([0]!CSVVLookUP(ROW(行数!A607),配列!$C$4,集計記録,7,1),"0:01"))</f>
        <v>#NAME?</v>
      </c>
      <c r="K615" s="92" t="e">
        <f ca="1">IF(C615="","",[0]!CSVVLookUP(ROW(行数!A607),配列!$C$4,集計記録,5,1))</f>
        <v>#NAME?</v>
      </c>
      <c r="L615" s="104" t="e">
        <f t="shared" ca="1" si="71"/>
        <v>#NAME?</v>
      </c>
      <c r="M615" s="120" t="e">
        <f t="shared" ca="1" si="65"/>
        <v>#NAME?</v>
      </c>
      <c r="N615" s="120" t="e">
        <f ca="1">IF([0]!CSVVLookUP(ROW(行数!A607),配列!$C$4,集計記録,6,1)=0,"",[0]!CSVVLookUP(ROW(行数!A607),配列!$C$4,集計記録,6,1))</f>
        <v>#NAME?</v>
      </c>
      <c r="O615" s="88" t="e">
        <f ca="1">IF(INDIRECT("M"&amp;ROW()-1)&lt;&gt;INDIRECT("M"&amp;ROW()),リスト!$I$5,"")</f>
        <v>#NAME?</v>
      </c>
      <c r="P615" s="88" t="e">
        <f ca="1">IF(INDIRECT("M"&amp;ROW())&lt;&gt;INDIRECT("M"&amp;ROW()+1),リスト!$I$6,"")</f>
        <v>#NAME?</v>
      </c>
    </row>
    <row r="616" spans="1:16" x14ac:dyDescent="0.2">
      <c r="A616" s="169" t="e">
        <f ca="1">IF(C616="","",ROW(行数!A608))</f>
        <v>#NAME?</v>
      </c>
      <c r="B616" s="168" t="e">
        <f t="shared" ca="1" si="66"/>
        <v>#NAME?</v>
      </c>
      <c r="C616" s="90" t="e">
        <f ca="1">[0]!CSVVLookUP(ROW(行数!A608),配列!$C$4,集計記録,3,1)</f>
        <v>#NAME?</v>
      </c>
      <c r="D616" s="90" t="e">
        <f ca="1">[0]!CSVVLookUP(ROW(行数!B608),配列!$C$4,集計記録,4,1)</f>
        <v>#NAME?</v>
      </c>
      <c r="E616" s="118" t="e">
        <f t="shared" ca="1" si="67"/>
        <v>#NAME?</v>
      </c>
      <c r="F616" s="118" t="e">
        <f t="shared" ca="1" si="68"/>
        <v>#NAME?</v>
      </c>
      <c r="G616" s="103" t="e">
        <f t="shared" ca="1" si="69"/>
        <v>#NAME?</v>
      </c>
      <c r="H616" s="104" t="e">
        <f ca="1">IF(C616="","",MROUND([0]!CSVVLookUP(ROW(行数!A608),配列!$C$4,集計記録,8,1),"0:01"))</f>
        <v>#NAME?</v>
      </c>
      <c r="I616" s="104" t="e">
        <f t="shared" ca="1" si="70"/>
        <v>#NAME?</v>
      </c>
      <c r="J616" s="119" t="e">
        <f ca="1">IF(C616="","",MROUND([0]!CSVVLookUP(ROW(行数!A608),配列!$C$4,集計記録,7,1),"0:01"))</f>
        <v>#NAME?</v>
      </c>
      <c r="K616" s="92" t="e">
        <f ca="1">IF(C616="","",[0]!CSVVLookUP(ROW(行数!A608),配列!$C$4,集計記録,5,1))</f>
        <v>#NAME?</v>
      </c>
      <c r="L616" s="104" t="e">
        <f t="shared" ca="1" si="71"/>
        <v>#NAME?</v>
      </c>
      <c r="M616" s="120" t="e">
        <f t="shared" ca="1" si="65"/>
        <v>#NAME?</v>
      </c>
      <c r="N616" s="120" t="e">
        <f ca="1">IF([0]!CSVVLookUP(ROW(行数!A608),配列!$C$4,集計記録,6,1)=0,"",[0]!CSVVLookUP(ROW(行数!A608),配列!$C$4,集計記録,6,1))</f>
        <v>#NAME?</v>
      </c>
      <c r="O616" s="88" t="e">
        <f ca="1">IF(INDIRECT("M"&amp;ROW()-1)&lt;&gt;INDIRECT("M"&amp;ROW()),リスト!$I$5,"")</f>
        <v>#NAME?</v>
      </c>
      <c r="P616" s="88" t="e">
        <f ca="1">IF(INDIRECT("M"&amp;ROW())&lt;&gt;INDIRECT("M"&amp;ROW()+1),リスト!$I$6,"")</f>
        <v>#NAME?</v>
      </c>
    </row>
    <row r="617" spans="1:16" x14ac:dyDescent="0.2">
      <c r="A617" s="169" t="e">
        <f ca="1">IF(C617="","",ROW(行数!A609))</f>
        <v>#NAME?</v>
      </c>
      <c r="B617" s="168" t="e">
        <f t="shared" ca="1" si="66"/>
        <v>#NAME?</v>
      </c>
      <c r="C617" s="90" t="e">
        <f ca="1">[0]!CSVVLookUP(ROW(行数!A609),配列!$C$4,集計記録,3,1)</f>
        <v>#NAME?</v>
      </c>
      <c r="D617" s="90" t="e">
        <f ca="1">[0]!CSVVLookUP(ROW(行数!B609),配列!$C$4,集計記録,4,1)</f>
        <v>#NAME?</v>
      </c>
      <c r="E617" s="118" t="e">
        <f t="shared" ca="1" si="67"/>
        <v>#NAME?</v>
      </c>
      <c r="F617" s="118" t="e">
        <f t="shared" ca="1" si="68"/>
        <v>#NAME?</v>
      </c>
      <c r="G617" s="103" t="e">
        <f t="shared" ca="1" si="69"/>
        <v>#NAME?</v>
      </c>
      <c r="H617" s="104" t="e">
        <f ca="1">IF(C617="","",MROUND([0]!CSVVLookUP(ROW(行数!A609),配列!$C$4,集計記録,8,1),"0:01"))</f>
        <v>#NAME?</v>
      </c>
      <c r="I617" s="104" t="e">
        <f t="shared" ca="1" si="70"/>
        <v>#NAME?</v>
      </c>
      <c r="J617" s="119" t="e">
        <f ca="1">IF(C617="","",MROUND([0]!CSVVLookUP(ROW(行数!A609),配列!$C$4,集計記録,7,1),"0:01"))</f>
        <v>#NAME?</v>
      </c>
      <c r="K617" s="92" t="e">
        <f ca="1">IF(C617="","",[0]!CSVVLookUP(ROW(行数!A609),配列!$C$4,集計記録,5,1))</f>
        <v>#NAME?</v>
      </c>
      <c r="L617" s="104" t="e">
        <f t="shared" ca="1" si="71"/>
        <v>#NAME?</v>
      </c>
      <c r="M617" s="120" t="e">
        <f t="shared" ca="1" si="65"/>
        <v>#NAME?</v>
      </c>
      <c r="N617" s="120" t="e">
        <f ca="1">IF([0]!CSVVLookUP(ROW(行数!A609),配列!$C$4,集計記録,6,1)=0,"",[0]!CSVVLookUP(ROW(行数!A609),配列!$C$4,集計記録,6,1))</f>
        <v>#NAME?</v>
      </c>
      <c r="O617" s="88" t="e">
        <f ca="1">IF(INDIRECT("M"&amp;ROW()-1)&lt;&gt;INDIRECT("M"&amp;ROW()),リスト!$I$5,"")</f>
        <v>#NAME?</v>
      </c>
      <c r="P617" s="88" t="e">
        <f ca="1">IF(INDIRECT("M"&amp;ROW())&lt;&gt;INDIRECT("M"&amp;ROW()+1),リスト!$I$6,"")</f>
        <v>#NAME?</v>
      </c>
    </row>
    <row r="618" spans="1:16" x14ac:dyDescent="0.2">
      <c r="A618" s="169" t="e">
        <f ca="1">IF(C618="","",ROW(行数!A610))</f>
        <v>#NAME?</v>
      </c>
      <c r="B618" s="168" t="e">
        <f t="shared" ca="1" si="66"/>
        <v>#NAME?</v>
      </c>
      <c r="C618" s="90" t="e">
        <f ca="1">[0]!CSVVLookUP(ROW(行数!A610),配列!$C$4,集計記録,3,1)</f>
        <v>#NAME?</v>
      </c>
      <c r="D618" s="90" t="e">
        <f ca="1">[0]!CSVVLookUP(ROW(行数!B610),配列!$C$4,集計記録,4,1)</f>
        <v>#NAME?</v>
      </c>
      <c r="E618" s="118" t="e">
        <f t="shared" ca="1" si="67"/>
        <v>#NAME?</v>
      </c>
      <c r="F618" s="118" t="e">
        <f t="shared" ca="1" si="68"/>
        <v>#NAME?</v>
      </c>
      <c r="G618" s="103" t="e">
        <f t="shared" ca="1" si="69"/>
        <v>#NAME?</v>
      </c>
      <c r="H618" s="104" t="e">
        <f ca="1">IF(C618="","",MROUND([0]!CSVVLookUP(ROW(行数!A610),配列!$C$4,集計記録,8,1),"0:01"))</f>
        <v>#NAME?</v>
      </c>
      <c r="I618" s="104" t="e">
        <f t="shared" ca="1" si="70"/>
        <v>#NAME?</v>
      </c>
      <c r="J618" s="119" t="e">
        <f ca="1">IF(C618="","",MROUND([0]!CSVVLookUP(ROW(行数!A610),配列!$C$4,集計記録,7,1),"0:01"))</f>
        <v>#NAME?</v>
      </c>
      <c r="K618" s="92" t="e">
        <f ca="1">IF(C618="","",[0]!CSVVLookUP(ROW(行数!A610),配列!$C$4,集計記録,5,1))</f>
        <v>#NAME?</v>
      </c>
      <c r="L618" s="104" t="e">
        <f t="shared" ca="1" si="71"/>
        <v>#NAME?</v>
      </c>
      <c r="M618" s="120" t="e">
        <f t="shared" ca="1" si="65"/>
        <v>#NAME?</v>
      </c>
      <c r="N618" s="120" t="e">
        <f ca="1">IF([0]!CSVVLookUP(ROW(行数!A610),配列!$C$4,集計記録,6,1)=0,"",[0]!CSVVLookUP(ROW(行数!A610),配列!$C$4,集計記録,6,1))</f>
        <v>#NAME?</v>
      </c>
      <c r="O618" s="88" t="e">
        <f ca="1">IF(INDIRECT("M"&amp;ROW()-1)&lt;&gt;INDIRECT("M"&amp;ROW()),リスト!$I$5,"")</f>
        <v>#NAME?</v>
      </c>
      <c r="P618" s="88" t="e">
        <f ca="1">IF(INDIRECT("M"&amp;ROW())&lt;&gt;INDIRECT("M"&amp;ROW()+1),リスト!$I$6,"")</f>
        <v>#NAME?</v>
      </c>
    </row>
    <row r="619" spans="1:16" x14ac:dyDescent="0.2">
      <c r="A619" s="169" t="e">
        <f ca="1">IF(C619="","",ROW(行数!A611))</f>
        <v>#NAME?</v>
      </c>
      <c r="B619" s="168" t="e">
        <f t="shared" ca="1" si="66"/>
        <v>#NAME?</v>
      </c>
      <c r="C619" s="90" t="e">
        <f ca="1">[0]!CSVVLookUP(ROW(行数!A611),配列!$C$4,集計記録,3,1)</f>
        <v>#NAME?</v>
      </c>
      <c r="D619" s="90" t="e">
        <f ca="1">[0]!CSVVLookUP(ROW(行数!B611),配列!$C$4,集計記録,4,1)</f>
        <v>#NAME?</v>
      </c>
      <c r="E619" s="118" t="e">
        <f t="shared" ca="1" si="67"/>
        <v>#NAME?</v>
      </c>
      <c r="F619" s="118" t="e">
        <f t="shared" ca="1" si="68"/>
        <v>#NAME?</v>
      </c>
      <c r="G619" s="103" t="e">
        <f t="shared" ca="1" si="69"/>
        <v>#NAME?</v>
      </c>
      <c r="H619" s="104" t="e">
        <f ca="1">IF(C619="","",MROUND([0]!CSVVLookUP(ROW(行数!A611),配列!$C$4,集計記録,8,1),"0:01"))</f>
        <v>#NAME?</v>
      </c>
      <c r="I619" s="104" t="e">
        <f t="shared" ca="1" si="70"/>
        <v>#NAME?</v>
      </c>
      <c r="J619" s="119" t="e">
        <f ca="1">IF(C619="","",MROUND([0]!CSVVLookUP(ROW(行数!A611),配列!$C$4,集計記録,7,1),"0:01"))</f>
        <v>#NAME?</v>
      </c>
      <c r="K619" s="92" t="e">
        <f ca="1">IF(C619="","",[0]!CSVVLookUP(ROW(行数!A611),配列!$C$4,集計記録,5,1))</f>
        <v>#NAME?</v>
      </c>
      <c r="L619" s="104" t="e">
        <f t="shared" ca="1" si="71"/>
        <v>#NAME?</v>
      </c>
      <c r="M619" s="120" t="e">
        <f t="shared" ca="1" si="65"/>
        <v>#NAME?</v>
      </c>
      <c r="N619" s="120" t="e">
        <f ca="1">IF([0]!CSVVLookUP(ROW(行数!A611),配列!$C$4,集計記録,6,1)=0,"",[0]!CSVVLookUP(ROW(行数!A611),配列!$C$4,集計記録,6,1))</f>
        <v>#NAME?</v>
      </c>
      <c r="O619" s="88" t="e">
        <f ca="1">IF(INDIRECT("M"&amp;ROW()-1)&lt;&gt;INDIRECT("M"&amp;ROW()),リスト!$I$5,"")</f>
        <v>#NAME?</v>
      </c>
      <c r="P619" s="88" t="e">
        <f ca="1">IF(INDIRECT("M"&amp;ROW())&lt;&gt;INDIRECT("M"&amp;ROW()+1),リスト!$I$6,"")</f>
        <v>#NAME?</v>
      </c>
    </row>
    <row r="620" spans="1:16" x14ac:dyDescent="0.2">
      <c r="A620" s="169" t="e">
        <f ca="1">IF(C620="","",ROW(行数!A612))</f>
        <v>#NAME?</v>
      </c>
      <c r="B620" s="168" t="e">
        <f t="shared" ca="1" si="66"/>
        <v>#NAME?</v>
      </c>
      <c r="C620" s="90" t="e">
        <f ca="1">[0]!CSVVLookUP(ROW(行数!A612),配列!$C$4,集計記録,3,1)</f>
        <v>#NAME?</v>
      </c>
      <c r="D620" s="90" t="e">
        <f ca="1">[0]!CSVVLookUP(ROW(行数!B612),配列!$C$4,集計記録,4,1)</f>
        <v>#NAME?</v>
      </c>
      <c r="E620" s="118" t="e">
        <f t="shared" ca="1" si="67"/>
        <v>#NAME?</v>
      </c>
      <c r="F620" s="118" t="e">
        <f t="shared" ca="1" si="68"/>
        <v>#NAME?</v>
      </c>
      <c r="G620" s="103" t="e">
        <f t="shared" ca="1" si="69"/>
        <v>#NAME?</v>
      </c>
      <c r="H620" s="104" t="e">
        <f ca="1">IF(C620="","",MROUND([0]!CSVVLookUP(ROW(行数!A612),配列!$C$4,集計記録,8,1),"0:01"))</f>
        <v>#NAME?</v>
      </c>
      <c r="I620" s="104" t="e">
        <f t="shared" ca="1" si="70"/>
        <v>#NAME?</v>
      </c>
      <c r="J620" s="119" t="e">
        <f ca="1">IF(C620="","",MROUND([0]!CSVVLookUP(ROW(行数!A612),配列!$C$4,集計記録,7,1),"0:01"))</f>
        <v>#NAME?</v>
      </c>
      <c r="K620" s="92" t="e">
        <f ca="1">IF(C620="","",[0]!CSVVLookUP(ROW(行数!A612),配列!$C$4,集計記録,5,1))</f>
        <v>#NAME?</v>
      </c>
      <c r="L620" s="104" t="e">
        <f t="shared" ca="1" si="71"/>
        <v>#NAME?</v>
      </c>
      <c r="M620" s="120" t="e">
        <f t="shared" ca="1" si="65"/>
        <v>#NAME?</v>
      </c>
      <c r="N620" s="120" t="e">
        <f ca="1">IF([0]!CSVVLookUP(ROW(行数!A612),配列!$C$4,集計記録,6,1)=0,"",[0]!CSVVLookUP(ROW(行数!A612),配列!$C$4,集計記録,6,1))</f>
        <v>#NAME?</v>
      </c>
      <c r="O620" s="88" t="e">
        <f ca="1">IF(INDIRECT("M"&amp;ROW()-1)&lt;&gt;INDIRECT("M"&amp;ROW()),リスト!$I$5,"")</f>
        <v>#NAME?</v>
      </c>
      <c r="P620" s="88" t="e">
        <f ca="1">IF(INDIRECT("M"&amp;ROW())&lt;&gt;INDIRECT("M"&amp;ROW()+1),リスト!$I$6,"")</f>
        <v>#NAME?</v>
      </c>
    </row>
    <row r="621" spans="1:16" x14ac:dyDescent="0.2">
      <c r="A621" s="169" t="e">
        <f ca="1">IF(C621="","",ROW(行数!A613))</f>
        <v>#NAME?</v>
      </c>
      <c r="B621" s="168" t="e">
        <f t="shared" ca="1" si="66"/>
        <v>#NAME?</v>
      </c>
      <c r="C621" s="90" t="e">
        <f ca="1">[0]!CSVVLookUP(ROW(行数!A613),配列!$C$4,集計記録,3,1)</f>
        <v>#NAME?</v>
      </c>
      <c r="D621" s="90" t="e">
        <f ca="1">[0]!CSVVLookUP(ROW(行数!B613),配列!$C$4,集計記録,4,1)</f>
        <v>#NAME?</v>
      </c>
      <c r="E621" s="118" t="e">
        <f t="shared" ca="1" si="67"/>
        <v>#NAME?</v>
      </c>
      <c r="F621" s="118" t="e">
        <f t="shared" ca="1" si="68"/>
        <v>#NAME?</v>
      </c>
      <c r="G621" s="103" t="e">
        <f t="shared" ca="1" si="69"/>
        <v>#NAME?</v>
      </c>
      <c r="H621" s="104" t="e">
        <f ca="1">IF(C621="","",MROUND([0]!CSVVLookUP(ROW(行数!A613),配列!$C$4,集計記録,8,1),"0:01"))</f>
        <v>#NAME?</v>
      </c>
      <c r="I621" s="104" t="e">
        <f t="shared" ca="1" si="70"/>
        <v>#NAME?</v>
      </c>
      <c r="J621" s="119" t="e">
        <f ca="1">IF(C621="","",MROUND([0]!CSVVLookUP(ROW(行数!A613),配列!$C$4,集計記録,7,1),"0:01"))</f>
        <v>#NAME?</v>
      </c>
      <c r="K621" s="92" t="e">
        <f ca="1">IF(C621="","",[0]!CSVVLookUP(ROW(行数!A613),配列!$C$4,集計記録,5,1))</f>
        <v>#NAME?</v>
      </c>
      <c r="L621" s="104" t="e">
        <f t="shared" ca="1" si="71"/>
        <v>#NAME?</v>
      </c>
      <c r="M621" s="120" t="e">
        <f t="shared" ca="1" si="65"/>
        <v>#NAME?</v>
      </c>
      <c r="N621" s="120" t="e">
        <f ca="1">IF([0]!CSVVLookUP(ROW(行数!A613),配列!$C$4,集計記録,6,1)=0,"",[0]!CSVVLookUP(ROW(行数!A613),配列!$C$4,集計記録,6,1))</f>
        <v>#NAME?</v>
      </c>
      <c r="O621" s="88" t="e">
        <f ca="1">IF(INDIRECT("M"&amp;ROW()-1)&lt;&gt;INDIRECT("M"&amp;ROW()),リスト!$I$5,"")</f>
        <v>#NAME?</v>
      </c>
      <c r="P621" s="88" t="e">
        <f ca="1">IF(INDIRECT("M"&amp;ROW())&lt;&gt;INDIRECT("M"&amp;ROW()+1),リスト!$I$6,"")</f>
        <v>#NAME?</v>
      </c>
    </row>
    <row r="622" spans="1:16" x14ac:dyDescent="0.2">
      <c r="A622" s="169" t="e">
        <f ca="1">IF(C622="","",ROW(行数!A614))</f>
        <v>#NAME?</v>
      </c>
      <c r="B622" s="168" t="e">
        <f t="shared" ca="1" si="66"/>
        <v>#NAME?</v>
      </c>
      <c r="C622" s="90" t="e">
        <f ca="1">[0]!CSVVLookUP(ROW(行数!A614),配列!$C$4,集計記録,3,1)</f>
        <v>#NAME?</v>
      </c>
      <c r="D622" s="90" t="e">
        <f ca="1">[0]!CSVVLookUP(ROW(行数!B614),配列!$C$4,集計記録,4,1)</f>
        <v>#NAME?</v>
      </c>
      <c r="E622" s="118" t="e">
        <f t="shared" ca="1" si="67"/>
        <v>#NAME?</v>
      </c>
      <c r="F622" s="118" t="e">
        <f t="shared" ca="1" si="68"/>
        <v>#NAME?</v>
      </c>
      <c r="G622" s="103" t="e">
        <f t="shared" ca="1" si="69"/>
        <v>#NAME?</v>
      </c>
      <c r="H622" s="104" t="e">
        <f ca="1">IF(C622="","",MROUND([0]!CSVVLookUP(ROW(行数!A614),配列!$C$4,集計記録,8,1),"0:01"))</f>
        <v>#NAME?</v>
      </c>
      <c r="I622" s="104" t="e">
        <f t="shared" ca="1" si="70"/>
        <v>#NAME?</v>
      </c>
      <c r="J622" s="119" t="e">
        <f ca="1">IF(C622="","",MROUND([0]!CSVVLookUP(ROW(行数!A614),配列!$C$4,集計記録,7,1),"0:01"))</f>
        <v>#NAME?</v>
      </c>
      <c r="K622" s="92" t="e">
        <f ca="1">IF(C622="","",[0]!CSVVLookUP(ROW(行数!A614),配列!$C$4,集計記録,5,1))</f>
        <v>#NAME?</v>
      </c>
      <c r="L622" s="104" t="e">
        <f t="shared" ca="1" si="71"/>
        <v>#NAME?</v>
      </c>
      <c r="M622" s="120" t="e">
        <f t="shared" ca="1" si="65"/>
        <v>#NAME?</v>
      </c>
      <c r="N622" s="120" t="e">
        <f ca="1">IF([0]!CSVVLookUP(ROW(行数!A614),配列!$C$4,集計記録,6,1)=0,"",[0]!CSVVLookUP(ROW(行数!A614),配列!$C$4,集計記録,6,1))</f>
        <v>#NAME?</v>
      </c>
      <c r="O622" s="88" t="e">
        <f ca="1">IF(INDIRECT("M"&amp;ROW()-1)&lt;&gt;INDIRECT("M"&amp;ROW()),リスト!$I$5,"")</f>
        <v>#NAME?</v>
      </c>
      <c r="P622" s="88" t="e">
        <f ca="1">IF(INDIRECT("M"&amp;ROW())&lt;&gt;INDIRECT("M"&amp;ROW()+1),リスト!$I$6,"")</f>
        <v>#NAME?</v>
      </c>
    </row>
    <row r="623" spans="1:16" x14ac:dyDescent="0.2">
      <c r="A623" s="169" t="e">
        <f ca="1">IF(C623="","",ROW(行数!A615))</f>
        <v>#NAME?</v>
      </c>
      <c r="B623" s="168" t="e">
        <f t="shared" ca="1" si="66"/>
        <v>#NAME?</v>
      </c>
      <c r="C623" s="90" t="e">
        <f ca="1">[0]!CSVVLookUP(ROW(行数!A615),配列!$C$4,集計記録,3,1)</f>
        <v>#NAME?</v>
      </c>
      <c r="D623" s="90" t="e">
        <f ca="1">[0]!CSVVLookUP(ROW(行数!B615),配列!$C$4,集計記録,4,1)</f>
        <v>#NAME?</v>
      </c>
      <c r="E623" s="118" t="e">
        <f t="shared" ca="1" si="67"/>
        <v>#NAME?</v>
      </c>
      <c r="F623" s="118" t="e">
        <f t="shared" ca="1" si="68"/>
        <v>#NAME?</v>
      </c>
      <c r="G623" s="103" t="e">
        <f t="shared" ca="1" si="69"/>
        <v>#NAME?</v>
      </c>
      <c r="H623" s="104" t="e">
        <f ca="1">IF(C623="","",MROUND([0]!CSVVLookUP(ROW(行数!A615),配列!$C$4,集計記録,8,1),"0:01"))</f>
        <v>#NAME?</v>
      </c>
      <c r="I623" s="104" t="e">
        <f t="shared" ca="1" si="70"/>
        <v>#NAME?</v>
      </c>
      <c r="J623" s="119" t="e">
        <f ca="1">IF(C623="","",MROUND([0]!CSVVLookUP(ROW(行数!A615),配列!$C$4,集計記録,7,1),"0:01"))</f>
        <v>#NAME?</v>
      </c>
      <c r="K623" s="92" t="e">
        <f ca="1">IF(C623="","",[0]!CSVVLookUP(ROW(行数!A615),配列!$C$4,集計記録,5,1))</f>
        <v>#NAME?</v>
      </c>
      <c r="L623" s="104" t="e">
        <f t="shared" ca="1" si="71"/>
        <v>#NAME?</v>
      </c>
      <c r="M623" s="120" t="e">
        <f t="shared" ca="1" si="65"/>
        <v>#NAME?</v>
      </c>
      <c r="N623" s="120" t="e">
        <f ca="1">IF([0]!CSVVLookUP(ROW(行数!A615),配列!$C$4,集計記録,6,1)=0,"",[0]!CSVVLookUP(ROW(行数!A615),配列!$C$4,集計記録,6,1))</f>
        <v>#NAME?</v>
      </c>
      <c r="O623" s="88" t="e">
        <f ca="1">IF(INDIRECT("M"&amp;ROW()-1)&lt;&gt;INDIRECT("M"&amp;ROW()),リスト!$I$5,"")</f>
        <v>#NAME?</v>
      </c>
      <c r="P623" s="88" t="e">
        <f ca="1">IF(INDIRECT("M"&amp;ROW())&lt;&gt;INDIRECT("M"&amp;ROW()+1),リスト!$I$6,"")</f>
        <v>#NAME?</v>
      </c>
    </row>
    <row r="624" spans="1:16" x14ac:dyDescent="0.2">
      <c r="A624" s="169" t="e">
        <f ca="1">IF(C624="","",ROW(行数!A616))</f>
        <v>#NAME?</v>
      </c>
      <c r="B624" s="168" t="e">
        <f t="shared" ca="1" si="66"/>
        <v>#NAME?</v>
      </c>
      <c r="C624" s="90" t="e">
        <f ca="1">[0]!CSVVLookUP(ROW(行数!A616),配列!$C$4,集計記録,3,1)</f>
        <v>#NAME?</v>
      </c>
      <c r="D624" s="90" t="e">
        <f ca="1">[0]!CSVVLookUP(ROW(行数!B616),配列!$C$4,集計記録,4,1)</f>
        <v>#NAME?</v>
      </c>
      <c r="E624" s="118" t="e">
        <f t="shared" ca="1" si="67"/>
        <v>#NAME?</v>
      </c>
      <c r="F624" s="118" t="e">
        <f t="shared" ca="1" si="68"/>
        <v>#NAME?</v>
      </c>
      <c r="G624" s="103" t="e">
        <f t="shared" ca="1" si="69"/>
        <v>#NAME?</v>
      </c>
      <c r="H624" s="104" t="e">
        <f ca="1">IF(C624="","",MROUND([0]!CSVVLookUP(ROW(行数!A616),配列!$C$4,集計記録,8,1),"0:01"))</f>
        <v>#NAME?</v>
      </c>
      <c r="I624" s="104" t="e">
        <f t="shared" ca="1" si="70"/>
        <v>#NAME?</v>
      </c>
      <c r="J624" s="119" t="e">
        <f ca="1">IF(C624="","",MROUND([0]!CSVVLookUP(ROW(行数!A616),配列!$C$4,集計記録,7,1),"0:01"))</f>
        <v>#NAME?</v>
      </c>
      <c r="K624" s="92" t="e">
        <f ca="1">IF(C624="","",[0]!CSVVLookUP(ROW(行数!A616),配列!$C$4,集計記録,5,1))</f>
        <v>#NAME?</v>
      </c>
      <c r="L624" s="104" t="e">
        <f t="shared" ca="1" si="71"/>
        <v>#NAME?</v>
      </c>
      <c r="M624" s="120" t="e">
        <f t="shared" ca="1" si="65"/>
        <v>#NAME?</v>
      </c>
      <c r="N624" s="120" t="e">
        <f ca="1">IF([0]!CSVVLookUP(ROW(行数!A616),配列!$C$4,集計記録,6,1)=0,"",[0]!CSVVLookUP(ROW(行数!A616),配列!$C$4,集計記録,6,1))</f>
        <v>#NAME?</v>
      </c>
      <c r="O624" s="88" t="e">
        <f ca="1">IF(INDIRECT("M"&amp;ROW()-1)&lt;&gt;INDIRECT("M"&amp;ROW()),リスト!$I$5,"")</f>
        <v>#NAME?</v>
      </c>
      <c r="P624" s="88" t="e">
        <f ca="1">IF(INDIRECT("M"&amp;ROW())&lt;&gt;INDIRECT("M"&amp;ROW()+1),リスト!$I$6,"")</f>
        <v>#NAME?</v>
      </c>
    </row>
    <row r="625" spans="1:16" x14ac:dyDescent="0.2">
      <c r="A625" s="169" t="e">
        <f ca="1">IF(C625="","",ROW(行数!A617))</f>
        <v>#NAME?</v>
      </c>
      <c r="B625" s="168" t="e">
        <f t="shared" ca="1" si="66"/>
        <v>#NAME?</v>
      </c>
      <c r="C625" s="90" t="e">
        <f ca="1">[0]!CSVVLookUP(ROW(行数!A617),配列!$C$4,集計記録,3,1)</f>
        <v>#NAME?</v>
      </c>
      <c r="D625" s="90" t="e">
        <f ca="1">[0]!CSVVLookUP(ROW(行数!B617),配列!$C$4,集計記録,4,1)</f>
        <v>#NAME?</v>
      </c>
      <c r="E625" s="118" t="e">
        <f t="shared" ca="1" si="67"/>
        <v>#NAME?</v>
      </c>
      <c r="F625" s="118" t="e">
        <f t="shared" ca="1" si="68"/>
        <v>#NAME?</v>
      </c>
      <c r="G625" s="103" t="e">
        <f t="shared" ca="1" si="69"/>
        <v>#NAME?</v>
      </c>
      <c r="H625" s="104" t="e">
        <f ca="1">IF(C625="","",MROUND([0]!CSVVLookUP(ROW(行数!A617),配列!$C$4,集計記録,8,1),"0:01"))</f>
        <v>#NAME?</v>
      </c>
      <c r="I625" s="104" t="e">
        <f t="shared" ca="1" si="70"/>
        <v>#NAME?</v>
      </c>
      <c r="J625" s="119" t="e">
        <f ca="1">IF(C625="","",MROUND([0]!CSVVLookUP(ROW(行数!A617),配列!$C$4,集計記録,7,1),"0:01"))</f>
        <v>#NAME?</v>
      </c>
      <c r="K625" s="92" t="e">
        <f ca="1">IF(C625="","",[0]!CSVVLookUP(ROW(行数!A617),配列!$C$4,集計記録,5,1))</f>
        <v>#NAME?</v>
      </c>
      <c r="L625" s="104" t="e">
        <f t="shared" ca="1" si="71"/>
        <v>#NAME?</v>
      </c>
      <c r="M625" s="120" t="e">
        <f t="shared" ca="1" si="65"/>
        <v>#NAME?</v>
      </c>
      <c r="N625" s="120" t="e">
        <f ca="1">IF([0]!CSVVLookUP(ROW(行数!A617),配列!$C$4,集計記録,6,1)=0,"",[0]!CSVVLookUP(ROW(行数!A617),配列!$C$4,集計記録,6,1))</f>
        <v>#NAME?</v>
      </c>
      <c r="O625" s="88" t="e">
        <f ca="1">IF(INDIRECT("M"&amp;ROW()-1)&lt;&gt;INDIRECT("M"&amp;ROW()),リスト!$I$5,"")</f>
        <v>#NAME?</v>
      </c>
      <c r="P625" s="88" t="e">
        <f ca="1">IF(INDIRECT("M"&amp;ROW())&lt;&gt;INDIRECT("M"&amp;ROW()+1),リスト!$I$6,"")</f>
        <v>#NAME?</v>
      </c>
    </row>
    <row r="626" spans="1:16" x14ac:dyDescent="0.2">
      <c r="A626" s="169" t="e">
        <f ca="1">IF(C626="","",ROW(行数!A618))</f>
        <v>#NAME?</v>
      </c>
      <c r="B626" s="168" t="e">
        <f t="shared" ca="1" si="66"/>
        <v>#NAME?</v>
      </c>
      <c r="C626" s="90" t="e">
        <f ca="1">[0]!CSVVLookUP(ROW(行数!A618),配列!$C$4,集計記録,3,1)</f>
        <v>#NAME?</v>
      </c>
      <c r="D626" s="90" t="e">
        <f ca="1">[0]!CSVVLookUP(ROW(行数!B618),配列!$C$4,集計記録,4,1)</f>
        <v>#NAME?</v>
      </c>
      <c r="E626" s="118" t="e">
        <f t="shared" ca="1" si="67"/>
        <v>#NAME?</v>
      </c>
      <c r="F626" s="118" t="e">
        <f t="shared" ca="1" si="68"/>
        <v>#NAME?</v>
      </c>
      <c r="G626" s="103" t="e">
        <f t="shared" ca="1" si="69"/>
        <v>#NAME?</v>
      </c>
      <c r="H626" s="104" t="e">
        <f ca="1">IF(C626="","",MROUND([0]!CSVVLookUP(ROW(行数!A618),配列!$C$4,集計記録,8,1),"0:01"))</f>
        <v>#NAME?</v>
      </c>
      <c r="I626" s="104" t="e">
        <f t="shared" ca="1" si="70"/>
        <v>#NAME?</v>
      </c>
      <c r="J626" s="119" t="e">
        <f ca="1">IF(C626="","",MROUND([0]!CSVVLookUP(ROW(行数!A618),配列!$C$4,集計記録,7,1),"0:01"))</f>
        <v>#NAME?</v>
      </c>
      <c r="K626" s="92" t="e">
        <f ca="1">IF(C626="","",[0]!CSVVLookUP(ROW(行数!A618),配列!$C$4,集計記録,5,1))</f>
        <v>#NAME?</v>
      </c>
      <c r="L626" s="104" t="e">
        <f t="shared" ca="1" si="71"/>
        <v>#NAME?</v>
      </c>
      <c r="M626" s="120" t="e">
        <f t="shared" ca="1" si="65"/>
        <v>#NAME?</v>
      </c>
      <c r="N626" s="120" t="e">
        <f ca="1">IF([0]!CSVVLookUP(ROW(行数!A618),配列!$C$4,集計記録,6,1)=0,"",[0]!CSVVLookUP(ROW(行数!A618),配列!$C$4,集計記録,6,1))</f>
        <v>#NAME?</v>
      </c>
      <c r="O626" s="88" t="e">
        <f ca="1">IF(INDIRECT("M"&amp;ROW()-1)&lt;&gt;INDIRECT("M"&amp;ROW()),リスト!$I$5,"")</f>
        <v>#NAME?</v>
      </c>
      <c r="P626" s="88" t="e">
        <f ca="1">IF(INDIRECT("M"&amp;ROW())&lt;&gt;INDIRECT("M"&amp;ROW()+1),リスト!$I$6,"")</f>
        <v>#NAME?</v>
      </c>
    </row>
    <row r="627" spans="1:16" x14ac:dyDescent="0.2">
      <c r="A627" s="169" t="e">
        <f ca="1">IF(C627="","",ROW(行数!A619))</f>
        <v>#NAME?</v>
      </c>
      <c r="B627" s="168" t="e">
        <f t="shared" ca="1" si="66"/>
        <v>#NAME?</v>
      </c>
      <c r="C627" s="90" t="e">
        <f ca="1">[0]!CSVVLookUP(ROW(行数!A619),配列!$C$4,集計記録,3,1)</f>
        <v>#NAME?</v>
      </c>
      <c r="D627" s="90" t="e">
        <f ca="1">[0]!CSVVLookUP(ROW(行数!B619),配列!$C$4,集計記録,4,1)</f>
        <v>#NAME?</v>
      </c>
      <c r="E627" s="118" t="e">
        <f t="shared" ca="1" si="67"/>
        <v>#NAME?</v>
      </c>
      <c r="F627" s="118" t="e">
        <f t="shared" ca="1" si="68"/>
        <v>#NAME?</v>
      </c>
      <c r="G627" s="103" t="e">
        <f t="shared" ca="1" si="69"/>
        <v>#NAME?</v>
      </c>
      <c r="H627" s="104" t="e">
        <f ca="1">IF(C627="","",MROUND([0]!CSVVLookUP(ROW(行数!A619),配列!$C$4,集計記録,8,1),"0:01"))</f>
        <v>#NAME?</v>
      </c>
      <c r="I627" s="104" t="e">
        <f t="shared" ca="1" si="70"/>
        <v>#NAME?</v>
      </c>
      <c r="J627" s="119" t="e">
        <f ca="1">IF(C627="","",MROUND([0]!CSVVLookUP(ROW(行数!A619),配列!$C$4,集計記録,7,1),"0:01"))</f>
        <v>#NAME?</v>
      </c>
      <c r="K627" s="92" t="e">
        <f ca="1">IF(C627="","",[0]!CSVVLookUP(ROW(行数!A619),配列!$C$4,集計記録,5,1))</f>
        <v>#NAME?</v>
      </c>
      <c r="L627" s="104" t="e">
        <f t="shared" ca="1" si="71"/>
        <v>#NAME?</v>
      </c>
      <c r="M627" s="120" t="e">
        <f t="shared" ca="1" si="65"/>
        <v>#NAME?</v>
      </c>
      <c r="N627" s="120" t="e">
        <f ca="1">IF([0]!CSVVLookUP(ROW(行数!A619),配列!$C$4,集計記録,6,1)=0,"",[0]!CSVVLookUP(ROW(行数!A619),配列!$C$4,集計記録,6,1))</f>
        <v>#NAME?</v>
      </c>
      <c r="O627" s="88" t="e">
        <f ca="1">IF(INDIRECT("M"&amp;ROW()-1)&lt;&gt;INDIRECT("M"&amp;ROW()),リスト!$I$5,"")</f>
        <v>#NAME?</v>
      </c>
      <c r="P627" s="88" t="e">
        <f ca="1">IF(INDIRECT("M"&amp;ROW())&lt;&gt;INDIRECT("M"&amp;ROW()+1),リスト!$I$6,"")</f>
        <v>#NAME?</v>
      </c>
    </row>
    <row r="628" spans="1:16" x14ac:dyDescent="0.2">
      <c r="A628" s="169" t="e">
        <f ca="1">IF(C628="","",ROW(行数!A620))</f>
        <v>#NAME?</v>
      </c>
      <c r="B628" s="168" t="e">
        <f t="shared" ca="1" si="66"/>
        <v>#NAME?</v>
      </c>
      <c r="C628" s="90" t="e">
        <f ca="1">[0]!CSVVLookUP(ROW(行数!A620),配列!$C$4,集計記録,3,1)</f>
        <v>#NAME?</v>
      </c>
      <c r="D628" s="90" t="e">
        <f ca="1">[0]!CSVVLookUP(ROW(行数!B620),配列!$C$4,集計記録,4,1)</f>
        <v>#NAME?</v>
      </c>
      <c r="E628" s="118" t="e">
        <f t="shared" ca="1" si="67"/>
        <v>#NAME?</v>
      </c>
      <c r="F628" s="118" t="e">
        <f t="shared" ca="1" si="68"/>
        <v>#NAME?</v>
      </c>
      <c r="G628" s="103" t="e">
        <f t="shared" ca="1" si="69"/>
        <v>#NAME?</v>
      </c>
      <c r="H628" s="104" t="e">
        <f ca="1">IF(C628="","",MROUND([0]!CSVVLookUP(ROW(行数!A620),配列!$C$4,集計記録,8,1),"0:01"))</f>
        <v>#NAME?</v>
      </c>
      <c r="I628" s="104" t="e">
        <f t="shared" ca="1" si="70"/>
        <v>#NAME?</v>
      </c>
      <c r="J628" s="119" t="e">
        <f ca="1">IF(C628="","",MROUND([0]!CSVVLookUP(ROW(行数!A620),配列!$C$4,集計記録,7,1),"0:01"))</f>
        <v>#NAME?</v>
      </c>
      <c r="K628" s="92" t="e">
        <f ca="1">IF(C628="","",[0]!CSVVLookUP(ROW(行数!A620),配列!$C$4,集計記録,5,1))</f>
        <v>#NAME?</v>
      </c>
      <c r="L628" s="104" t="e">
        <f t="shared" ca="1" si="71"/>
        <v>#NAME?</v>
      </c>
      <c r="M628" s="120" t="e">
        <f t="shared" ca="1" si="65"/>
        <v>#NAME?</v>
      </c>
      <c r="N628" s="120" t="e">
        <f ca="1">IF([0]!CSVVLookUP(ROW(行数!A620),配列!$C$4,集計記録,6,1)=0,"",[0]!CSVVLookUP(ROW(行数!A620),配列!$C$4,集計記録,6,1))</f>
        <v>#NAME?</v>
      </c>
      <c r="O628" s="88" t="e">
        <f ca="1">IF(INDIRECT("M"&amp;ROW()-1)&lt;&gt;INDIRECT("M"&amp;ROW()),リスト!$I$5,"")</f>
        <v>#NAME?</v>
      </c>
      <c r="P628" s="88" t="e">
        <f ca="1">IF(INDIRECT("M"&amp;ROW())&lt;&gt;INDIRECT("M"&amp;ROW()+1),リスト!$I$6,"")</f>
        <v>#NAME?</v>
      </c>
    </row>
    <row r="629" spans="1:16" x14ac:dyDescent="0.2">
      <c r="A629" s="169" t="e">
        <f ca="1">IF(C629="","",ROW(行数!A621))</f>
        <v>#NAME?</v>
      </c>
      <c r="B629" s="168" t="e">
        <f t="shared" ca="1" si="66"/>
        <v>#NAME?</v>
      </c>
      <c r="C629" s="90" t="e">
        <f ca="1">[0]!CSVVLookUP(ROW(行数!A621),配列!$C$4,集計記録,3,1)</f>
        <v>#NAME?</v>
      </c>
      <c r="D629" s="90" t="e">
        <f ca="1">[0]!CSVVLookUP(ROW(行数!B621),配列!$C$4,集計記録,4,1)</f>
        <v>#NAME?</v>
      </c>
      <c r="E629" s="118" t="e">
        <f t="shared" ca="1" si="67"/>
        <v>#NAME?</v>
      </c>
      <c r="F629" s="118" t="e">
        <f t="shared" ca="1" si="68"/>
        <v>#NAME?</v>
      </c>
      <c r="G629" s="103" t="e">
        <f t="shared" ca="1" si="69"/>
        <v>#NAME?</v>
      </c>
      <c r="H629" s="104" t="e">
        <f ca="1">IF(C629="","",MROUND([0]!CSVVLookUP(ROW(行数!A621),配列!$C$4,集計記録,8,1),"0:01"))</f>
        <v>#NAME?</v>
      </c>
      <c r="I629" s="104" t="e">
        <f t="shared" ca="1" si="70"/>
        <v>#NAME?</v>
      </c>
      <c r="J629" s="119" t="e">
        <f ca="1">IF(C629="","",MROUND([0]!CSVVLookUP(ROW(行数!A621),配列!$C$4,集計記録,7,1),"0:01"))</f>
        <v>#NAME?</v>
      </c>
      <c r="K629" s="92" t="e">
        <f ca="1">IF(C629="","",[0]!CSVVLookUP(ROW(行数!A621),配列!$C$4,集計記録,5,1))</f>
        <v>#NAME?</v>
      </c>
      <c r="L629" s="104" t="e">
        <f t="shared" ca="1" si="71"/>
        <v>#NAME?</v>
      </c>
      <c r="M629" s="120" t="e">
        <f t="shared" ca="1" si="65"/>
        <v>#NAME?</v>
      </c>
      <c r="N629" s="120" t="e">
        <f ca="1">IF([0]!CSVVLookUP(ROW(行数!A621),配列!$C$4,集計記録,6,1)=0,"",[0]!CSVVLookUP(ROW(行数!A621),配列!$C$4,集計記録,6,1))</f>
        <v>#NAME?</v>
      </c>
      <c r="O629" s="88" t="e">
        <f ca="1">IF(INDIRECT("M"&amp;ROW()-1)&lt;&gt;INDIRECT("M"&amp;ROW()),リスト!$I$5,"")</f>
        <v>#NAME?</v>
      </c>
      <c r="P629" s="88" t="e">
        <f ca="1">IF(INDIRECT("M"&amp;ROW())&lt;&gt;INDIRECT("M"&amp;ROW()+1),リスト!$I$6,"")</f>
        <v>#NAME?</v>
      </c>
    </row>
    <row r="630" spans="1:16" x14ac:dyDescent="0.2">
      <c r="A630" s="169" t="e">
        <f ca="1">IF(C630="","",ROW(行数!A622))</f>
        <v>#NAME?</v>
      </c>
      <c r="B630" s="168" t="e">
        <f t="shared" ca="1" si="66"/>
        <v>#NAME?</v>
      </c>
      <c r="C630" s="90" t="e">
        <f ca="1">[0]!CSVVLookUP(ROW(行数!A622),配列!$C$4,集計記録,3,1)</f>
        <v>#NAME?</v>
      </c>
      <c r="D630" s="90" t="e">
        <f ca="1">[0]!CSVVLookUP(ROW(行数!B622),配列!$C$4,集計記録,4,1)</f>
        <v>#NAME?</v>
      </c>
      <c r="E630" s="118" t="e">
        <f t="shared" ca="1" si="67"/>
        <v>#NAME?</v>
      </c>
      <c r="F630" s="118" t="e">
        <f t="shared" ca="1" si="68"/>
        <v>#NAME?</v>
      </c>
      <c r="G630" s="103" t="e">
        <f t="shared" ca="1" si="69"/>
        <v>#NAME?</v>
      </c>
      <c r="H630" s="104" t="e">
        <f ca="1">IF(C630="","",MROUND([0]!CSVVLookUP(ROW(行数!A622),配列!$C$4,集計記録,8,1),"0:01"))</f>
        <v>#NAME?</v>
      </c>
      <c r="I630" s="104" t="e">
        <f t="shared" ca="1" si="70"/>
        <v>#NAME?</v>
      </c>
      <c r="J630" s="119" t="e">
        <f ca="1">IF(C630="","",MROUND([0]!CSVVLookUP(ROW(行数!A622),配列!$C$4,集計記録,7,1),"0:01"))</f>
        <v>#NAME?</v>
      </c>
      <c r="K630" s="92" t="e">
        <f ca="1">IF(C630="","",[0]!CSVVLookUP(ROW(行数!A622),配列!$C$4,集計記録,5,1))</f>
        <v>#NAME?</v>
      </c>
      <c r="L630" s="104" t="e">
        <f t="shared" ca="1" si="71"/>
        <v>#NAME?</v>
      </c>
      <c r="M630" s="120" t="e">
        <f t="shared" ca="1" si="65"/>
        <v>#NAME?</v>
      </c>
      <c r="N630" s="120" t="e">
        <f ca="1">IF([0]!CSVVLookUP(ROW(行数!A622),配列!$C$4,集計記録,6,1)=0,"",[0]!CSVVLookUP(ROW(行数!A622),配列!$C$4,集計記録,6,1))</f>
        <v>#NAME?</v>
      </c>
      <c r="O630" s="88" t="e">
        <f ca="1">IF(INDIRECT("M"&amp;ROW()-1)&lt;&gt;INDIRECT("M"&amp;ROW()),リスト!$I$5,"")</f>
        <v>#NAME?</v>
      </c>
      <c r="P630" s="88" t="e">
        <f ca="1">IF(INDIRECT("M"&amp;ROW())&lt;&gt;INDIRECT("M"&amp;ROW()+1),リスト!$I$6,"")</f>
        <v>#NAME?</v>
      </c>
    </row>
    <row r="631" spans="1:16" x14ac:dyDescent="0.2">
      <c r="A631" s="169" t="e">
        <f ca="1">IF(C631="","",ROW(行数!A623))</f>
        <v>#NAME?</v>
      </c>
      <c r="B631" s="168" t="e">
        <f t="shared" ca="1" si="66"/>
        <v>#NAME?</v>
      </c>
      <c r="C631" s="90" t="e">
        <f ca="1">[0]!CSVVLookUP(ROW(行数!A623),配列!$C$4,集計記録,3,1)</f>
        <v>#NAME?</v>
      </c>
      <c r="D631" s="90" t="e">
        <f ca="1">[0]!CSVVLookUP(ROW(行数!B623),配列!$C$4,集計記録,4,1)</f>
        <v>#NAME?</v>
      </c>
      <c r="E631" s="118" t="e">
        <f t="shared" ca="1" si="67"/>
        <v>#NAME?</v>
      </c>
      <c r="F631" s="118" t="e">
        <f t="shared" ca="1" si="68"/>
        <v>#NAME?</v>
      </c>
      <c r="G631" s="103" t="e">
        <f t="shared" ca="1" si="69"/>
        <v>#NAME?</v>
      </c>
      <c r="H631" s="104" t="e">
        <f ca="1">IF(C631="","",MROUND([0]!CSVVLookUP(ROW(行数!A623),配列!$C$4,集計記録,8,1),"0:01"))</f>
        <v>#NAME?</v>
      </c>
      <c r="I631" s="104" t="e">
        <f t="shared" ca="1" si="70"/>
        <v>#NAME?</v>
      </c>
      <c r="J631" s="119" t="e">
        <f ca="1">IF(C631="","",MROUND([0]!CSVVLookUP(ROW(行数!A623),配列!$C$4,集計記録,7,1),"0:01"))</f>
        <v>#NAME?</v>
      </c>
      <c r="K631" s="92" t="e">
        <f ca="1">IF(C631="","",[0]!CSVVLookUP(ROW(行数!A623),配列!$C$4,集計記録,5,1))</f>
        <v>#NAME?</v>
      </c>
      <c r="L631" s="104" t="e">
        <f t="shared" ca="1" si="71"/>
        <v>#NAME?</v>
      </c>
      <c r="M631" s="120" t="e">
        <f t="shared" ca="1" si="65"/>
        <v>#NAME?</v>
      </c>
      <c r="N631" s="120" t="e">
        <f ca="1">IF([0]!CSVVLookUP(ROW(行数!A623),配列!$C$4,集計記録,6,1)=0,"",[0]!CSVVLookUP(ROW(行数!A623),配列!$C$4,集計記録,6,1))</f>
        <v>#NAME?</v>
      </c>
      <c r="O631" s="88" t="e">
        <f ca="1">IF(INDIRECT("M"&amp;ROW()-1)&lt;&gt;INDIRECT("M"&amp;ROW()),リスト!$I$5,"")</f>
        <v>#NAME?</v>
      </c>
      <c r="P631" s="88" t="e">
        <f ca="1">IF(INDIRECT("M"&amp;ROW())&lt;&gt;INDIRECT("M"&amp;ROW()+1),リスト!$I$6,"")</f>
        <v>#NAME?</v>
      </c>
    </row>
    <row r="632" spans="1:16" x14ac:dyDescent="0.2">
      <c r="A632" s="169" t="e">
        <f ca="1">IF(C632="","",ROW(行数!A624))</f>
        <v>#NAME?</v>
      </c>
      <c r="B632" s="168" t="e">
        <f t="shared" ca="1" si="66"/>
        <v>#NAME?</v>
      </c>
      <c r="C632" s="90" t="e">
        <f ca="1">[0]!CSVVLookUP(ROW(行数!A624),配列!$C$4,集計記録,3,1)</f>
        <v>#NAME?</v>
      </c>
      <c r="D632" s="90" t="e">
        <f ca="1">[0]!CSVVLookUP(ROW(行数!B624),配列!$C$4,集計記録,4,1)</f>
        <v>#NAME?</v>
      </c>
      <c r="E632" s="118" t="e">
        <f t="shared" ca="1" si="67"/>
        <v>#NAME?</v>
      </c>
      <c r="F632" s="118" t="e">
        <f t="shared" ca="1" si="68"/>
        <v>#NAME?</v>
      </c>
      <c r="G632" s="103" t="e">
        <f t="shared" ca="1" si="69"/>
        <v>#NAME?</v>
      </c>
      <c r="H632" s="104" t="e">
        <f ca="1">IF(C632="","",MROUND([0]!CSVVLookUP(ROW(行数!A624),配列!$C$4,集計記録,8,1),"0:01"))</f>
        <v>#NAME?</v>
      </c>
      <c r="I632" s="104" t="e">
        <f t="shared" ca="1" si="70"/>
        <v>#NAME?</v>
      </c>
      <c r="J632" s="119" t="e">
        <f ca="1">IF(C632="","",MROUND([0]!CSVVLookUP(ROW(行数!A624),配列!$C$4,集計記録,7,1),"0:01"))</f>
        <v>#NAME?</v>
      </c>
      <c r="K632" s="92" t="e">
        <f ca="1">IF(C632="","",[0]!CSVVLookUP(ROW(行数!A624),配列!$C$4,集計記録,5,1))</f>
        <v>#NAME?</v>
      </c>
      <c r="L632" s="104" t="e">
        <f t="shared" ca="1" si="71"/>
        <v>#NAME?</v>
      </c>
      <c r="M632" s="120" t="e">
        <f t="shared" ca="1" si="65"/>
        <v>#NAME?</v>
      </c>
      <c r="N632" s="120" t="e">
        <f ca="1">IF([0]!CSVVLookUP(ROW(行数!A624),配列!$C$4,集計記録,6,1)=0,"",[0]!CSVVLookUP(ROW(行数!A624),配列!$C$4,集計記録,6,1))</f>
        <v>#NAME?</v>
      </c>
      <c r="O632" s="88" t="e">
        <f ca="1">IF(INDIRECT("M"&amp;ROW()-1)&lt;&gt;INDIRECT("M"&amp;ROW()),リスト!$I$5,"")</f>
        <v>#NAME?</v>
      </c>
      <c r="P632" s="88" t="e">
        <f ca="1">IF(INDIRECT("M"&amp;ROW())&lt;&gt;INDIRECT("M"&amp;ROW()+1),リスト!$I$6,"")</f>
        <v>#NAME?</v>
      </c>
    </row>
    <row r="633" spans="1:16" x14ac:dyDescent="0.2">
      <c r="A633" s="169" t="e">
        <f ca="1">IF(C633="","",ROW(行数!A625))</f>
        <v>#NAME?</v>
      </c>
      <c r="B633" s="168" t="e">
        <f t="shared" ca="1" si="66"/>
        <v>#NAME?</v>
      </c>
      <c r="C633" s="90" t="e">
        <f ca="1">[0]!CSVVLookUP(ROW(行数!A625),配列!$C$4,集計記録,3,1)</f>
        <v>#NAME?</v>
      </c>
      <c r="D633" s="90" t="e">
        <f ca="1">[0]!CSVVLookUP(ROW(行数!B625),配列!$C$4,集計記録,4,1)</f>
        <v>#NAME?</v>
      </c>
      <c r="E633" s="118" t="e">
        <f t="shared" ca="1" si="67"/>
        <v>#NAME?</v>
      </c>
      <c r="F633" s="118" t="e">
        <f t="shared" ca="1" si="68"/>
        <v>#NAME?</v>
      </c>
      <c r="G633" s="103" t="e">
        <f t="shared" ca="1" si="69"/>
        <v>#NAME?</v>
      </c>
      <c r="H633" s="104" t="e">
        <f ca="1">IF(C633="","",MROUND([0]!CSVVLookUP(ROW(行数!A625),配列!$C$4,集計記録,8,1),"0:01"))</f>
        <v>#NAME?</v>
      </c>
      <c r="I633" s="104" t="e">
        <f t="shared" ca="1" si="70"/>
        <v>#NAME?</v>
      </c>
      <c r="J633" s="119" t="e">
        <f ca="1">IF(C633="","",MROUND([0]!CSVVLookUP(ROW(行数!A625),配列!$C$4,集計記録,7,1),"0:01"))</f>
        <v>#NAME?</v>
      </c>
      <c r="K633" s="92" t="e">
        <f ca="1">IF(C633="","",[0]!CSVVLookUP(ROW(行数!A625),配列!$C$4,集計記録,5,1))</f>
        <v>#NAME?</v>
      </c>
      <c r="L633" s="104" t="e">
        <f t="shared" ca="1" si="71"/>
        <v>#NAME?</v>
      </c>
      <c r="M633" s="120" t="e">
        <f t="shared" ca="1" si="65"/>
        <v>#NAME?</v>
      </c>
      <c r="N633" s="120" t="e">
        <f ca="1">IF([0]!CSVVLookUP(ROW(行数!A625),配列!$C$4,集計記録,6,1)=0,"",[0]!CSVVLookUP(ROW(行数!A625),配列!$C$4,集計記録,6,1))</f>
        <v>#NAME?</v>
      </c>
      <c r="O633" s="88" t="e">
        <f ca="1">IF(INDIRECT("M"&amp;ROW()-1)&lt;&gt;INDIRECT("M"&amp;ROW()),リスト!$I$5,"")</f>
        <v>#NAME?</v>
      </c>
      <c r="P633" s="88" t="e">
        <f ca="1">IF(INDIRECT("M"&amp;ROW())&lt;&gt;INDIRECT("M"&amp;ROW()+1),リスト!$I$6,"")</f>
        <v>#NAME?</v>
      </c>
    </row>
    <row r="634" spans="1:16" x14ac:dyDescent="0.2">
      <c r="A634" s="169" t="e">
        <f ca="1">IF(C634="","",ROW(行数!A626))</f>
        <v>#NAME?</v>
      </c>
      <c r="B634" s="168" t="e">
        <f t="shared" ca="1" si="66"/>
        <v>#NAME?</v>
      </c>
      <c r="C634" s="90" t="e">
        <f ca="1">[0]!CSVVLookUP(ROW(行数!A626),配列!$C$4,集計記録,3,1)</f>
        <v>#NAME?</v>
      </c>
      <c r="D634" s="90" t="e">
        <f ca="1">[0]!CSVVLookUP(ROW(行数!B626),配列!$C$4,集計記録,4,1)</f>
        <v>#NAME?</v>
      </c>
      <c r="E634" s="118" t="e">
        <f t="shared" ca="1" si="67"/>
        <v>#NAME?</v>
      </c>
      <c r="F634" s="118" t="e">
        <f t="shared" ca="1" si="68"/>
        <v>#NAME?</v>
      </c>
      <c r="G634" s="103" t="e">
        <f t="shared" ca="1" si="69"/>
        <v>#NAME?</v>
      </c>
      <c r="H634" s="104" t="e">
        <f ca="1">IF(C634="","",MROUND([0]!CSVVLookUP(ROW(行数!A626),配列!$C$4,集計記録,8,1),"0:01"))</f>
        <v>#NAME?</v>
      </c>
      <c r="I634" s="104" t="e">
        <f t="shared" ca="1" si="70"/>
        <v>#NAME?</v>
      </c>
      <c r="J634" s="119" t="e">
        <f ca="1">IF(C634="","",MROUND([0]!CSVVLookUP(ROW(行数!A626),配列!$C$4,集計記録,7,1),"0:01"))</f>
        <v>#NAME?</v>
      </c>
      <c r="K634" s="92" t="e">
        <f ca="1">IF(C634="","",[0]!CSVVLookUP(ROW(行数!A626),配列!$C$4,集計記録,5,1))</f>
        <v>#NAME?</v>
      </c>
      <c r="L634" s="104" t="e">
        <f t="shared" ca="1" si="71"/>
        <v>#NAME?</v>
      </c>
      <c r="M634" s="120" t="e">
        <f t="shared" ca="1" si="65"/>
        <v>#NAME?</v>
      </c>
      <c r="N634" s="120" t="e">
        <f ca="1">IF([0]!CSVVLookUP(ROW(行数!A626),配列!$C$4,集計記録,6,1)=0,"",[0]!CSVVLookUP(ROW(行数!A626),配列!$C$4,集計記録,6,1))</f>
        <v>#NAME?</v>
      </c>
      <c r="O634" s="88" t="e">
        <f ca="1">IF(INDIRECT("M"&amp;ROW()-1)&lt;&gt;INDIRECT("M"&amp;ROW()),リスト!$I$5,"")</f>
        <v>#NAME?</v>
      </c>
      <c r="P634" s="88" t="e">
        <f ca="1">IF(INDIRECT("M"&amp;ROW())&lt;&gt;INDIRECT("M"&amp;ROW()+1),リスト!$I$6,"")</f>
        <v>#NAME?</v>
      </c>
    </row>
    <row r="635" spans="1:16" x14ac:dyDescent="0.2">
      <c r="A635" s="169" t="e">
        <f ca="1">IF(C635="","",ROW(行数!A627))</f>
        <v>#NAME?</v>
      </c>
      <c r="B635" s="168" t="e">
        <f t="shared" ca="1" si="66"/>
        <v>#NAME?</v>
      </c>
      <c r="C635" s="90" t="e">
        <f ca="1">[0]!CSVVLookUP(ROW(行数!A627),配列!$C$4,集計記録,3,1)</f>
        <v>#NAME?</v>
      </c>
      <c r="D635" s="90" t="e">
        <f ca="1">[0]!CSVVLookUP(ROW(行数!B627),配列!$C$4,集計記録,4,1)</f>
        <v>#NAME?</v>
      </c>
      <c r="E635" s="118" t="e">
        <f t="shared" ca="1" si="67"/>
        <v>#NAME?</v>
      </c>
      <c r="F635" s="118" t="e">
        <f t="shared" ca="1" si="68"/>
        <v>#NAME?</v>
      </c>
      <c r="G635" s="103" t="e">
        <f t="shared" ca="1" si="69"/>
        <v>#NAME?</v>
      </c>
      <c r="H635" s="104" t="e">
        <f ca="1">IF(C635="","",MROUND([0]!CSVVLookUP(ROW(行数!A627),配列!$C$4,集計記録,8,1),"0:01"))</f>
        <v>#NAME?</v>
      </c>
      <c r="I635" s="104" t="e">
        <f t="shared" ca="1" si="70"/>
        <v>#NAME?</v>
      </c>
      <c r="J635" s="119" t="e">
        <f ca="1">IF(C635="","",MROUND([0]!CSVVLookUP(ROW(行数!A627),配列!$C$4,集計記録,7,1),"0:01"))</f>
        <v>#NAME?</v>
      </c>
      <c r="K635" s="92" t="e">
        <f ca="1">IF(C635="","",[0]!CSVVLookUP(ROW(行数!A627),配列!$C$4,集計記録,5,1))</f>
        <v>#NAME?</v>
      </c>
      <c r="L635" s="104" t="e">
        <f t="shared" ca="1" si="71"/>
        <v>#NAME?</v>
      </c>
      <c r="M635" s="120" t="e">
        <f t="shared" ca="1" si="65"/>
        <v>#NAME?</v>
      </c>
      <c r="N635" s="120" t="e">
        <f ca="1">IF([0]!CSVVLookUP(ROW(行数!A627),配列!$C$4,集計記録,6,1)=0,"",[0]!CSVVLookUP(ROW(行数!A627),配列!$C$4,集計記録,6,1))</f>
        <v>#NAME?</v>
      </c>
      <c r="O635" s="88" t="e">
        <f ca="1">IF(INDIRECT("M"&amp;ROW()-1)&lt;&gt;INDIRECT("M"&amp;ROW()),リスト!$I$5,"")</f>
        <v>#NAME?</v>
      </c>
      <c r="P635" s="88" t="e">
        <f ca="1">IF(INDIRECT("M"&amp;ROW())&lt;&gt;INDIRECT("M"&amp;ROW()+1),リスト!$I$6,"")</f>
        <v>#NAME?</v>
      </c>
    </row>
    <row r="636" spans="1:16" x14ac:dyDescent="0.2">
      <c r="A636" s="169" t="e">
        <f ca="1">IF(C636="","",ROW(行数!A628))</f>
        <v>#NAME?</v>
      </c>
      <c r="B636" s="168" t="e">
        <f t="shared" ca="1" si="66"/>
        <v>#NAME?</v>
      </c>
      <c r="C636" s="90" t="e">
        <f ca="1">[0]!CSVVLookUP(ROW(行数!A628),配列!$C$4,集計記録,3,1)</f>
        <v>#NAME?</v>
      </c>
      <c r="D636" s="90" t="e">
        <f ca="1">[0]!CSVVLookUP(ROW(行数!B628),配列!$C$4,集計記録,4,1)</f>
        <v>#NAME?</v>
      </c>
      <c r="E636" s="118" t="e">
        <f t="shared" ca="1" si="67"/>
        <v>#NAME?</v>
      </c>
      <c r="F636" s="118" t="e">
        <f t="shared" ca="1" si="68"/>
        <v>#NAME?</v>
      </c>
      <c r="G636" s="103" t="e">
        <f t="shared" ca="1" si="69"/>
        <v>#NAME?</v>
      </c>
      <c r="H636" s="104" t="e">
        <f ca="1">IF(C636="","",MROUND([0]!CSVVLookUP(ROW(行数!A628),配列!$C$4,集計記録,8,1),"0:01"))</f>
        <v>#NAME?</v>
      </c>
      <c r="I636" s="104" t="e">
        <f t="shared" ca="1" si="70"/>
        <v>#NAME?</v>
      </c>
      <c r="J636" s="119" t="e">
        <f ca="1">IF(C636="","",MROUND([0]!CSVVLookUP(ROW(行数!A628),配列!$C$4,集計記録,7,1),"0:01"))</f>
        <v>#NAME?</v>
      </c>
      <c r="K636" s="92" t="e">
        <f ca="1">IF(C636="","",[0]!CSVVLookUP(ROW(行数!A628),配列!$C$4,集計記録,5,1))</f>
        <v>#NAME?</v>
      </c>
      <c r="L636" s="104" t="e">
        <f t="shared" ca="1" si="71"/>
        <v>#NAME?</v>
      </c>
      <c r="M636" s="120" t="e">
        <f t="shared" ca="1" si="65"/>
        <v>#NAME?</v>
      </c>
      <c r="N636" s="120" t="e">
        <f ca="1">IF([0]!CSVVLookUP(ROW(行数!A628),配列!$C$4,集計記録,6,1)=0,"",[0]!CSVVLookUP(ROW(行数!A628),配列!$C$4,集計記録,6,1))</f>
        <v>#NAME?</v>
      </c>
      <c r="O636" s="88" t="e">
        <f ca="1">IF(INDIRECT("M"&amp;ROW()-1)&lt;&gt;INDIRECT("M"&amp;ROW()),リスト!$I$5,"")</f>
        <v>#NAME?</v>
      </c>
      <c r="P636" s="88" t="e">
        <f ca="1">IF(INDIRECT("M"&amp;ROW())&lt;&gt;INDIRECT("M"&amp;ROW()+1),リスト!$I$6,"")</f>
        <v>#NAME?</v>
      </c>
    </row>
    <row r="637" spans="1:16" x14ac:dyDescent="0.2">
      <c r="A637" s="169" t="e">
        <f ca="1">IF(C637="","",ROW(行数!A629))</f>
        <v>#NAME?</v>
      </c>
      <c r="B637" s="168" t="e">
        <f t="shared" ca="1" si="66"/>
        <v>#NAME?</v>
      </c>
      <c r="C637" s="90" t="e">
        <f ca="1">[0]!CSVVLookUP(ROW(行数!A629),配列!$C$4,集計記録,3,1)</f>
        <v>#NAME?</v>
      </c>
      <c r="D637" s="90" t="e">
        <f ca="1">[0]!CSVVLookUP(ROW(行数!B629),配列!$C$4,集計記録,4,1)</f>
        <v>#NAME?</v>
      </c>
      <c r="E637" s="118" t="e">
        <f t="shared" ca="1" si="67"/>
        <v>#NAME?</v>
      </c>
      <c r="F637" s="118" t="e">
        <f t="shared" ca="1" si="68"/>
        <v>#NAME?</v>
      </c>
      <c r="G637" s="103" t="e">
        <f t="shared" ca="1" si="69"/>
        <v>#NAME?</v>
      </c>
      <c r="H637" s="104" t="e">
        <f ca="1">IF(C637="","",MROUND([0]!CSVVLookUP(ROW(行数!A629),配列!$C$4,集計記録,8,1),"0:01"))</f>
        <v>#NAME?</v>
      </c>
      <c r="I637" s="104" t="e">
        <f t="shared" ca="1" si="70"/>
        <v>#NAME?</v>
      </c>
      <c r="J637" s="119" t="e">
        <f ca="1">IF(C637="","",MROUND([0]!CSVVLookUP(ROW(行数!A629),配列!$C$4,集計記録,7,1),"0:01"))</f>
        <v>#NAME?</v>
      </c>
      <c r="K637" s="92" t="e">
        <f ca="1">IF(C637="","",[0]!CSVVLookUP(ROW(行数!A629),配列!$C$4,集計記録,5,1))</f>
        <v>#NAME?</v>
      </c>
      <c r="L637" s="104" t="e">
        <f t="shared" ca="1" si="71"/>
        <v>#NAME?</v>
      </c>
      <c r="M637" s="120" t="e">
        <f t="shared" ca="1" si="65"/>
        <v>#NAME?</v>
      </c>
      <c r="N637" s="120" t="e">
        <f ca="1">IF([0]!CSVVLookUP(ROW(行数!A629),配列!$C$4,集計記録,6,1)=0,"",[0]!CSVVLookUP(ROW(行数!A629),配列!$C$4,集計記録,6,1))</f>
        <v>#NAME?</v>
      </c>
      <c r="O637" s="88" t="e">
        <f ca="1">IF(INDIRECT("M"&amp;ROW()-1)&lt;&gt;INDIRECT("M"&amp;ROW()),リスト!$I$5,"")</f>
        <v>#NAME?</v>
      </c>
      <c r="P637" s="88" t="e">
        <f ca="1">IF(INDIRECT("M"&amp;ROW())&lt;&gt;INDIRECT("M"&amp;ROW()+1),リスト!$I$6,"")</f>
        <v>#NAME?</v>
      </c>
    </row>
    <row r="638" spans="1:16" x14ac:dyDescent="0.2">
      <c r="A638" s="169" t="e">
        <f ca="1">IF(C638="","",ROW(行数!A630))</f>
        <v>#NAME?</v>
      </c>
      <c r="B638" s="168" t="e">
        <f t="shared" ca="1" si="66"/>
        <v>#NAME?</v>
      </c>
      <c r="C638" s="90" t="e">
        <f ca="1">[0]!CSVVLookUP(ROW(行数!A630),配列!$C$4,集計記録,3,1)</f>
        <v>#NAME?</v>
      </c>
      <c r="D638" s="90" t="e">
        <f ca="1">[0]!CSVVLookUP(ROW(行数!B630),配列!$C$4,集計記録,4,1)</f>
        <v>#NAME?</v>
      </c>
      <c r="E638" s="118" t="e">
        <f t="shared" ca="1" si="67"/>
        <v>#NAME?</v>
      </c>
      <c r="F638" s="118" t="e">
        <f t="shared" ca="1" si="68"/>
        <v>#NAME?</v>
      </c>
      <c r="G638" s="103" t="e">
        <f t="shared" ca="1" si="69"/>
        <v>#NAME?</v>
      </c>
      <c r="H638" s="104" t="e">
        <f ca="1">IF(C638="","",MROUND([0]!CSVVLookUP(ROW(行数!A630),配列!$C$4,集計記録,8,1),"0:01"))</f>
        <v>#NAME?</v>
      </c>
      <c r="I638" s="104" t="e">
        <f t="shared" ca="1" si="70"/>
        <v>#NAME?</v>
      </c>
      <c r="J638" s="119" t="e">
        <f ca="1">IF(C638="","",MROUND([0]!CSVVLookUP(ROW(行数!A630),配列!$C$4,集計記録,7,1),"0:01"))</f>
        <v>#NAME?</v>
      </c>
      <c r="K638" s="92" t="e">
        <f ca="1">IF(C638="","",[0]!CSVVLookUP(ROW(行数!A630),配列!$C$4,集計記録,5,1))</f>
        <v>#NAME?</v>
      </c>
      <c r="L638" s="104" t="e">
        <f t="shared" ca="1" si="71"/>
        <v>#NAME?</v>
      </c>
      <c r="M638" s="120" t="e">
        <f t="shared" ca="1" si="65"/>
        <v>#NAME?</v>
      </c>
      <c r="N638" s="120" t="e">
        <f ca="1">IF([0]!CSVVLookUP(ROW(行数!A630),配列!$C$4,集計記録,6,1)=0,"",[0]!CSVVLookUP(ROW(行数!A630),配列!$C$4,集計記録,6,1))</f>
        <v>#NAME?</v>
      </c>
      <c r="O638" s="88" t="e">
        <f ca="1">IF(INDIRECT("M"&amp;ROW()-1)&lt;&gt;INDIRECT("M"&amp;ROW()),リスト!$I$5,"")</f>
        <v>#NAME?</v>
      </c>
      <c r="P638" s="88" t="e">
        <f ca="1">IF(INDIRECT("M"&amp;ROW())&lt;&gt;INDIRECT("M"&amp;ROW()+1),リスト!$I$6,"")</f>
        <v>#NAME?</v>
      </c>
    </row>
    <row r="639" spans="1:16" x14ac:dyDescent="0.2">
      <c r="A639" s="169" t="e">
        <f ca="1">IF(C639="","",ROW(行数!A631))</f>
        <v>#NAME?</v>
      </c>
      <c r="B639" s="168" t="e">
        <f t="shared" ca="1" si="66"/>
        <v>#NAME?</v>
      </c>
      <c r="C639" s="90" t="e">
        <f ca="1">[0]!CSVVLookUP(ROW(行数!A631),配列!$C$4,集計記録,3,1)</f>
        <v>#NAME?</v>
      </c>
      <c r="D639" s="90" t="e">
        <f ca="1">[0]!CSVVLookUP(ROW(行数!B631),配列!$C$4,集計記録,4,1)</f>
        <v>#NAME?</v>
      </c>
      <c r="E639" s="118" t="e">
        <f t="shared" ca="1" si="67"/>
        <v>#NAME?</v>
      </c>
      <c r="F639" s="118" t="e">
        <f t="shared" ca="1" si="68"/>
        <v>#NAME?</v>
      </c>
      <c r="G639" s="103" t="e">
        <f t="shared" ca="1" si="69"/>
        <v>#NAME?</v>
      </c>
      <c r="H639" s="104" t="e">
        <f ca="1">IF(C639="","",MROUND([0]!CSVVLookUP(ROW(行数!A631),配列!$C$4,集計記録,8,1),"0:01"))</f>
        <v>#NAME?</v>
      </c>
      <c r="I639" s="104" t="e">
        <f t="shared" ca="1" si="70"/>
        <v>#NAME?</v>
      </c>
      <c r="J639" s="119" t="e">
        <f ca="1">IF(C639="","",MROUND([0]!CSVVLookUP(ROW(行数!A631),配列!$C$4,集計記録,7,1),"0:01"))</f>
        <v>#NAME?</v>
      </c>
      <c r="K639" s="92" t="e">
        <f ca="1">IF(C639="","",[0]!CSVVLookUP(ROW(行数!A631),配列!$C$4,集計記録,5,1))</f>
        <v>#NAME?</v>
      </c>
      <c r="L639" s="104" t="e">
        <f t="shared" ca="1" si="71"/>
        <v>#NAME?</v>
      </c>
      <c r="M639" s="120" t="e">
        <f t="shared" ca="1" si="65"/>
        <v>#NAME?</v>
      </c>
      <c r="N639" s="120" t="e">
        <f ca="1">IF([0]!CSVVLookUP(ROW(行数!A631),配列!$C$4,集計記録,6,1)=0,"",[0]!CSVVLookUP(ROW(行数!A631),配列!$C$4,集計記録,6,1))</f>
        <v>#NAME?</v>
      </c>
      <c r="O639" s="88" t="e">
        <f ca="1">IF(INDIRECT("M"&amp;ROW()-1)&lt;&gt;INDIRECT("M"&amp;ROW()),リスト!$I$5,"")</f>
        <v>#NAME?</v>
      </c>
      <c r="P639" s="88" t="e">
        <f ca="1">IF(INDIRECT("M"&amp;ROW())&lt;&gt;INDIRECT("M"&amp;ROW()+1),リスト!$I$6,"")</f>
        <v>#NAME?</v>
      </c>
    </row>
    <row r="640" spans="1:16" x14ac:dyDescent="0.2">
      <c r="A640" s="169" t="e">
        <f ca="1">IF(C640="","",ROW(行数!A632))</f>
        <v>#NAME?</v>
      </c>
      <c r="B640" s="168" t="e">
        <f t="shared" ca="1" si="66"/>
        <v>#NAME?</v>
      </c>
      <c r="C640" s="90" t="e">
        <f ca="1">[0]!CSVVLookUP(ROW(行数!A632),配列!$C$4,集計記録,3,1)</f>
        <v>#NAME?</v>
      </c>
      <c r="D640" s="90" t="e">
        <f ca="1">[0]!CSVVLookUP(ROW(行数!B632),配列!$C$4,集計記録,4,1)</f>
        <v>#NAME?</v>
      </c>
      <c r="E640" s="118" t="e">
        <f t="shared" ca="1" si="67"/>
        <v>#NAME?</v>
      </c>
      <c r="F640" s="118" t="e">
        <f t="shared" ca="1" si="68"/>
        <v>#NAME?</v>
      </c>
      <c r="G640" s="103" t="e">
        <f t="shared" ca="1" si="69"/>
        <v>#NAME?</v>
      </c>
      <c r="H640" s="104" t="e">
        <f ca="1">IF(C640="","",MROUND([0]!CSVVLookUP(ROW(行数!A632),配列!$C$4,集計記録,8,1),"0:01"))</f>
        <v>#NAME?</v>
      </c>
      <c r="I640" s="104" t="e">
        <f t="shared" ca="1" si="70"/>
        <v>#NAME?</v>
      </c>
      <c r="J640" s="119" t="e">
        <f ca="1">IF(C640="","",MROUND([0]!CSVVLookUP(ROW(行数!A632),配列!$C$4,集計記録,7,1),"0:01"))</f>
        <v>#NAME?</v>
      </c>
      <c r="K640" s="92" t="e">
        <f ca="1">IF(C640="","",[0]!CSVVLookUP(ROW(行数!A632),配列!$C$4,集計記録,5,1))</f>
        <v>#NAME?</v>
      </c>
      <c r="L640" s="104" t="e">
        <f t="shared" ca="1" si="71"/>
        <v>#NAME?</v>
      </c>
      <c r="M640" s="120" t="e">
        <f t="shared" ca="1" si="65"/>
        <v>#NAME?</v>
      </c>
      <c r="N640" s="120" t="e">
        <f ca="1">IF([0]!CSVVLookUP(ROW(行数!A632),配列!$C$4,集計記録,6,1)=0,"",[0]!CSVVLookUP(ROW(行数!A632),配列!$C$4,集計記録,6,1))</f>
        <v>#NAME?</v>
      </c>
      <c r="O640" s="88" t="e">
        <f ca="1">IF(INDIRECT("M"&amp;ROW()-1)&lt;&gt;INDIRECT("M"&amp;ROW()),リスト!$I$5,"")</f>
        <v>#NAME?</v>
      </c>
      <c r="P640" s="88" t="e">
        <f ca="1">IF(INDIRECT("M"&amp;ROW())&lt;&gt;INDIRECT("M"&amp;ROW()+1),リスト!$I$6,"")</f>
        <v>#NAME?</v>
      </c>
    </row>
    <row r="641" spans="1:16" x14ac:dyDescent="0.2">
      <c r="A641" s="169" t="e">
        <f ca="1">IF(C641="","",ROW(行数!A633))</f>
        <v>#NAME?</v>
      </c>
      <c r="B641" s="168" t="e">
        <f t="shared" ca="1" si="66"/>
        <v>#NAME?</v>
      </c>
      <c r="C641" s="90" t="e">
        <f ca="1">[0]!CSVVLookUP(ROW(行数!A633),配列!$C$4,集計記録,3,1)</f>
        <v>#NAME?</v>
      </c>
      <c r="D641" s="90" t="e">
        <f ca="1">[0]!CSVVLookUP(ROW(行数!B633),配列!$C$4,集計記録,4,1)</f>
        <v>#NAME?</v>
      </c>
      <c r="E641" s="118" t="e">
        <f t="shared" ca="1" si="67"/>
        <v>#NAME?</v>
      </c>
      <c r="F641" s="118" t="e">
        <f t="shared" ca="1" si="68"/>
        <v>#NAME?</v>
      </c>
      <c r="G641" s="103" t="e">
        <f t="shared" ca="1" si="69"/>
        <v>#NAME?</v>
      </c>
      <c r="H641" s="104" t="e">
        <f ca="1">IF(C641="","",MROUND([0]!CSVVLookUP(ROW(行数!A633),配列!$C$4,集計記録,8,1),"0:01"))</f>
        <v>#NAME?</v>
      </c>
      <c r="I641" s="104" t="e">
        <f t="shared" ca="1" si="70"/>
        <v>#NAME?</v>
      </c>
      <c r="J641" s="119" t="e">
        <f ca="1">IF(C641="","",MROUND([0]!CSVVLookUP(ROW(行数!A633),配列!$C$4,集計記録,7,1),"0:01"))</f>
        <v>#NAME?</v>
      </c>
      <c r="K641" s="92" t="e">
        <f ca="1">IF(C641="","",[0]!CSVVLookUP(ROW(行数!A633),配列!$C$4,集計記録,5,1))</f>
        <v>#NAME?</v>
      </c>
      <c r="L641" s="104" t="e">
        <f t="shared" ca="1" si="71"/>
        <v>#NAME?</v>
      </c>
      <c r="M641" s="120" t="e">
        <f t="shared" ca="1" si="65"/>
        <v>#NAME?</v>
      </c>
      <c r="N641" s="120" t="e">
        <f ca="1">IF([0]!CSVVLookUP(ROW(行数!A633),配列!$C$4,集計記録,6,1)=0,"",[0]!CSVVLookUP(ROW(行数!A633),配列!$C$4,集計記録,6,1))</f>
        <v>#NAME?</v>
      </c>
      <c r="O641" s="88" t="e">
        <f ca="1">IF(INDIRECT("M"&amp;ROW()-1)&lt;&gt;INDIRECT("M"&amp;ROW()),リスト!$I$5,"")</f>
        <v>#NAME?</v>
      </c>
      <c r="P641" s="88" t="e">
        <f ca="1">IF(INDIRECT("M"&amp;ROW())&lt;&gt;INDIRECT("M"&amp;ROW()+1),リスト!$I$6,"")</f>
        <v>#NAME?</v>
      </c>
    </row>
    <row r="642" spans="1:16" x14ac:dyDescent="0.2">
      <c r="A642" s="169" t="e">
        <f ca="1">IF(C642="","",ROW(行数!A634))</f>
        <v>#NAME?</v>
      </c>
      <c r="B642" s="168" t="e">
        <f t="shared" ca="1" si="66"/>
        <v>#NAME?</v>
      </c>
      <c r="C642" s="90" t="e">
        <f ca="1">[0]!CSVVLookUP(ROW(行数!A634),配列!$C$4,集計記録,3,1)</f>
        <v>#NAME?</v>
      </c>
      <c r="D642" s="90" t="e">
        <f ca="1">[0]!CSVVLookUP(ROW(行数!B634),配列!$C$4,集計記録,4,1)</f>
        <v>#NAME?</v>
      </c>
      <c r="E642" s="118" t="e">
        <f t="shared" ca="1" si="67"/>
        <v>#NAME?</v>
      </c>
      <c r="F642" s="118" t="e">
        <f t="shared" ca="1" si="68"/>
        <v>#NAME?</v>
      </c>
      <c r="G642" s="103" t="e">
        <f t="shared" ca="1" si="69"/>
        <v>#NAME?</v>
      </c>
      <c r="H642" s="104" t="e">
        <f ca="1">IF(C642="","",MROUND([0]!CSVVLookUP(ROW(行数!A634),配列!$C$4,集計記録,8,1),"0:01"))</f>
        <v>#NAME?</v>
      </c>
      <c r="I642" s="104" t="e">
        <f t="shared" ca="1" si="70"/>
        <v>#NAME?</v>
      </c>
      <c r="J642" s="119" t="e">
        <f ca="1">IF(C642="","",MROUND([0]!CSVVLookUP(ROW(行数!A634),配列!$C$4,集計記録,7,1),"0:01"))</f>
        <v>#NAME?</v>
      </c>
      <c r="K642" s="92" t="e">
        <f ca="1">IF(C642="","",[0]!CSVVLookUP(ROW(行数!A634),配列!$C$4,集計記録,5,1))</f>
        <v>#NAME?</v>
      </c>
      <c r="L642" s="104" t="e">
        <f t="shared" ca="1" si="71"/>
        <v>#NAME?</v>
      </c>
      <c r="M642" s="120" t="e">
        <f t="shared" ca="1" si="65"/>
        <v>#NAME?</v>
      </c>
      <c r="N642" s="120" t="e">
        <f ca="1">IF([0]!CSVVLookUP(ROW(行数!A634),配列!$C$4,集計記録,6,1)=0,"",[0]!CSVVLookUP(ROW(行数!A634),配列!$C$4,集計記録,6,1))</f>
        <v>#NAME?</v>
      </c>
      <c r="O642" s="88" t="e">
        <f ca="1">IF(INDIRECT("M"&amp;ROW()-1)&lt;&gt;INDIRECT("M"&amp;ROW()),リスト!$I$5,"")</f>
        <v>#NAME?</v>
      </c>
      <c r="P642" s="88" t="e">
        <f ca="1">IF(INDIRECT("M"&amp;ROW())&lt;&gt;INDIRECT("M"&amp;ROW()+1),リスト!$I$6,"")</f>
        <v>#NAME?</v>
      </c>
    </row>
    <row r="643" spans="1:16" x14ac:dyDescent="0.2">
      <c r="A643" s="169" t="e">
        <f ca="1">IF(C643="","",ROW(行数!A635))</f>
        <v>#NAME?</v>
      </c>
      <c r="B643" s="168" t="e">
        <f t="shared" ca="1" si="66"/>
        <v>#NAME?</v>
      </c>
      <c r="C643" s="90" t="e">
        <f ca="1">[0]!CSVVLookUP(ROW(行数!A635),配列!$C$4,集計記録,3,1)</f>
        <v>#NAME?</v>
      </c>
      <c r="D643" s="90" t="e">
        <f ca="1">[0]!CSVVLookUP(ROW(行数!B635),配列!$C$4,集計記録,4,1)</f>
        <v>#NAME?</v>
      </c>
      <c r="E643" s="118" t="e">
        <f t="shared" ca="1" si="67"/>
        <v>#NAME?</v>
      </c>
      <c r="F643" s="118" t="e">
        <f t="shared" ca="1" si="68"/>
        <v>#NAME?</v>
      </c>
      <c r="G643" s="103" t="e">
        <f t="shared" ca="1" si="69"/>
        <v>#NAME?</v>
      </c>
      <c r="H643" s="104" t="e">
        <f ca="1">IF(C643="","",MROUND([0]!CSVVLookUP(ROW(行数!A635),配列!$C$4,集計記録,8,1),"0:01"))</f>
        <v>#NAME?</v>
      </c>
      <c r="I643" s="104" t="e">
        <f t="shared" ca="1" si="70"/>
        <v>#NAME?</v>
      </c>
      <c r="J643" s="119" t="e">
        <f ca="1">IF(C643="","",MROUND([0]!CSVVLookUP(ROW(行数!A635),配列!$C$4,集計記録,7,1),"0:01"))</f>
        <v>#NAME?</v>
      </c>
      <c r="K643" s="92" t="e">
        <f ca="1">IF(C643="","",[0]!CSVVLookUP(ROW(行数!A635),配列!$C$4,集計記録,5,1))</f>
        <v>#NAME?</v>
      </c>
      <c r="L643" s="104" t="e">
        <f t="shared" ca="1" si="71"/>
        <v>#NAME?</v>
      </c>
      <c r="M643" s="120" t="e">
        <f t="shared" ca="1" si="65"/>
        <v>#NAME?</v>
      </c>
      <c r="N643" s="120" t="e">
        <f ca="1">IF([0]!CSVVLookUP(ROW(行数!A635),配列!$C$4,集計記録,6,1)=0,"",[0]!CSVVLookUP(ROW(行数!A635),配列!$C$4,集計記録,6,1))</f>
        <v>#NAME?</v>
      </c>
      <c r="O643" s="88" t="e">
        <f ca="1">IF(INDIRECT("M"&amp;ROW()-1)&lt;&gt;INDIRECT("M"&amp;ROW()),リスト!$I$5,"")</f>
        <v>#NAME?</v>
      </c>
      <c r="P643" s="88" t="e">
        <f ca="1">IF(INDIRECT("M"&amp;ROW())&lt;&gt;INDIRECT("M"&amp;ROW()+1),リスト!$I$6,"")</f>
        <v>#NAME?</v>
      </c>
    </row>
    <row r="644" spans="1:16" x14ac:dyDescent="0.2">
      <c r="A644" s="169" t="e">
        <f ca="1">IF(C644="","",ROW(行数!A636))</f>
        <v>#NAME?</v>
      </c>
      <c r="B644" s="168" t="e">
        <f t="shared" ca="1" si="66"/>
        <v>#NAME?</v>
      </c>
      <c r="C644" s="90" t="e">
        <f ca="1">[0]!CSVVLookUP(ROW(行数!A636),配列!$C$4,集計記録,3,1)</f>
        <v>#NAME?</v>
      </c>
      <c r="D644" s="90" t="e">
        <f ca="1">[0]!CSVVLookUP(ROW(行数!B636),配列!$C$4,集計記録,4,1)</f>
        <v>#NAME?</v>
      </c>
      <c r="E644" s="118" t="e">
        <f t="shared" ca="1" si="67"/>
        <v>#NAME?</v>
      </c>
      <c r="F644" s="118" t="e">
        <f t="shared" ca="1" si="68"/>
        <v>#NAME?</v>
      </c>
      <c r="G644" s="103" t="e">
        <f t="shared" ca="1" si="69"/>
        <v>#NAME?</v>
      </c>
      <c r="H644" s="104" t="e">
        <f ca="1">IF(C644="","",MROUND([0]!CSVVLookUP(ROW(行数!A636),配列!$C$4,集計記録,8,1),"0:01"))</f>
        <v>#NAME?</v>
      </c>
      <c r="I644" s="104" t="e">
        <f t="shared" ca="1" si="70"/>
        <v>#NAME?</v>
      </c>
      <c r="J644" s="119" t="e">
        <f ca="1">IF(C644="","",MROUND([0]!CSVVLookUP(ROW(行数!A636),配列!$C$4,集計記録,7,1),"0:01"))</f>
        <v>#NAME?</v>
      </c>
      <c r="K644" s="92" t="e">
        <f ca="1">IF(C644="","",[0]!CSVVLookUP(ROW(行数!A636),配列!$C$4,集計記録,5,1))</f>
        <v>#NAME?</v>
      </c>
      <c r="L644" s="104" t="e">
        <f t="shared" ca="1" si="71"/>
        <v>#NAME?</v>
      </c>
      <c r="M644" s="120" t="e">
        <f t="shared" ca="1" si="65"/>
        <v>#NAME?</v>
      </c>
      <c r="N644" s="120" t="e">
        <f ca="1">IF([0]!CSVVLookUP(ROW(行数!A636),配列!$C$4,集計記録,6,1)=0,"",[0]!CSVVLookUP(ROW(行数!A636),配列!$C$4,集計記録,6,1))</f>
        <v>#NAME?</v>
      </c>
      <c r="O644" s="88" t="e">
        <f ca="1">IF(INDIRECT("M"&amp;ROW()-1)&lt;&gt;INDIRECT("M"&amp;ROW()),リスト!$I$5,"")</f>
        <v>#NAME?</v>
      </c>
      <c r="P644" s="88" t="e">
        <f ca="1">IF(INDIRECT("M"&amp;ROW())&lt;&gt;INDIRECT("M"&amp;ROW()+1),リスト!$I$6,"")</f>
        <v>#NAME?</v>
      </c>
    </row>
    <row r="645" spans="1:16" x14ac:dyDescent="0.2">
      <c r="A645" s="169" t="e">
        <f ca="1">IF(C645="","",ROW(行数!A637))</f>
        <v>#NAME?</v>
      </c>
      <c r="B645" s="168" t="e">
        <f t="shared" ca="1" si="66"/>
        <v>#NAME?</v>
      </c>
      <c r="C645" s="90" t="e">
        <f ca="1">[0]!CSVVLookUP(ROW(行数!A637),配列!$C$4,集計記録,3,1)</f>
        <v>#NAME?</v>
      </c>
      <c r="D645" s="90" t="e">
        <f ca="1">[0]!CSVVLookUP(ROW(行数!B637),配列!$C$4,集計記録,4,1)</f>
        <v>#NAME?</v>
      </c>
      <c r="E645" s="118" t="e">
        <f t="shared" ca="1" si="67"/>
        <v>#NAME?</v>
      </c>
      <c r="F645" s="118" t="e">
        <f t="shared" ca="1" si="68"/>
        <v>#NAME?</v>
      </c>
      <c r="G645" s="103" t="e">
        <f t="shared" ca="1" si="69"/>
        <v>#NAME?</v>
      </c>
      <c r="H645" s="104" t="e">
        <f ca="1">IF(C645="","",MROUND([0]!CSVVLookUP(ROW(行数!A637),配列!$C$4,集計記録,8,1),"0:01"))</f>
        <v>#NAME?</v>
      </c>
      <c r="I645" s="104" t="e">
        <f t="shared" ca="1" si="70"/>
        <v>#NAME?</v>
      </c>
      <c r="J645" s="119" t="e">
        <f ca="1">IF(C645="","",MROUND([0]!CSVVLookUP(ROW(行数!A637),配列!$C$4,集計記録,7,1),"0:01"))</f>
        <v>#NAME?</v>
      </c>
      <c r="K645" s="92" t="e">
        <f ca="1">IF(C645="","",[0]!CSVVLookUP(ROW(行数!A637),配列!$C$4,集計記録,5,1))</f>
        <v>#NAME?</v>
      </c>
      <c r="L645" s="104" t="e">
        <f t="shared" ca="1" si="71"/>
        <v>#NAME?</v>
      </c>
      <c r="M645" s="120" t="e">
        <f t="shared" ca="1" si="65"/>
        <v>#NAME?</v>
      </c>
      <c r="N645" s="120" t="e">
        <f ca="1">IF([0]!CSVVLookUP(ROW(行数!A637),配列!$C$4,集計記録,6,1)=0,"",[0]!CSVVLookUP(ROW(行数!A637),配列!$C$4,集計記録,6,1))</f>
        <v>#NAME?</v>
      </c>
      <c r="O645" s="88" t="e">
        <f ca="1">IF(INDIRECT("M"&amp;ROW()-1)&lt;&gt;INDIRECT("M"&amp;ROW()),リスト!$I$5,"")</f>
        <v>#NAME?</v>
      </c>
      <c r="P645" s="88" t="e">
        <f ca="1">IF(INDIRECT("M"&amp;ROW())&lt;&gt;INDIRECT("M"&amp;ROW()+1),リスト!$I$6,"")</f>
        <v>#NAME?</v>
      </c>
    </row>
    <row r="646" spans="1:16" x14ac:dyDescent="0.2">
      <c r="A646" s="169" t="e">
        <f ca="1">IF(C646="","",ROW(行数!A638))</f>
        <v>#NAME?</v>
      </c>
      <c r="B646" s="168" t="e">
        <f t="shared" ca="1" si="66"/>
        <v>#NAME?</v>
      </c>
      <c r="C646" s="90" t="e">
        <f ca="1">[0]!CSVVLookUP(ROW(行数!A638),配列!$C$4,集計記録,3,1)</f>
        <v>#NAME?</v>
      </c>
      <c r="D646" s="90" t="e">
        <f ca="1">[0]!CSVVLookUP(ROW(行数!B638),配列!$C$4,集計記録,4,1)</f>
        <v>#NAME?</v>
      </c>
      <c r="E646" s="118" t="e">
        <f t="shared" ca="1" si="67"/>
        <v>#NAME?</v>
      </c>
      <c r="F646" s="118" t="e">
        <f t="shared" ca="1" si="68"/>
        <v>#NAME?</v>
      </c>
      <c r="G646" s="103" t="e">
        <f t="shared" ca="1" si="69"/>
        <v>#NAME?</v>
      </c>
      <c r="H646" s="104" t="e">
        <f ca="1">IF(C646="","",MROUND([0]!CSVVLookUP(ROW(行数!A638),配列!$C$4,集計記録,8,1),"0:01"))</f>
        <v>#NAME?</v>
      </c>
      <c r="I646" s="104" t="e">
        <f t="shared" ca="1" si="70"/>
        <v>#NAME?</v>
      </c>
      <c r="J646" s="119" t="e">
        <f ca="1">IF(C646="","",MROUND([0]!CSVVLookUP(ROW(行数!A638),配列!$C$4,集計記録,7,1),"0:01"))</f>
        <v>#NAME?</v>
      </c>
      <c r="K646" s="92" t="e">
        <f ca="1">IF(C646="","",[0]!CSVVLookUP(ROW(行数!A638),配列!$C$4,集計記録,5,1))</f>
        <v>#NAME?</v>
      </c>
      <c r="L646" s="104" t="e">
        <f t="shared" ca="1" si="71"/>
        <v>#NAME?</v>
      </c>
      <c r="M646" s="120" t="e">
        <f t="shared" ca="1" si="65"/>
        <v>#NAME?</v>
      </c>
      <c r="N646" s="120" t="e">
        <f ca="1">IF([0]!CSVVLookUP(ROW(行数!A638),配列!$C$4,集計記録,6,1)=0,"",[0]!CSVVLookUP(ROW(行数!A638),配列!$C$4,集計記録,6,1))</f>
        <v>#NAME?</v>
      </c>
      <c r="O646" s="88" t="e">
        <f ca="1">IF(INDIRECT("M"&amp;ROW()-1)&lt;&gt;INDIRECT("M"&amp;ROW()),リスト!$I$5,"")</f>
        <v>#NAME?</v>
      </c>
      <c r="P646" s="88" t="e">
        <f ca="1">IF(INDIRECT("M"&amp;ROW())&lt;&gt;INDIRECT("M"&amp;ROW()+1),リスト!$I$6,"")</f>
        <v>#NAME?</v>
      </c>
    </row>
    <row r="647" spans="1:16" x14ac:dyDescent="0.2">
      <c r="A647" s="169" t="e">
        <f ca="1">IF(C647="","",ROW(行数!A639))</f>
        <v>#NAME?</v>
      </c>
      <c r="B647" s="168" t="e">
        <f t="shared" ca="1" si="66"/>
        <v>#NAME?</v>
      </c>
      <c r="C647" s="90" t="e">
        <f ca="1">[0]!CSVVLookUP(ROW(行数!A639),配列!$C$4,集計記録,3,1)</f>
        <v>#NAME?</v>
      </c>
      <c r="D647" s="90" t="e">
        <f ca="1">[0]!CSVVLookUP(ROW(行数!B639),配列!$C$4,集計記録,4,1)</f>
        <v>#NAME?</v>
      </c>
      <c r="E647" s="118" t="e">
        <f t="shared" ca="1" si="67"/>
        <v>#NAME?</v>
      </c>
      <c r="F647" s="118" t="e">
        <f t="shared" ca="1" si="68"/>
        <v>#NAME?</v>
      </c>
      <c r="G647" s="103" t="e">
        <f t="shared" ca="1" si="69"/>
        <v>#NAME?</v>
      </c>
      <c r="H647" s="104" t="e">
        <f ca="1">IF(C647="","",MROUND([0]!CSVVLookUP(ROW(行数!A639),配列!$C$4,集計記録,8,1),"0:01"))</f>
        <v>#NAME?</v>
      </c>
      <c r="I647" s="104" t="e">
        <f t="shared" ca="1" si="70"/>
        <v>#NAME?</v>
      </c>
      <c r="J647" s="119" t="e">
        <f ca="1">IF(C647="","",MROUND([0]!CSVVLookUP(ROW(行数!A639),配列!$C$4,集計記録,7,1),"0:01"))</f>
        <v>#NAME?</v>
      </c>
      <c r="K647" s="92" t="e">
        <f ca="1">IF(C647="","",[0]!CSVVLookUP(ROW(行数!A639),配列!$C$4,集計記録,5,1))</f>
        <v>#NAME?</v>
      </c>
      <c r="L647" s="104" t="e">
        <f t="shared" ca="1" si="71"/>
        <v>#NAME?</v>
      </c>
      <c r="M647" s="120" t="e">
        <f t="shared" ca="1" si="65"/>
        <v>#NAME?</v>
      </c>
      <c r="N647" s="120" t="e">
        <f ca="1">IF([0]!CSVVLookUP(ROW(行数!A639),配列!$C$4,集計記録,6,1)=0,"",[0]!CSVVLookUP(ROW(行数!A639),配列!$C$4,集計記録,6,1))</f>
        <v>#NAME?</v>
      </c>
      <c r="O647" s="88" t="e">
        <f ca="1">IF(INDIRECT("M"&amp;ROW()-1)&lt;&gt;INDIRECT("M"&amp;ROW()),リスト!$I$5,"")</f>
        <v>#NAME?</v>
      </c>
      <c r="P647" s="88" t="e">
        <f ca="1">IF(INDIRECT("M"&amp;ROW())&lt;&gt;INDIRECT("M"&amp;ROW()+1),リスト!$I$6,"")</f>
        <v>#NAME?</v>
      </c>
    </row>
    <row r="648" spans="1:16" x14ac:dyDescent="0.2">
      <c r="A648" s="169" t="e">
        <f ca="1">IF(C648="","",ROW(行数!A640))</f>
        <v>#NAME?</v>
      </c>
      <c r="B648" s="168" t="e">
        <f t="shared" ca="1" si="66"/>
        <v>#NAME?</v>
      </c>
      <c r="C648" s="90" t="e">
        <f ca="1">[0]!CSVVLookUP(ROW(行数!A640),配列!$C$4,集計記録,3,1)</f>
        <v>#NAME?</v>
      </c>
      <c r="D648" s="90" t="e">
        <f ca="1">[0]!CSVVLookUP(ROW(行数!B640),配列!$C$4,集計記録,4,1)</f>
        <v>#NAME?</v>
      </c>
      <c r="E648" s="118" t="e">
        <f t="shared" ca="1" si="67"/>
        <v>#NAME?</v>
      </c>
      <c r="F648" s="118" t="e">
        <f t="shared" ca="1" si="68"/>
        <v>#NAME?</v>
      </c>
      <c r="G648" s="103" t="e">
        <f t="shared" ca="1" si="69"/>
        <v>#NAME?</v>
      </c>
      <c r="H648" s="104" t="e">
        <f ca="1">IF(C648="","",MROUND([0]!CSVVLookUP(ROW(行数!A640),配列!$C$4,集計記録,8,1),"0:01"))</f>
        <v>#NAME?</v>
      </c>
      <c r="I648" s="104" t="e">
        <f t="shared" ca="1" si="70"/>
        <v>#NAME?</v>
      </c>
      <c r="J648" s="119" t="e">
        <f ca="1">IF(C648="","",MROUND([0]!CSVVLookUP(ROW(行数!A640),配列!$C$4,集計記録,7,1),"0:01"))</f>
        <v>#NAME?</v>
      </c>
      <c r="K648" s="92" t="e">
        <f ca="1">IF(C648="","",[0]!CSVVLookUP(ROW(行数!A640),配列!$C$4,集計記録,5,1))</f>
        <v>#NAME?</v>
      </c>
      <c r="L648" s="104" t="e">
        <f t="shared" ca="1" si="71"/>
        <v>#NAME?</v>
      </c>
      <c r="M648" s="120" t="e">
        <f t="shared" ca="1" si="65"/>
        <v>#NAME?</v>
      </c>
      <c r="N648" s="120" t="e">
        <f ca="1">IF([0]!CSVVLookUP(ROW(行数!A640),配列!$C$4,集計記録,6,1)=0,"",[0]!CSVVLookUP(ROW(行数!A640),配列!$C$4,集計記録,6,1))</f>
        <v>#NAME?</v>
      </c>
      <c r="O648" s="88" t="e">
        <f ca="1">IF(INDIRECT("M"&amp;ROW()-1)&lt;&gt;INDIRECT("M"&amp;ROW()),リスト!$I$5,"")</f>
        <v>#NAME?</v>
      </c>
      <c r="P648" s="88" t="e">
        <f ca="1">IF(INDIRECT("M"&amp;ROW())&lt;&gt;INDIRECT("M"&amp;ROW()+1),リスト!$I$6,"")</f>
        <v>#NAME?</v>
      </c>
    </row>
    <row r="649" spans="1:16" x14ac:dyDescent="0.2">
      <c r="A649" s="169" t="e">
        <f ca="1">IF(C649="","",ROW(行数!A641))</f>
        <v>#NAME?</v>
      </c>
      <c r="B649" s="168" t="e">
        <f t="shared" ca="1" si="66"/>
        <v>#NAME?</v>
      </c>
      <c r="C649" s="90" t="e">
        <f ca="1">[0]!CSVVLookUP(ROW(行数!A641),配列!$C$4,集計記録,3,1)</f>
        <v>#NAME?</v>
      </c>
      <c r="D649" s="90" t="e">
        <f ca="1">[0]!CSVVLookUP(ROW(行数!B641),配列!$C$4,集計記録,4,1)</f>
        <v>#NAME?</v>
      </c>
      <c r="E649" s="118" t="e">
        <f t="shared" ca="1" si="67"/>
        <v>#NAME?</v>
      </c>
      <c r="F649" s="118" t="e">
        <f t="shared" ca="1" si="68"/>
        <v>#NAME?</v>
      </c>
      <c r="G649" s="103" t="e">
        <f t="shared" ca="1" si="69"/>
        <v>#NAME?</v>
      </c>
      <c r="H649" s="104" t="e">
        <f ca="1">IF(C649="","",MROUND([0]!CSVVLookUP(ROW(行数!A641),配列!$C$4,集計記録,8,1),"0:01"))</f>
        <v>#NAME?</v>
      </c>
      <c r="I649" s="104" t="e">
        <f t="shared" ca="1" si="70"/>
        <v>#NAME?</v>
      </c>
      <c r="J649" s="119" t="e">
        <f ca="1">IF(C649="","",MROUND([0]!CSVVLookUP(ROW(行数!A641),配列!$C$4,集計記録,7,1),"0:01"))</f>
        <v>#NAME?</v>
      </c>
      <c r="K649" s="92" t="e">
        <f ca="1">IF(C649="","",[0]!CSVVLookUP(ROW(行数!A641),配列!$C$4,集計記録,5,1))</f>
        <v>#NAME?</v>
      </c>
      <c r="L649" s="104" t="e">
        <f t="shared" ca="1" si="71"/>
        <v>#NAME?</v>
      </c>
      <c r="M649" s="120" t="e">
        <f t="shared" ref="M649:M712" ca="1" si="72">IF(C649="","",VLOOKUP(C649,運転条件判定,13,1))</f>
        <v>#NAME?</v>
      </c>
      <c r="N649" s="120" t="e">
        <f ca="1">IF([0]!CSVVLookUP(ROW(行数!A641),配列!$C$4,集計記録,6,1)=0,"",[0]!CSVVLookUP(ROW(行数!A641),配列!$C$4,集計記録,6,1))</f>
        <v>#NAME?</v>
      </c>
      <c r="O649" s="88" t="e">
        <f ca="1">IF(INDIRECT("M"&amp;ROW()-1)&lt;&gt;INDIRECT("M"&amp;ROW()),リスト!$I$5,"")</f>
        <v>#NAME?</v>
      </c>
      <c r="P649" s="88" t="e">
        <f ca="1">IF(INDIRECT("M"&amp;ROW())&lt;&gt;INDIRECT("M"&amp;ROW()+1),リスト!$I$6,"")</f>
        <v>#NAME?</v>
      </c>
    </row>
    <row r="650" spans="1:16" x14ac:dyDescent="0.2">
      <c r="A650" s="169" t="e">
        <f ca="1">IF(C650="","",ROW(行数!A642))</f>
        <v>#NAME?</v>
      </c>
      <c r="B650" s="168" t="e">
        <f t="shared" ref="B650:B713" ca="1" si="73">IF(C650="","",VLOOKUP(C650,ユニット判定用,3))</f>
        <v>#NAME?</v>
      </c>
      <c r="C650" s="90" t="e">
        <f ca="1">[0]!CSVVLookUP(ROW(行数!A642),配列!$C$4,集計記録,3,1)</f>
        <v>#NAME?</v>
      </c>
      <c r="D650" s="90" t="e">
        <f ca="1">[0]!CSVVLookUP(ROW(行数!B642),配列!$C$4,集計記録,4,1)</f>
        <v>#NAME?</v>
      </c>
      <c r="E650" s="118" t="e">
        <f t="shared" ref="E650:E713" ca="1" si="74">IF(C650="","",D650-C650)</f>
        <v>#NAME?</v>
      </c>
      <c r="F650" s="118" t="e">
        <f t="shared" ref="F650:F713" ca="1" si="75">IF(C650="","",E650-H650-I650)</f>
        <v>#NAME?</v>
      </c>
      <c r="G650" s="103" t="e">
        <f t="shared" ref="G650:G713" ca="1" si="76">IF(C650="","",F650/E650)</f>
        <v>#NAME?</v>
      </c>
      <c r="H650" s="104" t="e">
        <f ca="1">IF(C650="","",MROUND([0]!CSVVLookUP(ROW(行数!A642),配列!$C$4,集計記録,8,1),"0:01"))</f>
        <v>#NAME?</v>
      </c>
      <c r="I650" s="104" t="e">
        <f t="shared" ref="I650:I713" ca="1" si="77">IF(C650="","",MROUND(J650-H650,"0:01"))</f>
        <v>#NAME?</v>
      </c>
      <c r="J650" s="119" t="e">
        <f ca="1">IF(C650="","",MROUND([0]!CSVVLookUP(ROW(行数!A642),配列!$C$4,集計記録,7,1),"0:01"))</f>
        <v>#NAME?</v>
      </c>
      <c r="K650" s="92" t="e">
        <f ca="1">IF(C650="","",[0]!CSVVLookUP(ROW(行数!A642),配列!$C$4,集計記録,5,1))</f>
        <v>#NAME?</v>
      </c>
      <c r="L650" s="104" t="e">
        <f t="shared" ref="L650:L713" ca="1" si="78">IF(C650="","",MROUND(E650/(K650+1),"00:01"))</f>
        <v>#NAME?</v>
      </c>
      <c r="M650" s="120" t="e">
        <f t="shared" ca="1" si="72"/>
        <v>#NAME?</v>
      </c>
      <c r="N650" s="120" t="e">
        <f ca="1">IF([0]!CSVVLookUP(ROW(行数!A642),配列!$C$4,集計記録,6,1)=0,"",[0]!CSVVLookUP(ROW(行数!A642),配列!$C$4,集計記録,6,1))</f>
        <v>#NAME?</v>
      </c>
      <c r="O650" s="88" t="e">
        <f ca="1">IF(INDIRECT("M"&amp;ROW()-1)&lt;&gt;INDIRECT("M"&amp;ROW()),リスト!$I$5,"")</f>
        <v>#NAME?</v>
      </c>
      <c r="P650" s="88" t="e">
        <f ca="1">IF(INDIRECT("M"&amp;ROW())&lt;&gt;INDIRECT("M"&amp;ROW()+1),リスト!$I$6,"")</f>
        <v>#NAME?</v>
      </c>
    </row>
    <row r="651" spans="1:16" x14ac:dyDescent="0.2">
      <c r="A651" s="169" t="e">
        <f ca="1">IF(C651="","",ROW(行数!A643))</f>
        <v>#NAME?</v>
      </c>
      <c r="B651" s="168" t="e">
        <f t="shared" ca="1" si="73"/>
        <v>#NAME?</v>
      </c>
      <c r="C651" s="90" t="e">
        <f ca="1">[0]!CSVVLookUP(ROW(行数!A643),配列!$C$4,集計記録,3,1)</f>
        <v>#NAME?</v>
      </c>
      <c r="D651" s="90" t="e">
        <f ca="1">[0]!CSVVLookUP(ROW(行数!B643),配列!$C$4,集計記録,4,1)</f>
        <v>#NAME?</v>
      </c>
      <c r="E651" s="118" t="e">
        <f t="shared" ca="1" si="74"/>
        <v>#NAME?</v>
      </c>
      <c r="F651" s="118" t="e">
        <f t="shared" ca="1" si="75"/>
        <v>#NAME?</v>
      </c>
      <c r="G651" s="103" t="e">
        <f t="shared" ca="1" si="76"/>
        <v>#NAME?</v>
      </c>
      <c r="H651" s="104" t="e">
        <f ca="1">IF(C651="","",MROUND([0]!CSVVLookUP(ROW(行数!A643),配列!$C$4,集計記録,8,1),"0:01"))</f>
        <v>#NAME?</v>
      </c>
      <c r="I651" s="104" t="e">
        <f t="shared" ca="1" si="77"/>
        <v>#NAME?</v>
      </c>
      <c r="J651" s="119" t="e">
        <f ca="1">IF(C651="","",MROUND([0]!CSVVLookUP(ROW(行数!A643),配列!$C$4,集計記録,7,1),"0:01"))</f>
        <v>#NAME?</v>
      </c>
      <c r="K651" s="92" t="e">
        <f ca="1">IF(C651="","",[0]!CSVVLookUP(ROW(行数!A643),配列!$C$4,集計記録,5,1))</f>
        <v>#NAME?</v>
      </c>
      <c r="L651" s="104" t="e">
        <f t="shared" ca="1" si="78"/>
        <v>#NAME?</v>
      </c>
      <c r="M651" s="120" t="e">
        <f t="shared" ca="1" si="72"/>
        <v>#NAME?</v>
      </c>
      <c r="N651" s="120" t="e">
        <f ca="1">IF([0]!CSVVLookUP(ROW(行数!A643),配列!$C$4,集計記録,6,1)=0,"",[0]!CSVVLookUP(ROW(行数!A643),配列!$C$4,集計記録,6,1))</f>
        <v>#NAME?</v>
      </c>
      <c r="O651" s="88" t="e">
        <f ca="1">IF(INDIRECT("M"&amp;ROW()-1)&lt;&gt;INDIRECT("M"&amp;ROW()),リスト!$I$5,"")</f>
        <v>#NAME?</v>
      </c>
      <c r="P651" s="88" t="e">
        <f ca="1">IF(INDIRECT("M"&amp;ROW())&lt;&gt;INDIRECT("M"&amp;ROW()+1),リスト!$I$6,"")</f>
        <v>#NAME?</v>
      </c>
    </row>
    <row r="652" spans="1:16" x14ac:dyDescent="0.2">
      <c r="A652" s="169" t="e">
        <f ca="1">IF(C652="","",ROW(行数!A644))</f>
        <v>#NAME?</v>
      </c>
      <c r="B652" s="168" t="e">
        <f t="shared" ca="1" si="73"/>
        <v>#NAME?</v>
      </c>
      <c r="C652" s="90" t="e">
        <f ca="1">[0]!CSVVLookUP(ROW(行数!A644),配列!$C$4,集計記録,3,1)</f>
        <v>#NAME?</v>
      </c>
      <c r="D652" s="90" t="e">
        <f ca="1">[0]!CSVVLookUP(ROW(行数!B644),配列!$C$4,集計記録,4,1)</f>
        <v>#NAME?</v>
      </c>
      <c r="E652" s="118" t="e">
        <f t="shared" ca="1" si="74"/>
        <v>#NAME?</v>
      </c>
      <c r="F652" s="118" t="e">
        <f t="shared" ca="1" si="75"/>
        <v>#NAME?</v>
      </c>
      <c r="G652" s="103" t="e">
        <f t="shared" ca="1" si="76"/>
        <v>#NAME?</v>
      </c>
      <c r="H652" s="104" t="e">
        <f ca="1">IF(C652="","",MROUND([0]!CSVVLookUP(ROW(行数!A644),配列!$C$4,集計記録,8,1),"0:01"))</f>
        <v>#NAME?</v>
      </c>
      <c r="I652" s="104" t="e">
        <f t="shared" ca="1" si="77"/>
        <v>#NAME?</v>
      </c>
      <c r="J652" s="119" t="e">
        <f ca="1">IF(C652="","",MROUND([0]!CSVVLookUP(ROW(行数!A644),配列!$C$4,集計記録,7,1),"0:01"))</f>
        <v>#NAME?</v>
      </c>
      <c r="K652" s="92" t="e">
        <f ca="1">IF(C652="","",[0]!CSVVLookUP(ROW(行数!A644),配列!$C$4,集計記録,5,1))</f>
        <v>#NAME?</v>
      </c>
      <c r="L652" s="104" t="e">
        <f t="shared" ca="1" si="78"/>
        <v>#NAME?</v>
      </c>
      <c r="M652" s="120" t="e">
        <f t="shared" ca="1" si="72"/>
        <v>#NAME?</v>
      </c>
      <c r="N652" s="120" t="e">
        <f ca="1">IF([0]!CSVVLookUP(ROW(行数!A644),配列!$C$4,集計記録,6,1)=0,"",[0]!CSVVLookUP(ROW(行数!A644),配列!$C$4,集計記録,6,1))</f>
        <v>#NAME?</v>
      </c>
      <c r="O652" s="88" t="e">
        <f ca="1">IF(INDIRECT("M"&amp;ROW()-1)&lt;&gt;INDIRECT("M"&amp;ROW()),リスト!$I$5,"")</f>
        <v>#NAME?</v>
      </c>
      <c r="P652" s="88" t="e">
        <f ca="1">IF(INDIRECT("M"&amp;ROW())&lt;&gt;INDIRECT("M"&amp;ROW()+1),リスト!$I$6,"")</f>
        <v>#NAME?</v>
      </c>
    </row>
    <row r="653" spans="1:16" x14ac:dyDescent="0.2">
      <c r="A653" s="169" t="e">
        <f ca="1">IF(C653="","",ROW(行数!A645))</f>
        <v>#NAME?</v>
      </c>
      <c r="B653" s="168" t="e">
        <f t="shared" ca="1" si="73"/>
        <v>#NAME?</v>
      </c>
      <c r="C653" s="90" t="e">
        <f ca="1">[0]!CSVVLookUP(ROW(行数!A645),配列!$C$4,集計記録,3,1)</f>
        <v>#NAME?</v>
      </c>
      <c r="D653" s="90" t="e">
        <f ca="1">[0]!CSVVLookUP(ROW(行数!B645),配列!$C$4,集計記録,4,1)</f>
        <v>#NAME?</v>
      </c>
      <c r="E653" s="118" t="e">
        <f t="shared" ca="1" si="74"/>
        <v>#NAME?</v>
      </c>
      <c r="F653" s="118" t="e">
        <f t="shared" ca="1" si="75"/>
        <v>#NAME?</v>
      </c>
      <c r="G653" s="103" t="e">
        <f t="shared" ca="1" si="76"/>
        <v>#NAME?</v>
      </c>
      <c r="H653" s="104" t="e">
        <f ca="1">IF(C653="","",MROUND([0]!CSVVLookUP(ROW(行数!A645),配列!$C$4,集計記録,8,1),"0:01"))</f>
        <v>#NAME?</v>
      </c>
      <c r="I653" s="104" t="e">
        <f t="shared" ca="1" si="77"/>
        <v>#NAME?</v>
      </c>
      <c r="J653" s="119" t="e">
        <f ca="1">IF(C653="","",MROUND([0]!CSVVLookUP(ROW(行数!A645),配列!$C$4,集計記録,7,1),"0:01"))</f>
        <v>#NAME?</v>
      </c>
      <c r="K653" s="92" t="e">
        <f ca="1">IF(C653="","",[0]!CSVVLookUP(ROW(行数!A645),配列!$C$4,集計記録,5,1))</f>
        <v>#NAME?</v>
      </c>
      <c r="L653" s="104" t="e">
        <f t="shared" ca="1" si="78"/>
        <v>#NAME?</v>
      </c>
      <c r="M653" s="120" t="e">
        <f t="shared" ca="1" si="72"/>
        <v>#NAME?</v>
      </c>
      <c r="N653" s="120" t="e">
        <f ca="1">IF([0]!CSVVLookUP(ROW(行数!A645),配列!$C$4,集計記録,6,1)=0,"",[0]!CSVVLookUP(ROW(行数!A645),配列!$C$4,集計記録,6,1))</f>
        <v>#NAME?</v>
      </c>
      <c r="O653" s="88" t="e">
        <f ca="1">IF(INDIRECT("M"&amp;ROW()-1)&lt;&gt;INDIRECT("M"&amp;ROW()),リスト!$I$5,"")</f>
        <v>#NAME?</v>
      </c>
      <c r="P653" s="88" t="e">
        <f ca="1">IF(INDIRECT("M"&amp;ROW())&lt;&gt;INDIRECT("M"&amp;ROW()+1),リスト!$I$6,"")</f>
        <v>#NAME?</v>
      </c>
    </row>
    <row r="654" spans="1:16" x14ac:dyDescent="0.2">
      <c r="A654" s="169" t="e">
        <f ca="1">IF(C654="","",ROW(行数!A646))</f>
        <v>#NAME?</v>
      </c>
      <c r="B654" s="168" t="e">
        <f t="shared" ca="1" si="73"/>
        <v>#NAME?</v>
      </c>
      <c r="C654" s="90" t="e">
        <f ca="1">[0]!CSVVLookUP(ROW(行数!A646),配列!$C$4,集計記録,3,1)</f>
        <v>#NAME?</v>
      </c>
      <c r="D654" s="90" t="e">
        <f ca="1">[0]!CSVVLookUP(ROW(行数!B646),配列!$C$4,集計記録,4,1)</f>
        <v>#NAME?</v>
      </c>
      <c r="E654" s="118" t="e">
        <f t="shared" ca="1" si="74"/>
        <v>#NAME?</v>
      </c>
      <c r="F654" s="118" t="e">
        <f t="shared" ca="1" si="75"/>
        <v>#NAME?</v>
      </c>
      <c r="G654" s="103" t="e">
        <f t="shared" ca="1" si="76"/>
        <v>#NAME?</v>
      </c>
      <c r="H654" s="104" t="e">
        <f ca="1">IF(C654="","",MROUND([0]!CSVVLookUP(ROW(行数!A646),配列!$C$4,集計記録,8,1),"0:01"))</f>
        <v>#NAME?</v>
      </c>
      <c r="I654" s="104" t="e">
        <f t="shared" ca="1" si="77"/>
        <v>#NAME?</v>
      </c>
      <c r="J654" s="119" t="e">
        <f ca="1">IF(C654="","",MROUND([0]!CSVVLookUP(ROW(行数!A646),配列!$C$4,集計記録,7,1),"0:01"))</f>
        <v>#NAME?</v>
      </c>
      <c r="K654" s="92" t="e">
        <f ca="1">IF(C654="","",[0]!CSVVLookUP(ROW(行数!A646),配列!$C$4,集計記録,5,1))</f>
        <v>#NAME?</v>
      </c>
      <c r="L654" s="104" t="e">
        <f t="shared" ca="1" si="78"/>
        <v>#NAME?</v>
      </c>
      <c r="M654" s="120" t="e">
        <f t="shared" ca="1" si="72"/>
        <v>#NAME?</v>
      </c>
      <c r="N654" s="120" t="e">
        <f ca="1">IF([0]!CSVVLookUP(ROW(行数!A646),配列!$C$4,集計記録,6,1)=0,"",[0]!CSVVLookUP(ROW(行数!A646),配列!$C$4,集計記録,6,1))</f>
        <v>#NAME?</v>
      </c>
      <c r="O654" s="88" t="e">
        <f ca="1">IF(INDIRECT("M"&amp;ROW()-1)&lt;&gt;INDIRECT("M"&amp;ROW()),リスト!$I$5,"")</f>
        <v>#NAME?</v>
      </c>
      <c r="P654" s="88" t="e">
        <f ca="1">IF(INDIRECT("M"&amp;ROW())&lt;&gt;INDIRECT("M"&amp;ROW()+1),リスト!$I$6,"")</f>
        <v>#NAME?</v>
      </c>
    </row>
    <row r="655" spans="1:16" x14ac:dyDescent="0.2">
      <c r="A655" s="169" t="e">
        <f ca="1">IF(C655="","",ROW(行数!A647))</f>
        <v>#NAME?</v>
      </c>
      <c r="B655" s="168" t="e">
        <f t="shared" ca="1" si="73"/>
        <v>#NAME?</v>
      </c>
      <c r="C655" s="90" t="e">
        <f ca="1">[0]!CSVVLookUP(ROW(行数!A647),配列!$C$4,集計記録,3,1)</f>
        <v>#NAME?</v>
      </c>
      <c r="D655" s="90" t="e">
        <f ca="1">[0]!CSVVLookUP(ROW(行数!B647),配列!$C$4,集計記録,4,1)</f>
        <v>#NAME?</v>
      </c>
      <c r="E655" s="118" t="e">
        <f t="shared" ca="1" si="74"/>
        <v>#NAME?</v>
      </c>
      <c r="F655" s="118" t="e">
        <f t="shared" ca="1" si="75"/>
        <v>#NAME?</v>
      </c>
      <c r="G655" s="103" t="e">
        <f t="shared" ca="1" si="76"/>
        <v>#NAME?</v>
      </c>
      <c r="H655" s="104" t="e">
        <f ca="1">IF(C655="","",MROUND([0]!CSVVLookUP(ROW(行数!A647),配列!$C$4,集計記録,8,1),"0:01"))</f>
        <v>#NAME?</v>
      </c>
      <c r="I655" s="104" t="e">
        <f t="shared" ca="1" si="77"/>
        <v>#NAME?</v>
      </c>
      <c r="J655" s="119" t="e">
        <f ca="1">IF(C655="","",MROUND([0]!CSVVLookUP(ROW(行数!A647),配列!$C$4,集計記録,7,1),"0:01"))</f>
        <v>#NAME?</v>
      </c>
      <c r="K655" s="92" t="e">
        <f ca="1">IF(C655="","",[0]!CSVVLookUP(ROW(行数!A647),配列!$C$4,集計記録,5,1))</f>
        <v>#NAME?</v>
      </c>
      <c r="L655" s="104" t="e">
        <f t="shared" ca="1" si="78"/>
        <v>#NAME?</v>
      </c>
      <c r="M655" s="120" t="e">
        <f t="shared" ca="1" si="72"/>
        <v>#NAME?</v>
      </c>
      <c r="N655" s="120" t="e">
        <f ca="1">IF([0]!CSVVLookUP(ROW(行数!A647),配列!$C$4,集計記録,6,1)=0,"",[0]!CSVVLookUP(ROW(行数!A647),配列!$C$4,集計記録,6,1))</f>
        <v>#NAME?</v>
      </c>
      <c r="O655" s="88" t="e">
        <f ca="1">IF(INDIRECT("M"&amp;ROW()-1)&lt;&gt;INDIRECT("M"&amp;ROW()),リスト!$I$5,"")</f>
        <v>#NAME?</v>
      </c>
      <c r="P655" s="88" t="e">
        <f ca="1">IF(INDIRECT("M"&amp;ROW())&lt;&gt;INDIRECT("M"&amp;ROW()+1),リスト!$I$6,"")</f>
        <v>#NAME?</v>
      </c>
    </row>
    <row r="656" spans="1:16" x14ac:dyDescent="0.2">
      <c r="A656" s="169" t="e">
        <f ca="1">IF(C656="","",ROW(行数!A648))</f>
        <v>#NAME?</v>
      </c>
      <c r="B656" s="168" t="e">
        <f t="shared" ca="1" si="73"/>
        <v>#NAME?</v>
      </c>
      <c r="C656" s="90" t="e">
        <f ca="1">[0]!CSVVLookUP(ROW(行数!A648),配列!$C$4,集計記録,3,1)</f>
        <v>#NAME?</v>
      </c>
      <c r="D656" s="90" t="e">
        <f ca="1">[0]!CSVVLookUP(ROW(行数!B648),配列!$C$4,集計記録,4,1)</f>
        <v>#NAME?</v>
      </c>
      <c r="E656" s="118" t="e">
        <f t="shared" ca="1" si="74"/>
        <v>#NAME?</v>
      </c>
      <c r="F656" s="118" t="e">
        <f t="shared" ca="1" si="75"/>
        <v>#NAME?</v>
      </c>
      <c r="G656" s="103" t="e">
        <f t="shared" ca="1" si="76"/>
        <v>#NAME?</v>
      </c>
      <c r="H656" s="104" t="e">
        <f ca="1">IF(C656="","",MROUND([0]!CSVVLookUP(ROW(行数!A648),配列!$C$4,集計記録,8,1),"0:01"))</f>
        <v>#NAME?</v>
      </c>
      <c r="I656" s="104" t="e">
        <f t="shared" ca="1" si="77"/>
        <v>#NAME?</v>
      </c>
      <c r="J656" s="119" t="e">
        <f ca="1">IF(C656="","",MROUND([0]!CSVVLookUP(ROW(行数!A648),配列!$C$4,集計記録,7,1),"0:01"))</f>
        <v>#NAME?</v>
      </c>
      <c r="K656" s="92" t="e">
        <f ca="1">IF(C656="","",[0]!CSVVLookUP(ROW(行数!A648),配列!$C$4,集計記録,5,1))</f>
        <v>#NAME?</v>
      </c>
      <c r="L656" s="104" t="e">
        <f t="shared" ca="1" si="78"/>
        <v>#NAME?</v>
      </c>
      <c r="M656" s="120" t="e">
        <f t="shared" ca="1" si="72"/>
        <v>#NAME?</v>
      </c>
      <c r="N656" s="120" t="e">
        <f ca="1">IF([0]!CSVVLookUP(ROW(行数!A648),配列!$C$4,集計記録,6,1)=0,"",[0]!CSVVLookUP(ROW(行数!A648),配列!$C$4,集計記録,6,1))</f>
        <v>#NAME?</v>
      </c>
      <c r="O656" s="88" t="e">
        <f ca="1">IF(INDIRECT("M"&amp;ROW()-1)&lt;&gt;INDIRECT("M"&amp;ROW()),リスト!$I$5,"")</f>
        <v>#NAME?</v>
      </c>
      <c r="P656" s="88" t="e">
        <f ca="1">IF(INDIRECT("M"&amp;ROW())&lt;&gt;INDIRECT("M"&amp;ROW()+1),リスト!$I$6,"")</f>
        <v>#NAME?</v>
      </c>
    </row>
    <row r="657" spans="1:16" x14ac:dyDescent="0.2">
      <c r="A657" s="169" t="e">
        <f ca="1">IF(C657="","",ROW(行数!A649))</f>
        <v>#NAME?</v>
      </c>
      <c r="B657" s="168" t="e">
        <f t="shared" ca="1" si="73"/>
        <v>#NAME?</v>
      </c>
      <c r="C657" s="90" t="e">
        <f ca="1">[0]!CSVVLookUP(ROW(行数!A649),配列!$C$4,集計記録,3,1)</f>
        <v>#NAME?</v>
      </c>
      <c r="D657" s="90" t="e">
        <f ca="1">[0]!CSVVLookUP(ROW(行数!B649),配列!$C$4,集計記録,4,1)</f>
        <v>#NAME?</v>
      </c>
      <c r="E657" s="118" t="e">
        <f t="shared" ca="1" si="74"/>
        <v>#NAME?</v>
      </c>
      <c r="F657" s="118" t="e">
        <f t="shared" ca="1" si="75"/>
        <v>#NAME?</v>
      </c>
      <c r="G657" s="103" t="e">
        <f t="shared" ca="1" si="76"/>
        <v>#NAME?</v>
      </c>
      <c r="H657" s="104" t="e">
        <f ca="1">IF(C657="","",MROUND([0]!CSVVLookUP(ROW(行数!A649),配列!$C$4,集計記録,8,1),"0:01"))</f>
        <v>#NAME?</v>
      </c>
      <c r="I657" s="104" t="e">
        <f t="shared" ca="1" si="77"/>
        <v>#NAME?</v>
      </c>
      <c r="J657" s="119" t="e">
        <f ca="1">IF(C657="","",MROUND([0]!CSVVLookUP(ROW(行数!A649),配列!$C$4,集計記録,7,1),"0:01"))</f>
        <v>#NAME?</v>
      </c>
      <c r="K657" s="92" t="e">
        <f ca="1">IF(C657="","",[0]!CSVVLookUP(ROW(行数!A649),配列!$C$4,集計記録,5,1))</f>
        <v>#NAME?</v>
      </c>
      <c r="L657" s="104" t="e">
        <f t="shared" ca="1" si="78"/>
        <v>#NAME?</v>
      </c>
      <c r="M657" s="120" t="e">
        <f t="shared" ca="1" si="72"/>
        <v>#NAME?</v>
      </c>
      <c r="N657" s="120" t="e">
        <f ca="1">IF([0]!CSVVLookUP(ROW(行数!A649),配列!$C$4,集計記録,6,1)=0,"",[0]!CSVVLookUP(ROW(行数!A649),配列!$C$4,集計記録,6,1))</f>
        <v>#NAME?</v>
      </c>
      <c r="O657" s="88" t="e">
        <f ca="1">IF(INDIRECT("M"&amp;ROW()-1)&lt;&gt;INDIRECT("M"&amp;ROW()),リスト!$I$5,"")</f>
        <v>#NAME?</v>
      </c>
      <c r="P657" s="88" t="e">
        <f ca="1">IF(INDIRECT("M"&amp;ROW())&lt;&gt;INDIRECT("M"&amp;ROW()+1),リスト!$I$6,"")</f>
        <v>#NAME?</v>
      </c>
    </row>
    <row r="658" spans="1:16" x14ac:dyDescent="0.2">
      <c r="A658" s="169" t="e">
        <f ca="1">IF(C658="","",ROW(行数!A650))</f>
        <v>#NAME?</v>
      </c>
      <c r="B658" s="168" t="e">
        <f t="shared" ca="1" si="73"/>
        <v>#NAME?</v>
      </c>
      <c r="C658" s="90" t="e">
        <f ca="1">[0]!CSVVLookUP(ROW(行数!A650),配列!$C$4,集計記録,3,1)</f>
        <v>#NAME?</v>
      </c>
      <c r="D658" s="90" t="e">
        <f ca="1">[0]!CSVVLookUP(ROW(行数!B650),配列!$C$4,集計記録,4,1)</f>
        <v>#NAME?</v>
      </c>
      <c r="E658" s="118" t="e">
        <f t="shared" ca="1" si="74"/>
        <v>#NAME?</v>
      </c>
      <c r="F658" s="118" t="e">
        <f t="shared" ca="1" si="75"/>
        <v>#NAME?</v>
      </c>
      <c r="G658" s="103" t="e">
        <f t="shared" ca="1" si="76"/>
        <v>#NAME?</v>
      </c>
      <c r="H658" s="104" t="e">
        <f ca="1">IF(C658="","",MROUND([0]!CSVVLookUP(ROW(行数!A650),配列!$C$4,集計記録,8,1),"0:01"))</f>
        <v>#NAME?</v>
      </c>
      <c r="I658" s="104" t="e">
        <f t="shared" ca="1" si="77"/>
        <v>#NAME?</v>
      </c>
      <c r="J658" s="119" t="e">
        <f ca="1">IF(C658="","",MROUND([0]!CSVVLookUP(ROW(行数!A650),配列!$C$4,集計記録,7,1),"0:01"))</f>
        <v>#NAME?</v>
      </c>
      <c r="K658" s="92" t="e">
        <f ca="1">IF(C658="","",[0]!CSVVLookUP(ROW(行数!A650),配列!$C$4,集計記録,5,1))</f>
        <v>#NAME?</v>
      </c>
      <c r="L658" s="104" t="e">
        <f t="shared" ca="1" si="78"/>
        <v>#NAME?</v>
      </c>
      <c r="M658" s="120" t="e">
        <f t="shared" ca="1" si="72"/>
        <v>#NAME?</v>
      </c>
      <c r="N658" s="120" t="e">
        <f ca="1">IF([0]!CSVVLookUP(ROW(行数!A650),配列!$C$4,集計記録,6,1)=0,"",[0]!CSVVLookUP(ROW(行数!A650),配列!$C$4,集計記録,6,1))</f>
        <v>#NAME?</v>
      </c>
      <c r="O658" s="88" t="e">
        <f ca="1">IF(INDIRECT("M"&amp;ROW()-1)&lt;&gt;INDIRECT("M"&amp;ROW()),リスト!$I$5,"")</f>
        <v>#NAME?</v>
      </c>
      <c r="P658" s="88" t="e">
        <f ca="1">IF(INDIRECT("M"&amp;ROW())&lt;&gt;INDIRECT("M"&amp;ROW()+1),リスト!$I$6,"")</f>
        <v>#NAME?</v>
      </c>
    </row>
    <row r="659" spans="1:16" x14ac:dyDescent="0.2">
      <c r="A659" s="169" t="e">
        <f ca="1">IF(C659="","",ROW(行数!A651))</f>
        <v>#NAME?</v>
      </c>
      <c r="B659" s="168" t="e">
        <f t="shared" ca="1" si="73"/>
        <v>#NAME?</v>
      </c>
      <c r="C659" s="90" t="e">
        <f ca="1">[0]!CSVVLookUP(ROW(行数!A651),配列!$C$4,集計記録,3,1)</f>
        <v>#NAME?</v>
      </c>
      <c r="D659" s="90" t="e">
        <f ca="1">[0]!CSVVLookUP(ROW(行数!B651),配列!$C$4,集計記録,4,1)</f>
        <v>#NAME?</v>
      </c>
      <c r="E659" s="118" t="e">
        <f t="shared" ca="1" si="74"/>
        <v>#NAME?</v>
      </c>
      <c r="F659" s="118" t="e">
        <f t="shared" ca="1" si="75"/>
        <v>#NAME?</v>
      </c>
      <c r="G659" s="103" t="e">
        <f t="shared" ca="1" si="76"/>
        <v>#NAME?</v>
      </c>
      <c r="H659" s="104" t="e">
        <f ca="1">IF(C659="","",MROUND([0]!CSVVLookUP(ROW(行数!A651),配列!$C$4,集計記録,8,1),"0:01"))</f>
        <v>#NAME?</v>
      </c>
      <c r="I659" s="104" t="e">
        <f t="shared" ca="1" si="77"/>
        <v>#NAME?</v>
      </c>
      <c r="J659" s="119" t="e">
        <f ca="1">IF(C659="","",MROUND([0]!CSVVLookUP(ROW(行数!A651),配列!$C$4,集計記録,7,1),"0:01"))</f>
        <v>#NAME?</v>
      </c>
      <c r="K659" s="92" t="e">
        <f ca="1">IF(C659="","",[0]!CSVVLookUP(ROW(行数!A651),配列!$C$4,集計記録,5,1))</f>
        <v>#NAME?</v>
      </c>
      <c r="L659" s="104" t="e">
        <f t="shared" ca="1" si="78"/>
        <v>#NAME?</v>
      </c>
      <c r="M659" s="120" t="e">
        <f t="shared" ca="1" si="72"/>
        <v>#NAME?</v>
      </c>
      <c r="N659" s="120" t="e">
        <f ca="1">IF([0]!CSVVLookUP(ROW(行数!A651),配列!$C$4,集計記録,6,1)=0,"",[0]!CSVVLookUP(ROW(行数!A651),配列!$C$4,集計記録,6,1))</f>
        <v>#NAME?</v>
      </c>
      <c r="O659" s="88" t="e">
        <f ca="1">IF(INDIRECT("M"&amp;ROW()-1)&lt;&gt;INDIRECT("M"&amp;ROW()),リスト!$I$5,"")</f>
        <v>#NAME?</v>
      </c>
      <c r="P659" s="88" t="e">
        <f ca="1">IF(INDIRECT("M"&amp;ROW())&lt;&gt;INDIRECT("M"&amp;ROW()+1),リスト!$I$6,"")</f>
        <v>#NAME?</v>
      </c>
    </row>
    <row r="660" spans="1:16" x14ac:dyDescent="0.2">
      <c r="A660" s="169" t="e">
        <f ca="1">IF(C660="","",ROW(行数!A652))</f>
        <v>#NAME?</v>
      </c>
      <c r="B660" s="168" t="e">
        <f t="shared" ca="1" si="73"/>
        <v>#NAME?</v>
      </c>
      <c r="C660" s="90" t="e">
        <f ca="1">[0]!CSVVLookUP(ROW(行数!A652),配列!$C$4,集計記録,3,1)</f>
        <v>#NAME?</v>
      </c>
      <c r="D660" s="90" t="e">
        <f ca="1">[0]!CSVVLookUP(ROW(行数!B652),配列!$C$4,集計記録,4,1)</f>
        <v>#NAME?</v>
      </c>
      <c r="E660" s="118" t="e">
        <f t="shared" ca="1" si="74"/>
        <v>#NAME?</v>
      </c>
      <c r="F660" s="118" t="e">
        <f t="shared" ca="1" si="75"/>
        <v>#NAME?</v>
      </c>
      <c r="G660" s="103" t="e">
        <f t="shared" ca="1" si="76"/>
        <v>#NAME?</v>
      </c>
      <c r="H660" s="104" t="e">
        <f ca="1">IF(C660="","",MROUND([0]!CSVVLookUP(ROW(行数!A652),配列!$C$4,集計記録,8,1),"0:01"))</f>
        <v>#NAME?</v>
      </c>
      <c r="I660" s="104" t="e">
        <f t="shared" ca="1" si="77"/>
        <v>#NAME?</v>
      </c>
      <c r="J660" s="119" t="e">
        <f ca="1">IF(C660="","",MROUND([0]!CSVVLookUP(ROW(行数!A652),配列!$C$4,集計記録,7,1),"0:01"))</f>
        <v>#NAME?</v>
      </c>
      <c r="K660" s="92" t="e">
        <f ca="1">IF(C660="","",[0]!CSVVLookUP(ROW(行数!A652),配列!$C$4,集計記録,5,1))</f>
        <v>#NAME?</v>
      </c>
      <c r="L660" s="104" t="e">
        <f t="shared" ca="1" si="78"/>
        <v>#NAME?</v>
      </c>
      <c r="M660" s="120" t="e">
        <f t="shared" ca="1" si="72"/>
        <v>#NAME?</v>
      </c>
      <c r="N660" s="120" t="e">
        <f ca="1">IF([0]!CSVVLookUP(ROW(行数!A652),配列!$C$4,集計記録,6,1)=0,"",[0]!CSVVLookUP(ROW(行数!A652),配列!$C$4,集計記録,6,1))</f>
        <v>#NAME?</v>
      </c>
      <c r="O660" s="88" t="e">
        <f ca="1">IF(INDIRECT("M"&amp;ROW()-1)&lt;&gt;INDIRECT("M"&amp;ROW()),リスト!$I$5,"")</f>
        <v>#NAME?</v>
      </c>
      <c r="P660" s="88" t="e">
        <f ca="1">IF(INDIRECT("M"&amp;ROW())&lt;&gt;INDIRECT("M"&amp;ROW()+1),リスト!$I$6,"")</f>
        <v>#NAME?</v>
      </c>
    </row>
    <row r="661" spans="1:16" x14ac:dyDescent="0.2">
      <c r="A661" s="169" t="e">
        <f ca="1">IF(C661="","",ROW(行数!A653))</f>
        <v>#NAME?</v>
      </c>
      <c r="B661" s="168" t="e">
        <f t="shared" ca="1" si="73"/>
        <v>#NAME?</v>
      </c>
      <c r="C661" s="90" t="e">
        <f ca="1">[0]!CSVVLookUP(ROW(行数!A653),配列!$C$4,集計記録,3,1)</f>
        <v>#NAME?</v>
      </c>
      <c r="D661" s="90" t="e">
        <f ca="1">[0]!CSVVLookUP(ROW(行数!B653),配列!$C$4,集計記録,4,1)</f>
        <v>#NAME?</v>
      </c>
      <c r="E661" s="118" t="e">
        <f t="shared" ca="1" si="74"/>
        <v>#NAME?</v>
      </c>
      <c r="F661" s="118" t="e">
        <f t="shared" ca="1" si="75"/>
        <v>#NAME?</v>
      </c>
      <c r="G661" s="103" t="e">
        <f t="shared" ca="1" si="76"/>
        <v>#NAME?</v>
      </c>
      <c r="H661" s="104" t="e">
        <f ca="1">IF(C661="","",MROUND([0]!CSVVLookUP(ROW(行数!A653),配列!$C$4,集計記録,8,1),"0:01"))</f>
        <v>#NAME?</v>
      </c>
      <c r="I661" s="104" t="e">
        <f t="shared" ca="1" si="77"/>
        <v>#NAME?</v>
      </c>
      <c r="J661" s="119" t="e">
        <f ca="1">IF(C661="","",MROUND([0]!CSVVLookUP(ROW(行数!A653),配列!$C$4,集計記録,7,1),"0:01"))</f>
        <v>#NAME?</v>
      </c>
      <c r="K661" s="92" t="e">
        <f ca="1">IF(C661="","",[0]!CSVVLookUP(ROW(行数!A653),配列!$C$4,集計記録,5,1))</f>
        <v>#NAME?</v>
      </c>
      <c r="L661" s="104" t="e">
        <f t="shared" ca="1" si="78"/>
        <v>#NAME?</v>
      </c>
      <c r="M661" s="120" t="e">
        <f t="shared" ca="1" si="72"/>
        <v>#NAME?</v>
      </c>
      <c r="N661" s="120" t="e">
        <f ca="1">IF([0]!CSVVLookUP(ROW(行数!A653),配列!$C$4,集計記録,6,1)=0,"",[0]!CSVVLookUP(ROW(行数!A653),配列!$C$4,集計記録,6,1))</f>
        <v>#NAME?</v>
      </c>
      <c r="O661" s="88" t="e">
        <f ca="1">IF(INDIRECT("M"&amp;ROW()-1)&lt;&gt;INDIRECT("M"&amp;ROW()),リスト!$I$5,"")</f>
        <v>#NAME?</v>
      </c>
      <c r="P661" s="88" t="e">
        <f ca="1">IF(INDIRECT("M"&amp;ROW())&lt;&gt;INDIRECT("M"&amp;ROW()+1),リスト!$I$6,"")</f>
        <v>#NAME?</v>
      </c>
    </row>
    <row r="662" spans="1:16" x14ac:dyDescent="0.2">
      <c r="A662" s="169" t="e">
        <f ca="1">IF(C662="","",ROW(行数!A654))</f>
        <v>#NAME?</v>
      </c>
      <c r="B662" s="168" t="e">
        <f t="shared" ca="1" si="73"/>
        <v>#NAME?</v>
      </c>
      <c r="C662" s="90" t="e">
        <f ca="1">[0]!CSVVLookUP(ROW(行数!A654),配列!$C$4,集計記録,3,1)</f>
        <v>#NAME?</v>
      </c>
      <c r="D662" s="90" t="e">
        <f ca="1">[0]!CSVVLookUP(ROW(行数!B654),配列!$C$4,集計記録,4,1)</f>
        <v>#NAME?</v>
      </c>
      <c r="E662" s="118" t="e">
        <f t="shared" ca="1" si="74"/>
        <v>#NAME?</v>
      </c>
      <c r="F662" s="118" t="e">
        <f t="shared" ca="1" si="75"/>
        <v>#NAME?</v>
      </c>
      <c r="G662" s="103" t="e">
        <f t="shared" ca="1" si="76"/>
        <v>#NAME?</v>
      </c>
      <c r="H662" s="104" t="e">
        <f ca="1">IF(C662="","",MROUND([0]!CSVVLookUP(ROW(行数!A654),配列!$C$4,集計記録,8,1),"0:01"))</f>
        <v>#NAME?</v>
      </c>
      <c r="I662" s="104" t="e">
        <f t="shared" ca="1" si="77"/>
        <v>#NAME?</v>
      </c>
      <c r="J662" s="119" t="e">
        <f ca="1">IF(C662="","",MROUND([0]!CSVVLookUP(ROW(行数!A654),配列!$C$4,集計記録,7,1),"0:01"))</f>
        <v>#NAME?</v>
      </c>
      <c r="K662" s="92" t="e">
        <f ca="1">IF(C662="","",[0]!CSVVLookUP(ROW(行数!A654),配列!$C$4,集計記録,5,1))</f>
        <v>#NAME?</v>
      </c>
      <c r="L662" s="104" t="e">
        <f t="shared" ca="1" si="78"/>
        <v>#NAME?</v>
      </c>
      <c r="M662" s="120" t="e">
        <f t="shared" ca="1" si="72"/>
        <v>#NAME?</v>
      </c>
      <c r="N662" s="120" t="e">
        <f ca="1">IF([0]!CSVVLookUP(ROW(行数!A654),配列!$C$4,集計記録,6,1)=0,"",[0]!CSVVLookUP(ROW(行数!A654),配列!$C$4,集計記録,6,1))</f>
        <v>#NAME?</v>
      </c>
      <c r="O662" s="88" t="e">
        <f ca="1">IF(INDIRECT("M"&amp;ROW()-1)&lt;&gt;INDIRECT("M"&amp;ROW()),リスト!$I$5,"")</f>
        <v>#NAME?</v>
      </c>
      <c r="P662" s="88" t="e">
        <f ca="1">IF(INDIRECT("M"&amp;ROW())&lt;&gt;INDIRECT("M"&amp;ROW()+1),リスト!$I$6,"")</f>
        <v>#NAME?</v>
      </c>
    </row>
    <row r="663" spans="1:16" x14ac:dyDescent="0.2">
      <c r="A663" s="169" t="e">
        <f ca="1">IF(C663="","",ROW(行数!A655))</f>
        <v>#NAME?</v>
      </c>
      <c r="B663" s="168" t="e">
        <f t="shared" ca="1" si="73"/>
        <v>#NAME?</v>
      </c>
      <c r="C663" s="90" t="e">
        <f ca="1">[0]!CSVVLookUP(ROW(行数!A655),配列!$C$4,集計記録,3,1)</f>
        <v>#NAME?</v>
      </c>
      <c r="D663" s="90" t="e">
        <f ca="1">[0]!CSVVLookUP(ROW(行数!B655),配列!$C$4,集計記録,4,1)</f>
        <v>#NAME?</v>
      </c>
      <c r="E663" s="118" t="e">
        <f t="shared" ca="1" si="74"/>
        <v>#NAME?</v>
      </c>
      <c r="F663" s="118" t="e">
        <f t="shared" ca="1" si="75"/>
        <v>#NAME?</v>
      </c>
      <c r="G663" s="103" t="e">
        <f t="shared" ca="1" si="76"/>
        <v>#NAME?</v>
      </c>
      <c r="H663" s="104" t="e">
        <f ca="1">IF(C663="","",MROUND([0]!CSVVLookUP(ROW(行数!A655),配列!$C$4,集計記録,8,1),"0:01"))</f>
        <v>#NAME?</v>
      </c>
      <c r="I663" s="104" t="e">
        <f t="shared" ca="1" si="77"/>
        <v>#NAME?</v>
      </c>
      <c r="J663" s="119" t="e">
        <f ca="1">IF(C663="","",MROUND([0]!CSVVLookUP(ROW(行数!A655),配列!$C$4,集計記録,7,1),"0:01"))</f>
        <v>#NAME?</v>
      </c>
      <c r="K663" s="92" t="e">
        <f ca="1">IF(C663="","",[0]!CSVVLookUP(ROW(行数!A655),配列!$C$4,集計記録,5,1))</f>
        <v>#NAME?</v>
      </c>
      <c r="L663" s="104" t="e">
        <f t="shared" ca="1" si="78"/>
        <v>#NAME?</v>
      </c>
      <c r="M663" s="120" t="e">
        <f t="shared" ca="1" si="72"/>
        <v>#NAME?</v>
      </c>
      <c r="N663" s="120" t="e">
        <f ca="1">IF([0]!CSVVLookUP(ROW(行数!A655),配列!$C$4,集計記録,6,1)=0,"",[0]!CSVVLookUP(ROW(行数!A655),配列!$C$4,集計記録,6,1))</f>
        <v>#NAME?</v>
      </c>
      <c r="O663" s="88" t="e">
        <f ca="1">IF(INDIRECT("M"&amp;ROW()-1)&lt;&gt;INDIRECT("M"&amp;ROW()),リスト!$I$5,"")</f>
        <v>#NAME?</v>
      </c>
      <c r="P663" s="88" t="e">
        <f ca="1">IF(INDIRECT("M"&amp;ROW())&lt;&gt;INDIRECT("M"&amp;ROW()+1),リスト!$I$6,"")</f>
        <v>#NAME?</v>
      </c>
    </row>
    <row r="664" spans="1:16" x14ac:dyDescent="0.2">
      <c r="A664" s="169" t="e">
        <f ca="1">IF(C664="","",ROW(行数!A656))</f>
        <v>#NAME?</v>
      </c>
      <c r="B664" s="168" t="e">
        <f t="shared" ca="1" si="73"/>
        <v>#NAME?</v>
      </c>
      <c r="C664" s="90" t="e">
        <f ca="1">[0]!CSVVLookUP(ROW(行数!A656),配列!$C$4,集計記録,3,1)</f>
        <v>#NAME?</v>
      </c>
      <c r="D664" s="90" t="e">
        <f ca="1">[0]!CSVVLookUP(ROW(行数!B656),配列!$C$4,集計記録,4,1)</f>
        <v>#NAME?</v>
      </c>
      <c r="E664" s="118" t="e">
        <f t="shared" ca="1" si="74"/>
        <v>#NAME?</v>
      </c>
      <c r="F664" s="118" t="e">
        <f t="shared" ca="1" si="75"/>
        <v>#NAME?</v>
      </c>
      <c r="G664" s="103" t="e">
        <f t="shared" ca="1" si="76"/>
        <v>#NAME?</v>
      </c>
      <c r="H664" s="104" t="e">
        <f ca="1">IF(C664="","",MROUND([0]!CSVVLookUP(ROW(行数!A656),配列!$C$4,集計記録,8,1),"0:01"))</f>
        <v>#NAME?</v>
      </c>
      <c r="I664" s="104" t="e">
        <f t="shared" ca="1" si="77"/>
        <v>#NAME?</v>
      </c>
      <c r="J664" s="119" t="e">
        <f ca="1">IF(C664="","",MROUND([0]!CSVVLookUP(ROW(行数!A656),配列!$C$4,集計記録,7,1),"0:01"))</f>
        <v>#NAME?</v>
      </c>
      <c r="K664" s="92" t="e">
        <f ca="1">IF(C664="","",[0]!CSVVLookUP(ROW(行数!A656),配列!$C$4,集計記録,5,1))</f>
        <v>#NAME?</v>
      </c>
      <c r="L664" s="104" t="e">
        <f t="shared" ca="1" si="78"/>
        <v>#NAME?</v>
      </c>
      <c r="M664" s="120" t="e">
        <f t="shared" ca="1" si="72"/>
        <v>#NAME?</v>
      </c>
      <c r="N664" s="120" t="e">
        <f ca="1">IF([0]!CSVVLookUP(ROW(行数!A656),配列!$C$4,集計記録,6,1)=0,"",[0]!CSVVLookUP(ROW(行数!A656),配列!$C$4,集計記録,6,1))</f>
        <v>#NAME?</v>
      </c>
      <c r="O664" s="88" t="e">
        <f ca="1">IF(INDIRECT("M"&amp;ROW()-1)&lt;&gt;INDIRECT("M"&amp;ROW()),リスト!$I$5,"")</f>
        <v>#NAME?</v>
      </c>
      <c r="P664" s="88" t="e">
        <f ca="1">IF(INDIRECT("M"&amp;ROW())&lt;&gt;INDIRECT("M"&amp;ROW()+1),リスト!$I$6,"")</f>
        <v>#NAME?</v>
      </c>
    </row>
    <row r="665" spans="1:16" x14ac:dyDescent="0.2">
      <c r="A665" s="169" t="e">
        <f ca="1">IF(C665="","",ROW(行数!A657))</f>
        <v>#NAME?</v>
      </c>
      <c r="B665" s="168" t="e">
        <f t="shared" ca="1" si="73"/>
        <v>#NAME?</v>
      </c>
      <c r="C665" s="90" t="e">
        <f ca="1">[0]!CSVVLookUP(ROW(行数!A657),配列!$C$4,集計記録,3,1)</f>
        <v>#NAME?</v>
      </c>
      <c r="D665" s="90" t="e">
        <f ca="1">[0]!CSVVLookUP(ROW(行数!B657),配列!$C$4,集計記録,4,1)</f>
        <v>#NAME?</v>
      </c>
      <c r="E665" s="118" t="e">
        <f t="shared" ca="1" si="74"/>
        <v>#NAME?</v>
      </c>
      <c r="F665" s="118" t="e">
        <f t="shared" ca="1" si="75"/>
        <v>#NAME?</v>
      </c>
      <c r="G665" s="103" t="e">
        <f t="shared" ca="1" si="76"/>
        <v>#NAME?</v>
      </c>
      <c r="H665" s="104" t="e">
        <f ca="1">IF(C665="","",MROUND([0]!CSVVLookUP(ROW(行数!A657),配列!$C$4,集計記録,8,1),"0:01"))</f>
        <v>#NAME?</v>
      </c>
      <c r="I665" s="104" t="e">
        <f t="shared" ca="1" si="77"/>
        <v>#NAME?</v>
      </c>
      <c r="J665" s="119" t="e">
        <f ca="1">IF(C665="","",MROUND([0]!CSVVLookUP(ROW(行数!A657),配列!$C$4,集計記録,7,1),"0:01"))</f>
        <v>#NAME?</v>
      </c>
      <c r="K665" s="92" t="e">
        <f ca="1">IF(C665="","",[0]!CSVVLookUP(ROW(行数!A657),配列!$C$4,集計記録,5,1))</f>
        <v>#NAME?</v>
      </c>
      <c r="L665" s="104" t="e">
        <f t="shared" ca="1" si="78"/>
        <v>#NAME?</v>
      </c>
      <c r="M665" s="120" t="e">
        <f t="shared" ca="1" si="72"/>
        <v>#NAME?</v>
      </c>
      <c r="N665" s="120" t="e">
        <f ca="1">IF([0]!CSVVLookUP(ROW(行数!A657),配列!$C$4,集計記録,6,1)=0,"",[0]!CSVVLookUP(ROW(行数!A657),配列!$C$4,集計記録,6,1))</f>
        <v>#NAME?</v>
      </c>
      <c r="O665" s="88" t="e">
        <f ca="1">IF(INDIRECT("M"&amp;ROW()-1)&lt;&gt;INDIRECT("M"&amp;ROW()),リスト!$I$5,"")</f>
        <v>#NAME?</v>
      </c>
      <c r="P665" s="88" t="e">
        <f ca="1">IF(INDIRECT("M"&amp;ROW())&lt;&gt;INDIRECT("M"&amp;ROW()+1),リスト!$I$6,"")</f>
        <v>#NAME?</v>
      </c>
    </row>
    <row r="666" spans="1:16" x14ac:dyDescent="0.2">
      <c r="A666" s="169" t="e">
        <f ca="1">IF(C666="","",ROW(行数!A658))</f>
        <v>#NAME?</v>
      </c>
      <c r="B666" s="168" t="e">
        <f t="shared" ca="1" si="73"/>
        <v>#NAME?</v>
      </c>
      <c r="C666" s="90" t="e">
        <f ca="1">[0]!CSVVLookUP(ROW(行数!A658),配列!$C$4,集計記録,3,1)</f>
        <v>#NAME?</v>
      </c>
      <c r="D666" s="90" t="e">
        <f ca="1">[0]!CSVVLookUP(ROW(行数!B658),配列!$C$4,集計記録,4,1)</f>
        <v>#NAME?</v>
      </c>
      <c r="E666" s="118" t="e">
        <f t="shared" ca="1" si="74"/>
        <v>#NAME?</v>
      </c>
      <c r="F666" s="118" t="e">
        <f t="shared" ca="1" si="75"/>
        <v>#NAME?</v>
      </c>
      <c r="G666" s="103" t="e">
        <f t="shared" ca="1" si="76"/>
        <v>#NAME?</v>
      </c>
      <c r="H666" s="104" t="e">
        <f ca="1">IF(C666="","",MROUND([0]!CSVVLookUP(ROW(行数!A658),配列!$C$4,集計記録,8,1),"0:01"))</f>
        <v>#NAME?</v>
      </c>
      <c r="I666" s="104" t="e">
        <f t="shared" ca="1" si="77"/>
        <v>#NAME?</v>
      </c>
      <c r="J666" s="119" t="e">
        <f ca="1">IF(C666="","",MROUND([0]!CSVVLookUP(ROW(行数!A658),配列!$C$4,集計記録,7,1),"0:01"))</f>
        <v>#NAME?</v>
      </c>
      <c r="K666" s="92" t="e">
        <f ca="1">IF(C666="","",[0]!CSVVLookUP(ROW(行数!A658),配列!$C$4,集計記録,5,1))</f>
        <v>#NAME?</v>
      </c>
      <c r="L666" s="104" t="e">
        <f t="shared" ca="1" si="78"/>
        <v>#NAME?</v>
      </c>
      <c r="M666" s="120" t="e">
        <f t="shared" ca="1" si="72"/>
        <v>#NAME?</v>
      </c>
      <c r="N666" s="120" t="e">
        <f ca="1">IF([0]!CSVVLookUP(ROW(行数!A658),配列!$C$4,集計記録,6,1)=0,"",[0]!CSVVLookUP(ROW(行数!A658),配列!$C$4,集計記録,6,1))</f>
        <v>#NAME?</v>
      </c>
      <c r="O666" s="88" t="e">
        <f ca="1">IF(INDIRECT("M"&amp;ROW()-1)&lt;&gt;INDIRECT("M"&amp;ROW()),リスト!$I$5,"")</f>
        <v>#NAME?</v>
      </c>
      <c r="P666" s="88" t="e">
        <f ca="1">IF(INDIRECT("M"&amp;ROW())&lt;&gt;INDIRECT("M"&amp;ROW()+1),リスト!$I$6,"")</f>
        <v>#NAME?</v>
      </c>
    </row>
    <row r="667" spans="1:16" x14ac:dyDescent="0.2">
      <c r="A667" s="169" t="e">
        <f ca="1">IF(C667="","",ROW(行数!A659))</f>
        <v>#NAME?</v>
      </c>
      <c r="B667" s="168" t="e">
        <f t="shared" ca="1" si="73"/>
        <v>#NAME?</v>
      </c>
      <c r="C667" s="90" t="e">
        <f ca="1">[0]!CSVVLookUP(ROW(行数!A659),配列!$C$4,集計記録,3,1)</f>
        <v>#NAME?</v>
      </c>
      <c r="D667" s="90" t="e">
        <f ca="1">[0]!CSVVLookUP(ROW(行数!B659),配列!$C$4,集計記録,4,1)</f>
        <v>#NAME?</v>
      </c>
      <c r="E667" s="118" t="e">
        <f t="shared" ca="1" si="74"/>
        <v>#NAME?</v>
      </c>
      <c r="F667" s="118" t="e">
        <f t="shared" ca="1" si="75"/>
        <v>#NAME?</v>
      </c>
      <c r="G667" s="103" t="e">
        <f t="shared" ca="1" si="76"/>
        <v>#NAME?</v>
      </c>
      <c r="H667" s="104" t="e">
        <f ca="1">IF(C667="","",MROUND([0]!CSVVLookUP(ROW(行数!A659),配列!$C$4,集計記録,8,1),"0:01"))</f>
        <v>#NAME?</v>
      </c>
      <c r="I667" s="104" t="e">
        <f t="shared" ca="1" si="77"/>
        <v>#NAME?</v>
      </c>
      <c r="J667" s="119" t="e">
        <f ca="1">IF(C667="","",MROUND([0]!CSVVLookUP(ROW(行数!A659),配列!$C$4,集計記録,7,1),"0:01"))</f>
        <v>#NAME?</v>
      </c>
      <c r="K667" s="92" t="e">
        <f ca="1">IF(C667="","",[0]!CSVVLookUP(ROW(行数!A659),配列!$C$4,集計記録,5,1))</f>
        <v>#NAME?</v>
      </c>
      <c r="L667" s="104" t="e">
        <f t="shared" ca="1" si="78"/>
        <v>#NAME?</v>
      </c>
      <c r="M667" s="120" t="e">
        <f t="shared" ca="1" si="72"/>
        <v>#NAME?</v>
      </c>
      <c r="N667" s="120" t="e">
        <f ca="1">IF([0]!CSVVLookUP(ROW(行数!A659),配列!$C$4,集計記録,6,1)=0,"",[0]!CSVVLookUP(ROW(行数!A659),配列!$C$4,集計記録,6,1))</f>
        <v>#NAME?</v>
      </c>
      <c r="O667" s="88" t="e">
        <f ca="1">IF(INDIRECT("M"&amp;ROW()-1)&lt;&gt;INDIRECT("M"&amp;ROW()),リスト!$I$5,"")</f>
        <v>#NAME?</v>
      </c>
      <c r="P667" s="88" t="e">
        <f ca="1">IF(INDIRECT("M"&amp;ROW())&lt;&gt;INDIRECT("M"&amp;ROW()+1),リスト!$I$6,"")</f>
        <v>#NAME?</v>
      </c>
    </row>
    <row r="668" spans="1:16" x14ac:dyDescent="0.2">
      <c r="A668" s="169" t="e">
        <f ca="1">IF(C668="","",ROW(行数!A660))</f>
        <v>#NAME?</v>
      </c>
      <c r="B668" s="168" t="e">
        <f t="shared" ca="1" si="73"/>
        <v>#NAME?</v>
      </c>
      <c r="C668" s="90" t="e">
        <f ca="1">[0]!CSVVLookUP(ROW(行数!A660),配列!$C$4,集計記録,3,1)</f>
        <v>#NAME?</v>
      </c>
      <c r="D668" s="90" t="e">
        <f ca="1">[0]!CSVVLookUP(ROW(行数!B660),配列!$C$4,集計記録,4,1)</f>
        <v>#NAME?</v>
      </c>
      <c r="E668" s="118" t="e">
        <f t="shared" ca="1" si="74"/>
        <v>#NAME?</v>
      </c>
      <c r="F668" s="118" t="e">
        <f t="shared" ca="1" si="75"/>
        <v>#NAME?</v>
      </c>
      <c r="G668" s="103" t="e">
        <f t="shared" ca="1" si="76"/>
        <v>#NAME?</v>
      </c>
      <c r="H668" s="104" t="e">
        <f ca="1">IF(C668="","",MROUND([0]!CSVVLookUP(ROW(行数!A660),配列!$C$4,集計記録,8,1),"0:01"))</f>
        <v>#NAME?</v>
      </c>
      <c r="I668" s="104" t="e">
        <f t="shared" ca="1" si="77"/>
        <v>#NAME?</v>
      </c>
      <c r="J668" s="119" t="e">
        <f ca="1">IF(C668="","",MROUND([0]!CSVVLookUP(ROW(行数!A660),配列!$C$4,集計記録,7,1),"0:01"))</f>
        <v>#NAME?</v>
      </c>
      <c r="K668" s="92" t="e">
        <f ca="1">IF(C668="","",[0]!CSVVLookUP(ROW(行数!A660),配列!$C$4,集計記録,5,1))</f>
        <v>#NAME?</v>
      </c>
      <c r="L668" s="104" t="e">
        <f t="shared" ca="1" si="78"/>
        <v>#NAME?</v>
      </c>
      <c r="M668" s="120" t="e">
        <f t="shared" ca="1" si="72"/>
        <v>#NAME?</v>
      </c>
      <c r="N668" s="120" t="e">
        <f ca="1">IF([0]!CSVVLookUP(ROW(行数!A660),配列!$C$4,集計記録,6,1)=0,"",[0]!CSVVLookUP(ROW(行数!A660),配列!$C$4,集計記録,6,1))</f>
        <v>#NAME?</v>
      </c>
      <c r="O668" s="88" t="e">
        <f ca="1">IF(INDIRECT("M"&amp;ROW()-1)&lt;&gt;INDIRECT("M"&amp;ROW()),リスト!$I$5,"")</f>
        <v>#NAME?</v>
      </c>
      <c r="P668" s="88" t="e">
        <f ca="1">IF(INDIRECT("M"&amp;ROW())&lt;&gt;INDIRECT("M"&amp;ROW()+1),リスト!$I$6,"")</f>
        <v>#NAME?</v>
      </c>
    </row>
    <row r="669" spans="1:16" x14ac:dyDescent="0.2">
      <c r="A669" s="169" t="e">
        <f ca="1">IF(C669="","",ROW(行数!A661))</f>
        <v>#NAME?</v>
      </c>
      <c r="B669" s="168" t="e">
        <f t="shared" ca="1" si="73"/>
        <v>#NAME?</v>
      </c>
      <c r="C669" s="90" t="e">
        <f ca="1">[0]!CSVVLookUP(ROW(行数!A661),配列!$C$4,集計記録,3,1)</f>
        <v>#NAME?</v>
      </c>
      <c r="D669" s="90" t="e">
        <f ca="1">[0]!CSVVLookUP(ROW(行数!B661),配列!$C$4,集計記録,4,1)</f>
        <v>#NAME?</v>
      </c>
      <c r="E669" s="118" t="e">
        <f t="shared" ca="1" si="74"/>
        <v>#NAME?</v>
      </c>
      <c r="F669" s="118" t="e">
        <f t="shared" ca="1" si="75"/>
        <v>#NAME?</v>
      </c>
      <c r="G669" s="103" t="e">
        <f t="shared" ca="1" si="76"/>
        <v>#NAME?</v>
      </c>
      <c r="H669" s="104" t="e">
        <f ca="1">IF(C669="","",MROUND([0]!CSVVLookUP(ROW(行数!A661),配列!$C$4,集計記録,8,1),"0:01"))</f>
        <v>#NAME?</v>
      </c>
      <c r="I669" s="104" t="e">
        <f t="shared" ca="1" si="77"/>
        <v>#NAME?</v>
      </c>
      <c r="J669" s="119" t="e">
        <f ca="1">IF(C669="","",MROUND([0]!CSVVLookUP(ROW(行数!A661),配列!$C$4,集計記録,7,1),"0:01"))</f>
        <v>#NAME?</v>
      </c>
      <c r="K669" s="92" t="e">
        <f ca="1">IF(C669="","",[0]!CSVVLookUP(ROW(行数!A661),配列!$C$4,集計記録,5,1))</f>
        <v>#NAME?</v>
      </c>
      <c r="L669" s="104" t="e">
        <f t="shared" ca="1" si="78"/>
        <v>#NAME?</v>
      </c>
      <c r="M669" s="120" t="e">
        <f t="shared" ca="1" si="72"/>
        <v>#NAME?</v>
      </c>
      <c r="N669" s="120" t="e">
        <f ca="1">IF([0]!CSVVLookUP(ROW(行数!A661),配列!$C$4,集計記録,6,1)=0,"",[0]!CSVVLookUP(ROW(行数!A661),配列!$C$4,集計記録,6,1))</f>
        <v>#NAME?</v>
      </c>
      <c r="O669" s="88" t="e">
        <f ca="1">IF(INDIRECT("M"&amp;ROW()-1)&lt;&gt;INDIRECT("M"&amp;ROW()),リスト!$I$5,"")</f>
        <v>#NAME?</v>
      </c>
      <c r="P669" s="88" t="e">
        <f ca="1">IF(INDIRECT("M"&amp;ROW())&lt;&gt;INDIRECT("M"&amp;ROW()+1),リスト!$I$6,"")</f>
        <v>#NAME?</v>
      </c>
    </row>
    <row r="670" spans="1:16" x14ac:dyDescent="0.2">
      <c r="A670" s="169" t="e">
        <f ca="1">IF(C670="","",ROW(行数!A662))</f>
        <v>#NAME?</v>
      </c>
      <c r="B670" s="168" t="e">
        <f t="shared" ca="1" si="73"/>
        <v>#NAME?</v>
      </c>
      <c r="C670" s="90" t="e">
        <f ca="1">[0]!CSVVLookUP(ROW(行数!A662),配列!$C$4,集計記録,3,1)</f>
        <v>#NAME?</v>
      </c>
      <c r="D670" s="90" t="e">
        <f ca="1">[0]!CSVVLookUP(ROW(行数!B662),配列!$C$4,集計記録,4,1)</f>
        <v>#NAME?</v>
      </c>
      <c r="E670" s="118" t="e">
        <f t="shared" ca="1" si="74"/>
        <v>#NAME?</v>
      </c>
      <c r="F670" s="118" t="e">
        <f t="shared" ca="1" si="75"/>
        <v>#NAME?</v>
      </c>
      <c r="G670" s="103" t="e">
        <f t="shared" ca="1" si="76"/>
        <v>#NAME?</v>
      </c>
      <c r="H670" s="104" t="e">
        <f ca="1">IF(C670="","",MROUND([0]!CSVVLookUP(ROW(行数!A662),配列!$C$4,集計記録,8,1),"0:01"))</f>
        <v>#NAME?</v>
      </c>
      <c r="I670" s="104" t="e">
        <f t="shared" ca="1" si="77"/>
        <v>#NAME?</v>
      </c>
      <c r="J670" s="119" t="e">
        <f ca="1">IF(C670="","",MROUND([0]!CSVVLookUP(ROW(行数!A662),配列!$C$4,集計記録,7,1),"0:01"))</f>
        <v>#NAME?</v>
      </c>
      <c r="K670" s="92" t="e">
        <f ca="1">IF(C670="","",[0]!CSVVLookUP(ROW(行数!A662),配列!$C$4,集計記録,5,1))</f>
        <v>#NAME?</v>
      </c>
      <c r="L670" s="104" t="e">
        <f t="shared" ca="1" si="78"/>
        <v>#NAME?</v>
      </c>
      <c r="M670" s="120" t="e">
        <f t="shared" ca="1" si="72"/>
        <v>#NAME?</v>
      </c>
      <c r="N670" s="120" t="e">
        <f ca="1">IF([0]!CSVVLookUP(ROW(行数!A662),配列!$C$4,集計記録,6,1)=0,"",[0]!CSVVLookUP(ROW(行数!A662),配列!$C$4,集計記録,6,1))</f>
        <v>#NAME?</v>
      </c>
      <c r="O670" s="88" t="e">
        <f ca="1">IF(INDIRECT("M"&amp;ROW()-1)&lt;&gt;INDIRECT("M"&amp;ROW()),リスト!$I$5,"")</f>
        <v>#NAME?</v>
      </c>
      <c r="P670" s="88" t="e">
        <f ca="1">IF(INDIRECT("M"&amp;ROW())&lt;&gt;INDIRECT("M"&amp;ROW()+1),リスト!$I$6,"")</f>
        <v>#NAME?</v>
      </c>
    </row>
    <row r="671" spans="1:16" x14ac:dyDescent="0.2">
      <c r="A671" s="169" t="e">
        <f ca="1">IF(C671="","",ROW(行数!A663))</f>
        <v>#NAME?</v>
      </c>
      <c r="B671" s="168" t="e">
        <f t="shared" ca="1" si="73"/>
        <v>#NAME?</v>
      </c>
      <c r="C671" s="90" t="e">
        <f ca="1">[0]!CSVVLookUP(ROW(行数!A663),配列!$C$4,集計記録,3,1)</f>
        <v>#NAME?</v>
      </c>
      <c r="D671" s="90" t="e">
        <f ca="1">[0]!CSVVLookUP(ROW(行数!B663),配列!$C$4,集計記録,4,1)</f>
        <v>#NAME?</v>
      </c>
      <c r="E671" s="118" t="e">
        <f t="shared" ca="1" si="74"/>
        <v>#NAME?</v>
      </c>
      <c r="F671" s="118" t="e">
        <f t="shared" ca="1" si="75"/>
        <v>#NAME?</v>
      </c>
      <c r="G671" s="103" t="e">
        <f t="shared" ca="1" si="76"/>
        <v>#NAME?</v>
      </c>
      <c r="H671" s="104" t="e">
        <f ca="1">IF(C671="","",MROUND([0]!CSVVLookUP(ROW(行数!A663),配列!$C$4,集計記録,8,1),"0:01"))</f>
        <v>#NAME?</v>
      </c>
      <c r="I671" s="104" t="e">
        <f t="shared" ca="1" si="77"/>
        <v>#NAME?</v>
      </c>
      <c r="J671" s="119" t="e">
        <f ca="1">IF(C671="","",MROUND([0]!CSVVLookUP(ROW(行数!A663),配列!$C$4,集計記録,7,1),"0:01"))</f>
        <v>#NAME?</v>
      </c>
      <c r="K671" s="92" t="e">
        <f ca="1">IF(C671="","",[0]!CSVVLookUP(ROW(行数!A663),配列!$C$4,集計記録,5,1))</f>
        <v>#NAME?</v>
      </c>
      <c r="L671" s="104" t="e">
        <f t="shared" ca="1" si="78"/>
        <v>#NAME?</v>
      </c>
      <c r="M671" s="120" t="e">
        <f t="shared" ca="1" si="72"/>
        <v>#NAME?</v>
      </c>
      <c r="N671" s="120" t="e">
        <f ca="1">IF([0]!CSVVLookUP(ROW(行数!A663),配列!$C$4,集計記録,6,1)=0,"",[0]!CSVVLookUP(ROW(行数!A663),配列!$C$4,集計記録,6,1))</f>
        <v>#NAME?</v>
      </c>
      <c r="O671" s="88" t="e">
        <f ca="1">IF(INDIRECT("M"&amp;ROW()-1)&lt;&gt;INDIRECT("M"&amp;ROW()),リスト!$I$5,"")</f>
        <v>#NAME?</v>
      </c>
      <c r="P671" s="88" t="e">
        <f ca="1">IF(INDIRECT("M"&amp;ROW())&lt;&gt;INDIRECT("M"&amp;ROW()+1),リスト!$I$6,"")</f>
        <v>#NAME?</v>
      </c>
    </row>
    <row r="672" spans="1:16" x14ac:dyDescent="0.2">
      <c r="A672" s="169" t="e">
        <f ca="1">IF(C672="","",ROW(行数!A664))</f>
        <v>#NAME?</v>
      </c>
      <c r="B672" s="168" t="e">
        <f t="shared" ca="1" si="73"/>
        <v>#NAME?</v>
      </c>
      <c r="C672" s="90" t="e">
        <f ca="1">[0]!CSVVLookUP(ROW(行数!A664),配列!$C$4,集計記録,3,1)</f>
        <v>#NAME?</v>
      </c>
      <c r="D672" s="90" t="e">
        <f ca="1">[0]!CSVVLookUP(ROW(行数!B664),配列!$C$4,集計記録,4,1)</f>
        <v>#NAME?</v>
      </c>
      <c r="E672" s="118" t="e">
        <f t="shared" ca="1" si="74"/>
        <v>#NAME?</v>
      </c>
      <c r="F672" s="118" t="e">
        <f t="shared" ca="1" si="75"/>
        <v>#NAME?</v>
      </c>
      <c r="G672" s="103" t="e">
        <f t="shared" ca="1" si="76"/>
        <v>#NAME?</v>
      </c>
      <c r="H672" s="104" t="e">
        <f ca="1">IF(C672="","",MROUND([0]!CSVVLookUP(ROW(行数!A664),配列!$C$4,集計記録,8,1),"0:01"))</f>
        <v>#NAME?</v>
      </c>
      <c r="I672" s="104" t="e">
        <f t="shared" ca="1" si="77"/>
        <v>#NAME?</v>
      </c>
      <c r="J672" s="119" t="e">
        <f ca="1">IF(C672="","",MROUND([0]!CSVVLookUP(ROW(行数!A664),配列!$C$4,集計記録,7,1),"0:01"))</f>
        <v>#NAME?</v>
      </c>
      <c r="K672" s="92" t="e">
        <f ca="1">IF(C672="","",[0]!CSVVLookUP(ROW(行数!A664),配列!$C$4,集計記録,5,1))</f>
        <v>#NAME?</v>
      </c>
      <c r="L672" s="104" t="e">
        <f t="shared" ca="1" si="78"/>
        <v>#NAME?</v>
      </c>
      <c r="M672" s="120" t="e">
        <f t="shared" ca="1" si="72"/>
        <v>#NAME?</v>
      </c>
      <c r="N672" s="120" t="e">
        <f ca="1">IF([0]!CSVVLookUP(ROW(行数!A664),配列!$C$4,集計記録,6,1)=0,"",[0]!CSVVLookUP(ROW(行数!A664),配列!$C$4,集計記録,6,1))</f>
        <v>#NAME?</v>
      </c>
      <c r="O672" s="88" t="e">
        <f ca="1">IF(INDIRECT("M"&amp;ROW()-1)&lt;&gt;INDIRECT("M"&amp;ROW()),リスト!$I$5,"")</f>
        <v>#NAME?</v>
      </c>
      <c r="P672" s="88" t="e">
        <f ca="1">IF(INDIRECT("M"&amp;ROW())&lt;&gt;INDIRECT("M"&amp;ROW()+1),リスト!$I$6,"")</f>
        <v>#NAME?</v>
      </c>
    </row>
    <row r="673" spans="1:16" x14ac:dyDescent="0.2">
      <c r="A673" s="169" t="e">
        <f ca="1">IF(C673="","",ROW(行数!A665))</f>
        <v>#NAME?</v>
      </c>
      <c r="B673" s="168" t="e">
        <f t="shared" ca="1" si="73"/>
        <v>#NAME?</v>
      </c>
      <c r="C673" s="90" t="e">
        <f ca="1">[0]!CSVVLookUP(ROW(行数!A665),配列!$C$4,集計記録,3,1)</f>
        <v>#NAME?</v>
      </c>
      <c r="D673" s="90" t="e">
        <f ca="1">[0]!CSVVLookUP(ROW(行数!B665),配列!$C$4,集計記録,4,1)</f>
        <v>#NAME?</v>
      </c>
      <c r="E673" s="118" t="e">
        <f t="shared" ca="1" si="74"/>
        <v>#NAME?</v>
      </c>
      <c r="F673" s="118" t="e">
        <f t="shared" ca="1" si="75"/>
        <v>#NAME?</v>
      </c>
      <c r="G673" s="103" t="e">
        <f t="shared" ca="1" si="76"/>
        <v>#NAME?</v>
      </c>
      <c r="H673" s="104" t="e">
        <f ca="1">IF(C673="","",MROUND([0]!CSVVLookUP(ROW(行数!A665),配列!$C$4,集計記録,8,1),"0:01"))</f>
        <v>#NAME?</v>
      </c>
      <c r="I673" s="104" t="e">
        <f t="shared" ca="1" si="77"/>
        <v>#NAME?</v>
      </c>
      <c r="J673" s="119" t="e">
        <f ca="1">IF(C673="","",MROUND([0]!CSVVLookUP(ROW(行数!A665),配列!$C$4,集計記録,7,1),"0:01"))</f>
        <v>#NAME?</v>
      </c>
      <c r="K673" s="92" t="e">
        <f ca="1">IF(C673="","",[0]!CSVVLookUP(ROW(行数!A665),配列!$C$4,集計記録,5,1))</f>
        <v>#NAME?</v>
      </c>
      <c r="L673" s="104" t="e">
        <f t="shared" ca="1" si="78"/>
        <v>#NAME?</v>
      </c>
      <c r="M673" s="120" t="e">
        <f t="shared" ca="1" si="72"/>
        <v>#NAME?</v>
      </c>
      <c r="N673" s="120" t="e">
        <f ca="1">IF([0]!CSVVLookUP(ROW(行数!A665),配列!$C$4,集計記録,6,1)=0,"",[0]!CSVVLookUP(ROW(行数!A665),配列!$C$4,集計記録,6,1))</f>
        <v>#NAME?</v>
      </c>
      <c r="O673" s="88" t="e">
        <f ca="1">IF(INDIRECT("M"&amp;ROW()-1)&lt;&gt;INDIRECT("M"&amp;ROW()),リスト!$I$5,"")</f>
        <v>#NAME?</v>
      </c>
      <c r="P673" s="88" t="e">
        <f ca="1">IF(INDIRECT("M"&amp;ROW())&lt;&gt;INDIRECT("M"&amp;ROW()+1),リスト!$I$6,"")</f>
        <v>#NAME?</v>
      </c>
    </row>
    <row r="674" spans="1:16" x14ac:dyDescent="0.2">
      <c r="A674" s="169" t="e">
        <f ca="1">IF(C674="","",ROW(行数!A666))</f>
        <v>#NAME?</v>
      </c>
      <c r="B674" s="168" t="e">
        <f t="shared" ca="1" si="73"/>
        <v>#NAME?</v>
      </c>
      <c r="C674" s="90" t="e">
        <f ca="1">[0]!CSVVLookUP(ROW(行数!A666),配列!$C$4,集計記録,3,1)</f>
        <v>#NAME?</v>
      </c>
      <c r="D674" s="90" t="e">
        <f ca="1">[0]!CSVVLookUP(ROW(行数!B666),配列!$C$4,集計記録,4,1)</f>
        <v>#NAME?</v>
      </c>
      <c r="E674" s="118" t="e">
        <f t="shared" ca="1" si="74"/>
        <v>#NAME?</v>
      </c>
      <c r="F674" s="118" t="e">
        <f t="shared" ca="1" si="75"/>
        <v>#NAME?</v>
      </c>
      <c r="G674" s="103" t="e">
        <f t="shared" ca="1" si="76"/>
        <v>#NAME?</v>
      </c>
      <c r="H674" s="104" t="e">
        <f ca="1">IF(C674="","",MROUND([0]!CSVVLookUP(ROW(行数!A666),配列!$C$4,集計記録,8,1),"0:01"))</f>
        <v>#NAME?</v>
      </c>
      <c r="I674" s="104" t="e">
        <f t="shared" ca="1" si="77"/>
        <v>#NAME?</v>
      </c>
      <c r="J674" s="119" t="e">
        <f ca="1">IF(C674="","",MROUND([0]!CSVVLookUP(ROW(行数!A666),配列!$C$4,集計記録,7,1),"0:01"))</f>
        <v>#NAME?</v>
      </c>
      <c r="K674" s="92" t="e">
        <f ca="1">IF(C674="","",[0]!CSVVLookUP(ROW(行数!A666),配列!$C$4,集計記録,5,1))</f>
        <v>#NAME?</v>
      </c>
      <c r="L674" s="104" t="e">
        <f t="shared" ca="1" si="78"/>
        <v>#NAME?</v>
      </c>
      <c r="M674" s="120" t="e">
        <f t="shared" ca="1" si="72"/>
        <v>#NAME?</v>
      </c>
      <c r="N674" s="120" t="e">
        <f ca="1">IF([0]!CSVVLookUP(ROW(行数!A666),配列!$C$4,集計記録,6,1)=0,"",[0]!CSVVLookUP(ROW(行数!A666),配列!$C$4,集計記録,6,1))</f>
        <v>#NAME?</v>
      </c>
      <c r="O674" s="88" t="e">
        <f ca="1">IF(INDIRECT("M"&amp;ROW()-1)&lt;&gt;INDIRECT("M"&amp;ROW()),リスト!$I$5,"")</f>
        <v>#NAME?</v>
      </c>
      <c r="P674" s="88" t="e">
        <f ca="1">IF(INDIRECT("M"&amp;ROW())&lt;&gt;INDIRECT("M"&amp;ROW()+1),リスト!$I$6,"")</f>
        <v>#NAME?</v>
      </c>
    </row>
    <row r="675" spans="1:16" x14ac:dyDescent="0.2">
      <c r="A675" s="169" t="e">
        <f ca="1">IF(C675="","",ROW(行数!A667))</f>
        <v>#NAME?</v>
      </c>
      <c r="B675" s="168" t="e">
        <f t="shared" ca="1" si="73"/>
        <v>#NAME?</v>
      </c>
      <c r="C675" s="90" t="e">
        <f ca="1">[0]!CSVVLookUP(ROW(行数!A667),配列!$C$4,集計記録,3,1)</f>
        <v>#NAME?</v>
      </c>
      <c r="D675" s="90" t="e">
        <f ca="1">[0]!CSVVLookUP(ROW(行数!B667),配列!$C$4,集計記録,4,1)</f>
        <v>#NAME?</v>
      </c>
      <c r="E675" s="118" t="e">
        <f t="shared" ca="1" si="74"/>
        <v>#NAME?</v>
      </c>
      <c r="F675" s="118" t="e">
        <f t="shared" ca="1" si="75"/>
        <v>#NAME?</v>
      </c>
      <c r="G675" s="103" t="e">
        <f t="shared" ca="1" si="76"/>
        <v>#NAME?</v>
      </c>
      <c r="H675" s="104" t="e">
        <f ca="1">IF(C675="","",MROUND([0]!CSVVLookUP(ROW(行数!A667),配列!$C$4,集計記録,8,1),"0:01"))</f>
        <v>#NAME?</v>
      </c>
      <c r="I675" s="104" t="e">
        <f t="shared" ca="1" si="77"/>
        <v>#NAME?</v>
      </c>
      <c r="J675" s="119" t="e">
        <f ca="1">IF(C675="","",MROUND([0]!CSVVLookUP(ROW(行数!A667),配列!$C$4,集計記録,7,1),"0:01"))</f>
        <v>#NAME?</v>
      </c>
      <c r="K675" s="92" t="e">
        <f ca="1">IF(C675="","",[0]!CSVVLookUP(ROW(行数!A667),配列!$C$4,集計記録,5,1))</f>
        <v>#NAME?</v>
      </c>
      <c r="L675" s="104" t="e">
        <f t="shared" ca="1" si="78"/>
        <v>#NAME?</v>
      </c>
      <c r="M675" s="120" t="e">
        <f t="shared" ca="1" si="72"/>
        <v>#NAME?</v>
      </c>
      <c r="N675" s="120" t="e">
        <f ca="1">IF([0]!CSVVLookUP(ROW(行数!A667),配列!$C$4,集計記録,6,1)=0,"",[0]!CSVVLookUP(ROW(行数!A667),配列!$C$4,集計記録,6,1))</f>
        <v>#NAME?</v>
      </c>
      <c r="O675" s="88" t="e">
        <f ca="1">IF(INDIRECT("M"&amp;ROW()-1)&lt;&gt;INDIRECT("M"&amp;ROW()),リスト!$I$5,"")</f>
        <v>#NAME?</v>
      </c>
      <c r="P675" s="88" t="e">
        <f ca="1">IF(INDIRECT("M"&amp;ROW())&lt;&gt;INDIRECT("M"&amp;ROW()+1),リスト!$I$6,"")</f>
        <v>#NAME?</v>
      </c>
    </row>
    <row r="676" spans="1:16" x14ac:dyDescent="0.2">
      <c r="A676" s="169" t="e">
        <f ca="1">IF(C676="","",ROW(行数!A668))</f>
        <v>#NAME?</v>
      </c>
      <c r="B676" s="168" t="e">
        <f t="shared" ca="1" si="73"/>
        <v>#NAME?</v>
      </c>
      <c r="C676" s="90" t="e">
        <f ca="1">[0]!CSVVLookUP(ROW(行数!A668),配列!$C$4,集計記録,3,1)</f>
        <v>#NAME?</v>
      </c>
      <c r="D676" s="90" t="e">
        <f ca="1">[0]!CSVVLookUP(ROW(行数!B668),配列!$C$4,集計記録,4,1)</f>
        <v>#NAME?</v>
      </c>
      <c r="E676" s="118" t="e">
        <f t="shared" ca="1" si="74"/>
        <v>#NAME?</v>
      </c>
      <c r="F676" s="118" t="e">
        <f t="shared" ca="1" si="75"/>
        <v>#NAME?</v>
      </c>
      <c r="G676" s="103" t="e">
        <f t="shared" ca="1" si="76"/>
        <v>#NAME?</v>
      </c>
      <c r="H676" s="104" t="e">
        <f ca="1">IF(C676="","",MROUND([0]!CSVVLookUP(ROW(行数!A668),配列!$C$4,集計記録,8,1),"0:01"))</f>
        <v>#NAME?</v>
      </c>
      <c r="I676" s="104" t="e">
        <f t="shared" ca="1" si="77"/>
        <v>#NAME?</v>
      </c>
      <c r="J676" s="119" t="e">
        <f ca="1">IF(C676="","",MROUND([0]!CSVVLookUP(ROW(行数!A668),配列!$C$4,集計記録,7,1),"0:01"))</f>
        <v>#NAME?</v>
      </c>
      <c r="K676" s="92" t="e">
        <f ca="1">IF(C676="","",[0]!CSVVLookUP(ROW(行数!A668),配列!$C$4,集計記録,5,1))</f>
        <v>#NAME?</v>
      </c>
      <c r="L676" s="104" t="e">
        <f t="shared" ca="1" si="78"/>
        <v>#NAME?</v>
      </c>
      <c r="M676" s="120" t="e">
        <f t="shared" ca="1" si="72"/>
        <v>#NAME?</v>
      </c>
      <c r="N676" s="120" t="e">
        <f ca="1">IF([0]!CSVVLookUP(ROW(行数!A668),配列!$C$4,集計記録,6,1)=0,"",[0]!CSVVLookUP(ROW(行数!A668),配列!$C$4,集計記録,6,1))</f>
        <v>#NAME?</v>
      </c>
      <c r="O676" s="88" t="e">
        <f ca="1">IF(INDIRECT("M"&amp;ROW()-1)&lt;&gt;INDIRECT("M"&amp;ROW()),リスト!$I$5,"")</f>
        <v>#NAME?</v>
      </c>
      <c r="P676" s="88" t="e">
        <f ca="1">IF(INDIRECT("M"&amp;ROW())&lt;&gt;INDIRECT("M"&amp;ROW()+1),リスト!$I$6,"")</f>
        <v>#NAME?</v>
      </c>
    </row>
    <row r="677" spans="1:16" x14ac:dyDescent="0.2">
      <c r="A677" s="169" t="e">
        <f ca="1">IF(C677="","",ROW(行数!A669))</f>
        <v>#NAME?</v>
      </c>
      <c r="B677" s="168" t="e">
        <f t="shared" ca="1" si="73"/>
        <v>#NAME?</v>
      </c>
      <c r="C677" s="90" t="e">
        <f ca="1">[0]!CSVVLookUP(ROW(行数!A669),配列!$C$4,集計記録,3,1)</f>
        <v>#NAME?</v>
      </c>
      <c r="D677" s="90" t="e">
        <f ca="1">[0]!CSVVLookUP(ROW(行数!B669),配列!$C$4,集計記録,4,1)</f>
        <v>#NAME?</v>
      </c>
      <c r="E677" s="118" t="e">
        <f t="shared" ca="1" si="74"/>
        <v>#NAME?</v>
      </c>
      <c r="F677" s="118" t="e">
        <f t="shared" ca="1" si="75"/>
        <v>#NAME?</v>
      </c>
      <c r="G677" s="103" t="e">
        <f t="shared" ca="1" si="76"/>
        <v>#NAME?</v>
      </c>
      <c r="H677" s="104" t="e">
        <f ca="1">IF(C677="","",MROUND([0]!CSVVLookUP(ROW(行数!A669),配列!$C$4,集計記録,8,1),"0:01"))</f>
        <v>#NAME?</v>
      </c>
      <c r="I677" s="104" t="e">
        <f t="shared" ca="1" si="77"/>
        <v>#NAME?</v>
      </c>
      <c r="J677" s="119" t="e">
        <f ca="1">IF(C677="","",MROUND([0]!CSVVLookUP(ROW(行数!A669),配列!$C$4,集計記録,7,1),"0:01"))</f>
        <v>#NAME?</v>
      </c>
      <c r="K677" s="92" t="e">
        <f ca="1">IF(C677="","",[0]!CSVVLookUP(ROW(行数!A669),配列!$C$4,集計記録,5,1))</f>
        <v>#NAME?</v>
      </c>
      <c r="L677" s="104" t="e">
        <f t="shared" ca="1" si="78"/>
        <v>#NAME?</v>
      </c>
      <c r="M677" s="120" t="e">
        <f t="shared" ca="1" si="72"/>
        <v>#NAME?</v>
      </c>
      <c r="N677" s="120" t="e">
        <f ca="1">IF([0]!CSVVLookUP(ROW(行数!A669),配列!$C$4,集計記録,6,1)=0,"",[0]!CSVVLookUP(ROW(行数!A669),配列!$C$4,集計記録,6,1))</f>
        <v>#NAME?</v>
      </c>
      <c r="O677" s="88" t="e">
        <f ca="1">IF(INDIRECT("M"&amp;ROW()-1)&lt;&gt;INDIRECT("M"&amp;ROW()),リスト!$I$5,"")</f>
        <v>#NAME?</v>
      </c>
      <c r="P677" s="88" t="e">
        <f ca="1">IF(INDIRECT("M"&amp;ROW())&lt;&gt;INDIRECT("M"&amp;ROW()+1),リスト!$I$6,"")</f>
        <v>#NAME?</v>
      </c>
    </row>
    <row r="678" spans="1:16" x14ac:dyDescent="0.2">
      <c r="A678" s="169" t="e">
        <f ca="1">IF(C678="","",ROW(行数!A670))</f>
        <v>#NAME?</v>
      </c>
      <c r="B678" s="168" t="e">
        <f t="shared" ca="1" si="73"/>
        <v>#NAME?</v>
      </c>
      <c r="C678" s="90" t="e">
        <f ca="1">[0]!CSVVLookUP(ROW(行数!A670),配列!$C$4,集計記録,3,1)</f>
        <v>#NAME?</v>
      </c>
      <c r="D678" s="90" t="e">
        <f ca="1">[0]!CSVVLookUP(ROW(行数!B670),配列!$C$4,集計記録,4,1)</f>
        <v>#NAME?</v>
      </c>
      <c r="E678" s="118" t="e">
        <f t="shared" ca="1" si="74"/>
        <v>#NAME?</v>
      </c>
      <c r="F678" s="118" t="e">
        <f t="shared" ca="1" si="75"/>
        <v>#NAME?</v>
      </c>
      <c r="G678" s="103" t="e">
        <f t="shared" ca="1" si="76"/>
        <v>#NAME?</v>
      </c>
      <c r="H678" s="104" t="e">
        <f ca="1">IF(C678="","",MROUND([0]!CSVVLookUP(ROW(行数!A670),配列!$C$4,集計記録,8,1),"0:01"))</f>
        <v>#NAME?</v>
      </c>
      <c r="I678" s="104" t="e">
        <f t="shared" ca="1" si="77"/>
        <v>#NAME?</v>
      </c>
      <c r="J678" s="119" t="e">
        <f ca="1">IF(C678="","",MROUND([0]!CSVVLookUP(ROW(行数!A670),配列!$C$4,集計記録,7,1),"0:01"))</f>
        <v>#NAME?</v>
      </c>
      <c r="K678" s="92" t="e">
        <f ca="1">IF(C678="","",[0]!CSVVLookUP(ROW(行数!A670),配列!$C$4,集計記録,5,1))</f>
        <v>#NAME?</v>
      </c>
      <c r="L678" s="104" t="e">
        <f t="shared" ca="1" si="78"/>
        <v>#NAME?</v>
      </c>
      <c r="M678" s="120" t="e">
        <f t="shared" ca="1" si="72"/>
        <v>#NAME?</v>
      </c>
      <c r="N678" s="120" t="e">
        <f ca="1">IF([0]!CSVVLookUP(ROW(行数!A670),配列!$C$4,集計記録,6,1)=0,"",[0]!CSVVLookUP(ROW(行数!A670),配列!$C$4,集計記録,6,1))</f>
        <v>#NAME?</v>
      </c>
      <c r="O678" s="88" t="e">
        <f ca="1">IF(INDIRECT("M"&amp;ROW()-1)&lt;&gt;INDIRECT("M"&amp;ROW()),リスト!$I$5,"")</f>
        <v>#NAME?</v>
      </c>
      <c r="P678" s="88" t="e">
        <f ca="1">IF(INDIRECT("M"&amp;ROW())&lt;&gt;INDIRECT("M"&amp;ROW()+1),リスト!$I$6,"")</f>
        <v>#NAME?</v>
      </c>
    </row>
    <row r="679" spans="1:16" x14ac:dyDescent="0.2">
      <c r="A679" s="169" t="e">
        <f ca="1">IF(C679="","",ROW(行数!A671))</f>
        <v>#NAME?</v>
      </c>
      <c r="B679" s="168" t="e">
        <f t="shared" ca="1" si="73"/>
        <v>#NAME?</v>
      </c>
      <c r="C679" s="90" t="e">
        <f ca="1">[0]!CSVVLookUP(ROW(行数!A671),配列!$C$4,集計記録,3,1)</f>
        <v>#NAME?</v>
      </c>
      <c r="D679" s="90" t="e">
        <f ca="1">[0]!CSVVLookUP(ROW(行数!B671),配列!$C$4,集計記録,4,1)</f>
        <v>#NAME?</v>
      </c>
      <c r="E679" s="118" t="e">
        <f t="shared" ca="1" si="74"/>
        <v>#NAME?</v>
      </c>
      <c r="F679" s="118" t="e">
        <f t="shared" ca="1" si="75"/>
        <v>#NAME?</v>
      </c>
      <c r="G679" s="103" t="e">
        <f t="shared" ca="1" si="76"/>
        <v>#NAME?</v>
      </c>
      <c r="H679" s="104" t="e">
        <f ca="1">IF(C679="","",MROUND([0]!CSVVLookUP(ROW(行数!A671),配列!$C$4,集計記録,8,1),"0:01"))</f>
        <v>#NAME?</v>
      </c>
      <c r="I679" s="104" t="e">
        <f t="shared" ca="1" si="77"/>
        <v>#NAME?</v>
      </c>
      <c r="J679" s="119" t="e">
        <f ca="1">IF(C679="","",MROUND([0]!CSVVLookUP(ROW(行数!A671),配列!$C$4,集計記録,7,1),"0:01"))</f>
        <v>#NAME?</v>
      </c>
      <c r="K679" s="92" t="e">
        <f ca="1">IF(C679="","",[0]!CSVVLookUP(ROW(行数!A671),配列!$C$4,集計記録,5,1))</f>
        <v>#NAME?</v>
      </c>
      <c r="L679" s="104" t="e">
        <f t="shared" ca="1" si="78"/>
        <v>#NAME?</v>
      </c>
      <c r="M679" s="120" t="e">
        <f t="shared" ca="1" si="72"/>
        <v>#NAME?</v>
      </c>
      <c r="N679" s="120" t="e">
        <f ca="1">IF([0]!CSVVLookUP(ROW(行数!A671),配列!$C$4,集計記録,6,1)=0,"",[0]!CSVVLookUP(ROW(行数!A671),配列!$C$4,集計記録,6,1))</f>
        <v>#NAME?</v>
      </c>
      <c r="O679" s="88" t="e">
        <f ca="1">IF(INDIRECT("M"&amp;ROW()-1)&lt;&gt;INDIRECT("M"&amp;ROW()),リスト!$I$5,"")</f>
        <v>#NAME?</v>
      </c>
      <c r="P679" s="88" t="e">
        <f ca="1">IF(INDIRECT("M"&amp;ROW())&lt;&gt;INDIRECT("M"&amp;ROW()+1),リスト!$I$6,"")</f>
        <v>#NAME?</v>
      </c>
    </row>
    <row r="680" spans="1:16" x14ac:dyDescent="0.2">
      <c r="A680" s="169" t="e">
        <f ca="1">IF(C680="","",ROW(行数!A672))</f>
        <v>#NAME?</v>
      </c>
      <c r="B680" s="168" t="e">
        <f t="shared" ca="1" si="73"/>
        <v>#NAME?</v>
      </c>
      <c r="C680" s="90" t="e">
        <f ca="1">[0]!CSVVLookUP(ROW(行数!A672),配列!$C$4,集計記録,3,1)</f>
        <v>#NAME?</v>
      </c>
      <c r="D680" s="90" t="e">
        <f ca="1">[0]!CSVVLookUP(ROW(行数!B672),配列!$C$4,集計記録,4,1)</f>
        <v>#NAME?</v>
      </c>
      <c r="E680" s="118" t="e">
        <f t="shared" ca="1" si="74"/>
        <v>#NAME?</v>
      </c>
      <c r="F680" s="118" t="e">
        <f t="shared" ca="1" si="75"/>
        <v>#NAME?</v>
      </c>
      <c r="G680" s="103" t="e">
        <f t="shared" ca="1" si="76"/>
        <v>#NAME?</v>
      </c>
      <c r="H680" s="104" t="e">
        <f ca="1">IF(C680="","",MROUND([0]!CSVVLookUP(ROW(行数!A672),配列!$C$4,集計記録,8,1),"0:01"))</f>
        <v>#NAME?</v>
      </c>
      <c r="I680" s="104" t="e">
        <f t="shared" ca="1" si="77"/>
        <v>#NAME?</v>
      </c>
      <c r="J680" s="119" t="e">
        <f ca="1">IF(C680="","",MROUND([0]!CSVVLookUP(ROW(行数!A672),配列!$C$4,集計記録,7,1),"0:01"))</f>
        <v>#NAME?</v>
      </c>
      <c r="K680" s="92" t="e">
        <f ca="1">IF(C680="","",[0]!CSVVLookUP(ROW(行数!A672),配列!$C$4,集計記録,5,1))</f>
        <v>#NAME?</v>
      </c>
      <c r="L680" s="104" t="e">
        <f t="shared" ca="1" si="78"/>
        <v>#NAME?</v>
      </c>
      <c r="M680" s="120" t="e">
        <f t="shared" ca="1" si="72"/>
        <v>#NAME?</v>
      </c>
      <c r="N680" s="120" t="e">
        <f ca="1">IF([0]!CSVVLookUP(ROW(行数!A672),配列!$C$4,集計記録,6,1)=0,"",[0]!CSVVLookUP(ROW(行数!A672),配列!$C$4,集計記録,6,1))</f>
        <v>#NAME?</v>
      </c>
      <c r="O680" s="88" t="e">
        <f ca="1">IF(INDIRECT("M"&amp;ROW()-1)&lt;&gt;INDIRECT("M"&amp;ROW()),リスト!$I$5,"")</f>
        <v>#NAME?</v>
      </c>
      <c r="P680" s="88" t="e">
        <f ca="1">IF(INDIRECT("M"&amp;ROW())&lt;&gt;INDIRECT("M"&amp;ROW()+1),リスト!$I$6,"")</f>
        <v>#NAME?</v>
      </c>
    </row>
    <row r="681" spans="1:16" x14ac:dyDescent="0.2">
      <c r="A681" s="169" t="e">
        <f ca="1">IF(C681="","",ROW(行数!A673))</f>
        <v>#NAME?</v>
      </c>
      <c r="B681" s="168" t="e">
        <f t="shared" ca="1" si="73"/>
        <v>#NAME?</v>
      </c>
      <c r="C681" s="90" t="e">
        <f ca="1">[0]!CSVVLookUP(ROW(行数!A673),配列!$C$4,集計記録,3,1)</f>
        <v>#NAME?</v>
      </c>
      <c r="D681" s="90" t="e">
        <f ca="1">[0]!CSVVLookUP(ROW(行数!B673),配列!$C$4,集計記録,4,1)</f>
        <v>#NAME?</v>
      </c>
      <c r="E681" s="118" t="e">
        <f t="shared" ca="1" si="74"/>
        <v>#NAME?</v>
      </c>
      <c r="F681" s="118" t="e">
        <f t="shared" ca="1" si="75"/>
        <v>#NAME?</v>
      </c>
      <c r="G681" s="103" t="e">
        <f t="shared" ca="1" si="76"/>
        <v>#NAME?</v>
      </c>
      <c r="H681" s="104" t="e">
        <f ca="1">IF(C681="","",MROUND([0]!CSVVLookUP(ROW(行数!A673),配列!$C$4,集計記録,8,1),"0:01"))</f>
        <v>#NAME?</v>
      </c>
      <c r="I681" s="104" t="e">
        <f t="shared" ca="1" si="77"/>
        <v>#NAME?</v>
      </c>
      <c r="J681" s="119" t="e">
        <f ca="1">IF(C681="","",MROUND([0]!CSVVLookUP(ROW(行数!A673),配列!$C$4,集計記録,7,1),"0:01"))</f>
        <v>#NAME?</v>
      </c>
      <c r="K681" s="92" t="e">
        <f ca="1">IF(C681="","",[0]!CSVVLookUP(ROW(行数!A673),配列!$C$4,集計記録,5,1))</f>
        <v>#NAME?</v>
      </c>
      <c r="L681" s="104" t="e">
        <f t="shared" ca="1" si="78"/>
        <v>#NAME?</v>
      </c>
      <c r="M681" s="120" t="e">
        <f t="shared" ca="1" si="72"/>
        <v>#NAME?</v>
      </c>
      <c r="N681" s="120" t="e">
        <f ca="1">IF([0]!CSVVLookUP(ROW(行数!A673),配列!$C$4,集計記録,6,1)=0,"",[0]!CSVVLookUP(ROW(行数!A673),配列!$C$4,集計記録,6,1))</f>
        <v>#NAME?</v>
      </c>
      <c r="O681" s="88" t="e">
        <f ca="1">IF(INDIRECT("M"&amp;ROW()-1)&lt;&gt;INDIRECT("M"&amp;ROW()),リスト!$I$5,"")</f>
        <v>#NAME?</v>
      </c>
      <c r="P681" s="88" t="e">
        <f ca="1">IF(INDIRECT("M"&amp;ROW())&lt;&gt;INDIRECT("M"&amp;ROW()+1),リスト!$I$6,"")</f>
        <v>#NAME?</v>
      </c>
    </row>
    <row r="682" spans="1:16" x14ac:dyDescent="0.2">
      <c r="A682" s="169" t="e">
        <f ca="1">IF(C682="","",ROW(行数!A674))</f>
        <v>#NAME?</v>
      </c>
      <c r="B682" s="168" t="e">
        <f t="shared" ca="1" si="73"/>
        <v>#NAME?</v>
      </c>
      <c r="C682" s="90" t="e">
        <f ca="1">[0]!CSVVLookUP(ROW(行数!A674),配列!$C$4,集計記録,3,1)</f>
        <v>#NAME?</v>
      </c>
      <c r="D682" s="90" t="e">
        <f ca="1">[0]!CSVVLookUP(ROW(行数!B674),配列!$C$4,集計記録,4,1)</f>
        <v>#NAME?</v>
      </c>
      <c r="E682" s="118" t="e">
        <f t="shared" ca="1" si="74"/>
        <v>#NAME?</v>
      </c>
      <c r="F682" s="118" t="e">
        <f t="shared" ca="1" si="75"/>
        <v>#NAME?</v>
      </c>
      <c r="G682" s="103" t="e">
        <f t="shared" ca="1" si="76"/>
        <v>#NAME?</v>
      </c>
      <c r="H682" s="104" t="e">
        <f ca="1">IF(C682="","",MROUND([0]!CSVVLookUP(ROW(行数!A674),配列!$C$4,集計記録,8,1),"0:01"))</f>
        <v>#NAME?</v>
      </c>
      <c r="I682" s="104" t="e">
        <f t="shared" ca="1" si="77"/>
        <v>#NAME?</v>
      </c>
      <c r="J682" s="119" t="e">
        <f ca="1">IF(C682="","",MROUND([0]!CSVVLookUP(ROW(行数!A674),配列!$C$4,集計記録,7,1),"0:01"))</f>
        <v>#NAME?</v>
      </c>
      <c r="K682" s="92" t="e">
        <f ca="1">IF(C682="","",[0]!CSVVLookUP(ROW(行数!A674),配列!$C$4,集計記録,5,1))</f>
        <v>#NAME?</v>
      </c>
      <c r="L682" s="104" t="e">
        <f t="shared" ca="1" si="78"/>
        <v>#NAME?</v>
      </c>
      <c r="M682" s="120" t="e">
        <f t="shared" ca="1" si="72"/>
        <v>#NAME?</v>
      </c>
      <c r="N682" s="120" t="e">
        <f ca="1">IF([0]!CSVVLookUP(ROW(行数!A674),配列!$C$4,集計記録,6,1)=0,"",[0]!CSVVLookUP(ROW(行数!A674),配列!$C$4,集計記録,6,1))</f>
        <v>#NAME?</v>
      </c>
      <c r="O682" s="88" t="e">
        <f ca="1">IF(INDIRECT("M"&amp;ROW()-1)&lt;&gt;INDIRECT("M"&amp;ROW()),リスト!$I$5,"")</f>
        <v>#NAME?</v>
      </c>
      <c r="P682" s="88" t="e">
        <f ca="1">IF(INDIRECT("M"&amp;ROW())&lt;&gt;INDIRECT("M"&amp;ROW()+1),リスト!$I$6,"")</f>
        <v>#NAME?</v>
      </c>
    </row>
    <row r="683" spans="1:16" x14ac:dyDescent="0.2">
      <c r="A683" s="169" t="e">
        <f ca="1">IF(C683="","",ROW(行数!A675))</f>
        <v>#NAME?</v>
      </c>
      <c r="B683" s="168" t="e">
        <f t="shared" ca="1" si="73"/>
        <v>#NAME?</v>
      </c>
      <c r="C683" s="90" t="e">
        <f ca="1">[0]!CSVVLookUP(ROW(行数!A675),配列!$C$4,集計記録,3,1)</f>
        <v>#NAME?</v>
      </c>
      <c r="D683" s="90" t="e">
        <f ca="1">[0]!CSVVLookUP(ROW(行数!B675),配列!$C$4,集計記録,4,1)</f>
        <v>#NAME?</v>
      </c>
      <c r="E683" s="118" t="e">
        <f t="shared" ca="1" si="74"/>
        <v>#NAME?</v>
      </c>
      <c r="F683" s="118" t="e">
        <f t="shared" ca="1" si="75"/>
        <v>#NAME?</v>
      </c>
      <c r="G683" s="103" t="e">
        <f t="shared" ca="1" si="76"/>
        <v>#NAME?</v>
      </c>
      <c r="H683" s="104" t="e">
        <f ca="1">IF(C683="","",MROUND([0]!CSVVLookUP(ROW(行数!A675),配列!$C$4,集計記録,8,1),"0:01"))</f>
        <v>#NAME?</v>
      </c>
      <c r="I683" s="104" t="e">
        <f t="shared" ca="1" si="77"/>
        <v>#NAME?</v>
      </c>
      <c r="J683" s="119" t="e">
        <f ca="1">IF(C683="","",MROUND([0]!CSVVLookUP(ROW(行数!A675),配列!$C$4,集計記録,7,1),"0:01"))</f>
        <v>#NAME?</v>
      </c>
      <c r="K683" s="92" t="e">
        <f ca="1">IF(C683="","",[0]!CSVVLookUP(ROW(行数!A675),配列!$C$4,集計記録,5,1))</f>
        <v>#NAME?</v>
      </c>
      <c r="L683" s="104" t="e">
        <f t="shared" ca="1" si="78"/>
        <v>#NAME?</v>
      </c>
      <c r="M683" s="120" t="e">
        <f t="shared" ca="1" si="72"/>
        <v>#NAME?</v>
      </c>
      <c r="N683" s="120" t="e">
        <f ca="1">IF([0]!CSVVLookUP(ROW(行数!A675),配列!$C$4,集計記録,6,1)=0,"",[0]!CSVVLookUP(ROW(行数!A675),配列!$C$4,集計記録,6,1))</f>
        <v>#NAME?</v>
      </c>
      <c r="O683" s="88" t="e">
        <f ca="1">IF(INDIRECT("M"&amp;ROW()-1)&lt;&gt;INDIRECT("M"&amp;ROW()),リスト!$I$5,"")</f>
        <v>#NAME?</v>
      </c>
      <c r="P683" s="88" t="e">
        <f ca="1">IF(INDIRECT("M"&amp;ROW())&lt;&gt;INDIRECT("M"&amp;ROW()+1),リスト!$I$6,"")</f>
        <v>#NAME?</v>
      </c>
    </row>
    <row r="684" spans="1:16" x14ac:dyDescent="0.2">
      <c r="A684" s="169" t="e">
        <f ca="1">IF(C684="","",ROW(行数!A676))</f>
        <v>#NAME?</v>
      </c>
      <c r="B684" s="168" t="e">
        <f t="shared" ca="1" si="73"/>
        <v>#NAME?</v>
      </c>
      <c r="C684" s="90" t="e">
        <f ca="1">[0]!CSVVLookUP(ROW(行数!A676),配列!$C$4,集計記録,3,1)</f>
        <v>#NAME?</v>
      </c>
      <c r="D684" s="90" t="e">
        <f ca="1">[0]!CSVVLookUP(ROW(行数!B676),配列!$C$4,集計記録,4,1)</f>
        <v>#NAME?</v>
      </c>
      <c r="E684" s="118" t="e">
        <f t="shared" ca="1" si="74"/>
        <v>#NAME?</v>
      </c>
      <c r="F684" s="118" t="e">
        <f t="shared" ca="1" si="75"/>
        <v>#NAME?</v>
      </c>
      <c r="G684" s="103" t="e">
        <f t="shared" ca="1" si="76"/>
        <v>#NAME?</v>
      </c>
      <c r="H684" s="104" t="e">
        <f ca="1">IF(C684="","",MROUND([0]!CSVVLookUP(ROW(行数!A676),配列!$C$4,集計記録,8,1),"0:01"))</f>
        <v>#NAME?</v>
      </c>
      <c r="I684" s="104" t="e">
        <f t="shared" ca="1" si="77"/>
        <v>#NAME?</v>
      </c>
      <c r="J684" s="119" t="e">
        <f ca="1">IF(C684="","",MROUND([0]!CSVVLookUP(ROW(行数!A676),配列!$C$4,集計記録,7,1),"0:01"))</f>
        <v>#NAME?</v>
      </c>
      <c r="K684" s="92" t="e">
        <f ca="1">IF(C684="","",[0]!CSVVLookUP(ROW(行数!A676),配列!$C$4,集計記録,5,1))</f>
        <v>#NAME?</v>
      </c>
      <c r="L684" s="104" t="e">
        <f t="shared" ca="1" si="78"/>
        <v>#NAME?</v>
      </c>
      <c r="M684" s="120" t="e">
        <f t="shared" ca="1" si="72"/>
        <v>#NAME?</v>
      </c>
      <c r="N684" s="120" t="e">
        <f ca="1">IF([0]!CSVVLookUP(ROW(行数!A676),配列!$C$4,集計記録,6,1)=0,"",[0]!CSVVLookUP(ROW(行数!A676),配列!$C$4,集計記録,6,1))</f>
        <v>#NAME?</v>
      </c>
      <c r="O684" s="88" t="e">
        <f ca="1">IF(INDIRECT("M"&amp;ROW()-1)&lt;&gt;INDIRECT("M"&amp;ROW()),リスト!$I$5,"")</f>
        <v>#NAME?</v>
      </c>
      <c r="P684" s="88" t="e">
        <f ca="1">IF(INDIRECT("M"&amp;ROW())&lt;&gt;INDIRECT("M"&amp;ROW()+1),リスト!$I$6,"")</f>
        <v>#NAME?</v>
      </c>
    </row>
    <row r="685" spans="1:16" x14ac:dyDescent="0.2">
      <c r="A685" s="169" t="e">
        <f ca="1">IF(C685="","",ROW(行数!A677))</f>
        <v>#NAME?</v>
      </c>
      <c r="B685" s="168" t="e">
        <f t="shared" ca="1" si="73"/>
        <v>#NAME?</v>
      </c>
      <c r="C685" s="90" t="e">
        <f ca="1">[0]!CSVVLookUP(ROW(行数!A677),配列!$C$4,集計記録,3,1)</f>
        <v>#NAME?</v>
      </c>
      <c r="D685" s="90" t="e">
        <f ca="1">[0]!CSVVLookUP(ROW(行数!B677),配列!$C$4,集計記録,4,1)</f>
        <v>#NAME?</v>
      </c>
      <c r="E685" s="118" t="e">
        <f t="shared" ca="1" si="74"/>
        <v>#NAME?</v>
      </c>
      <c r="F685" s="118" t="e">
        <f t="shared" ca="1" si="75"/>
        <v>#NAME?</v>
      </c>
      <c r="G685" s="103" t="e">
        <f t="shared" ca="1" si="76"/>
        <v>#NAME?</v>
      </c>
      <c r="H685" s="104" t="e">
        <f ca="1">IF(C685="","",MROUND([0]!CSVVLookUP(ROW(行数!A677),配列!$C$4,集計記録,8,1),"0:01"))</f>
        <v>#NAME?</v>
      </c>
      <c r="I685" s="104" t="e">
        <f t="shared" ca="1" si="77"/>
        <v>#NAME?</v>
      </c>
      <c r="J685" s="119" t="e">
        <f ca="1">IF(C685="","",MROUND([0]!CSVVLookUP(ROW(行数!A677),配列!$C$4,集計記録,7,1),"0:01"))</f>
        <v>#NAME?</v>
      </c>
      <c r="K685" s="92" t="e">
        <f ca="1">IF(C685="","",[0]!CSVVLookUP(ROW(行数!A677),配列!$C$4,集計記録,5,1))</f>
        <v>#NAME?</v>
      </c>
      <c r="L685" s="104" t="e">
        <f t="shared" ca="1" si="78"/>
        <v>#NAME?</v>
      </c>
      <c r="M685" s="120" t="e">
        <f t="shared" ca="1" si="72"/>
        <v>#NAME?</v>
      </c>
      <c r="N685" s="120" t="e">
        <f ca="1">IF([0]!CSVVLookUP(ROW(行数!A677),配列!$C$4,集計記録,6,1)=0,"",[0]!CSVVLookUP(ROW(行数!A677),配列!$C$4,集計記録,6,1))</f>
        <v>#NAME?</v>
      </c>
      <c r="O685" s="88" t="e">
        <f ca="1">IF(INDIRECT("M"&amp;ROW()-1)&lt;&gt;INDIRECT("M"&amp;ROW()),リスト!$I$5,"")</f>
        <v>#NAME?</v>
      </c>
      <c r="P685" s="88" t="e">
        <f ca="1">IF(INDIRECT("M"&amp;ROW())&lt;&gt;INDIRECT("M"&amp;ROW()+1),リスト!$I$6,"")</f>
        <v>#NAME?</v>
      </c>
    </row>
    <row r="686" spans="1:16" x14ac:dyDescent="0.2">
      <c r="A686" s="169" t="e">
        <f ca="1">IF(C686="","",ROW(行数!A678))</f>
        <v>#NAME?</v>
      </c>
      <c r="B686" s="168" t="e">
        <f t="shared" ca="1" si="73"/>
        <v>#NAME?</v>
      </c>
      <c r="C686" s="90" t="e">
        <f ca="1">[0]!CSVVLookUP(ROW(行数!A678),配列!$C$4,集計記録,3,1)</f>
        <v>#NAME?</v>
      </c>
      <c r="D686" s="90" t="e">
        <f ca="1">[0]!CSVVLookUP(ROW(行数!B678),配列!$C$4,集計記録,4,1)</f>
        <v>#NAME?</v>
      </c>
      <c r="E686" s="118" t="e">
        <f t="shared" ca="1" si="74"/>
        <v>#NAME?</v>
      </c>
      <c r="F686" s="118" t="e">
        <f t="shared" ca="1" si="75"/>
        <v>#NAME?</v>
      </c>
      <c r="G686" s="103" t="e">
        <f t="shared" ca="1" si="76"/>
        <v>#NAME?</v>
      </c>
      <c r="H686" s="104" t="e">
        <f ca="1">IF(C686="","",MROUND([0]!CSVVLookUP(ROW(行数!A678),配列!$C$4,集計記録,8,1),"0:01"))</f>
        <v>#NAME?</v>
      </c>
      <c r="I686" s="104" t="e">
        <f t="shared" ca="1" si="77"/>
        <v>#NAME?</v>
      </c>
      <c r="J686" s="119" t="e">
        <f ca="1">IF(C686="","",MROUND([0]!CSVVLookUP(ROW(行数!A678),配列!$C$4,集計記録,7,1),"0:01"))</f>
        <v>#NAME?</v>
      </c>
      <c r="K686" s="92" t="e">
        <f ca="1">IF(C686="","",[0]!CSVVLookUP(ROW(行数!A678),配列!$C$4,集計記録,5,1))</f>
        <v>#NAME?</v>
      </c>
      <c r="L686" s="104" t="e">
        <f t="shared" ca="1" si="78"/>
        <v>#NAME?</v>
      </c>
      <c r="M686" s="120" t="e">
        <f t="shared" ca="1" si="72"/>
        <v>#NAME?</v>
      </c>
      <c r="N686" s="120" t="e">
        <f ca="1">IF([0]!CSVVLookUP(ROW(行数!A678),配列!$C$4,集計記録,6,1)=0,"",[0]!CSVVLookUP(ROW(行数!A678),配列!$C$4,集計記録,6,1))</f>
        <v>#NAME?</v>
      </c>
      <c r="O686" s="88" t="e">
        <f ca="1">IF(INDIRECT("M"&amp;ROW()-1)&lt;&gt;INDIRECT("M"&amp;ROW()),リスト!$I$5,"")</f>
        <v>#NAME?</v>
      </c>
      <c r="P686" s="88" t="e">
        <f ca="1">IF(INDIRECT("M"&amp;ROW())&lt;&gt;INDIRECT("M"&amp;ROW()+1),リスト!$I$6,"")</f>
        <v>#NAME?</v>
      </c>
    </row>
    <row r="687" spans="1:16" x14ac:dyDescent="0.2">
      <c r="A687" s="169" t="e">
        <f ca="1">IF(C687="","",ROW(行数!A679))</f>
        <v>#NAME?</v>
      </c>
      <c r="B687" s="168" t="e">
        <f t="shared" ca="1" si="73"/>
        <v>#NAME?</v>
      </c>
      <c r="C687" s="90" t="e">
        <f ca="1">[0]!CSVVLookUP(ROW(行数!A679),配列!$C$4,集計記録,3,1)</f>
        <v>#NAME?</v>
      </c>
      <c r="D687" s="90" t="e">
        <f ca="1">[0]!CSVVLookUP(ROW(行数!B679),配列!$C$4,集計記録,4,1)</f>
        <v>#NAME?</v>
      </c>
      <c r="E687" s="118" t="e">
        <f t="shared" ca="1" si="74"/>
        <v>#NAME?</v>
      </c>
      <c r="F687" s="118" t="e">
        <f t="shared" ca="1" si="75"/>
        <v>#NAME?</v>
      </c>
      <c r="G687" s="103" t="e">
        <f t="shared" ca="1" si="76"/>
        <v>#NAME?</v>
      </c>
      <c r="H687" s="104" t="e">
        <f ca="1">IF(C687="","",MROUND([0]!CSVVLookUP(ROW(行数!A679),配列!$C$4,集計記録,8,1),"0:01"))</f>
        <v>#NAME?</v>
      </c>
      <c r="I687" s="104" t="e">
        <f t="shared" ca="1" si="77"/>
        <v>#NAME?</v>
      </c>
      <c r="J687" s="119" t="e">
        <f ca="1">IF(C687="","",MROUND([0]!CSVVLookUP(ROW(行数!A679),配列!$C$4,集計記録,7,1),"0:01"))</f>
        <v>#NAME?</v>
      </c>
      <c r="K687" s="92" t="e">
        <f ca="1">IF(C687="","",[0]!CSVVLookUP(ROW(行数!A679),配列!$C$4,集計記録,5,1))</f>
        <v>#NAME?</v>
      </c>
      <c r="L687" s="104" t="e">
        <f t="shared" ca="1" si="78"/>
        <v>#NAME?</v>
      </c>
      <c r="M687" s="120" t="e">
        <f t="shared" ca="1" si="72"/>
        <v>#NAME?</v>
      </c>
      <c r="N687" s="120" t="e">
        <f ca="1">IF([0]!CSVVLookUP(ROW(行数!A679),配列!$C$4,集計記録,6,1)=0,"",[0]!CSVVLookUP(ROW(行数!A679),配列!$C$4,集計記録,6,1))</f>
        <v>#NAME?</v>
      </c>
      <c r="O687" s="88" t="e">
        <f ca="1">IF(INDIRECT("M"&amp;ROW()-1)&lt;&gt;INDIRECT("M"&amp;ROW()),リスト!$I$5,"")</f>
        <v>#NAME?</v>
      </c>
      <c r="P687" s="88" t="e">
        <f ca="1">IF(INDIRECT("M"&amp;ROW())&lt;&gt;INDIRECT("M"&amp;ROW()+1),リスト!$I$6,"")</f>
        <v>#NAME?</v>
      </c>
    </row>
    <row r="688" spans="1:16" x14ac:dyDescent="0.2">
      <c r="A688" s="169" t="e">
        <f ca="1">IF(C688="","",ROW(行数!A680))</f>
        <v>#NAME?</v>
      </c>
      <c r="B688" s="168" t="e">
        <f t="shared" ca="1" si="73"/>
        <v>#NAME?</v>
      </c>
      <c r="C688" s="90" t="e">
        <f ca="1">[0]!CSVVLookUP(ROW(行数!A680),配列!$C$4,集計記録,3,1)</f>
        <v>#NAME?</v>
      </c>
      <c r="D688" s="90" t="e">
        <f ca="1">[0]!CSVVLookUP(ROW(行数!B680),配列!$C$4,集計記録,4,1)</f>
        <v>#NAME?</v>
      </c>
      <c r="E688" s="118" t="e">
        <f t="shared" ca="1" si="74"/>
        <v>#NAME?</v>
      </c>
      <c r="F688" s="118" t="e">
        <f t="shared" ca="1" si="75"/>
        <v>#NAME?</v>
      </c>
      <c r="G688" s="103" t="e">
        <f t="shared" ca="1" si="76"/>
        <v>#NAME?</v>
      </c>
      <c r="H688" s="104" t="e">
        <f ca="1">IF(C688="","",MROUND([0]!CSVVLookUP(ROW(行数!A680),配列!$C$4,集計記録,8,1),"0:01"))</f>
        <v>#NAME?</v>
      </c>
      <c r="I688" s="104" t="e">
        <f t="shared" ca="1" si="77"/>
        <v>#NAME?</v>
      </c>
      <c r="J688" s="119" t="e">
        <f ca="1">IF(C688="","",MROUND([0]!CSVVLookUP(ROW(行数!A680),配列!$C$4,集計記録,7,1),"0:01"))</f>
        <v>#NAME?</v>
      </c>
      <c r="K688" s="92" t="e">
        <f ca="1">IF(C688="","",[0]!CSVVLookUP(ROW(行数!A680),配列!$C$4,集計記録,5,1))</f>
        <v>#NAME?</v>
      </c>
      <c r="L688" s="104" t="e">
        <f t="shared" ca="1" si="78"/>
        <v>#NAME?</v>
      </c>
      <c r="M688" s="120" t="e">
        <f t="shared" ca="1" si="72"/>
        <v>#NAME?</v>
      </c>
      <c r="N688" s="120" t="e">
        <f ca="1">IF([0]!CSVVLookUP(ROW(行数!A680),配列!$C$4,集計記録,6,1)=0,"",[0]!CSVVLookUP(ROW(行数!A680),配列!$C$4,集計記録,6,1))</f>
        <v>#NAME?</v>
      </c>
      <c r="O688" s="88" t="e">
        <f ca="1">IF(INDIRECT("M"&amp;ROW()-1)&lt;&gt;INDIRECT("M"&amp;ROW()),リスト!$I$5,"")</f>
        <v>#NAME?</v>
      </c>
      <c r="P688" s="88" t="e">
        <f ca="1">IF(INDIRECT("M"&amp;ROW())&lt;&gt;INDIRECT("M"&amp;ROW()+1),リスト!$I$6,"")</f>
        <v>#NAME?</v>
      </c>
    </row>
    <row r="689" spans="1:16" x14ac:dyDescent="0.2">
      <c r="A689" s="169" t="e">
        <f ca="1">IF(C689="","",ROW(行数!A681))</f>
        <v>#NAME?</v>
      </c>
      <c r="B689" s="168" t="e">
        <f t="shared" ca="1" si="73"/>
        <v>#NAME?</v>
      </c>
      <c r="C689" s="90" t="e">
        <f ca="1">[0]!CSVVLookUP(ROW(行数!A681),配列!$C$4,集計記録,3,1)</f>
        <v>#NAME?</v>
      </c>
      <c r="D689" s="90" t="e">
        <f ca="1">[0]!CSVVLookUP(ROW(行数!B681),配列!$C$4,集計記録,4,1)</f>
        <v>#NAME?</v>
      </c>
      <c r="E689" s="118" t="e">
        <f t="shared" ca="1" si="74"/>
        <v>#NAME?</v>
      </c>
      <c r="F689" s="118" t="e">
        <f t="shared" ca="1" si="75"/>
        <v>#NAME?</v>
      </c>
      <c r="G689" s="103" t="e">
        <f t="shared" ca="1" si="76"/>
        <v>#NAME?</v>
      </c>
      <c r="H689" s="104" t="e">
        <f ca="1">IF(C689="","",MROUND([0]!CSVVLookUP(ROW(行数!A681),配列!$C$4,集計記録,8,1),"0:01"))</f>
        <v>#NAME?</v>
      </c>
      <c r="I689" s="104" t="e">
        <f t="shared" ca="1" si="77"/>
        <v>#NAME?</v>
      </c>
      <c r="J689" s="119" t="e">
        <f ca="1">IF(C689="","",MROUND([0]!CSVVLookUP(ROW(行数!A681),配列!$C$4,集計記録,7,1),"0:01"))</f>
        <v>#NAME?</v>
      </c>
      <c r="K689" s="92" t="e">
        <f ca="1">IF(C689="","",[0]!CSVVLookUP(ROW(行数!A681),配列!$C$4,集計記録,5,1))</f>
        <v>#NAME?</v>
      </c>
      <c r="L689" s="104" t="e">
        <f t="shared" ca="1" si="78"/>
        <v>#NAME?</v>
      </c>
      <c r="M689" s="120" t="e">
        <f t="shared" ca="1" si="72"/>
        <v>#NAME?</v>
      </c>
      <c r="N689" s="120" t="e">
        <f ca="1">IF([0]!CSVVLookUP(ROW(行数!A681),配列!$C$4,集計記録,6,1)=0,"",[0]!CSVVLookUP(ROW(行数!A681),配列!$C$4,集計記録,6,1))</f>
        <v>#NAME?</v>
      </c>
      <c r="O689" s="88" t="e">
        <f ca="1">IF(INDIRECT("M"&amp;ROW()-1)&lt;&gt;INDIRECT("M"&amp;ROW()),リスト!$I$5,"")</f>
        <v>#NAME?</v>
      </c>
      <c r="P689" s="88" t="e">
        <f ca="1">IF(INDIRECT("M"&amp;ROW())&lt;&gt;INDIRECT("M"&amp;ROW()+1),リスト!$I$6,"")</f>
        <v>#NAME?</v>
      </c>
    </row>
    <row r="690" spans="1:16" x14ac:dyDescent="0.2">
      <c r="A690" s="169" t="e">
        <f ca="1">IF(C690="","",ROW(行数!A682))</f>
        <v>#NAME?</v>
      </c>
      <c r="B690" s="168" t="e">
        <f t="shared" ca="1" si="73"/>
        <v>#NAME?</v>
      </c>
      <c r="C690" s="90" t="e">
        <f ca="1">[0]!CSVVLookUP(ROW(行数!A682),配列!$C$4,集計記録,3,1)</f>
        <v>#NAME?</v>
      </c>
      <c r="D690" s="90" t="e">
        <f ca="1">[0]!CSVVLookUP(ROW(行数!B682),配列!$C$4,集計記録,4,1)</f>
        <v>#NAME?</v>
      </c>
      <c r="E690" s="118" t="e">
        <f t="shared" ca="1" si="74"/>
        <v>#NAME?</v>
      </c>
      <c r="F690" s="118" t="e">
        <f t="shared" ca="1" si="75"/>
        <v>#NAME?</v>
      </c>
      <c r="G690" s="103" t="e">
        <f t="shared" ca="1" si="76"/>
        <v>#NAME?</v>
      </c>
      <c r="H690" s="104" t="e">
        <f ca="1">IF(C690="","",MROUND([0]!CSVVLookUP(ROW(行数!A682),配列!$C$4,集計記録,8,1),"0:01"))</f>
        <v>#NAME?</v>
      </c>
      <c r="I690" s="104" t="e">
        <f t="shared" ca="1" si="77"/>
        <v>#NAME?</v>
      </c>
      <c r="J690" s="119" t="e">
        <f ca="1">IF(C690="","",MROUND([0]!CSVVLookUP(ROW(行数!A682),配列!$C$4,集計記録,7,1),"0:01"))</f>
        <v>#NAME?</v>
      </c>
      <c r="K690" s="92" t="e">
        <f ca="1">IF(C690="","",[0]!CSVVLookUP(ROW(行数!A682),配列!$C$4,集計記録,5,1))</f>
        <v>#NAME?</v>
      </c>
      <c r="L690" s="104" t="e">
        <f t="shared" ca="1" si="78"/>
        <v>#NAME?</v>
      </c>
      <c r="M690" s="120" t="e">
        <f t="shared" ca="1" si="72"/>
        <v>#NAME?</v>
      </c>
      <c r="N690" s="120" t="e">
        <f ca="1">IF([0]!CSVVLookUP(ROW(行数!A682),配列!$C$4,集計記録,6,1)=0,"",[0]!CSVVLookUP(ROW(行数!A682),配列!$C$4,集計記録,6,1))</f>
        <v>#NAME?</v>
      </c>
      <c r="O690" s="88" t="e">
        <f ca="1">IF(INDIRECT("M"&amp;ROW()-1)&lt;&gt;INDIRECT("M"&amp;ROW()),リスト!$I$5,"")</f>
        <v>#NAME?</v>
      </c>
      <c r="P690" s="88" t="e">
        <f ca="1">IF(INDIRECT("M"&amp;ROW())&lt;&gt;INDIRECT("M"&amp;ROW()+1),リスト!$I$6,"")</f>
        <v>#NAME?</v>
      </c>
    </row>
    <row r="691" spans="1:16" x14ac:dyDescent="0.2">
      <c r="A691" s="169" t="e">
        <f ca="1">IF(C691="","",ROW(行数!A683))</f>
        <v>#NAME?</v>
      </c>
      <c r="B691" s="168" t="e">
        <f t="shared" ca="1" si="73"/>
        <v>#NAME?</v>
      </c>
      <c r="C691" s="90" t="e">
        <f ca="1">[0]!CSVVLookUP(ROW(行数!A683),配列!$C$4,集計記録,3,1)</f>
        <v>#NAME?</v>
      </c>
      <c r="D691" s="90" t="e">
        <f ca="1">[0]!CSVVLookUP(ROW(行数!B683),配列!$C$4,集計記録,4,1)</f>
        <v>#NAME?</v>
      </c>
      <c r="E691" s="118" t="e">
        <f t="shared" ca="1" si="74"/>
        <v>#NAME?</v>
      </c>
      <c r="F691" s="118" t="e">
        <f t="shared" ca="1" si="75"/>
        <v>#NAME?</v>
      </c>
      <c r="G691" s="103" t="e">
        <f t="shared" ca="1" si="76"/>
        <v>#NAME?</v>
      </c>
      <c r="H691" s="104" t="e">
        <f ca="1">IF(C691="","",MROUND([0]!CSVVLookUP(ROW(行数!A683),配列!$C$4,集計記録,8,1),"0:01"))</f>
        <v>#NAME?</v>
      </c>
      <c r="I691" s="104" t="e">
        <f t="shared" ca="1" si="77"/>
        <v>#NAME?</v>
      </c>
      <c r="J691" s="119" t="e">
        <f ca="1">IF(C691="","",MROUND([0]!CSVVLookUP(ROW(行数!A683),配列!$C$4,集計記録,7,1),"0:01"))</f>
        <v>#NAME?</v>
      </c>
      <c r="K691" s="92" t="e">
        <f ca="1">IF(C691="","",[0]!CSVVLookUP(ROW(行数!A683),配列!$C$4,集計記録,5,1))</f>
        <v>#NAME?</v>
      </c>
      <c r="L691" s="104" t="e">
        <f t="shared" ca="1" si="78"/>
        <v>#NAME?</v>
      </c>
      <c r="M691" s="120" t="e">
        <f t="shared" ca="1" si="72"/>
        <v>#NAME?</v>
      </c>
      <c r="N691" s="120" t="e">
        <f ca="1">IF([0]!CSVVLookUP(ROW(行数!A683),配列!$C$4,集計記録,6,1)=0,"",[0]!CSVVLookUP(ROW(行数!A683),配列!$C$4,集計記録,6,1))</f>
        <v>#NAME?</v>
      </c>
      <c r="O691" s="88" t="e">
        <f ca="1">IF(INDIRECT("M"&amp;ROW()-1)&lt;&gt;INDIRECT("M"&amp;ROW()),リスト!$I$5,"")</f>
        <v>#NAME?</v>
      </c>
      <c r="P691" s="88" t="e">
        <f ca="1">IF(INDIRECT("M"&amp;ROW())&lt;&gt;INDIRECT("M"&amp;ROW()+1),リスト!$I$6,"")</f>
        <v>#NAME?</v>
      </c>
    </row>
    <row r="692" spans="1:16" x14ac:dyDescent="0.2">
      <c r="A692" s="169" t="e">
        <f ca="1">IF(C692="","",ROW(行数!A684))</f>
        <v>#NAME?</v>
      </c>
      <c r="B692" s="168" t="e">
        <f t="shared" ca="1" si="73"/>
        <v>#NAME?</v>
      </c>
      <c r="C692" s="90" t="e">
        <f ca="1">[0]!CSVVLookUP(ROW(行数!A684),配列!$C$4,集計記録,3,1)</f>
        <v>#NAME?</v>
      </c>
      <c r="D692" s="90" t="e">
        <f ca="1">[0]!CSVVLookUP(ROW(行数!B684),配列!$C$4,集計記録,4,1)</f>
        <v>#NAME?</v>
      </c>
      <c r="E692" s="118" t="e">
        <f t="shared" ca="1" si="74"/>
        <v>#NAME?</v>
      </c>
      <c r="F692" s="118" t="e">
        <f t="shared" ca="1" si="75"/>
        <v>#NAME?</v>
      </c>
      <c r="G692" s="103" t="e">
        <f t="shared" ca="1" si="76"/>
        <v>#NAME?</v>
      </c>
      <c r="H692" s="104" t="e">
        <f ca="1">IF(C692="","",MROUND([0]!CSVVLookUP(ROW(行数!A684),配列!$C$4,集計記録,8,1),"0:01"))</f>
        <v>#NAME?</v>
      </c>
      <c r="I692" s="104" t="e">
        <f t="shared" ca="1" si="77"/>
        <v>#NAME?</v>
      </c>
      <c r="J692" s="119" t="e">
        <f ca="1">IF(C692="","",MROUND([0]!CSVVLookUP(ROW(行数!A684),配列!$C$4,集計記録,7,1),"0:01"))</f>
        <v>#NAME?</v>
      </c>
      <c r="K692" s="92" t="e">
        <f ca="1">IF(C692="","",[0]!CSVVLookUP(ROW(行数!A684),配列!$C$4,集計記録,5,1))</f>
        <v>#NAME?</v>
      </c>
      <c r="L692" s="104" t="e">
        <f t="shared" ca="1" si="78"/>
        <v>#NAME?</v>
      </c>
      <c r="M692" s="120" t="e">
        <f t="shared" ca="1" si="72"/>
        <v>#NAME?</v>
      </c>
      <c r="N692" s="120" t="e">
        <f ca="1">IF([0]!CSVVLookUP(ROW(行数!A684),配列!$C$4,集計記録,6,1)=0,"",[0]!CSVVLookUP(ROW(行数!A684),配列!$C$4,集計記録,6,1))</f>
        <v>#NAME?</v>
      </c>
      <c r="O692" s="88" t="e">
        <f ca="1">IF(INDIRECT("M"&amp;ROW()-1)&lt;&gt;INDIRECT("M"&amp;ROW()),リスト!$I$5,"")</f>
        <v>#NAME?</v>
      </c>
      <c r="P692" s="88" t="e">
        <f ca="1">IF(INDIRECT("M"&amp;ROW())&lt;&gt;INDIRECT("M"&amp;ROW()+1),リスト!$I$6,"")</f>
        <v>#NAME?</v>
      </c>
    </row>
    <row r="693" spans="1:16" x14ac:dyDescent="0.2">
      <c r="A693" s="169" t="e">
        <f ca="1">IF(C693="","",ROW(行数!A685))</f>
        <v>#NAME?</v>
      </c>
      <c r="B693" s="168" t="e">
        <f t="shared" ca="1" si="73"/>
        <v>#NAME?</v>
      </c>
      <c r="C693" s="90" t="e">
        <f ca="1">[0]!CSVVLookUP(ROW(行数!A685),配列!$C$4,集計記録,3,1)</f>
        <v>#NAME?</v>
      </c>
      <c r="D693" s="90" t="e">
        <f ca="1">[0]!CSVVLookUP(ROW(行数!B685),配列!$C$4,集計記録,4,1)</f>
        <v>#NAME?</v>
      </c>
      <c r="E693" s="118" t="e">
        <f t="shared" ca="1" si="74"/>
        <v>#NAME?</v>
      </c>
      <c r="F693" s="118" t="e">
        <f t="shared" ca="1" si="75"/>
        <v>#NAME?</v>
      </c>
      <c r="G693" s="103" t="e">
        <f t="shared" ca="1" si="76"/>
        <v>#NAME?</v>
      </c>
      <c r="H693" s="104" t="e">
        <f ca="1">IF(C693="","",MROUND([0]!CSVVLookUP(ROW(行数!A685),配列!$C$4,集計記録,8,1),"0:01"))</f>
        <v>#NAME?</v>
      </c>
      <c r="I693" s="104" t="e">
        <f t="shared" ca="1" si="77"/>
        <v>#NAME?</v>
      </c>
      <c r="J693" s="119" t="e">
        <f ca="1">IF(C693="","",MROUND([0]!CSVVLookUP(ROW(行数!A685),配列!$C$4,集計記録,7,1),"0:01"))</f>
        <v>#NAME?</v>
      </c>
      <c r="K693" s="92" t="e">
        <f ca="1">IF(C693="","",[0]!CSVVLookUP(ROW(行数!A685),配列!$C$4,集計記録,5,1))</f>
        <v>#NAME?</v>
      </c>
      <c r="L693" s="104" t="e">
        <f t="shared" ca="1" si="78"/>
        <v>#NAME?</v>
      </c>
      <c r="M693" s="120" t="e">
        <f t="shared" ca="1" si="72"/>
        <v>#NAME?</v>
      </c>
      <c r="N693" s="120" t="e">
        <f ca="1">IF([0]!CSVVLookUP(ROW(行数!A685),配列!$C$4,集計記録,6,1)=0,"",[0]!CSVVLookUP(ROW(行数!A685),配列!$C$4,集計記録,6,1))</f>
        <v>#NAME?</v>
      </c>
      <c r="O693" s="88" t="e">
        <f ca="1">IF(INDIRECT("M"&amp;ROW()-1)&lt;&gt;INDIRECT("M"&amp;ROW()),リスト!$I$5,"")</f>
        <v>#NAME?</v>
      </c>
      <c r="P693" s="88" t="e">
        <f ca="1">IF(INDIRECT("M"&amp;ROW())&lt;&gt;INDIRECT("M"&amp;ROW()+1),リスト!$I$6,"")</f>
        <v>#NAME?</v>
      </c>
    </row>
    <row r="694" spans="1:16" x14ac:dyDescent="0.2">
      <c r="A694" s="169" t="e">
        <f ca="1">IF(C694="","",ROW(行数!A686))</f>
        <v>#NAME?</v>
      </c>
      <c r="B694" s="168" t="e">
        <f t="shared" ca="1" si="73"/>
        <v>#NAME?</v>
      </c>
      <c r="C694" s="90" t="e">
        <f ca="1">[0]!CSVVLookUP(ROW(行数!A686),配列!$C$4,集計記録,3,1)</f>
        <v>#NAME?</v>
      </c>
      <c r="D694" s="90" t="e">
        <f ca="1">[0]!CSVVLookUP(ROW(行数!B686),配列!$C$4,集計記録,4,1)</f>
        <v>#NAME?</v>
      </c>
      <c r="E694" s="118" t="e">
        <f t="shared" ca="1" si="74"/>
        <v>#NAME?</v>
      </c>
      <c r="F694" s="118" t="e">
        <f t="shared" ca="1" si="75"/>
        <v>#NAME?</v>
      </c>
      <c r="G694" s="103" t="e">
        <f t="shared" ca="1" si="76"/>
        <v>#NAME?</v>
      </c>
      <c r="H694" s="104" t="e">
        <f ca="1">IF(C694="","",MROUND([0]!CSVVLookUP(ROW(行数!A686),配列!$C$4,集計記録,8,1),"0:01"))</f>
        <v>#NAME?</v>
      </c>
      <c r="I694" s="104" t="e">
        <f t="shared" ca="1" si="77"/>
        <v>#NAME?</v>
      </c>
      <c r="J694" s="119" t="e">
        <f ca="1">IF(C694="","",MROUND([0]!CSVVLookUP(ROW(行数!A686),配列!$C$4,集計記録,7,1),"0:01"))</f>
        <v>#NAME?</v>
      </c>
      <c r="K694" s="92" t="e">
        <f ca="1">IF(C694="","",[0]!CSVVLookUP(ROW(行数!A686),配列!$C$4,集計記録,5,1))</f>
        <v>#NAME?</v>
      </c>
      <c r="L694" s="104" t="e">
        <f t="shared" ca="1" si="78"/>
        <v>#NAME?</v>
      </c>
      <c r="M694" s="120" t="e">
        <f t="shared" ca="1" si="72"/>
        <v>#NAME?</v>
      </c>
      <c r="N694" s="120" t="e">
        <f ca="1">IF([0]!CSVVLookUP(ROW(行数!A686),配列!$C$4,集計記録,6,1)=0,"",[0]!CSVVLookUP(ROW(行数!A686),配列!$C$4,集計記録,6,1))</f>
        <v>#NAME?</v>
      </c>
      <c r="O694" s="88" t="e">
        <f ca="1">IF(INDIRECT("M"&amp;ROW()-1)&lt;&gt;INDIRECT("M"&amp;ROW()),リスト!$I$5,"")</f>
        <v>#NAME?</v>
      </c>
      <c r="P694" s="88" t="e">
        <f ca="1">IF(INDIRECT("M"&amp;ROW())&lt;&gt;INDIRECT("M"&amp;ROW()+1),リスト!$I$6,"")</f>
        <v>#NAME?</v>
      </c>
    </row>
    <row r="695" spans="1:16" x14ac:dyDescent="0.2">
      <c r="A695" s="169" t="e">
        <f ca="1">IF(C695="","",ROW(行数!A687))</f>
        <v>#NAME?</v>
      </c>
      <c r="B695" s="168" t="e">
        <f t="shared" ca="1" si="73"/>
        <v>#NAME?</v>
      </c>
      <c r="C695" s="90" t="e">
        <f ca="1">[0]!CSVVLookUP(ROW(行数!A687),配列!$C$4,集計記録,3,1)</f>
        <v>#NAME?</v>
      </c>
      <c r="D695" s="90" t="e">
        <f ca="1">[0]!CSVVLookUP(ROW(行数!B687),配列!$C$4,集計記録,4,1)</f>
        <v>#NAME?</v>
      </c>
      <c r="E695" s="118" t="e">
        <f t="shared" ca="1" si="74"/>
        <v>#NAME?</v>
      </c>
      <c r="F695" s="118" t="e">
        <f t="shared" ca="1" si="75"/>
        <v>#NAME?</v>
      </c>
      <c r="G695" s="103" t="e">
        <f t="shared" ca="1" si="76"/>
        <v>#NAME?</v>
      </c>
      <c r="H695" s="104" t="e">
        <f ca="1">IF(C695="","",MROUND([0]!CSVVLookUP(ROW(行数!A687),配列!$C$4,集計記録,8,1),"0:01"))</f>
        <v>#NAME?</v>
      </c>
      <c r="I695" s="104" t="e">
        <f t="shared" ca="1" si="77"/>
        <v>#NAME?</v>
      </c>
      <c r="J695" s="119" t="e">
        <f ca="1">IF(C695="","",MROUND([0]!CSVVLookUP(ROW(行数!A687),配列!$C$4,集計記録,7,1),"0:01"))</f>
        <v>#NAME?</v>
      </c>
      <c r="K695" s="92" t="e">
        <f ca="1">IF(C695="","",[0]!CSVVLookUP(ROW(行数!A687),配列!$C$4,集計記録,5,1))</f>
        <v>#NAME?</v>
      </c>
      <c r="L695" s="104" t="e">
        <f t="shared" ca="1" si="78"/>
        <v>#NAME?</v>
      </c>
      <c r="M695" s="120" t="e">
        <f t="shared" ca="1" si="72"/>
        <v>#NAME?</v>
      </c>
      <c r="N695" s="120" t="e">
        <f ca="1">IF([0]!CSVVLookUP(ROW(行数!A687),配列!$C$4,集計記録,6,1)=0,"",[0]!CSVVLookUP(ROW(行数!A687),配列!$C$4,集計記録,6,1))</f>
        <v>#NAME?</v>
      </c>
      <c r="O695" s="88" t="e">
        <f ca="1">IF(INDIRECT("M"&amp;ROW()-1)&lt;&gt;INDIRECT("M"&amp;ROW()),リスト!$I$5,"")</f>
        <v>#NAME?</v>
      </c>
      <c r="P695" s="88" t="e">
        <f ca="1">IF(INDIRECT("M"&amp;ROW())&lt;&gt;INDIRECT("M"&amp;ROW()+1),リスト!$I$6,"")</f>
        <v>#NAME?</v>
      </c>
    </row>
    <row r="696" spans="1:16" x14ac:dyDescent="0.2">
      <c r="A696" s="169" t="e">
        <f ca="1">IF(C696="","",ROW(行数!A688))</f>
        <v>#NAME?</v>
      </c>
      <c r="B696" s="168" t="e">
        <f t="shared" ca="1" si="73"/>
        <v>#NAME?</v>
      </c>
      <c r="C696" s="90" t="e">
        <f ca="1">[0]!CSVVLookUP(ROW(行数!A688),配列!$C$4,集計記録,3,1)</f>
        <v>#NAME?</v>
      </c>
      <c r="D696" s="90" t="e">
        <f ca="1">[0]!CSVVLookUP(ROW(行数!B688),配列!$C$4,集計記録,4,1)</f>
        <v>#NAME?</v>
      </c>
      <c r="E696" s="118" t="e">
        <f t="shared" ca="1" si="74"/>
        <v>#NAME?</v>
      </c>
      <c r="F696" s="118" t="e">
        <f t="shared" ca="1" si="75"/>
        <v>#NAME?</v>
      </c>
      <c r="G696" s="103" t="e">
        <f t="shared" ca="1" si="76"/>
        <v>#NAME?</v>
      </c>
      <c r="H696" s="104" t="e">
        <f ca="1">IF(C696="","",MROUND([0]!CSVVLookUP(ROW(行数!A688),配列!$C$4,集計記録,8,1),"0:01"))</f>
        <v>#NAME?</v>
      </c>
      <c r="I696" s="104" t="e">
        <f t="shared" ca="1" si="77"/>
        <v>#NAME?</v>
      </c>
      <c r="J696" s="119" t="e">
        <f ca="1">IF(C696="","",MROUND([0]!CSVVLookUP(ROW(行数!A688),配列!$C$4,集計記録,7,1),"0:01"))</f>
        <v>#NAME?</v>
      </c>
      <c r="K696" s="92" t="e">
        <f ca="1">IF(C696="","",[0]!CSVVLookUP(ROW(行数!A688),配列!$C$4,集計記録,5,1))</f>
        <v>#NAME?</v>
      </c>
      <c r="L696" s="104" t="e">
        <f t="shared" ca="1" si="78"/>
        <v>#NAME?</v>
      </c>
      <c r="M696" s="120" t="e">
        <f t="shared" ca="1" si="72"/>
        <v>#NAME?</v>
      </c>
      <c r="N696" s="120" t="e">
        <f ca="1">IF([0]!CSVVLookUP(ROW(行数!A688),配列!$C$4,集計記録,6,1)=0,"",[0]!CSVVLookUP(ROW(行数!A688),配列!$C$4,集計記録,6,1))</f>
        <v>#NAME?</v>
      </c>
      <c r="O696" s="88" t="e">
        <f ca="1">IF(INDIRECT("M"&amp;ROW()-1)&lt;&gt;INDIRECT("M"&amp;ROW()),リスト!$I$5,"")</f>
        <v>#NAME?</v>
      </c>
      <c r="P696" s="88" t="e">
        <f ca="1">IF(INDIRECT("M"&amp;ROW())&lt;&gt;INDIRECT("M"&amp;ROW()+1),リスト!$I$6,"")</f>
        <v>#NAME?</v>
      </c>
    </row>
    <row r="697" spans="1:16" x14ac:dyDescent="0.2">
      <c r="A697" s="169" t="e">
        <f ca="1">IF(C697="","",ROW(行数!A689))</f>
        <v>#NAME?</v>
      </c>
      <c r="B697" s="168" t="e">
        <f t="shared" ca="1" si="73"/>
        <v>#NAME?</v>
      </c>
      <c r="C697" s="90" t="e">
        <f ca="1">[0]!CSVVLookUP(ROW(行数!A689),配列!$C$4,集計記録,3,1)</f>
        <v>#NAME?</v>
      </c>
      <c r="D697" s="90" t="e">
        <f ca="1">[0]!CSVVLookUP(ROW(行数!B689),配列!$C$4,集計記録,4,1)</f>
        <v>#NAME?</v>
      </c>
      <c r="E697" s="118" t="e">
        <f t="shared" ca="1" si="74"/>
        <v>#NAME?</v>
      </c>
      <c r="F697" s="118" t="e">
        <f t="shared" ca="1" si="75"/>
        <v>#NAME?</v>
      </c>
      <c r="G697" s="103" t="e">
        <f t="shared" ca="1" si="76"/>
        <v>#NAME?</v>
      </c>
      <c r="H697" s="104" t="e">
        <f ca="1">IF(C697="","",MROUND([0]!CSVVLookUP(ROW(行数!A689),配列!$C$4,集計記録,8,1),"0:01"))</f>
        <v>#NAME?</v>
      </c>
      <c r="I697" s="104" t="e">
        <f t="shared" ca="1" si="77"/>
        <v>#NAME?</v>
      </c>
      <c r="J697" s="119" t="e">
        <f ca="1">IF(C697="","",MROUND([0]!CSVVLookUP(ROW(行数!A689),配列!$C$4,集計記録,7,1),"0:01"))</f>
        <v>#NAME?</v>
      </c>
      <c r="K697" s="92" t="e">
        <f ca="1">IF(C697="","",[0]!CSVVLookUP(ROW(行数!A689),配列!$C$4,集計記録,5,1))</f>
        <v>#NAME?</v>
      </c>
      <c r="L697" s="104" t="e">
        <f t="shared" ca="1" si="78"/>
        <v>#NAME?</v>
      </c>
      <c r="M697" s="120" t="e">
        <f t="shared" ca="1" si="72"/>
        <v>#NAME?</v>
      </c>
      <c r="N697" s="120" t="e">
        <f ca="1">IF([0]!CSVVLookUP(ROW(行数!A689),配列!$C$4,集計記録,6,1)=0,"",[0]!CSVVLookUP(ROW(行数!A689),配列!$C$4,集計記録,6,1))</f>
        <v>#NAME?</v>
      </c>
      <c r="O697" s="88" t="e">
        <f ca="1">IF(INDIRECT("M"&amp;ROW()-1)&lt;&gt;INDIRECT("M"&amp;ROW()),リスト!$I$5,"")</f>
        <v>#NAME?</v>
      </c>
      <c r="P697" s="88" t="e">
        <f ca="1">IF(INDIRECT("M"&amp;ROW())&lt;&gt;INDIRECT("M"&amp;ROW()+1),リスト!$I$6,"")</f>
        <v>#NAME?</v>
      </c>
    </row>
    <row r="698" spans="1:16" x14ac:dyDescent="0.2">
      <c r="A698" s="169" t="e">
        <f ca="1">IF(C698="","",ROW(行数!A690))</f>
        <v>#NAME?</v>
      </c>
      <c r="B698" s="168" t="e">
        <f t="shared" ca="1" si="73"/>
        <v>#NAME?</v>
      </c>
      <c r="C698" s="90" t="e">
        <f ca="1">[0]!CSVVLookUP(ROW(行数!A690),配列!$C$4,集計記録,3,1)</f>
        <v>#NAME?</v>
      </c>
      <c r="D698" s="90" t="e">
        <f ca="1">[0]!CSVVLookUP(ROW(行数!B690),配列!$C$4,集計記録,4,1)</f>
        <v>#NAME?</v>
      </c>
      <c r="E698" s="118" t="e">
        <f t="shared" ca="1" si="74"/>
        <v>#NAME?</v>
      </c>
      <c r="F698" s="118" t="e">
        <f t="shared" ca="1" si="75"/>
        <v>#NAME?</v>
      </c>
      <c r="G698" s="103" t="e">
        <f t="shared" ca="1" si="76"/>
        <v>#NAME?</v>
      </c>
      <c r="H698" s="104" t="e">
        <f ca="1">IF(C698="","",MROUND([0]!CSVVLookUP(ROW(行数!A690),配列!$C$4,集計記録,8,1),"0:01"))</f>
        <v>#NAME?</v>
      </c>
      <c r="I698" s="104" t="e">
        <f t="shared" ca="1" si="77"/>
        <v>#NAME?</v>
      </c>
      <c r="J698" s="119" t="e">
        <f ca="1">IF(C698="","",MROUND([0]!CSVVLookUP(ROW(行数!A690),配列!$C$4,集計記録,7,1),"0:01"))</f>
        <v>#NAME?</v>
      </c>
      <c r="K698" s="92" t="e">
        <f ca="1">IF(C698="","",[0]!CSVVLookUP(ROW(行数!A690),配列!$C$4,集計記録,5,1))</f>
        <v>#NAME?</v>
      </c>
      <c r="L698" s="104" t="e">
        <f t="shared" ca="1" si="78"/>
        <v>#NAME?</v>
      </c>
      <c r="M698" s="120" t="e">
        <f t="shared" ca="1" si="72"/>
        <v>#NAME?</v>
      </c>
      <c r="N698" s="120" t="e">
        <f ca="1">IF([0]!CSVVLookUP(ROW(行数!A690),配列!$C$4,集計記録,6,1)=0,"",[0]!CSVVLookUP(ROW(行数!A690),配列!$C$4,集計記録,6,1))</f>
        <v>#NAME?</v>
      </c>
      <c r="O698" s="88" t="e">
        <f ca="1">IF(INDIRECT("M"&amp;ROW()-1)&lt;&gt;INDIRECT("M"&amp;ROW()),リスト!$I$5,"")</f>
        <v>#NAME?</v>
      </c>
      <c r="P698" s="88" t="e">
        <f ca="1">IF(INDIRECT("M"&amp;ROW())&lt;&gt;INDIRECT("M"&amp;ROW()+1),リスト!$I$6,"")</f>
        <v>#NAME?</v>
      </c>
    </row>
    <row r="699" spans="1:16" x14ac:dyDescent="0.2">
      <c r="A699" s="169" t="e">
        <f ca="1">IF(C699="","",ROW(行数!A691))</f>
        <v>#NAME?</v>
      </c>
      <c r="B699" s="168" t="e">
        <f t="shared" ca="1" si="73"/>
        <v>#NAME?</v>
      </c>
      <c r="C699" s="90" t="e">
        <f ca="1">[0]!CSVVLookUP(ROW(行数!A691),配列!$C$4,集計記録,3,1)</f>
        <v>#NAME?</v>
      </c>
      <c r="D699" s="90" t="e">
        <f ca="1">[0]!CSVVLookUP(ROW(行数!B691),配列!$C$4,集計記録,4,1)</f>
        <v>#NAME?</v>
      </c>
      <c r="E699" s="118" t="e">
        <f t="shared" ca="1" si="74"/>
        <v>#NAME?</v>
      </c>
      <c r="F699" s="118" t="e">
        <f t="shared" ca="1" si="75"/>
        <v>#NAME?</v>
      </c>
      <c r="G699" s="103" t="e">
        <f t="shared" ca="1" si="76"/>
        <v>#NAME?</v>
      </c>
      <c r="H699" s="104" t="e">
        <f ca="1">IF(C699="","",MROUND([0]!CSVVLookUP(ROW(行数!A691),配列!$C$4,集計記録,8,1),"0:01"))</f>
        <v>#NAME?</v>
      </c>
      <c r="I699" s="104" t="e">
        <f t="shared" ca="1" si="77"/>
        <v>#NAME?</v>
      </c>
      <c r="J699" s="119" t="e">
        <f ca="1">IF(C699="","",MROUND([0]!CSVVLookUP(ROW(行数!A691),配列!$C$4,集計記録,7,1),"0:01"))</f>
        <v>#NAME?</v>
      </c>
      <c r="K699" s="92" t="e">
        <f ca="1">IF(C699="","",[0]!CSVVLookUP(ROW(行数!A691),配列!$C$4,集計記録,5,1))</f>
        <v>#NAME?</v>
      </c>
      <c r="L699" s="104" t="e">
        <f t="shared" ca="1" si="78"/>
        <v>#NAME?</v>
      </c>
      <c r="M699" s="120" t="e">
        <f t="shared" ca="1" si="72"/>
        <v>#NAME?</v>
      </c>
      <c r="N699" s="120" t="e">
        <f ca="1">IF([0]!CSVVLookUP(ROW(行数!A691),配列!$C$4,集計記録,6,1)=0,"",[0]!CSVVLookUP(ROW(行数!A691),配列!$C$4,集計記録,6,1))</f>
        <v>#NAME?</v>
      </c>
      <c r="O699" s="88" t="e">
        <f ca="1">IF(INDIRECT("M"&amp;ROW()-1)&lt;&gt;INDIRECT("M"&amp;ROW()),リスト!$I$5,"")</f>
        <v>#NAME?</v>
      </c>
      <c r="P699" s="88" t="e">
        <f ca="1">IF(INDIRECT("M"&amp;ROW())&lt;&gt;INDIRECT("M"&amp;ROW()+1),リスト!$I$6,"")</f>
        <v>#NAME?</v>
      </c>
    </row>
    <row r="700" spans="1:16" x14ac:dyDescent="0.2">
      <c r="A700" s="169" t="e">
        <f ca="1">IF(C700="","",ROW(行数!A692))</f>
        <v>#NAME?</v>
      </c>
      <c r="B700" s="168" t="e">
        <f t="shared" ca="1" si="73"/>
        <v>#NAME?</v>
      </c>
      <c r="C700" s="90" t="e">
        <f ca="1">[0]!CSVVLookUP(ROW(行数!A692),配列!$C$4,集計記録,3,1)</f>
        <v>#NAME?</v>
      </c>
      <c r="D700" s="90" t="e">
        <f ca="1">[0]!CSVVLookUP(ROW(行数!B692),配列!$C$4,集計記録,4,1)</f>
        <v>#NAME?</v>
      </c>
      <c r="E700" s="118" t="e">
        <f t="shared" ca="1" si="74"/>
        <v>#NAME?</v>
      </c>
      <c r="F700" s="118" t="e">
        <f t="shared" ca="1" si="75"/>
        <v>#NAME?</v>
      </c>
      <c r="G700" s="103" t="e">
        <f t="shared" ca="1" si="76"/>
        <v>#NAME?</v>
      </c>
      <c r="H700" s="104" t="e">
        <f ca="1">IF(C700="","",MROUND([0]!CSVVLookUP(ROW(行数!A692),配列!$C$4,集計記録,8,1),"0:01"))</f>
        <v>#NAME?</v>
      </c>
      <c r="I700" s="104" t="e">
        <f t="shared" ca="1" si="77"/>
        <v>#NAME?</v>
      </c>
      <c r="J700" s="119" t="e">
        <f ca="1">IF(C700="","",MROUND([0]!CSVVLookUP(ROW(行数!A692),配列!$C$4,集計記録,7,1),"0:01"))</f>
        <v>#NAME?</v>
      </c>
      <c r="K700" s="92" t="e">
        <f ca="1">IF(C700="","",[0]!CSVVLookUP(ROW(行数!A692),配列!$C$4,集計記録,5,1))</f>
        <v>#NAME?</v>
      </c>
      <c r="L700" s="104" t="e">
        <f t="shared" ca="1" si="78"/>
        <v>#NAME?</v>
      </c>
      <c r="M700" s="120" t="e">
        <f t="shared" ca="1" si="72"/>
        <v>#NAME?</v>
      </c>
      <c r="N700" s="120" t="e">
        <f ca="1">IF([0]!CSVVLookUP(ROW(行数!A692),配列!$C$4,集計記録,6,1)=0,"",[0]!CSVVLookUP(ROW(行数!A692),配列!$C$4,集計記録,6,1))</f>
        <v>#NAME?</v>
      </c>
      <c r="O700" s="88" t="e">
        <f ca="1">IF(INDIRECT("M"&amp;ROW()-1)&lt;&gt;INDIRECT("M"&amp;ROW()),リスト!$I$5,"")</f>
        <v>#NAME?</v>
      </c>
      <c r="P700" s="88" t="e">
        <f ca="1">IF(INDIRECT("M"&amp;ROW())&lt;&gt;INDIRECT("M"&amp;ROW()+1),リスト!$I$6,"")</f>
        <v>#NAME?</v>
      </c>
    </row>
    <row r="701" spans="1:16" x14ac:dyDescent="0.2">
      <c r="A701" s="169" t="e">
        <f ca="1">IF(C701="","",ROW(行数!A693))</f>
        <v>#NAME?</v>
      </c>
      <c r="B701" s="168" t="e">
        <f t="shared" ca="1" si="73"/>
        <v>#NAME?</v>
      </c>
      <c r="C701" s="90" t="e">
        <f ca="1">[0]!CSVVLookUP(ROW(行数!A693),配列!$C$4,集計記録,3,1)</f>
        <v>#NAME?</v>
      </c>
      <c r="D701" s="90" t="e">
        <f ca="1">[0]!CSVVLookUP(ROW(行数!B693),配列!$C$4,集計記録,4,1)</f>
        <v>#NAME?</v>
      </c>
      <c r="E701" s="118" t="e">
        <f t="shared" ca="1" si="74"/>
        <v>#NAME?</v>
      </c>
      <c r="F701" s="118" t="e">
        <f t="shared" ca="1" si="75"/>
        <v>#NAME?</v>
      </c>
      <c r="G701" s="103" t="e">
        <f t="shared" ca="1" si="76"/>
        <v>#NAME?</v>
      </c>
      <c r="H701" s="104" t="e">
        <f ca="1">IF(C701="","",MROUND([0]!CSVVLookUP(ROW(行数!A693),配列!$C$4,集計記録,8,1),"0:01"))</f>
        <v>#NAME?</v>
      </c>
      <c r="I701" s="104" t="e">
        <f t="shared" ca="1" si="77"/>
        <v>#NAME?</v>
      </c>
      <c r="J701" s="119" t="e">
        <f ca="1">IF(C701="","",MROUND([0]!CSVVLookUP(ROW(行数!A693),配列!$C$4,集計記録,7,1),"0:01"))</f>
        <v>#NAME?</v>
      </c>
      <c r="K701" s="92" t="e">
        <f ca="1">IF(C701="","",[0]!CSVVLookUP(ROW(行数!A693),配列!$C$4,集計記録,5,1))</f>
        <v>#NAME?</v>
      </c>
      <c r="L701" s="104" t="e">
        <f t="shared" ca="1" si="78"/>
        <v>#NAME?</v>
      </c>
      <c r="M701" s="120" t="e">
        <f t="shared" ca="1" si="72"/>
        <v>#NAME?</v>
      </c>
      <c r="N701" s="120" t="e">
        <f ca="1">IF([0]!CSVVLookUP(ROW(行数!A693),配列!$C$4,集計記録,6,1)=0,"",[0]!CSVVLookUP(ROW(行数!A693),配列!$C$4,集計記録,6,1))</f>
        <v>#NAME?</v>
      </c>
      <c r="O701" s="88" t="e">
        <f ca="1">IF(INDIRECT("M"&amp;ROW()-1)&lt;&gt;INDIRECT("M"&amp;ROW()),リスト!$I$5,"")</f>
        <v>#NAME?</v>
      </c>
      <c r="P701" s="88" t="e">
        <f ca="1">IF(INDIRECT("M"&amp;ROW())&lt;&gt;INDIRECT("M"&amp;ROW()+1),リスト!$I$6,"")</f>
        <v>#NAME?</v>
      </c>
    </row>
    <row r="702" spans="1:16" x14ac:dyDescent="0.2">
      <c r="A702" s="169" t="e">
        <f ca="1">IF(C702="","",ROW(行数!A694))</f>
        <v>#NAME?</v>
      </c>
      <c r="B702" s="168" t="e">
        <f t="shared" ca="1" si="73"/>
        <v>#NAME?</v>
      </c>
      <c r="C702" s="90" t="e">
        <f ca="1">[0]!CSVVLookUP(ROW(行数!A694),配列!$C$4,集計記録,3,1)</f>
        <v>#NAME?</v>
      </c>
      <c r="D702" s="90" t="e">
        <f ca="1">[0]!CSVVLookUP(ROW(行数!B694),配列!$C$4,集計記録,4,1)</f>
        <v>#NAME?</v>
      </c>
      <c r="E702" s="118" t="e">
        <f t="shared" ca="1" si="74"/>
        <v>#NAME?</v>
      </c>
      <c r="F702" s="118" t="e">
        <f t="shared" ca="1" si="75"/>
        <v>#NAME?</v>
      </c>
      <c r="G702" s="103" t="e">
        <f t="shared" ca="1" si="76"/>
        <v>#NAME?</v>
      </c>
      <c r="H702" s="104" t="e">
        <f ca="1">IF(C702="","",MROUND([0]!CSVVLookUP(ROW(行数!A694),配列!$C$4,集計記録,8,1),"0:01"))</f>
        <v>#NAME?</v>
      </c>
      <c r="I702" s="104" t="e">
        <f t="shared" ca="1" si="77"/>
        <v>#NAME?</v>
      </c>
      <c r="J702" s="119" t="e">
        <f ca="1">IF(C702="","",MROUND([0]!CSVVLookUP(ROW(行数!A694),配列!$C$4,集計記録,7,1),"0:01"))</f>
        <v>#NAME?</v>
      </c>
      <c r="K702" s="92" t="e">
        <f ca="1">IF(C702="","",[0]!CSVVLookUP(ROW(行数!A694),配列!$C$4,集計記録,5,1))</f>
        <v>#NAME?</v>
      </c>
      <c r="L702" s="104" t="e">
        <f t="shared" ca="1" si="78"/>
        <v>#NAME?</v>
      </c>
      <c r="M702" s="120" t="e">
        <f t="shared" ca="1" si="72"/>
        <v>#NAME?</v>
      </c>
      <c r="N702" s="120" t="e">
        <f ca="1">IF([0]!CSVVLookUP(ROW(行数!A694),配列!$C$4,集計記録,6,1)=0,"",[0]!CSVVLookUP(ROW(行数!A694),配列!$C$4,集計記録,6,1))</f>
        <v>#NAME?</v>
      </c>
      <c r="O702" s="88" t="e">
        <f ca="1">IF(INDIRECT("M"&amp;ROW()-1)&lt;&gt;INDIRECT("M"&amp;ROW()),リスト!$I$5,"")</f>
        <v>#NAME?</v>
      </c>
      <c r="P702" s="88" t="e">
        <f ca="1">IF(INDIRECT("M"&amp;ROW())&lt;&gt;INDIRECT("M"&amp;ROW()+1),リスト!$I$6,"")</f>
        <v>#NAME?</v>
      </c>
    </row>
    <row r="703" spans="1:16" x14ac:dyDescent="0.2">
      <c r="A703" s="169" t="e">
        <f ca="1">IF(C703="","",ROW(行数!A695))</f>
        <v>#NAME?</v>
      </c>
      <c r="B703" s="168" t="e">
        <f t="shared" ca="1" si="73"/>
        <v>#NAME?</v>
      </c>
      <c r="C703" s="90" t="e">
        <f ca="1">[0]!CSVVLookUP(ROW(行数!A695),配列!$C$4,集計記録,3,1)</f>
        <v>#NAME?</v>
      </c>
      <c r="D703" s="90" t="e">
        <f ca="1">[0]!CSVVLookUP(ROW(行数!B695),配列!$C$4,集計記録,4,1)</f>
        <v>#NAME?</v>
      </c>
      <c r="E703" s="118" t="e">
        <f t="shared" ca="1" si="74"/>
        <v>#NAME?</v>
      </c>
      <c r="F703" s="118" t="e">
        <f t="shared" ca="1" si="75"/>
        <v>#NAME?</v>
      </c>
      <c r="G703" s="103" t="e">
        <f t="shared" ca="1" si="76"/>
        <v>#NAME?</v>
      </c>
      <c r="H703" s="104" t="e">
        <f ca="1">IF(C703="","",MROUND([0]!CSVVLookUP(ROW(行数!A695),配列!$C$4,集計記録,8,1),"0:01"))</f>
        <v>#NAME?</v>
      </c>
      <c r="I703" s="104" t="e">
        <f t="shared" ca="1" si="77"/>
        <v>#NAME?</v>
      </c>
      <c r="J703" s="119" t="e">
        <f ca="1">IF(C703="","",MROUND([0]!CSVVLookUP(ROW(行数!A695),配列!$C$4,集計記録,7,1),"0:01"))</f>
        <v>#NAME?</v>
      </c>
      <c r="K703" s="92" t="e">
        <f ca="1">IF(C703="","",[0]!CSVVLookUP(ROW(行数!A695),配列!$C$4,集計記録,5,1))</f>
        <v>#NAME?</v>
      </c>
      <c r="L703" s="104" t="e">
        <f t="shared" ca="1" si="78"/>
        <v>#NAME?</v>
      </c>
      <c r="M703" s="120" t="e">
        <f t="shared" ca="1" si="72"/>
        <v>#NAME?</v>
      </c>
      <c r="N703" s="120" t="e">
        <f ca="1">IF([0]!CSVVLookUP(ROW(行数!A695),配列!$C$4,集計記録,6,1)=0,"",[0]!CSVVLookUP(ROW(行数!A695),配列!$C$4,集計記録,6,1))</f>
        <v>#NAME?</v>
      </c>
      <c r="O703" s="88" t="e">
        <f ca="1">IF(INDIRECT("M"&amp;ROW()-1)&lt;&gt;INDIRECT("M"&amp;ROW()),リスト!$I$5,"")</f>
        <v>#NAME?</v>
      </c>
      <c r="P703" s="88" t="e">
        <f ca="1">IF(INDIRECT("M"&amp;ROW())&lt;&gt;INDIRECT("M"&amp;ROW()+1),リスト!$I$6,"")</f>
        <v>#NAME?</v>
      </c>
    </row>
    <row r="704" spans="1:16" x14ac:dyDescent="0.2">
      <c r="A704" s="169" t="e">
        <f ca="1">IF(C704="","",ROW(行数!A696))</f>
        <v>#NAME?</v>
      </c>
      <c r="B704" s="168" t="e">
        <f t="shared" ca="1" si="73"/>
        <v>#NAME?</v>
      </c>
      <c r="C704" s="90" t="e">
        <f ca="1">[0]!CSVVLookUP(ROW(行数!A696),配列!$C$4,集計記録,3,1)</f>
        <v>#NAME?</v>
      </c>
      <c r="D704" s="90" t="e">
        <f ca="1">[0]!CSVVLookUP(ROW(行数!B696),配列!$C$4,集計記録,4,1)</f>
        <v>#NAME?</v>
      </c>
      <c r="E704" s="118" t="e">
        <f t="shared" ca="1" si="74"/>
        <v>#NAME?</v>
      </c>
      <c r="F704" s="118" t="e">
        <f t="shared" ca="1" si="75"/>
        <v>#NAME?</v>
      </c>
      <c r="G704" s="103" t="e">
        <f t="shared" ca="1" si="76"/>
        <v>#NAME?</v>
      </c>
      <c r="H704" s="104" t="e">
        <f ca="1">IF(C704="","",MROUND([0]!CSVVLookUP(ROW(行数!A696),配列!$C$4,集計記録,8,1),"0:01"))</f>
        <v>#NAME?</v>
      </c>
      <c r="I704" s="104" t="e">
        <f t="shared" ca="1" si="77"/>
        <v>#NAME?</v>
      </c>
      <c r="J704" s="119" t="e">
        <f ca="1">IF(C704="","",MROUND([0]!CSVVLookUP(ROW(行数!A696),配列!$C$4,集計記録,7,1),"0:01"))</f>
        <v>#NAME?</v>
      </c>
      <c r="K704" s="92" t="e">
        <f ca="1">IF(C704="","",[0]!CSVVLookUP(ROW(行数!A696),配列!$C$4,集計記録,5,1))</f>
        <v>#NAME?</v>
      </c>
      <c r="L704" s="104" t="e">
        <f t="shared" ca="1" si="78"/>
        <v>#NAME?</v>
      </c>
      <c r="M704" s="120" t="e">
        <f t="shared" ca="1" si="72"/>
        <v>#NAME?</v>
      </c>
      <c r="N704" s="120" t="e">
        <f ca="1">IF([0]!CSVVLookUP(ROW(行数!A696),配列!$C$4,集計記録,6,1)=0,"",[0]!CSVVLookUP(ROW(行数!A696),配列!$C$4,集計記録,6,1))</f>
        <v>#NAME?</v>
      </c>
      <c r="O704" s="88" t="e">
        <f ca="1">IF(INDIRECT("M"&amp;ROW()-1)&lt;&gt;INDIRECT("M"&amp;ROW()),リスト!$I$5,"")</f>
        <v>#NAME?</v>
      </c>
      <c r="P704" s="88" t="e">
        <f ca="1">IF(INDIRECT("M"&amp;ROW())&lt;&gt;INDIRECT("M"&amp;ROW()+1),リスト!$I$6,"")</f>
        <v>#NAME?</v>
      </c>
    </row>
    <row r="705" spans="1:16" x14ac:dyDescent="0.2">
      <c r="A705" s="169" t="e">
        <f ca="1">IF(C705="","",ROW(行数!A697))</f>
        <v>#NAME?</v>
      </c>
      <c r="B705" s="168" t="e">
        <f t="shared" ca="1" si="73"/>
        <v>#NAME?</v>
      </c>
      <c r="C705" s="90" t="e">
        <f ca="1">[0]!CSVVLookUP(ROW(行数!A697),配列!$C$4,集計記録,3,1)</f>
        <v>#NAME?</v>
      </c>
      <c r="D705" s="90" t="e">
        <f ca="1">[0]!CSVVLookUP(ROW(行数!B697),配列!$C$4,集計記録,4,1)</f>
        <v>#NAME?</v>
      </c>
      <c r="E705" s="118" t="e">
        <f t="shared" ca="1" si="74"/>
        <v>#NAME?</v>
      </c>
      <c r="F705" s="118" t="e">
        <f t="shared" ca="1" si="75"/>
        <v>#NAME?</v>
      </c>
      <c r="G705" s="103" t="e">
        <f t="shared" ca="1" si="76"/>
        <v>#NAME?</v>
      </c>
      <c r="H705" s="104" t="e">
        <f ca="1">IF(C705="","",MROUND([0]!CSVVLookUP(ROW(行数!A697),配列!$C$4,集計記録,8,1),"0:01"))</f>
        <v>#NAME?</v>
      </c>
      <c r="I705" s="104" t="e">
        <f t="shared" ca="1" si="77"/>
        <v>#NAME?</v>
      </c>
      <c r="J705" s="119" t="e">
        <f ca="1">IF(C705="","",MROUND([0]!CSVVLookUP(ROW(行数!A697),配列!$C$4,集計記録,7,1),"0:01"))</f>
        <v>#NAME?</v>
      </c>
      <c r="K705" s="92" t="e">
        <f ca="1">IF(C705="","",[0]!CSVVLookUP(ROW(行数!A697),配列!$C$4,集計記録,5,1))</f>
        <v>#NAME?</v>
      </c>
      <c r="L705" s="104" t="e">
        <f t="shared" ca="1" si="78"/>
        <v>#NAME?</v>
      </c>
      <c r="M705" s="120" t="e">
        <f t="shared" ca="1" si="72"/>
        <v>#NAME?</v>
      </c>
      <c r="N705" s="120" t="e">
        <f ca="1">IF([0]!CSVVLookUP(ROW(行数!A697),配列!$C$4,集計記録,6,1)=0,"",[0]!CSVVLookUP(ROW(行数!A697),配列!$C$4,集計記録,6,1))</f>
        <v>#NAME?</v>
      </c>
      <c r="O705" s="88" t="e">
        <f ca="1">IF(INDIRECT("M"&amp;ROW()-1)&lt;&gt;INDIRECT("M"&amp;ROW()),リスト!$I$5,"")</f>
        <v>#NAME?</v>
      </c>
      <c r="P705" s="88" t="e">
        <f ca="1">IF(INDIRECT("M"&amp;ROW())&lt;&gt;INDIRECT("M"&amp;ROW()+1),リスト!$I$6,"")</f>
        <v>#NAME?</v>
      </c>
    </row>
    <row r="706" spans="1:16" x14ac:dyDescent="0.2">
      <c r="A706" s="169" t="e">
        <f ca="1">IF(C706="","",ROW(行数!A698))</f>
        <v>#NAME?</v>
      </c>
      <c r="B706" s="168" t="e">
        <f t="shared" ca="1" si="73"/>
        <v>#NAME?</v>
      </c>
      <c r="C706" s="90" t="e">
        <f ca="1">[0]!CSVVLookUP(ROW(行数!A698),配列!$C$4,集計記録,3,1)</f>
        <v>#NAME?</v>
      </c>
      <c r="D706" s="90" t="e">
        <f ca="1">[0]!CSVVLookUP(ROW(行数!B698),配列!$C$4,集計記録,4,1)</f>
        <v>#NAME?</v>
      </c>
      <c r="E706" s="118" t="e">
        <f t="shared" ca="1" si="74"/>
        <v>#NAME?</v>
      </c>
      <c r="F706" s="118" t="e">
        <f t="shared" ca="1" si="75"/>
        <v>#NAME?</v>
      </c>
      <c r="G706" s="103" t="e">
        <f t="shared" ca="1" si="76"/>
        <v>#NAME?</v>
      </c>
      <c r="H706" s="104" t="e">
        <f ca="1">IF(C706="","",MROUND([0]!CSVVLookUP(ROW(行数!A698),配列!$C$4,集計記録,8,1),"0:01"))</f>
        <v>#NAME?</v>
      </c>
      <c r="I706" s="104" t="e">
        <f t="shared" ca="1" si="77"/>
        <v>#NAME?</v>
      </c>
      <c r="J706" s="119" t="e">
        <f ca="1">IF(C706="","",MROUND([0]!CSVVLookUP(ROW(行数!A698),配列!$C$4,集計記録,7,1),"0:01"))</f>
        <v>#NAME?</v>
      </c>
      <c r="K706" s="92" t="e">
        <f ca="1">IF(C706="","",[0]!CSVVLookUP(ROW(行数!A698),配列!$C$4,集計記録,5,1))</f>
        <v>#NAME?</v>
      </c>
      <c r="L706" s="104" t="e">
        <f t="shared" ca="1" si="78"/>
        <v>#NAME?</v>
      </c>
      <c r="M706" s="120" t="e">
        <f t="shared" ca="1" si="72"/>
        <v>#NAME?</v>
      </c>
      <c r="N706" s="120" t="e">
        <f ca="1">IF([0]!CSVVLookUP(ROW(行数!A698),配列!$C$4,集計記録,6,1)=0,"",[0]!CSVVLookUP(ROW(行数!A698),配列!$C$4,集計記録,6,1))</f>
        <v>#NAME?</v>
      </c>
      <c r="O706" s="88" t="e">
        <f ca="1">IF(INDIRECT("M"&amp;ROW()-1)&lt;&gt;INDIRECT("M"&amp;ROW()),リスト!$I$5,"")</f>
        <v>#NAME?</v>
      </c>
      <c r="P706" s="88" t="e">
        <f ca="1">IF(INDIRECT("M"&amp;ROW())&lt;&gt;INDIRECT("M"&amp;ROW()+1),リスト!$I$6,"")</f>
        <v>#NAME?</v>
      </c>
    </row>
    <row r="707" spans="1:16" x14ac:dyDescent="0.2">
      <c r="A707" s="169" t="e">
        <f ca="1">IF(C707="","",ROW(行数!A699))</f>
        <v>#NAME?</v>
      </c>
      <c r="B707" s="168" t="e">
        <f t="shared" ca="1" si="73"/>
        <v>#NAME?</v>
      </c>
      <c r="C707" s="90" t="e">
        <f ca="1">[0]!CSVVLookUP(ROW(行数!A699),配列!$C$4,集計記録,3,1)</f>
        <v>#NAME?</v>
      </c>
      <c r="D707" s="90" t="e">
        <f ca="1">[0]!CSVVLookUP(ROW(行数!B699),配列!$C$4,集計記録,4,1)</f>
        <v>#NAME?</v>
      </c>
      <c r="E707" s="118" t="e">
        <f t="shared" ca="1" si="74"/>
        <v>#NAME?</v>
      </c>
      <c r="F707" s="118" t="e">
        <f t="shared" ca="1" si="75"/>
        <v>#NAME?</v>
      </c>
      <c r="G707" s="103" t="e">
        <f t="shared" ca="1" si="76"/>
        <v>#NAME?</v>
      </c>
      <c r="H707" s="104" t="e">
        <f ca="1">IF(C707="","",MROUND([0]!CSVVLookUP(ROW(行数!A699),配列!$C$4,集計記録,8,1),"0:01"))</f>
        <v>#NAME?</v>
      </c>
      <c r="I707" s="104" t="e">
        <f t="shared" ca="1" si="77"/>
        <v>#NAME?</v>
      </c>
      <c r="J707" s="119" t="e">
        <f ca="1">IF(C707="","",MROUND([0]!CSVVLookUP(ROW(行数!A699),配列!$C$4,集計記録,7,1),"0:01"))</f>
        <v>#NAME?</v>
      </c>
      <c r="K707" s="92" t="e">
        <f ca="1">IF(C707="","",[0]!CSVVLookUP(ROW(行数!A699),配列!$C$4,集計記録,5,1))</f>
        <v>#NAME?</v>
      </c>
      <c r="L707" s="104" t="e">
        <f t="shared" ca="1" si="78"/>
        <v>#NAME?</v>
      </c>
      <c r="M707" s="120" t="e">
        <f t="shared" ca="1" si="72"/>
        <v>#NAME?</v>
      </c>
      <c r="N707" s="120" t="e">
        <f ca="1">IF([0]!CSVVLookUP(ROW(行数!A699),配列!$C$4,集計記録,6,1)=0,"",[0]!CSVVLookUP(ROW(行数!A699),配列!$C$4,集計記録,6,1))</f>
        <v>#NAME?</v>
      </c>
      <c r="O707" s="88" t="e">
        <f ca="1">IF(INDIRECT("M"&amp;ROW()-1)&lt;&gt;INDIRECT("M"&amp;ROW()),リスト!$I$5,"")</f>
        <v>#NAME?</v>
      </c>
      <c r="P707" s="88" t="e">
        <f ca="1">IF(INDIRECT("M"&amp;ROW())&lt;&gt;INDIRECT("M"&amp;ROW()+1),リスト!$I$6,"")</f>
        <v>#NAME?</v>
      </c>
    </row>
    <row r="708" spans="1:16" x14ac:dyDescent="0.2">
      <c r="A708" s="169" t="e">
        <f ca="1">IF(C708="","",ROW(行数!A700))</f>
        <v>#NAME?</v>
      </c>
      <c r="B708" s="168" t="e">
        <f t="shared" ca="1" si="73"/>
        <v>#NAME?</v>
      </c>
      <c r="C708" s="90" t="e">
        <f ca="1">[0]!CSVVLookUP(ROW(行数!A700),配列!$C$4,集計記録,3,1)</f>
        <v>#NAME?</v>
      </c>
      <c r="D708" s="90" t="e">
        <f ca="1">[0]!CSVVLookUP(ROW(行数!B700),配列!$C$4,集計記録,4,1)</f>
        <v>#NAME?</v>
      </c>
      <c r="E708" s="118" t="e">
        <f t="shared" ca="1" si="74"/>
        <v>#NAME?</v>
      </c>
      <c r="F708" s="118" t="e">
        <f t="shared" ca="1" si="75"/>
        <v>#NAME?</v>
      </c>
      <c r="G708" s="103" t="e">
        <f t="shared" ca="1" si="76"/>
        <v>#NAME?</v>
      </c>
      <c r="H708" s="104" t="e">
        <f ca="1">IF(C708="","",MROUND([0]!CSVVLookUP(ROW(行数!A700),配列!$C$4,集計記録,8,1),"0:01"))</f>
        <v>#NAME?</v>
      </c>
      <c r="I708" s="104" t="e">
        <f t="shared" ca="1" si="77"/>
        <v>#NAME?</v>
      </c>
      <c r="J708" s="119" t="e">
        <f ca="1">IF(C708="","",MROUND([0]!CSVVLookUP(ROW(行数!A700),配列!$C$4,集計記録,7,1),"0:01"))</f>
        <v>#NAME?</v>
      </c>
      <c r="K708" s="92" t="e">
        <f ca="1">IF(C708="","",[0]!CSVVLookUP(ROW(行数!A700),配列!$C$4,集計記録,5,1))</f>
        <v>#NAME?</v>
      </c>
      <c r="L708" s="104" t="e">
        <f t="shared" ca="1" si="78"/>
        <v>#NAME?</v>
      </c>
      <c r="M708" s="120" t="e">
        <f t="shared" ca="1" si="72"/>
        <v>#NAME?</v>
      </c>
      <c r="N708" s="120" t="e">
        <f ca="1">IF([0]!CSVVLookUP(ROW(行数!A700),配列!$C$4,集計記録,6,1)=0,"",[0]!CSVVLookUP(ROW(行数!A700),配列!$C$4,集計記録,6,1))</f>
        <v>#NAME?</v>
      </c>
      <c r="O708" s="88" t="e">
        <f ca="1">IF(INDIRECT("M"&amp;ROW()-1)&lt;&gt;INDIRECT("M"&amp;ROW()),リスト!$I$5,"")</f>
        <v>#NAME?</v>
      </c>
      <c r="P708" s="88" t="e">
        <f ca="1">IF(INDIRECT("M"&amp;ROW())&lt;&gt;INDIRECT("M"&amp;ROW()+1),リスト!$I$6,"")</f>
        <v>#NAME?</v>
      </c>
    </row>
    <row r="709" spans="1:16" x14ac:dyDescent="0.2">
      <c r="A709" s="169" t="e">
        <f ca="1">IF(C709="","",ROW(行数!A701))</f>
        <v>#NAME?</v>
      </c>
      <c r="B709" s="168" t="e">
        <f t="shared" ca="1" si="73"/>
        <v>#NAME?</v>
      </c>
      <c r="C709" s="90" t="e">
        <f ca="1">[0]!CSVVLookUP(ROW(行数!A701),配列!$C$4,集計記録,3,1)</f>
        <v>#NAME?</v>
      </c>
      <c r="D709" s="90" t="e">
        <f ca="1">[0]!CSVVLookUP(ROW(行数!B701),配列!$C$4,集計記録,4,1)</f>
        <v>#NAME?</v>
      </c>
      <c r="E709" s="118" t="e">
        <f t="shared" ca="1" si="74"/>
        <v>#NAME?</v>
      </c>
      <c r="F709" s="118" t="e">
        <f t="shared" ca="1" si="75"/>
        <v>#NAME?</v>
      </c>
      <c r="G709" s="103" t="e">
        <f t="shared" ca="1" si="76"/>
        <v>#NAME?</v>
      </c>
      <c r="H709" s="104" t="e">
        <f ca="1">IF(C709="","",MROUND([0]!CSVVLookUP(ROW(行数!A701),配列!$C$4,集計記録,8,1),"0:01"))</f>
        <v>#NAME?</v>
      </c>
      <c r="I709" s="104" t="e">
        <f t="shared" ca="1" si="77"/>
        <v>#NAME?</v>
      </c>
      <c r="J709" s="119" t="e">
        <f ca="1">IF(C709="","",MROUND([0]!CSVVLookUP(ROW(行数!A701),配列!$C$4,集計記録,7,1),"0:01"))</f>
        <v>#NAME?</v>
      </c>
      <c r="K709" s="92" t="e">
        <f ca="1">IF(C709="","",[0]!CSVVLookUP(ROW(行数!A701),配列!$C$4,集計記録,5,1))</f>
        <v>#NAME?</v>
      </c>
      <c r="L709" s="104" t="e">
        <f t="shared" ca="1" si="78"/>
        <v>#NAME?</v>
      </c>
      <c r="M709" s="120" t="e">
        <f t="shared" ca="1" si="72"/>
        <v>#NAME?</v>
      </c>
      <c r="N709" s="120" t="e">
        <f ca="1">IF([0]!CSVVLookUP(ROW(行数!A701),配列!$C$4,集計記録,6,1)=0,"",[0]!CSVVLookUP(ROW(行数!A701),配列!$C$4,集計記録,6,1))</f>
        <v>#NAME?</v>
      </c>
      <c r="O709" s="88" t="e">
        <f ca="1">IF(INDIRECT("M"&amp;ROW()-1)&lt;&gt;INDIRECT("M"&amp;ROW()),リスト!$I$5,"")</f>
        <v>#NAME?</v>
      </c>
      <c r="P709" s="88" t="e">
        <f ca="1">IF(INDIRECT("M"&amp;ROW())&lt;&gt;INDIRECT("M"&amp;ROW()+1),リスト!$I$6,"")</f>
        <v>#NAME?</v>
      </c>
    </row>
    <row r="710" spans="1:16" x14ac:dyDescent="0.2">
      <c r="A710" s="169" t="e">
        <f ca="1">IF(C710="","",ROW(行数!A702))</f>
        <v>#NAME?</v>
      </c>
      <c r="B710" s="168" t="e">
        <f t="shared" ca="1" si="73"/>
        <v>#NAME?</v>
      </c>
      <c r="C710" s="90" t="e">
        <f ca="1">[0]!CSVVLookUP(ROW(行数!A702),配列!$C$4,集計記録,3,1)</f>
        <v>#NAME?</v>
      </c>
      <c r="D710" s="90" t="e">
        <f ca="1">[0]!CSVVLookUP(ROW(行数!B702),配列!$C$4,集計記録,4,1)</f>
        <v>#NAME?</v>
      </c>
      <c r="E710" s="118" t="e">
        <f t="shared" ca="1" si="74"/>
        <v>#NAME?</v>
      </c>
      <c r="F710" s="118" t="e">
        <f t="shared" ca="1" si="75"/>
        <v>#NAME?</v>
      </c>
      <c r="G710" s="103" t="e">
        <f t="shared" ca="1" si="76"/>
        <v>#NAME?</v>
      </c>
      <c r="H710" s="104" t="e">
        <f ca="1">IF(C710="","",MROUND([0]!CSVVLookUP(ROW(行数!A702),配列!$C$4,集計記録,8,1),"0:01"))</f>
        <v>#NAME?</v>
      </c>
      <c r="I710" s="104" t="e">
        <f t="shared" ca="1" si="77"/>
        <v>#NAME?</v>
      </c>
      <c r="J710" s="119" t="e">
        <f ca="1">IF(C710="","",MROUND([0]!CSVVLookUP(ROW(行数!A702),配列!$C$4,集計記録,7,1),"0:01"))</f>
        <v>#NAME?</v>
      </c>
      <c r="K710" s="92" t="e">
        <f ca="1">IF(C710="","",[0]!CSVVLookUP(ROW(行数!A702),配列!$C$4,集計記録,5,1))</f>
        <v>#NAME?</v>
      </c>
      <c r="L710" s="104" t="e">
        <f t="shared" ca="1" si="78"/>
        <v>#NAME?</v>
      </c>
      <c r="M710" s="120" t="e">
        <f t="shared" ca="1" si="72"/>
        <v>#NAME?</v>
      </c>
      <c r="N710" s="120" t="e">
        <f ca="1">IF([0]!CSVVLookUP(ROW(行数!A702),配列!$C$4,集計記録,6,1)=0,"",[0]!CSVVLookUP(ROW(行数!A702),配列!$C$4,集計記録,6,1))</f>
        <v>#NAME?</v>
      </c>
      <c r="O710" s="88" t="e">
        <f ca="1">IF(INDIRECT("M"&amp;ROW()-1)&lt;&gt;INDIRECT("M"&amp;ROW()),リスト!$I$5,"")</f>
        <v>#NAME?</v>
      </c>
      <c r="P710" s="88" t="e">
        <f ca="1">IF(INDIRECT("M"&amp;ROW())&lt;&gt;INDIRECT("M"&amp;ROW()+1),リスト!$I$6,"")</f>
        <v>#NAME?</v>
      </c>
    </row>
    <row r="711" spans="1:16" x14ac:dyDescent="0.2">
      <c r="A711" s="169" t="e">
        <f ca="1">IF(C711="","",ROW(行数!A703))</f>
        <v>#NAME?</v>
      </c>
      <c r="B711" s="168" t="e">
        <f t="shared" ca="1" si="73"/>
        <v>#NAME?</v>
      </c>
      <c r="C711" s="90" t="e">
        <f ca="1">[0]!CSVVLookUP(ROW(行数!A703),配列!$C$4,集計記録,3,1)</f>
        <v>#NAME?</v>
      </c>
      <c r="D711" s="90" t="e">
        <f ca="1">[0]!CSVVLookUP(ROW(行数!B703),配列!$C$4,集計記録,4,1)</f>
        <v>#NAME?</v>
      </c>
      <c r="E711" s="118" t="e">
        <f t="shared" ca="1" si="74"/>
        <v>#NAME?</v>
      </c>
      <c r="F711" s="118" t="e">
        <f t="shared" ca="1" si="75"/>
        <v>#NAME?</v>
      </c>
      <c r="G711" s="103" t="e">
        <f t="shared" ca="1" si="76"/>
        <v>#NAME?</v>
      </c>
      <c r="H711" s="104" t="e">
        <f ca="1">IF(C711="","",MROUND([0]!CSVVLookUP(ROW(行数!A703),配列!$C$4,集計記録,8,1),"0:01"))</f>
        <v>#NAME?</v>
      </c>
      <c r="I711" s="104" t="e">
        <f t="shared" ca="1" si="77"/>
        <v>#NAME?</v>
      </c>
      <c r="J711" s="119" t="e">
        <f ca="1">IF(C711="","",MROUND([0]!CSVVLookUP(ROW(行数!A703),配列!$C$4,集計記録,7,1),"0:01"))</f>
        <v>#NAME?</v>
      </c>
      <c r="K711" s="92" t="e">
        <f ca="1">IF(C711="","",[0]!CSVVLookUP(ROW(行数!A703),配列!$C$4,集計記録,5,1))</f>
        <v>#NAME?</v>
      </c>
      <c r="L711" s="104" t="e">
        <f t="shared" ca="1" si="78"/>
        <v>#NAME?</v>
      </c>
      <c r="M711" s="120" t="e">
        <f t="shared" ca="1" si="72"/>
        <v>#NAME?</v>
      </c>
      <c r="N711" s="120" t="e">
        <f ca="1">IF([0]!CSVVLookUP(ROW(行数!A703),配列!$C$4,集計記録,6,1)=0,"",[0]!CSVVLookUP(ROW(行数!A703),配列!$C$4,集計記録,6,1))</f>
        <v>#NAME?</v>
      </c>
      <c r="O711" s="88" t="e">
        <f ca="1">IF(INDIRECT("M"&amp;ROW()-1)&lt;&gt;INDIRECT("M"&amp;ROW()),リスト!$I$5,"")</f>
        <v>#NAME?</v>
      </c>
      <c r="P711" s="88" t="e">
        <f ca="1">IF(INDIRECT("M"&amp;ROW())&lt;&gt;INDIRECT("M"&amp;ROW()+1),リスト!$I$6,"")</f>
        <v>#NAME?</v>
      </c>
    </row>
    <row r="712" spans="1:16" x14ac:dyDescent="0.2">
      <c r="A712" s="169" t="e">
        <f ca="1">IF(C712="","",ROW(行数!A704))</f>
        <v>#NAME?</v>
      </c>
      <c r="B712" s="168" t="e">
        <f t="shared" ca="1" si="73"/>
        <v>#NAME?</v>
      </c>
      <c r="C712" s="90" t="e">
        <f ca="1">[0]!CSVVLookUP(ROW(行数!A704),配列!$C$4,集計記録,3,1)</f>
        <v>#NAME?</v>
      </c>
      <c r="D712" s="90" t="e">
        <f ca="1">[0]!CSVVLookUP(ROW(行数!B704),配列!$C$4,集計記録,4,1)</f>
        <v>#NAME?</v>
      </c>
      <c r="E712" s="118" t="e">
        <f t="shared" ca="1" si="74"/>
        <v>#NAME?</v>
      </c>
      <c r="F712" s="118" t="e">
        <f t="shared" ca="1" si="75"/>
        <v>#NAME?</v>
      </c>
      <c r="G712" s="103" t="e">
        <f t="shared" ca="1" si="76"/>
        <v>#NAME?</v>
      </c>
      <c r="H712" s="104" t="e">
        <f ca="1">IF(C712="","",MROUND([0]!CSVVLookUP(ROW(行数!A704),配列!$C$4,集計記録,8,1),"0:01"))</f>
        <v>#NAME?</v>
      </c>
      <c r="I712" s="104" t="e">
        <f t="shared" ca="1" si="77"/>
        <v>#NAME?</v>
      </c>
      <c r="J712" s="119" t="e">
        <f ca="1">IF(C712="","",MROUND([0]!CSVVLookUP(ROW(行数!A704),配列!$C$4,集計記録,7,1),"0:01"))</f>
        <v>#NAME?</v>
      </c>
      <c r="K712" s="92" t="e">
        <f ca="1">IF(C712="","",[0]!CSVVLookUP(ROW(行数!A704),配列!$C$4,集計記録,5,1))</f>
        <v>#NAME?</v>
      </c>
      <c r="L712" s="104" t="e">
        <f t="shared" ca="1" si="78"/>
        <v>#NAME?</v>
      </c>
      <c r="M712" s="120" t="e">
        <f t="shared" ca="1" si="72"/>
        <v>#NAME?</v>
      </c>
      <c r="N712" s="120" t="e">
        <f ca="1">IF([0]!CSVVLookUP(ROW(行数!A704),配列!$C$4,集計記録,6,1)=0,"",[0]!CSVVLookUP(ROW(行数!A704),配列!$C$4,集計記録,6,1))</f>
        <v>#NAME?</v>
      </c>
      <c r="O712" s="88" t="e">
        <f ca="1">IF(INDIRECT("M"&amp;ROW()-1)&lt;&gt;INDIRECT("M"&amp;ROW()),リスト!$I$5,"")</f>
        <v>#NAME?</v>
      </c>
      <c r="P712" s="88" t="e">
        <f ca="1">IF(INDIRECT("M"&amp;ROW())&lt;&gt;INDIRECT("M"&amp;ROW()+1),リスト!$I$6,"")</f>
        <v>#NAME?</v>
      </c>
    </row>
    <row r="713" spans="1:16" x14ac:dyDescent="0.2">
      <c r="A713" s="169" t="e">
        <f ca="1">IF(C713="","",ROW(行数!A705))</f>
        <v>#NAME?</v>
      </c>
      <c r="B713" s="168" t="e">
        <f t="shared" ca="1" si="73"/>
        <v>#NAME?</v>
      </c>
      <c r="C713" s="90" t="e">
        <f ca="1">[0]!CSVVLookUP(ROW(行数!A705),配列!$C$4,集計記録,3,1)</f>
        <v>#NAME?</v>
      </c>
      <c r="D713" s="90" t="e">
        <f ca="1">[0]!CSVVLookUP(ROW(行数!B705),配列!$C$4,集計記録,4,1)</f>
        <v>#NAME?</v>
      </c>
      <c r="E713" s="118" t="e">
        <f t="shared" ca="1" si="74"/>
        <v>#NAME?</v>
      </c>
      <c r="F713" s="118" t="e">
        <f t="shared" ca="1" si="75"/>
        <v>#NAME?</v>
      </c>
      <c r="G713" s="103" t="e">
        <f t="shared" ca="1" si="76"/>
        <v>#NAME?</v>
      </c>
      <c r="H713" s="104" t="e">
        <f ca="1">IF(C713="","",MROUND([0]!CSVVLookUP(ROW(行数!A705),配列!$C$4,集計記録,8,1),"0:01"))</f>
        <v>#NAME?</v>
      </c>
      <c r="I713" s="104" t="e">
        <f t="shared" ca="1" si="77"/>
        <v>#NAME?</v>
      </c>
      <c r="J713" s="119" t="e">
        <f ca="1">IF(C713="","",MROUND([0]!CSVVLookUP(ROW(行数!A705),配列!$C$4,集計記録,7,1),"0:01"))</f>
        <v>#NAME?</v>
      </c>
      <c r="K713" s="92" t="e">
        <f ca="1">IF(C713="","",[0]!CSVVLookUP(ROW(行数!A705),配列!$C$4,集計記録,5,1))</f>
        <v>#NAME?</v>
      </c>
      <c r="L713" s="104" t="e">
        <f t="shared" ca="1" si="78"/>
        <v>#NAME?</v>
      </c>
      <c r="M713" s="120" t="e">
        <f t="shared" ref="M713:M776" ca="1" si="79">IF(C713="","",VLOOKUP(C713,運転条件判定,13,1))</f>
        <v>#NAME?</v>
      </c>
      <c r="N713" s="120" t="e">
        <f ca="1">IF([0]!CSVVLookUP(ROW(行数!A705),配列!$C$4,集計記録,6,1)=0,"",[0]!CSVVLookUP(ROW(行数!A705),配列!$C$4,集計記録,6,1))</f>
        <v>#NAME?</v>
      </c>
      <c r="O713" s="88" t="e">
        <f ca="1">IF(INDIRECT("M"&amp;ROW()-1)&lt;&gt;INDIRECT("M"&amp;ROW()),リスト!$I$5,"")</f>
        <v>#NAME?</v>
      </c>
      <c r="P713" s="88" t="e">
        <f ca="1">IF(INDIRECT("M"&amp;ROW())&lt;&gt;INDIRECT("M"&amp;ROW()+1),リスト!$I$6,"")</f>
        <v>#NAME?</v>
      </c>
    </row>
    <row r="714" spans="1:16" x14ac:dyDescent="0.2">
      <c r="A714" s="169" t="e">
        <f ca="1">IF(C714="","",ROW(行数!A706))</f>
        <v>#NAME?</v>
      </c>
      <c r="B714" s="168" t="e">
        <f t="shared" ref="B714:B777" ca="1" si="80">IF(C714="","",VLOOKUP(C714,ユニット判定用,3))</f>
        <v>#NAME?</v>
      </c>
      <c r="C714" s="90" t="e">
        <f ca="1">[0]!CSVVLookUP(ROW(行数!A706),配列!$C$4,集計記録,3,1)</f>
        <v>#NAME?</v>
      </c>
      <c r="D714" s="90" t="e">
        <f ca="1">[0]!CSVVLookUP(ROW(行数!B706),配列!$C$4,集計記録,4,1)</f>
        <v>#NAME?</v>
      </c>
      <c r="E714" s="118" t="e">
        <f t="shared" ref="E714:E777" ca="1" si="81">IF(C714="","",D714-C714)</f>
        <v>#NAME?</v>
      </c>
      <c r="F714" s="118" t="e">
        <f t="shared" ref="F714:F777" ca="1" si="82">IF(C714="","",E714-H714-I714)</f>
        <v>#NAME?</v>
      </c>
      <c r="G714" s="103" t="e">
        <f t="shared" ref="G714:G777" ca="1" si="83">IF(C714="","",F714/E714)</f>
        <v>#NAME?</v>
      </c>
      <c r="H714" s="104" t="e">
        <f ca="1">IF(C714="","",MROUND([0]!CSVVLookUP(ROW(行数!A706),配列!$C$4,集計記録,8,1),"0:01"))</f>
        <v>#NAME?</v>
      </c>
      <c r="I714" s="104" t="e">
        <f t="shared" ref="I714:I777" ca="1" si="84">IF(C714="","",MROUND(J714-H714,"0:01"))</f>
        <v>#NAME?</v>
      </c>
      <c r="J714" s="119" t="e">
        <f ca="1">IF(C714="","",MROUND([0]!CSVVLookUP(ROW(行数!A706),配列!$C$4,集計記録,7,1),"0:01"))</f>
        <v>#NAME?</v>
      </c>
      <c r="K714" s="92" t="e">
        <f ca="1">IF(C714="","",[0]!CSVVLookUP(ROW(行数!A706),配列!$C$4,集計記録,5,1))</f>
        <v>#NAME?</v>
      </c>
      <c r="L714" s="104" t="e">
        <f t="shared" ref="L714:L777" ca="1" si="85">IF(C714="","",MROUND(E714/(K714+1),"00:01"))</f>
        <v>#NAME?</v>
      </c>
      <c r="M714" s="120" t="e">
        <f t="shared" ca="1" si="79"/>
        <v>#NAME?</v>
      </c>
      <c r="N714" s="120" t="e">
        <f ca="1">IF([0]!CSVVLookUP(ROW(行数!A706),配列!$C$4,集計記録,6,1)=0,"",[0]!CSVVLookUP(ROW(行数!A706),配列!$C$4,集計記録,6,1))</f>
        <v>#NAME?</v>
      </c>
      <c r="O714" s="88" t="e">
        <f ca="1">IF(INDIRECT("M"&amp;ROW()-1)&lt;&gt;INDIRECT("M"&amp;ROW()),リスト!$I$5,"")</f>
        <v>#NAME?</v>
      </c>
      <c r="P714" s="88" t="e">
        <f ca="1">IF(INDIRECT("M"&amp;ROW())&lt;&gt;INDIRECT("M"&amp;ROW()+1),リスト!$I$6,"")</f>
        <v>#NAME?</v>
      </c>
    </row>
    <row r="715" spans="1:16" x14ac:dyDescent="0.2">
      <c r="A715" s="169" t="e">
        <f ca="1">IF(C715="","",ROW(行数!A707))</f>
        <v>#NAME?</v>
      </c>
      <c r="B715" s="168" t="e">
        <f t="shared" ca="1" si="80"/>
        <v>#NAME?</v>
      </c>
      <c r="C715" s="90" t="e">
        <f ca="1">[0]!CSVVLookUP(ROW(行数!A707),配列!$C$4,集計記録,3,1)</f>
        <v>#NAME?</v>
      </c>
      <c r="D715" s="90" t="e">
        <f ca="1">[0]!CSVVLookUP(ROW(行数!B707),配列!$C$4,集計記録,4,1)</f>
        <v>#NAME?</v>
      </c>
      <c r="E715" s="118" t="e">
        <f t="shared" ca="1" si="81"/>
        <v>#NAME?</v>
      </c>
      <c r="F715" s="118" t="e">
        <f t="shared" ca="1" si="82"/>
        <v>#NAME?</v>
      </c>
      <c r="G715" s="103" t="e">
        <f t="shared" ca="1" si="83"/>
        <v>#NAME?</v>
      </c>
      <c r="H715" s="104" t="e">
        <f ca="1">IF(C715="","",MROUND([0]!CSVVLookUP(ROW(行数!A707),配列!$C$4,集計記録,8,1),"0:01"))</f>
        <v>#NAME?</v>
      </c>
      <c r="I715" s="104" t="e">
        <f t="shared" ca="1" si="84"/>
        <v>#NAME?</v>
      </c>
      <c r="J715" s="119" t="e">
        <f ca="1">IF(C715="","",MROUND([0]!CSVVLookUP(ROW(行数!A707),配列!$C$4,集計記録,7,1),"0:01"))</f>
        <v>#NAME?</v>
      </c>
      <c r="K715" s="92" t="e">
        <f ca="1">IF(C715="","",[0]!CSVVLookUP(ROW(行数!A707),配列!$C$4,集計記録,5,1))</f>
        <v>#NAME?</v>
      </c>
      <c r="L715" s="104" t="e">
        <f t="shared" ca="1" si="85"/>
        <v>#NAME?</v>
      </c>
      <c r="M715" s="120" t="e">
        <f t="shared" ca="1" si="79"/>
        <v>#NAME?</v>
      </c>
      <c r="N715" s="120" t="e">
        <f ca="1">IF([0]!CSVVLookUP(ROW(行数!A707),配列!$C$4,集計記録,6,1)=0,"",[0]!CSVVLookUP(ROW(行数!A707),配列!$C$4,集計記録,6,1))</f>
        <v>#NAME?</v>
      </c>
      <c r="O715" s="88" t="e">
        <f ca="1">IF(INDIRECT("M"&amp;ROW()-1)&lt;&gt;INDIRECT("M"&amp;ROW()),リスト!$I$5,"")</f>
        <v>#NAME?</v>
      </c>
      <c r="P715" s="88" t="e">
        <f ca="1">IF(INDIRECT("M"&amp;ROW())&lt;&gt;INDIRECT("M"&amp;ROW()+1),リスト!$I$6,"")</f>
        <v>#NAME?</v>
      </c>
    </row>
    <row r="716" spans="1:16" x14ac:dyDescent="0.2">
      <c r="A716" s="169" t="e">
        <f ca="1">IF(C716="","",ROW(行数!A708))</f>
        <v>#NAME?</v>
      </c>
      <c r="B716" s="168" t="e">
        <f t="shared" ca="1" si="80"/>
        <v>#NAME?</v>
      </c>
      <c r="C716" s="90" t="e">
        <f ca="1">[0]!CSVVLookUP(ROW(行数!A708),配列!$C$4,集計記録,3,1)</f>
        <v>#NAME?</v>
      </c>
      <c r="D716" s="90" t="e">
        <f ca="1">[0]!CSVVLookUP(ROW(行数!B708),配列!$C$4,集計記録,4,1)</f>
        <v>#NAME?</v>
      </c>
      <c r="E716" s="118" t="e">
        <f t="shared" ca="1" si="81"/>
        <v>#NAME?</v>
      </c>
      <c r="F716" s="118" t="e">
        <f t="shared" ca="1" si="82"/>
        <v>#NAME?</v>
      </c>
      <c r="G716" s="103" t="e">
        <f t="shared" ca="1" si="83"/>
        <v>#NAME?</v>
      </c>
      <c r="H716" s="104" t="e">
        <f ca="1">IF(C716="","",MROUND([0]!CSVVLookUP(ROW(行数!A708),配列!$C$4,集計記録,8,1),"0:01"))</f>
        <v>#NAME?</v>
      </c>
      <c r="I716" s="104" t="e">
        <f t="shared" ca="1" si="84"/>
        <v>#NAME?</v>
      </c>
      <c r="J716" s="119" t="e">
        <f ca="1">IF(C716="","",MROUND([0]!CSVVLookUP(ROW(行数!A708),配列!$C$4,集計記録,7,1),"0:01"))</f>
        <v>#NAME?</v>
      </c>
      <c r="K716" s="92" t="e">
        <f ca="1">IF(C716="","",[0]!CSVVLookUP(ROW(行数!A708),配列!$C$4,集計記録,5,1))</f>
        <v>#NAME?</v>
      </c>
      <c r="L716" s="104" t="e">
        <f t="shared" ca="1" si="85"/>
        <v>#NAME?</v>
      </c>
      <c r="M716" s="120" t="e">
        <f t="shared" ca="1" si="79"/>
        <v>#NAME?</v>
      </c>
      <c r="N716" s="120" t="e">
        <f ca="1">IF([0]!CSVVLookUP(ROW(行数!A708),配列!$C$4,集計記録,6,1)=0,"",[0]!CSVVLookUP(ROW(行数!A708),配列!$C$4,集計記録,6,1))</f>
        <v>#NAME?</v>
      </c>
      <c r="O716" s="88" t="e">
        <f ca="1">IF(INDIRECT("M"&amp;ROW()-1)&lt;&gt;INDIRECT("M"&amp;ROW()),リスト!$I$5,"")</f>
        <v>#NAME?</v>
      </c>
      <c r="P716" s="88" t="e">
        <f ca="1">IF(INDIRECT("M"&amp;ROW())&lt;&gt;INDIRECT("M"&amp;ROW()+1),リスト!$I$6,"")</f>
        <v>#NAME?</v>
      </c>
    </row>
    <row r="717" spans="1:16" x14ac:dyDescent="0.2">
      <c r="A717" s="169" t="e">
        <f ca="1">IF(C717="","",ROW(行数!A709))</f>
        <v>#NAME?</v>
      </c>
      <c r="B717" s="168" t="e">
        <f t="shared" ca="1" si="80"/>
        <v>#NAME?</v>
      </c>
      <c r="C717" s="90" t="e">
        <f ca="1">[0]!CSVVLookUP(ROW(行数!A709),配列!$C$4,集計記録,3,1)</f>
        <v>#NAME?</v>
      </c>
      <c r="D717" s="90" t="e">
        <f ca="1">[0]!CSVVLookUP(ROW(行数!B709),配列!$C$4,集計記録,4,1)</f>
        <v>#NAME?</v>
      </c>
      <c r="E717" s="118" t="e">
        <f t="shared" ca="1" si="81"/>
        <v>#NAME?</v>
      </c>
      <c r="F717" s="118" t="e">
        <f t="shared" ca="1" si="82"/>
        <v>#NAME?</v>
      </c>
      <c r="G717" s="103" t="e">
        <f t="shared" ca="1" si="83"/>
        <v>#NAME?</v>
      </c>
      <c r="H717" s="104" t="e">
        <f ca="1">IF(C717="","",MROUND([0]!CSVVLookUP(ROW(行数!A709),配列!$C$4,集計記録,8,1),"0:01"))</f>
        <v>#NAME?</v>
      </c>
      <c r="I717" s="104" t="e">
        <f t="shared" ca="1" si="84"/>
        <v>#NAME?</v>
      </c>
      <c r="J717" s="119" t="e">
        <f ca="1">IF(C717="","",MROUND([0]!CSVVLookUP(ROW(行数!A709),配列!$C$4,集計記録,7,1),"0:01"))</f>
        <v>#NAME?</v>
      </c>
      <c r="K717" s="92" t="e">
        <f ca="1">IF(C717="","",[0]!CSVVLookUP(ROW(行数!A709),配列!$C$4,集計記録,5,1))</f>
        <v>#NAME?</v>
      </c>
      <c r="L717" s="104" t="e">
        <f t="shared" ca="1" si="85"/>
        <v>#NAME?</v>
      </c>
      <c r="M717" s="120" t="e">
        <f t="shared" ca="1" si="79"/>
        <v>#NAME?</v>
      </c>
      <c r="N717" s="120" t="e">
        <f ca="1">IF([0]!CSVVLookUP(ROW(行数!A709),配列!$C$4,集計記録,6,1)=0,"",[0]!CSVVLookUP(ROW(行数!A709),配列!$C$4,集計記録,6,1))</f>
        <v>#NAME?</v>
      </c>
      <c r="O717" s="88" t="e">
        <f ca="1">IF(INDIRECT("M"&amp;ROW()-1)&lt;&gt;INDIRECT("M"&amp;ROW()),リスト!$I$5,"")</f>
        <v>#NAME?</v>
      </c>
      <c r="P717" s="88" t="e">
        <f ca="1">IF(INDIRECT("M"&amp;ROW())&lt;&gt;INDIRECT("M"&amp;ROW()+1),リスト!$I$6,"")</f>
        <v>#NAME?</v>
      </c>
    </row>
    <row r="718" spans="1:16" x14ac:dyDescent="0.2">
      <c r="A718" s="169" t="e">
        <f ca="1">IF(C718="","",ROW(行数!A710))</f>
        <v>#NAME?</v>
      </c>
      <c r="B718" s="168" t="e">
        <f t="shared" ca="1" si="80"/>
        <v>#NAME?</v>
      </c>
      <c r="C718" s="90" t="e">
        <f ca="1">[0]!CSVVLookUP(ROW(行数!A710),配列!$C$4,集計記録,3,1)</f>
        <v>#NAME?</v>
      </c>
      <c r="D718" s="90" t="e">
        <f ca="1">[0]!CSVVLookUP(ROW(行数!B710),配列!$C$4,集計記録,4,1)</f>
        <v>#NAME?</v>
      </c>
      <c r="E718" s="118" t="e">
        <f t="shared" ca="1" si="81"/>
        <v>#NAME?</v>
      </c>
      <c r="F718" s="118" t="e">
        <f t="shared" ca="1" si="82"/>
        <v>#NAME?</v>
      </c>
      <c r="G718" s="103" t="e">
        <f t="shared" ca="1" si="83"/>
        <v>#NAME?</v>
      </c>
      <c r="H718" s="104" t="e">
        <f ca="1">IF(C718="","",MROUND([0]!CSVVLookUP(ROW(行数!A710),配列!$C$4,集計記録,8,1),"0:01"))</f>
        <v>#NAME?</v>
      </c>
      <c r="I718" s="104" t="e">
        <f t="shared" ca="1" si="84"/>
        <v>#NAME?</v>
      </c>
      <c r="J718" s="119" t="e">
        <f ca="1">IF(C718="","",MROUND([0]!CSVVLookUP(ROW(行数!A710),配列!$C$4,集計記録,7,1),"0:01"))</f>
        <v>#NAME?</v>
      </c>
      <c r="K718" s="92" t="e">
        <f ca="1">IF(C718="","",[0]!CSVVLookUP(ROW(行数!A710),配列!$C$4,集計記録,5,1))</f>
        <v>#NAME?</v>
      </c>
      <c r="L718" s="104" t="e">
        <f t="shared" ca="1" si="85"/>
        <v>#NAME?</v>
      </c>
      <c r="M718" s="120" t="e">
        <f t="shared" ca="1" si="79"/>
        <v>#NAME?</v>
      </c>
      <c r="N718" s="120" t="e">
        <f ca="1">IF([0]!CSVVLookUP(ROW(行数!A710),配列!$C$4,集計記録,6,1)=0,"",[0]!CSVVLookUP(ROW(行数!A710),配列!$C$4,集計記録,6,1))</f>
        <v>#NAME?</v>
      </c>
      <c r="O718" s="88" t="e">
        <f ca="1">IF(INDIRECT("M"&amp;ROW()-1)&lt;&gt;INDIRECT("M"&amp;ROW()),リスト!$I$5,"")</f>
        <v>#NAME?</v>
      </c>
      <c r="P718" s="88" t="e">
        <f ca="1">IF(INDIRECT("M"&amp;ROW())&lt;&gt;INDIRECT("M"&amp;ROW()+1),リスト!$I$6,"")</f>
        <v>#NAME?</v>
      </c>
    </row>
    <row r="719" spans="1:16" x14ac:dyDescent="0.2">
      <c r="A719" s="169" t="e">
        <f ca="1">IF(C719="","",ROW(行数!A711))</f>
        <v>#NAME?</v>
      </c>
      <c r="B719" s="168" t="e">
        <f t="shared" ca="1" si="80"/>
        <v>#NAME?</v>
      </c>
      <c r="C719" s="90" t="e">
        <f ca="1">[0]!CSVVLookUP(ROW(行数!A711),配列!$C$4,集計記録,3,1)</f>
        <v>#NAME?</v>
      </c>
      <c r="D719" s="90" t="e">
        <f ca="1">[0]!CSVVLookUP(ROW(行数!B711),配列!$C$4,集計記録,4,1)</f>
        <v>#NAME?</v>
      </c>
      <c r="E719" s="118" t="e">
        <f t="shared" ca="1" si="81"/>
        <v>#NAME?</v>
      </c>
      <c r="F719" s="118" t="e">
        <f t="shared" ca="1" si="82"/>
        <v>#NAME?</v>
      </c>
      <c r="G719" s="103" t="e">
        <f t="shared" ca="1" si="83"/>
        <v>#NAME?</v>
      </c>
      <c r="H719" s="104" t="e">
        <f ca="1">IF(C719="","",MROUND([0]!CSVVLookUP(ROW(行数!A711),配列!$C$4,集計記録,8,1),"0:01"))</f>
        <v>#NAME?</v>
      </c>
      <c r="I719" s="104" t="e">
        <f t="shared" ca="1" si="84"/>
        <v>#NAME?</v>
      </c>
      <c r="J719" s="119" t="e">
        <f ca="1">IF(C719="","",MROUND([0]!CSVVLookUP(ROW(行数!A711),配列!$C$4,集計記録,7,1),"0:01"))</f>
        <v>#NAME?</v>
      </c>
      <c r="K719" s="92" t="e">
        <f ca="1">IF(C719="","",[0]!CSVVLookUP(ROW(行数!A711),配列!$C$4,集計記録,5,1))</f>
        <v>#NAME?</v>
      </c>
      <c r="L719" s="104" t="e">
        <f t="shared" ca="1" si="85"/>
        <v>#NAME?</v>
      </c>
      <c r="M719" s="120" t="e">
        <f t="shared" ca="1" si="79"/>
        <v>#NAME?</v>
      </c>
      <c r="N719" s="120" t="e">
        <f ca="1">IF([0]!CSVVLookUP(ROW(行数!A711),配列!$C$4,集計記録,6,1)=0,"",[0]!CSVVLookUP(ROW(行数!A711),配列!$C$4,集計記録,6,1))</f>
        <v>#NAME?</v>
      </c>
      <c r="O719" s="88" t="e">
        <f ca="1">IF(INDIRECT("M"&amp;ROW()-1)&lt;&gt;INDIRECT("M"&amp;ROW()),リスト!$I$5,"")</f>
        <v>#NAME?</v>
      </c>
      <c r="P719" s="88" t="e">
        <f ca="1">IF(INDIRECT("M"&amp;ROW())&lt;&gt;INDIRECT("M"&amp;ROW()+1),リスト!$I$6,"")</f>
        <v>#NAME?</v>
      </c>
    </row>
    <row r="720" spans="1:16" x14ac:dyDescent="0.2">
      <c r="A720" s="169" t="e">
        <f ca="1">IF(C720="","",ROW(行数!A712))</f>
        <v>#NAME?</v>
      </c>
      <c r="B720" s="168" t="e">
        <f t="shared" ca="1" si="80"/>
        <v>#NAME?</v>
      </c>
      <c r="C720" s="90" t="e">
        <f ca="1">[0]!CSVVLookUP(ROW(行数!A712),配列!$C$4,集計記録,3,1)</f>
        <v>#NAME?</v>
      </c>
      <c r="D720" s="90" t="e">
        <f ca="1">[0]!CSVVLookUP(ROW(行数!B712),配列!$C$4,集計記録,4,1)</f>
        <v>#NAME?</v>
      </c>
      <c r="E720" s="118" t="e">
        <f t="shared" ca="1" si="81"/>
        <v>#NAME?</v>
      </c>
      <c r="F720" s="118" t="e">
        <f t="shared" ca="1" si="82"/>
        <v>#NAME?</v>
      </c>
      <c r="G720" s="103" t="e">
        <f t="shared" ca="1" si="83"/>
        <v>#NAME?</v>
      </c>
      <c r="H720" s="104" t="e">
        <f ca="1">IF(C720="","",MROUND([0]!CSVVLookUP(ROW(行数!A712),配列!$C$4,集計記録,8,1),"0:01"))</f>
        <v>#NAME?</v>
      </c>
      <c r="I720" s="104" t="e">
        <f t="shared" ca="1" si="84"/>
        <v>#NAME?</v>
      </c>
      <c r="J720" s="119" t="e">
        <f ca="1">IF(C720="","",MROUND([0]!CSVVLookUP(ROW(行数!A712),配列!$C$4,集計記録,7,1),"0:01"))</f>
        <v>#NAME?</v>
      </c>
      <c r="K720" s="92" t="e">
        <f ca="1">IF(C720="","",[0]!CSVVLookUP(ROW(行数!A712),配列!$C$4,集計記録,5,1))</f>
        <v>#NAME?</v>
      </c>
      <c r="L720" s="104" t="e">
        <f t="shared" ca="1" si="85"/>
        <v>#NAME?</v>
      </c>
      <c r="M720" s="120" t="e">
        <f t="shared" ca="1" si="79"/>
        <v>#NAME?</v>
      </c>
      <c r="N720" s="120" t="e">
        <f ca="1">IF([0]!CSVVLookUP(ROW(行数!A712),配列!$C$4,集計記録,6,1)=0,"",[0]!CSVVLookUP(ROW(行数!A712),配列!$C$4,集計記録,6,1))</f>
        <v>#NAME?</v>
      </c>
      <c r="O720" s="88" t="e">
        <f ca="1">IF(INDIRECT("M"&amp;ROW()-1)&lt;&gt;INDIRECT("M"&amp;ROW()),リスト!$I$5,"")</f>
        <v>#NAME?</v>
      </c>
      <c r="P720" s="88" t="e">
        <f ca="1">IF(INDIRECT("M"&amp;ROW())&lt;&gt;INDIRECT("M"&amp;ROW()+1),リスト!$I$6,"")</f>
        <v>#NAME?</v>
      </c>
    </row>
    <row r="721" spans="1:16" x14ac:dyDescent="0.2">
      <c r="A721" s="169" t="e">
        <f ca="1">IF(C721="","",ROW(行数!A713))</f>
        <v>#NAME?</v>
      </c>
      <c r="B721" s="168" t="e">
        <f t="shared" ca="1" si="80"/>
        <v>#NAME?</v>
      </c>
      <c r="C721" s="90" t="e">
        <f ca="1">[0]!CSVVLookUP(ROW(行数!A713),配列!$C$4,集計記録,3,1)</f>
        <v>#NAME?</v>
      </c>
      <c r="D721" s="90" t="e">
        <f ca="1">[0]!CSVVLookUP(ROW(行数!B713),配列!$C$4,集計記録,4,1)</f>
        <v>#NAME?</v>
      </c>
      <c r="E721" s="118" t="e">
        <f t="shared" ca="1" si="81"/>
        <v>#NAME?</v>
      </c>
      <c r="F721" s="118" t="e">
        <f t="shared" ca="1" si="82"/>
        <v>#NAME?</v>
      </c>
      <c r="G721" s="103" t="e">
        <f t="shared" ca="1" si="83"/>
        <v>#NAME?</v>
      </c>
      <c r="H721" s="104" t="e">
        <f ca="1">IF(C721="","",MROUND([0]!CSVVLookUP(ROW(行数!A713),配列!$C$4,集計記録,8,1),"0:01"))</f>
        <v>#NAME?</v>
      </c>
      <c r="I721" s="104" t="e">
        <f t="shared" ca="1" si="84"/>
        <v>#NAME?</v>
      </c>
      <c r="J721" s="119" t="e">
        <f ca="1">IF(C721="","",MROUND([0]!CSVVLookUP(ROW(行数!A713),配列!$C$4,集計記録,7,1),"0:01"))</f>
        <v>#NAME?</v>
      </c>
      <c r="K721" s="92" t="e">
        <f ca="1">IF(C721="","",[0]!CSVVLookUP(ROW(行数!A713),配列!$C$4,集計記録,5,1))</f>
        <v>#NAME?</v>
      </c>
      <c r="L721" s="104" t="e">
        <f t="shared" ca="1" si="85"/>
        <v>#NAME?</v>
      </c>
      <c r="M721" s="120" t="e">
        <f t="shared" ca="1" si="79"/>
        <v>#NAME?</v>
      </c>
      <c r="N721" s="120" t="e">
        <f ca="1">IF([0]!CSVVLookUP(ROW(行数!A713),配列!$C$4,集計記録,6,1)=0,"",[0]!CSVVLookUP(ROW(行数!A713),配列!$C$4,集計記録,6,1))</f>
        <v>#NAME?</v>
      </c>
      <c r="O721" s="88" t="e">
        <f ca="1">IF(INDIRECT("M"&amp;ROW()-1)&lt;&gt;INDIRECT("M"&amp;ROW()),リスト!$I$5,"")</f>
        <v>#NAME?</v>
      </c>
      <c r="P721" s="88" t="e">
        <f ca="1">IF(INDIRECT("M"&amp;ROW())&lt;&gt;INDIRECT("M"&amp;ROW()+1),リスト!$I$6,"")</f>
        <v>#NAME?</v>
      </c>
    </row>
    <row r="722" spans="1:16" x14ac:dyDescent="0.2">
      <c r="A722" s="169" t="e">
        <f ca="1">IF(C722="","",ROW(行数!A714))</f>
        <v>#NAME?</v>
      </c>
      <c r="B722" s="168" t="e">
        <f t="shared" ca="1" si="80"/>
        <v>#NAME?</v>
      </c>
      <c r="C722" s="90" t="e">
        <f ca="1">[0]!CSVVLookUP(ROW(行数!A714),配列!$C$4,集計記録,3,1)</f>
        <v>#NAME?</v>
      </c>
      <c r="D722" s="90" t="e">
        <f ca="1">[0]!CSVVLookUP(ROW(行数!B714),配列!$C$4,集計記録,4,1)</f>
        <v>#NAME?</v>
      </c>
      <c r="E722" s="118" t="e">
        <f t="shared" ca="1" si="81"/>
        <v>#NAME?</v>
      </c>
      <c r="F722" s="118" t="e">
        <f t="shared" ca="1" si="82"/>
        <v>#NAME?</v>
      </c>
      <c r="G722" s="103" t="e">
        <f t="shared" ca="1" si="83"/>
        <v>#NAME?</v>
      </c>
      <c r="H722" s="104" t="e">
        <f ca="1">IF(C722="","",MROUND([0]!CSVVLookUP(ROW(行数!A714),配列!$C$4,集計記録,8,1),"0:01"))</f>
        <v>#NAME?</v>
      </c>
      <c r="I722" s="104" t="e">
        <f t="shared" ca="1" si="84"/>
        <v>#NAME?</v>
      </c>
      <c r="J722" s="119" t="e">
        <f ca="1">IF(C722="","",MROUND([0]!CSVVLookUP(ROW(行数!A714),配列!$C$4,集計記録,7,1),"0:01"))</f>
        <v>#NAME?</v>
      </c>
      <c r="K722" s="92" t="e">
        <f ca="1">IF(C722="","",[0]!CSVVLookUP(ROW(行数!A714),配列!$C$4,集計記録,5,1))</f>
        <v>#NAME?</v>
      </c>
      <c r="L722" s="104" t="e">
        <f t="shared" ca="1" si="85"/>
        <v>#NAME?</v>
      </c>
      <c r="M722" s="120" t="e">
        <f t="shared" ca="1" si="79"/>
        <v>#NAME?</v>
      </c>
      <c r="N722" s="120" t="e">
        <f ca="1">IF([0]!CSVVLookUP(ROW(行数!A714),配列!$C$4,集計記録,6,1)=0,"",[0]!CSVVLookUP(ROW(行数!A714),配列!$C$4,集計記録,6,1))</f>
        <v>#NAME?</v>
      </c>
      <c r="O722" s="88" t="e">
        <f ca="1">IF(INDIRECT("M"&amp;ROW()-1)&lt;&gt;INDIRECT("M"&amp;ROW()),リスト!$I$5,"")</f>
        <v>#NAME?</v>
      </c>
      <c r="P722" s="88" t="e">
        <f ca="1">IF(INDIRECT("M"&amp;ROW())&lt;&gt;INDIRECT("M"&amp;ROW()+1),リスト!$I$6,"")</f>
        <v>#NAME?</v>
      </c>
    </row>
    <row r="723" spans="1:16" x14ac:dyDescent="0.2">
      <c r="A723" s="169" t="e">
        <f ca="1">IF(C723="","",ROW(行数!A715))</f>
        <v>#NAME?</v>
      </c>
      <c r="B723" s="168" t="e">
        <f t="shared" ca="1" si="80"/>
        <v>#NAME?</v>
      </c>
      <c r="C723" s="90" t="e">
        <f ca="1">[0]!CSVVLookUP(ROW(行数!A715),配列!$C$4,集計記録,3,1)</f>
        <v>#NAME?</v>
      </c>
      <c r="D723" s="90" t="e">
        <f ca="1">[0]!CSVVLookUP(ROW(行数!B715),配列!$C$4,集計記録,4,1)</f>
        <v>#NAME?</v>
      </c>
      <c r="E723" s="118" t="e">
        <f t="shared" ca="1" si="81"/>
        <v>#NAME?</v>
      </c>
      <c r="F723" s="118" t="e">
        <f t="shared" ca="1" si="82"/>
        <v>#NAME?</v>
      </c>
      <c r="G723" s="103" t="e">
        <f t="shared" ca="1" si="83"/>
        <v>#NAME?</v>
      </c>
      <c r="H723" s="104" t="e">
        <f ca="1">IF(C723="","",MROUND([0]!CSVVLookUP(ROW(行数!A715),配列!$C$4,集計記録,8,1),"0:01"))</f>
        <v>#NAME?</v>
      </c>
      <c r="I723" s="104" t="e">
        <f t="shared" ca="1" si="84"/>
        <v>#NAME?</v>
      </c>
      <c r="J723" s="119" t="e">
        <f ca="1">IF(C723="","",MROUND([0]!CSVVLookUP(ROW(行数!A715),配列!$C$4,集計記録,7,1),"0:01"))</f>
        <v>#NAME?</v>
      </c>
      <c r="K723" s="92" t="e">
        <f ca="1">IF(C723="","",[0]!CSVVLookUP(ROW(行数!A715),配列!$C$4,集計記録,5,1))</f>
        <v>#NAME?</v>
      </c>
      <c r="L723" s="104" t="e">
        <f t="shared" ca="1" si="85"/>
        <v>#NAME?</v>
      </c>
      <c r="M723" s="120" t="e">
        <f t="shared" ca="1" si="79"/>
        <v>#NAME?</v>
      </c>
      <c r="N723" s="120" t="e">
        <f ca="1">IF([0]!CSVVLookUP(ROW(行数!A715),配列!$C$4,集計記録,6,1)=0,"",[0]!CSVVLookUP(ROW(行数!A715),配列!$C$4,集計記録,6,1))</f>
        <v>#NAME?</v>
      </c>
      <c r="O723" s="88" t="e">
        <f ca="1">IF(INDIRECT("M"&amp;ROW()-1)&lt;&gt;INDIRECT("M"&amp;ROW()),リスト!$I$5,"")</f>
        <v>#NAME?</v>
      </c>
      <c r="P723" s="88" t="e">
        <f ca="1">IF(INDIRECT("M"&amp;ROW())&lt;&gt;INDIRECT("M"&amp;ROW()+1),リスト!$I$6,"")</f>
        <v>#NAME?</v>
      </c>
    </row>
    <row r="724" spans="1:16" x14ac:dyDescent="0.2">
      <c r="A724" s="169" t="e">
        <f ca="1">IF(C724="","",ROW(行数!A716))</f>
        <v>#NAME?</v>
      </c>
      <c r="B724" s="168" t="e">
        <f t="shared" ca="1" si="80"/>
        <v>#NAME?</v>
      </c>
      <c r="C724" s="90" t="e">
        <f ca="1">[0]!CSVVLookUP(ROW(行数!A716),配列!$C$4,集計記録,3,1)</f>
        <v>#NAME?</v>
      </c>
      <c r="D724" s="90" t="e">
        <f ca="1">[0]!CSVVLookUP(ROW(行数!B716),配列!$C$4,集計記録,4,1)</f>
        <v>#NAME?</v>
      </c>
      <c r="E724" s="118" t="e">
        <f t="shared" ca="1" si="81"/>
        <v>#NAME?</v>
      </c>
      <c r="F724" s="118" t="e">
        <f t="shared" ca="1" si="82"/>
        <v>#NAME?</v>
      </c>
      <c r="G724" s="103" t="e">
        <f t="shared" ca="1" si="83"/>
        <v>#NAME?</v>
      </c>
      <c r="H724" s="104" t="e">
        <f ca="1">IF(C724="","",MROUND([0]!CSVVLookUP(ROW(行数!A716),配列!$C$4,集計記録,8,1),"0:01"))</f>
        <v>#NAME?</v>
      </c>
      <c r="I724" s="104" t="e">
        <f t="shared" ca="1" si="84"/>
        <v>#NAME?</v>
      </c>
      <c r="J724" s="119" t="e">
        <f ca="1">IF(C724="","",MROUND([0]!CSVVLookUP(ROW(行数!A716),配列!$C$4,集計記録,7,1),"0:01"))</f>
        <v>#NAME?</v>
      </c>
      <c r="K724" s="92" t="e">
        <f ca="1">IF(C724="","",[0]!CSVVLookUP(ROW(行数!A716),配列!$C$4,集計記録,5,1))</f>
        <v>#NAME?</v>
      </c>
      <c r="L724" s="104" t="e">
        <f t="shared" ca="1" si="85"/>
        <v>#NAME?</v>
      </c>
      <c r="M724" s="120" t="e">
        <f t="shared" ca="1" si="79"/>
        <v>#NAME?</v>
      </c>
      <c r="N724" s="120" t="e">
        <f ca="1">IF([0]!CSVVLookUP(ROW(行数!A716),配列!$C$4,集計記録,6,1)=0,"",[0]!CSVVLookUP(ROW(行数!A716),配列!$C$4,集計記録,6,1))</f>
        <v>#NAME?</v>
      </c>
      <c r="O724" s="88" t="e">
        <f ca="1">IF(INDIRECT("M"&amp;ROW()-1)&lt;&gt;INDIRECT("M"&amp;ROW()),リスト!$I$5,"")</f>
        <v>#NAME?</v>
      </c>
      <c r="P724" s="88" t="e">
        <f ca="1">IF(INDIRECT("M"&amp;ROW())&lt;&gt;INDIRECT("M"&amp;ROW()+1),リスト!$I$6,"")</f>
        <v>#NAME?</v>
      </c>
    </row>
    <row r="725" spans="1:16" x14ac:dyDescent="0.2">
      <c r="A725" s="169" t="e">
        <f ca="1">IF(C725="","",ROW(行数!A717))</f>
        <v>#NAME?</v>
      </c>
      <c r="B725" s="168" t="e">
        <f t="shared" ca="1" si="80"/>
        <v>#NAME?</v>
      </c>
      <c r="C725" s="90" t="e">
        <f ca="1">[0]!CSVVLookUP(ROW(行数!A717),配列!$C$4,集計記録,3,1)</f>
        <v>#NAME?</v>
      </c>
      <c r="D725" s="90" t="e">
        <f ca="1">[0]!CSVVLookUP(ROW(行数!B717),配列!$C$4,集計記録,4,1)</f>
        <v>#NAME?</v>
      </c>
      <c r="E725" s="118" t="e">
        <f t="shared" ca="1" si="81"/>
        <v>#NAME?</v>
      </c>
      <c r="F725" s="118" t="e">
        <f t="shared" ca="1" si="82"/>
        <v>#NAME?</v>
      </c>
      <c r="G725" s="103" t="e">
        <f t="shared" ca="1" si="83"/>
        <v>#NAME?</v>
      </c>
      <c r="H725" s="104" t="e">
        <f ca="1">IF(C725="","",MROUND([0]!CSVVLookUP(ROW(行数!A717),配列!$C$4,集計記録,8,1),"0:01"))</f>
        <v>#NAME?</v>
      </c>
      <c r="I725" s="104" t="e">
        <f t="shared" ca="1" si="84"/>
        <v>#NAME?</v>
      </c>
      <c r="J725" s="119" t="e">
        <f ca="1">IF(C725="","",MROUND([0]!CSVVLookUP(ROW(行数!A717),配列!$C$4,集計記録,7,1),"0:01"))</f>
        <v>#NAME?</v>
      </c>
      <c r="K725" s="92" t="e">
        <f ca="1">IF(C725="","",[0]!CSVVLookUP(ROW(行数!A717),配列!$C$4,集計記録,5,1))</f>
        <v>#NAME?</v>
      </c>
      <c r="L725" s="104" t="e">
        <f t="shared" ca="1" si="85"/>
        <v>#NAME?</v>
      </c>
      <c r="M725" s="120" t="e">
        <f t="shared" ca="1" si="79"/>
        <v>#NAME?</v>
      </c>
      <c r="N725" s="120" t="e">
        <f ca="1">IF([0]!CSVVLookUP(ROW(行数!A717),配列!$C$4,集計記録,6,1)=0,"",[0]!CSVVLookUP(ROW(行数!A717),配列!$C$4,集計記録,6,1))</f>
        <v>#NAME?</v>
      </c>
      <c r="O725" s="88" t="e">
        <f ca="1">IF(INDIRECT("M"&amp;ROW()-1)&lt;&gt;INDIRECT("M"&amp;ROW()),リスト!$I$5,"")</f>
        <v>#NAME?</v>
      </c>
      <c r="P725" s="88" t="e">
        <f ca="1">IF(INDIRECT("M"&amp;ROW())&lt;&gt;INDIRECT("M"&amp;ROW()+1),リスト!$I$6,"")</f>
        <v>#NAME?</v>
      </c>
    </row>
    <row r="726" spans="1:16" x14ac:dyDescent="0.2">
      <c r="A726" s="169" t="e">
        <f ca="1">IF(C726="","",ROW(行数!A718))</f>
        <v>#NAME?</v>
      </c>
      <c r="B726" s="168" t="e">
        <f t="shared" ca="1" si="80"/>
        <v>#NAME?</v>
      </c>
      <c r="C726" s="90" t="e">
        <f ca="1">[0]!CSVVLookUP(ROW(行数!A718),配列!$C$4,集計記録,3,1)</f>
        <v>#NAME?</v>
      </c>
      <c r="D726" s="90" t="e">
        <f ca="1">[0]!CSVVLookUP(ROW(行数!B718),配列!$C$4,集計記録,4,1)</f>
        <v>#NAME?</v>
      </c>
      <c r="E726" s="118" t="e">
        <f t="shared" ca="1" si="81"/>
        <v>#NAME?</v>
      </c>
      <c r="F726" s="118" t="e">
        <f t="shared" ca="1" si="82"/>
        <v>#NAME?</v>
      </c>
      <c r="G726" s="103" t="e">
        <f t="shared" ca="1" si="83"/>
        <v>#NAME?</v>
      </c>
      <c r="H726" s="104" t="e">
        <f ca="1">IF(C726="","",MROUND([0]!CSVVLookUP(ROW(行数!A718),配列!$C$4,集計記録,8,1),"0:01"))</f>
        <v>#NAME?</v>
      </c>
      <c r="I726" s="104" t="e">
        <f t="shared" ca="1" si="84"/>
        <v>#NAME?</v>
      </c>
      <c r="J726" s="119" t="e">
        <f ca="1">IF(C726="","",MROUND([0]!CSVVLookUP(ROW(行数!A718),配列!$C$4,集計記録,7,1),"0:01"))</f>
        <v>#NAME?</v>
      </c>
      <c r="K726" s="92" t="e">
        <f ca="1">IF(C726="","",[0]!CSVVLookUP(ROW(行数!A718),配列!$C$4,集計記録,5,1))</f>
        <v>#NAME?</v>
      </c>
      <c r="L726" s="104" t="e">
        <f t="shared" ca="1" si="85"/>
        <v>#NAME?</v>
      </c>
      <c r="M726" s="120" t="e">
        <f t="shared" ca="1" si="79"/>
        <v>#NAME?</v>
      </c>
      <c r="N726" s="120" t="e">
        <f ca="1">IF([0]!CSVVLookUP(ROW(行数!A718),配列!$C$4,集計記録,6,1)=0,"",[0]!CSVVLookUP(ROW(行数!A718),配列!$C$4,集計記録,6,1))</f>
        <v>#NAME?</v>
      </c>
      <c r="O726" s="88" t="e">
        <f ca="1">IF(INDIRECT("M"&amp;ROW()-1)&lt;&gt;INDIRECT("M"&amp;ROW()),リスト!$I$5,"")</f>
        <v>#NAME?</v>
      </c>
      <c r="P726" s="88" t="e">
        <f ca="1">IF(INDIRECT("M"&amp;ROW())&lt;&gt;INDIRECT("M"&amp;ROW()+1),リスト!$I$6,"")</f>
        <v>#NAME?</v>
      </c>
    </row>
    <row r="727" spans="1:16" x14ac:dyDescent="0.2">
      <c r="A727" s="169" t="e">
        <f ca="1">IF(C727="","",ROW(行数!A719))</f>
        <v>#NAME?</v>
      </c>
      <c r="B727" s="168" t="e">
        <f t="shared" ca="1" si="80"/>
        <v>#NAME?</v>
      </c>
      <c r="C727" s="90" t="e">
        <f ca="1">[0]!CSVVLookUP(ROW(行数!A719),配列!$C$4,集計記録,3,1)</f>
        <v>#NAME?</v>
      </c>
      <c r="D727" s="90" t="e">
        <f ca="1">[0]!CSVVLookUP(ROW(行数!B719),配列!$C$4,集計記録,4,1)</f>
        <v>#NAME?</v>
      </c>
      <c r="E727" s="118" t="e">
        <f t="shared" ca="1" si="81"/>
        <v>#NAME?</v>
      </c>
      <c r="F727" s="118" t="e">
        <f t="shared" ca="1" si="82"/>
        <v>#NAME?</v>
      </c>
      <c r="G727" s="103" t="e">
        <f t="shared" ca="1" si="83"/>
        <v>#NAME?</v>
      </c>
      <c r="H727" s="104" t="e">
        <f ca="1">IF(C727="","",MROUND([0]!CSVVLookUP(ROW(行数!A719),配列!$C$4,集計記録,8,1),"0:01"))</f>
        <v>#NAME?</v>
      </c>
      <c r="I727" s="104" t="e">
        <f t="shared" ca="1" si="84"/>
        <v>#NAME?</v>
      </c>
      <c r="J727" s="119" t="e">
        <f ca="1">IF(C727="","",MROUND([0]!CSVVLookUP(ROW(行数!A719),配列!$C$4,集計記録,7,1),"0:01"))</f>
        <v>#NAME?</v>
      </c>
      <c r="K727" s="92" t="e">
        <f ca="1">IF(C727="","",[0]!CSVVLookUP(ROW(行数!A719),配列!$C$4,集計記録,5,1))</f>
        <v>#NAME?</v>
      </c>
      <c r="L727" s="104" t="e">
        <f t="shared" ca="1" si="85"/>
        <v>#NAME?</v>
      </c>
      <c r="M727" s="120" t="e">
        <f t="shared" ca="1" si="79"/>
        <v>#NAME?</v>
      </c>
      <c r="N727" s="120" t="e">
        <f ca="1">IF([0]!CSVVLookUP(ROW(行数!A719),配列!$C$4,集計記録,6,1)=0,"",[0]!CSVVLookUP(ROW(行数!A719),配列!$C$4,集計記録,6,1))</f>
        <v>#NAME?</v>
      </c>
      <c r="O727" s="88" t="e">
        <f ca="1">IF(INDIRECT("M"&amp;ROW()-1)&lt;&gt;INDIRECT("M"&amp;ROW()),リスト!$I$5,"")</f>
        <v>#NAME?</v>
      </c>
      <c r="P727" s="88" t="e">
        <f ca="1">IF(INDIRECT("M"&amp;ROW())&lt;&gt;INDIRECT("M"&amp;ROW()+1),リスト!$I$6,"")</f>
        <v>#NAME?</v>
      </c>
    </row>
    <row r="728" spans="1:16" x14ac:dyDescent="0.2">
      <c r="A728" s="169" t="e">
        <f ca="1">IF(C728="","",ROW(行数!A720))</f>
        <v>#NAME?</v>
      </c>
      <c r="B728" s="168" t="e">
        <f t="shared" ca="1" si="80"/>
        <v>#NAME?</v>
      </c>
      <c r="C728" s="90" t="e">
        <f ca="1">[0]!CSVVLookUP(ROW(行数!A720),配列!$C$4,集計記録,3,1)</f>
        <v>#NAME?</v>
      </c>
      <c r="D728" s="90" t="e">
        <f ca="1">[0]!CSVVLookUP(ROW(行数!B720),配列!$C$4,集計記録,4,1)</f>
        <v>#NAME?</v>
      </c>
      <c r="E728" s="118" t="e">
        <f t="shared" ca="1" si="81"/>
        <v>#NAME?</v>
      </c>
      <c r="F728" s="118" t="e">
        <f t="shared" ca="1" si="82"/>
        <v>#NAME?</v>
      </c>
      <c r="G728" s="103" t="e">
        <f t="shared" ca="1" si="83"/>
        <v>#NAME?</v>
      </c>
      <c r="H728" s="104" t="e">
        <f ca="1">IF(C728="","",MROUND([0]!CSVVLookUP(ROW(行数!A720),配列!$C$4,集計記録,8,1),"0:01"))</f>
        <v>#NAME?</v>
      </c>
      <c r="I728" s="104" t="e">
        <f t="shared" ca="1" si="84"/>
        <v>#NAME?</v>
      </c>
      <c r="J728" s="119" t="e">
        <f ca="1">IF(C728="","",MROUND([0]!CSVVLookUP(ROW(行数!A720),配列!$C$4,集計記録,7,1),"0:01"))</f>
        <v>#NAME?</v>
      </c>
      <c r="K728" s="92" t="e">
        <f ca="1">IF(C728="","",[0]!CSVVLookUP(ROW(行数!A720),配列!$C$4,集計記録,5,1))</f>
        <v>#NAME?</v>
      </c>
      <c r="L728" s="104" t="e">
        <f t="shared" ca="1" si="85"/>
        <v>#NAME?</v>
      </c>
      <c r="M728" s="120" t="e">
        <f t="shared" ca="1" si="79"/>
        <v>#NAME?</v>
      </c>
      <c r="N728" s="120" t="e">
        <f ca="1">IF([0]!CSVVLookUP(ROW(行数!A720),配列!$C$4,集計記録,6,1)=0,"",[0]!CSVVLookUP(ROW(行数!A720),配列!$C$4,集計記録,6,1))</f>
        <v>#NAME?</v>
      </c>
      <c r="O728" s="88" t="e">
        <f ca="1">IF(INDIRECT("M"&amp;ROW()-1)&lt;&gt;INDIRECT("M"&amp;ROW()),リスト!$I$5,"")</f>
        <v>#NAME?</v>
      </c>
      <c r="P728" s="88" t="e">
        <f ca="1">IF(INDIRECT("M"&amp;ROW())&lt;&gt;INDIRECT("M"&amp;ROW()+1),リスト!$I$6,"")</f>
        <v>#NAME?</v>
      </c>
    </row>
    <row r="729" spans="1:16" x14ac:dyDescent="0.2">
      <c r="A729" s="169" t="e">
        <f ca="1">IF(C729="","",ROW(行数!A721))</f>
        <v>#NAME?</v>
      </c>
      <c r="B729" s="168" t="e">
        <f t="shared" ca="1" si="80"/>
        <v>#NAME?</v>
      </c>
      <c r="C729" s="90" t="e">
        <f ca="1">[0]!CSVVLookUP(ROW(行数!A721),配列!$C$4,集計記録,3,1)</f>
        <v>#NAME?</v>
      </c>
      <c r="D729" s="90" t="e">
        <f ca="1">[0]!CSVVLookUP(ROW(行数!B721),配列!$C$4,集計記録,4,1)</f>
        <v>#NAME?</v>
      </c>
      <c r="E729" s="118" t="e">
        <f t="shared" ca="1" si="81"/>
        <v>#NAME?</v>
      </c>
      <c r="F729" s="118" t="e">
        <f t="shared" ca="1" si="82"/>
        <v>#NAME?</v>
      </c>
      <c r="G729" s="103" t="e">
        <f t="shared" ca="1" si="83"/>
        <v>#NAME?</v>
      </c>
      <c r="H729" s="104" t="e">
        <f ca="1">IF(C729="","",MROUND([0]!CSVVLookUP(ROW(行数!A721),配列!$C$4,集計記録,8,1),"0:01"))</f>
        <v>#NAME?</v>
      </c>
      <c r="I729" s="104" t="e">
        <f t="shared" ca="1" si="84"/>
        <v>#NAME?</v>
      </c>
      <c r="J729" s="119" t="e">
        <f ca="1">IF(C729="","",MROUND([0]!CSVVLookUP(ROW(行数!A721),配列!$C$4,集計記録,7,1),"0:01"))</f>
        <v>#NAME?</v>
      </c>
      <c r="K729" s="92" t="e">
        <f ca="1">IF(C729="","",[0]!CSVVLookUP(ROW(行数!A721),配列!$C$4,集計記録,5,1))</f>
        <v>#NAME?</v>
      </c>
      <c r="L729" s="104" t="e">
        <f t="shared" ca="1" si="85"/>
        <v>#NAME?</v>
      </c>
      <c r="M729" s="120" t="e">
        <f t="shared" ca="1" si="79"/>
        <v>#NAME?</v>
      </c>
      <c r="N729" s="120" t="e">
        <f ca="1">IF([0]!CSVVLookUP(ROW(行数!A721),配列!$C$4,集計記録,6,1)=0,"",[0]!CSVVLookUP(ROW(行数!A721),配列!$C$4,集計記録,6,1))</f>
        <v>#NAME?</v>
      </c>
      <c r="O729" s="88" t="e">
        <f ca="1">IF(INDIRECT("M"&amp;ROW()-1)&lt;&gt;INDIRECT("M"&amp;ROW()),リスト!$I$5,"")</f>
        <v>#NAME?</v>
      </c>
      <c r="P729" s="88" t="e">
        <f ca="1">IF(INDIRECT("M"&amp;ROW())&lt;&gt;INDIRECT("M"&amp;ROW()+1),リスト!$I$6,"")</f>
        <v>#NAME?</v>
      </c>
    </row>
    <row r="730" spans="1:16" x14ac:dyDescent="0.2">
      <c r="A730" s="169" t="e">
        <f ca="1">IF(C730="","",ROW(行数!A722))</f>
        <v>#NAME?</v>
      </c>
      <c r="B730" s="168" t="e">
        <f t="shared" ca="1" si="80"/>
        <v>#NAME?</v>
      </c>
      <c r="C730" s="90" t="e">
        <f ca="1">[0]!CSVVLookUP(ROW(行数!A722),配列!$C$4,集計記録,3,1)</f>
        <v>#NAME?</v>
      </c>
      <c r="D730" s="90" t="e">
        <f ca="1">[0]!CSVVLookUP(ROW(行数!B722),配列!$C$4,集計記録,4,1)</f>
        <v>#NAME?</v>
      </c>
      <c r="E730" s="118" t="e">
        <f t="shared" ca="1" si="81"/>
        <v>#NAME?</v>
      </c>
      <c r="F730" s="118" t="e">
        <f t="shared" ca="1" si="82"/>
        <v>#NAME?</v>
      </c>
      <c r="G730" s="103" t="e">
        <f t="shared" ca="1" si="83"/>
        <v>#NAME?</v>
      </c>
      <c r="H730" s="104" t="e">
        <f ca="1">IF(C730="","",MROUND([0]!CSVVLookUP(ROW(行数!A722),配列!$C$4,集計記録,8,1),"0:01"))</f>
        <v>#NAME?</v>
      </c>
      <c r="I730" s="104" t="e">
        <f t="shared" ca="1" si="84"/>
        <v>#NAME?</v>
      </c>
      <c r="J730" s="119" t="e">
        <f ca="1">IF(C730="","",MROUND([0]!CSVVLookUP(ROW(行数!A722),配列!$C$4,集計記録,7,1),"0:01"))</f>
        <v>#NAME?</v>
      </c>
      <c r="K730" s="92" t="e">
        <f ca="1">IF(C730="","",[0]!CSVVLookUP(ROW(行数!A722),配列!$C$4,集計記録,5,1))</f>
        <v>#NAME?</v>
      </c>
      <c r="L730" s="104" t="e">
        <f t="shared" ca="1" si="85"/>
        <v>#NAME?</v>
      </c>
      <c r="M730" s="120" t="e">
        <f t="shared" ca="1" si="79"/>
        <v>#NAME?</v>
      </c>
      <c r="N730" s="120" t="e">
        <f ca="1">IF([0]!CSVVLookUP(ROW(行数!A722),配列!$C$4,集計記録,6,1)=0,"",[0]!CSVVLookUP(ROW(行数!A722),配列!$C$4,集計記録,6,1))</f>
        <v>#NAME?</v>
      </c>
      <c r="O730" s="88" t="e">
        <f ca="1">IF(INDIRECT("M"&amp;ROW()-1)&lt;&gt;INDIRECT("M"&amp;ROW()),リスト!$I$5,"")</f>
        <v>#NAME?</v>
      </c>
      <c r="P730" s="88" t="e">
        <f ca="1">IF(INDIRECT("M"&amp;ROW())&lt;&gt;INDIRECT("M"&amp;ROW()+1),リスト!$I$6,"")</f>
        <v>#NAME?</v>
      </c>
    </row>
    <row r="731" spans="1:16" x14ac:dyDescent="0.2">
      <c r="A731" s="169" t="e">
        <f ca="1">IF(C731="","",ROW(行数!A723))</f>
        <v>#NAME?</v>
      </c>
      <c r="B731" s="168" t="e">
        <f t="shared" ca="1" si="80"/>
        <v>#NAME?</v>
      </c>
      <c r="C731" s="90" t="e">
        <f ca="1">[0]!CSVVLookUP(ROW(行数!A723),配列!$C$4,集計記録,3,1)</f>
        <v>#NAME?</v>
      </c>
      <c r="D731" s="90" t="e">
        <f ca="1">[0]!CSVVLookUP(ROW(行数!B723),配列!$C$4,集計記録,4,1)</f>
        <v>#NAME?</v>
      </c>
      <c r="E731" s="118" t="e">
        <f t="shared" ca="1" si="81"/>
        <v>#NAME?</v>
      </c>
      <c r="F731" s="118" t="e">
        <f t="shared" ca="1" si="82"/>
        <v>#NAME?</v>
      </c>
      <c r="G731" s="103" t="e">
        <f t="shared" ca="1" si="83"/>
        <v>#NAME?</v>
      </c>
      <c r="H731" s="104" t="e">
        <f ca="1">IF(C731="","",MROUND([0]!CSVVLookUP(ROW(行数!A723),配列!$C$4,集計記録,8,1),"0:01"))</f>
        <v>#NAME?</v>
      </c>
      <c r="I731" s="104" t="e">
        <f t="shared" ca="1" si="84"/>
        <v>#NAME?</v>
      </c>
      <c r="J731" s="119" t="e">
        <f ca="1">IF(C731="","",MROUND([0]!CSVVLookUP(ROW(行数!A723),配列!$C$4,集計記録,7,1),"0:01"))</f>
        <v>#NAME?</v>
      </c>
      <c r="K731" s="92" t="e">
        <f ca="1">IF(C731="","",[0]!CSVVLookUP(ROW(行数!A723),配列!$C$4,集計記録,5,1))</f>
        <v>#NAME?</v>
      </c>
      <c r="L731" s="104" t="e">
        <f t="shared" ca="1" si="85"/>
        <v>#NAME?</v>
      </c>
      <c r="M731" s="120" t="e">
        <f t="shared" ca="1" si="79"/>
        <v>#NAME?</v>
      </c>
      <c r="N731" s="120" t="e">
        <f ca="1">IF([0]!CSVVLookUP(ROW(行数!A723),配列!$C$4,集計記録,6,1)=0,"",[0]!CSVVLookUP(ROW(行数!A723),配列!$C$4,集計記録,6,1))</f>
        <v>#NAME?</v>
      </c>
      <c r="O731" s="88" t="e">
        <f ca="1">IF(INDIRECT("M"&amp;ROW()-1)&lt;&gt;INDIRECT("M"&amp;ROW()),リスト!$I$5,"")</f>
        <v>#NAME?</v>
      </c>
      <c r="P731" s="88" t="e">
        <f ca="1">IF(INDIRECT("M"&amp;ROW())&lt;&gt;INDIRECT("M"&amp;ROW()+1),リスト!$I$6,"")</f>
        <v>#NAME?</v>
      </c>
    </row>
    <row r="732" spans="1:16" x14ac:dyDescent="0.2">
      <c r="A732" s="169" t="e">
        <f ca="1">IF(C732="","",ROW(行数!A724))</f>
        <v>#NAME?</v>
      </c>
      <c r="B732" s="168" t="e">
        <f t="shared" ca="1" si="80"/>
        <v>#NAME?</v>
      </c>
      <c r="C732" s="90" t="e">
        <f ca="1">[0]!CSVVLookUP(ROW(行数!A724),配列!$C$4,集計記録,3,1)</f>
        <v>#NAME?</v>
      </c>
      <c r="D732" s="90" t="e">
        <f ca="1">[0]!CSVVLookUP(ROW(行数!B724),配列!$C$4,集計記録,4,1)</f>
        <v>#NAME?</v>
      </c>
      <c r="E732" s="118" t="e">
        <f t="shared" ca="1" si="81"/>
        <v>#NAME?</v>
      </c>
      <c r="F732" s="118" t="e">
        <f t="shared" ca="1" si="82"/>
        <v>#NAME?</v>
      </c>
      <c r="G732" s="103" t="e">
        <f t="shared" ca="1" si="83"/>
        <v>#NAME?</v>
      </c>
      <c r="H732" s="104" t="e">
        <f ca="1">IF(C732="","",MROUND([0]!CSVVLookUP(ROW(行数!A724),配列!$C$4,集計記録,8,1),"0:01"))</f>
        <v>#NAME?</v>
      </c>
      <c r="I732" s="104" t="e">
        <f t="shared" ca="1" si="84"/>
        <v>#NAME?</v>
      </c>
      <c r="J732" s="119" t="e">
        <f ca="1">IF(C732="","",MROUND([0]!CSVVLookUP(ROW(行数!A724),配列!$C$4,集計記録,7,1),"0:01"))</f>
        <v>#NAME?</v>
      </c>
      <c r="K732" s="92" t="e">
        <f ca="1">IF(C732="","",[0]!CSVVLookUP(ROW(行数!A724),配列!$C$4,集計記録,5,1))</f>
        <v>#NAME?</v>
      </c>
      <c r="L732" s="104" t="e">
        <f t="shared" ca="1" si="85"/>
        <v>#NAME?</v>
      </c>
      <c r="M732" s="120" t="e">
        <f t="shared" ca="1" si="79"/>
        <v>#NAME?</v>
      </c>
      <c r="N732" s="120" t="e">
        <f ca="1">IF([0]!CSVVLookUP(ROW(行数!A724),配列!$C$4,集計記録,6,1)=0,"",[0]!CSVVLookUP(ROW(行数!A724),配列!$C$4,集計記録,6,1))</f>
        <v>#NAME?</v>
      </c>
      <c r="O732" s="88" t="e">
        <f ca="1">IF(INDIRECT("M"&amp;ROW()-1)&lt;&gt;INDIRECT("M"&amp;ROW()),リスト!$I$5,"")</f>
        <v>#NAME?</v>
      </c>
      <c r="P732" s="88" t="e">
        <f ca="1">IF(INDIRECT("M"&amp;ROW())&lt;&gt;INDIRECT("M"&amp;ROW()+1),リスト!$I$6,"")</f>
        <v>#NAME?</v>
      </c>
    </row>
    <row r="733" spans="1:16" x14ac:dyDescent="0.2">
      <c r="A733" s="169" t="e">
        <f ca="1">IF(C733="","",ROW(行数!A725))</f>
        <v>#NAME?</v>
      </c>
      <c r="B733" s="168" t="e">
        <f t="shared" ca="1" si="80"/>
        <v>#NAME?</v>
      </c>
      <c r="C733" s="90" t="e">
        <f ca="1">[0]!CSVVLookUP(ROW(行数!A725),配列!$C$4,集計記録,3,1)</f>
        <v>#NAME?</v>
      </c>
      <c r="D733" s="90" t="e">
        <f ca="1">[0]!CSVVLookUP(ROW(行数!B725),配列!$C$4,集計記録,4,1)</f>
        <v>#NAME?</v>
      </c>
      <c r="E733" s="118" t="e">
        <f t="shared" ca="1" si="81"/>
        <v>#NAME?</v>
      </c>
      <c r="F733" s="118" t="e">
        <f t="shared" ca="1" si="82"/>
        <v>#NAME?</v>
      </c>
      <c r="G733" s="103" t="e">
        <f t="shared" ca="1" si="83"/>
        <v>#NAME?</v>
      </c>
      <c r="H733" s="104" t="e">
        <f ca="1">IF(C733="","",MROUND([0]!CSVVLookUP(ROW(行数!A725),配列!$C$4,集計記録,8,1),"0:01"))</f>
        <v>#NAME?</v>
      </c>
      <c r="I733" s="104" t="e">
        <f t="shared" ca="1" si="84"/>
        <v>#NAME?</v>
      </c>
      <c r="J733" s="119" t="e">
        <f ca="1">IF(C733="","",MROUND([0]!CSVVLookUP(ROW(行数!A725),配列!$C$4,集計記録,7,1),"0:01"))</f>
        <v>#NAME?</v>
      </c>
      <c r="K733" s="92" t="e">
        <f ca="1">IF(C733="","",[0]!CSVVLookUP(ROW(行数!A725),配列!$C$4,集計記録,5,1))</f>
        <v>#NAME?</v>
      </c>
      <c r="L733" s="104" t="e">
        <f t="shared" ca="1" si="85"/>
        <v>#NAME?</v>
      </c>
      <c r="M733" s="120" t="e">
        <f t="shared" ca="1" si="79"/>
        <v>#NAME?</v>
      </c>
      <c r="N733" s="120" t="e">
        <f ca="1">IF([0]!CSVVLookUP(ROW(行数!A725),配列!$C$4,集計記録,6,1)=0,"",[0]!CSVVLookUP(ROW(行数!A725),配列!$C$4,集計記録,6,1))</f>
        <v>#NAME?</v>
      </c>
      <c r="O733" s="88" t="e">
        <f ca="1">IF(INDIRECT("M"&amp;ROW()-1)&lt;&gt;INDIRECT("M"&amp;ROW()),リスト!$I$5,"")</f>
        <v>#NAME?</v>
      </c>
      <c r="P733" s="88" t="e">
        <f ca="1">IF(INDIRECT("M"&amp;ROW())&lt;&gt;INDIRECT("M"&amp;ROW()+1),リスト!$I$6,"")</f>
        <v>#NAME?</v>
      </c>
    </row>
    <row r="734" spans="1:16" x14ac:dyDescent="0.2">
      <c r="A734" s="169" t="e">
        <f ca="1">IF(C734="","",ROW(行数!A726))</f>
        <v>#NAME?</v>
      </c>
      <c r="B734" s="168" t="e">
        <f t="shared" ca="1" si="80"/>
        <v>#NAME?</v>
      </c>
      <c r="C734" s="90" t="e">
        <f ca="1">[0]!CSVVLookUP(ROW(行数!A726),配列!$C$4,集計記録,3,1)</f>
        <v>#NAME?</v>
      </c>
      <c r="D734" s="90" t="e">
        <f ca="1">[0]!CSVVLookUP(ROW(行数!B726),配列!$C$4,集計記録,4,1)</f>
        <v>#NAME?</v>
      </c>
      <c r="E734" s="118" t="e">
        <f t="shared" ca="1" si="81"/>
        <v>#NAME?</v>
      </c>
      <c r="F734" s="118" t="e">
        <f t="shared" ca="1" si="82"/>
        <v>#NAME?</v>
      </c>
      <c r="G734" s="103" t="e">
        <f t="shared" ca="1" si="83"/>
        <v>#NAME?</v>
      </c>
      <c r="H734" s="104" t="e">
        <f ca="1">IF(C734="","",MROUND([0]!CSVVLookUP(ROW(行数!A726),配列!$C$4,集計記録,8,1),"0:01"))</f>
        <v>#NAME?</v>
      </c>
      <c r="I734" s="104" t="e">
        <f t="shared" ca="1" si="84"/>
        <v>#NAME?</v>
      </c>
      <c r="J734" s="119" t="e">
        <f ca="1">IF(C734="","",MROUND([0]!CSVVLookUP(ROW(行数!A726),配列!$C$4,集計記録,7,1),"0:01"))</f>
        <v>#NAME?</v>
      </c>
      <c r="K734" s="92" t="e">
        <f ca="1">IF(C734="","",[0]!CSVVLookUP(ROW(行数!A726),配列!$C$4,集計記録,5,1))</f>
        <v>#NAME?</v>
      </c>
      <c r="L734" s="104" t="e">
        <f t="shared" ca="1" si="85"/>
        <v>#NAME?</v>
      </c>
      <c r="M734" s="120" t="e">
        <f t="shared" ca="1" si="79"/>
        <v>#NAME?</v>
      </c>
      <c r="N734" s="120" t="e">
        <f ca="1">IF([0]!CSVVLookUP(ROW(行数!A726),配列!$C$4,集計記録,6,1)=0,"",[0]!CSVVLookUP(ROW(行数!A726),配列!$C$4,集計記録,6,1))</f>
        <v>#NAME?</v>
      </c>
      <c r="O734" s="88" t="e">
        <f ca="1">IF(INDIRECT("M"&amp;ROW()-1)&lt;&gt;INDIRECT("M"&amp;ROW()),リスト!$I$5,"")</f>
        <v>#NAME?</v>
      </c>
      <c r="P734" s="88" t="e">
        <f ca="1">IF(INDIRECT("M"&amp;ROW())&lt;&gt;INDIRECT("M"&amp;ROW()+1),リスト!$I$6,"")</f>
        <v>#NAME?</v>
      </c>
    </row>
    <row r="735" spans="1:16" x14ac:dyDescent="0.2">
      <c r="A735" s="169" t="e">
        <f ca="1">IF(C735="","",ROW(行数!A727))</f>
        <v>#NAME?</v>
      </c>
      <c r="B735" s="168" t="e">
        <f t="shared" ca="1" si="80"/>
        <v>#NAME?</v>
      </c>
      <c r="C735" s="90" t="e">
        <f ca="1">[0]!CSVVLookUP(ROW(行数!A727),配列!$C$4,集計記録,3,1)</f>
        <v>#NAME?</v>
      </c>
      <c r="D735" s="90" t="e">
        <f ca="1">[0]!CSVVLookUP(ROW(行数!B727),配列!$C$4,集計記録,4,1)</f>
        <v>#NAME?</v>
      </c>
      <c r="E735" s="118" t="e">
        <f t="shared" ca="1" si="81"/>
        <v>#NAME?</v>
      </c>
      <c r="F735" s="118" t="e">
        <f t="shared" ca="1" si="82"/>
        <v>#NAME?</v>
      </c>
      <c r="G735" s="103" t="e">
        <f t="shared" ca="1" si="83"/>
        <v>#NAME?</v>
      </c>
      <c r="H735" s="104" t="e">
        <f ca="1">IF(C735="","",MROUND([0]!CSVVLookUP(ROW(行数!A727),配列!$C$4,集計記録,8,1),"0:01"))</f>
        <v>#NAME?</v>
      </c>
      <c r="I735" s="104" t="e">
        <f t="shared" ca="1" si="84"/>
        <v>#NAME?</v>
      </c>
      <c r="J735" s="119" t="e">
        <f ca="1">IF(C735="","",MROUND([0]!CSVVLookUP(ROW(行数!A727),配列!$C$4,集計記録,7,1),"0:01"))</f>
        <v>#NAME?</v>
      </c>
      <c r="K735" s="92" t="e">
        <f ca="1">IF(C735="","",[0]!CSVVLookUP(ROW(行数!A727),配列!$C$4,集計記録,5,1))</f>
        <v>#NAME?</v>
      </c>
      <c r="L735" s="104" t="e">
        <f t="shared" ca="1" si="85"/>
        <v>#NAME?</v>
      </c>
      <c r="M735" s="120" t="e">
        <f t="shared" ca="1" si="79"/>
        <v>#NAME?</v>
      </c>
      <c r="N735" s="120" t="e">
        <f ca="1">IF([0]!CSVVLookUP(ROW(行数!A727),配列!$C$4,集計記録,6,1)=0,"",[0]!CSVVLookUP(ROW(行数!A727),配列!$C$4,集計記録,6,1))</f>
        <v>#NAME?</v>
      </c>
      <c r="O735" s="88" t="e">
        <f ca="1">IF(INDIRECT("M"&amp;ROW()-1)&lt;&gt;INDIRECT("M"&amp;ROW()),リスト!$I$5,"")</f>
        <v>#NAME?</v>
      </c>
      <c r="P735" s="88" t="e">
        <f ca="1">IF(INDIRECT("M"&amp;ROW())&lt;&gt;INDIRECT("M"&amp;ROW()+1),リスト!$I$6,"")</f>
        <v>#NAME?</v>
      </c>
    </row>
    <row r="736" spans="1:16" x14ac:dyDescent="0.2">
      <c r="A736" s="169" t="e">
        <f ca="1">IF(C736="","",ROW(行数!A728))</f>
        <v>#NAME?</v>
      </c>
      <c r="B736" s="168" t="e">
        <f t="shared" ca="1" si="80"/>
        <v>#NAME?</v>
      </c>
      <c r="C736" s="90" t="e">
        <f ca="1">[0]!CSVVLookUP(ROW(行数!A728),配列!$C$4,集計記録,3,1)</f>
        <v>#NAME?</v>
      </c>
      <c r="D736" s="90" t="e">
        <f ca="1">[0]!CSVVLookUP(ROW(行数!B728),配列!$C$4,集計記録,4,1)</f>
        <v>#NAME?</v>
      </c>
      <c r="E736" s="118" t="e">
        <f t="shared" ca="1" si="81"/>
        <v>#NAME?</v>
      </c>
      <c r="F736" s="118" t="e">
        <f t="shared" ca="1" si="82"/>
        <v>#NAME?</v>
      </c>
      <c r="G736" s="103" t="e">
        <f t="shared" ca="1" si="83"/>
        <v>#NAME?</v>
      </c>
      <c r="H736" s="104" t="e">
        <f ca="1">IF(C736="","",MROUND([0]!CSVVLookUP(ROW(行数!A728),配列!$C$4,集計記録,8,1),"0:01"))</f>
        <v>#NAME?</v>
      </c>
      <c r="I736" s="104" t="e">
        <f t="shared" ca="1" si="84"/>
        <v>#NAME?</v>
      </c>
      <c r="J736" s="119" t="e">
        <f ca="1">IF(C736="","",MROUND([0]!CSVVLookUP(ROW(行数!A728),配列!$C$4,集計記録,7,1),"0:01"))</f>
        <v>#NAME?</v>
      </c>
      <c r="K736" s="92" t="e">
        <f ca="1">IF(C736="","",[0]!CSVVLookUP(ROW(行数!A728),配列!$C$4,集計記録,5,1))</f>
        <v>#NAME?</v>
      </c>
      <c r="L736" s="104" t="e">
        <f t="shared" ca="1" si="85"/>
        <v>#NAME?</v>
      </c>
      <c r="M736" s="120" t="e">
        <f t="shared" ca="1" si="79"/>
        <v>#NAME?</v>
      </c>
      <c r="N736" s="120" t="e">
        <f ca="1">IF([0]!CSVVLookUP(ROW(行数!A728),配列!$C$4,集計記録,6,1)=0,"",[0]!CSVVLookUP(ROW(行数!A728),配列!$C$4,集計記録,6,1))</f>
        <v>#NAME?</v>
      </c>
      <c r="O736" s="88" t="e">
        <f ca="1">IF(INDIRECT("M"&amp;ROW()-1)&lt;&gt;INDIRECT("M"&amp;ROW()),リスト!$I$5,"")</f>
        <v>#NAME?</v>
      </c>
      <c r="P736" s="88" t="e">
        <f ca="1">IF(INDIRECT("M"&amp;ROW())&lt;&gt;INDIRECT("M"&amp;ROW()+1),リスト!$I$6,"")</f>
        <v>#NAME?</v>
      </c>
    </row>
    <row r="737" spans="1:16" x14ac:dyDescent="0.2">
      <c r="A737" s="169" t="e">
        <f ca="1">IF(C737="","",ROW(行数!A729))</f>
        <v>#NAME?</v>
      </c>
      <c r="B737" s="168" t="e">
        <f t="shared" ca="1" si="80"/>
        <v>#NAME?</v>
      </c>
      <c r="C737" s="90" t="e">
        <f ca="1">[0]!CSVVLookUP(ROW(行数!A729),配列!$C$4,集計記録,3,1)</f>
        <v>#NAME?</v>
      </c>
      <c r="D737" s="90" t="e">
        <f ca="1">[0]!CSVVLookUP(ROW(行数!B729),配列!$C$4,集計記録,4,1)</f>
        <v>#NAME?</v>
      </c>
      <c r="E737" s="118" t="e">
        <f t="shared" ca="1" si="81"/>
        <v>#NAME?</v>
      </c>
      <c r="F737" s="118" t="e">
        <f t="shared" ca="1" si="82"/>
        <v>#NAME?</v>
      </c>
      <c r="G737" s="103" t="e">
        <f t="shared" ca="1" si="83"/>
        <v>#NAME?</v>
      </c>
      <c r="H737" s="104" t="e">
        <f ca="1">IF(C737="","",MROUND([0]!CSVVLookUP(ROW(行数!A729),配列!$C$4,集計記録,8,1),"0:01"))</f>
        <v>#NAME?</v>
      </c>
      <c r="I737" s="104" t="e">
        <f t="shared" ca="1" si="84"/>
        <v>#NAME?</v>
      </c>
      <c r="J737" s="119" t="e">
        <f ca="1">IF(C737="","",MROUND([0]!CSVVLookUP(ROW(行数!A729),配列!$C$4,集計記録,7,1),"0:01"))</f>
        <v>#NAME?</v>
      </c>
      <c r="K737" s="92" t="e">
        <f ca="1">IF(C737="","",[0]!CSVVLookUP(ROW(行数!A729),配列!$C$4,集計記録,5,1))</f>
        <v>#NAME?</v>
      </c>
      <c r="L737" s="104" t="e">
        <f t="shared" ca="1" si="85"/>
        <v>#NAME?</v>
      </c>
      <c r="M737" s="120" t="e">
        <f t="shared" ca="1" si="79"/>
        <v>#NAME?</v>
      </c>
      <c r="N737" s="120" t="e">
        <f ca="1">IF([0]!CSVVLookUP(ROW(行数!A729),配列!$C$4,集計記録,6,1)=0,"",[0]!CSVVLookUP(ROW(行数!A729),配列!$C$4,集計記録,6,1))</f>
        <v>#NAME?</v>
      </c>
      <c r="O737" s="88" t="e">
        <f ca="1">IF(INDIRECT("M"&amp;ROW()-1)&lt;&gt;INDIRECT("M"&amp;ROW()),リスト!$I$5,"")</f>
        <v>#NAME?</v>
      </c>
      <c r="P737" s="88" t="e">
        <f ca="1">IF(INDIRECT("M"&amp;ROW())&lt;&gt;INDIRECT("M"&amp;ROW()+1),リスト!$I$6,"")</f>
        <v>#NAME?</v>
      </c>
    </row>
    <row r="738" spans="1:16" x14ac:dyDescent="0.2">
      <c r="A738" s="169" t="e">
        <f ca="1">IF(C738="","",ROW(行数!A730))</f>
        <v>#NAME?</v>
      </c>
      <c r="B738" s="168" t="e">
        <f t="shared" ca="1" si="80"/>
        <v>#NAME?</v>
      </c>
      <c r="C738" s="90" t="e">
        <f ca="1">[0]!CSVVLookUP(ROW(行数!A730),配列!$C$4,集計記録,3,1)</f>
        <v>#NAME?</v>
      </c>
      <c r="D738" s="90" t="e">
        <f ca="1">[0]!CSVVLookUP(ROW(行数!B730),配列!$C$4,集計記録,4,1)</f>
        <v>#NAME?</v>
      </c>
      <c r="E738" s="118" t="e">
        <f t="shared" ca="1" si="81"/>
        <v>#NAME?</v>
      </c>
      <c r="F738" s="118" t="e">
        <f t="shared" ca="1" si="82"/>
        <v>#NAME?</v>
      </c>
      <c r="G738" s="103" t="e">
        <f t="shared" ca="1" si="83"/>
        <v>#NAME?</v>
      </c>
      <c r="H738" s="104" t="e">
        <f ca="1">IF(C738="","",MROUND([0]!CSVVLookUP(ROW(行数!A730),配列!$C$4,集計記録,8,1),"0:01"))</f>
        <v>#NAME?</v>
      </c>
      <c r="I738" s="104" t="e">
        <f t="shared" ca="1" si="84"/>
        <v>#NAME?</v>
      </c>
      <c r="J738" s="119" t="e">
        <f ca="1">IF(C738="","",MROUND([0]!CSVVLookUP(ROW(行数!A730),配列!$C$4,集計記録,7,1),"0:01"))</f>
        <v>#NAME?</v>
      </c>
      <c r="K738" s="92" t="e">
        <f ca="1">IF(C738="","",[0]!CSVVLookUP(ROW(行数!A730),配列!$C$4,集計記録,5,1))</f>
        <v>#NAME?</v>
      </c>
      <c r="L738" s="104" t="e">
        <f t="shared" ca="1" si="85"/>
        <v>#NAME?</v>
      </c>
      <c r="M738" s="120" t="e">
        <f t="shared" ca="1" si="79"/>
        <v>#NAME?</v>
      </c>
      <c r="N738" s="120" t="e">
        <f ca="1">IF([0]!CSVVLookUP(ROW(行数!A730),配列!$C$4,集計記録,6,1)=0,"",[0]!CSVVLookUP(ROW(行数!A730),配列!$C$4,集計記録,6,1))</f>
        <v>#NAME?</v>
      </c>
      <c r="O738" s="88" t="e">
        <f ca="1">IF(INDIRECT("M"&amp;ROW()-1)&lt;&gt;INDIRECT("M"&amp;ROW()),リスト!$I$5,"")</f>
        <v>#NAME?</v>
      </c>
      <c r="P738" s="88" t="e">
        <f ca="1">IF(INDIRECT("M"&amp;ROW())&lt;&gt;INDIRECT("M"&amp;ROW()+1),リスト!$I$6,"")</f>
        <v>#NAME?</v>
      </c>
    </row>
    <row r="739" spans="1:16" x14ac:dyDescent="0.2">
      <c r="A739" s="169" t="e">
        <f ca="1">IF(C739="","",ROW(行数!A731))</f>
        <v>#NAME?</v>
      </c>
      <c r="B739" s="168" t="e">
        <f t="shared" ca="1" si="80"/>
        <v>#NAME?</v>
      </c>
      <c r="C739" s="90" t="e">
        <f ca="1">[0]!CSVVLookUP(ROW(行数!A731),配列!$C$4,集計記録,3,1)</f>
        <v>#NAME?</v>
      </c>
      <c r="D739" s="90" t="e">
        <f ca="1">[0]!CSVVLookUP(ROW(行数!B731),配列!$C$4,集計記録,4,1)</f>
        <v>#NAME?</v>
      </c>
      <c r="E739" s="118" t="e">
        <f t="shared" ca="1" si="81"/>
        <v>#NAME?</v>
      </c>
      <c r="F739" s="118" t="e">
        <f t="shared" ca="1" si="82"/>
        <v>#NAME?</v>
      </c>
      <c r="G739" s="103" t="e">
        <f t="shared" ca="1" si="83"/>
        <v>#NAME?</v>
      </c>
      <c r="H739" s="104" t="e">
        <f ca="1">IF(C739="","",MROUND([0]!CSVVLookUP(ROW(行数!A731),配列!$C$4,集計記録,8,1),"0:01"))</f>
        <v>#NAME?</v>
      </c>
      <c r="I739" s="104" t="e">
        <f t="shared" ca="1" si="84"/>
        <v>#NAME?</v>
      </c>
      <c r="J739" s="119" t="e">
        <f ca="1">IF(C739="","",MROUND([0]!CSVVLookUP(ROW(行数!A731),配列!$C$4,集計記録,7,1),"0:01"))</f>
        <v>#NAME?</v>
      </c>
      <c r="K739" s="92" t="e">
        <f ca="1">IF(C739="","",[0]!CSVVLookUP(ROW(行数!A731),配列!$C$4,集計記録,5,1))</f>
        <v>#NAME?</v>
      </c>
      <c r="L739" s="104" t="e">
        <f t="shared" ca="1" si="85"/>
        <v>#NAME?</v>
      </c>
      <c r="M739" s="120" t="e">
        <f t="shared" ca="1" si="79"/>
        <v>#NAME?</v>
      </c>
      <c r="N739" s="120" t="e">
        <f ca="1">IF([0]!CSVVLookUP(ROW(行数!A731),配列!$C$4,集計記録,6,1)=0,"",[0]!CSVVLookUP(ROW(行数!A731),配列!$C$4,集計記録,6,1))</f>
        <v>#NAME?</v>
      </c>
      <c r="O739" s="88" t="e">
        <f ca="1">IF(INDIRECT("M"&amp;ROW()-1)&lt;&gt;INDIRECT("M"&amp;ROW()),リスト!$I$5,"")</f>
        <v>#NAME?</v>
      </c>
      <c r="P739" s="88" t="e">
        <f ca="1">IF(INDIRECT("M"&amp;ROW())&lt;&gt;INDIRECT("M"&amp;ROW()+1),リスト!$I$6,"")</f>
        <v>#NAME?</v>
      </c>
    </row>
    <row r="740" spans="1:16" x14ac:dyDescent="0.2">
      <c r="A740" s="169" t="e">
        <f ca="1">IF(C740="","",ROW(行数!A732))</f>
        <v>#NAME?</v>
      </c>
      <c r="B740" s="168" t="e">
        <f t="shared" ca="1" si="80"/>
        <v>#NAME?</v>
      </c>
      <c r="C740" s="90" t="e">
        <f ca="1">[0]!CSVVLookUP(ROW(行数!A732),配列!$C$4,集計記録,3,1)</f>
        <v>#NAME?</v>
      </c>
      <c r="D740" s="90" t="e">
        <f ca="1">[0]!CSVVLookUP(ROW(行数!B732),配列!$C$4,集計記録,4,1)</f>
        <v>#NAME?</v>
      </c>
      <c r="E740" s="118" t="e">
        <f t="shared" ca="1" si="81"/>
        <v>#NAME?</v>
      </c>
      <c r="F740" s="118" t="e">
        <f t="shared" ca="1" si="82"/>
        <v>#NAME?</v>
      </c>
      <c r="G740" s="103" t="e">
        <f t="shared" ca="1" si="83"/>
        <v>#NAME?</v>
      </c>
      <c r="H740" s="104" t="e">
        <f ca="1">IF(C740="","",MROUND([0]!CSVVLookUP(ROW(行数!A732),配列!$C$4,集計記録,8,1),"0:01"))</f>
        <v>#NAME?</v>
      </c>
      <c r="I740" s="104" t="e">
        <f t="shared" ca="1" si="84"/>
        <v>#NAME?</v>
      </c>
      <c r="J740" s="119" t="e">
        <f ca="1">IF(C740="","",MROUND([0]!CSVVLookUP(ROW(行数!A732),配列!$C$4,集計記録,7,1),"0:01"))</f>
        <v>#NAME?</v>
      </c>
      <c r="K740" s="92" t="e">
        <f ca="1">IF(C740="","",[0]!CSVVLookUP(ROW(行数!A732),配列!$C$4,集計記録,5,1))</f>
        <v>#NAME?</v>
      </c>
      <c r="L740" s="104" t="e">
        <f t="shared" ca="1" si="85"/>
        <v>#NAME?</v>
      </c>
      <c r="M740" s="120" t="e">
        <f t="shared" ca="1" si="79"/>
        <v>#NAME?</v>
      </c>
      <c r="N740" s="120" t="e">
        <f ca="1">IF([0]!CSVVLookUP(ROW(行数!A732),配列!$C$4,集計記録,6,1)=0,"",[0]!CSVVLookUP(ROW(行数!A732),配列!$C$4,集計記録,6,1))</f>
        <v>#NAME?</v>
      </c>
      <c r="O740" s="88" t="e">
        <f ca="1">IF(INDIRECT("M"&amp;ROW()-1)&lt;&gt;INDIRECT("M"&amp;ROW()),リスト!$I$5,"")</f>
        <v>#NAME?</v>
      </c>
      <c r="P740" s="88" t="e">
        <f ca="1">IF(INDIRECT("M"&amp;ROW())&lt;&gt;INDIRECT("M"&amp;ROW()+1),リスト!$I$6,"")</f>
        <v>#NAME?</v>
      </c>
    </row>
    <row r="741" spans="1:16" x14ac:dyDescent="0.2">
      <c r="A741" s="169" t="e">
        <f ca="1">IF(C741="","",ROW(行数!A733))</f>
        <v>#NAME?</v>
      </c>
      <c r="B741" s="168" t="e">
        <f t="shared" ca="1" si="80"/>
        <v>#NAME?</v>
      </c>
      <c r="C741" s="90" t="e">
        <f ca="1">[0]!CSVVLookUP(ROW(行数!A733),配列!$C$4,集計記録,3,1)</f>
        <v>#NAME?</v>
      </c>
      <c r="D741" s="90" t="e">
        <f ca="1">[0]!CSVVLookUP(ROW(行数!B733),配列!$C$4,集計記録,4,1)</f>
        <v>#NAME?</v>
      </c>
      <c r="E741" s="118" t="e">
        <f t="shared" ca="1" si="81"/>
        <v>#NAME?</v>
      </c>
      <c r="F741" s="118" t="e">
        <f t="shared" ca="1" si="82"/>
        <v>#NAME?</v>
      </c>
      <c r="G741" s="103" t="e">
        <f t="shared" ca="1" si="83"/>
        <v>#NAME?</v>
      </c>
      <c r="H741" s="104" t="e">
        <f ca="1">IF(C741="","",MROUND([0]!CSVVLookUP(ROW(行数!A733),配列!$C$4,集計記録,8,1),"0:01"))</f>
        <v>#NAME?</v>
      </c>
      <c r="I741" s="104" t="e">
        <f t="shared" ca="1" si="84"/>
        <v>#NAME?</v>
      </c>
      <c r="J741" s="119" t="e">
        <f ca="1">IF(C741="","",MROUND([0]!CSVVLookUP(ROW(行数!A733),配列!$C$4,集計記録,7,1),"0:01"))</f>
        <v>#NAME?</v>
      </c>
      <c r="K741" s="92" t="e">
        <f ca="1">IF(C741="","",[0]!CSVVLookUP(ROW(行数!A733),配列!$C$4,集計記録,5,1))</f>
        <v>#NAME?</v>
      </c>
      <c r="L741" s="104" t="e">
        <f t="shared" ca="1" si="85"/>
        <v>#NAME?</v>
      </c>
      <c r="M741" s="120" t="e">
        <f t="shared" ca="1" si="79"/>
        <v>#NAME?</v>
      </c>
      <c r="N741" s="120" t="e">
        <f ca="1">IF([0]!CSVVLookUP(ROW(行数!A733),配列!$C$4,集計記録,6,1)=0,"",[0]!CSVVLookUP(ROW(行数!A733),配列!$C$4,集計記録,6,1))</f>
        <v>#NAME?</v>
      </c>
      <c r="O741" s="88" t="e">
        <f ca="1">IF(INDIRECT("M"&amp;ROW()-1)&lt;&gt;INDIRECT("M"&amp;ROW()),リスト!$I$5,"")</f>
        <v>#NAME?</v>
      </c>
      <c r="P741" s="88" t="e">
        <f ca="1">IF(INDIRECT("M"&amp;ROW())&lt;&gt;INDIRECT("M"&amp;ROW()+1),リスト!$I$6,"")</f>
        <v>#NAME?</v>
      </c>
    </row>
    <row r="742" spans="1:16" x14ac:dyDescent="0.2">
      <c r="A742" s="169" t="e">
        <f ca="1">IF(C742="","",ROW(行数!A734))</f>
        <v>#NAME?</v>
      </c>
      <c r="B742" s="168" t="e">
        <f t="shared" ca="1" si="80"/>
        <v>#NAME?</v>
      </c>
      <c r="C742" s="90" t="e">
        <f ca="1">[0]!CSVVLookUP(ROW(行数!A734),配列!$C$4,集計記録,3,1)</f>
        <v>#NAME?</v>
      </c>
      <c r="D742" s="90" t="e">
        <f ca="1">[0]!CSVVLookUP(ROW(行数!B734),配列!$C$4,集計記録,4,1)</f>
        <v>#NAME?</v>
      </c>
      <c r="E742" s="118" t="e">
        <f t="shared" ca="1" si="81"/>
        <v>#NAME?</v>
      </c>
      <c r="F742" s="118" t="e">
        <f t="shared" ca="1" si="82"/>
        <v>#NAME?</v>
      </c>
      <c r="G742" s="103" t="e">
        <f t="shared" ca="1" si="83"/>
        <v>#NAME?</v>
      </c>
      <c r="H742" s="104" t="e">
        <f ca="1">IF(C742="","",MROUND([0]!CSVVLookUP(ROW(行数!A734),配列!$C$4,集計記録,8,1),"0:01"))</f>
        <v>#NAME?</v>
      </c>
      <c r="I742" s="104" t="e">
        <f t="shared" ca="1" si="84"/>
        <v>#NAME?</v>
      </c>
      <c r="J742" s="119" t="e">
        <f ca="1">IF(C742="","",MROUND([0]!CSVVLookUP(ROW(行数!A734),配列!$C$4,集計記録,7,1),"0:01"))</f>
        <v>#NAME?</v>
      </c>
      <c r="K742" s="92" t="e">
        <f ca="1">IF(C742="","",[0]!CSVVLookUP(ROW(行数!A734),配列!$C$4,集計記録,5,1))</f>
        <v>#NAME?</v>
      </c>
      <c r="L742" s="104" t="e">
        <f t="shared" ca="1" si="85"/>
        <v>#NAME?</v>
      </c>
      <c r="M742" s="120" t="e">
        <f t="shared" ca="1" si="79"/>
        <v>#NAME?</v>
      </c>
      <c r="N742" s="120" t="e">
        <f ca="1">IF([0]!CSVVLookUP(ROW(行数!A734),配列!$C$4,集計記録,6,1)=0,"",[0]!CSVVLookUP(ROW(行数!A734),配列!$C$4,集計記録,6,1))</f>
        <v>#NAME?</v>
      </c>
      <c r="O742" s="88" t="e">
        <f ca="1">IF(INDIRECT("M"&amp;ROW()-1)&lt;&gt;INDIRECT("M"&amp;ROW()),リスト!$I$5,"")</f>
        <v>#NAME?</v>
      </c>
      <c r="P742" s="88" t="e">
        <f ca="1">IF(INDIRECT("M"&amp;ROW())&lt;&gt;INDIRECT("M"&amp;ROW()+1),リスト!$I$6,"")</f>
        <v>#NAME?</v>
      </c>
    </row>
    <row r="743" spans="1:16" x14ac:dyDescent="0.2">
      <c r="A743" s="169" t="e">
        <f ca="1">IF(C743="","",ROW(行数!A735))</f>
        <v>#NAME?</v>
      </c>
      <c r="B743" s="168" t="e">
        <f t="shared" ca="1" si="80"/>
        <v>#NAME?</v>
      </c>
      <c r="C743" s="90" t="e">
        <f ca="1">[0]!CSVVLookUP(ROW(行数!A735),配列!$C$4,集計記録,3,1)</f>
        <v>#NAME?</v>
      </c>
      <c r="D743" s="90" t="e">
        <f ca="1">[0]!CSVVLookUP(ROW(行数!B735),配列!$C$4,集計記録,4,1)</f>
        <v>#NAME?</v>
      </c>
      <c r="E743" s="118" t="e">
        <f t="shared" ca="1" si="81"/>
        <v>#NAME?</v>
      </c>
      <c r="F743" s="118" t="e">
        <f t="shared" ca="1" si="82"/>
        <v>#NAME?</v>
      </c>
      <c r="G743" s="103" t="e">
        <f t="shared" ca="1" si="83"/>
        <v>#NAME?</v>
      </c>
      <c r="H743" s="104" t="e">
        <f ca="1">IF(C743="","",MROUND([0]!CSVVLookUP(ROW(行数!A735),配列!$C$4,集計記録,8,1),"0:01"))</f>
        <v>#NAME?</v>
      </c>
      <c r="I743" s="104" t="e">
        <f t="shared" ca="1" si="84"/>
        <v>#NAME?</v>
      </c>
      <c r="J743" s="119" t="e">
        <f ca="1">IF(C743="","",MROUND([0]!CSVVLookUP(ROW(行数!A735),配列!$C$4,集計記録,7,1),"0:01"))</f>
        <v>#NAME?</v>
      </c>
      <c r="K743" s="92" t="e">
        <f ca="1">IF(C743="","",[0]!CSVVLookUP(ROW(行数!A735),配列!$C$4,集計記録,5,1))</f>
        <v>#NAME?</v>
      </c>
      <c r="L743" s="104" t="e">
        <f t="shared" ca="1" si="85"/>
        <v>#NAME?</v>
      </c>
      <c r="M743" s="120" t="e">
        <f t="shared" ca="1" si="79"/>
        <v>#NAME?</v>
      </c>
      <c r="N743" s="120" t="e">
        <f ca="1">IF([0]!CSVVLookUP(ROW(行数!A735),配列!$C$4,集計記録,6,1)=0,"",[0]!CSVVLookUP(ROW(行数!A735),配列!$C$4,集計記録,6,1))</f>
        <v>#NAME?</v>
      </c>
      <c r="O743" s="88" t="e">
        <f ca="1">IF(INDIRECT("M"&amp;ROW()-1)&lt;&gt;INDIRECT("M"&amp;ROW()),リスト!$I$5,"")</f>
        <v>#NAME?</v>
      </c>
      <c r="P743" s="88" t="e">
        <f ca="1">IF(INDIRECT("M"&amp;ROW())&lt;&gt;INDIRECT("M"&amp;ROW()+1),リスト!$I$6,"")</f>
        <v>#NAME?</v>
      </c>
    </row>
    <row r="744" spans="1:16" x14ac:dyDescent="0.2">
      <c r="A744" s="169" t="e">
        <f ca="1">IF(C744="","",ROW(行数!A736))</f>
        <v>#NAME?</v>
      </c>
      <c r="B744" s="168" t="e">
        <f t="shared" ca="1" si="80"/>
        <v>#NAME?</v>
      </c>
      <c r="C744" s="90" t="e">
        <f ca="1">[0]!CSVVLookUP(ROW(行数!A736),配列!$C$4,集計記録,3,1)</f>
        <v>#NAME?</v>
      </c>
      <c r="D744" s="90" t="e">
        <f ca="1">[0]!CSVVLookUP(ROW(行数!B736),配列!$C$4,集計記録,4,1)</f>
        <v>#NAME?</v>
      </c>
      <c r="E744" s="118" t="e">
        <f t="shared" ca="1" si="81"/>
        <v>#NAME?</v>
      </c>
      <c r="F744" s="118" t="e">
        <f t="shared" ca="1" si="82"/>
        <v>#NAME?</v>
      </c>
      <c r="G744" s="103" t="e">
        <f t="shared" ca="1" si="83"/>
        <v>#NAME?</v>
      </c>
      <c r="H744" s="104" t="e">
        <f ca="1">IF(C744="","",MROUND([0]!CSVVLookUP(ROW(行数!A736),配列!$C$4,集計記録,8,1),"0:01"))</f>
        <v>#NAME?</v>
      </c>
      <c r="I744" s="104" t="e">
        <f t="shared" ca="1" si="84"/>
        <v>#NAME?</v>
      </c>
      <c r="J744" s="119" t="e">
        <f ca="1">IF(C744="","",MROUND([0]!CSVVLookUP(ROW(行数!A736),配列!$C$4,集計記録,7,1),"0:01"))</f>
        <v>#NAME?</v>
      </c>
      <c r="K744" s="92" t="e">
        <f ca="1">IF(C744="","",[0]!CSVVLookUP(ROW(行数!A736),配列!$C$4,集計記録,5,1))</f>
        <v>#NAME?</v>
      </c>
      <c r="L744" s="104" t="e">
        <f t="shared" ca="1" si="85"/>
        <v>#NAME?</v>
      </c>
      <c r="M744" s="120" t="e">
        <f t="shared" ca="1" si="79"/>
        <v>#NAME?</v>
      </c>
      <c r="N744" s="120" t="e">
        <f ca="1">IF([0]!CSVVLookUP(ROW(行数!A736),配列!$C$4,集計記録,6,1)=0,"",[0]!CSVVLookUP(ROW(行数!A736),配列!$C$4,集計記録,6,1))</f>
        <v>#NAME?</v>
      </c>
      <c r="O744" s="88" t="e">
        <f ca="1">IF(INDIRECT("M"&amp;ROW()-1)&lt;&gt;INDIRECT("M"&amp;ROW()),リスト!$I$5,"")</f>
        <v>#NAME?</v>
      </c>
      <c r="P744" s="88" t="e">
        <f ca="1">IF(INDIRECT("M"&amp;ROW())&lt;&gt;INDIRECT("M"&amp;ROW()+1),リスト!$I$6,"")</f>
        <v>#NAME?</v>
      </c>
    </row>
    <row r="745" spans="1:16" x14ac:dyDescent="0.2">
      <c r="A745" s="169" t="e">
        <f ca="1">IF(C745="","",ROW(行数!A737))</f>
        <v>#NAME?</v>
      </c>
      <c r="B745" s="168" t="e">
        <f t="shared" ca="1" si="80"/>
        <v>#NAME?</v>
      </c>
      <c r="C745" s="90" t="e">
        <f ca="1">[0]!CSVVLookUP(ROW(行数!A737),配列!$C$4,集計記録,3,1)</f>
        <v>#NAME?</v>
      </c>
      <c r="D745" s="90" t="e">
        <f ca="1">[0]!CSVVLookUP(ROW(行数!B737),配列!$C$4,集計記録,4,1)</f>
        <v>#NAME?</v>
      </c>
      <c r="E745" s="118" t="e">
        <f t="shared" ca="1" si="81"/>
        <v>#NAME?</v>
      </c>
      <c r="F745" s="118" t="e">
        <f t="shared" ca="1" si="82"/>
        <v>#NAME?</v>
      </c>
      <c r="G745" s="103" t="e">
        <f t="shared" ca="1" si="83"/>
        <v>#NAME?</v>
      </c>
      <c r="H745" s="104" t="e">
        <f ca="1">IF(C745="","",MROUND([0]!CSVVLookUP(ROW(行数!A737),配列!$C$4,集計記録,8,1),"0:01"))</f>
        <v>#NAME?</v>
      </c>
      <c r="I745" s="104" t="e">
        <f t="shared" ca="1" si="84"/>
        <v>#NAME?</v>
      </c>
      <c r="J745" s="119" t="e">
        <f ca="1">IF(C745="","",MROUND([0]!CSVVLookUP(ROW(行数!A737),配列!$C$4,集計記録,7,1),"0:01"))</f>
        <v>#NAME?</v>
      </c>
      <c r="K745" s="92" t="e">
        <f ca="1">IF(C745="","",[0]!CSVVLookUP(ROW(行数!A737),配列!$C$4,集計記録,5,1))</f>
        <v>#NAME?</v>
      </c>
      <c r="L745" s="104" t="e">
        <f t="shared" ca="1" si="85"/>
        <v>#NAME?</v>
      </c>
      <c r="M745" s="120" t="e">
        <f t="shared" ca="1" si="79"/>
        <v>#NAME?</v>
      </c>
      <c r="N745" s="120" t="e">
        <f ca="1">IF([0]!CSVVLookUP(ROW(行数!A737),配列!$C$4,集計記録,6,1)=0,"",[0]!CSVVLookUP(ROW(行数!A737),配列!$C$4,集計記録,6,1))</f>
        <v>#NAME?</v>
      </c>
      <c r="O745" s="88" t="e">
        <f ca="1">IF(INDIRECT("M"&amp;ROW()-1)&lt;&gt;INDIRECT("M"&amp;ROW()),リスト!$I$5,"")</f>
        <v>#NAME?</v>
      </c>
      <c r="P745" s="88" t="e">
        <f ca="1">IF(INDIRECT("M"&amp;ROW())&lt;&gt;INDIRECT("M"&amp;ROW()+1),リスト!$I$6,"")</f>
        <v>#NAME?</v>
      </c>
    </row>
    <row r="746" spans="1:16" x14ac:dyDescent="0.2">
      <c r="A746" s="169" t="e">
        <f ca="1">IF(C746="","",ROW(行数!A738))</f>
        <v>#NAME?</v>
      </c>
      <c r="B746" s="168" t="e">
        <f t="shared" ca="1" si="80"/>
        <v>#NAME?</v>
      </c>
      <c r="C746" s="90" t="e">
        <f ca="1">[0]!CSVVLookUP(ROW(行数!A738),配列!$C$4,集計記録,3,1)</f>
        <v>#NAME?</v>
      </c>
      <c r="D746" s="90" t="e">
        <f ca="1">[0]!CSVVLookUP(ROW(行数!B738),配列!$C$4,集計記録,4,1)</f>
        <v>#NAME?</v>
      </c>
      <c r="E746" s="118" t="e">
        <f t="shared" ca="1" si="81"/>
        <v>#NAME?</v>
      </c>
      <c r="F746" s="118" t="e">
        <f t="shared" ca="1" si="82"/>
        <v>#NAME?</v>
      </c>
      <c r="G746" s="103" t="e">
        <f t="shared" ca="1" si="83"/>
        <v>#NAME?</v>
      </c>
      <c r="H746" s="104" t="e">
        <f ca="1">IF(C746="","",MROUND([0]!CSVVLookUP(ROW(行数!A738),配列!$C$4,集計記録,8,1),"0:01"))</f>
        <v>#NAME?</v>
      </c>
      <c r="I746" s="104" t="e">
        <f t="shared" ca="1" si="84"/>
        <v>#NAME?</v>
      </c>
      <c r="J746" s="119" t="e">
        <f ca="1">IF(C746="","",MROUND([0]!CSVVLookUP(ROW(行数!A738),配列!$C$4,集計記録,7,1),"0:01"))</f>
        <v>#NAME?</v>
      </c>
      <c r="K746" s="92" t="e">
        <f ca="1">IF(C746="","",[0]!CSVVLookUP(ROW(行数!A738),配列!$C$4,集計記録,5,1))</f>
        <v>#NAME?</v>
      </c>
      <c r="L746" s="104" t="e">
        <f t="shared" ca="1" si="85"/>
        <v>#NAME?</v>
      </c>
      <c r="M746" s="120" t="e">
        <f t="shared" ca="1" si="79"/>
        <v>#NAME?</v>
      </c>
      <c r="N746" s="120" t="e">
        <f ca="1">IF([0]!CSVVLookUP(ROW(行数!A738),配列!$C$4,集計記録,6,1)=0,"",[0]!CSVVLookUP(ROW(行数!A738),配列!$C$4,集計記録,6,1))</f>
        <v>#NAME?</v>
      </c>
      <c r="O746" s="88" t="e">
        <f ca="1">IF(INDIRECT("M"&amp;ROW()-1)&lt;&gt;INDIRECT("M"&amp;ROW()),リスト!$I$5,"")</f>
        <v>#NAME?</v>
      </c>
      <c r="P746" s="88" t="e">
        <f ca="1">IF(INDIRECT("M"&amp;ROW())&lt;&gt;INDIRECT("M"&amp;ROW()+1),リスト!$I$6,"")</f>
        <v>#NAME?</v>
      </c>
    </row>
    <row r="747" spans="1:16" x14ac:dyDescent="0.2">
      <c r="A747" s="169" t="e">
        <f ca="1">IF(C747="","",ROW(行数!A739))</f>
        <v>#NAME?</v>
      </c>
      <c r="B747" s="168" t="e">
        <f t="shared" ca="1" si="80"/>
        <v>#NAME?</v>
      </c>
      <c r="C747" s="90" t="e">
        <f ca="1">[0]!CSVVLookUP(ROW(行数!A739),配列!$C$4,集計記録,3,1)</f>
        <v>#NAME?</v>
      </c>
      <c r="D747" s="90" t="e">
        <f ca="1">[0]!CSVVLookUP(ROW(行数!B739),配列!$C$4,集計記録,4,1)</f>
        <v>#NAME?</v>
      </c>
      <c r="E747" s="118" t="e">
        <f t="shared" ca="1" si="81"/>
        <v>#NAME?</v>
      </c>
      <c r="F747" s="118" t="e">
        <f t="shared" ca="1" si="82"/>
        <v>#NAME?</v>
      </c>
      <c r="G747" s="103" t="e">
        <f t="shared" ca="1" si="83"/>
        <v>#NAME?</v>
      </c>
      <c r="H747" s="104" t="e">
        <f ca="1">IF(C747="","",MROUND([0]!CSVVLookUP(ROW(行数!A739),配列!$C$4,集計記録,8,1),"0:01"))</f>
        <v>#NAME?</v>
      </c>
      <c r="I747" s="104" t="e">
        <f t="shared" ca="1" si="84"/>
        <v>#NAME?</v>
      </c>
      <c r="J747" s="119" t="e">
        <f ca="1">IF(C747="","",MROUND([0]!CSVVLookUP(ROW(行数!A739),配列!$C$4,集計記録,7,1),"0:01"))</f>
        <v>#NAME?</v>
      </c>
      <c r="K747" s="92" t="e">
        <f ca="1">IF(C747="","",[0]!CSVVLookUP(ROW(行数!A739),配列!$C$4,集計記録,5,1))</f>
        <v>#NAME?</v>
      </c>
      <c r="L747" s="104" t="e">
        <f t="shared" ca="1" si="85"/>
        <v>#NAME?</v>
      </c>
      <c r="M747" s="120" t="e">
        <f t="shared" ca="1" si="79"/>
        <v>#NAME?</v>
      </c>
      <c r="N747" s="120" t="e">
        <f ca="1">IF([0]!CSVVLookUP(ROW(行数!A739),配列!$C$4,集計記録,6,1)=0,"",[0]!CSVVLookUP(ROW(行数!A739),配列!$C$4,集計記録,6,1))</f>
        <v>#NAME?</v>
      </c>
      <c r="O747" s="88" t="e">
        <f ca="1">IF(INDIRECT("M"&amp;ROW()-1)&lt;&gt;INDIRECT("M"&amp;ROW()),リスト!$I$5,"")</f>
        <v>#NAME?</v>
      </c>
      <c r="P747" s="88" t="e">
        <f ca="1">IF(INDIRECT("M"&amp;ROW())&lt;&gt;INDIRECT("M"&amp;ROW()+1),リスト!$I$6,"")</f>
        <v>#NAME?</v>
      </c>
    </row>
    <row r="748" spans="1:16" x14ac:dyDescent="0.2">
      <c r="A748" s="169" t="e">
        <f ca="1">IF(C748="","",ROW(行数!A740))</f>
        <v>#NAME?</v>
      </c>
      <c r="B748" s="168" t="e">
        <f t="shared" ca="1" si="80"/>
        <v>#NAME?</v>
      </c>
      <c r="C748" s="90" t="e">
        <f ca="1">[0]!CSVVLookUP(ROW(行数!A740),配列!$C$4,集計記録,3,1)</f>
        <v>#NAME?</v>
      </c>
      <c r="D748" s="90" t="e">
        <f ca="1">[0]!CSVVLookUP(ROW(行数!B740),配列!$C$4,集計記録,4,1)</f>
        <v>#NAME?</v>
      </c>
      <c r="E748" s="118" t="e">
        <f t="shared" ca="1" si="81"/>
        <v>#NAME?</v>
      </c>
      <c r="F748" s="118" t="e">
        <f t="shared" ca="1" si="82"/>
        <v>#NAME?</v>
      </c>
      <c r="G748" s="103" t="e">
        <f t="shared" ca="1" si="83"/>
        <v>#NAME?</v>
      </c>
      <c r="H748" s="104" t="e">
        <f ca="1">IF(C748="","",MROUND([0]!CSVVLookUP(ROW(行数!A740),配列!$C$4,集計記録,8,1),"0:01"))</f>
        <v>#NAME?</v>
      </c>
      <c r="I748" s="104" t="e">
        <f t="shared" ca="1" si="84"/>
        <v>#NAME?</v>
      </c>
      <c r="J748" s="119" t="e">
        <f ca="1">IF(C748="","",MROUND([0]!CSVVLookUP(ROW(行数!A740),配列!$C$4,集計記録,7,1),"0:01"))</f>
        <v>#NAME?</v>
      </c>
      <c r="K748" s="92" t="e">
        <f ca="1">IF(C748="","",[0]!CSVVLookUP(ROW(行数!A740),配列!$C$4,集計記録,5,1))</f>
        <v>#NAME?</v>
      </c>
      <c r="L748" s="104" t="e">
        <f t="shared" ca="1" si="85"/>
        <v>#NAME?</v>
      </c>
      <c r="M748" s="120" t="e">
        <f t="shared" ca="1" si="79"/>
        <v>#NAME?</v>
      </c>
      <c r="N748" s="120" t="e">
        <f ca="1">IF([0]!CSVVLookUP(ROW(行数!A740),配列!$C$4,集計記録,6,1)=0,"",[0]!CSVVLookUP(ROW(行数!A740),配列!$C$4,集計記録,6,1))</f>
        <v>#NAME?</v>
      </c>
      <c r="O748" s="88" t="e">
        <f ca="1">IF(INDIRECT("M"&amp;ROW()-1)&lt;&gt;INDIRECT("M"&amp;ROW()),リスト!$I$5,"")</f>
        <v>#NAME?</v>
      </c>
      <c r="P748" s="88" t="e">
        <f ca="1">IF(INDIRECT("M"&amp;ROW())&lt;&gt;INDIRECT("M"&amp;ROW()+1),リスト!$I$6,"")</f>
        <v>#NAME?</v>
      </c>
    </row>
    <row r="749" spans="1:16" x14ac:dyDescent="0.2">
      <c r="A749" s="169" t="e">
        <f ca="1">IF(C749="","",ROW(行数!A741))</f>
        <v>#NAME?</v>
      </c>
      <c r="B749" s="168" t="e">
        <f t="shared" ca="1" si="80"/>
        <v>#NAME?</v>
      </c>
      <c r="C749" s="90" t="e">
        <f ca="1">[0]!CSVVLookUP(ROW(行数!A741),配列!$C$4,集計記録,3,1)</f>
        <v>#NAME?</v>
      </c>
      <c r="D749" s="90" t="e">
        <f ca="1">[0]!CSVVLookUP(ROW(行数!B741),配列!$C$4,集計記録,4,1)</f>
        <v>#NAME?</v>
      </c>
      <c r="E749" s="118" t="e">
        <f t="shared" ca="1" si="81"/>
        <v>#NAME?</v>
      </c>
      <c r="F749" s="118" t="e">
        <f t="shared" ca="1" si="82"/>
        <v>#NAME?</v>
      </c>
      <c r="G749" s="103" t="e">
        <f t="shared" ca="1" si="83"/>
        <v>#NAME?</v>
      </c>
      <c r="H749" s="104" t="e">
        <f ca="1">IF(C749="","",MROUND([0]!CSVVLookUP(ROW(行数!A741),配列!$C$4,集計記録,8,1),"0:01"))</f>
        <v>#NAME?</v>
      </c>
      <c r="I749" s="104" t="e">
        <f t="shared" ca="1" si="84"/>
        <v>#NAME?</v>
      </c>
      <c r="J749" s="119" t="e">
        <f ca="1">IF(C749="","",MROUND([0]!CSVVLookUP(ROW(行数!A741),配列!$C$4,集計記録,7,1),"0:01"))</f>
        <v>#NAME?</v>
      </c>
      <c r="K749" s="92" t="e">
        <f ca="1">IF(C749="","",[0]!CSVVLookUP(ROW(行数!A741),配列!$C$4,集計記録,5,1))</f>
        <v>#NAME?</v>
      </c>
      <c r="L749" s="104" t="e">
        <f t="shared" ca="1" si="85"/>
        <v>#NAME?</v>
      </c>
      <c r="M749" s="120" t="e">
        <f t="shared" ca="1" si="79"/>
        <v>#NAME?</v>
      </c>
      <c r="N749" s="120" t="e">
        <f ca="1">IF([0]!CSVVLookUP(ROW(行数!A741),配列!$C$4,集計記録,6,1)=0,"",[0]!CSVVLookUP(ROW(行数!A741),配列!$C$4,集計記録,6,1))</f>
        <v>#NAME?</v>
      </c>
      <c r="O749" s="88" t="e">
        <f ca="1">IF(INDIRECT("M"&amp;ROW()-1)&lt;&gt;INDIRECT("M"&amp;ROW()),リスト!$I$5,"")</f>
        <v>#NAME?</v>
      </c>
      <c r="P749" s="88" t="e">
        <f ca="1">IF(INDIRECT("M"&amp;ROW())&lt;&gt;INDIRECT("M"&amp;ROW()+1),リスト!$I$6,"")</f>
        <v>#NAME?</v>
      </c>
    </row>
    <row r="750" spans="1:16" x14ac:dyDescent="0.2">
      <c r="A750" s="169" t="e">
        <f ca="1">IF(C750="","",ROW(行数!A742))</f>
        <v>#NAME?</v>
      </c>
      <c r="B750" s="168" t="e">
        <f t="shared" ca="1" si="80"/>
        <v>#NAME?</v>
      </c>
      <c r="C750" s="90" t="e">
        <f ca="1">[0]!CSVVLookUP(ROW(行数!A742),配列!$C$4,集計記録,3,1)</f>
        <v>#NAME?</v>
      </c>
      <c r="D750" s="90" t="e">
        <f ca="1">[0]!CSVVLookUP(ROW(行数!B742),配列!$C$4,集計記録,4,1)</f>
        <v>#NAME?</v>
      </c>
      <c r="E750" s="118" t="e">
        <f t="shared" ca="1" si="81"/>
        <v>#NAME?</v>
      </c>
      <c r="F750" s="118" t="e">
        <f t="shared" ca="1" si="82"/>
        <v>#NAME?</v>
      </c>
      <c r="G750" s="103" t="e">
        <f t="shared" ca="1" si="83"/>
        <v>#NAME?</v>
      </c>
      <c r="H750" s="104" t="e">
        <f ca="1">IF(C750="","",MROUND([0]!CSVVLookUP(ROW(行数!A742),配列!$C$4,集計記録,8,1),"0:01"))</f>
        <v>#NAME?</v>
      </c>
      <c r="I750" s="104" t="e">
        <f t="shared" ca="1" si="84"/>
        <v>#NAME?</v>
      </c>
      <c r="J750" s="119" t="e">
        <f ca="1">IF(C750="","",MROUND([0]!CSVVLookUP(ROW(行数!A742),配列!$C$4,集計記録,7,1),"0:01"))</f>
        <v>#NAME?</v>
      </c>
      <c r="K750" s="92" t="e">
        <f ca="1">IF(C750="","",[0]!CSVVLookUP(ROW(行数!A742),配列!$C$4,集計記録,5,1))</f>
        <v>#NAME?</v>
      </c>
      <c r="L750" s="104" t="e">
        <f t="shared" ca="1" si="85"/>
        <v>#NAME?</v>
      </c>
      <c r="M750" s="120" t="e">
        <f t="shared" ca="1" si="79"/>
        <v>#NAME?</v>
      </c>
      <c r="N750" s="120" t="e">
        <f ca="1">IF([0]!CSVVLookUP(ROW(行数!A742),配列!$C$4,集計記録,6,1)=0,"",[0]!CSVVLookUP(ROW(行数!A742),配列!$C$4,集計記録,6,1))</f>
        <v>#NAME?</v>
      </c>
      <c r="O750" s="88" t="e">
        <f ca="1">IF(INDIRECT("M"&amp;ROW()-1)&lt;&gt;INDIRECT("M"&amp;ROW()),リスト!$I$5,"")</f>
        <v>#NAME?</v>
      </c>
      <c r="P750" s="88" t="e">
        <f ca="1">IF(INDIRECT("M"&amp;ROW())&lt;&gt;INDIRECT("M"&amp;ROW()+1),リスト!$I$6,"")</f>
        <v>#NAME?</v>
      </c>
    </row>
    <row r="751" spans="1:16" x14ac:dyDescent="0.2">
      <c r="A751" s="169" t="e">
        <f ca="1">IF(C751="","",ROW(行数!A743))</f>
        <v>#NAME?</v>
      </c>
      <c r="B751" s="168" t="e">
        <f t="shared" ca="1" si="80"/>
        <v>#NAME?</v>
      </c>
      <c r="C751" s="90" t="e">
        <f ca="1">[0]!CSVVLookUP(ROW(行数!A743),配列!$C$4,集計記録,3,1)</f>
        <v>#NAME?</v>
      </c>
      <c r="D751" s="90" t="e">
        <f ca="1">[0]!CSVVLookUP(ROW(行数!B743),配列!$C$4,集計記録,4,1)</f>
        <v>#NAME?</v>
      </c>
      <c r="E751" s="118" t="e">
        <f t="shared" ca="1" si="81"/>
        <v>#NAME?</v>
      </c>
      <c r="F751" s="118" t="e">
        <f t="shared" ca="1" si="82"/>
        <v>#NAME?</v>
      </c>
      <c r="G751" s="103" t="e">
        <f t="shared" ca="1" si="83"/>
        <v>#NAME?</v>
      </c>
      <c r="H751" s="104" t="e">
        <f ca="1">IF(C751="","",MROUND([0]!CSVVLookUP(ROW(行数!A743),配列!$C$4,集計記録,8,1),"0:01"))</f>
        <v>#NAME?</v>
      </c>
      <c r="I751" s="104" t="e">
        <f t="shared" ca="1" si="84"/>
        <v>#NAME?</v>
      </c>
      <c r="J751" s="119" t="e">
        <f ca="1">IF(C751="","",MROUND([0]!CSVVLookUP(ROW(行数!A743),配列!$C$4,集計記録,7,1),"0:01"))</f>
        <v>#NAME?</v>
      </c>
      <c r="K751" s="92" t="e">
        <f ca="1">IF(C751="","",[0]!CSVVLookUP(ROW(行数!A743),配列!$C$4,集計記録,5,1))</f>
        <v>#NAME?</v>
      </c>
      <c r="L751" s="104" t="e">
        <f t="shared" ca="1" si="85"/>
        <v>#NAME?</v>
      </c>
      <c r="M751" s="120" t="e">
        <f t="shared" ca="1" si="79"/>
        <v>#NAME?</v>
      </c>
      <c r="N751" s="120" t="e">
        <f ca="1">IF([0]!CSVVLookUP(ROW(行数!A743),配列!$C$4,集計記録,6,1)=0,"",[0]!CSVVLookUP(ROW(行数!A743),配列!$C$4,集計記録,6,1))</f>
        <v>#NAME?</v>
      </c>
      <c r="O751" s="88" t="e">
        <f ca="1">IF(INDIRECT("M"&amp;ROW()-1)&lt;&gt;INDIRECT("M"&amp;ROW()),リスト!$I$5,"")</f>
        <v>#NAME?</v>
      </c>
      <c r="P751" s="88" t="e">
        <f ca="1">IF(INDIRECT("M"&amp;ROW())&lt;&gt;INDIRECT("M"&amp;ROW()+1),リスト!$I$6,"")</f>
        <v>#NAME?</v>
      </c>
    </row>
    <row r="752" spans="1:16" x14ac:dyDescent="0.2">
      <c r="A752" s="169" t="e">
        <f ca="1">IF(C752="","",ROW(行数!A744))</f>
        <v>#NAME?</v>
      </c>
      <c r="B752" s="168" t="e">
        <f t="shared" ca="1" si="80"/>
        <v>#NAME?</v>
      </c>
      <c r="C752" s="90" t="e">
        <f ca="1">[0]!CSVVLookUP(ROW(行数!A744),配列!$C$4,集計記録,3,1)</f>
        <v>#NAME?</v>
      </c>
      <c r="D752" s="90" t="e">
        <f ca="1">[0]!CSVVLookUP(ROW(行数!B744),配列!$C$4,集計記録,4,1)</f>
        <v>#NAME?</v>
      </c>
      <c r="E752" s="118" t="e">
        <f t="shared" ca="1" si="81"/>
        <v>#NAME?</v>
      </c>
      <c r="F752" s="118" t="e">
        <f t="shared" ca="1" si="82"/>
        <v>#NAME?</v>
      </c>
      <c r="G752" s="103" t="e">
        <f t="shared" ca="1" si="83"/>
        <v>#NAME?</v>
      </c>
      <c r="H752" s="104" t="e">
        <f ca="1">IF(C752="","",MROUND([0]!CSVVLookUP(ROW(行数!A744),配列!$C$4,集計記録,8,1),"0:01"))</f>
        <v>#NAME?</v>
      </c>
      <c r="I752" s="104" t="e">
        <f t="shared" ca="1" si="84"/>
        <v>#NAME?</v>
      </c>
      <c r="J752" s="119" t="e">
        <f ca="1">IF(C752="","",MROUND([0]!CSVVLookUP(ROW(行数!A744),配列!$C$4,集計記録,7,1),"0:01"))</f>
        <v>#NAME?</v>
      </c>
      <c r="K752" s="92" t="e">
        <f ca="1">IF(C752="","",[0]!CSVVLookUP(ROW(行数!A744),配列!$C$4,集計記録,5,1))</f>
        <v>#NAME?</v>
      </c>
      <c r="L752" s="104" t="e">
        <f t="shared" ca="1" si="85"/>
        <v>#NAME?</v>
      </c>
      <c r="M752" s="120" t="e">
        <f t="shared" ca="1" si="79"/>
        <v>#NAME?</v>
      </c>
      <c r="N752" s="120" t="e">
        <f ca="1">IF([0]!CSVVLookUP(ROW(行数!A744),配列!$C$4,集計記録,6,1)=0,"",[0]!CSVVLookUP(ROW(行数!A744),配列!$C$4,集計記録,6,1))</f>
        <v>#NAME?</v>
      </c>
      <c r="O752" s="88" t="e">
        <f ca="1">IF(INDIRECT("M"&amp;ROW()-1)&lt;&gt;INDIRECT("M"&amp;ROW()),リスト!$I$5,"")</f>
        <v>#NAME?</v>
      </c>
      <c r="P752" s="88" t="e">
        <f ca="1">IF(INDIRECT("M"&amp;ROW())&lt;&gt;INDIRECT("M"&amp;ROW()+1),リスト!$I$6,"")</f>
        <v>#NAME?</v>
      </c>
    </row>
    <row r="753" spans="1:16" x14ac:dyDescent="0.2">
      <c r="A753" s="169" t="e">
        <f ca="1">IF(C753="","",ROW(行数!A745))</f>
        <v>#NAME?</v>
      </c>
      <c r="B753" s="168" t="e">
        <f t="shared" ca="1" si="80"/>
        <v>#NAME?</v>
      </c>
      <c r="C753" s="90" t="e">
        <f ca="1">[0]!CSVVLookUP(ROW(行数!A745),配列!$C$4,集計記録,3,1)</f>
        <v>#NAME?</v>
      </c>
      <c r="D753" s="90" t="e">
        <f ca="1">[0]!CSVVLookUP(ROW(行数!B745),配列!$C$4,集計記録,4,1)</f>
        <v>#NAME?</v>
      </c>
      <c r="E753" s="118" t="e">
        <f t="shared" ca="1" si="81"/>
        <v>#NAME?</v>
      </c>
      <c r="F753" s="118" t="e">
        <f t="shared" ca="1" si="82"/>
        <v>#NAME?</v>
      </c>
      <c r="G753" s="103" t="e">
        <f t="shared" ca="1" si="83"/>
        <v>#NAME?</v>
      </c>
      <c r="H753" s="104" t="e">
        <f ca="1">IF(C753="","",MROUND([0]!CSVVLookUP(ROW(行数!A745),配列!$C$4,集計記録,8,1),"0:01"))</f>
        <v>#NAME?</v>
      </c>
      <c r="I753" s="104" t="e">
        <f t="shared" ca="1" si="84"/>
        <v>#NAME?</v>
      </c>
      <c r="J753" s="119" t="e">
        <f ca="1">IF(C753="","",MROUND([0]!CSVVLookUP(ROW(行数!A745),配列!$C$4,集計記録,7,1),"0:01"))</f>
        <v>#NAME?</v>
      </c>
      <c r="K753" s="92" t="e">
        <f ca="1">IF(C753="","",[0]!CSVVLookUP(ROW(行数!A745),配列!$C$4,集計記録,5,1))</f>
        <v>#NAME?</v>
      </c>
      <c r="L753" s="104" t="e">
        <f t="shared" ca="1" si="85"/>
        <v>#NAME?</v>
      </c>
      <c r="M753" s="120" t="e">
        <f t="shared" ca="1" si="79"/>
        <v>#NAME?</v>
      </c>
      <c r="N753" s="120" t="e">
        <f ca="1">IF([0]!CSVVLookUP(ROW(行数!A745),配列!$C$4,集計記録,6,1)=0,"",[0]!CSVVLookUP(ROW(行数!A745),配列!$C$4,集計記録,6,1))</f>
        <v>#NAME?</v>
      </c>
      <c r="O753" s="88" t="e">
        <f ca="1">IF(INDIRECT("M"&amp;ROW()-1)&lt;&gt;INDIRECT("M"&amp;ROW()),リスト!$I$5,"")</f>
        <v>#NAME?</v>
      </c>
      <c r="P753" s="88" t="e">
        <f ca="1">IF(INDIRECT("M"&amp;ROW())&lt;&gt;INDIRECT("M"&amp;ROW()+1),リスト!$I$6,"")</f>
        <v>#NAME?</v>
      </c>
    </row>
    <row r="754" spans="1:16" x14ac:dyDescent="0.2">
      <c r="A754" s="169" t="e">
        <f ca="1">IF(C754="","",ROW(行数!A746))</f>
        <v>#NAME?</v>
      </c>
      <c r="B754" s="168" t="e">
        <f t="shared" ca="1" si="80"/>
        <v>#NAME?</v>
      </c>
      <c r="C754" s="90" t="e">
        <f ca="1">[0]!CSVVLookUP(ROW(行数!A746),配列!$C$4,集計記録,3,1)</f>
        <v>#NAME?</v>
      </c>
      <c r="D754" s="90" t="e">
        <f ca="1">[0]!CSVVLookUP(ROW(行数!B746),配列!$C$4,集計記録,4,1)</f>
        <v>#NAME?</v>
      </c>
      <c r="E754" s="118" t="e">
        <f t="shared" ca="1" si="81"/>
        <v>#NAME?</v>
      </c>
      <c r="F754" s="118" t="e">
        <f t="shared" ca="1" si="82"/>
        <v>#NAME?</v>
      </c>
      <c r="G754" s="103" t="e">
        <f t="shared" ca="1" si="83"/>
        <v>#NAME?</v>
      </c>
      <c r="H754" s="104" t="e">
        <f ca="1">IF(C754="","",MROUND([0]!CSVVLookUP(ROW(行数!A746),配列!$C$4,集計記録,8,1),"0:01"))</f>
        <v>#NAME?</v>
      </c>
      <c r="I754" s="104" t="e">
        <f t="shared" ca="1" si="84"/>
        <v>#NAME?</v>
      </c>
      <c r="J754" s="119" t="e">
        <f ca="1">IF(C754="","",MROUND([0]!CSVVLookUP(ROW(行数!A746),配列!$C$4,集計記録,7,1),"0:01"))</f>
        <v>#NAME?</v>
      </c>
      <c r="K754" s="92" t="e">
        <f ca="1">IF(C754="","",[0]!CSVVLookUP(ROW(行数!A746),配列!$C$4,集計記録,5,1))</f>
        <v>#NAME?</v>
      </c>
      <c r="L754" s="104" t="e">
        <f t="shared" ca="1" si="85"/>
        <v>#NAME?</v>
      </c>
      <c r="M754" s="120" t="e">
        <f t="shared" ca="1" si="79"/>
        <v>#NAME?</v>
      </c>
      <c r="N754" s="120" t="e">
        <f ca="1">IF([0]!CSVVLookUP(ROW(行数!A746),配列!$C$4,集計記録,6,1)=0,"",[0]!CSVVLookUP(ROW(行数!A746),配列!$C$4,集計記録,6,1))</f>
        <v>#NAME?</v>
      </c>
      <c r="O754" s="88" t="e">
        <f ca="1">IF(INDIRECT("M"&amp;ROW()-1)&lt;&gt;INDIRECT("M"&amp;ROW()),リスト!$I$5,"")</f>
        <v>#NAME?</v>
      </c>
      <c r="P754" s="88" t="e">
        <f ca="1">IF(INDIRECT("M"&amp;ROW())&lt;&gt;INDIRECT("M"&amp;ROW()+1),リスト!$I$6,"")</f>
        <v>#NAME?</v>
      </c>
    </row>
    <row r="755" spans="1:16" x14ac:dyDescent="0.2">
      <c r="A755" s="169" t="e">
        <f ca="1">IF(C755="","",ROW(行数!A747))</f>
        <v>#NAME?</v>
      </c>
      <c r="B755" s="168" t="e">
        <f t="shared" ca="1" si="80"/>
        <v>#NAME?</v>
      </c>
      <c r="C755" s="90" t="e">
        <f ca="1">[0]!CSVVLookUP(ROW(行数!A747),配列!$C$4,集計記録,3,1)</f>
        <v>#NAME?</v>
      </c>
      <c r="D755" s="90" t="e">
        <f ca="1">[0]!CSVVLookUP(ROW(行数!B747),配列!$C$4,集計記録,4,1)</f>
        <v>#NAME?</v>
      </c>
      <c r="E755" s="118" t="e">
        <f t="shared" ca="1" si="81"/>
        <v>#NAME?</v>
      </c>
      <c r="F755" s="118" t="e">
        <f t="shared" ca="1" si="82"/>
        <v>#NAME?</v>
      </c>
      <c r="G755" s="103" t="e">
        <f t="shared" ca="1" si="83"/>
        <v>#NAME?</v>
      </c>
      <c r="H755" s="104" t="e">
        <f ca="1">IF(C755="","",MROUND([0]!CSVVLookUP(ROW(行数!A747),配列!$C$4,集計記録,8,1),"0:01"))</f>
        <v>#NAME?</v>
      </c>
      <c r="I755" s="104" t="e">
        <f t="shared" ca="1" si="84"/>
        <v>#NAME?</v>
      </c>
      <c r="J755" s="119" t="e">
        <f ca="1">IF(C755="","",MROUND([0]!CSVVLookUP(ROW(行数!A747),配列!$C$4,集計記録,7,1),"0:01"))</f>
        <v>#NAME?</v>
      </c>
      <c r="K755" s="92" t="e">
        <f ca="1">IF(C755="","",[0]!CSVVLookUP(ROW(行数!A747),配列!$C$4,集計記録,5,1))</f>
        <v>#NAME?</v>
      </c>
      <c r="L755" s="104" t="e">
        <f t="shared" ca="1" si="85"/>
        <v>#NAME?</v>
      </c>
      <c r="M755" s="120" t="e">
        <f t="shared" ca="1" si="79"/>
        <v>#NAME?</v>
      </c>
      <c r="N755" s="120" t="e">
        <f ca="1">IF([0]!CSVVLookUP(ROW(行数!A747),配列!$C$4,集計記録,6,1)=0,"",[0]!CSVVLookUP(ROW(行数!A747),配列!$C$4,集計記録,6,1))</f>
        <v>#NAME?</v>
      </c>
      <c r="O755" s="88" t="e">
        <f ca="1">IF(INDIRECT("M"&amp;ROW()-1)&lt;&gt;INDIRECT("M"&amp;ROW()),リスト!$I$5,"")</f>
        <v>#NAME?</v>
      </c>
      <c r="P755" s="88" t="e">
        <f ca="1">IF(INDIRECT("M"&amp;ROW())&lt;&gt;INDIRECT("M"&amp;ROW()+1),リスト!$I$6,"")</f>
        <v>#NAME?</v>
      </c>
    </row>
    <row r="756" spans="1:16" x14ac:dyDescent="0.2">
      <c r="A756" s="169" t="e">
        <f ca="1">IF(C756="","",ROW(行数!A748))</f>
        <v>#NAME?</v>
      </c>
      <c r="B756" s="168" t="e">
        <f t="shared" ca="1" si="80"/>
        <v>#NAME?</v>
      </c>
      <c r="C756" s="90" t="e">
        <f ca="1">[0]!CSVVLookUP(ROW(行数!A748),配列!$C$4,集計記録,3,1)</f>
        <v>#NAME?</v>
      </c>
      <c r="D756" s="90" t="e">
        <f ca="1">[0]!CSVVLookUP(ROW(行数!B748),配列!$C$4,集計記録,4,1)</f>
        <v>#NAME?</v>
      </c>
      <c r="E756" s="118" t="e">
        <f t="shared" ca="1" si="81"/>
        <v>#NAME?</v>
      </c>
      <c r="F756" s="118" t="e">
        <f t="shared" ca="1" si="82"/>
        <v>#NAME?</v>
      </c>
      <c r="G756" s="103" t="e">
        <f t="shared" ca="1" si="83"/>
        <v>#NAME?</v>
      </c>
      <c r="H756" s="104" t="e">
        <f ca="1">IF(C756="","",MROUND([0]!CSVVLookUP(ROW(行数!A748),配列!$C$4,集計記録,8,1),"0:01"))</f>
        <v>#NAME?</v>
      </c>
      <c r="I756" s="104" t="e">
        <f t="shared" ca="1" si="84"/>
        <v>#NAME?</v>
      </c>
      <c r="J756" s="119" t="e">
        <f ca="1">IF(C756="","",MROUND([0]!CSVVLookUP(ROW(行数!A748),配列!$C$4,集計記録,7,1),"0:01"))</f>
        <v>#NAME?</v>
      </c>
      <c r="K756" s="92" t="e">
        <f ca="1">IF(C756="","",[0]!CSVVLookUP(ROW(行数!A748),配列!$C$4,集計記録,5,1))</f>
        <v>#NAME?</v>
      </c>
      <c r="L756" s="104" t="e">
        <f t="shared" ca="1" si="85"/>
        <v>#NAME?</v>
      </c>
      <c r="M756" s="120" t="e">
        <f t="shared" ca="1" si="79"/>
        <v>#NAME?</v>
      </c>
      <c r="N756" s="120" t="e">
        <f ca="1">IF([0]!CSVVLookUP(ROW(行数!A748),配列!$C$4,集計記録,6,1)=0,"",[0]!CSVVLookUP(ROW(行数!A748),配列!$C$4,集計記録,6,1))</f>
        <v>#NAME?</v>
      </c>
      <c r="O756" s="88" t="e">
        <f ca="1">IF(INDIRECT("M"&amp;ROW()-1)&lt;&gt;INDIRECT("M"&amp;ROW()),リスト!$I$5,"")</f>
        <v>#NAME?</v>
      </c>
      <c r="P756" s="88" t="e">
        <f ca="1">IF(INDIRECT("M"&amp;ROW())&lt;&gt;INDIRECT("M"&amp;ROW()+1),リスト!$I$6,"")</f>
        <v>#NAME?</v>
      </c>
    </row>
    <row r="757" spans="1:16" x14ac:dyDescent="0.2">
      <c r="A757" s="169" t="e">
        <f ca="1">IF(C757="","",ROW(行数!A749))</f>
        <v>#NAME?</v>
      </c>
      <c r="B757" s="168" t="e">
        <f t="shared" ca="1" si="80"/>
        <v>#NAME?</v>
      </c>
      <c r="C757" s="90" t="e">
        <f ca="1">[0]!CSVVLookUP(ROW(行数!A749),配列!$C$4,集計記録,3,1)</f>
        <v>#NAME?</v>
      </c>
      <c r="D757" s="90" t="e">
        <f ca="1">[0]!CSVVLookUP(ROW(行数!B749),配列!$C$4,集計記録,4,1)</f>
        <v>#NAME?</v>
      </c>
      <c r="E757" s="118" t="e">
        <f t="shared" ca="1" si="81"/>
        <v>#NAME?</v>
      </c>
      <c r="F757" s="118" t="e">
        <f t="shared" ca="1" si="82"/>
        <v>#NAME?</v>
      </c>
      <c r="G757" s="103" t="e">
        <f t="shared" ca="1" si="83"/>
        <v>#NAME?</v>
      </c>
      <c r="H757" s="104" t="e">
        <f ca="1">IF(C757="","",MROUND([0]!CSVVLookUP(ROW(行数!A749),配列!$C$4,集計記録,8,1),"0:01"))</f>
        <v>#NAME?</v>
      </c>
      <c r="I757" s="104" t="e">
        <f t="shared" ca="1" si="84"/>
        <v>#NAME?</v>
      </c>
      <c r="J757" s="119" t="e">
        <f ca="1">IF(C757="","",MROUND([0]!CSVVLookUP(ROW(行数!A749),配列!$C$4,集計記録,7,1),"0:01"))</f>
        <v>#NAME?</v>
      </c>
      <c r="K757" s="92" t="e">
        <f ca="1">IF(C757="","",[0]!CSVVLookUP(ROW(行数!A749),配列!$C$4,集計記録,5,1))</f>
        <v>#NAME?</v>
      </c>
      <c r="L757" s="104" t="e">
        <f t="shared" ca="1" si="85"/>
        <v>#NAME?</v>
      </c>
      <c r="M757" s="120" t="e">
        <f t="shared" ca="1" si="79"/>
        <v>#NAME?</v>
      </c>
      <c r="N757" s="120" t="e">
        <f ca="1">IF([0]!CSVVLookUP(ROW(行数!A749),配列!$C$4,集計記録,6,1)=0,"",[0]!CSVVLookUP(ROW(行数!A749),配列!$C$4,集計記録,6,1))</f>
        <v>#NAME?</v>
      </c>
      <c r="O757" s="88" t="e">
        <f ca="1">IF(INDIRECT("M"&amp;ROW()-1)&lt;&gt;INDIRECT("M"&amp;ROW()),リスト!$I$5,"")</f>
        <v>#NAME?</v>
      </c>
      <c r="P757" s="88" t="e">
        <f ca="1">IF(INDIRECT("M"&amp;ROW())&lt;&gt;INDIRECT("M"&amp;ROW()+1),リスト!$I$6,"")</f>
        <v>#NAME?</v>
      </c>
    </row>
    <row r="758" spans="1:16" x14ac:dyDescent="0.2">
      <c r="A758" s="169" t="e">
        <f ca="1">IF(C758="","",ROW(行数!A750))</f>
        <v>#NAME?</v>
      </c>
      <c r="B758" s="168" t="e">
        <f t="shared" ca="1" si="80"/>
        <v>#NAME?</v>
      </c>
      <c r="C758" s="90" t="e">
        <f ca="1">[0]!CSVVLookUP(ROW(行数!A750),配列!$C$4,集計記録,3,1)</f>
        <v>#NAME?</v>
      </c>
      <c r="D758" s="90" t="e">
        <f ca="1">[0]!CSVVLookUP(ROW(行数!B750),配列!$C$4,集計記録,4,1)</f>
        <v>#NAME?</v>
      </c>
      <c r="E758" s="118" t="e">
        <f t="shared" ca="1" si="81"/>
        <v>#NAME?</v>
      </c>
      <c r="F758" s="118" t="e">
        <f t="shared" ca="1" si="82"/>
        <v>#NAME?</v>
      </c>
      <c r="G758" s="103" t="e">
        <f t="shared" ca="1" si="83"/>
        <v>#NAME?</v>
      </c>
      <c r="H758" s="104" t="e">
        <f ca="1">IF(C758="","",MROUND([0]!CSVVLookUP(ROW(行数!A750),配列!$C$4,集計記録,8,1),"0:01"))</f>
        <v>#NAME?</v>
      </c>
      <c r="I758" s="104" t="e">
        <f t="shared" ca="1" si="84"/>
        <v>#NAME?</v>
      </c>
      <c r="J758" s="119" t="e">
        <f ca="1">IF(C758="","",MROUND([0]!CSVVLookUP(ROW(行数!A750),配列!$C$4,集計記録,7,1),"0:01"))</f>
        <v>#NAME?</v>
      </c>
      <c r="K758" s="92" t="e">
        <f ca="1">IF(C758="","",[0]!CSVVLookUP(ROW(行数!A750),配列!$C$4,集計記録,5,1))</f>
        <v>#NAME?</v>
      </c>
      <c r="L758" s="104" t="e">
        <f t="shared" ca="1" si="85"/>
        <v>#NAME?</v>
      </c>
      <c r="M758" s="120" t="e">
        <f t="shared" ca="1" si="79"/>
        <v>#NAME?</v>
      </c>
      <c r="N758" s="120" t="e">
        <f ca="1">IF([0]!CSVVLookUP(ROW(行数!A750),配列!$C$4,集計記録,6,1)=0,"",[0]!CSVVLookUP(ROW(行数!A750),配列!$C$4,集計記録,6,1))</f>
        <v>#NAME?</v>
      </c>
      <c r="O758" s="88" t="e">
        <f ca="1">IF(INDIRECT("M"&amp;ROW()-1)&lt;&gt;INDIRECT("M"&amp;ROW()),リスト!$I$5,"")</f>
        <v>#NAME?</v>
      </c>
      <c r="P758" s="88" t="e">
        <f ca="1">IF(INDIRECT("M"&amp;ROW())&lt;&gt;INDIRECT("M"&amp;ROW()+1),リスト!$I$6,"")</f>
        <v>#NAME?</v>
      </c>
    </row>
    <row r="759" spans="1:16" x14ac:dyDescent="0.2">
      <c r="A759" s="169" t="e">
        <f ca="1">IF(C759="","",ROW(行数!A751))</f>
        <v>#NAME?</v>
      </c>
      <c r="B759" s="168" t="e">
        <f t="shared" ca="1" si="80"/>
        <v>#NAME?</v>
      </c>
      <c r="C759" s="90" t="e">
        <f ca="1">[0]!CSVVLookUP(ROW(行数!A751),配列!$C$4,集計記録,3,1)</f>
        <v>#NAME?</v>
      </c>
      <c r="D759" s="90" t="e">
        <f ca="1">[0]!CSVVLookUP(ROW(行数!B751),配列!$C$4,集計記録,4,1)</f>
        <v>#NAME?</v>
      </c>
      <c r="E759" s="118" t="e">
        <f t="shared" ca="1" si="81"/>
        <v>#NAME?</v>
      </c>
      <c r="F759" s="118" t="e">
        <f t="shared" ca="1" si="82"/>
        <v>#NAME?</v>
      </c>
      <c r="G759" s="103" t="e">
        <f t="shared" ca="1" si="83"/>
        <v>#NAME?</v>
      </c>
      <c r="H759" s="104" t="e">
        <f ca="1">IF(C759="","",MROUND([0]!CSVVLookUP(ROW(行数!A751),配列!$C$4,集計記録,8,1),"0:01"))</f>
        <v>#NAME?</v>
      </c>
      <c r="I759" s="104" t="e">
        <f t="shared" ca="1" si="84"/>
        <v>#NAME?</v>
      </c>
      <c r="J759" s="119" t="e">
        <f ca="1">IF(C759="","",MROUND([0]!CSVVLookUP(ROW(行数!A751),配列!$C$4,集計記録,7,1),"0:01"))</f>
        <v>#NAME?</v>
      </c>
      <c r="K759" s="92" t="e">
        <f ca="1">IF(C759="","",[0]!CSVVLookUP(ROW(行数!A751),配列!$C$4,集計記録,5,1))</f>
        <v>#NAME?</v>
      </c>
      <c r="L759" s="104" t="e">
        <f t="shared" ca="1" si="85"/>
        <v>#NAME?</v>
      </c>
      <c r="M759" s="120" t="e">
        <f t="shared" ca="1" si="79"/>
        <v>#NAME?</v>
      </c>
      <c r="N759" s="120" t="e">
        <f ca="1">IF([0]!CSVVLookUP(ROW(行数!A751),配列!$C$4,集計記録,6,1)=0,"",[0]!CSVVLookUP(ROW(行数!A751),配列!$C$4,集計記録,6,1))</f>
        <v>#NAME?</v>
      </c>
      <c r="O759" s="88" t="e">
        <f ca="1">IF(INDIRECT("M"&amp;ROW()-1)&lt;&gt;INDIRECT("M"&amp;ROW()),リスト!$I$5,"")</f>
        <v>#NAME?</v>
      </c>
      <c r="P759" s="88" t="e">
        <f ca="1">IF(INDIRECT("M"&amp;ROW())&lt;&gt;INDIRECT("M"&amp;ROW()+1),リスト!$I$6,"")</f>
        <v>#NAME?</v>
      </c>
    </row>
    <row r="760" spans="1:16" x14ac:dyDescent="0.2">
      <c r="A760" s="169" t="e">
        <f ca="1">IF(C760="","",ROW(行数!A752))</f>
        <v>#NAME?</v>
      </c>
      <c r="B760" s="168" t="e">
        <f t="shared" ca="1" si="80"/>
        <v>#NAME?</v>
      </c>
      <c r="C760" s="90" t="e">
        <f ca="1">[0]!CSVVLookUP(ROW(行数!A752),配列!$C$4,集計記録,3,1)</f>
        <v>#NAME?</v>
      </c>
      <c r="D760" s="90" t="e">
        <f ca="1">[0]!CSVVLookUP(ROW(行数!B752),配列!$C$4,集計記録,4,1)</f>
        <v>#NAME?</v>
      </c>
      <c r="E760" s="118" t="e">
        <f t="shared" ca="1" si="81"/>
        <v>#NAME?</v>
      </c>
      <c r="F760" s="118" t="e">
        <f t="shared" ca="1" si="82"/>
        <v>#NAME?</v>
      </c>
      <c r="G760" s="103" t="e">
        <f t="shared" ca="1" si="83"/>
        <v>#NAME?</v>
      </c>
      <c r="H760" s="104" t="e">
        <f ca="1">IF(C760="","",MROUND([0]!CSVVLookUP(ROW(行数!A752),配列!$C$4,集計記録,8,1),"0:01"))</f>
        <v>#NAME?</v>
      </c>
      <c r="I760" s="104" t="e">
        <f t="shared" ca="1" si="84"/>
        <v>#NAME?</v>
      </c>
      <c r="J760" s="119" t="e">
        <f ca="1">IF(C760="","",MROUND([0]!CSVVLookUP(ROW(行数!A752),配列!$C$4,集計記録,7,1),"0:01"))</f>
        <v>#NAME?</v>
      </c>
      <c r="K760" s="92" t="e">
        <f ca="1">IF(C760="","",[0]!CSVVLookUP(ROW(行数!A752),配列!$C$4,集計記録,5,1))</f>
        <v>#NAME?</v>
      </c>
      <c r="L760" s="104" t="e">
        <f t="shared" ca="1" si="85"/>
        <v>#NAME?</v>
      </c>
      <c r="M760" s="120" t="e">
        <f t="shared" ca="1" si="79"/>
        <v>#NAME?</v>
      </c>
      <c r="N760" s="120" t="e">
        <f ca="1">IF([0]!CSVVLookUP(ROW(行数!A752),配列!$C$4,集計記録,6,1)=0,"",[0]!CSVVLookUP(ROW(行数!A752),配列!$C$4,集計記録,6,1))</f>
        <v>#NAME?</v>
      </c>
      <c r="O760" s="88" t="e">
        <f ca="1">IF(INDIRECT("M"&amp;ROW()-1)&lt;&gt;INDIRECT("M"&amp;ROW()),リスト!$I$5,"")</f>
        <v>#NAME?</v>
      </c>
      <c r="P760" s="88" t="e">
        <f ca="1">IF(INDIRECT("M"&amp;ROW())&lt;&gt;INDIRECT("M"&amp;ROW()+1),リスト!$I$6,"")</f>
        <v>#NAME?</v>
      </c>
    </row>
    <row r="761" spans="1:16" x14ac:dyDescent="0.2">
      <c r="A761" s="169" t="e">
        <f ca="1">IF(C761="","",ROW(行数!A753))</f>
        <v>#NAME?</v>
      </c>
      <c r="B761" s="168" t="e">
        <f t="shared" ca="1" si="80"/>
        <v>#NAME?</v>
      </c>
      <c r="C761" s="90" t="e">
        <f ca="1">[0]!CSVVLookUP(ROW(行数!A753),配列!$C$4,集計記録,3,1)</f>
        <v>#NAME?</v>
      </c>
      <c r="D761" s="90" t="e">
        <f ca="1">[0]!CSVVLookUP(ROW(行数!B753),配列!$C$4,集計記録,4,1)</f>
        <v>#NAME?</v>
      </c>
      <c r="E761" s="118" t="e">
        <f t="shared" ca="1" si="81"/>
        <v>#NAME?</v>
      </c>
      <c r="F761" s="118" t="e">
        <f t="shared" ca="1" si="82"/>
        <v>#NAME?</v>
      </c>
      <c r="G761" s="103" t="e">
        <f t="shared" ca="1" si="83"/>
        <v>#NAME?</v>
      </c>
      <c r="H761" s="104" t="e">
        <f ca="1">IF(C761="","",MROUND([0]!CSVVLookUP(ROW(行数!A753),配列!$C$4,集計記録,8,1),"0:01"))</f>
        <v>#NAME?</v>
      </c>
      <c r="I761" s="104" t="e">
        <f t="shared" ca="1" si="84"/>
        <v>#NAME?</v>
      </c>
      <c r="J761" s="119" t="e">
        <f ca="1">IF(C761="","",MROUND([0]!CSVVLookUP(ROW(行数!A753),配列!$C$4,集計記録,7,1),"0:01"))</f>
        <v>#NAME?</v>
      </c>
      <c r="K761" s="92" t="e">
        <f ca="1">IF(C761="","",[0]!CSVVLookUP(ROW(行数!A753),配列!$C$4,集計記録,5,1))</f>
        <v>#NAME?</v>
      </c>
      <c r="L761" s="104" t="e">
        <f t="shared" ca="1" si="85"/>
        <v>#NAME?</v>
      </c>
      <c r="M761" s="120" t="e">
        <f t="shared" ca="1" si="79"/>
        <v>#NAME?</v>
      </c>
      <c r="N761" s="120" t="e">
        <f ca="1">IF([0]!CSVVLookUP(ROW(行数!A753),配列!$C$4,集計記録,6,1)=0,"",[0]!CSVVLookUP(ROW(行数!A753),配列!$C$4,集計記録,6,1))</f>
        <v>#NAME?</v>
      </c>
      <c r="O761" s="88" t="e">
        <f ca="1">IF(INDIRECT("M"&amp;ROW()-1)&lt;&gt;INDIRECT("M"&amp;ROW()),リスト!$I$5,"")</f>
        <v>#NAME?</v>
      </c>
      <c r="P761" s="88" t="e">
        <f ca="1">IF(INDIRECT("M"&amp;ROW())&lt;&gt;INDIRECT("M"&amp;ROW()+1),リスト!$I$6,"")</f>
        <v>#NAME?</v>
      </c>
    </row>
    <row r="762" spans="1:16" x14ac:dyDescent="0.2">
      <c r="A762" s="169" t="e">
        <f ca="1">IF(C762="","",ROW(行数!A754))</f>
        <v>#NAME?</v>
      </c>
      <c r="B762" s="168" t="e">
        <f t="shared" ca="1" si="80"/>
        <v>#NAME?</v>
      </c>
      <c r="C762" s="90" t="e">
        <f ca="1">[0]!CSVVLookUP(ROW(行数!A754),配列!$C$4,集計記録,3,1)</f>
        <v>#NAME?</v>
      </c>
      <c r="D762" s="90" t="e">
        <f ca="1">[0]!CSVVLookUP(ROW(行数!B754),配列!$C$4,集計記録,4,1)</f>
        <v>#NAME?</v>
      </c>
      <c r="E762" s="118" t="e">
        <f t="shared" ca="1" si="81"/>
        <v>#NAME?</v>
      </c>
      <c r="F762" s="118" t="e">
        <f t="shared" ca="1" si="82"/>
        <v>#NAME?</v>
      </c>
      <c r="G762" s="103" t="e">
        <f t="shared" ca="1" si="83"/>
        <v>#NAME?</v>
      </c>
      <c r="H762" s="104" t="e">
        <f ca="1">IF(C762="","",MROUND([0]!CSVVLookUP(ROW(行数!A754),配列!$C$4,集計記録,8,1),"0:01"))</f>
        <v>#NAME?</v>
      </c>
      <c r="I762" s="104" t="e">
        <f t="shared" ca="1" si="84"/>
        <v>#NAME?</v>
      </c>
      <c r="J762" s="119" t="e">
        <f ca="1">IF(C762="","",MROUND([0]!CSVVLookUP(ROW(行数!A754),配列!$C$4,集計記録,7,1),"0:01"))</f>
        <v>#NAME?</v>
      </c>
      <c r="K762" s="92" t="e">
        <f ca="1">IF(C762="","",[0]!CSVVLookUP(ROW(行数!A754),配列!$C$4,集計記録,5,1))</f>
        <v>#NAME?</v>
      </c>
      <c r="L762" s="104" t="e">
        <f t="shared" ca="1" si="85"/>
        <v>#NAME?</v>
      </c>
      <c r="M762" s="120" t="e">
        <f t="shared" ca="1" si="79"/>
        <v>#NAME?</v>
      </c>
      <c r="N762" s="120" t="e">
        <f ca="1">IF([0]!CSVVLookUP(ROW(行数!A754),配列!$C$4,集計記録,6,1)=0,"",[0]!CSVVLookUP(ROW(行数!A754),配列!$C$4,集計記録,6,1))</f>
        <v>#NAME?</v>
      </c>
      <c r="O762" s="88" t="e">
        <f ca="1">IF(INDIRECT("M"&amp;ROW()-1)&lt;&gt;INDIRECT("M"&amp;ROW()),リスト!$I$5,"")</f>
        <v>#NAME?</v>
      </c>
      <c r="P762" s="88" t="e">
        <f ca="1">IF(INDIRECT("M"&amp;ROW())&lt;&gt;INDIRECT("M"&amp;ROW()+1),リスト!$I$6,"")</f>
        <v>#NAME?</v>
      </c>
    </row>
    <row r="763" spans="1:16" x14ac:dyDescent="0.2">
      <c r="A763" s="169" t="e">
        <f ca="1">IF(C763="","",ROW(行数!A755))</f>
        <v>#NAME?</v>
      </c>
      <c r="B763" s="168" t="e">
        <f t="shared" ca="1" si="80"/>
        <v>#NAME?</v>
      </c>
      <c r="C763" s="90" t="e">
        <f ca="1">[0]!CSVVLookUP(ROW(行数!A755),配列!$C$4,集計記録,3,1)</f>
        <v>#NAME?</v>
      </c>
      <c r="D763" s="90" t="e">
        <f ca="1">[0]!CSVVLookUP(ROW(行数!B755),配列!$C$4,集計記録,4,1)</f>
        <v>#NAME?</v>
      </c>
      <c r="E763" s="118" t="e">
        <f t="shared" ca="1" si="81"/>
        <v>#NAME?</v>
      </c>
      <c r="F763" s="118" t="e">
        <f t="shared" ca="1" si="82"/>
        <v>#NAME?</v>
      </c>
      <c r="G763" s="103" t="e">
        <f t="shared" ca="1" si="83"/>
        <v>#NAME?</v>
      </c>
      <c r="H763" s="104" t="e">
        <f ca="1">IF(C763="","",MROUND([0]!CSVVLookUP(ROW(行数!A755),配列!$C$4,集計記録,8,1),"0:01"))</f>
        <v>#NAME?</v>
      </c>
      <c r="I763" s="104" t="e">
        <f t="shared" ca="1" si="84"/>
        <v>#NAME?</v>
      </c>
      <c r="J763" s="119" t="e">
        <f ca="1">IF(C763="","",MROUND([0]!CSVVLookUP(ROW(行数!A755),配列!$C$4,集計記録,7,1),"0:01"))</f>
        <v>#NAME?</v>
      </c>
      <c r="K763" s="92" t="e">
        <f ca="1">IF(C763="","",[0]!CSVVLookUP(ROW(行数!A755),配列!$C$4,集計記録,5,1))</f>
        <v>#NAME?</v>
      </c>
      <c r="L763" s="104" t="e">
        <f t="shared" ca="1" si="85"/>
        <v>#NAME?</v>
      </c>
      <c r="M763" s="120" t="e">
        <f t="shared" ca="1" si="79"/>
        <v>#NAME?</v>
      </c>
      <c r="N763" s="120" t="e">
        <f ca="1">IF([0]!CSVVLookUP(ROW(行数!A755),配列!$C$4,集計記録,6,1)=0,"",[0]!CSVVLookUP(ROW(行数!A755),配列!$C$4,集計記録,6,1))</f>
        <v>#NAME?</v>
      </c>
      <c r="O763" s="88" t="e">
        <f ca="1">IF(INDIRECT("M"&amp;ROW()-1)&lt;&gt;INDIRECT("M"&amp;ROW()),リスト!$I$5,"")</f>
        <v>#NAME?</v>
      </c>
      <c r="P763" s="88" t="e">
        <f ca="1">IF(INDIRECT("M"&amp;ROW())&lt;&gt;INDIRECT("M"&amp;ROW()+1),リスト!$I$6,"")</f>
        <v>#NAME?</v>
      </c>
    </row>
    <row r="764" spans="1:16" x14ac:dyDescent="0.2">
      <c r="A764" s="169" t="e">
        <f ca="1">IF(C764="","",ROW(行数!A756))</f>
        <v>#NAME?</v>
      </c>
      <c r="B764" s="168" t="e">
        <f t="shared" ca="1" si="80"/>
        <v>#NAME?</v>
      </c>
      <c r="C764" s="90" t="e">
        <f ca="1">[0]!CSVVLookUP(ROW(行数!A756),配列!$C$4,集計記録,3,1)</f>
        <v>#NAME?</v>
      </c>
      <c r="D764" s="90" t="e">
        <f ca="1">[0]!CSVVLookUP(ROW(行数!B756),配列!$C$4,集計記録,4,1)</f>
        <v>#NAME?</v>
      </c>
      <c r="E764" s="118" t="e">
        <f t="shared" ca="1" si="81"/>
        <v>#NAME?</v>
      </c>
      <c r="F764" s="118" t="e">
        <f t="shared" ca="1" si="82"/>
        <v>#NAME?</v>
      </c>
      <c r="G764" s="103" t="e">
        <f t="shared" ca="1" si="83"/>
        <v>#NAME?</v>
      </c>
      <c r="H764" s="104" t="e">
        <f ca="1">IF(C764="","",MROUND([0]!CSVVLookUP(ROW(行数!A756),配列!$C$4,集計記録,8,1),"0:01"))</f>
        <v>#NAME?</v>
      </c>
      <c r="I764" s="104" t="e">
        <f t="shared" ca="1" si="84"/>
        <v>#NAME?</v>
      </c>
      <c r="J764" s="119" t="e">
        <f ca="1">IF(C764="","",MROUND([0]!CSVVLookUP(ROW(行数!A756),配列!$C$4,集計記録,7,1),"0:01"))</f>
        <v>#NAME?</v>
      </c>
      <c r="K764" s="92" t="e">
        <f ca="1">IF(C764="","",[0]!CSVVLookUP(ROW(行数!A756),配列!$C$4,集計記録,5,1))</f>
        <v>#NAME?</v>
      </c>
      <c r="L764" s="104" t="e">
        <f t="shared" ca="1" si="85"/>
        <v>#NAME?</v>
      </c>
      <c r="M764" s="120" t="e">
        <f t="shared" ca="1" si="79"/>
        <v>#NAME?</v>
      </c>
      <c r="N764" s="120" t="e">
        <f ca="1">IF([0]!CSVVLookUP(ROW(行数!A756),配列!$C$4,集計記録,6,1)=0,"",[0]!CSVVLookUP(ROW(行数!A756),配列!$C$4,集計記録,6,1))</f>
        <v>#NAME?</v>
      </c>
      <c r="O764" s="88" t="e">
        <f ca="1">IF(INDIRECT("M"&amp;ROW()-1)&lt;&gt;INDIRECT("M"&amp;ROW()),リスト!$I$5,"")</f>
        <v>#NAME?</v>
      </c>
      <c r="P764" s="88" t="e">
        <f ca="1">IF(INDIRECT("M"&amp;ROW())&lt;&gt;INDIRECT("M"&amp;ROW()+1),リスト!$I$6,"")</f>
        <v>#NAME?</v>
      </c>
    </row>
    <row r="765" spans="1:16" x14ac:dyDescent="0.2">
      <c r="A765" s="169" t="e">
        <f ca="1">IF(C765="","",ROW(行数!A757))</f>
        <v>#NAME?</v>
      </c>
      <c r="B765" s="168" t="e">
        <f t="shared" ca="1" si="80"/>
        <v>#NAME?</v>
      </c>
      <c r="C765" s="90" t="e">
        <f ca="1">[0]!CSVVLookUP(ROW(行数!A757),配列!$C$4,集計記録,3,1)</f>
        <v>#NAME?</v>
      </c>
      <c r="D765" s="90" t="e">
        <f ca="1">[0]!CSVVLookUP(ROW(行数!B757),配列!$C$4,集計記録,4,1)</f>
        <v>#NAME?</v>
      </c>
      <c r="E765" s="118" t="e">
        <f t="shared" ca="1" si="81"/>
        <v>#NAME?</v>
      </c>
      <c r="F765" s="118" t="e">
        <f t="shared" ca="1" si="82"/>
        <v>#NAME?</v>
      </c>
      <c r="G765" s="103" t="e">
        <f t="shared" ca="1" si="83"/>
        <v>#NAME?</v>
      </c>
      <c r="H765" s="104" t="e">
        <f ca="1">IF(C765="","",MROUND([0]!CSVVLookUP(ROW(行数!A757),配列!$C$4,集計記録,8,1),"0:01"))</f>
        <v>#NAME?</v>
      </c>
      <c r="I765" s="104" t="e">
        <f t="shared" ca="1" si="84"/>
        <v>#NAME?</v>
      </c>
      <c r="J765" s="119" t="e">
        <f ca="1">IF(C765="","",MROUND([0]!CSVVLookUP(ROW(行数!A757),配列!$C$4,集計記録,7,1),"0:01"))</f>
        <v>#NAME?</v>
      </c>
      <c r="K765" s="92" t="e">
        <f ca="1">IF(C765="","",[0]!CSVVLookUP(ROW(行数!A757),配列!$C$4,集計記録,5,1))</f>
        <v>#NAME?</v>
      </c>
      <c r="L765" s="104" t="e">
        <f t="shared" ca="1" si="85"/>
        <v>#NAME?</v>
      </c>
      <c r="M765" s="120" t="e">
        <f t="shared" ca="1" si="79"/>
        <v>#NAME?</v>
      </c>
      <c r="N765" s="120" t="e">
        <f ca="1">IF([0]!CSVVLookUP(ROW(行数!A757),配列!$C$4,集計記録,6,1)=0,"",[0]!CSVVLookUP(ROW(行数!A757),配列!$C$4,集計記録,6,1))</f>
        <v>#NAME?</v>
      </c>
      <c r="O765" s="88" t="e">
        <f ca="1">IF(INDIRECT("M"&amp;ROW()-1)&lt;&gt;INDIRECT("M"&amp;ROW()),リスト!$I$5,"")</f>
        <v>#NAME?</v>
      </c>
      <c r="P765" s="88" t="e">
        <f ca="1">IF(INDIRECT("M"&amp;ROW())&lt;&gt;INDIRECT("M"&amp;ROW()+1),リスト!$I$6,"")</f>
        <v>#NAME?</v>
      </c>
    </row>
    <row r="766" spans="1:16" x14ac:dyDescent="0.2">
      <c r="A766" s="169" t="e">
        <f ca="1">IF(C766="","",ROW(行数!A758))</f>
        <v>#NAME?</v>
      </c>
      <c r="B766" s="168" t="e">
        <f t="shared" ca="1" si="80"/>
        <v>#NAME?</v>
      </c>
      <c r="C766" s="90" t="e">
        <f ca="1">[0]!CSVVLookUP(ROW(行数!A758),配列!$C$4,集計記録,3,1)</f>
        <v>#NAME?</v>
      </c>
      <c r="D766" s="90" t="e">
        <f ca="1">[0]!CSVVLookUP(ROW(行数!B758),配列!$C$4,集計記録,4,1)</f>
        <v>#NAME?</v>
      </c>
      <c r="E766" s="118" t="e">
        <f t="shared" ca="1" si="81"/>
        <v>#NAME?</v>
      </c>
      <c r="F766" s="118" t="e">
        <f t="shared" ca="1" si="82"/>
        <v>#NAME?</v>
      </c>
      <c r="G766" s="103" t="e">
        <f t="shared" ca="1" si="83"/>
        <v>#NAME?</v>
      </c>
      <c r="H766" s="104" t="e">
        <f ca="1">IF(C766="","",MROUND([0]!CSVVLookUP(ROW(行数!A758),配列!$C$4,集計記録,8,1),"0:01"))</f>
        <v>#NAME?</v>
      </c>
      <c r="I766" s="104" t="e">
        <f t="shared" ca="1" si="84"/>
        <v>#NAME?</v>
      </c>
      <c r="J766" s="119" t="e">
        <f ca="1">IF(C766="","",MROUND([0]!CSVVLookUP(ROW(行数!A758),配列!$C$4,集計記録,7,1),"0:01"))</f>
        <v>#NAME?</v>
      </c>
      <c r="K766" s="92" t="e">
        <f ca="1">IF(C766="","",[0]!CSVVLookUP(ROW(行数!A758),配列!$C$4,集計記録,5,1))</f>
        <v>#NAME?</v>
      </c>
      <c r="L766" s="104" t="e">
        <f t="shared" ca="1" si="85"/>
        <v>#NAME?</v>
      </c>
      <c r="M766" s="120" t="e">
        <f t="shared" ca="1" si="79"/>
        <v>#NAME?</v>
      </c>
      <c r="N766" s="120" t="e">
        <f ca="1">IF([0]!CSVVLookUP(ROW(行数!A758),配列!$C$4,集計記録,6,1)=0,"",[0]!CSVVLookUP(ROW(行数!A758),配列!$C$4,集計記録,6,1))</f>
        <v>#NAME?</v>
      </c>
      <c r="O766" s="88" t="e">
        <f ca="1">IF(INDIRECT("M"&amp;ROW()-1)&lt;&gt;INDIRECT("M"&amp;ROW()),リスト!$I$5,"")</f>
        <v>#NAME?</v>
      </c>
      <c r="P766" s="88" t="e">
        <f ca="1">IF(INDIRECT("M"&amp;ROW())&lt;&gt;INDIRECT("M"&amp;ROW()+1),リスト!$I$6,"")</f>
        <v>#NAME?</v>
      </c>
    </row>
    <row r="767" spans="1:16" x14ac:dyDescent="0.2">
      <c r="A767" s="169" t="e">
        <f ca="1">IF(C767="","",ROW(行数!A759))</f>
        <v>#NAME?</v>
      </c>
      <c r="B767" s="168" t="e">
        <f t="shared" ca="1" si="80"/>
        <v>#NAME?</v>
      </c>
      <c r="C767" s="90" t="e">
        <f ca="1">[0]!CSVVLookUP(ROW(行数!A759),配列!$C$4,集計記録,3,1)</f>
        <v>#NAME?</v>
      </c>
      <c r="D767" s="90" t="e">
        <f ca="1">[0]!CSVVLookUP(ROW(行数!B759),配列!$C$4,集計記録,4,1)</f>
        <v>#NAME?</v>
      </c>
      <c r="E767" s="118" t="e">
        <f t="shared" ca="1" si="81"/>
        <v>#NAME?</v>
      </c>
      <c r="F767" s="118" t="e">
        <f t="shared" ca="1" si="82"/>
        <v>#NAME?</v>
      </c>
      <c r="G767" s="103" t="e">
        <f t="shared" ca="1" si="83"/>
        <v>#NAME?</v>
      </c>
      <c r="H767" s="104" t="e">
        <f ca="1">IF(C767="","",MROUND([0]!CSVVLookUP(ROW(行数!A759),配列!$C$4,集計記録,8,1),"0:01"))</f>
        <v>#NAME?</v>
      </c>
      <c r="I767" s="104" t="e">
        <f t="shared" ca="1" si="84"/>
        <v>#NAME?</v>
      </c>
      <c r="J767" s="119" t="e">
        <f ca="1">IF(C767="","",MROUND([0]!CSVVLookUP(ROW(行数!A759),配列!$C$4,集計記録,7,1),"0:01"))</f>
        <v>#NAME?</v>
      </c>
      <c r="K767" s="92" t="e">
        <f ca="1">IF(C767="","",[0]!CSVVLookUP(ROW(行数!A759),配列!$C$4,集計記録,5,1))</f>
        <v>#NAME?</v>
      </c>
      <c r="L767" s="104" t="e">
        <f t="shared" ca="1" si="85"/>
        <v>#NAME?</v>
      </c>
      <c r="M767" s="120" t="e">
        <f t="shared" ca="1" si="79"/>
        <v>#NAME?</v>
      </c>
      <c r="N767" s="120" t="e">
        <f ca="1">IF([0]!CSVVLookUP(ROW(行数!A759),配列!$C$4,集計記録,6,1)=0,"",[0]!CSVVLookUP(ROW(行数!A759),配列!$C$4,集計記録,6,1))</f>
        <v>#NAME?</v>
      </c>
      <c r="O767" s="88" t="e">
        <f ca="1">IF(INDIRECT("M"&amp;ROW()-1)&lt;&gt;INDIRECT("M"&amp;ROW()),リスト!$I$5,"")</f>
        <v>#NAME?</v>
      </c>
      <c r="P767" s="88" t="e">
        <f ca="1">IF(INDIRECT("M"&amp;ROW())&lt;&gt;INDIRECT("M"&amp;ROW()+1),リスト!$I$6,"")</f>
        <v>#NAME?</v>
      </c>
    </row>
    <row r="768" spans="1:16" x14ac:dyDescent="0.2">
      <c r="A768" s="169" t="e">
        <f ca="1">IF(C768="","",ROW(行数!A760))</f>
        <v>#NAME?</v>
      </c>
      <c r="B768" s="168" t="e">
        <f t="shared" ca="1" si="80"/>
        <v>#NAME?</v>
      </c>
      <c r="C768" s="90" t="e">
        <f ca="1">[0]!CSVVLookUP(ROW(行数!A760),配列!$C$4,集計記録,3,1)</f>
        <v>#NAME?</v>
      </c>
      <c r="D768" s="90" t="e">
        <f ca="1">[0]!CSVVLookUP(ROW(行数!B760),配列!$C$4,集計記録,4,1)</f>
        <v>#NAME?</v>
      </c>
      <c r="E768" s="118" t="e">
        <f t="shared" ca="1" si="81"/>
        <v>#NAME?</v>
      </c>
      <c r="F768" s="118" t="e">
        <f t="shared" ca="1" si="82"/>
        <v>#NAME?</v>
      </c>
      <c r="G768" s="103" t="e">
        <f t="shared" ca="1" si="83"/>
        <v>#NAME?</v>
      </c>
      <c r="H768" s="104" t="e">
        <f ca="1">IF(C768="","",MROUND([0]!CSVVLookUP(ROW(行数!A760),配列!$C$4,集計記録,8,1),"0:01"))</f>
        <v>#NAME?</v>
      </c>
      <c r="I768" s="104" t="e">
        <f t="shared" ca="1" si="84"/>
        <v>#NAME?</v>
      </c>
      <c r="J768" s="119" t="e">
        <f ca="1">IF(C768="","",MROUND([0]!CSVVLookUP(ROW(行数!A760),配列!$C$4,集計記録,7,1),"0:01"))</f>
        <v>#NAME?</v>
      </c>
      <c r="K768" s="92" t="e">
        <f ca="1">IF(C768="","",[0]!CSVVLookUP(ROW(行数!A760),配列!$C$4,集計記録,5,1))</f>
        <v>#NAME?</v>
      </c>
      <c r="L768" s="104" t="e">
        <f t="shared" ca="1" si="85"/>
        <v>#NAME?</v>
      </c>
      <c r="M768" s="120" t="e">
        <f t="shared" ca="1" si="79"/>
        <v>#NAME?</v>
      </c>
      <c r="N768" s="120" t="e">
        <f ca="1">IF([0]!CSVVLookUP(ROW(行数!A760),配列!$C$4,集計記録,6,1)=0,"",[0]!CSVVLookUP(ROW(行数!A760),配列!$C$4,集計記録,6,1))</f>
        <v>#NAME?</v>
      </c>
      <c r="O768" s="88" t="e">
        <f ca="1">IF(INDIRECT("M"&amp;ROW()-1)&lt;&gt;INDIRECT("M"&amp;ROW()),リスト!$I$5,"")</f>
        <v>#NAME?</v>
      </c>
      <c r="P768" s="88" t="e">
        <f ca="1">IF(INDIRECT("M"&amp;ROW())&lt;&gt;INDIRECT("M"&amp;ROW()+1),リスト!$I$6,"")</f>
        <v>#NAME?</v>
      </c>
    </row>
    <row r="769" spans="1:16" x14ac:dyDescent="0.2">
      <c r="A769" s="169" t="e">
        <f ca="1">IF(C769="","",ROW(行数!A761))</f>
        <v>#NAME?</v>
      </c>
      <c r="B769" s="168" t="e">
        <f t="shared" ca="1" si="80"/>
        <v>#NAME?</v>
      </c>
      <c r="C769" s="90" t="e">
        <f ca="1">[0]!CSVVLookUP(ROW(行数!A761),配列!$C$4,集計記録,3,1)</f>
        <v>#NAME?</v>
      </c>
      <c r="D769" s="90" t="e">
        <f ca="1">[0]!CSVVLookUP(ROW(行数!B761),配列!$C$4,集計記録,4,1)</f>
        <v>#NAME?</v>
      </c>
      <c r="E769" s="118" t="e">
        <f t="shared" ca="1" si="81"/>
        <v>#NAME?</v>
      </c>
      <c r="F769" s="118" t="e">
        <f t="shared" ca="1" si="82"/>
        <v>#NAME?</v>
      </c>
      <c r="G769" s="103" t="e">
        <f t="shared" ca="1" si="83"/>
        <v>#NAME?</v>
      </c>
      <c r="H769" s="104" t="e">
        <f ca="1">IF(C769="","",MROUND([0]!CSVVLookUP(ROW(行数!A761),配列!$C$4,集計記録,8,1),"0:01"))</f>
        <v>#NAME?</v>
      </c>
      <c r="I769" s="104" t="e">
        <f t="shared" ca="1" si="84"/>
        <v>#NAME?</v>
      </c>
      <c r="J769" s="119" t="e">
        <f ca="1">IF(C769="","",MROUND([0]!CSVVLookUP(ROW(行数!A761),配列!$C$4,集計記録,7,1),"0:01"))</f>
        <v>#NAME?</v>
      </c>
      <c r="K769" s="92" t="e">
        <f ca="1">IF(C769="","",[0]!CSVVLookUP(ROW(行数!A761),配列!$C$4,集計記録,5,1))</f>
        <v>#NAME?</v>
      </c>
      <c r="L769" s="104" t="e">
        <f t="shared" ca="1" si="85"/>
        <v>#NAME?</v>
      </c>
      <c r="M769" s="120" t="e">
        <f t="shared" ca="1" si="79"/>
        <v>#NAME?</v>
      </c>
      <c r="N769" s="120" t="e">
        <f ca="1">IF([0]!CSVVLookUP(ROW(行数!A761),配列!$C$4,集計記録,6,1)=0,"",[0]!CSVVLookUP(ROW(行数!A761),配列!$C$4,集計記録,6,1))</f>
        <v>#NAME?</v>
      </c>
      <c r="O769" s="88" t="e">
        <f ca="1">IF(INDIRECT("M"&amp;ROW()-1)&lt;&gt;INDIRECT("M"&amp;ROW()),リスト!$I$5,"")</f>
        <v>#NAME?</v>
      </c>
      <c r="P769" s="88" t="e">
        <f ca="1">IF(INDIRECT("M"&amp;ROW())&lt;&gt;INDIRECT("M"&amp;ROW()+1),リスト!$I$6,"")</f>
        <v>#NAME?</v>
      </c>
    </row>
    <row r="770" spans="1:16" x14ac:dyDescent="0.2">
      <c r="A770" s="169" t="e">
        <f ca="1">IF(C770="","",ROW(行数!A762))</f>
        <v>#NAME?</v>
      </c>
      <c r="B770" s="168" t="e">
        <f t="shared" ca="1" si="80"/>
        <v>#NAME?</v>
      </c>
      <c r="C770" s="90" t="e">
        <f ca="1">[0]!CSVVLookUP(ROW(行数!A762),配列!$C$4,集計記録,3,1)</f>
        <v>#NAME?</v>
      </c>
      <c r="D770" s="90" t="e">
        <f ca="1">[0]!CSVVLookUP(ROW(行数!B762),配列!$C$4,集計記録,4,1)</f>
        <v>#NAME?</v>
      </c>
      <c r="E770" s="118" t="e">
        <f t="shared" ca="1" si="81"/>
        <v>#NAME?</v>
      </c>
      <c r="F770" s="118" t="e">
        <f t="shared" ca="1" si="82"/>
        <v>#NAME?</v>
      </c>
      <c r="G770" s="103" t="e">
        <f t="shared" ca="1" si="83"/>
        <v>#NAME?</v>
      </c>
      <c r="H770" s="104" t="e">
        <f ca="1">IF(C770="","",MROUND([0]!CSVVLookUP(ROW(行数!A762),配列!$C$4,集計記録,8,1),"0:01"))</f>
        <v>#NAME?</v>
      </c>
      <c r="I770" s="104" t="e">
        <f t="shared" ca="1" si="84"/>
        <v>#NAME?</v>
      </c>
      <c r="J770" s="119" t="e">
        <f ca="1">IF(C770="","",MROUND([0]!CSVVLookUP(ROW(行数!A762),配列!$C$4,集計記録,7,1),"0:01"))</f>
        <v>#NAME?</v>
      </c>
      <c r="K770" s="92" t="e">
        <f ca="1">IF(C770="","",[0]!CSVVLookUP(ROW(行数!A762),配列!$C$4,集計記録,5,1))</f>
        <v>#NAME?</v>
      </c>
      <c r="L770" s="104" t="e">
        <f t="shared" ca="1" si="85"/>
        <v>#NAME?</v>
      </c>
      <c r="M770" s="120" t="e">
        <f t="shared" ca="1" si="79"/>
        <v>#NAME?</v>
      </c>
      <c r="N770" s="120" t="e">
        <f ca="1">IF([0]!CSVVLookUP(ROW(行数!A762),配列!$C$4,集計記録,6,1)=0,"",[0]!CSVVLookUP(ROW(行数!A762),配列!$C$4,集計記録,6,1))</f>
        <v>#NAME?</v>
      </c>
      <c r="O770" s="88" t="e">
        <f ca="1">IF(INDIRECT("M"&amp;ROW()-1)&lt;&gt;INDIRECT("M"&amp;ROW()),リスト!$I$5,"")</f>
        <v>#NAME?</v>
      </c>
      <c r="P770" s="88" t="e">
        <f ca="1">IF(INDIRECT("M"&amp;ROW())&lt;&gt;INDIRECT("M"&amp;ROW()+1),リスト!$I$6,"")</f>
        <v>#NAME?</v>
      </c>
    </row>
    <row r="771" spans="1:16" x14ac:dyDescent="0.2">
      <c r="A771" s="169" t="e">
        <f ca="1">IF(C771="","",ROW(行数!A763))</f>
        <v>#NAME?</v>
      </c>
      <c r="B771" s="168" t="e">
        <f t="shared" ca="1" si="80"/>
        <v>#NAME?</v>
      </c>
      <c r="C771" s="90" t="e">
        <f ca="1">[0]!CSVVLookUP(ROW(行数!A763),配列!$C$4,集計記録,3,1)</f>
        <v>#NAME?</v>
      </c>
      <c r="D771" s="90" t="e">
        <f ca="1">[0]!CSVVLookUP(ROW(行数!B763),配列!$C$4,集計記録,4,1)</f>
        <v>#NAME?</v>
      </c>
      <c r="E771" s="118" t="e">
        <f t="shared" ca="1" si="81"/>
        <v>#NAME?</v>
      </c>
      <c r="F771" s="118" t="e">
        <f t="shared" ca="1" si="82"/>
        <v>#NAME?</v>
      </c>
      <c r="G771" s="103" t="e">
        <f t="shared" ca="1" si="83"/>
        <v>#NAME?</v>
      </c>
      <c r="H771" s="104" t="e">
        <f ca="1">IF(C771="","",MROUND([0]!CSVVLookUP(ROW(行数!A763),配列!$C$4,集計記録,8,1),"0:01"))</f>
        <v>#NAME?</v>
      </c>
      <c r="I771" s="104" t="e">
        <f t="shared" ca="1" si="84"/>
        <v>#NAME?</v>
      </c>
      <c r="J771" s="119" t="e">
        <f ca="1">IF(C771="","",MROUND([0]!CSVVLookUP(ROW(行数!A763),配列!$C$4,集計記録,7,1),"0:01"))</f>
        <v>#NAME?</v>
      </c>
      <c r="K771" s="92" t="e">
        <f ca="1">IF(C771="","",[0]!CSVVLookUP(ROW(行数!A763),配列!$C$4,集計記録,5,1))</f>
        <v>#NAME?</v>
      </c>
      <c r="L771" s="104" t="e">
        <f t="shared" ca="1" si="85"/>
        <v>#NAME?</v>
      </c>
      <c r="M771" s="120" t="e">
        <f t="shared" ca="1" si="79"/>
        <v>#NAME?</v>
      </c>
      <c r="N771" s="120" t="e">
        <f ca="1">IF([0]!CSVVLookUP(ROW(行数!A763),配列!$C$4,集計記録,6,1)=0,"",[0]!CSVVLookUP(ROW(行数!A763),配列!$C$4,集計記録,6,1))</f>
        <v>#NAME?</v>
      </c>
      <c r="O771" s="88" t="e">
        <f ca="1">IF(INDIRECT("M"&amp;ROW()-1)&lt;&gt;INDIRECT("M"&amp;ROW()),リスト!$I$5,"")</f>
        <v>#NAME?</v>
      </c>
      <c r="P771" s="88" t="e">
        <f ca="1">IF(INDIRECT("M"&amp;ROW())&lt;&gt;INDIRECT("M"&amp;ROW()+1),リスト!$I$6,"")</f>
        <v>#NAME?</v>
      </c>
    </row>
    <row r="772" spans="1:16" x14ac:dyDescent="0.2">
      <c r="A772" s="169" t="e">
        <f ca="1">IF(C772="","",ROW(行数!A764))</f>
        <v>#NAME?</v>
      </c>
      <c r="B772" s="168" t="e">
        <f t="shared" ca="1" si="80"/>
        <v>#NAME?</v>
      </c>
      <c r="C772" s="90" t="e">
        <f ca="1">[0]!CSVVLookUP(ROW(行数!A764),配列!$C$4,集計記録,3,1)</f>
        <v>#NAME?</v>
      </c>
      <c r="D772" s="90" t="e">
        <f ca="1">[0]!CSVVLookUP(ROW(行数!B764),配列!$C$4,集計記録,4,1)</f>
        <v>#NAME?</v>
      </c>
      <c r="E772" s="118" t="e">
        <f t="shared" ca="1" si="81"/>
        <v>#NAME?</v>
      </c>
      <c r="F772" s="118" t="e">
        <f t="shared" ca="1" si="82"/>
        <v>#NAME?</v>
      </c>
      <c r="G772" s="103" t="e">
        <f t="shared" ca="1" si="83"/>
        <v>#NAME?</v>
      </c>
      <c r="H772" s="104" t="e">
        <f ca="1">IF(C772="","",MROUND([0]!CSVVLookUP(ROW(行数!A764),配列!$C$4,集計記録,8,1),"0:01"))</f>
        <v>#NAME?</v>
      </c>
      <c r="I772" s="104" t="e">
        <f t="shared" ca="1" si="84"/>
        <v>#NAME?</v>
      </c>
      <c r="J772" s="119" t="e">
        <f ca="1">IF(C772="","",MROUND([0]!CSVVLookUP(ROW(行数!A764),配列!$C$4,集計記録,7,1),"0:01"))</f>
        <v>#NAME?</v>
      </c>
      <c r="K772" s="92" t="e">
        <f ca="1">IF(C772="","",[0]!CSVVLookUP(ROW(行数!A764),配列!$C$4,集計記録,5,1))</f>
        <v>#NAME?</v>
      </c>
      <c r="L772" s="104" t="e">
        <f t="shared" ca="1" si="85"/>
        <v>#NAME?</v>
      </c>
      <c r="M772" s="120" t="e">
        <f t="shared" ca="1" si="79"/>
        <v>#NAME?</v>
      </c>
      <c r="N772" s="120" t="e">
        <f ca="1">IF([0]!CSVVLookUP(ROW(行数!A764),配列!$C$4,集計記録,6,1)=0,"",[0]!CSVVLookUP(ROW(行数!A764),配列!$C$4,集計記録,6,1))</f>
        <v>#NAME?</v>
      </c>
      <c r="O772" s="88" t="e">
        <f ca="1">IF(INDIRECT("M"&amp;ROW()-1)&lt;&gt;INDIRECT("M"&amp;ROW()),リスト!$I$5,"")</f>
        <v>#NAME?</v>
      </c>
      <c r="P772" s="88" t="e">
        <f ca="1">IF(INDIRECT("M"&amp;ROW())&lt;&gt;INDIRECT("M"&amp;ROW()+1),リスト!$I$6,"")</f>
        <v>#NAME?</v>
      </c>
    </row>
    <row r="773" spans="1:16" x14ac:dyDescent="0.2">
      <c r="A773" s="169" t="e">
        <f ca="1">IF(C773="","",ROW(行数!A765))</f>
        <v>#NAME?</v>
      </c>
      <c r="B773" s="168" t="e">
        <f t="shared" ca="1" si="80"/>
        <v>#NAME?</v>
      </c>
      <c r="C773" s="90" t="e">
        <f ca="1">[0]!CSVVLookUP(ROW(行数!A765),配列!$C$4,集計記録,3,1)</f>
        <v>#NAME?</v>
      </c>
      <c r="D773" s="90" t="e">
        <f ca="1">[0]!CSVVLookUP(ROW(行数!B765),配列!$C$4,集計記録,4,1)</f>
        <v>#NAME?</v>
      </c>
      <c r="E773" s="118" t="e">
        <f t="shared" ca="1" si="81"/>
        <v>#NAME?</v>
      </c>
      <c r="F773" s="118" t="e">
        <f t="shared" ca="1" si="82"/>
        <v>#NAME?</v>
      </c>
      <c r="G773" s="103" t="e">
        <f t="shared" ca="1" si="83"/>
        <v>#NAME?</v>
      </c>
      <c r="H773" s="104" t="e">
        <f ca="1">IF(C773="","",MROUND([0]!CSVVLookUP(ROW(行数!A765),配列!$C$4,集計記録,8,1),"0:01"))</f>
        <v>#NAME?</v>
      </c>
      <c r="I773" s="104" t="e">
        <f t="shared" ca="1" si="84"/>
        <v>#NAME?</v>
      </c>
      <c r="J773" s="119" t="e">
        <f ca="1">IF(C773="","",MROUND([0]!CSVVLookUP(ROW(行数!A765),配列!$C$4,集計記録,7,1),"0:01"))</f>
        <v>#NAME?</v>
      </c>
      <c r="K773" s="92" t="e">
        <f ca="1">IF(C773="","",[0]!CSVVLookUP(ROW(行数!A765),配列!$C$4,集計記録,5,1))</f>
        <v>#NAME?</v>
      </c>
      <c r="L773" s="104" t="e">
        <f t="shared" ca="1" si="85"/>
        <v>#NAME?</v>
      </c>
      <c r="M773" s="120" t="e">
        <f t="shared" ca="1" si="79"/>
        <v>#NAME?</v>
      </c>
      <c r="N773" s="120" t="e">
        <f ca="1">IF([0]!CSVVLookUP(ROW(行数!A765),配列!$C$4,集計記録,6,1)=0,"",[0]!CSVVLookUP(ROW(行数!A765),配列!$C$4,集計記録,6,1))</f>
        <v>#NAME?</v>
      </c>
      <c r="O773" s="88" t="e">
        <f ca="1">IF(INDIRECT("M"&amp;ROW()-1)&lt;&gt;INDIRECT("M"&amp;ROW()),リスト!$I$5,"")</f>
        <v>#NAME?</v>
      </c>
      <c r="P773" s="88" t="e">
        <f ca="1">IF(INDIRECT("M"&amp;ROW())&lt;&gt;INDIRECT("M"&amp;ROW()+1),リスト!$I$6,"")</f>
        <v>#NAME?</v>
      </c>
    </row>
    <row r="774" spans="1:16" x14ac:dyDescent="0.2">
      <c r="A774" s="169" t="e">
        <f ca="1">IF(C774="","",ROW(行数!A766))</f>
        <v>#NAME?</v>
      </c>
      <c r="B774" s="168" t="e">
        <f t="shared" ca="1" si="80"/>
        <v>#NAME?</v>
      </c>
      <c r="C774" s="90" t="e">
        <f ca="1">[0]!CSVVLookUP(ROW(行数!A766),配列!$C$4,集計記録,3,1)</f>
        <v>#NAME?</v>
      </c>
      <c r="D774" s="90" t="e">
        <f ca="1">[0]!CSVVLookUP(ROW(行数!B766),配列!$C$4,集計記録,4,1)</f>
        <v>#NAME?</v>
      </c>
      <c r="E774" s="118" t="e">
        <f t="shared" ca="1" si="81"/>
        <v>#NAME?</v>
      </c>
      <c r="F774" s="118" t="e">
        <f t="shared" ca="1" si="82"/>
        <v>#NAME?</v>
      </c>
      <c r="G774" s="103" t="e">
        <f t="shared" ca="1" si="83"/>
        <v>#NAME?</v>
      </c>
      <c r="H774" s="104" t="e">
        <f ca="1">IF(C774="","",MROUND([0]!CSVVLookUP(ROW(行数!A766),配列!$C$4,集計記録,8,1),"0:01"))</f>
        <v>#NAME?</v>
      </c>
      <c r="I774" s="104" t="e">
        <f t="shared" ca="1" si="84"/>
        <v>#NAME?</v>
      </c>
      <c r="J774" s="119" t="e">
        <f ca="1">IF(C774="","",MROUND([0]!CSVVLookUP(ROW(行数!A766),配列!$C$4,集計記録,7,1),"0:01"))</f>
        <v>#NAME?</v>
      </c>
      <c r="K774" s="92" t="e">
        <f ca="1">IF(C774="","",[0]!CSVVLookUP(ROW(行数!A766),配列!$C$4,集計記録,5,1))</f>
        <v>#NAME?</v>
      </c>
      <c r="L774" s="104" t="e">
        <f t="shared" ca="1" si="85"/>
        <v>#NAME?</v>
      </c>
      <c r="M774" s="120" t="e">
        <f t="shared" ca="1" si="79"/>
        <v>#NAME?</v>
      </c>
      <c r="N774" s="120" t="e">
        <f ca="1">IF([0]!CSVVLookUP(ROW(行数!A766),配列!$C$4,集計記録,6,1)=0,"",[0]!CSVVLookUP(ROW(行数!A766),配列!$C$4,集計記録,6,1))</f>
        <v>#NAME?</v>
      </c>
      <c r="O774" s="88" t="e">
        <f ca="1">IF(INDIRECT("M"&amp;ROW()-1)&lt;&gt;INDIRECT("M"&amp;ROW()),リスト!$I$5,"")</f>
        <v>#NAME?</v>
      </c>
      <c r="P774" s="88" t="e">
        <f ca="1">IF(INDIRECT("M"&amp;ROW())&lt;&gt;INDIRECT("M"&amp;ROW()+1),リスト!$I$6,"")</f>
        <v>#NAME?</v>
      </c>
    </row>
    <row r="775" spans="1:16" x14ac:dyDescent="0.2">
      <c r="A775" s="169" t="e">
        <f ca="1">IF(C775="","",ROW(行数!A767))</f>
        <v>#NAME?</v>
      </c>
      <c r="B775" s="168" t="e">
        <f t="shared" ca="1" si="80"/>
        <v>#NAME?</v>
      </c>
      <c r="C775" s="90" t="e">
        <f ca="1">[0]!CSVVLookUP(ROW(行数!A767),配列!$C$4,集計記録,3,1)</f>
        <v>#NAME?</v>
      </c>
      <c r="D775" s="90" t="e">
        <f ca="1">[0]!CSVVLookUP(ROW(行数!B767),配列!$C$4,集計記録,4,1)</f>
        <v>#NAME?</v>
      </c>
      <c r="E775" s="118" t="e">
        <f t="shared" ca="1" si="81"/>
        <v>#NAME?</v>
      </c>
      <c r="F775" s="118" t="e">
        <f t="shared" ca="1" si="82"/>
        <v>#NAME?</v>
      </c>
      <c r="G775" s="103" t="e">
        <f t="shared" ca="1" si="83"/>
        <v>#NAME?</v>
      </c>
      <c r="H775" s="104" t="e">
        <f ca="1">IF(C775="","",MROUND([0]!CSVVLookUP(ROW(行数!A767),配列!$C$4,集計記録,8,1),"0:01"))</f>
        <v>#NAME?</v>
      </c>
      <c r="I775" s="104" t="e">
        <f t="shared" ca="1" si="84"/>
        <v>#NAME?</v>
      </c>
      <c r="J775" s="119" t="e">
        <f ca="1">IF(C775="","",MROUND([0]!CSVVLookUP(ROW(行数!A767),配列!$C$4,集計記録,7,1),"0:01"))</f>
        <v>#NAME?</v>
      </c>
      <c r="K775" s="92" t="e">
        <f ca="1">IF(C775="","",[0]!CSVVLookUP(ROW(行数!A767),配列!$C$4,集計記録,5,1))</f>
        <v>#NAME?</v>
      </c>
      <c r="L775" s="104" t="e">
        <f t="shared" ca="1" si="85"/>
        <v>#NAME?</v>
      </c>
      <c r="M775" s="120" t="e">
        <f t="shared" ca="1" si="79"/>
        <v>#NAME?</v>
      </c>
      <c r="N775" s="120" t="e">
        <f ca="1">IF([0]!CSVVLookUP(ROW(行数!A767),配列!$C$4,集計記録,6,1)=0,"",[0]!CSVVLookUP(ROW(行数!A767),配列!$C$4,集計記録,6,1))</f>
        <v>#NAME?</v>
      </c>
      <c r="O775" s="88" t="e">
        <f ca="1">IF(INDIRECT("M"&amp;ROW()-1)&lt;&gt;INDIRECT("M"&amp;ROW()),リスト!$I$5,"")</f>
        <v>#NAME?</v>
      </c>
      <c r="P775" s="88" t="e">
        <f ca="1">IF(INDIRECT("M"&amp;ROW())&lt;&gt;INDIRECT("M"&amp;ROW()+1),リスト!$I$6,"")</f>
        <v>#NAME?</v>
      </c>
    </row>
    <row r="776" spans="1:16" x14ac:dyDescent="0.2">
      <c r="A776" s="169" t="e">
        <f ca="1">IF(C776="","",ROW(行数!A768))</f>
        <v>#NAME?</v>
      </c>
      <c r="B776" s="168" t="e">
        <f t="shared" ca="1" si="80"/>
        <v>#NAME?</v>
      </c>
      <c r="C776" s="90" t="e">
        <f ca="1">[0]!CSVVLookUP(ROW(行数!A768),配列!$C$4,集計記録,3,1)</f>
        <v>#NAME?</v>
      </c>
      <c r="D776" s="90" t="e">
        <f ca="1">[0]!CSVVLookUP(ROW(行数!B768),配列!$C$4,集計記録,4,1)</f>
        <v>#NAME?</v>
      </c>
      <c r="E776" s="118" t="e">
        <f t="shared" ca="1" si="81"/>
        <v>#NAME?</v>
      </c>
      <c r="F776" s="118" t="e">
        <f t="shared" ca="1" si="82"/>
        <v>#NAME?</v>
      </c>
      <c r="G776" s="103" t="e">
        <f t="shared" ca="1" si="83"/>
        <v>#NAME?</v>
      </c>
      <c r="H776" s="104" t="e">
        <f ca="1">IF(C776="","",MROUND([0]!CSVVLookUP(ROW(行数!A768),配列!$C$4,集計記録,8,1),"0:01"))</f>
        <v>#NAME?</v>
      </c>
      <c r="I776" s="104" t="e">
        <f t="shared" ca="1" si="84"/>
        <v>#NAME?</v>
      </c>
      <c r="J776" s="119" t="e">
        <f ca="1">IF(C776="","",MROUND([0]!CSVVLookUP(ROW(行数!A768),配列!$C$4,集計記録,7,1),"0:01"))</f>
        <v>#NAME?</v>
      </c>
      <c r="K776" s="92" t="e">
        <f ca="1">IF(C776="","",[0]!CSVVLookUP(ROW(行数!A768),配列!$C$4,集計記録,5,1))</f>
        <v>#NAME?</v>
      </c>
      <c r="L776" s="104" t="e">
        <f t="shared" ca="1" si="85"/>
        <v>#NAME?</v>
      </c>
      <c r="M776" s="120" t="e">
        <f t="shared" ca="1" si="79"/>
        <v>#NAME?</v>
      </c>
      <c r="N776" s="120" t="e">
        <f ca="1">IF([0]!CSVVLookUP(ROW(行数!A768),配列!$C$4,集計記録,6,1)=0,"",[0]!CSVVLookUP(ROW(行数!A768),配列!$C$4,集計記録,6,1))</f>
        <v>#NAME?</v>
      </c>
      <c r="O776" s="88" t="e">
        <f ca="1">IF(INDIRECT("M"&amp;ROW()-1)&lt;&gt;INDIRECT("M"&amp;ROW()),リスト!$I$5,"")</f>
        <v>#NAME?</v>
      </c>
      <c r="P776" s="88" t="e">
        <f ca="1">IF(INDIRECT("M"&amp;ROW())&lt;&gt;INDIRECT("M"&amp;ROW()+1),リスト!$I$6,"")</f>
        <v>#NAME?</v>
      </c>
    </row>
    <row r="777" spans="1:16" x14ac:dyDescent="0.2">
      <c r="A777" s="169" t="e">
        <f ca="1">IF(C777="","",ROW(行数!A769))</f>
        <v>#NAME?</v>
      </c>
      <c r="B777" s="168" t="e">
        <f t="shared" ca="1" si="80"/>
        <v>#NAME?</v>
      </c>
      <c r="C777" s="90" t="e">
        <f ca="1">[0]!CSVVLookUP(ROW(行数!A769),配列!$C$4,集計記録,3,1)</f>
        <v>#NAME?</v>
      </c>
      <c r="D777" s="90" t="e">
        <f ca="1">[0]!CSVVLookUP(ROW(行数!B769),配列!$C$4,集計記録,4,1)</f>
        <v>#NAME?</v>
      </c>
      <c r="E777" s="118" t="e">
        <f t="shared" ca="1" si="81"/>
        <v>#NAME?</v>
      </c>
      <c r="F777" s="118" t="e">
        <f t="shared" ca="1" si="82"/>
        <v>#NAME?</v>
      </c>
      <c r="G777" s="103" t="e">
        <f t="shared" ca="1" si="83"/>
        <v>#NAME?</v>
      </c>
      <c r="H777" s="104" t="e">
        <f ca="1">IF(C777="","",MROUND([0]!CSVVLookUP(ROW(行数!A769),配列!$C$4,集計記録,8,1),"0:01"))</f>
        <v>#NAME?</v>
      </c>
      <c r="I777" s="104" t="e">
        <f t="shared" ca="1" si="84"/>
        <v>#NAME?</v>
      </c>
      <c r="J777" s="119" t="e">
        <f ca="1">IF(C777="","",MROUND([0]!CSVVLookUP(ROW(行数!A769),配列!$C$4,集計記録,7,1),"0:01"))</f>
        <v>#NAME?</v>
      </c>
      <c r="K777" s="92" t="e">
        <f ca="1">IF(C777="","",[0]!CSVVLookUP(ROW(行数!A769),配列!$C$4,集計記録,5,1))</f>
        <v>#NAME?</v>
      </c>
      <c r="L777" s="104" t="e">
        <f t="shared" ca="1" si="85"/>
        <v>#NAME?</v>
      </c>
      <c r="M777" s="120" t="e">
        <f t="shared" ref="M777:M840" ca="1" si="86">IF(C777="","",VLOOKUP(C777,運転条件判定,13,1))</f>
        <v>#NAME?</v>
      </c>
      <c r="N777" s="120" t="e">
        <f ca="1">IF([0]!CSVVLookUP(ROW(行数!A769),配列!$C$4,集計記録,6,1)=0,"",[0]!CSVVLookUP(ROW(行数!A769),配列!$C$4,集計記録,6,1))</f>
        <v>#NAME?</v>
      </c>
      <c r="O777" s="88" t="e">
        <f ca="1">IF(INDIRECT("M"&amp;ROW()-1)&lt;&gt;INDIRECT("M"&amp;ROW()),リスト!$I$5,"")</f>
        <v>#NAME?</v>
      </c>
      <c r="P777" s="88" t="e">
        <f ca="1">IF(INDIRECT("M"&amp;ROW())&lt;&gt;INDIRECT("M"&amp;ROW()+1),リスト!$I$6,"")</f>
        <v>#NAME?</v>
      </c>
    </row>
    <row r="778" spans="1:16" x14ac:dyDescent="0.2">
      <c r="A778" s="169" t="e">
        <f ca="1">IF(C778="","",ROW(行数!A770))</f>
        <v>#NAME?</v>
      </c>
      <c r="B778" s="168" t="e">
        <f t="shared" ref="B778:B841" ca="1" si="87">IF(C778="","",VLOOKUP(C778,ユニット判定用,3))</f>
        <v>#NAME?</v>
      </c>
      <c r="C778" s="90" t="e">
        <f ca="1">[0]!CSVVLookUP(ROW(行数!A770),配列!$C$4,集計記録,3,1)</f>
        <v>#NAME?</v>
      </c>
      <c r="D778" s="90" t="e">
        <f ca="1">[0]!CSVVLookUP(ROW(行数!B770),配列!$C$4,集計記録,4,1)</f>
        <v>#NAME?</v>
      </c>
      <c r="E778" s="118" t="e">
        <f t="shared" ref="E778:E841" ca="1" si="88">IF(C778="","",D778-C778)</f>
        <v>#NAME?</v>
      </c>
      <c r="F778" s="118" t="e">
        <f t="shared" ref="F778:F841" ca="1" si="89">IF(C778="","",E778-H778-I778)</f>
        <v>#NAME?</v>
      </c>
      <c r="G778" s="103" t="e">
        <f t="shared" ref="G778:G841" ca="1" si="90">IF(C778="","",F778/E778)</f>
        <v>#NAME?</v>
      </c>
      <c r="H778" s="104" t="e">
        <f ca="1">IF(C778="","",MROUND([0]!CSVVLookUP(ROW(行数!A770),配列!$C$4,集計記録,8,1),"0:01"))</f>
        <v>#NAME?</v>
      </c>
      <c r="I778" s="104" t="e">
        <f t="shared" ref="I778:I841" ca="1" si="91">IF(C778="","",MROUND(J778-H778,"0:01"))</f>
        <v>#NAME?</v>
      </c>
      <c r="J778" s="119" t="e">
        <f ca="1">IF(C778="","",MROUND([0]!CSVVLookUP(ROW(行数!A770),配列!$C$4,集計記録,7,1),"0:01"))</f>
        <v>#NAME?</v>
      </c>
      <c r="K778" s="92" t="e">
        <f ca="1">IF(C778="","",[0]!CSVVLookUP(ROW(行数!A770),配列!$C$4,集計記録,5,1))</f>
        <v>#NAME?</v>
      </c>
      <c r="L778" s="104" t="e">
        <f t="shared" ref="L778:L841" ca="1" si="92">IF(C778="","",MROUND(E778/(K778+1),"00:01"))</f>
        <v>#NAME?</v>
      </c>
      <c r="M778" s="120" t="e">
        <f t="shared" ca="1" si="86"/>
        <v>#NAME?</v>
      </c>
      <c r="N778" s="120" t="e">
        <f ca="1">IF([0]!CSVVLookUP(ROW(行数!A770),配列!$C$4,集計記録,6,1)=0,"",[0]!CSVVLookUP(ROW(行数!A770),配列!$C$4,集計記録,6,1))</f>
        <v>#NAME?</v>
      </c>
      <c r="O778" s="88" t="e">
        <f ca="1">IF(INDIRECT("M"&amp;ROW()-1)&lt;&gt;INDIRECT("M"&amp;ROW()),リスト!$I$5,"")</f>
        <v>#NAME?</v>
      </c>
      <c r="P778" s="88" t="e">
        <f ca="1">IF(INDIRECT("M"&amp;ROW())&lt;&gt;INDIRECT("M"&amp;ROW()+1),リスト!$I$6,"")</f>
        <v>#NAME?</v>
      </c>
    </row>
    <row r="779" spans="1:16" x14ac:dyDescent="0.2">
      <c r="A779" s="169" t="e">
        <f ca="1">IF(C779="","",ROW(行数!A771))</f>
        <v>#NAME?</v>
      </c>
      <c r="B779" s="168" t="e">
        <f t="shared" ca="1" si="87"/>
        <v>#NAME?</v>
      </c>
      <c r="C779" s="90" t="e">
        <f ca="1">[0]!CSVVLookUP(ROW(行数!A771),配列!$C$4,集計記録,3,1)</f>
        <v>#NAME?</v>
      </c>
      <c r="D779" s="90" t="e">
        <f ca="1">[0]!CSVVLookUP(ROW(行数!B771),配列!$C$4,集計記録,4,1)</f>
        <v>#NAME?</v>
      </c>
      <c r="E779" s="118" t="e">
        <f t="shared" ca="1" si="88"/>
        <v>#NAME?</v>
      </c>
      <c r="F779" s="118" t="e">
        <f t="shared" ca="1" si="89"/>
        <v>#NAME?</v>
      </c>
      <c r="G779" s="103" t="e">
        <f t="shared" ca="1" si="90"/>
        <v>#NAME?</v>
      </c>
      <c r="H779" s="104" t="e">
        <f ca="1">IF(C779="","",MROUND([0]!CSVVLookUP(ROW(行数!A771),配列!$C$4,集計記録,8,1),"0:01"))</f>
        <v>#NAME?</v>
      </c>
      <c r="I779" s="104" t="e">
        <f t="shared" ca="1" si="91"/>
        <v>#NAME?</v>
      </c>
      <c r="J779" s="119" t="e">
        <f ca="1">IF(C779="","",MROUND([0]!CSVVLookUP(ROW(行数!A771),配列!$C$4,集計記録,7,1),"0:01"))</f>
        <v>#NAME?</v>
      </c>
      <c r="K779" s="92" t="e">
        <f ca="1">IF(C779="","",[0]!CSVVLookUP(ROW(行数!A771),配列!$C$4,集計記録,5,1))</f>
        <v>#NAME?</v>
      </c>
      <c r="L779" s="104" t="e">
        <f t="shared" ca="1" si="92"/>
        <v>#NAME?</v>
      </c>
      <c r="M779" s="120" t="e">
        <f t="shared" ca="1" si="86"/>
        <v>#NAME?</v>
      </c>
      <c r="N779" s="120" t="e">
        <f ca="1">IF([0]!CSVVLookUP(ROW(行数!A771),配列!$C$4,集計記録,6,1)=0,"",[0]!CSVVLookUP(ROW(行数!A771),配列!$C$4,集計記録,6,1))</f>
        <v>#NAME?</v>
      </c>
      <c r="O779" s="88" t="e">
        <f ca="1">IF(INDIRECT("M"&amp;ROW()-1)&lt;&gt;INDIRECT("M"&amp;ROW()),リスト!$I$5,"")</f>
        <v>#NAME?</v>
      </c>
      <c r="P779" s="88" t="e">
        <f ca="1">IF(INDIRECT("M"&amp;ROW())&lt;&gt;INDIRECT("M"&amp;ROW()+1),リスト!$I$6,"")</f>
        <v>#NAME?</v>
      </c>
    </row>
    <row r="780" spans="1:16" x14ac:dyDescent="0.2">
      <c r="A780" s="169" t="e">
        <f ca="1">IF(C780="","",ROW(行数!A772))</f>
        <v>#NAME?</v>
      </c>
      <c r="B780" s="168" t="e">
        <f t="shared" ca="1" si="87"/>
        <v>#NAME?</v>
      </c>
      <c r="C780" s="90" t="e">
        <f ca="1">[0]!CSVVLookUP(ROW(行数!A772),配列!$C$4,集計記録,3,1)</f>
        <v>#NAME?</v>
      </c>
      <c r="D780" s="90" t="e">
        <f ca="1">[0]!CSVVLookUP(ROW(行数!B772),配列!$C$4,集計記録,4,1)</f>
        <v>#NAME?</v>
      </c>
      <c r="E780" s="118" t="e">
        <f t="shared" ca="1" si="88"/>
        <v>#NAME?</v>
      </c>
      <c r="F780" s="118" t="e">
        <f t="shared" ca="1" si="89"/>
        <v>#NAME?</v>
      </c>
      <c r="G780" s="103" t="e">
        <f t="shared" ca="1" si="90"/>
        <v>#NAME?</v>
      </c>
      <c r="H780" s="104" t="e">
        <f ca="1">IF(C780="","",MROUND([0]!CSVVLookUP(ROW(行数!A772),配列!$C$4,集計記録,8,1),"0:01"))</f>
        <v>#NAME?</v>
      </c>
      <c r="I780" s="104" t="e">
        <f t="shared" ca="1" si="91"/>
        <v>#NAME?</v>
      </c>
      <c r="J780" s="119" t="e">
        <f ca="1">IF(C780="","",MROUND([0]!CSVVLookUP(ROW(行数!A772),配列!$C$4,集計記録,7,1),"0:01"))</f>
        <v>#NAME?</v>
      </c>
      <c r="K780" s="92" t="e">
        <f ca="1">IF(C780="","",[0]!CSVVLookUP(ROW(行数!A772),配列!$C$4,集計記録,5,1))</f>
        <v>#NAME?</v>
      </c>
      <c r="L780" s="104" t="e">
        <f t="shared" ca="1" si="92"/>
        <v>#NAME?</v>
      </c>
      <c r="M780" s="120" t="e">
        <f t="shared" ca="1" si="86"/>
        <v>#NAME?</v>
      </c>
      <c r="N780" s="120" t="e">
        <f ca="1">IF([0]!CSVVLookUP(ROW(行数!A772),配列!$C$4,集計記録,6,1)=0,"",[0]!CSVVLookUP(ROW(行数!A772),配列!$C$4,集計記録,6,1))</f>
        <v>#NAME?</v>
      </c>
      <c r="O780" s="88" t="e">
        <f ca="1">IF(INDIRECT("M"&amp;ROW()-1)&lt;&gt;INDIRECT("M"&amp;ROW()),リスト!$I$5,"")</f>
        <v>#NAME?</v>
      </c>
      <c r="P780" s="88" t="e">
        <f ca="1">IF(INDIRECT("M"&amp;ROW())&lt;&gt;INDIRECT("M"&amp;ROW()+1),リスト!$I$6,"")</f>
        <v>#NAME?</v>
      </c>
    </row>
    <row r="781" spans="1:16" x14ac:dyDescent="0.2">
      <c r="A781" s="169" t="e">
        <f ca="1">IF(C781="","",ROW(行数!A773))</f>
        <v>#NAME?</v>
      </c>
      <c r="B781" s="168" t="e">
        <f t="shared" ca="1" si="87"/>
        <v>#NAME?</v>
      </c>
      <c r="C781" s="90" t="e">
        <f ca="1">[0]!CSVVLookUP(ROW(行数!A773),配列!$C$4,集計記録,3,1)</f>
        <v>#NAME?</v>
      </c>
      <c r="D781" s="90" t="e">
        <f ca="1">[0]!CSVVLookUP(ROW(行数!B773),配列!$C$4,集計記録,4,1)</f>
        <v>#NAME?</v>
      </c>
      <c r="E781" s="118" t="e">
        <f t="shared" ca="1" si="88"/>
        <v>#NAME?</v>
      </c>
      <c r="F781" s="118" t="e">
        <f t="shared" ca="1" si="89"/>
        <v>#NAME?</v>
      </c>
      <c r="G781" s="103" t="e">
        <f t="shared" ca="1" si="90"/>
        <v>#NAME?</v>
      </c>
      <c r="H781" s="104" t="e">
        <f ca="1">IF(C781="","",MROUND([0]!CSVVLookUP(ROW(行数!A773),配列!$C$4,集計記録,8,1),"0:01"))</f>
        <v>#NAME?</v>
      </c>
      <c r="I781" s="104" t="e">
        <f t="shared" ca="1" si="91"/>
        <v>#NAME?</v>
      </c>
      <c r="J781" s="119" t="e">
        <f ca="1">IF(C781="","",MROUND([0]!CSVVLookUP(ROW(行数!A773),配列!$C$4,集計記録,7,1),"0:01"))</f>
        <v>#NAME?</v>
      </c>
      <c r="K781" s="92" t="e">
        <f ca="1">IF(C781="","",[0]!CSVVLookUP(ROW(行数!A773),配列!$C$4,集計記録,5,1))</f>
        <v>#NAME?</v>
      </c>
      <c r="L781" s="104" t="e">
        <f t="shared" ca="1" si="92"/>
        <v>#NAME?</v>
      </c>
      <c r="M781" s="120" t="e">
        <f t="shared" ca="1" si="86"/>
        <v>#NAME?</v>
      </c>
      <c r="N781" s="120" t="e">
        <f ca="1">IF([0]!CSVVLookUP(ROW(行数!A773),配列!$C$4,集計記録,6,1)=0,"",[0]!CSVVLookUP(ROW(行数!A773),配列!$C$4,集計記録,6,1))</f>
        <v>#NAME?</v>
      </c>
      <c r="O781" s="88" t="e">
        <f ca="1">IF(INDIRECT("M"&amp;ROW()-1)&lt;&gt;INDIRECT("M"&amp;ROW()),リスト!$I$5,"")</f>
        <v>#NAME?</v>
      </c>
      <c r="P781" s="88" t="e">
        <f ca="1">IF(INDIRECT("M"&amp;ROW())&lt;&gt;INDIRECT("M"&amp;ROW()+1),リスト!$I$6,"")</f>
        <v>#NAME?</v>
      </c>
    </row>
    <row r="782" spans="1:16" x14ac:dyDescent="0.2">
      <c r="A782" s="169" t="e">
        <f ca="1">IF(C782="","",ROW(行数!A774))</f>
        <v>#NAME?</v>
      </c>
      <c r="B782" s="168" t="e">
        <f t="shared" ca="1" si="87"/>
        <v>#NAME?</v>
      </c>
      <c r="C782" s="90" t="e">
        <f ca="1">[0]!CSVVLookUP(ROW(行数!A774),配列!$C$4,集計記録,3,1)</f>
        <v>#NAME?</v>
      </c>
      <c r="D782" s="90" t="e">
        <f ca="1">[0]!CSVVLookUP(ROW(行数!B774),配列!$C$4,集計記録,4,1)</f>
        <v>#NAME?</v>
      </c>
      <c r="E782" s="118" t="e">
        <f t="shared" ca="1" si="88"/>
        <v>#NAME?</v>
      </c>
      <c r="F782" s="118" t="e">
        <f t="shared" ca="1" si="89"/>
        <v>#NAME?</v>
      </c>
      <c r="G782" s="103" t="e">
        <f t="shared" ca="1" si="90"/>
        <v>#NAME?</v>
      </c>
      <c r="H782" s="104" t="e">
        <f ca="1">IF(C782="","",MROUND([0]!CSVVLookUP(ROW(行数!A774),配列!$C$4,集計記録,8,1),"0:01"))</f>
        <v>#NAME?</v>
      </c>
      <c r="I782" s="104" t="e">
        <f t="shared" ca="1" si="91"/>
        <v>#NAME?</v>
      </c>
      <c r="J782" s="119" t="e">
        <f ca="1">IF(C782="","",MROUND([0]!CSVVLookUP(ROW(行数!A774),配列!$C$4,集計記録,7,1),"0:01"))</f>
        <v>#NAME?</v>
      </c>
      <c r="K782" s="92" t="e">
        <f ca="1">IF(C782="","",[0]!CSVVLookUP(ROW(行数!A774),配列!$C$4,集計記録,5,1))</f>
        <v>#NAME?</v>
      </c>
      <c r="L782" s="104" t="e">
        <f t="shared" ca="1" si="92"/>
        <v>#NAME?</v>
      </c>
      <c r="M782" s="120" t="e">
        <f t="shared" ca="1" si="86"/>
        <v>#NAME?</v>
      </c>
      <c r="N782" s="120" t="e">
        <f ca="1">IF([0]!CSVVLookUP(ROW(行数!A774),配列!$C$4,集計記録,6,1)=0,"",[0]!CSVVLookUP(ROW(行数!A774),配列!$C$4,集計記録,6,1))</f>
        <v>#NAME?</v>
      </c>
      <c r="O782" s="88" t="e">
        <f ca="1">IF(INDIRECT("M"&amp;ROW()-1)&lt;&gt;INDIRECT("M"&amp;ROW()),リスト!$I$5,"")</f>
        <v>#NAME?</v>
      </c>
      <c r="P782" s="88" t="e">
        <f ca="1">IF(INDIRECT("M"&amp;ROW())&lt;&gt;INDIRECT("M"&amp;ROW()+1),リスト!$I$6,"")</f>
        <v>#NAME?</v>
      </c>
    </row>
    <row r="783" spans="1:16" x14ac:dyDescent="0.2">
      <c r="A783" s="169" t="e">
        <f ca="1">IF(C783="","",ROW(行数!A775))</f>
        <v>#NAME?</v>
      </c>
      <c r="B783" s="168" t="e">
        <f t="shared" ca="1" si="87"/>
        <v>#NAME?</v>
      </c>
      <c r="C783" s="90" t="e">
        <f ca="1">[0]!CSVVLookUP(ROW(行数!A775),配列!$C$4,集計記録,3,1)</f>
        <v>#NAME?</v>
      </c>
      <c r="D783" s="90" t="e">
        <f ca="1">[0]!CSVVLookUP(ROW(行数!B775),配列!$C$4,集計記録,4,1)</f>
        <v>#NAME?</v>
      </c>
      <c r="E783" s="118" t="e">
        <f t="shared" ca="1" si="88"/>
        <v>#NAME?</v>
      </c>
      <c r="F783" s="118" t="e">
        <f t="shared" ca="1" si="89"/>
        <v>#NAME?</v>
      </c>
      <c r="G783" s="103" t="e">
        <f t="shared" ca="1" si="90"/>
        <v>#NAME?</v>
      </c>
      <c r="H783" s="104" t="e">
        <f ca="1">IF(C783="","",MROUND([0]!CSVVLookUP(ROW(行数!A775),配列!$C$4,集計記録,8,1),"0:01"))</f>
        <v>#NAME?</v>
      </c>
      <c r="I783" s="104" t="e">
        <f t="shared" ca="1" si="91"/>
        <v>#NAME?</v>
      </c>
      <c r="J783" s="119" t="e">
        <f ca="1">IF(C783="","",MROUND([0]!CSVVLookUP(ROW(行数!A775),配列!$C$4,集計記録,7,1),"0:01"))</f>
        <v>#NAME?</v>
      </c>
      <c r="K783" s="92" t="e">
        <f ca="1">IF(C783="","",[0]!CSVVLookUP(ROW(行数!A775),配列!$C$4,集計記録,5,1))</f>
        <v>#NAME?</v>
      </c>
      <c r="L783" s="104" t="e">
        <f t="shared" ca="1" si="92"/>
        <v>#NAME?</v>
      </c>
      <c r="M783" s="120" t="e">
        <f t="shared" ca="1" si="86"/>
        <v>#NAME?</v>
      </c>
      <c r="N783" s="120" t="e">
        <f ca="1">IF([0]!CSVVLookUP(ROW(行数!A775),配列!$C$4,集計記録,6,1)=0,"",[0]!CSVVLookUP(ROW(行数!A775),配列!$C$4,集計記録,6,1))</f>
        <v>#NAME?</v>
      </c>
      <c r="O783" s="88" t="e">
        <f ca="1">IF(INDIRECT("M"&amp;ROW()-1)&lt;&gt;INDIRECT("M"&amp;ROW()),リスト!$I$5,"")</f>
        <v>#NAME?</v>
      </c>
      <c r="P783" s="88" t="e">
        <f ca="1">IF(INDIRECT("M"&amp;ROW())&lt;&gt;INDIRECT("M"&amp;ROW()+1),リスト!$I$6,"")</f>
        <v>#NAME?</v>
      </c>
    </row>
    <row r="784" spans="1:16" x14ac:dyDescent="0.2">
      <c r="A784" s="169" t="e">
        <f ca="1">IF(C784="","",ROW(行数!A776))</f>
        <v>#NAME?</v>
      </c>
      <c r="B784" s="168" t="e">
        <f t="shared" ca="1" si="87"/>
        <v>#NAME?</v>
      </c>
      <c r="C784" s="90" t="e">
        <f ca="1">[0]!CSVVLookUP(ROW(行数!A776),配列!$C$4,集計記録,3,1)</f>
        <v>#NAME?</v>
      </c>
      <c r="D784" s="90" t="e">
        <f ca="1">[0]!CSVVLookUP(ROW(行数!B776),配列!$C$4,集計記録,4,1)</f>
        <v>#NAME?</v>
      </c>
      <c r="E784" s="118" t="e">
        <f t="shared" ca="1" si="88"/>
        <v>#NAME?</v>
      </c>
      <c r="F784" s="118" t="e">
        <f t="shared" ca="1" si="89"/>
        <v>#NAME?</v>
      </c>
      <c r="G784" s="103" t="e">
        <f t="shared" ca="1" si="90"/>
        <v>#NAME?</v>
      </c>
      <c r="H784" s="104" t="e">
        <f ca="1">IF(C784="","",MROUND([0]!CSVVLookUP(ROW(行数!A776),配列!$C$4,集計記録,8,1),"0:01"))</f>
        <v>#NAME?</v>
      </c>
      <c r="I784" s="104" t="e">
        <f t="shared" ca="1" si="91"/>
        <v>#NAME?</v>
      </c>
      <c r="J784" s="119" t="e">
        <f ca="1">IF(C784="","",MROUND([0]!CSVVLookUP(ROW(行数!A776),配列!$C$4,集計記録,7,1),"0:01"))</f>
        <v>#NAME?</v>
      </c>
      <c r="K784" s="92" t="e">
        <f ca="1">IF(C784="","",[0]!CSVVLookUP(ROW(行数!A776),配列!$C$4,集計記録,5,1))</f>
        <v>#NAME?</v>
      </c>
      <c r="L784" s="104" t="e">
        <f t="shared" ca="1" si="92"/>
        <v>#NAME?</v>
      </c>
      <c r="M784" s="120" t="e">
        <f t="shared" ca="1" si="86"/>
        <v>#NAME?</v>
      </c>
      <c r="N784" s="120" t="e">
        <f ca="1">IF([0]!CSVVLookUP(ROW(行数!A776),配列!$C$4,集計記録,6,1)=0,"",[0]!CSVVLookUP(ROW(行数!A776),配列!$C$4,集計記録,6,1))</f>
        <v>#NAME?</v>
      </c>
      <c r="O784" s="88" t="e">
        <f ca="1">IF(INDIRECT("M"&amp;ROW()-1)&lt;&gt;INDIRECT("M"&amp;ROW()),リスト!$I$5,"")</f>
        <v>#NAME?</v>
      </c>
      <c r="P784" s="88" t="e">
        <f ca="1">IF(INDIRECT("M"&amp;ROW())&lt;&gt;INDIRECT("M"&amp;ROW()+1),リスト!$I$6,"")</f>
        <v>#NAME?</v>
      </c>
    </row>
    <row r="785" spans="1:16" x14ac:dyDescent="0.2">
      <c r="A785" s="169" t="e">
        <f ca="1">IF(C785="","",ROW(行数!A777))</f>
        <v>#NAME?</v>
      </c>
      <c r="B785" s="168" t="e">
        <f t="shared" ca="1" si="87"/>
        <v>#NAME?</v>
      </c>
      <c r="C785" s="90" t="e">
        <f ca="1">[0]!CSVVLookUP(ROW(行数!A777),配列!$C$4,集計記録,3,1)</f>
        <v>#NAME?</v>
      </c>
      <c r="D785" s="90" t="e">
        <f ca="1">[0]!CSVVLookUP(ROW(行数!B777),配列!$C$4,集計記録,4,1)</f>
        <v>#NAME?</v>
      </c>
      <c r="E785" s="118" t="e">
        <f t="shared" ca="1" si="88"/>
        <v>#NAME?</v>
      </c>
      <c r="F785" s="118" t="e">
        <f t="shared" ca="1" si="89"/>
        <v>#NAME?</v>
      </c>
      <c r="G785" s="103" t="e">
        <f t="shared" ca="1" si="90"/>
        <v>#NAME?</v>
      </c>
      <c r="H785" s="104" t="e">
        <f ca="1">IF(C785="","",MROUND([0]!CSVVLookUP(ROW(行数!A777),配列!$C$4,集計記録,8,1),"0:01"))</f>
        <v>#NAME?</v>
      </c>
      <c r="I785" s="104" t="e">
        <f t="shared" ca="1" si="91"/>
        <v>#NAME?</v>
      </c>
      <c r="J785" s="119" t="e">
        <f ca="1">IF(C785="","",MROUND([0]!CSVVLookUP(ROW(行数!A777),配列!$C$4,集計記録,7,1),"0:01"))</f>
        <v>#NAME?</v>
      </c>
      <c r="K785" s="92" t="e">
        <f ca="1">IF(C785="","",[0]!CSVVLookUP(ROW(行数!A777),配列!$C$4,集計記録,5,1))</f>
        <v>#NAME?</v>
      </c>
      <c r="L785" s="104" t="e">
        <f t="shared" ca="1" si="92"/>
        <v>#NAME?</v>
      </c>
      <c r="M785" s="120" t="e">
        <f t="shared" ca="1" si="86"/>
        <v>#NAME?</v>
      </c>
      <c r="N785" s="120" t="e">
        <f ca="1">IF([0]!CSVVLookUP(ROW(行数!A777),配列!$C$4,集計記録,6,1)=0,"",[0]!CSVVLookUP(ROW(行数!A777),配列!$C$4,集計記録,6,1))</f>
        <v>#NAME?</v>
      </c>
      <c r="O785" s="88" t="e">
        <f ca="1">IF(INDIRECT("M"&amp;ROW()-1)&lt;&gt;INDIRECT("M"&amp;ROW()),リスト!$I$5,"")</f>
        <v>#NAME?</v>
      </c>
      <c r="P785" s="88" t="e">
        <f ca="1">IF(INDIRECT("M"&amp;ROW())&lt;&gt;INDIRECT("M"&amp;ROW()+1),リスト!$I$6,"")</f>
        <v>#NAME?</v>
      </c>
    </row>
    <row r="786" spans="1:16" x14ac:dyDescent="0.2">
      <c r="A786" s="169" t="e">
        <f ca="1">IF(C786="","",ROW(行数!A778))</f>
        <v>#NAME?</v>
      </c>
      <c r="B786" s="168" t="e">
        <f t="shared" ca="1" si="87"/>
        <v>#NAME?</v>
      </c>
      <c r="C786" s="90" t="e">
        <f ca="1">[0]!CSVVLookUP(ROW(行数!A778),配列!$C$4,集計記録,3,1)</f>
        <v>#NAME?</v>
      </c>
      <c r="D786" s="90" t="e">
        <f ca="1">[0]!CSVVLookUP(ROW(行数!B778),配列!$C$4,集計記録,4,1)</f>
        <v>#NAME?</v>
      </c>
      <c r="E786" s="118" t="e">
        <f t="shared" ca="1" si="88"/>
        <v>#NAME?</v>
      </c>
      <c r="F786" s="118" t="e">
        <f t="shared" ca="1" si="89"/>
        <v>#NAME?</v>
      </c>
      <c r="G786" s="103" t="e">
        <f t="shared" ca="1" si="90"/>
        <v>#NAME?</v>
      </c>
      <c r="H786" s="104" t="e">
        <f ca="1">IF(C786="","",MROUND([0]!CSVVLookUP(ROW(行数!A778),配列!$C$4,集計記録,8,1),"0:01"))</f>
        <v>#NAME?</v>
      </c>
      <c r="I786" s="104" t="e">
        <f t="shared" ca="1" si="91"/>
        <v>#NAME?</v>
      </c>
      <c r="J786" s="119" t="e">
        <f ca="1">IF(C786="","",MROUND([0]!CSVVLookUP(ROW(行数!A778),配列!$C$4,集計記録,7,1),"0:01"))</f>
        <v>#NAME?</v>
      </c>
      <c r="K786" s="92" t="e">
        <f ca="1">IF(C786="","",[0]!CSVVLookUP(ROW(行数!A778),配列!$C$4,集計記録,5,1))</f>
        <v>#NAME?</v>
      </c>
      <c r="L786" s="104" t="e">
        <f t="shared" ca="1" si="92"/>
        <v>#NAME?</v>
      </c>
      <c r="M786" s="120" t="e">
        <f t="shared" ca="1" si="86"/>
        <v>#NAME?</v>
      </c>
      <c r="N786" s="120" t="e">
        <f ca="1">IF([0]!CSVVLookUP(ROW(行数!A778),配列!$C$4,集計記録,6,1)=0,"",[0]!CSVVLookUP(ROW(行数!A778),配列!$C$4,集計記録,6,1))</f>
        <v>#NAME?</v>
      </c>
      <c r="O786" s="88" t="e">
        <f ca="1">IF(INDIRECT("M"&amp;ROW()-1)&lt;&gt;INDIRECT("M"&amp;ROW()),リスト!$I$5,"")</f>
        <v>#NAME?</v>
      </c>
      <c r="P786" s="88" t="e">
        <f ca="1">IF(INDIRECT("M"&amp;ROW())&lt;&gt;INDIRECT("M"&amp;ROW()+1),リスト!$I$6,"")</f>
        <v>#NAME?</v>
      </c>
    </row>
    <row r="787" spans="1:16" x14ac:dyDescent="0.2">
      <c r="A787" s="169" t="e">
        <f ca="1">IF(C787="","",ROW(行数!A779))</f>
        <v>#NAME?</v>
      </c>
      <c r="B787" s="168" t="e">
        <f t="shared" ca="1" si="87"/>
        <v>#NAME?</v>
      </c>
      <c r="C787" s="90" t="e">
        <f ca="1">[0]!CSVVLookUP(ROW(行数!A779),配列!$C$4,集計記録,3,1)</f>
        <v>#NAME?</v>
      </c>
      <c r="D787" s="90" t="e">
        <f ca="1">[0]!CSVVLookUP(ROW(行数!B779),配列!$C$4,集計記録,4,1)</f>
        <v>#NAME?</v>
      </c>
      <c r="E787" s="118" t="e">
        <f t="shared" ca="1" si="88"/>
        <v>#NAME?</v>
      </c>
      <c r="F787" s="118" t="e">
        <f t="shared" ca="1" si="89"/>
        <v>#NAME?</v>
      </c>
      <c r="G787" s="103" t="e">
        <f t="shared" ca="1" si="90"/>
        <v>#NAME?</v>
      </c>
      <c r="H787" s="104" t="e">
        <f ca="1">IF(C787="","",MROUND([0]!CSVVLookUP(ROW(行数!A779),配列!$C$4,集計記録,8,1),"0:01"))</f>
        <v>#NAME?</v>
      </c>
      <c r="I787" s="104" t="e">
        <f t="shared" ca="1" si="91"/>
        <v>#NAME?</v>
      </c>
      <c r="J787" s="119" t="e">
        <f ca="1">IF(C787="","",MROUND([0]!CSVVLookUP(ROW(行数!A779),配列!$C$4,集計記録,7,1),"0:01"))</f>
        <v>#NAME?</v>
      </c>
      <c r="K787" s="92" t="e">
        <f ca="1">IF(C787="","",[0]!CSVVLookUP(ROW(行数!A779),配列!$C$4,集計記録,5,1))</f>
        <v>#NAME?</v>
      </c>
      <c r="L787" s="104" t="e">
        <f t="shared" ca="1" si="92"/>
        <v>#NAME?</v>
      </c>
      <c r="M787" s="120" t="e">
        <f t="shared" ca="1" si="86"/>
        <v>#NAME?</v>
      </c>
      <c r="N787" s="120" t="e">
        <f ca="1">IF([0]!CSVVLookUP(ROW(行数!A779),配列!$C$4,集計記録,6,1)=0,"",[0]!CSVVLookUP(ROW(行数!A779),配列!$C$4,集計記録,6,1))</f>
        <v>#NAME?</v>
      </c>
      <c r="O787" s="88" t="e">
        <f ca="1">IF(INDIRECT("M"&amp;ROW()-1)&lt;&gt;INDIRECT("M"&amp;ROW()),リスト!$I$5,"")</f>
        <v>#NAME?</v>
      </c>
      <c r="P787" s="88" t="e">
        <f ca="1">IF(INDIRECT("M"&amp;ROW())&lt;&gt;INDIRECT("M"&amp;ROW()+1),リスト!$I$6,"")</f>
        <v>#NAME?</v>
      </c>
    </row>
    <row r="788" spans="1:16" x14ac:dyDescent="0.2">
      <c r="A788" s="169" t="e">
        <f ca="1">IF(C788="","",ROW(行数!A780))</f>
        <v>#NAME?</v>
      </c>
      <c r="B788" s="168" t="e">
        <f t="shared" ca="1" si="87"/>
        <v>#NAME?</v>
      </c>
      <c r="C788" s="90" t="e">
        <f ca="1">[0]!CSVVLookUP(ROW(行数!A780),配列!$C$4,集計記録,3,1)</f>
        <v>#NAME?</v>
      </c>
      <c r="D788" s="90" t="e">
        <f ca="1">[0]!CSVVLookUP(ROW(行数!B780),配列!$C$4,集計記録,4,1)</f>
        <v>#NAME?</v>
      </c>
      <c r="E788" s="118" t="e">
        <f t="shared" ca="1" si="88"/>
        <v>#NAME?</v>
      </c>
      <c r="F788" s="118" t="e">
        <f t="shared" ca="1" si="89"/>
        <v>#NAME?</v>
      </c>
      <c r="G788" s="103" t="e">
        <f t="shared" ca="1" si="90"/>
        <v>#NAME?</v>
      </c>
      <c r="H788" s="104" t="e">
        <f ca="1">IF(C788="","",MROUND([0]!CSVVLookUP(ROW(行数!A780),配列!$C$4,集計記録,8,1),"0:01"))</f>
        <v>#NAME?</v>
      </c>
      <c r="I788" s="104" t="e">
        <f t="shared" ca="1" si="91"/>
        <v>#NAME?</v>
      </c>
      <c r="J788" s="119" t="e">
        <f ca="1">IF(C788="","",MROUND([0]!CSVVLookUP(ROW(行数!A780),配列!$C$4,集計記録,7,1),"0:01"))</f>
        <v>#NAME?</v>
      </c>
      <c r="K788" s="92" t="e">
        <f ca="1">IF(C788="","",[0]!CSVVLookUP(ROW(行数!A780),配列!$C$4,集計記録,5,1))</f>
        <v>#NAME?</v>
      </c>
      <c r="L788" s="104" t="e">
        <f t="shared" ca="1" si="92"/>
        <v>#NAME?</v>
      </c>
      <c r="M788" s="120" t="e">
        <f t="shared" ca="1" si="86"/>
        <v>#NAME?</v>
      </c>
      <c r="N788" s="120" t="e">
        <f ca="1">IF([0]!CSVVLookUP(ROW(行数!A780),配列!$C$4,集計記録,6,1)=0,"",[0]!CSVVLookUP(ROW(行数!A780),配列!$C$4,集計記録,6,1))</f>
        <v>#NAME?</v>
      </c>
      <c r="O788" s="88" t="e">
        <f ca="1">IF(INDIRECT("M"&amp;ROW()-1)&lt;&gt;INDIRECT("M"&amp;ROW()),リスト!$I$5,"")</f>
        <v>#NAME?</v>
      </c>
      <c r="P788" s="88" t="e">
        <f ca="1">IF(INDIRECT("M"&amp;ROW())&lt;&gt;INDIRECT("M"&amp;ROW()+1),リスト!$I$6,"")</f>
        <v>#NAME?</v>
      </c>
    </row>
    <row r="789" spans="1:16" x14ac:dyDescent="0.2">
      <c r="A789" s="169" t="e">
        <f ca="1">IF(C789="","",ROW(行数!A781))</f>
        <v>#NAME?</v>
      </c>
      <c r="B789" s="168" t="e">
        <f t="shared" ca="1" si="87"/>
        <v>#NAME?</v>
      </c>
      <c r="C789" s="90" t="e">
        <f ca="1">[0]!CSVVLookUP(ROW(行数!A781),配列!$C$4,集計記録,3,1)</f>
        <v>#NAME?</v>
      </c>
      <c r="D789" s="90" t="e">
        <f ca="1">[0]!CSVVLookUP(ROW(行数!B781),配列!$C$4,集計記録,4,1)</f>
        <v>#NAME?</v>
      </c>
      <c r="E789" s="118" t="e">
        <f t="shared" ca="1" si="88"/>
        <v>#NAME?</v>
      </c>
      <c r="F789" s="118" t="e">
        <f t="shared" ca="1" si="89"/>
        <v>#NAME?</v>
      </c>
      <c r="G789" s="103" t="e">
        <f t="shared" ca="1" si="90"/>
        <v>#NAME?</v>
      </c>
      <c r="H789" s="104" t="e">
        <f ca="1">IF(C789="","",MROUND([0]!CSVVLookUP(ROW(行数!A781),配列!$C$4,集計記録,8,1),"0:01"))</f>
        <v>#NAME?</v>
      </c>
      <c r="I789" s="104" t="e">
        <f t="shared" ca="1" si="91"/>
        <v>#NAME?</v>
      </c>
      <c r="J789" s="119" t="e">
        <f ca="1">IF(C789="","",MROUND([0]!CSVVLookUP(ROW(行数!A781),配列!$C$4,集計記録,7,1),"0:01"))</f>
        <v>#NAME?</v>
      </c>
      <c r="K789" s="92" t="e">
        <f ca="1">IF(C789="","",[0]!CSVVLookUP(ROW(行数!A781),配列!$C$4,集計記録,5,1))</f>
        <v>#NAME?</v>
      </c>
      <c r="L789" s="104" t="e">
        <f t="shared" ca="1" si="92"/>
        <v>#NAME?</v>
      </c>
      <c r="M789" s="120" t="e">
        <f t="shared" ca="1" si="86"/>
        <v>#NAME?</v>
      </c>
      <c r="N789" s="120" t="e">
        <f ca="1">IF([0]!CSVVLookUP(ROW(行数!A781),配列!$C$4,集計記録,6,1)=0,"",[0]!CSVVLookUP(ROW(行数!A781),配列!$C$4,集計記録,6,1))</f>
        <v>#NAME?</v>
      </c>
      <c r="O789" s="88" t="e">
        <f ca="1">IF(INDIRECT("M"&amp;ROW()-1)&lt;&gt;INDIRECT("M"&amp;ROW()),リスト!$I$5,"")</f>
        <v>#NAME?</v>
      </c>
      <c r="P789" s="88" t="e">
        <f ca="1">IF(INDIRECT("M"&amp;ROW())&lt;&gt;INDIRECT("M"&amp;ROW()+1),リスト!$I$6,"")</f>
        <v>#NAME?</v>
      </c>
    </row>
    <row r="790" spans="1:16" x14ac:dyDescent="0.2">
      <c r="A790" s="169" t="e">
        <f ca="1">IF(C790="","",ROW(行数!A782))</f>
        <v>#NAME?</v>
      </c>
      <c r="B790" s="168" t="e">
        <f t="shared" ca="1" si="87"/>
        <v>#NAME?</v>
      </c>
      <c r="C790" s="90" t="e">
        <f ca="1">[0]!CSVVLookUP(ROW(行数!A782),配列!$C$4,集計記録,3,1)</f>
        <v>#NAME?</v>
      </c>
      <c r="D790" s="90" t="e">
        <f ca="1">[0]!CSVVLookUP(ROW(行数!B782),配列!$C$4,集計記録,4,1)</f>
        <v>#NAME?</v>
      </c>
      <c r="E790" s="118" t="e">
        <f t="shared" ca="1" si="88"/>
        <v>#NAME?</v>
      </c>
      <c r="F790" s="118" t="e">
        <f t="shared" ca="1" si="89"/>
        <v>#NAME?</v>
      </c>
      <c r="G790" s="103" t="e">
        <f t="shared" ca="1" si="90"/>
        <v>#NAME?</v>
      </c>
      <c r="H790" s="104" t="e">
        <f ca="1">IF(C790="","",MROUND([0]!CSVVLookUP(ROW(行数!A782),配列!$C$4,集計記録,8,1),"0:01"))</f>
        <v>#NAME?</v>
      </c>
      <c r="I790" s="104" t="e">
        <f t="shared" ca="1" si="91"/>
        <v>#NAME?</v>
      </c>
      <c r="J790" s="119" t="e">
        <f ca="1">IF(C790="","",MROUND([0]!CSVVLookUP(ROW(行数!A782),配列!$C$4,集計記録,7,1),"0:01"))</f>
        <v>#NAME?</v>
      </c>
      <c r="K790" s="92" t="e">
        <f ca="1">IF(C790="","",[0]!CSVVLookUP(ROW(行数!A782),配列!$C$4,集計記録,5,1))</f>
        <v>#NAME?</v>
      </c>
      <c r="L790" s="104" t="e">
        <f t="shared" ca="1" si="92"/>
        <v>#NAME?</v>
      </c>
      <c r="M790" s="120" t="e">
        <f t="shared" ca="1" si="86"/>
        <v>#NAME?</v>
      </c>
      <c r="N790" s="120" t="e">
        <f ca="1">IF([0]!CSVVLookUP(ROW(行数!A782),配列!$C$4,集計記録,6,1)=0,"",[0]!CSVVLookUP(ROW(行数!A782),配列!$C$4,集計記録,6,1))</f>
        <v>#NAME?</v>
      </c>
      <c r="O790" s="88" t="e">
        <f ca="1">IF(INDIRECT("M"&amp;ROW()-1)&lt;&gt;INDIRECT("M"&amp;ROW()),リスト!$I$5,"")</f>
        <v>#NAME?</v>
      </c>
      <c r="P790" s="88" t="e">
        <f ca="1">IF(INDIRECT("M"&amp;ROW())&lt;&gt;INDIRECT("M"&amp;ROW()+1),リスト!$I$6,"")</f>
        <v>#NAME?</v>
      </c>
    </row>
    <row r="791" spans="1:16" x14ac:dyDescent="0.2">
      <c r="A791" s="169" t="e">
        <f ca="1">IF(C791="","",ROW(行数!A783))</f>
        <v>#NAME?</v>
      </c>
      <c r="B791" s="168" t="e">
        <f t="shared" ca="1" si="87"/>
        <v>#NAME?</v>
      </c>
      <c r="C791" s="90" t="e">
        <f ca="1">[0]!CSVVLookUP(ROW(行数!A783),配列!$C$4,集計記録,3,1)</f>
        <v>#NAME?</v>
      </c>
      <c r="D791" s="90" t="e">
        <f ca="1">[0]!CSVVLookUP(ROW(行数!B783),配列!$C$4,集計記録,4,1)</f>
        <v>#NAME?</v>
      </c>
      <c r="E791" s="118" t="e">
        <f t="shared" ca="1" si="88"/>
        <v>#NAME?</v>
      </c>
      <c r="F791" s="118" t="e">
        <f t="shared" ca="1" si="89"/>
        <v>#NAME?</v>
      </c>
      <c r="G791" s="103" t="e">
        <f t="shared" ca="1" si="90"/>
        <v>#NAME?</v>
      </c>
      <c r="H791" s="104" t="e">
        <f ca="1">IF(C791="","",MROUND([0]!CSVVLookUP(ROW(行数!A783),配列!$C$4,集計記録,8,1),"0:01"))</f>
        <v>#NAME?</v>
      </c>
      <c r="I791" s="104" t="e">
        <f t="shared" ca="1" si="91"/>
        <v>#NAME?</v>
      </c>
      <c r="J791" s="119" t="e">
        <f ca="1">IF(C791="","",MROUND([0]!CSVVLookUP(ROW(行数!A783),配列!$C$4,集計記録,7,1),"0:01"))</f>
        <v>#NAME?</v>
      </c>
      <c r="K791" s="92" t="e">
        <f ca="1">IF(C791="","",[0]!CSVVLookUP(ROW(行数!A783),配列!$C$4,集計記録,5,1))</f>
        <v>#NAME?</v>
      </c>
      <c r="L791" s="104" t="e">
        <f t="shared" ca="1" si="92"/>
        <v>#NAME?</v>
      </c>
      <c r="M791" s="120" t="e">
        <f t="shared" ca="1" si="86"/>
        <v>#NAME?</v>
      </c>
      <c r="N791" s="120" t="e">
        <f ca="1">IF([0]!CSVVLookUP(ROW(行数!A783),配列!$C$4,集計記録,6,1)=0,"",[0]!CSVVLookUP(ROW(行数!A783),配列!$C$4,集計記録,6,1))</f>
        <v>#NAME?</v>
      </c>
      <c r="O791" s="88" t="e">
        <f ca="1">IF(INDIRECT("M"&amp;ROW()-1)&lt;&gt;INDIRECT("M"&amp;ROW()),リスト!$I$5,"")</f>
        <v>#NAME?</v>
      </c>
      <c r="P791" s="88" t="e">
        <f ca="1">IF(INDIRECT("M"&amp;ROW())&lt;&gt;INDIRECT("M"&amp;ROW()+1),リスト!$I$6,"")</f>
        <v>#NAME?</v>
      </c>
    </row>
    <row r="792" spans="1:16" x14ac:dyDescent="0.2">
      <c r="A792" s="169" t="e">
        <f ca="1">IF(C792="","",ROW(行数!A784))</f>
        <v>#NAME?</v>
      </c>
      <c r="B792" s="168" t="e">
        <f t="shared" ca="1" si="87"/>
        <v>#NAME?</v>
      </c>
      <c r="C792" s="90" t="e">
        <f ca="1">[0]!CSVVLookUP(ROW(行数!A784),配列!$C$4,集計記録,3,1)</f>
        <v>#NAME?</v>
      </c>
      <c r="D792" s="90" t="e">
        <f ca="1">[0]!CSVVLookUP(ROW(行数!B784),配列!$C$4,集計記録,4,1)</f>
        <v>#NAME?</v>
      </c>
      <c r="E792" s="118" t="e">
        <f t="shared" ca="1" si="88"/>
        <v>#NAME?</v>
      </c>
      <c r="F792" s="118" t="e">
        <f t="shared" ca="1" si="89"/>
        <v>#NAME?</v>
      </c>
      <c r="G792" s="103" t="e">
        <f t="shared" ca="1" si="90"/>
        <v>#NAME?</v>
      </c>
      <c r="H792" s="104" t="e">
        <f ca="1">IF(C792="","",MROUND([0]!CSVVLookUP(ROW(行数!A784),配列!$C$4,集計記録,8,1),"0:01"))</f>
        <v>#NAME?</v>
      </c>
      <c r="I792" s="104" t="e">
        <f t="shared" ca="1" si="91"/>
        <v>#NAME?</v>
      </c>
      <c r="J792" s="119" t="e">
        <f ca="1">IF(C792="","",MROUND([0]!CSVVLookUP(ROW(行数!A784),配列!$C$4,集計記録,7,1),"0:01"))</f>
        <v>#NAME?</v>
      </c>
      <c r="K792" s="92" t="e">
        <f ca="1">IF(C792="","",[0]!CSVVLookUP(ROW(行数!A784),配列!$C$4,集計記録,5,1))</f>
        <v>#NAME?</v>
      </c>
      <c r="L792" s="104" t="e">
        <f t="shared" ca="1" si="92"/>
        <v>#NAME?</v>
      </c>
      <c r="M792" s="120" t="e">
        <f t="shared" ca="1" si="86"/>
        <v>#NAME?</v>
      </c>
      <c r="N792" s="120" t="e">
        <f ca="1">IF([0]!CSVVLookUP(ROW(行数!A784),配列!$C$4,集計記録,6,1)=0,"",[0]!CSVVLookUP(ROW(行数!A784),配列!$C$4,集計記録,6,1))</f>
        <v>#NAME?</v>
      </c>
      <c r="O792" s="88" t="e">
        <f ca="1">IF(INDIRECT("M"&amp;ROW()-1)&lt;&gt;INDIRECT("M"&amp;ROW()),リスト!$I$5,"")</f>
        <v>#NAME?</v>
      </c>
      <c r="P792" s="88" t="e">
        <f ca="1">IF(INDIRECT("M"&amp;ROW())&lt;&gt;INDIRECT("M"&amp;ROW()+1),リスト!$I$6,"")</f>
        <v>#NAME?</v>
      </c>
    </row>
    <row r="793" spans="1:16" x14ac:dyDescent="0.2">
      <c r="A793" s="169" t="e">
        <f ca="1">IF(C793="","",ROW(行数!A785))</f>
        <v>#NAME?</v>
      </c>
      <c r="B793" s="168" t="e">
        <f t="shared" ca="1" si="87"/>
        <v>#NAME?</v>
      </c>
      <c r="C793" s="90" t="e">
        <f ca="1">[0]!CSVVLookUP(ROW(行数!A785),配列!$C$4,集計記録,3,1)</f>
        <v>#NAME?</v>
      </c>
      <c r="D793" s="90" t="e">
        <f ca="1">[0]!CSVVLookUP(ROW(行数!B785),配列!$C$4,集計記録,4,1)</f>
        <v>#NAME?</v>
      </c>
      <c r="E793" s="118" t="e">
        <f t="shared" ca="1" si="88"/>
        <v>#NAME?</v>
      </c>
      <c r="F793" s="118" t="e">
        <f t="shared" ca="1" si="89"/>
        <v>#NAME?</v>
      </c>
      <c r="G793" s="103" t="e">
        <f t="shared" ca="1" si="90"/>
        <v>#NAME?</v>
      </c>
      <c r="H793" s="104" t="e">
        <f ca="1">IF(C793="","",MROUND([0]!CSVVLookUP(ROW(行数!A785),配列!$C$4,集計記録,8,1),"0:01"))</f>
        <v>#NAME?</v>
      </c>
      <c r="I793" s="104" t="e">
        <f t="shared" ca="1" si="91"/>
        <v>#NAME?</v>
      </c>
      <c r="J793" s="119" t="e">
        <f ca="1">IF(C793="","",MROUND([0]!CSVVLookUP(ROW(行数!A785),配列!$C$4,集計記録,7,1),"0:01"))</f>
        <v>#NAME?</v>
      </c>
      <c r="K793" s="92" t="e">
        <f ca="1">IF(C793="","",[0]!CSVVLookUP(ROW(行数!A785),配列!$C$4,集計記録,5,1))</f>
        <v>#NAME?</v>
      </c>
      <c r="L793" s="104" t="e">
        <f t="shared" ca="1" si="92"/>
        <v>#NAME?</v>
      </c>
      <c r="M793" s="120" t="e">
        <f t="shared" ca="1" si="86"/>
        <v>#NAME?</v>
      </c>
      <c r="N793" s="120" t="e">
        <f ca="1">IF([0]!CSVVLookUP(ROW(行数!A785),配列!$C$4,集計記録,6,1)=0,"",[0]!CSVVLookUP(ROW(行数!A785),配列!$C$4,集計記録,6,1))</f>
        <v>#NAME?</v>
      </c>
      <c r="O793" s="88" t="e">
        <f ca="1">IF(INDIRECT("M"&amp;ROW()-1)&lt;&gt;INDIRECT("M"&amp;ROW()),リスト!$I$5,"")</f>
        <v>#NAME?</v>
      </c>
      <c r="P793" s="88" t="e">
        <f ca="1">IF(INDIRECT("M"&amp;ROW())&lt;&gt;INDIRECT("M"&amp;ROW()+1),リスト!$I$6,"")</f>
        <v>#NAME?</v>
      </c>
    </row>
    <row r="794" spans="1:16" x14ac:dyDescent="0.2">
      <c r="A794" s="169" t="e">
        <f ca="1">IF(C794="","",ROW(行数!A786))</f>
        <v>#NAME?</v>
      </c>
      <c r="B794" s="168" t="e">
        <f t="shared" ca="1" si="87"/>
        <v>#NAME?</v>
      </c>
      <c r="C794" s="90" t="e">
        <f ca="1">[0]!CSVVLookUP(ROW(行数!A786),配列!$C$4,集計記録,3,1)</f>
        <v>#NAME?</v>
      </c>
      <c r="D794" s="90" t="e">
        <f ca="1">[0]!CSVVLookUP(ROW(行数!B786),配列!$C$4,集計記録,4,1)</f>
        <v>#NAME?</v>
      </c>
      <c r="E794" s="118" t="e">
        <f t="shared" ca="1" si="88"/>
        <v>#NAME?</v>
      </c>
      <c r="F794" s="118" t="e">
        <f t="shared" ca="1" si="89"/>
        <v>#NAME?</v>
      </c>
      <c r="G794" s="103" t="e">
        <f t="shared" ca="1" si="90"/>
        <v>#NAME?</v>
      </c>
      <c r="H794" s="104" t="e">
        <f ca="1">IF(C794="","",MROUND([0]!CSVVLookUP(ROW(行数!A786),配列!$C$4,集計記録,8,1),"0:01"))</f>
        <v>#NAME?</v>
      </c>
      <c r="I794" s="104" t="e">
        <f t="shared" ca="1" si="91"/>
        <v>#NAME?</v>
      </c>
      <c r="J794" s="119" t="e">
        <f ca="1">IF(C794="","",MROUND([0]!CSVVLookUP(ROW(行数!A786),配列!$C$4,集計記録,7,1),"0:01"))</f>
        <v>#NAME?</v>
      </c>
      <c r="K794" s="92" t="e">
        <f ca="1">IF(C794="","",[0]!CSVVLookUP(ROW(行数!A786),配列!$C$4,集計記録,5,1))</f>
        <v>#NAME?</v>
      </c>
      <c r="L794" s="104" t="e">
        <f t="shared" ca="1" si="92"/>
        <v>#NAME?</v>
      </c>
      <c r="M794" s="120" t="e">
        <f t="shared" ca="1" si="86"/>
        <v>#NAME?</v>
      </c>
      <c r="N794" s="120" t="e">
        <f ca="1">IF([0]!CSVVLookUP(ROW(行数!A786),配列!$C$4,集計記録,6,1)=0,"",[0]!CSVVLookUP(ROW(行数!A786),配列!$C$4,集計記録,6,1))</f>
        <v>#NAME?</v>
      </c>
      <c r="O794" s="88" t="e">
        <f ca="1">IF(INDIRECT("M"&amp;ROW()-1)&lt;&gt;INDIRECT("M"&amp;ROW()),リスト!$I$5,"")</f>
        <v>#NAME?</v>
      </c>
      <c r="P794" s="88" t="e">
        <f ca="1">IF(INDIRECT("M"&amp;ROW())&lt;&gt;INDIRECT("M"&amp;ROW()+1),リスト!$I$6,"")</f>
        <v>#NAME?</v>
      </c>
    </row>
    <row r="795" spans="1:16" x14ac:dyDescent="0.2">
      <c r="A795" s="169" t="e">
        <f ca="1">IF(C795="","",ROW(行数!A787))</f>
        <v>#NAME?</v>
      </c>
      <c r="B795" s="168" t="e">
        <f t="shared" ca="1" si="87"/>
        <v>#NAME?</v>
      </c>
      <c r="C795" s="90" t="e">
        <f ca="1">[0]!CSVVLookUP(ROW(行数!A787),配列!$C$4,集計記録,3,1)</f>
        <v>#NAME?</v>
      </c>
      <c r="D795" s="90" t="e">
        <f ca="1">[0]!CSVVLookUP(ROW(行数!B787),配列!$C$4,集計記録,4,1)</f>
        <v>#NAME?</v>
      </c>
      <c r="E795" s="118" t="e">
        <f t="shared" ca="1" si="88"/>
        <v>#NAME?</v>
      </c>
      <c r="F795" s="118" t="e">
        <f t="shared" ca="1" si="89"/>
        <v>#NAME?</v>
      </c>
      <c r="G795" s="103" t="e">
        <f t="shared" ca="1" si="90"/>
        <v>#NAME?</v>
      </c>
      <c r="H795" s="104" t="e">
        <f ca="1">IF(C795="","",MROUND([0]!CSVVLookUP(ROW(行数!A787),配列!$C$4,集計記録,8,1),"0:01"))</f>
        <v>#NAME?</v>
      </c>
      <c r="I795" s="104" t="e">
        <f t="shared" ca="1" si="91"/>
        <v>#NAME?</v>
      </c>
      <c r="J795" s="119" t="e">
        <f ca="1">IF(C795="","",MROUND([0]!CSVVLookUP(ROW(行数!A787),配列!$C$4,集計記録,7,1),"0:01"))</f>
        <v>#NAME?</v>
      </c>
      <c r="K795" s="92" t="e">
        <f ca="1">IF(C795="","",[0]!CSVVLookUP(ROW(行数!A787),配列!$C$4,集計記録,5,1))</f>
        <v>#NAME?</v>
      </c>
      <c r="L795" s="104" t="e">
        <f t="shared" ca="1" si="92"/>
        <v>#NAME?</v>
      </c>
      <c r="M795" s="120" t="e">
        <f t="shared" ca="1" si="86"/>
        <v>#NAME?</v>
      </c>
      <c r="N795" s="120" t="e">
        <f ca="1">IF([0]!CSVVLookUP(ROW(行数!A787),配列!$C$4,集計記録,6,1)=0,"",[0]!CSVVLookUP(ROW(行数!A787),配列!$C$4,集計記録,6,1))</f>
        <v>#NAME?</v>
      </c>
      <c r="O795" s="88" t="e">
        <f ca="1">IF(INDIRECT("M"&amp;ROW()-1)&lt;&gt;INDIRECT("M"&amp;ROW()),リスト!$I$5,"")</f>
        <v>#NAME?</v>
      </c>
      <c r="P795" s="88" t="e">
        <f ca="1">IF(INDIRECT("M"&amp;ROW())&lt;&gt;INDIRECT("M"&amp;ROW()+1),リスト!$I$6,"")</f>
        <v>#NAME?</v>
      </c>
    </row>
    <row r="796" spans="1:16" x14ac:dyDescent="0.2">
      <c r="A796" s="169" t="e">
        <f ca="1">IF(C796="","",ROW(行数!A788))</f>
        <v>#NAME?</v>
      </c>
      <c r="B796" s="168" t="e">
        <f t="shared" ca="1" si="87"/>
        <v>#NAME?</v>
      </c>
      <c r="C796" s="90" t="e">
        <f ca="1">[0]!CSVVLookUP(ROW(行数!A788),配列!$C$4,集計記録,3,1)</f>
        <v>#NAME?</v>
      </c>
      <c r="D796" s="90" t="e">
        <f ca="1">[0]!CSVVLookUP(ROW(行数!B788),配列!$C$4,集計記録,4,1)</f>
        <v>#NAME?</v>
      </c>
      <c r="E796" s="118" t="e">
        <f t="shared" ca="1" si="88"/>
        <v>#NAME?</v>
      </c>
      <c r="F796" s="118" t="e">
        <f t="shared" ca="1" si="89"/>
        <v>#NAME?</v>
      </c>
      <c r="G796" s="103" t="e">
        <f t="shared" ca="1" si="90"/>
        <v>#NAME?</v>
      </c>
      <c r="H796" s="104" t="e">
        <f ca="1">IF(C796="","",MROUND([0]!CSVVLookUP(ROW(行数!A788),配列!$C$4,集計記録,8,1),"0:01"))</f>
        <v>#NAME?</v>
      </c>
      <c r="I796" s="104" t="e">
        <f t="shared" ca="1" si="91"/>
        <v>#NAME?</v>
      </c>
      <c r="J796" s="119" t="e">
        <f ca="1">IF(C796="","",MROUND([0]!CSVVLookUP(ROW(行数!A788),配列!$C$4,集計記録,7,1),"0:01"))</f>
        <v>#NAME?</v>
      </c>
      <c r="K796" s="92" t="e">
        <f ca="1">IF(C796="","",[0]!CSVVLookUP(ROW(行数!A788),配列!$C$4,集計記録,5,1))</f>
        <v>#NAME?</v>
      </c>
      <c r="L796" s="104" t="e">
        <f t="shared" ca="1" si="92"/>
        <v>#NAME?</v>
      </c>
      <c r="M796" s="120" t="e">
        <f t="shared" ca="1" si="86"/>
        <v>#NAME?</v>
      </c>
      <c r="N796" s="120" t="e">
        <f ca="1">IF([0]!CSVVLookUP(ROW(行数!A788),配列!$C$4,集計記録,6,1)=0,"",[0]!CSVVLookUP(ROW(行数!A788),配列!$C$4,集計記録,6,1))</f>
        <v>#NAME?</v>
      </c>
      <c r="O796" s="88" t="e">
        <f ca="1">IF(INDIRECT("M"&amp;ROW()-1)&lt;&gt;INDIRECT("M"&amp;ROW()),リスト!$I$5,"")</f>
        <v>#NAME?</v>
      </c>
      <c r="P796" s="88" t="e">
        <f ca="1">IF(INDIRECT("M"&amp;ROW())&lt;&gt;INDIRECT("M"&amp;ROW()+1),リスト!$I$6,"")</f>
        <v>#NAME?</v>
      </c>
    </row>
    <row r="797" spans="1:16" x14ac:dyDescent="0.2">
      <c r="A797" s="169" t="e">
        <f ca="1">IF(C797="","",ROW(行数!A789))</f>
        <v>#NAME?</v>
      </c>
      <c r="B797" s="168" t="e">
        <f t="shared" ca="1" si="87"/>
        <v>#NAME?</v>
      </c>
      <c r="C797" s="90" t="e">
        <f ca="1">[0]!CSVVLookUP(ROW(行数!A789),配列!$C$4,集計記録,3,1)</f>
        <v>#NAME?</v>
      </c>
      <c r="D797" s="90" t="e">
        <f ca="1">[0]!CSVVLookUP(ROW(行数!B789),配列!$C$4,集計記録,4,1)</f>
        <v>#NAME?</v>
      </c>
      <c r="E797" s="118" t="e">
        <f t="shared" ca="1" si="88"/>
        <v>#NAME?</v>
      </c>
      <c r="F797" s="118" t="e">
        <f t="shared" ca="1" si="89"/>
        <v>#NAME?</v>
      </c>
      <c r="G797" s="103" t="e">
        <f t="shared" ca="1" si="90"/>
        <v>#NAME?</v>
      </c>
      <c r="H797" s="104" t="e">
        <f ca="1">IF(C797="","",MROUND([0]!CSVVLookUP(ROW(行数!A789),配列!$C$4,集計記録,8,1),"0:01"))</f>
        <v>#NAME?</v>
      </c>
      <c r="I797" s="104" t="e">
        <f t="shared" ca="1" si="91"/>
        <v>#NAME?</v>
      </c>
      <c r="J797" s="119" t="e">
        <f ca="1">IF(C797="","",MROUND([0]!CSVVLookUP(ROW(行数!A789),配列!$C$4,集計記録,7,1),"0:01"))</f>
        <v>#NAME?</v>
      </c>
      <c r="K797" s="92" t="e">
        <f ca="1">IF(C797="","",[0]!CSVVLookUP(ROW(行数!A789),配列!$C$4,集計記録,5,1))</f>
        <v>#NAME?</v>
      </c>
      <c r="L797" s="104" t="e">
        <f t="shared" ca="1" si="92"/>
        <v>#NAME?</v>
      </c>
      <c r="M797" s="120" t="e">
        <f t="shared" ca="1" si="86"/>
        <v>#NAME?</v>
      </c>
      <c r="N797" s="120" t="e">
        <f ca="1">IF([0]!CSVVLookUP(ROW(行数!A789),配列!$C$4,集計記録,6,1)=0,"",[0]!CSVVLookUP(ROW(行数!A789),配列!$C$4,集計記録,6,1))</f>
        <v>#NAME?</v>
      </c>
      <c r="O797" s="88" t="e">
        <f ca="1">IF(INDIRECT("M"&amp;ROW()-1)&lt;&gt;INDIRECT("M"&amp;ROW()),リスト!$I$5,"")</f>
        <v>#NAME?</v>
      </c>
      <c r="P797" s="88" t="e">
        <f ca="1">IF(INDIRECT("M"&amp;ROW())&lt;&gt;INDIRECT("M"&amp;ROW()+1),リスト!$I$6,"")</f>
        <v>#NAME?</v>
      </c>
    </row>
    <row r="798" spans="1:16" x14ac:dyDescent="0.2">
      <c r="A798" s="169" t="e">
        <f ca="1">IF(C798="","",ROW(行数!A790))</f>
        <v>#NAME?</v>
      </c>
      <c r="B798" s="168" t="e">
        <f t="shared" ca="1" si="87"/>
        <v>#NAME?</v>
      </c>
      <c r="C798" s="90" t="e">
        <f ca="1">[0]!CSVVLookUP(ROW(行数!A790),配列!$C$4,集計記録,3,1)</f>
        <v>#NAME?</v>
      </c>
      <c r="D798" s="90" t="e">
        <f ca="1">[0]!CSVVLookUP(ROW(行数!B790),配列!$C$4,集計記録,4,1)</f>
        <v>#NAME?</v>
      </c>
      <c r="E798" s="118" t="e">
        <f t="shared" ca="1" si="88"/>
        <v>#NAME?</v>
      </c>
      <c r="F798" s="118" t="e">
        <f t="shared" ca="1" si="89"/>
        <v>#NAME?</v>
      </c>
      <c r="G798" s="103" t="e">
        <f t="shared" ca="1" si="90"/>
        <v>#NAME?</v>
      </c>
      <c r="H798" s="104" t="e">
        <f ca="1">IF(C798="","",MROUND([0]!CSVVLookUP(ROW(行数!A790),配列!$C$4,集計記録,8,1),"0:01"))</f>
        <v>#NAME?</v>
      </c>
      <c r="I798" s="104" t="e">
        <f t="shared" ca="1" si="91"/>
        <v>#NAME?</v>
      </c>
      <c r="J798" s="119" t="e">
        <f ca="1">IF(C798="","",MROUND([0]!CSVVLookUP(ROW(行数!A790),配列!$C$4,集計記録,7,1),"0:01"))</f>
        <v>#NAME?</v>
      </c>
      <c r="K798" s="92" t="e">
        <f ca="1">IF(C798="","",[0]!CSVVLookUP(ROW(行数!A790),配列!$C$4,集計記録,5,1))</f>
        <v>#NAME?</v>
      </c>
      <c r="L798" s="104" t="e">
        <f t="shared" ca="1" si="92"/>
        <v>#NAME?</v>
      </c>
      <c r="M798" s="120" t="e">
        <f t="shared" ca="1" si="86"/>
        <v>#NAME?</v>
      </c>
      <c r="N798" s="120" t="e">
        <f ca="1">IF([0]!CSVVLookUP(ROW(行数!A790),配列!$C$4,集計記録,6,1)=0,"",[0]!CSVVLookUP(ROW(行数!A790),配列!$C$4,集計記録,6,1))</f>
        <v>#NAME?</v>
      </c>
      <c r="O798" s="88" t="e">
        <f ca="1">IF(INDIRECT("M"&amp;ROW()-1)&lt;&gt;INDIRECT("M"&amp;ROW()),リスト!$I$5,"")</f>
        <v>#NAME?</v>
      </c>
      <c r="P798" s="88" t="e">
        <f ca="1">IF(INDIRECT("M"&amp;ROW())&lt;&gt;INDIRECT("M"&amp;ROW()+1),リスト!$I$6,"")</f>
        <v>#NAME?</v>
      </c>
    </row>
    <row r="799" spans="1:16" x14ac:dyDescent="0.2">
      <c r="A799" s="169" t="e">
        <f ca="1">IF(C799="","",ROW(行数!A791))</f>
        <v>#NAME?</v>
      </c>
      <c r="B799" s="168" t="e">
        <f t="shared" ca="1" si="87"/>
        <v>#NAME?</v>
      </c>
      <c r="C799" s="90" t="e">
        <f ca="1">[0]!CSVVLookUP(ROW(行数!A791),配列!$C$4,集計記録,3,1)</f>
        <v>#NAME?</v>
      </c>
      <c r="D799" s="90" t="e">
        <f ca="1">[0]!CSVVLookUP(ROW(行数!B791),配列!$C$4,集計記録,4,1)</f>
        <v>#NAME?</v>
      </c>
      <c r="E799" s="118" t="e">
        <f t="shared" ca="1" si="88"/>
        <v>#NAME?</v>
      </c>
      <c r="F799" s="118" t="e">
        <f t="shared" ca="1" si="89"/>
        <v>#NAME?</v>
      </c>
      <c r="G799" s="103" t="e">
        <f t="shared" ca="1" si="90"/>
        <v>#NAME?</v>
      </c>
      <c r="H799" s="104" t="e">
        <f ca="1">IF(C799="","",MROUND([0]!CSVVLookUP(ROW(行数!A791),配列!$C$4,集計記録,8,1),"0:01"))</f>
        <v>#NAME?</v>
      </c>
      <c r="I799" s="104" t="e">
        <f t="shared" ca="1" si="91"/>
        <v>#NAME?</v>
      </c>
      <c r="J799" s="119" t="e">
        <f ca="1">IF(C799="","",MROUND([0]!CSVVLookUP(ROW(行数!A791),配列!$C$4,集計記録,7,1),"0:01"))</f>
        <v>#NAME?</v>
      </c>
      <c r="K799" s="92" t="e">
        <f ca="1">IF(C799="","",[0]!CSVVLookUP(ROW(行数!A791),配列!$C$4,集計記録,5,1))</f>
        <v>#NAME?</v>
      </c>
      <c r="L799" s="104" t="e">
        <f t="shared" ca="1" si="92"/>
        <v>#NAME?</v>
      </c>
      <c r="M799" s="120" t="e">
        <f t="shared" ca="1" si="86"/>
        <v>#NAME?</v>
      </c>
      <c r="N799" s="120" t="e">
        <f ca="1">IF([0]!CSVVLookUP(ROW(行数!A791),配列!$C$4,集計記録,6,1)=0,"",[0]!CSVVLookUP(ROW(行数!A791),配列!$C$4,集計記録,6,1))</f>
        <v>#NAME?</v>
      </c>
      <c r="O799" s="88" t="e">
        <f ca="1">IF(INDIRECT("M"&amp;ROW()-1)&lt;&gt;INDIRECT("M"&amp;ROW()),リスト!$I$5,"")</f>
        <v>#NAME?</v>
      </c>
      <c r="P799" s="88" t="e">
        <f ca="1">IF(INDIRECT("M"&amp;ROW())&lt;&gt;INDIRECT("M"&amp;ROW()+1),リスト!$I$6,"")</f>
        <v>#NAME?</v>
      </c>
    </row>
    <row r="800" spans="1:16" x14ac:dyDescent="0.2">
      <c r="A800" s="169" t="e">
        <f ca="1">IF(C800="","",ROW(行数!A792))</f>
        <v>#NAME?</v>
      </c>
      <c r="B800" s="168" t="e">
        <f t="shared" ca="1" si="87"/>
        <v>#NAME?</v>
      </c>
      <c r="C800" s="90" t="e">
        <f ca="1">[0]!CSVVLookUP(ROW(行数!A792),配列!$C$4,集計記録,3,1)</f>
        <v>#NAME?</v>
      </c>
      <c r="D800" s="90" t="e">
        <f ca="1">[0]!CSVVLookUP(ROW(行数!B792),配列!$C$4,集計記録,4,1)</f>
        <v>#NAME?</v>
      </c>
      <c r="E800" s="118" t="e">
        <f t="shared" ca="1" si="88"/>
        <v>#NAME?</v>
      </c>
      <c r="F800" s="118" t="e">
        <f t="shared" ca="1" si="89"/>
        <v>#NAME?</v>
      </c>
      <c r="G800" s="103" t="e">
        <f t="shared" ca="1" si="90"/>
        <v>#NAME?</v>
      </c>
      <c r="H800" s="104" t="e">
        <f ca="1">IF(C800="","",MROUND([0]!CSVVLookUP(ROW(行数!A792),配列!$C$4,集計記録,8,1),"0:01"))</f>
        <v>#NAME?</v>
      </c>
      <c r="I800" s="104" t="e">
        <f t="shared" ca="1" si="91"/>
        <v>#NAME?</v>
      </c>
      <c r="J800" s="119" t="e">
        <f ca="1">IF(C800="","",MROUND([0]!CSVVLookUP(ROW(行数!A792),配列!$C$4,集計記録,7,1),"0:01"))</f>
        <v>#NAME?</v>
      </c>
      <c r="K800" s="92" t="e">
        <f ca="1">IF(C800="","",[0]!CSVVLookUP(ROW(行数!A792),配列!$C$4,集計記録,5,1))</f>
        <v>#NAME?</v>
      </c>
      <c r="L800" s="104" t="e">
        <f t="shared" ca="1" si="92"/>
        <v>#NAME?</v>
      </c>
      <c r="M800" s="120" t="e">
        <f t="shared" ca="1" si="86"/>
        <v>#NAME?</v>
      </c>
      <c r="N800" s="120" t="e">
        <f ca="1">IF([0]!CSVVLookUP(ROW(行数!A792),配列!$C$4,集計記録,6,1)=0,"",[0]!CSVVLookUP(ROW(行数!A792),配列!$C$4,集計記録,6,1))</f>
        <v>#NAME?</v>
      </c>
      <c r="O800" s="88" t="e">
        <f ca="1">IF(INDIRECT("M"&amp;ROW()-1)&lt;&gt;INDIRECT("M"&amp;ROW()),リスト!$I$5,"")</f>
        <v>#NAME?</v>
      </c>
      <c r="P800" s="88" t="e">
        <f ca="1">IF(INDIRECT("M"&amp;ROW())&lt;&gt;INDIRECT("M"&amp;ROW()+1),リスト!$I$6,"")</f>
        <v>#NAME?</v>
      </c>
    </row>
    <row r="801" spans="1:16" x14ac:dyDescent="0.2">
      <c r="A801" s="169" t="e">
        <f ca="1">IF(C801="","",ROW(行数!A793))</f>
        <v>#NAME?</v>
      </c>
      <c r="B801" s="168" t="e">
        <f t="shared" ca="1" si="87"/>
        <v>#NAME?</v>
      </c>
      <c r="C801" s="90" t="e">
        <f ca="1">[0]!CSVVLookUP(ROW(行数!A793),配列!$C$4,集計記録,3,1)</f>
        <v>#NAME?</v>
      </c>
      <c r="D801" s="90" t="e">
        <f ca="1">[0]!CSVVLookUP(ROW(行数!B793),配列!$C$4,集計記録,4,1)</f>
        <v>#NAME?</v>
      </c>
      <c r="E801" s="118" t="e">
        <f t="shared" ca="1" si="88"/>
        <v>#NAME?</v>
      </c>
      <c r="F801" s="118" t="e">
        <f t="shared" ca="1" si="89"/>
        <v>#NAME?</v>
      </c>
      <c r="G801" s="103" t="e">
        <f t="shared" ca="1" si="90"/>
        <v>#NAME?</v>
      </c>
      <c r="H801" s="104" t="e">
        <f ca="1">IF(C801="","",MROUND([0]!CSVVLookUP(ROW(行数!A793),配列!$C$4,集計記録,8,1),"0:01"))</f>
        <v>#NAME?</v>
      </c>
      <c r="I801" s="104" t="e">
        <f t="shared" ca="1" si="91"/>
        <v>#NAME?</v>
      </c>
      <c r="J801" s="119" t="e">
        <f ca="1">IF(C801="","",MROUND([0]!CSVVLookUP(ROW(行数!A793),配列!$C$4,集計記録,7,1),"0:01"))</f>
        <v>#NAME?</v>
      </c>
      <c r="K801" s="92" t="e">
        <f ca="1">IF(C801="","",[0]!CSVVLookUP(ROW(行数!A793),配列!$C$4,集計記録,5,1))</f>
        <v>#NAME?</v>
      </c>
      <c r="L801" s="104" t="e">
        <f t="shared" ca="1" si="92"/>
        <v>#NAME?</v>
      </c>
      <c r="M801" s="120" t="e">
        <f t="shared" ca="1" si="86"/>
        <v>#NAME?</v>
      </c>
      <c r="N801" s="120" t="e">
        <f ca="1">IF([0]!CSVVLookUP(ROW(行数!A793),配列!$C$4,集計記録,6,1)=0,"",[0]!CSVVLookUP(ROW(行数!A793),配列!$C$4,集計記録,6,1))</f>
        <v>#NAME?</v>
      </c>
      <c r="O801" s="88" t="e">
        <f ca="1">IF(INDIRECT("M"&amp;ROW()-1)&lt;&gt;INDIRECT("M"&amp;ROW()),リスト!$I$5,"")</f>
        <v>#NAME?</v>
      </c>
      <c r="P801" s="88" t="e">
        <f ca="1">IF(INDIRECT("M"&amp;ROW())&lt;&gt;INDIRECT("M"&amp;ROW()+1),リスト!$I$6,"")</f>
        <v>#NAME?</v>
      </c>
    </row>
    <row r="802" spans="1:16" x14ac:dyDescent="0.2">
      <c r="A802" s="169" t="e">
        <f ca="1">IF(C802="","",ROW(行数!A794))</f>
        <v>#NAME?</v>
      </c>
      <c r="B802" s="168" t="e">
        <f t="shared" ca="1" si="87"/>
        <v>#NAME?</v>
      </c>
      <c r="C802" s="90" t="e">
        <f ca="1">[0]!CSVVLookUP(ROW(行数!A794),配列!$C$4,集計記録,3,1)</f>
        <v>#NAME?</v>
      </c>
      <c r="D802" s="90" t="e">
        <f ca="1">[0]!CSVVLookUP(ROW(行数!B794),配列!$C$4,集計記録,4,1)</f>
        <v>#NAME?</v>
      </c>
      <c r="E802" s="118" t="e">
        <f t="shared" ca="1" si="88"/>
        <v>#NAME?</v>
      </c>
      <c r="F802" s="118" t="e">
        <f t="shared" ca="1" si="89"/>
        <v>#NAME?</v>
      </c>
      <c r="G802" s="103" t="e">
        <f t="shared" ca="1" si="90"/>
        <v>#NAME?</v>
      </c>
      <c r="H802" s="104" t="e">
        <f ca="1">IF(C802="","",MROUND([0]!CSVVLookUP(ROW(行数!A794),配列!$C$4,集計記録,8,1),"0:01"))</f>
        <v>#NAME?</v>
      </c>
      <c r="I802" s="104" t="e">
        <f t="shared" ca="1" si="91"/>
        <v>#NAME?</v>
      </c>
      <c r="J802" s="119" t="e">
        <f ca="1">IF(C802="","",MROUND([0]!CSVVLookUP(ROW(行数!A794),配列!$C$4,集計記録,7,1),"0:01"))</f>
        <v>#NAME?</v>
      </c>
      <c r="K802" s="92" t="e">
        <f ca="1">IF(C802="","",[0]!CSVVLookUP(ROW(行数!A794),配列!$C$4,集計記録,5,1))</f>
        <v>#NAME?</v>
      </c>
      <c r="L802" s="104" t="e">
        <f t="shared" ca="1" si="92"/>
        <v>#NAME?</v>
      </c>
      <c r="M802" s="120" t="e">
        <f t="shared" ca="1" si="86"/>
        <v>#NAME?</v>
      </c>
      <c r="N802" s="120" t="e">
        <f ca="1">IF([0]!CSVVLookUP(ROW(行数!A794),配列!$C$4,集計記録,6,1)=0,"",[0]!CSVVLookUP(ROW(行数!A794),配列!$C$4,集計記録,6,1))</f>
        <v>#NAME?</v>
      </c>
      <c r="O802" s="88" t="e">
        <f ca="1">IF(INDIRECT("M"&amp;ROW()-1)&lt;&gt;INDIRECT("M"&amp;ROW()),リスト!$I$5,"")</f>
        <v>#NAME?</v>
      </c>
      <c r="P802" s="88" t="e">
        <f ca="1">IF(INDIRECT("M"&amp;ROW())&lt;&gt;INDIRECT("M"&amp;ROW()+1),リスト!$I$6,"")</f>
        <v>#NAME?</v>
      </c>
    </row>
    <row r="803" spans="1:16" x14ac:dyDescent="0.2">
      <c r="A803" s="169" t="e">
        <f ca="1">IF(C803="","",ROW(行数!A795))</f>
        <v>#NAME?</v>
      </c>
      <c r="B803" s="168" t="e">
        <f t="shared" ca="1" si="87"/>
        <v>#NAME?</v>
      </c>
      <c r="C803" s="90" t="e">
        <f ca="1">[0]!CSVVLookUP(ROW(行数!A795),配列!$C$4,集計記録,3,1)</f>
        <v>#NAME?</v>
      </c>
      <c r="D803" s="90" t="e">
        <f ca="1">[0]!CSVVLookUP(ROW(行数!B795),配列!$C$4,集計記録,4,1)</f>
        <v>#NAME?</v>
      </c>
      <c r="E803" s="118" t="e">
        <f t="shared" ca="1" si="88"/>
        <v>#NAME?</v>
      </c>
      <c r="F803" s="118" t="e">
        <f t="shared" ca="1" si="89"/>
        <v>#NAME?</v>
      </c>
      <c r="G803" s="103" t="e">
        <f t="shared" ca="1" si="90"/>
        <v>#NAME?</v>
      </c>
      <c r="H803" s="104" t="e">
        <f ca="1">IF(C803="","",MROUND([0]!CSVVLookUP(ROW(行数!A795),配列!$C$4,集計記録,8,1),"0:01"))</f>
        <v>#NAME?</v>
      </c>
      <c r="I803" s="104" t="e">
        <f t="shared" ca="1" si="91"/>
        <v>#NAME?</v>
      </c>
      <c r="J803" s="119" t="e">
        <f ca="1">IF(C803="","",MROUND([0]!CSVVLookUP(ROW(行数!A795),配列!$C$4,集計記録,7,1),"0:01"))</f>
        <v>#NAME?</v>
      </c>
      <c r="K803" s="92" t="e">
        <f ca="1">IF(C803="","",[0]!CSVVLookUP(ROW(行数!A795),配列!$C$4,集計記録,5,1))</f>
        <v>#NAME?</v>
      </c>
      <c r="L803" s="104" t="e">
        <f t="shared" ca="1" si="92"/>
        <v>#NAME?</v>
      </c>
      <c r="M803" s="120" t="e">
        <f t="shared" ca="1" si="86"/>
        <v>#NAME?</v>
      </c>
      <c r="N803" s="120" t="e">
        <f ca="1">IF([0]!CSVVLookUP(ROW(行数!A795),配列!$C$4,集計記録,6,1)=0,"",[0]!CSVVLookUP(ROW(行数!A795),配列!$C$4,集計記録,6,1))</f>
        <v>#NAME?</v>
      </c>
      <c r="O803" s="88" t="e">
        <f ca="1">IF(INDIRECT("M"&amp;ROW()-1)&lt;&gt;INDIRECT("M"&amp;ROW()),リスト!$I$5,"")</f>
        <v>#NAME?</v>
      </c>
      <c r="P803" s="88" t="e">
        <f ca="1">IF(INDIRECT("M"&amp;ROW())&lt;&gt;INDIRECT("M"&amp;ROW()+1),リスト!$I$6,"")</f>
        <v>#NAME?</v>
      </c>
    </row>
    <row r="804" spans="1:16" x14ac:dyDescent="0.2">
      <c r="A804" s="169" t="e">
        <f ca="1">IF(C804="","",ROW(行数!A796))</f>
        <v>#NAME?</v>
      </c>
      <c r="B804" s="168" t="e">
        <f t="shared" ca="1" si="87"/>
        <v>#NAME?</v>
      </c>
      <c r="C804" s="90" t="e">
        <f ca="1">[0]!CSVVLookUP(ROW(行数!A796),配列!$C$4,集計記録,3,1)</f>
        <v>#NAME?</v>
      </c>
      <c r="D804" s="90" t="e">
        <f ca="1">[0]!CSVVLookUP(ROW(行数!B796),配列!$C$4,集計記録,4,1)</f>
        <v>#NAME?</v>
      </c>
      <c r="E804" s="118" t="e">
        <f t="shared" ca="1" si="88"/>
        <v>#NAME?</v>
      </c>
      <c r="F804" s="118" t="e">
        <f t="shared" ca="1" si="89"/>
        <v>#NAME?</v>
      </c>
      <c r="G804" s="103" t="e">
        <f t="shared" ca="1" si="90"/>
        <v>#NAME?</v>
      </c>
      <c r="H804" s="104" t="e">
        <f ca="1">IF(C804="","",MROUND([0]!CSVVLookUP(ROW(行数!A796),配列!$C$4,集計記録,8,1),"0:01"))</f>
        <v>#NAME?</v>
      </c>
      <c r="I804" s="104" t="e">
        <f t="shared" ca="1" si="91"/>
        <v>#NAME?</v>
      </c>
      <c r="J804" s="119" t="e">
        <f ca="1">IF(C804="","",MROUND([0]!CSVVLookUP(ROW(行数!A796),配列!$C$4,集計記録,7,1),"0:01"))</f>
        <v>#NAME?</v>
      </c>
      <c r="K804" s="92" t="e">
        <f ca="1">IF(C804="","",[0]!CSVVLookUP(ROW(行数!A796),配列!$C$4,集計記録,5,1))</f>
        <v>#NAME?</v>
      </c>
      <c r="L804" s="104" t="e">
        <f t="shared" ca="1" si="92"/>
        <v>#NAME?</v>
      </c>
      <c r="M804" s="120" t="e">
        <f t="shared" ca="1" si="86"/>
        <v>#NAME?</v>
      </c>
      <c r="N804" s="120" t="e">
        <f ca="1">IF([0]!CSVVLookUP(ROW(行数!A796),配列!$C$4,集計記録,6,1)=0,"",[0]!CSVVLookUP(ROW(行数!A796),配列!$C$4,集計記録,6,1))</f>
        <v>#NAME?</v>
      </c>
      <c r="O804" s="88" t="e">
        <f ca="1">IF(INDIRECT("M"&amp;ROW()-1)&lt;&gt;INDIRECT("M"&amp;ROW()),リスト!$I$5,"")</f>
        <v>#NAME?</v>
      </c>
      <c r="P804" s="88" t="e">
        <f ca="1">IF(INDIRECT("M"&amp;ROW())&lt;&gt;INDIRECT("M"&amp;ROW()+1),リスト!$I$6,"")</f>
        <v>#NAME?</v>
      </c>
    </row>
    <row r="805" spans="1:16" x14ac:dyDescent="0.2">
      <c r="A805" s="169" t="e">
        <f ca="1">IF(C805="","",ROW(行数!A797))</f>
        <v>#NAME?</v>
      </c>
      <c r="B805" s="168" t="e">
        <f t="shared" ca="1" si="87"/>
        <v>#NAME?</v>
      </c>
      <c r="C805" s="90" t="e">
        <f ca="1">[0]!CSVVLookUP(ROW(行数!A797),配列!$C$4,集計記録,3,1)</f>
        <v>#NAME?</v>
      </c>
      <c r="D805" s="90" t="e">
        <f ca="1">[0]!CSVVLookUP(ROW(行数!B797),配列!$C$4,集計記録,4,1)</f>
        <v>#NAME?</v>
      </c>
      <c r="E805" s="118" t="e">
        <f t="shared" ca="1" si="88"/>
        <v>#NAME?</v>
      </c>
      <c r="F805" s="118" t="e">
        <f t="shared" ca="1" si="89"/>
        <v>#NAME?</v>
      </c>
      <c r="G805" s="103" t="e">
        <f t="shared" ca="1" si="90"/>
        <v>#NAME?</v>
      </c>
      <c r="H805" s="104" t="e">
        <f ca="1">IF(C805="","",MROUND([0]!CSVVLookUP(ROW(行数!A797),配列!$C$4,集計記録,8,1),"0:01"))</f>
        <v>#NAME?</v>
      </c>
      <c r="I805" s="104" t="e">
        <f t="shared" ca="1" si="91"/>
        <v>#NAME?</v>
      </c>
      <c r="J805" s="119" t="e">
        <f ca="1">IF(C805="","",MROUND([0]!CSVVLookUP(ROW(行数!A797),配列!$C$4,集計記録,7,1),"0:01"))</f>
        <v>#NAME?</v>
      </c>
      <c r="K805" s="92" t="e">
        <f ca="1">IF(C805="","",[0]!CSVVLookUP(ROW(行数!A797),配列!$C$4,集計記録,5,1))</f>
        <v>#NAME?</v>
      </c>
      <c r="L805" s="104" t="e">
        <f t="shared" ca="1" si="92"/>
        <v>#NAME?</v>
      </c>
      <c r="M805" s="120" t="e">
        <f t="shared" ca="1" si="86"/>
        <v>#NAME?</v>
      </c>
      <c r="N805" s="120" t="e">
        <f ca="1">IF([0]!CSVVLookUP(ROW(行数!A797),配列!$C$4,集計記録,6,1)=0,"",[0]!CSVVLookUP(ROW(行数!A797),配列!$C$4,集計記録,6,1))</f>
        <v>#NAME?</v>
      </c>
      <c r="O805" s="88" t="e">
        <f ca="1">IF(INDIRECT("M"&amp;ROW()-1)&lt;&gt;INDIRECT("M"&amp;ROW()),リスト!$I$5,"")</f>
        <v>#NAME?</v>
      </c>
      <c r="P805" s="88" t="e">
        <f ca="1">IF(INDIRECT("M"&amp;ROW())&lt;&gt;INDIRECT("M"&amp;ROW()+1),リスト!$I$6,"")</f>
        <v>#NAME?</v>
      </c>
    </row>
    <row r="806" spans="1:16" x14ac:dyDescent="0.2">
      <c r="A806" s="169" t="e">
        <f ca="1">IF(C806="","",ROW(行数!A798))</f>
        <v>#NAME?</v>
      </c>
      <c r="B806" s="168" t="e">
        <f t="shared" ca="1" si="87"/>
        <v>#NAME?</v>
      </c>
      <c r="C806" s="90" t="e">
        <f ca="1">[0]!CSVVLookUP(ROW(行数!A798),配列!$C$4,集計記録,3,1)</f>
        <v>#NAME?</v>
      </c>
      <c r="D806" s="90" t="e">
        <f ca="1">[0]!CSVVLookUP(ROW(行数!B798),配列!$C$4,集計記録,4,1)</f>
        <v>#NAME?</v>
      </c>
      <c r="E806" s="118" t="e">
        <f t="shared" ca="1" si="88"/>
        <v>#NAME?</v>
      </c>
      <c r="F806" s="118" t="e">
        <f t="shared" ca="1" si="89"/>
        <v>#NAME?</v>
      </c>
      <c r="G806" s="103" t="e">
        <f t="shared" ca="1" si="90"/>
        <v>#NAME?</v>
      </c>
      <c r="H806" s="104" t="e">
        <f ca="1">IF(C806="","",MROUND([0]!CSVVLookUP(ROW(行数!A798),配列!$C$4,集計記録,8,1),"0:01"))</f>
        <v>#NAME?</v>
      </c>
      <c r="I806" s="104" t="e">
        <f t="shared" ca="1" si="91"/>
        <v>#NAME?</v>
      </c>
      <c r="J806" s="119" t="e">
        <f ca="1">IF(C806="","",MROUND([0]!CSVVLookUP(ROW(行数!A798),配列!$C$4,集計記録,7,1),"0:01"))</f>
        <v>#NAME?</v>
      </c>
      <c r="K806" s="92" t="e">
        <f ca="1">IF(C806="","",[0]!CSVVLookUP(ROW(行数!A798),配列!$C$4,集計記録,5,1))</f>
        <v>#NAME?</v>
      </c>
      <c r="L806" s="104" t="e">
        <f t="shared" ca="1" si="92"/>
        <v>#NAME?</v>
      </c>
      <c r="M806" s="120" t="e">
        <f t="shared" ca="1" si="86"/>
        <v>#NAME?</v>
      </c>
      <c r="N806" s="120" t="e">
        <f ca="1">IF([0]!CSVVLookUP(ROW(行数!A798),配列!$C$4,集計記録,6,1)=0,"",[0]!CSVVLookUP(ROW(行数!A798),配列!$C$4,集計記録,6,1))</f>
        <v>#NAME?</v>
      </c>
      <c r="O806" s="88" t="e">
        <f ca="1">IF(INDIRECT("M"&amp;ROW()-1)&lt;&gt;INDIRECT("M"&amp;ROW()),リスト!$I$5,"")</f>
        <v>#NAME?</v>
      </c>
      <c r="P806" s="88" t="e">
        <f ca="1">IF(INDIRECT("M"&amp;ROW())&lt;&gt;INDIRECT("M"&amp;ROW()+1),リスト!$I$6,"")</f>
        <v>#NAME?</v>
      </c>
    </row>
    <row r="807" spans="1:16" x14ac:dyDescent="0.2">
      <c r="A807" s="169" t="e">
        <f ca="1">IF(C807="","",ROW(行数!A799))</f>
        <v>#NAME?</v>
      </c>
      <c r="B807" s="168" t="e">
        <f t="shared" ca="1" si="87"/>
        <v>#NAME?</v>
      </c>
      <c r="C807" s="90" t="e">
        <f ca="1">[0]!CSVVLookUP(ROW(行数!A799),配列!$C$4,集計記録,3,1)</f>
        <v>#NAME?</v>
      </c>
      <c r="D807" s="90" t="e">
        <f ca="1">[0]!CSVVLookUP(ROW(行数!B799),配列!$C$4,集計記録,4,1)</f>
        <v>#NAME?</v>
      </c>
      <c r="E807" s="118" t="e">
        <f t="shared" ca="1" si="88"/>
        <v>#NAME?</v>
      </c>
      <c r="F807" s="118" t="e">
        <f t="shared" ca="1" si="89"/>
        <v>#NAME?</v>
      </c>
      <c r="G807" s="103" t="e">
        <f t="shared" ca="1" si="90"/>
        <v>#NAME?</v>
      </c>
      <c r="H807" s="104" t="e">
        <f ca="1">IF(C807="","",MROUND([0]!CSVVLookUP(ROW(行数!A799),配列!$C$4,集計記録,8,1),"0:01"))</f>
        <v>#NAME?</v>
      </c>
      <c r="I807" s="104" t="e">
        <f t="shared" ca="1" si="91"/>
        <v>#NAME?</v>
      </c>
      <c r="J807" s="119" t="e">
        <f ca="1">IF(C807="","",MROUND([0]!CSVVLookUP(ROW(行数!A799),配列!$C$4,集計記録,7,1),"0:01"))</f>
        <v>#NAME?</v>
      </c>
      <c r="K807" s="92" t="e">
        <f ca="1">IF(C807="","",[0]!CSVVLookUP(ROW(行数!A799),配列!$C$4,集計記録,5,1))</f>
        <v>#NAME?</v>
      </c>
      <c r="L807" s="104" t="e">
        <f t="shared" ca="1" si="92"/>
        <v>#NAME?</v>
      </c>
      <c r="M807" s="120" t="e">
        <f t="shared" ca="1" si="86"/>
        <v>#NAME?</v>
      </c>
      <c r="N807" s="120" t="e">
        <f ca="1">IF([0]!CSVVLookUP(ROW(行数!A799),配列!$C$4,集計記録,6,1)=0,"",[0]!CSVVLookUP(ROW(行数!A799),配列!$C$4,集計記録,6,1))</f>
        <v>#NAME?</v>
      </c>
      <c r="O807" s="88" t="e">
        <f ca="1">IF(INDIRECT("M"&amp;ROW()-1)&lt;&gt;INDIRECT("M"&amp;ROW()),リスト!$I$5,"")</f>
        <v>#NAME?</v>
      </c>
      <c r="P807" s="88" t="e">
        <f ca="1">IF(INDIRECT("M"&amp;ROW())&lt;&gt;INDIRECT("M"&amp;ROW()+1),リスト!$I$6,"")</f>
        <v>#NAME?</v>
      </c>
    </row>
    <row r="808" spans="1:16" x14ac:dyDescent="0.2">
      <c r="A808" s="169" t="e">
        <f ca="1">IF(C808="","",ROW(行数!A800))</f>
        <v>#NAME?</v>
      </c>
      <c r="B808" s="168" t="e">
        <f t="shared" ca="1" si="87"/>
        <v>#NAME?</v>
      </c>
      <c r="C808" s="90" t="e">
        <f ca="1">[0]!CSVVLookUP(ROW(行数!A800),配列!$C$4,集計記録,3,1)</f>
        <v>#NAME?</v>
      </c>
      <c r="D808" s="90" t="e">
        <f ca="1">[0]!CSVVLookUP(ROW(行数!B800),配列!$C$4,集計記録,4,1)</f>
        <v>#NAME?</v>
      </c>
      <c r="E808" s="118" t="e">
        <f t="shared" ca="1" si="88"/>
        <v>#NAME?</v>
      </c>
      <c r="F808" s="118" t="e">
        <f t="shared" ca="1" si="89"/>
        <v>#NAME?</v>
      </c>
      <c r="G808" s="103" t="e">
        <f t="shared" ca="1" si="90"/>
        <v>#NAME?</v>
      </c>
      <c r="H808" s="104" t="e">
        <f ca="1">IF(C808="","",MROUND([0]!CSVVLookUP(ROW(行数!A800),配列!$C$4,集計記録,8,1),"0:01"))</f>
        <v>#NAME?</v>
      </c>
      <c r="I808" s="104" t="e">
        <f t="shared" ca="1" si="91"/>
        <v>#NAME?</v>
      </c>
      <c r="J808" s="119" t="e">
        <f ca="1">IF(C808="","",MROUND([0]!CSVVLookUP(ROW(行数!A800),配列!$C$4,集計記録,7,1),"0:01"))</f>
        <v>#NAME?</v>
      </c>
      <c r="K808" s="92" t="e">
        <f ca="1">IF(C808="","",[0]!CSVVLookUP(ROW(行数!A800),配列!$C$4,集計記録,5,1))</f>
        <v>#NAME?</v>
      </c>
      <c r="L808" s="104" t="e">
        <f t="shared" ca="1" si="92"/>
        <v>#NAME?</v>
      </c>
      <c r="M808" s="120" t="e">
        <f t="shared" ca="1" si="86"/>
        <v>#NAME?</v>
      </c>
      <c r="N808" s="120" t="e">
        <f ca="1">IF([0]!CSVVLookUP(ROW(行数!A800),配列!$C$4,集計記録,6,1)=0,"",[0]!CSVVLookUP(ROW(行数!A800),配列!$C$4,集計記録,6,1))</f>
        <v>#NAME?</v>
      </c>
      <c r="O808" s="88" t="e">
        <f ca="1">IF(INDIRECT("M"&amp;ROW()-1)&lt;&gt;INDIRECT("M"&amp;ROW()),リスト!$I$5,"")</f>
        <v>#NAME?</v>
      </c>
      <c r="P808" s="88" t="e">
        <f ca="1">IF(INDIRECT("M"&amp;ROW())&lt;&gt;INDIRECT("M"&amp;ROW()+1),リスト!$I$6,"")</f>
        <v>#NAME?</v>
      </c>
    </row>
    <row r="809" spans="1:16" x14ac:dyDescent="0.2">
      <c r="A809" s="169" t="e">
        <f ca="1">IF(C809="","",ROW(行数!A801))</f>
        <v>#NAME?</v>
      </c>
      <c r="B809" s="168" t="e">
        <f t="shared" ca="1" si="87"/>
        <v>#NAME?</v>
      </c>
      <c r="C809" s="90" t="e">
        <f ca="1">[0]!CSVVLookUP(ROW(行数!A801),配列!$C$4,集計記録,3,1)</f>
        <v>#NAME?</v>
      </c>
      <c r="D809" s="90" t="e">
        <f ca="1">[0]!CSVVLookUP(ROW(行数!B801),配列!$C$4,集計記録,4,1)</f>
        <v>#NAME?</v>
      </c>
      <c r="E809" s="118" t="e">
        <f t="shared" ca="1" si="88"/>
        <v>#NAME?</v>
      </c>
      <c r="F809" s="118" t="e">
        <f t="shared" ca="1" si="89"/>
        <v>#NAME?</v>
      </c>
      <c r="G809" s="103" t="e">
        <f t="shared" ca="1" si="90"/>
        <v>#NAME?</v>
      </c>
      <c r="H809" s="104" t="e">
        <f ca="1">IF(C809="","",MROUND([0]!CSVVLookUP(ROW(行数!A801),配列!$C$4,集計記録,8,1),"0:01"))</f>
        <v>#NAME?</v>
      </c>
      <c r="I809" s="104" t="e">
        <f t="shared" ca="1" si="91"/>
        <v>#NAME?</v>
      </c>
      <c r="J809" s="119" t="e">
        <f ca="1">IF(C809="","",MROUND([0]!CSVVLookUP(ROW(行数!A801),配列!$C$4,集計記録,7,1),"0:01"))</f>
        <v>#NAME?</v>
      </c>
      <c r="K809" s="92" t="e">
        <f ca="1">IF(C809="","",[0]!CSVVLookUP(ROW(行数!A801),配列!$C$4,集計記録,5,1))</f>
        <v>#NAME?</v>
      </c>
      <c r="L809" s="104" t="e">
        <f t="shared" ca="1" si="92"/>
        <v>#NAME?</v>
      </c>
      <c r="M809" s="120" t="e">
        <f t="shared" ca="1" si="86"/>
        <v>#NAME?</v>
      </c>
      <c r="N809" s="120" t="e">
        <f ca="1">IF([0]!CSVVLookUP(ROW(行数!A801),配列!$C$4,集計記録,6,1)=0,"",[0]!CSVVLookUP(ROW(行数!A801),配列!$C$4,集計記録,6,1))</f>
        <v>#NAME?</v>
      </c>
      <c r="O809" s="88" t="e">
        <f ca="1">IF(INDIRECT("M"&amp;ROW()-1)&lt;&gt;INDIRECT("M"&amp;ROW()),リスト!$I$5,"")</f>
        <v>#NAME?</v>
      </c>
      <c r="P809" s="88" t="e">
        <f ca="1">IF(INDIRECT("M"&amp;ROW())&lt;&gt;INDIRECT("M"&amp;ROW()+1),リスト!$I$6,"")</f>
        <v>#NAME?</v>
      </c>
    </row>
    <row r="810" spans="1:16" x14ac:dyDescent="0.2">
      <c r="A810" s="169" t="e">
        <f ca="1">IF(C810="","",ROW(行数!A802))</f>
        <v>#NAME?</v>
      </c>
      <c r="B810" s="168" t="e">
        <f t="shared" ca="1" si="87"/>
        <v>#NAME?</v>
      </c>
      <c r="C810" s="90" t="e">
        <f ca="1">[0]!CSVVLookUP(ROW(行数!A802),配列!$C$4,集計記録,3,1)</f>
        <v>#NAME?</v>
      </c>
      <c r="D810" s="90" t="e">
        <f ca="1">[0]!CSVVLookUP(ROW(行数!B802),配列!$C$4,集計記録,4,1)</f>
        <v>#NAME?</v>
      </c>
      <c r="E810" s="118" t="e">
        <f t="shared" ca="1" si="88"/>
        <v>#NAME?</v>
      </c>
      <c r="F810" s="118" t="e">
        <f t="shared" ca="1" si="89"/>
        <v>#NAME?</v>
      </c>
      <c r="G810" s="103" t="e">
        <f t="shared" ca="1" si="90"/>
        <v>#NAME?</v>
      </c>
      <c r="H810" s="104" t="e">
        <f ca="1">IF(C810="","",MROUND([0]!CSVVLookUP(ROW(行数!A802),配列!$C$4,集計記録,8,1),"0:01"))</f>
        <v>#NAME?</v>
      </c>
      <c r="I810" s="104" t="e">
        <f t="shared" ca="1" si="91"/>
        <v>#NAME?</v>
      </c>
      <c r="J810" s="119" t="e">
        <f ca="1">IF(C810="","",MROUND([0]!CSVVLookUP(ROW(行数!A802),配列!$C$4,集計記録,7,1),"0:01"))</f>
        <v>#NAME?</v>
      </c>
      <c r="K810" s="92" t="e">
        <f ca="1">IF(C810="","",[0]!CSVVLookUP(ROW(行数!A802),配列!$C$4,集計記録,5,1))</f>
        <v>#NAME?</v>
      </c>
      <c r="L810" s="104" t="e">
        <f t="shared" ca="1" si="92"/>
        <v>#NAME?</v>
      </c>
      <c r="M810" s="120" t="e">
        <f t="shared" ca="1" si="86"/>
        <v>#NAME?</v>
      </c>
      <c r="N810" s="120" t="e">
        <f ca="1">IF([0]!CSVVLookUP(ROW(行数!A802),配列!$C$4,集計記録,6,1)=0,"",[0]!CSVVLookUP(ROW(行数!A802),配列!$C$4,集計記録,6,1))</f>
        <v>#NAME?</v>
      </c>
      <c r="O810" s="88" t="e">
        <f ca="1">IF(INDIRECT("M"&amp;ROW()-1)&lt;&gt;INDIRECT("M"&amp;ROW()),リスト!$I$5,"")</f>
        <v>#NAME?</v>
      </c>
      <c r="P810" s="88" t="e">
        <f ca="1">IF(INDIRECT("M"&amp;ROW())&lt;&gt;INDIRECT("M"&amp;ROW()+1),リスト!$I$6,"")</f>
        <v>#NAME?</v>
      </c>
    </row>
    <row r="811" spans="1:16" x14ac:dyDescent="0.2">
      <c r="A811" s="169" t="e">
        <f ca="1">IF(C811="","",ROW(行数!A803))</f>
        <v>#NAME?</v>
      </c>
      <c r="B811" s="168" t="e">
        <f t="shared" ca="1" si="87"/>
        <v>#NAME?</v>
      </c>
      <c r="C811" s="90" t="e">
        <f ca="1">[0]!CSVVLookUP(ROW(行数!A803),配列!$C$4,集計記録,3,1)</f>
        <v>#NAME?</v>
      </c>
      <c r="D811" s="90" t="e">
        <f ca="1">[0]!CSVVLookUP(ROW(行数!B803),配列!$C$4,集計記録,4,1)</f>
        <v>#NAME?</v>
      </c>
      <c r="E811" s="118" t="e">
        <f t="shared" ca="1" si="88"/>
        <v>#NAME?</v>
      </c>
      <c r="F811" s="118" t="e">
        <f t="shared" ca="1" si="89"/>
        <v>#NAME?</v>
      </c>
      <c r="G811" s="103" t="e">
        <f t="shared" ca="1" si="90"/>
        <v>#NAME?</v>
      </c>
      <c r="H811" s="104" t="e">
        <f ca="1">IF(C811="","",MROUND([0]!CSVVLookUP(ROW(行数!A803),配列!$C$4,集計記録,8,1),"0:01"))</f>
        <v>#NAME?</v>
      </c>
      <c r="I811" s="104" t="e">
        <f t="shared" ca="1" si="91"/>
        <v>#NAME?</v>
      </c>
      <c r="J811" s="119" t="e">
        <f ca="1">IF(C811="","",MROUND([0]!CSVVLookUP(ROW(行数!A803),配列!$C$4,集計記録,7,1),"0:01"))</f>
        <v>#NAME?</v>
      </c>
      <c r="K811" s="92" t="e">
        <f ca="1">IF(C811="","",[0]!CSVVLookUP(ROW(行数!A803),配列!$C$4,集計記録,5,1))</f>
        <v>#NAME?</v>
      </c>
      <c r="L811" s="104" t="e">
        <f t="shared" ca="1" si="92"/>
        <v>#NAME?</v>
      </c>
      <c r="M811" s="120" t="e">
        <f t="shared" ca="1" si="86"/>
        <v>#NAME?</v>
      </c>
      <c r="N811" s="120" t="e">
        <f ca="1">IF([0]!CSVVLookUP(ROW(行数!A803),配列!$C$4,集計記録,6,1)=0,"",[0]!CSVVLookUP(ROW(行数!A803),配列!$C$4,集計記録,6,1))</f>
        <v>#NAME?</v>
      </c>
      <c r="O811" s="88" t="e">
        <f ca="1">IF(INDIRECT("M"&amp;ROW()-1)&lt;&gt;INDIRECT("M"&amp;ROW()),リスト!$I$5,"")</f>
        <v>#NAME?</v>
      </c>
      <c r="P811" s="88" t="e">
        <f ca="1">IF(INDIRECT("M"&amp;ROW())&lt;&gt;INDIRECT("M"&amp;ROW()+1),リスト!$I$6,"")</f>
        <v>#NAME?</v>
      </c>
    </row>
    <row r="812" spans="1:16" x14ac:dyDescent="0.2">
      <c r="A812" s="169" t="e">
        <f ca="1">IF(C812="","",ROW(行数!A804))</f>
        <v>#NAME?</v>
      </c>
      <c r="B812" s="168" t="e">
        <f t="shared" ca="1" si="87"/>
        <v>#NAME?</v>
      </c>
      <c r="C812" s="90" t="e">
        <f ca="1">[0]!CSVVLookUP(ROW(行数!A804),配列!$C$4,集計記録,3,1)</f>
        <v>#NAME?</v>
      </c>
      <c r="D812" s="90" t="e">
        <f ca="1">[0]!CSVVLookUP(ROW(行数!B804),配列!$C$4,集計記録,4,1)</f>
        <v>#NAME?</v>
      </c>
      <c r="E812" s="118" t="e">
        <f t="shared" ca="1" si="88"/>
        <v>#NAME?</v>
      </c>
      <c r="F812" s="118" t="e">
        <f t="shared" ca="1" si="89"/>
        <v>#NAME?</v>
      </c>
      <c r="G812" s="103" t="e">
        <f t="shared" ca="1" si="90"/>
        <v>#NAME?</v>
      </c>
      <c r="H812" s="104" t="e">
        <f ca="1">IF(C812="","",MROUND([0]!CSVVLookUP(ROW(行数!A804),配列!$C$4,集計記録,8,1),"0:01"))</f>
        <v>#NAME?</v>
      </c>
      <c r="I812" s="104" t="e">
        <f t="shared" ca="1" si="91"/>
        <v>#NAME?</v>
      </c>
      <c r="J812" s="119" t="e">
        <f ca="1">IF(C812="","",MROUND([0]!CSVVLookUP(ROW(行数!A804),配列!$C$4,集計記録,7,1),"0:01"))</f>
        <v>#NAME?</v>
      </c>
      <c r="K812" s="92" t="e">
        <f ca="1">IF(C812="","",[0]!CSVVLookUP(ROW(行数!A804),配列!$C$4,集計記録,5,1))</f>
        <v>#NAME?</v>
      </c>
      <c r="L812" s="104" t="e">
        <f t="shared" ca="1" si="92"/>
        <v>#NAME?</v>
      </c>
      <c r="M812" s="120" t="e">
        <f t="shared" ca="1" si="86"/>
        <v>#NAME?</v>
      </c>
      <c r="N812" s="120" t="e">
        <f ca="1">IF([0]!CSVVLookUP(ROW(行数!A804),配列!$C$4,集計記録,6,1)=0,"",[0]!CSVVLookUP(ROW(行数!A804),配列!$C$4,集計記録,6,1))</f>
        <v>#NAME?</v>
      </c>
      <c r="O812" s="88" t="e">
        <f ca="1">IF(INDIRECT("M"&amp;ROW()-1)&lt;&gt;INDIRECT("M"&amp;ROW()),リスト!$I$5,"")</f>
        <v>#NAME?</v>
      </c>
      <c r="P812" s="88" t="e">
        <f ca="1">IF(INDIRECT("M"&amp;ROW())&lt;&gt;INDIRECT("M"&amp;ROW()+1),リスト!$I$6,"")</f>
        <v>#NAME?</v>
      </c>
    </row>
    <row r="813" spans="1:16" x14ac:dyDescent="0.2">
      <c r="A813" s="169" t="e">
        <f ca="1">IF(C813="","",ROW(行数!A805))</f>
        <v>#NAME?</v>
      </c>
      <c r="B813" s="168" t="e">
        <f t="shared" ca="1" si="87"/>
        <v>#NAME?</v>
      </c>
      <c r="C813" s="90" t="e">
        <f ca="1">[0]!CSVVLookUP(ROW(行数!A805),配列!$C$4,集計記録,3,1)</f>
        <v>#NAME?</v>
      </c>
      <c r="D813" s="90" t="e">
        <f ca="1">[0]!CSVVLookUP(ROW(行数!B805),配列!$C$4,集計記録,4,1)</f>
        <v>#NAME?</v>
      </c>
      <c r="E813" s="118" t="e">
        <f t="shared" ca="1" si="88"/>
        <v>#NAME?</v>
      </c>
      <c r="F813" s="118" t="e">
        <f t="shared" ca="1" si="89"/>
        <v>#NAME?</v>
      </c>
      <c r="G813" s="103" t="e">
        <f t="shared" ca="1" si="90"/>
        <v>#NAME?</v>
      </c>
      <c r="H813" s="104" t="e">
        <f ca="1">IF(C813="","",MROUND([0]!CSVVLookUP(ROW(行数!A805),配列!$C$4,集計記録,8,1),"0:01"))</f>
        <v>#NAME?</v>
      </c>
      <c r="I813" s="104" t="e">
        <f t="shared" ca="1" si="91"/>
        <v>#NAME?</v>
      </c>
      <c r="J813" s="119" t="e">
        <f ca="1">IF(C813="","",MROUND([0]!CSVVLookUP(ROW(行数!A805),配列!$C$4,集計記録,7,1),"0:01"))</f>
        <v>#NAME?</v>
      </c>
      <c r="K813" s="92" t="e">
        <f ca="1">IF(C813="","",[0]!CSVVLookUP(ROW(行数!A805),配列!$C$4,集計記録,5,1))</f>
        <v>#NAME?</v>
      </c>
      <c r="L813" s="104" t="e">
        <f t="shared" ca="1" si="92"/>
        <v>#NAME?</v>
      </c>
      <c r="M813" s="120" t="e">
        <f t="shared" ca="1" si="86"/>
        <v>#NAME?</v>
      </c>
      <c r="N813" s="120" t="e">
        <f ca="1">IF([0]!CSVVLookUP(ROW(行数!A805),配列!$C$4,集計記録,6,1)=0,"",[0]!CSVVLookUP(ROW(行数!A805),配列!$C$4,集計記録,6,1))</f>
        <v>#NAME?</v>
      </c>
      <c r="O813" s="88" t="e">
        <f ca="1">IF(INDIRECT("M"&amp;ROW()-1)&lt;&gt;INDIRECT("M"&amp;ROW()),リスト!$I$5,"")</f>
        <v>#NAME?</v>
      </c>
      <c r="P813" s="88" t="e">
        <f ca="1">IF(INDIRECT("M"&amp;ROW())&lt;&gt;INDIRECT("M"&amp;ROW()+1),リスト!$I$6,"")</f>
        <v>#NAME?</v>
      </c>
    </row>
    <row r="814" spans="1:16" x14ac:dyDescent="0.2">
      <c r="A814" s="169" t="e">
        <f ca="1">IF(C814="","",ROW(行数!A806))</f>
        <v>#NAME?</v>
      </c>
      <c r="B814" s="168" t="e">
        <f t="shared" ca="1" si="87"/>
        <v>#NAME?</v>
      </c>
      <c r="C814" s="90" t="e">
        <f ca="1">[0]!CSVVLookUP(ROW(行数!A806),配列!$C$4,集計記録,3,1)</f>
        <v>#NAME?</v>
      </c>
      <c r="D814" s="90" t="e">
        <f ca="1">[0]!CSVVLookUP(ROW(行数!B806),配列!$C$4,集計記録,4,1)</f>
        <v>#NAME?</v>
      </c>
      <c r="E814" s="118" t="e">
        <f t="shared" ca="1" si="88"/>
        <v>#NAME?</v>
      </c>
      <c r="F814" s="118" t="e">
        <f t="shared" ca="1" si="89"/>
        <v>#NAME?</v>
      </c>
      <c r="G814" s="103" t="e">
        <f t="shared" ca="1" si="90"/>
        <v>#NAME?</v>
      </c>
      <c r="H814" s="104" t="e">
        <f ca="1">IF(C814="","",MROUND([0]!CSVVLookUP(ROW(行数!A806),配列!$C$4,集計記録,8,1),"0:01"))</f>
        <v>#NAME?</v>
      </c>
      <c r="I814" s="104" t="e">
        <f t="shared" ca="1" si="91"/>
        <v>#NAME?</v>
      </c>
      <c r="J814" s="119" t="e">
        <f ca="1">IF(C814="","",MROUND([0]!CSVVLookUP(ROW(行数!A806),配列!$C$4,集計記録,7,1),"0:01"))</f>
        <v>#NAME?</v>
      </c>
      <c r="K814" s="92" t="e">
        <f ca="1">IF(C814="","",[0]!CSVVLookUP(ROW(行数!A806),配列!$C$4,集計記録,5,1))</f>
        <v>#NAME?</v>
      </c>
      <c r="L814" s="104" t="e">
        <f t="shared" ca="1" si="92"/>
        <v>#NAME?</v>
      </c>
      <c r="M814" s="120" t="e">
        <f t="shared" ca="1" si="86"/>
        <v>#NAME?</v>
      </c>
      <c r="N814" s="120" t="e">
        <f ca="1">IF([0]!CSVVLookUP(ROW(行数!A806),配列!$C$4,集計記録,6,1)=0,"",[0]!CSVVLookUP(ROW(行数!A806),配列!$C$4,集計記録,6,1))</f>
        <v>#NAME?</v>
      </c>
      <c r="O814" s="88" t="e">
        <f ca="1">IF(INDIRECT("M"&amp;ROW()-1)&lt;&gt;INDIRECT("M"&amp;ROW()),リスト!$I$5,"")</f>
        <v>#NAME?</v>
      </c>
      <c r="P814" s="88" t="e">
        <f ca="1">IF(INDIRECT("M"&amp;ROW())&lt;&gt;INDIRECT("M"&amp;ROW()+1),リスト!$I$6,"")</f>
        <v>#NAME?</v>
      </c>
    </row>
    <row r="815" spans="1:16" x14ac:dyDescent="0.2">
      <c r="A815" s="169" t="e">
        <f ca="1">IF(C815="","",ROW(行数!A807))</f>
        <v>#NAME?</v>
      </c>
      <c r="B815" s="168" t="e">
        <f t="shared" ca="1" si="87"/>
        <v>#NAME?</v>
      </c>
      <c r="C815" s="90" t="e">
        <f ca="1">[0]!CSVVLookUP(ROW(行数!A807),配列!$C$4,集計記録,3,1)</f>
        <v>#NAME?</v>
      </c>
      <c r="D815" s="90" t="e">
        <f ca="1">[0]!CSVVLookUP(ROW(行数!B807),配列!$C$4,集計記録,4,1)</f>
        <v>#NAME?</v>
      </c>
      <c r="E815" s="118" t="e">
        <f t="shared" ca="1" si="88"/>
        <v>#NAME?</v>
      </c>
      <c r="F815" s="118" t="e">
        <f t="shared" ca="1" si="89"/>
        <v>#NAME?</v>
      </c>
      <c r="G815" s="103" t="e">
        <f t="shared" ca="1" si="90"/>
        <v>#NAME?</v>
      </c>
      <c r="H815" s="104" t="e">
        <f ca="1">IF(C815="","",MROUND([0]!CSVVLookUP(ROW(行数!A807),配列!$C$4,集計記録,8,1),"0:01"))</f>
        <v>#NAME?</v>
      </c>
      <c r="I815" s="104" t="e">
        <f t="shared" ca="1" si="91"/>
        <v>#NAME?</v>
      </c>
      <c r="J815" s="119" t="e">
        <f ca="1">IF(C815="","",MROUND([0]!CSVVLookUP(ROW(行数!A807),配列!$C$4,集計記録,7,1),"0:01"))</f>
        <v>#NAME?</v>
      </c>
      <c r="K815" s="92" t="e">
        <f ca="1">IF(C815="","",[0]!CSVVLookUP(ROW(行数!A807),配列!$C$4,集計記録,5,1))</f>
        <v>#NAME?</v>
      </c>
      <c r="L815" s="104" t="e">
        <f t="shared" ca="1" si="92"/>
        <v>#NAME?</v>
      </c>
      <c r="M815" s="120" t="e">
        <f t="shared" ca="1" si="86"/>
        <v>#NAME?</v>
      </c>
      <c r="N815" s="120" t="e">
        <f ca="1">IF([0]!CSVVLookUP(ROW(行数!A807),配列!$C$4,集計記録,6,1)=0,"",[0]!CSVVLookUP(ROW(行数!A807),配列!$C$4,集計記録,6,1))</f>
        <v>#NAME?</v>
      </c>
      <c r="O815" s="88" t="e">
        <f ca="1">IF(INDIRECT("M"&amp;ROW()-1)&lt;&gt;INDIRECT("M"&amp;ROW()),リスト!$I$5,"")</f>
        <v>#NAME?</v>
      </c>
      <c r="P815" s="88" t="e">
        <f ca="1">IF(INDIRECT("M"&amp;ROW())&lt;&gt;INDIRECT("M"&amp;ROW()+1),リスト!$I$6,"")</f>
        <v>#NAME?</v>
      </c>
    </row>
    <row r="816" spans="1:16" x14ac:dyDescent="0.2">
      <c r="A816" s="169" t="e">
        <f ca="1">IF(C816="","",ROW(行数!A808))</f>
        <v>#NAME?</v>
      </c>
      <c r="B816" s="168" t="e">
        <f t="shared" ca="1" si="87"/>
        <v>#NAME?</v>
      </c>
      <c r="C816" s="90" t="e">
        <f ca="1">[0]!CSVVLookUP(ROW(行数!A808),配列!$C$4,集計記録,3,1)</f>
        <v>#NAME?</v>
      </c>
      <c r="D816" s="90" t="e">
        <f ca="1">[0]!CSVVLookUP(ROW(行数!B808),配列!$C$4,集計記録,4,1)</f>
        <v>#NAME?</v>
      </c>
      <c r="E816" s="118" t="e">
        <f t="shared" ca="1" si="88"/>
        <v>#NAME?</v>
      </c>
      <c r="F816" s="118" t="e">
        <f t="shared" ca="1" si="89"/>
        <v>#NAME?</v>
      </c>
      <c r="G816" s="103" t="e">
        <f t="shared" ca="1" si="90"/>
        <v>#NAME?</v>
      </c>
      <c r="H816" s="104" t="e">
        <f ca="1">IF(C816="","",MROUND([0]!CSVVLookUP(ROW(行数!A808),配列!$C$4,集計記録,8,1),"0:01"))</f>
        <v>#NAME?</v>
      </c>
      <c r="I816" s="104" t="e">
        <f t="shared" ca="1" si="91"/>
        <v>#NAME?</v>
      </c>
      <c r="J816" s="119" t="e">
        <f ca="1">IF(C816="","",MROUND([0]!CSVVLookUP(ROW(行数!A808),配列!$C$4,集計記録,7,1),"0:01"))</f>
        <v>#NAME?</v>
      </c>
      <c r="K816" s="92" t="e">
        <f ca="1">IF(C816="","",[0]!CSVVLookUP(ROW(行数!A808),配列!$C$4,集計記録,5,1))</f>
        <v>#NAME?</v>
      </c>
      <c r="L816" s="104" t="e">
        <f t="shared" ca="1" si="92"/>
        <v>#NAME?</v>
      </c>
      <c r="M816" s="120" t="e">
        <f t="shared" ca="1" si="86"/>
        <v>#NAME?</v>
      </c>
      <c r="N816" s="120" t="e">
        <f ca="1">IF([0]!CSVVLookUP(ROW(行数!A808),配列!$C$4,集計記録,6,1)=0,"",[0]!CSVVLookUP(ROW(行数!A808),配列!$C$4,集計記録,6,1))</f>
        <v>#NAME?</v>
      </c>
      <c r="O816" s="88" t="e">
        <f ca="1">IF(INDIRECT("M"&amp;ROW()-1)&lt;&gt;INDIRECT("M"&amp;ROW()),リスト!$I$5,"")</f>
        <v>#NAME?</v>
      </c>
      <c r="P816" s="88" t="e">
        <f ca="1">IF(INDIRECT("M"&amp;ROW())&lt;&gt;INDIRECT("M"&amp;ROW()+1),リスト!$I$6,"")</f>
        <v>#NAME?</v>
      </c>
    </row>
    <row r="817" spans="1:16" x14ac:dyDescent="0.2">
      <c r="A817" s="169" t="e">
        <f ca="1">IF(C817="","",ROW(行数!A809))</f>
        <v>#NAME?</v>
      </c>
      <c r="B817" s="168" t="e">
        <f t="shared" ca="1" si="87"/>
        <v>#NAME?</v>
      </c>
      <c r="C817" s="90" t="e">
        <f ca="1">[0]!CSVVLookUP(ROW(行数!A809),配列!$C$4,集計記録,3,1)</f>
        <v>#NAME?</v>
      </c>
      <c r="D817" s="90" t="e">
        <f ca="1">[0]!CSVVLookUP(ROW(行数!B809),配列!$C$4,集計記録,4,1)</f>
        <v>#NAME?</v>
      </c>
      <c r="E817" s="118" t="e">
        <f t="shared" ca="1" si="88"/>
        <v>#NAME?</v>
      </c>
      <c r="F817" s="118" t="e">
        <f t="shared" ca="1" si="89"/>
        <v>#NAME?</v>
      </c>
      <c r="G817" s="103" t="e">
        <f t="shared" ca="1" si="90"/>
        <v>#NAME?</v>
      </c>
      <c r="H817" s="104" t="e">
        <f ca="1">IF(C817="","",MROUND([0]!CSVVLookUP(ROW(行数!A809),配列!$C$4,集計記録,8,1),"0:01"))</f>
        <v>#NAME?</v>
      </c>
      <c r="I817" s="104" t="e">
        <f t="shared" ca="1" si="91"/>
        <v>#NAME?</v>
      </c>
      <c r="J817" s="119" t="e">
        <f ca="1">IF(C817="","",MROUND([0]!CSVVLookUP(ROW(行数!A809),配列!$C$4,集計記録,7,1),"0:01"))</f>
        <v>#NAME?</v>
      </c>
      <c r="K817" s="92" t="e">
        <f ca="1">IF(C817="","",[0]!CSVVLookUP(ROW(行数!A809),配列!$C$4,集計記録,5,1))</f>
        <v>#NAME?</v>
      </c>
      <c r="L817" s="104" t="e">
        <f t="shared" ca="1" si="92"/>
        <v>#NAME?</v>
      </c>
      <c r="M817" s="120" t="e">
        <f t="shared" ca="1" si="86"/>
        <v>#NAME?</v>
      </c>
      <c r="N817" s="120" t="e">
        <f ca="1">IF([0]!CSVVLookUP(ROW(行数!A809),配列!$C$4,集計記録,6,1)=0,"",[0]!CSVVLookUP(ROW(行数!A809),配列!$C$4,集計記録,6,1))</f>
        <v>#NAME?</v>
      </c>
      <c r="O817" s="88" t="e">
        <f ca="1">IF(INDIRECT("M"&amp;ROW()-1)&lt;&gt;INDIRECT("M"&amp;ROW()),リスト!$I$5,"")</f>
        <v>#NAME?</v>
      </c>
      <c r="P817" s="88" t="e">
        <f ca="1">IF(INDIRECT("M"&amp;ROW())&lt;&gt;INDIRECT("M"&amp;ROW()+1),リスト!$I$6,"")</f>
        <v>#NAME?</v>
      </c>
    </row>
    <row r="818" spans="1:16" x14ac:dyDescent="0.2">
      <c r="A818" s="169" t="e">
        <f ca="1">IF(C818="","",ROW(行数!A810))</f>
        <v>#NAME?</v>
      </c>
      <c r="B818" s="168" t="e">
        <f t="shared" ca="1" si="87"/>
        <v>#NAME?</v>
      </c>
      <c r="C818" s="90" t="e">
        <f ca="1">[0]!CSVVLookUP(ROW(行数!A810),配列!$C$4,集計記録,3,1)</f>
        <v>#NAME?</v>
      </c>
      <c r="D818" s="90" t="e">
        <f ca="1">[0]!CSVVLookUP(ROW(行数!B810),配列!$C$4,集計記録,4,1)</f>
        <v>#NAME?</v>
      </c>
      <c r="E818" s="118" t="e">
        <f t="shared" ca="1" si="88"/>
        <v>#NAME?</v>
      </c>
      <c r="F818" s="118" t="e">
        <f t="shared" ca="1" si="89"/>
        <v>#NAME?</v>
      </c>
      <c r="G818" s="103" t="e">
        <f t="shared" ca="1" si="90"/>
        <v>#NAME?</v>
      </c>
      <c r="H818" s="104" t="e">
        <f ca="1">IF(C818="","",MROUND([0]!CSVVLookUP(ROW(行数!A810),配列!$C$4,集計記録,8,1),"0:01"))</f>
        <v>#NAME?</v>
      </c>
      <c r="I818" s="104" t="e">
        <f t="shared" ca="1" si="91"/>
        <v>#NAME?</v>
      </c>
      <c r="J818" s="119" t="e">
        <f ca="1">IF(C818="","",MROUND([0]!CSVVLookUP(ROW(行数!A810),配列!$C$4,集計記録,7,1),"0:01"))</f>
        <v>#NAME?</v>
      </c>
      <c r="K818" s="92" t="e">
        <f ca="1">IF(C818="","",[0]!CSVVLookUP(ROW(行数!A810),配列!$C$4,集計記録,5,1))</f>
        <v>#NAME?</v>
      </c>
      <c r="L818" s="104" t="e">
        <f t="shared" ca="1" si="92"/>
        <v>#NAME?</v>
      </c>
      <c r="M818" s="120" t="e">
        <f t="shared" ca="1" si="86"/>
        <v>#NAME?</v>
      </c>
      <c r="N818" s="120" t="e">
        <f ca="1">IF([0]!CSVVLookUP(ROW(行数!A810),配列!$C$4,集計記録,6,1)=0,"",[0]!CSVVLookUP(ROW(行数!A810),配列!$C$4,集計記録,6,1))</f>
        <v>#NAME?</v>
      </c>
      <c r="O818" s="88" t="e">
        <f ca="1">IF(INDIRECT("M"&amp;ROW()-1)&lt;&gt;INDIRECT("M"&amp;ROW()),リスト!$I$5,"")</f>
        <v>#NAME?</v>
      </c>
      <c r="P818" s="88" t="e">
        <f ca="1">IF(INDIRECT("M"&amp;ROW())&lt;&gt;INDIRECT("M"&amp;ROW()+1),リスト!$I$6,"")</f>
        <v>#NAME?</v>
      </c>
    </row>
    <row r="819" spans="1:16" x14ac:dyDescent="0.2">
      <c r="A819" s="169" t="e">
        <f ca="1">IF(C819="","",ROW(行数!A811))</f>
        <v>#NAME?</v>
      </c>
      <c r="B819" s="168" t="e">
        <f t="shared" ca="1" si="87"/>
        <v>#NAME?</v>
      </c>
      <c r="C819" s="90" t="e">
        <f ca="1">[0]!CSVVLookUP(ROW(行数!A811),配列!$C$4,集計記録,3,1)</f>
        <v>#NAME?</v>
      </c>
      <c r="D819" s="90" t="e">
        <f ca="1">[0]!CSVVLookUP(ROW(行数!B811),配列!$C$4,集計記録,4,1)</f>
        <v>#NAME?</v>
      </c>
      <c r="E819" s="118" t="e">
        <f t="shared" ca="1" si="88"/>
        <v>#NAME?</v>
      </c>
      <c r="F819" s="118" t="e">
        <f t="shared" ca="1" si="89"/>
        <v>#NAME?</v>
      </c>
      <c r="G819" s="103" t="e">
        <f t="shared" ca="1" si="90"/>
        <v>#NAME?</v>
      </c>
      <c r="H819" s="104" t="e">
        <f ca="1">IF(C819="","",MROUND([0]!CSVVLookUP(ROW(行数!A811),配列!$C$4,集計記録,8,1),"0:01"))</f>
        <v>#NAME?</v>
      </c>
      <c r="I819" s="104" t="e">
        <f t="shared" ca="1" si="91"/>
        <v>#NAME?</v>
      </c>
      <c r="J819" s="119" t="e">
        <f ca="1">IF(C819="","",MROUND([0]!CSVVLookUP(ROW(行数!A811),配列!$C$4,集計記録,7,1),"0:01"))</f>
        <v>#NAME?</v>
      </c>
      <c r="K819" s="92" t="e">
        <f ca="1">IF(C819="","",[0]!CSVVLookUP(ROW(行数!A811),配列!$C$4,集計記録,5,1))</f>
        <v>#NAME?</v>
      </c>
      <c r="L819" s="104" t="e">
        <f t="shared" ca="1" si="92"/>
        <v>#NAME?</v>
      </c>
      <c r="M819" s="120" t="e">
        <f t="shared" ca="1" si="86"/>
        <v>#NAME?</v>
      </c>
      <c r="N819" s="120" t="e">
        <f ca="1">IF([0]!CSVVLookUP(ROW(行数!A811),配列!$C$4,集計記録,6,1)=0,"",[0]!CSVVLookUP(ROW(行数!A811),配列!$C$4,集計記録,6,1))</f>
        <v>#NAME?</v>
      </c>
      <c r="O819" s="88" t="e">
        <f ca="1">IF(INDIRECT("M"&amp;ROW()-1)&lt;&gt;INDIRECT("M"&amp;ROW()),リスト!$I$5,"")</f>
        <v>#NAME?</v>
      </c>
      <c r="P819" s="88" t="e">
        <f ca="1">IF(INDIRECT("M"&amp;ROW())&lt;&gt;INDIRECT("M"&amp;ROW()+1),リスト!$I$6,"")</f>
        <v>#NAME?</v>
      </c>
    </row>
    <row r="820" spans="1:16" x14ac:dyDescent="0.2">
      <c r="A820" s="169" t="e">
        <f ca="1">IF(C820="","",ROW(行数!A812))</f>
        <v>#NAME?</v>
      </c>
      <c r="B820" s="168" t="e">
        <f t="shared" ca="1" si="87"/>
        <v>#NAME?</v>
      </c>
      <c r="C820" s="90" t="e">
        <f ca="1">[0]!CSVVLookUP(ROW(行数!A812),配列!$C$4,集計記録,3,1)</f>
        <v>#NAME?</v>
      </c>
      <c r="D820" s="90" t="e">
        <f ca="1">[0]!CSVVLookUP(ROW(行数!B812),配列!$C$4,集計記録,4,1)</f>
        <v>#NAME?</v>
      </c>
      <c r="E820" s="118" t="e">
        <f t="shared" ca="1" si="88"/>
        <v>#NAME?</v>
      </c>
      <c r="F820" s="118" t="e">
        <f t="shared" ca="1" si="89"/>
        <v>#NAME?</v>
      </c>
      <c r="G820" s="103" t="e">
        <f t="shared" ca="1" si="90"/>
        <v>#NAME?</v>
      </c>
      <c r="H820" s="104" t="e">
        <f ca="1">IF(C820="","",MROUND([0]!CSVVLookUP(ROW(行数!A812),配列!$C$4,集計記録,8,1),"0:01"))</f>
        <v>#NAME?</v>
      </c>
      <c r="I820" s="104" t="e">
        <f t="shared" ca="1" si="91"/>
        <v>#NAME?</v>
      </c>
      <c r="J820" s="119" t="e">
        <f ca="1">IF(C820="","",MROUND([0]!CSVVLookUP(ROW(行数!A812),配列!$C$4,集計記録,7,1),"0:01"))</f>
        <v>#NAME?</v>
      </c>
      <c r="K820" s="92" t="e">
        <f ca="1">IF(C820="","",[0]!CSVVLookUP(ROW(行数!A812),配列!$C$4,集計記録,5,1))</f>
        <v>#NAME?</v>
      </c>
      <c r="L820" s="104" t="e">
        <f t="shared" ca="1" si="92"/>
        <v>#NAME?</v>
      </c>
      <c r="M820" s="120" t="e">
        <f t="shared" ca="1" si="86"/>
        <v>#NAME?</v>
      </c>
      <c r="N820" s="120" t="e">
        <f ca="1">IF([0]!CSVVLookUP(ROW(行数!A812),配列!$C$4,集計記録,6,1)=0,"",[0]!CSVVLookUP(ROW(行数!A812),配列!$C$4,集計記録,6,1))</f>
        <v>#NAME?</v>
      </c>
      <c r="O820" s="88" t="e">
        <f ca="1">IF(INDIRECT("M"&amp;ROW()-1)&lt;&gt;INDIRECT("M"&amp;ROW()),リスト!$I$5,"")</f>
        <v>#NAME?</v>
      </c>
      <c r="P820" s="88" t="e">
        <f ca="1">IF(INDIRECT("M"&amp;ROW())&lt;&gt;INDIRECT("M"&amp;ROW()+1),リスト!$I$6,"")</f>
        <v>#NAME?</v>
      </c>
    </row>
    <row r="821" spans="1:16" x14ac:dyDescent="0.2">
      <c r="A821" s="169" t="e">
        <f ca="1">IF(C821="","",ROW(行数!A813))</f>
        <v>#NAME?</v>
      </c>
      <c r="B821" s="168" t="e">
        <f t="shared" ca="1" si="87"/>
        <v>#NAME?</v>
      </c>
      <c r="C821" s="90" t="e">
        <f ca="1">[0]!CSVVLookUP(ROW(行数!A813),配列!$C$4,集計記録,3,1)</f>
        <v>#NAME?</v>
      </c>
      <c r="D821" s="90" t="e">
        <f ca="1">[0]!CSVVLookUP(ROW(行数!B813),配列!$C$4,集計記録,4,1)</f>
        <v>#NAME?</v>
      </c>
      <c r="E821" s="118" t="e">
        <f t="shared" ca="1" si="88"/>
        <v>#NAME?</v>
      </c>
      <c r="F821" s="118" t="e">
        <f t="shared" ca="1" si="89"/>
        <v>#NAME?</v>
      </c>
      <c r="G821" s="103" t="e">
        <f t="shared" ca="1" si="90"/>
        <v>#NAME?</v>
      </c>
      <c r="H821" s="104" t="e">
        <f ca="1">IF(C821="","",MROUND([0]!CSVVLookUP(ROW(行数!A813),配列!$C$4,集計記録,8,1),"0:01"))</f>
        <v>#NAME?</v>
      </c>
      <c r="I821" s="104" t="e">
        <f t="shared" ca="1" si="91"/>
        <v>#NAME?</v>
      </c>
      <c r="J821" s="119" t="e">
        <f ca="1">IF(C821="","",MROUND([0]!CSVVLookUP(ROW(行数!A813),配列!$C$4,集計記録,7,1),"0:01"))</f>
        <v>#NAME?</v>
      </c>
      <c r="K821" s="92" t="e">
        <f ca="1">IF(C821="","",[0]!CSVVLookUP(ROW(行数!A813),配列!$C$4,集計記録,5,1))</f>
        <v>#NAME?</v>
      </c>
      <c r="L821" s="104" t="e">
        <f t="shared" ca="1" si="92"/>
        <v>#NAME?</v>
      </c>
      <c r="M821" s="120" t="e">
        <f t="shared" ca="1" si="86"/>
        <v>#NAME?</v>
      </c>
      <c r="N821" s="120" t="e">
        <f ca="1">IF([0]!CSVVLookUP(ROW(行数!A813),配列!$C$4,集計記録,6,1)=0,"",[0]!CSVVLookUP(ROW(行数!A813),配列!$C$4,集計記録,6,1))</f>
        <v>#NAME?</v>
      </c>
      <c r="O821" s="88" t="e">
        <f ca="1">IF(INDIRECT("M"&amp;ROW()-1)&lt;&gt;INDIRECT("M"&amp;ROW()),リスト!$I$5,"")</f>
        <v>#NAME?</v>
      </c>
      <c r="P821" s="88" t="e">
        <f ca="1">IF(INDIRECT("M"&amp;ROW())&lt;&gt;INDIRECT("M"&amp;ROW()+1),リスト!$I$6,"")</f>
        <v>#NAME?</v>
      </c>
    </row>
    <row r="822" spans="1:16" x14ac:dyDescent="0.2">
      <c r="A822" s="169" t="e">
        <f ca="1">IF(C822="","",ROW(行数!A814))</f>
        <v>#NAME?</v>
      </c>
      <c r="B822" s="168" t="e">
        <f t="shared" ca="1" si="87"/>
        <v>#NAME?</v>
      </c>
      <c r="C822" s="90" t="e">
        <f ca="1">[0]!CSVVLookUP(ROW(行数!A814),配列!$C$4,集計記録,3,1)</f>
        <v>#NAME?</v>
      </c>
      <c r="D822" s="90" t="e">
        <f ca="1">[0]!CSVVLookUP(ROW(行数!B814),配列!$C$4,集計記録,4,1)</f>
        <v>#NAME?</v>
      </c>
      <c r="E822" s="118" t="e">
        <f t="shared" ca="1" si="88"/>
        <v>#NAME?</v>
      </c>
      <c r="F822" s="118" t="e">
        <f t="shared" ca="1" si="89"/>
        <v>#NAME?</v>
      </c>
      <c r="G822" s="103" t="e">
        <f t="shared" ca="1" si="90"/>
        <v>#NAME?</v>
      </c>
      <c r="H822" s="104" t="e">
        <f ca="1">IF(C822="","",MROUND([0]!CSVVLookUP(ROW(行数!A814),配列!$C$4,集計記録,8,1),"0:01"))</f>
        <v>#NAME?</v>
      </c>
      <c r="I822" s="104" t="e">
        <f t="shared" ca="1" si="91"/>
        <v>#NAME?</v>
      </c>
      <c r="J822" s="119" t="e">
        <f ca="1">IF(C822="","",MROUND([0]!CSVVLookUP(ROW(行数!A814),配列!$C$4,集計記録,7,1),"0:01"))</f>
        <v>#NAME?</v>
      </c>
      <c r="K822" s="92" t="e">
        <f ca="1">IF(C822="","",[0]!CSVVLookUP(ROW(行数!A814),配列!$C$4,集計記録,5,1))</f>
        <v>#NAME?</v>
      </c>
      <c r="L822" s="104" t="e">
        <f t="shared" ca="1" si="92"/>
        <v>#NAME?</v>
      </c>
      <c r="M822" s="120" t="e">
        <f t="shared" ca="1" si="86"/>
        <v>#NAME?</v>
      </c>
      <c r="N822" s="120" t="e">
        <f ca="1">IF([0]!CSVVLookUP(ROW(行数!A814),配列!$C$4,集計記録,6,1)=0,"",[0]!CSVVLookUP(ROW(行数!A814),配列!$C$4,集計記録,6,1))</f>
        <v>#NAME?</v>
      </c>
      <c r="O822" s="88" t="e">
        <f ca="1">IF(INDIRECT("M"&amp;ROW()-1)&lt;&gt;INDIRECT("M"&amp;ROW()),リスト!$I$5,"")</f>
        <v>#NAME?</v>
      </c>
      <c r="P822" s="88" t="e">
        <f ca="1">IF(INDIRECT("M"&amp;ROW())&lt;&gt;INDIRECT("M"&amp;ROW()+1),リスト!$I$6,"")</f>
        <v>#NAME?</v>
      </c>
    </row>
    <row r="823" spans="1:16" x14ac:dyDescent="0.2">
      <c r="A823" s="169" t="e">
        <f ca="1">IF(C823="","",ROW(行数!A815))</f>
        <v>#NAME?</v>
      </c>
      <c r="B823" s="168" t="e">
        <f t="shared" ca="1" si="87"/>
        <v>#NAME?</v>
      </c>
      <c r="C823" s="90" t="e">
        <f ca="1">[0]!CSVVLookUP(ROW(行数!A815),配列!$C$4,集計記録,3,1)</f>
        <v>#NAME?</v>
      </c>
      <c r="D823" s="90" t="e">
        <f ca="1">[0]!CSVVLookUP(ROW(行数!B815),配列!$C$4,集計記録,4,1)</f>
        <v>#NAME?</v>
      </c>
      <c r="E823" s="118" t="e">
        <f t="shared" ca="1" si="88"/>
        <v>#NAME?</v>
      </c>
      <c r="F823" s="118" t="e">
        <f t="shared" ca="1" si="89"/>
        <v>#NAME?</v>
      </c>
      <c r="G823" s="103" t="e">
        <f t="shared" ca="1" si="90"/>
        <v>#NAME?</v>
      </c>
      <c r="H823" s="104" t="e">
        <f ca="1">IF(C823="","",MROUND([0]!CSVVLookUP(ROW(行数!A815),配列!$C$4,集計記録,8,1),"0:01"))</f>
        <v>#NAME?</v>
      </c>
      <c r="I823" s="104" t="e">
        <f t="shared" ca="1" si="91"/>
        <v>#NAME?</v>
      </c>
      <c r="J823" s="119" t="e">
        <f ca="1">IF(C823="","",MROUND([0]!CSVVLookUP(ROW(行数!A815),配列!$C$4,集計記録,7,1),"0:01"))</f>
        <v>#NAME?</v>
      </c>
      <c r="K823" s="92" t="e">
        <f ca="1">IF(C823="","",[0]!CSVVLookUP(ROW(行数!A815),配列!$C$4,集計記録,5,1))</f>
        <v>#NAME?</v>
      </c>
      <c r="L823" s="104" t="e">
        <f t="shared" ca="1" si="92"/>
        <v>#NAME?</v>
      </c>
      <c r="M823" s="120" t="e">
        <f t="shared" ca="1" si="86"/>
        <v>#NAME?</v>
      </c>
      <c r="N823" s="120" t="e">
        <f ca="1">IF([0]!CSVVLookUP(ROW(行数!A815),配列!$C$4,集計記録,6,1)=0,"",[0]!CSVVLookUP(ROW(行数!A815),配列!$C$4,集計記録,6,1))</f>
        <v>#NAME?</v>
      </c>
      <c r="O823" s="88" t="e">
        <f ca="1">IF(INDIRECT("M"&amp;ROW()-1)&lt;&gt;INDIRECT("M"&amp;ROW()),リスト!$I$5,"")</f>
        <v>#NAME?</v>
      </c>
      <c r="P823" s="88" t="e">
        <f ca="1">IF(INDIRECT("M"&amp;ROW())&lt;&gt;INDIRECT("M"&amp;ROW()+1),リスト!$I$6,"")</f>
        <v>#NAME?</v>
      </c>
    </row>
    <row r="824" spans="1:16" x14ac:dyDescent="0.2">
      <c r="A824" s="169" t="e">
        <f ca="1">IF(C824="","",ROW(行数!A816))</f>
        <v>#NAME?</v>
      </c>
      <c r="B824" s="168" t="e">
        <f t="shared" ca="1" si="87"/>
        <v>#NAME?</v>
      </c>
      <c r="C824" s="90" t="e">
        <f ca="1">[0]!CSVVLookUP(ROW(行数!A816),配列!$C$4,集計記録,3,1)</f>
        <v>#NAME?</v>
      </c>
      <c r="D824" s="90" t="e">
        <f ca="1">[0]!CSVVLookUP(ROW(行数!B816),配列!$C$4,集計記録,4,1)</f>
        <v>#NAME?</v>
      </c>
      <c r="E824" s="118" t="e">
        <f t="shared" ca="1" si="88"/>
        <v>#NAME?</v>
      </c>
      <c r="F824" s="118" t="e">
        <f t="shared" ca="1" si="89"/>
        <v>#NAME?</v>
      </c>
      <c r="G824" s="103" t="e">
        <f t="shared" ca="1" si="90"/>
        <v>#NAME?</v>
      </c>
      <c r="H824" s="104" t="e">
        <f ca="1">IF(C824="","",MROUND([0]!CSVVLookUP(ROW(行数!A816),配列!$C$4,集計記録,8,1),"0:01"))</f>
        <v>#NAME?</v>
      </c>
      <c r="I824" s="104" t="e">
        <f t="shared" ca="1" si="91"/>
        <v>#NAME?</v>
      </c>
      <c r="J824" s="119" t="e">
        <f ca="1">IF(C824="","",MROUND([0]!CSVVLookUP(ROW(行数!A816),配列!$C$4,集計記録,7,1),"0:01"))</f>
        <v>#NAME?</v>
      </c>
      <c r="K824" s="92" t="e">
        <f ca="1">IF(C824="","",[0]!CSVVLookUP(ROW(行数!A816),配列!$C$4,集計記録,5,1))</f>
        <v>#NAME?</v>
      </c>
      <c r="L824" s="104" t="e">
        <f t="shared" ca="1" si="92"/>
        <v>#NAME?</v>
      </c>
      <c r="M824" s="120" t="e">
        <f t="shared" ca="1" si="86"/>
        <v>#NAME?</v>
      </c>
      <c r="N824" s="120" t="e">
        <f ca="1">IF([0]!CSVVLookUP(ROW(行数!A816),配列!$C$4,集計記録,6,1)=0,"",[0]!CSVVLookUP(ROW(行数!A816),配列!$C$4,集計記録,6,1))</f>
        <v>#NAME?</v>
      </c>
      <c r="O824" s="88" t="e">
        <f ca="1">IF(INDIRECT("M"&amp;ROW()-1)&lt;&gt;INDIRECT("M"&amp;ROW()),リスト!$I$5,"")</f>
        <v>#NAME?</v>
      </c>
      <c r="P824" s="88" t="e">
        <f ca="1">IF(INDIRECT("M"&amp;ROW())&lt;&gt;INDIRECT("M"&amp;ROW()+1),リスト!$I$6,"")</f>
        <v>#NAME?</v>
      </c>
    </row>
    <row r="825" spans="1:16" x14ac:dyDescent="0.2">
      <c r="A825" s="169" t="e">
        <f ca="1">IF(C825="","",ROW(行数!A817))</f>
        <v>#NAME?</v>
      </c>
      <c r="B825" s="168" t="e">
        <f t="shared" ca="1" si="87"/>
        <v>#NAME?</v>
      </c>
      <c r="C825" s="90" t="e">
        <f ca="1">[0]!CSVVLookUP(ROW(行数!A817),配列!$C$4,集計記録,3,1)</f>
        <v>#NAME?</v>
      </c>
      <c r="D825" s="90" t="e">
        <f ca="1">[0]!CSVVLookUP(ROW(行数!B817),配列!$C$4,集計記録,4,1)</f>
        <v>#NAME?</v>
      </c>
      <c r="E825" s="118" t="e">
        <f t="shared" ca="1" si="88"/>
        <v>#NAME?</v>
      </c>
      <c r="F825" s="118" t="e">
        <f t="shared" ca="1" si="89"/>
        <v>#NAME?</v>
      </c>
      <c r="G825" s="103" t="e">
        <f t="shared" ca="1" si="90"/>
        <v>#NAME?</v>
      </c>
      <c r="H825" s="104" t="e">
        <f ca="1">IF(C825="","",MROUND([0]!CSVVLookUP(ROW(行数!A817),配列!$C$4,集計記録,8,1),"0:01"))</f>
        <v>#NAME?</v>
      </c>
      <c r="I825" s="104" t="e">
        <f t="shared" ca="1" si="91"/>
        <v>#NAME?</v>
      </c>
      <c r="J825" s="119" t="e">
        <f ca="1">IF(C825="","",MROUND([0]!CSVVLookUP(ROW(行数!A817),配列!$C$4,集計記録,7,1),"0:01"))</f>
        <v>#NAME?</v>
      </c>
      <c r="K825" s="92" t="e">
        <f ca="1">IF(C825="","",[0]!CSVVLookUP(ROW(行数!A817),配列!$C$4,集計記録,5,1))</f>
        <v>#NAME?</v>
      </c>
      <c r="L825" s="104" t="e">
        <f t="shared" ca="1" si="92"/>
        <v>#NAME?</v>
      </c>
      <c r="M825" s="120" t="e">
        <f t="shared" ca="1" si="86"/>
        <v>#NAME?</v>
      </c>
      <c r="N825" s="120" t="e">
        <f ca="1">IF([0]!CSVVLookUP(ROW(行数!A817),配列!$C$4,集計記録,6,1)=0,"",[0]!CSVVLookUP(ROW(行数!A817),配列!$C$4,集計記録,6,1))</f>
        <v>#NAME?</v>
      </c>
      <c r="O825" s="88" t="e">
        <f ca="1">IF(INDIRECT("M"&amp;ROW()-1)&lt;&gt;INDIRECT("M"&amp;ROW()),リスト!$I$5,"")</f>
        <v>#NAME?</v>
      </c>
      <c r="P825" s="88" t="e">
        <f ca="1">IF(INDIRECT("M"&amp;ROW())&lt;&gt;INDIRECT("M"&amp;ROW()+1),リスト!$I$6,"")</f>
        <v>#NAME?</v>
      </c>
    </row>
    <row r="826" spans="1:16" x14ac:dyDescent="0.2">
      <c r="A826" s="169" t="e">
        <f ca="1">IF(C826="","",ROW(行数!A818))</f>
        <v>#NAME?</v>
      </c>
      <c r="B826" s="168" t="e">
        <f t="shared" ca="1" si="87"/>
        <v>#NAME?</v>
      </c>
      <c r="C826" s="90" t="e">
        <f ca="1">[0]!CSVVLookUP(ROW(行数!A818),配列!$C$4,集計記録,3,1)</f>
        <v>#NAME?</v>
      </c>
      <c r="D826" s="90" t="e">
        <f ca="1">[0]!CSVVLookUP(ROW(行数!B818),配列!$C$4,集計記録,4,1)</f>
        <v>#NAME?</v>
      </c>
      <c r="E826" s="118" t="e">
        <f t="shared" ca="1" si="88"/>
        <v>#NAME?</v>
      </c>
      <c r="F826" s="118" t="e">
        <f t="shared" ca="1" si="89"/>
        <v>#NAME?</v>
      </c>
      <c r="G826" s="103" t="e">
        <f t="shared" ca="1" si="90"/>
        <v>#NAME?</v>
      </c>
      <c r="H826" s="104" t="e">
        <f ca="1">IF(C826="","",MROUND([0]!CSVVLookUP(ROW(行数!A818),配列!$C$4,集計記録,8,1),"0:01"))</f>
        <v>#NAME?</v>
      </c>
      <c r="I826" s="104" t="e">
        <f t="shared" ca="1" si="91"/>
        <v>#NAME?</v>
      </c>
      <c r="J826" s="119" t="e">
        <f ca="1">IF(C826="","",MROUND([0]!CSVVLookUP(ROW(行数!A818),配列!$C$4,集計記録,7,1),"0:01"))</f>
        <v>#NAME?</v>
      </c>
      <c r="K826" s="92" t="e">
        <f ca="1">IF(C826="","",[0]!CSVVLookUP(ROW(行数!A818),配列!$C$4,集計記録,5,1))</f>
        <v>#NAME?</v>
      </c>
      <c r="L826" s="104" t="e">
        <f t="shared" ca="1" si="92"/>
        <v>#NAME?</v>
      </c>
      <c r="M826" s="120" t="e">
        <f t="shared" ca="1" si="86"/>
        <v>#NAME?</v>
      </c>
      <c r="N826" s="120" t="e">
        <f ca="1">IF([0]!CSVVLookUP(ROW(行数!A818),配列!$C$4,集計記録,6,1)=0,"",[0]!CSVVLookUP(ROW(行数!A818),配列!$C$4,集計記録,6,1))</f>
        <v>#NAME?</v>
      </c>
      <c r="O826" s="88" t="e">
        <f ca="1">IF(INDIRECT("M"&amp;ROW()-1)&lt;&gt;INDIRECT("M"&amp;ROW()),リスト!$I$5,"")</f>
        <v>#NAME?</v>
      </c>
      <c r="P826" s="88" t="e">
        <f ca="1">IF(INDIRECT("M"&amp;ROW())&lt;&gt;INDIRECT("M"&amp;ROW()+1),リスト!$I$6,"")</f>
        <v>#NAME?</v>
      </c>
    </row>
    <row r="827" spans="1:16" x14ac:dyDescent="0.2">
      <c r="A827" s="169" t="e">
        <f ca="1">IF(C827="","",ROW(行数!A819))</f>
        <v>#NAME?</v>
      </c>
      <c r="B827" s="168" t="e">
        <f t="shared" ca="1" si="87"/>
        <v>#NAME?</v>
      </c>
      <c r="C827" s="90" t="e">
        <f ca="1">[0]!CSVVLookUP(ROW(行数!A819),配列!$C$4,集計記録,3,1)</f>
        <v>#NAME?</v>
      </c>
      <c r="D827" s="90" t="e">
        <f ca="1">[0]!CSVVLookUP(ROW(行数!B819),配列!$C$4,集計記録,4,1)</f>
        <v>#NAME?</v>
      </c>
      <c r="E827" s="118" t="e">
        <f t="shared" ca="1" si="88"/>
        <v>#NAME?</v>
      </c>
      <c r="F827" s="118" t="e">
        <f t="shared" ca="1" si="89"/>
        <v>#NAME?</v>
      </c>
      <c r="G827" s="103" t="e">
        <f t="shared" ca="1" si="90"/>
        <v>#NAME?</v>
      </c>
      <c r="H827" s="104" t="e">
        <f ca="1">IF(C827="","",MROUND([0]!CSVVLookUP(ROW(行数!A819),配列!$C$4,集計記録,8,1),"0:01"))</f>
        <v>#NAME?</v>
      </c>
      <c r="I827" s="104" t="e">
        <f t="shared" ca="1" si="91"/>
        <v>#NAME?</v>
      </c>
      <c r="J827" s="119" t="e">
        <f ca="1">IF(C827="","",MROUND([0]!CSVVLookUP(ROW(行数!A819),配列!$C$4,集計記録,7,1),"0:01"))</f>
        <v>#NAME?</v>
      </c>
      <c r="K827" s="92" t="e">
        <f ca="1">IF(C827="","",[0]!CSVVLookUP(ROW(行数!A819),配列!$C$4,集計記録,5,1))</f>
        <v>#NAME?</v>
      </c>
      <c r="L827" s="104" t="e">
        <f t="shared" ca="1" si="92"/>
        <v>#NAME?</v>
      </c>
      <c r="M827" s="120" t="e">
        <f t="shared" ca="1" si="86"/>
        <v>#NAME?</v>
      </c>
      <c r="N827" s="120" t="e">
        <f ca="1">IF([0]!CSVVLookUP(ROW(行数!A819),配列!$C$4,集計記録,6,1)=0,"",[0]!CSVVLookUP(ROW(行数!A819),配列!$C$4,集計記録,6,1))</f>
        <v>#NAME?</v>
      </c>
      <c r="O827" s="88" t="e">
        <f ca="1">IF(INDIRECT("M"&amp;ROW()-1)&lt;&gt;INDIRECT("M"&amp;ROW()),リスト!$I$5,"")</f>
        <v>#NAME?</v>
      </c>
      <c r="P827" s="88" t="e">
        <f ca="1">IF(INDIRECT("M"&amp;ROW())&lt;&gt;INDIRECT("M"&amp;ROW()+1),リスト!$I$6,"")</f>
        <v>#NAME?</v>
      </c>
    </row>
    <row r="828" spans="1:16" x14ac:dyDescent="0.2">
      <c r="A828" s="169" t="e">
        <f ca="1">IF(C828="","",ROW(行数!A820))</f>
        <v>#NAME?</v>
      </c>
      <c r="B828" s="168" t="e">
        <f t="shared" ca="1" si="87"/>
        <v>#NAME?</v>
      </c>
      <c r="C828" s="90" t="e">
        <f ca="1">[0]!CSVVLookUP(ROW(行数!A820),配列!$C$4,集計記録,3,1)</f>
        <v>#NAME?</v>
      </c>
      <c r="D828" s="90" t="e">
        <f ca="1">[0]!CSVVLookUP(ROW(行数!B820),配列!$C$4,集計記録,4,1)</f>
        <v>#NAME?</v>
      </c>
      <c r="E828" s="118" t="e">
        <f t="shared" ca="1" si="88"/>
        <v>#NAME?</v>
      </c>
      <c r="F828" s="118" t="e">
        <f t="shared" ca="1" si="89"/>
        <v>#NAME?</v>
      </c>
      <c r="G828" s="103" t="e">
        <f t="shared" ca="1" si="90"/>
        <v>#NAME?</v>
      </c>
      <c r="H828" s="104" t="e">
        <f ca="1">IF(C828="","",MROUND([0]!CSVVLookUP(ROW(行数!A820),配列!$C$4,集計記録,8,1),"0:01"))</f>
        <v>#NAME?</v>
      </c>
      <c r="I828" s="104" t="e">
        <f t="shared" ca="1" si="91"/>
        <v>#NAME?</v>
      </c>
      <c r="J828" s="119" t="e">
        <f ca="1">IF(C828="","",MROUND([0]!CSVVLookUP(ROW(行数!A820),配列!$C$4,集計記録,7,1),"0:01"))</f>
        <v>#NAME?</v>
      </c>
      <c r="K828" s="92" t="e">
        <f ca="1">IF(C828="","",[0]!CSVVLookUP(ROW(行数!A820),配列!$C$4,集計記録,5,1))</f>
        <v>#NAME?</v>
      </c>
      <c r="L828" s="104" t="e">
        <f t="shared" ca="1" si="92"/>
        <v>#NAME?</v>
      </c>
      <c r="M828" s="120" t="e">
        <f t="shared" ca="1" si="86"/>
        <v>#NAME?</v>
      </c>
      <c r="N828" s="120" t="e">
        <f ca="1">IF([0]!CSVVLookUP(ROW(行数!A820),配列!$C$4,集計記録,6,1)=0,"",[0]!CSVVLookUP(ROW(行数!A820),配列!$C$4,集計記録,6,1))</f>
        <v>#NAME?</v>
      </c>
      <c r="O828" s="88" t="e">
        <f ca="1">IF(INDIRECT("M"&amp;ROW()-1)&lt;&gt;INDIRECT("M"&amp;ROW()),リスト!$I$5,"")</f>
        <v>#NAME?</v>
      </c>
      <c r="P828" s="88" t="e">
        <f ca="1">IF(INDIRECT("M"&amp;ROW())&lt;&gt;INDIRECT("M"&amp;ROW()+1),リスト!$I$6,"")</f>
        <v>#NAME?</v>
      </c>
    </row>
    <row r="829" spans="1:16" x14ac:dyDescent="0.2">
      <c r="A829" s="169" t="e">
        <f ca="1">IF(C829="","",ROW(行数!A821))</f>
        <v>#NAME?</v>
      </c>
      <c r="B829" s="168" t="e">
        <f t="shared" ca="1" si="87"/>
        <v>#NAME?</v>
      </c>
      <c r="C829" s="90" t="e">
        <f ca="1">[0]!CSVVLookUP(ROW(行数!A821),配列!$C$4,集計記録,3,1)</f>
        <v>#NAME?</v>
      </c>
      <c r="D829" s="90" t="e">
        <f ca="1">[0]!CSVVLookUP(ROW(行数!B821),配列!$C$4,集計記録,4,1)</f>
        <v>#NAME?</v>
      </c>
      <c r="E829" s="118" t="e">
        <f t="shared" ca="1" si="88"/>
        <v>#NAME?</v>
      </c>
      <c r="F829" s="118" t="e">
        <f t="shared" ca="1" si="89"/>
        <v>#NAME?</v>
      </c>
      <c r="G829" s="103" t="e">
        <f t="shared" ca="1" si="90"/>
        <v>#NAME?</v>
      </c>
      <c r="H829" s="104" t="e">
        <f ca="1">IF(C829="","",MROUND([0]!CSVVLookUP(ROW(行数!A821),配列!$C$4,集計記録,8,1),"0:01"))</f>
        <v>#NAME?</v>
      </c>
      <c r="I829" s="104" t="e">
        <f t="shared" ca="1" si="91"/>
        <v>#NAME?</v>
      </c>
      <c r="J829" s="119" t="e">
        <f ca="1">IF(C829="","",MROUND([0]!CSVVLookUP(ROW(行数!A821),配列!$C$4,集計記録,7,1),"0:01"))</f>
        <v>#NAME?</v>
      </c>
      <c r="K829" s="92" t="e">
        <f ca="1">IF(C829="","",[0]!CSVVLookUP(ROW(行数!A821),配列!$C$4,集計記録,5,1))</f>
        <v>#NAME?</v>
      </c>
      <c r="L829" s="104" t="e">
        <f t="shared" ca="1" si="92"/>
        <v>#NAME?</v>
      </c>
      <c r="M829" s="120" t="e">
        <f t="shared" ca="1" si="86"/>
        <v>#NAME?</v>
      </c>
      <c r="N829" s="120" t="e">
        <f ca="1">IF([0]!CSVVLookUP(ROW(行数!A821),配列!$C$4,集計記録,6,1)=0,"",[0]!CSVVLookUP(ROW(行数!A821),配列!$C$4,集計記録,6,1))</f>
        <v>#NAME?</v>
      </c>
      <c r="O829" s="88" t="e">
        <f ca="1">IF(INDIRECT("M"&amp;ROW()-1)&lt;&gt;INDIRECT("M"&amp;ROW()),リスト!$I$5,"")</f>
        <v>#NAME?</v>
      </c>
      <c r="P829" s="88" t="e">
        <f ca="1">IF(INDIRECT("M"&amp;ROW())&lt;&gt;INDIRECT("M"&amp;ROW()+1),リスト!$I$6,"")</f>
        <v>#NAME?</v>
      </c>
    </row>
    <row r="830" spans="1:16" x14ac:dyDescent="0.2">
      <c r="A830" s="169" t="e">
        <f ca="1">IF(C830="","",ROW(行数!A822))</f>
        <v>#NAME?</v>
      </c>
      <c r="B830" s="168" t="e">
        <f t="shared" ca="1" si="87"/>
        <v>#NAME?</v>
      </c>
      <c r="C830" s="90" t="e">
        <f ca="1">[0]!CSVVLookUP(ROW(行数!A822),配列!$C$4,集計記録,3,1)</f>
        <v>#NAME?</v>
      </c>
      <c r="D830" s="90" t="e">
        <f ca="1">[0]!CSVVLookUP(ROW(行数!B822),配列!$C$4,集計記録,4,1)</f>
        <v>#NAME?</v>
      </c>
      <c r="E830" s="118" t="e">
        <f t="shared" ca="1" si="88"/>
        <v>#NAME?</v>
      </c>
      <c r="F830" s="118" t="e">
        <f t="shared" ca="1" si="89"/>
        <v>#NAME?</v>
      </c>
      <c r="G830" s="103" t="e">
        <f t="shared" ca="1" si="90"/>
        <v>#NAME?</v>
      </c>
      <c r="H830" s="104" t="e">
        <f ca="1">IF(C830="","",MROUND([0]!CSVVLookUP(ROW(行数!A822),配列!$C$4,集計記録,8,1),"0:01"))</f>
        <v>#NAME?</v>
      </c>
      <c r="I830" s="104" t="e">
        <f t="shared" ca="1" si="91"/>
        <v>#NAME?</v>
      </c>
      <c r="J830" s="119" t="e">
        <f ca="1">IF(C830="","",MROUND([0]!CSVVLookUP(ROW(行数!A822),配列!$C$4,集計記録,7,1),"0:01"))</f>
        <v>#NAME?</v>
      </c>
      <c r="K830" s="92" t="e">
        <f ca="1">IF(C830="","",[0]!CSVVLookUP(ROW(行数!A822),配列!$C$4,集計記録,5,1))</f>
        <v>#NAME?</v>
      </c>
      <c r="L830" s="104" t="e">
        <f t="shared" ca="1" si="92"/>
        <v>#NAME?</v>
      </c>
      <c r="M830" s="120" t="e">
        <f t="shared" ca="1" si="86"/>
        <v>#NAME?</v>
      </c>
      <c r="N830" s="120" t="e">
        <f ca="1">IF([0]!CSVVLookUP(ROW(行数!A822),配列!$C$4,集計記録,6,1)=0,"",[0]!CSVVLookUP(ROW(行数!A822),配列!$C$4,集計記録,6,1))</f>
        <v>#NAME?</v>
      </c>
      <c r="O830" s="88" t="e">
        <f ca="1">IF(INDIRECT("M"&amp;ROW()-1)&lt;&gt;INDIRECT("M"&amp;ROW()),リスト!$I$5,"")</f>
        <v>#NAME?</v>
      </c>
      <c r="P830" s="88" t="e">
        <f ca="1">IF(INDIRECT("M"&amp;ROW())&lt;&gt;INDIRECT("M"&amp;ROW()+1),リスト!$I$6,"")</f>
        <v>#NAME?</v>
      </c>
    </row>
    <row r="831" spans="1:16" x14ac:dyDescent="0.2">
      <c r="A831" s="169" t="e">
        <f ca="1">IF(C831="","",ROW(行数!A823))</f>
        <v>#NAME?</v>
      </c>
      <c r="B831" s="168" t="e">
        <f t="shared" ca="1" si="87"/>
        <v>#NAME?</v>
      </c>
      <c r="C831" s="90" t="e">
        <f ca="1">[0]!CSVVLookUP(ROW(行数!A823),配列!$C$4,集計記録,3,1)</f>
        <v>#NAME?</v>
      </c>
      <c r="D831" s="90" t="e">
        <f ca="1">[0]!CSVVLookUP(ROW(行数!B823),配列!$C$4,集計記録,4,1)</f>
        <v>#NAME?</v>
      </c>
      <c r="E831" s="118" t="e">
        <f t="shared" ca="1" si="88"/>
        <v>#NAME?</v>
      </c>
      <c r="F831" s="118" t="e">
        <f t="shared" ca="1" si="89"/>
        <v>#NAME?</v>
      </c>
      <c r="G831" s="103" t="e">
        <f t="shared" ca="1" si="90"/>
        <v>#NAME?</v>
      </c>
      <c r="H831" s="104" t="e">
        <f ca="1">IF(C831="","",MROUND([0]!CSVVLookUP(ROW(行数!A823),配列!$C$4,集計記録,8,1),"0:01"))</f>
        <v>#NAME?</v>
      </c>
      <c r="I831" s="104" t="e">
        <f t="shared" ca="1" si="91"/>
        <v>#NAME?</v>
      </c>
      <c r="J831" s="119" t="e">
        <f ca="1">IF(C831="","",MROUND([0]!CSVVLookUP(ROW(行数!A823),配列!$C$4,集計記録,7,1),"0:01"))</f>
        <v>#NAME?</v>
      </c>
      <c r="K831" s="92" t="e">
        <f ca="1">IF(C831="","",[0]!CSVVLookUP(ROW(行数!A823),配列!$C$4,集計記録,5,1))</f>
        <v>#NAME?</v>
      </c>
      <c r="L831" s="104" t="e">
        <f t="shared" ca="1" si="92"/>
        <v>#NAME?</v>
      </c>
      <c r="M831" s="120" t="e">
        <f t="shared" ca="1" si="86"/>
        <v>#NAME?</v>
      </c>
      <c r="N831" s="120" t="e">
        <f ca="1">IF([0]!CSVVLookUP(ROW(行数!A823),配列!$C$4,集計記録,6,1)=0,"",[0]!CSVVLookUP(ROW(行数!A823),配列!$C$4,集計記録,6,1))</f>
        <v>#NAME?</v>
      </c>
      <c r="O831" s="88" t="e">
        <f ca="1">IF(INDIRECT("M"&amp;ROW()-1)&lt;&gt;INDIRECT("M"&amp;ROW()),リスト!$I$5,"")</f>
        <v>#NAME?</v>
      </c>
      <c r="P831" s="88" t="e">
        <f ca="1">IF(INDIRECT("M"&amp;ROW())&lt;&gt;INDIRECT("M"&amp;ROW()+1),リスト!$I$6,"")</f>
        <v>#NAME?</v>
      </c>
    </row>
    <row r="832" spans="1:16" x14ac:dyDescent="0.2">
      <c r="A832" s="169" t="e">
        <f ca="1">IF(C832="","",ROW(行数!A824))</f>
        <v>#NAME?</v>
      </c>
      <c r="B832" s="168" t="e">
        <f t="shared" ca="1" si="87"/>
        <v>#NAME?</v>
      </c>
      <c r="C832" s="90" t="e">
        <f ca="1">[0]!CSVVLookUP(ROW(行数!A824),配列!$C$4,集計記録,3,1)</f>
        <v>#NAME?</v>
      </c>
      <c r="D832" s="90" t="e">
        <f ca="1">[0]!CSVVLookUP(ROW(行数!B824),配列!$C$4,集計記録,4,1)</f>
        <v>#NAME?</v>
      </c>
      <c r="E832" s="118" t="e">
        <f t="shared" ca="1" si="88"/>
        <v>#NAME?</v>
      </c>
      <c r="F832" s="118" t="e">
        <f t="shared" ca="1" si="89"/>
        <v>#NAME?</v>
      </c>
      <c r="G832" s="103" t="e">
        <f t="shared" ca="1" si="90"/>
        <v>#NAME?</v>
      </c>
      <c r="H832" s="104" t="e">
        <f ca="1">IF(C832="","",MROUND([0]!CSVVLookUP(ROW(行数!A824),配列!$C$4,集計記録,8,1),"0:01"))</f>
        <v>#NAME?</v>
      </c>
      <c r="I832" s="104" t="e">
        <f t="shared" ca="1" si="91"/>
        <v>#NAME?</v>
      </c>
      <c r="J832" s="119" t="e">
        <f ca="1">IF(C832="","",MROUND([0]!CSVVLookUP(ROW(行数!A824),配列!$C$4,集計記録,7,1),"0:01"))</f>
        <v>#NAME?</v>
      </c>
      <c r="K832" s="92" t="e">
        <f ca="1">IF(C832="","",[0]!CSVVLookUP(ROW(行数!A824),配列!$C$4,集計記録,5,1))</f>
        <v>#NAME?</v>
      </c>
      <c r="L832" s="104" t="e">
        <f t="shared" ca="1" si="92"/>
        <v>#NAME?</v>
      </c>
      <c r="M832" s="120" t="e">
        <f t="shared" ca="1" si="86"/>
        <v>#NAME?</v>
      </c>
      <c r="N832" s="120" t="e">
        <f ca="1">IF([0]!CSVVLookUP(ROW(行数!A824),配列!$C$4,集計記録,6,1)=0,"",[0]!CSVVLookUP(ROW(行数!A824),配列!$C$4,集計記録,6,1))</f>
        <v>#NAME?</v>
      </c>
      <c r="O832" s="88" t="e">
        <f ca="1">IF(INDIRECT("M"&amp;ROW()-1)&lt;&gt;INDIRECT("M"&amp;ROW()),リスト!$I$5,"")</f>
        <v>#NAME?</v>
      </c>
      <c r="P832" s="88" t="e">
        <f ca="1">IF(INDIRECT("M"&amp;ROW())&lt;&gt;INDIRECT("M"&amp;ROW()+1),リスト!$I$6,"")</f>
        <v>#NAME?</v>
      </c>
    </row>
    <row r="833" spans="1:16" x14ac:dyDescent="0.2">
      <c r="A833" s="169" t="e">
        <f ca="1">IF(C833="","",ROW(行数!A825))</f>
        <v>#NAME?</v>
      </c>
      <c r="B833" s="168" t="e">
        <f t="shared" ca="1" si="87"/>
        <v>#NAME?</v>
      </c>
      <c r="C833" s="90" t="e">
        <f ca="1">[0]!CSVVLookUP(ROW(行数!A825),配列!$C$4,集計記録,3,1)</f>
        <v>#NAME?</v>
      </c>
      <c r="D833" s="90" t="e">
        <f ca="1">[0]!CSVVLookUP(ROW(行数!B825),配列!$C$4,集計記録,4,1)</f>
        <v>#NAME?</v>
      </c>
      <c r="E833" s="118" t="e">
        <f t="shared" ca="1" si="88"/>
        <v>#NAME?</v>
      </c>
      <c r="F833" s="118" t="e">
        <f t="shared" ca="1" si="89"/>
        <v>#NAME?</v>
      </c>
      <c r="G833" s="103" t="e">
        <f t="shared" ca="1" si="90"/>
        <v>#NAME?</v>
      </c>
      <c r="H833" s="104" t="e">
        <f ca="1">IF(C833="","",MROUND([0]!CSVVLookUP(ROW(行数!A825),配列!$C$4,集計記録,8,1),"0:01"))</f>
        <v>#NAME?</v>
      </c>
      <c r="I833" s="104" t="e">
        <f t="shared" ca="1" si="91"/>
        <v>#NAME?</v>
      </c>
      <c r="J833" s="119" t="e">
        <f ca="1">IF(C833="","",MROUND([0]!CSVVLookUP(ROW(行数!A825),配列!$C$4,集計記録,7,1),"0:01"))</f>
        <v>#NAME?</v>
      </c>
      <c r="K833" s="92" t="e">
        <f ca="1">IF(C833="","",[0]!CSVVLookUP(ROW(行数!A825),配列!$C$4,集計記録,5,1))</f>
        <v>#NAME?</v>
      </c>
      <c r="L833" s="104" t="e">
        <f t="shared" ca="1" si="92"/>
        <v>#NAME?</v>
      </c>
      <c r="M833" s="120" t="e">
        <f t="shared" ca="1" si="86"/>
        <v>#NAME?</v>
      </c>
      <c r="N833" s="120" t="e">
        <f ca="1">IF([0]!CSVVLookUP(ROW(行数!A825),配列!$C$4,集計記録,6,1)=0,"",[0]!CSVVLookUP(ROW(行数!A825),配列!$C$4,集計記録,6,1))</f>
        <v>#NAME?</v>
      </c>
      <c r="O833" s="88" t="e">
        <f ca="1">IF(INDIRECT("M"&amp;ROW()-1)&lt;&gt;INDIRECT("M"&amp;ROW()),リスト!$I$5,"")</f>
        <v>#NAME?</v>
      </c>
      <c r="P833" s="88" t="e">
        <f ca="1">IF(INDIRECT("M"&amp;ROW())&lt;&gt;INDIRECT("M"&amp;ROW()+1),リスト!$I$6,"")</f>
        <v>#NAME?</v>
      </c>
    </row>
    <row r="834" spans="1:16" x14ac:dyDescent="0.2">
      <c r="A834" s="169" t="e">
        <f ca="1">IF(C834="","",ROW(行数!A826))</f>
        <v>#NAME?</v>
      </c>
      <c r="B834" s="168" t="e">
        <f t="shared" ca="1" si="87"/>
        <v>#NAME?</v>
      </c>
      <c r="C834" s="90" t="e">
        <f ca="1">[0]!CSVVLookUP(ROW(行数!A826),配列!$C$4,集計記録,3,1)</f>
        <v>#NAME?</v>
      </c>
      <c r="D834" s="90" t="e">
        <f ca="1">[0]!CSVVLookUP(ROW(行数!B826),配列!$C$4,集計記録,4,1)</f>
        <v>#NAME?</v>
      </c>
      <c r="E834" s="118" t="e">
        <f t="shared" ca="1" si="88"/>
        <v>#NAME?</v>
      </c>
      <c r="F834" s="118" t="e">
        <f t="shared" ca="1" si="89"/>
        <v>#NAME?</v>
      </c>
      <c r="G834" s="103" t="e">
        <f t="shared" ca="1" si="90"/>
        <v>#NAME?</v>
      </c>
      <c r="H834" s="104" t="e">
        <f ca="1">IF(C834="","",MROUND([0]!CSVVLookUP(ROW(行数!A826),配列!$C$4,集計記録,8,1),"0:01"))</f>
        <v>#NAME?</v>
      </c>
      <c r="I834" s="104" t="e">
        <f t="shared" ca="1" si="91"/>
        <v>#NAME?</v>
      </c>
      <c r="J834" s="119" t="e">
        <f ca="1">IF(C834="","",MROUND([0]!CSVVLookUP(ROW(行数!A826),配列!$C$4,集計記録,7,1),"0:01"))</f>
        <v>#NAME?</v>
      </c>
      <c r="K834" s="92" t="e">
        <f ca="1">IF(C834="","",[0]!CSVVLookUP(ROW(行数!A826),配列!$C$4,集計記録,5,1))</f>
        <v>#NAME?</v>
      </c>
      <c r="L834" s="104" t="e">
        <f t="shared" ca="1" si="92"/>
        <v>#NAME?</v>
      </c>
      <c r="M834" s="120" t="e">
        <f t="shared" ca="1" si="86"/>
        <v>#NAME?</v>
      </c>
      <c r="N834" s="120" t="e">
        <f ca="1">IF([0]!CSVVLookUP(ROW(行数!A826),配列!$C$4,集計記録,6,1)=0,"",[0]!CSVVLookUP(ROW(行数!A826),配列!$C$4,集計記録,6,1))</f>
        <v>#NAME?</v>
      </c>
      <c r="O834" s="88" t="e">
        <f ca="1">IF(INDIRECT("M"&amp;ROW()-1)&lt;&gt;INDIRECT("M"&amp;ROW()),リスト!$I$5,"")</f>
        <v>#NAME?</v>
      </c>
      <c r="P834" s="88" t="e">
        <f ca="1">IF(INDIRECT("M"&amp;ROW())&lt;&gt;INDIRECT("M"&amp;ROW()+1),リスト!$I$6,"")</f>
        <v>#NAME?</v>
      </c>
    </row>
    <row r="835" spans="1:16" x14ac:dyDescent="0.2">
      <c r="A835" s="169" t="e">
        <f ca="1">IF(C835="","",ROW(行数!A827))</f>
        <v>#NAME?</v>
      </c>
      <c r="B835" s="168" t="e">
        <f t="shared" ca="1" si="87"/>
        <v>#NAME?</v>
      </c>
      <c r="C835" s="90" t="e">
        <f ca="1">[0]!CSVVLookUP(ROW(行数!A827),配列!$C$4,集計記録,3,1)</f>
        <v>#NAME?</v>
      </c>
      <c r="D835" s="90" t="e">
        <f ca="1">[0]!CSVVLookUP(ROW(行数!B827),配列!$C$4,集計記録,4,1)</f>
        <v>#NAME?</v>
      </c>
      <c r="E835" s="118" t="e">
        <f t="shared" ca="1" si="88"/>
        <v>#NAME?</v>
      </c>
      <c r="F835" s="118" t="e">
        <f t="shared" ca="1" si="89"/>
        <v>#NAME?</v>
      </c>
      <c r="G835" s="103" t="e">
        <f t="shared" ca="1" si="90"/>
        <v>#NAME?</v>
      </c>
      <c r="H835" s="104" t="e">
        <f ca="1">IF(C835="","",MROUND([0]!CSVVLookUP(ROW(行数!A827),配列!$C$4,集計記録,8,1),"0:01"))</f>
        <v>#NAME?</v>
      </c>
      <c r="I835" s="104" t="e">
        <f t="shared" ca="1" si="91"/>
        <v>#NAME?</v>
      </c>
      <c r="J835" s="119" t="e">
        <f ca="1">IF(C835="","",MROUND([0]!CSVVLookUP(ROW(行数!A827),配列!$C$4,集計記録,7,1),"0:01"))</f>
        <v>#NAME?</v>
      </c>
      <c r="K835" s="92" t="e">
        <f ca="1">IF(C835="","",[0]!CSVVLookUP(ROW(行数!A827),配列!$C$4,集計記録,5,1))</f>
        <v>#NAME?</v>
      </c>
      <c r="L835" s="104" t="e">
        <f t="shared" ca="1" si="92"/>
        <v>#NAME?</v>
      </c>
      <c r="M835" s="120" t="e">
        <f t="shared" ca="1" si="86"/>
        <v>#NAME?</v>
      </c>
      <c r="N835" s="120" t="e">
        <f ca="1">IF([0]!CSVVLookUP(ROW(行数!A827),配列!$C$4,集計記録,6,1)=0,"",[0]!CSVVLookUP(ROW(行数!A827),配列!$C$4,集計記録,6,1))</f>
        <v>#NAME?</v>
      </c>
      <c r="O835" s="88" t="e">
        <f ca="1">IF(INDIRECT("M"&amp;ROW()-1)&lt;&gt;INDIRECT("M"&amp;ROW()),リスト!$I$5,"")</f>
        <v>#NAME?</v>
      </c>
      <c r="P835" s="88" t="e">
        <f ca="1">IF(INDIRECT("M"&amp;ROW())&lt;&gt;INDIRECT("M"&amp;ROW()+1),リスト!$I$6,"")</f>
        <v>#NAME?</v>
      </c>
    </row>
    <row r="836" spans="1:16" x14ac:dyDescent="0.2">
      <c r="A836" s="169" t="e">
        <f ca="1">IF(C836="","",ROW(行数!A828))</f>
        <v>#NAME?</v>
      </c>
      <c r="B836" s="168" t="e">
        <f t="shared" ca="1" si="87"/>
        <v>#NAME?</v>
      </c>
      <c r="C836" s="90" t="e">
        <f ca="1">[0]!CSVVLookUP(ROW(行数!A828),配列!$C$4,集計記録,3,1)</f>
        <v>#NAME?</v>
      </c>
      <c r="D836" s="90" t="e">
        <f ca="1">[0]!CSVVLookUP(ROW(行数!B828),配列!$C$4,集計記録,4,1)</f>
        <v>#NAME?</v>
      </c>
      <c r="E836" s="118" t="e">
        <f t="shared" ca="1" si="88"/>
        <v>#NAME?</v>
      </c>
      <c r="F836" s="118" t="e">
        <f t="shared" ca="1" si="89"/>
        <v>#NAME?</v>
      </c>
      <c r="G836" s="103" t="e">
        <f t="shared" ca="1" si="90"/>
        <v>#NAME?</v>
      </c>
      <c r="H836" s="104" t="e">
        <f ca="1">IF(C836="","",MROUND([0]!CSVVLookUP(ROW(行数!A828),配列!$C$4,集計記録,8,1),"0:01"))</f>
        <v>#NAME?</v>
      </c>
      <c r="I836" s="104" t="e">
        <f t="shared" ca="1" si="91"/>
        <v>#NAME?</v>
      </c>
      <c r="J836" s="119" t="e">
        <f ca="1">IF(C836="","",MROUND([0]!CSVVLookUP(ROW(行数!A828),配列!$C$4,集計記録,7,1),"0:01"))</f>
        <v>#NAME?</v>
      </c>
      <c r="K836" s="92" t="e">
        <f ca="1">IF(C836="","",[0]!CSVVLookUP(ROW(行数!A828),配列!$C$4,集計記録,5,1))</f>
        <v>#NAME?</v>
      </c>
      <c r="L836" s="104" t="e">
        <f t="shared" ca="1" si="92"/>
        <v>#NAME?</v>
      </c>
      <c r="M836" s="120" t="e">
        <f t="shared" ca="1" si="86"/>
        <v>#NAME?</v>
      </c>
      <c r="N836" s="120" t="e">
        <f ca="1">IF([0]!CSVVLookUP(ROW(行数!A828),配列!$C$4,集計記録,6,1)=0,"",[0]!CSVVLookUP(ROW(行数!A828),配列!$C$4,集計記録,6,1))</f>
        <v>#NAME?</v>
      </c>
      <c r="O836" s="88" t="e">
        <f ca="1">IF(INDIRECT("M"&amp;ROW()-1)&lt;&gt;INDIRECT("M"&amp;ROW()),リスト!$I$5,"")</f>
        <v>#NAME?</v>
      </c>
      <c r="P836" s="88" t="e">
        <f ca="1">IF(INDIRECT("M"&amp;ROW())&lt;&gt;INDIRECT("M"&amp;ROW()+1),リスト!$I$6,"")</f>
        <v>#NAME?</v>
      </c>
    </row>
    <row r="837" spans="1:16" x14ac:dyDescent="0.2">
      <c r="A837" s="169" t="e">
        <f ca="1">IF(C837="","",ROW(行数!A829))</f>
        <v>#NAME?</v>
      </c>
      <c r="B837" s="168" t="e">
        <f t="shared" ca="1" si="87"/>
        <v>#NAME?</v>
      </c>
      <c r="C837" s="90" t="e">
        <f ca="1">[0]!CSVVLookUP(ROW(行数!A829),配列!$C$4,集計記録,3,1)</f>
        <v>#NAME?</v>
      </c>
      <c r="D837" s="90" t="e">
        <f ca="1">[0]!CSVVLookUP(ROW(行数!B829),配列!$C$4,集計記録,4,1)</f>
        <v>#NAME?</v>
      </c>
      <c r="E837" s="118" t="e">
        <f t="shared" ca="1" si="88"/>
        <v>#NAME?</v>
      </c>
      <c r="F837" s="118" t="e">
        <f t="shared" ca="1" si="89"/>
        <v>#NAME?</v>
      </c>
      <c r="G837" s="103" t="e">
        <f t="shared" ca="1" si="90"/>
        <v>#NAME?</v>
      </c>
      <c r="H837" s="104" t="e">
        <f ca="1">IF(C837="","",MROUND([0]!CSVVLookUP(ROW(行数!A829),配列!$C$4,集計記録,8,1),"0:01"))</f>
        <v>#NAME?</v>
      </c>
      <c r="I837" s="104" t="e">
        <f t="shared" ca="1" si="91"/>
        <v>#NAME?</v>
      </c>
      <c r="J837" s="119" t="e">
        <f ca="1">IF(C837="","",MROUND([0]!CSVVLookUP(ROW(行数!A829),配列!$C$4,集計記録,7,1),"0:01"))</f>
        <v>#NAME?</v>
      </c>
      <c r="K837" s="92" t="e">
        <f ca="1">IF(C837="","",[0]!CSVVLookUP(ROW(行数!A829),配列!$C$4,集計記録,5,1))</f>
        <v>#NAME?</v>
      </c>
      <c r="L837" s="104" t="e">
        <f t="shared" ca="1" si="92"/>
        <v>#NAME?</v>
      </c>
      <c r="M837" s="120" t="e">
        <f t="shared" ca="1" si="86"/>
        <v>#NAME?</v>
      </c>
      <c r="N837" s="120" t="e">
        <f ca="1">IF([0]!CSVVLookUP(ROW(行数!A829),配列!$C$4,集計記録,6,1)=0,"",[0]!CSVVLookUP(ROW(行数!A829),配列!$C$4,集計記録,6,1))</f>
        <v>#NAME?</v>
      </c>
      <c r="O837" s="88" t="e">
        <f ca="1">IF(INDIRECT("M"&amp;ROW()-1)&lt;&gt;INDIRECT("M"&amp;ROW()),リスト!$I$5,"")</f>
        <v>#NAME?</v>
      </c>
      <c r="P837" s="88" t="e">
        <f ca="1">IF(INDIRECT("M"&amp;ROW())&lt;&gt;INDIRECT("M"&amp;ROW()+1),リスト!$I$6,"")</f>
        <v>#NAME?</v>
      </c>
    </row>
    <row r="838" spans="1:16" x14ac:dyDescent="0.2">
      <c r="A838" s="169" t="e">
        <f ca="1">IF(C838="","",ROW(行数!A830))</f>
        <v>#NAME?</v>
      </c>
      <c r="B838" s="168" t="e">
        <f t="shared" ca="1" si="87"/>
        <v>#NAME?</v>
      </c>
      <c r="C838" s="90" t="e">
        <f ca="1">[0]!CSVVLookUP(ROW(行数!A830),配列!$C$4,集計記録,3,1)</f>
        <v>#NAME?</v>
      </c>
      <c r="D838" s="90" t="e">
        <f ca="1">[0]!CSVVLookUP(ROW(行数!B830),配列!$C$4,集計記録,4,1)</f>
        <v>#NAME?</v>
      </c>
      <c r="E838" s="118" t="e">
        <f t="shared" ca="1" si="88"/>
        <v>#NAME?</v>
      </c>
      <c r="F838" s="118" t="e">
        <f t="shared" ca="1" si="89"/>
        <v>#NAME?</v>
      </c>
      <c r="G838" s="103" t="e">
        <f t="shared" ca="1" si="90"/>
        <v>#NAME?</v>
      </c>
      <c r="H838" s="104" t="e">
        <f ca="1">IF(C838="","",MROUND([0]!CSVVLookUP(ROW(行数!A830),配列!$C$4,集計記録,8,1),"0:01"))</f>
        <v>#NAME?</v>
      </c>
      <c r="I838" s="104" t="e">
        <f t="shared" ca="1" si="91"/>
        <v>#NAME?</v>
      </c>
      <c r="J838" s="119" t="e">
        <f ca="1">IF(C838="","",MROUND([0]!CSVVLookUP(ROW(行数!A830),配列!$C$4,集計記録,7,1),"0:01"))</f>
        <v>#NAME?</v>
      </c>
      <c r="K838" s="92" t="e">
        <f ca="1">IF(C838="","",[0]!CSVVLookUP(ROW(行数!A830),配列!$C$4,集計記録,5,1))</f>
        <v>#NAME?</v>
      </c>
      <c r="L838" s="104" t="e">
        <f t="shared" ca="1" si="92"/>
        <v>#NAME?</v>
      </c>
      <c r="M838" s="120" t="e">
        <f t="shared" ca="1" si="86"/>
        <v>#NAME?</v>
      </c>
      <c r="N838" s="120" t="e">
        <f ca="1">IF([0]!CSVVLookUP(ROW(行数!A830),配列!$C$4,集計記録,6,1)=0,"",[0]!CSVVLookUP(ROW(行数!A830),配列!$C$4,集計記録,6,1))</f>
        <v>#NAME?</v>
      </c>
      <c r="O838" s="88" t="e">
        <f ca="1">IF(INDIRECT("M"&amp;ROW()-1)&lt;&gt;INDIRECT("M"&amp;ROW()),リスト!$I$5,"")</f>
        <v>#NAME?</v>
      </c>
      <c r="P838" s="88" t="e">
        <f ca="1">IF(INDIRECT("M"&amp;ROW())&lt;&gt;INDIRECT("M"&amp;ROW()+1),リスト!$I$6,"")</f>
        <v>#NAME?</v>
      </c>
    </row>
    <row r="839" spans="1:16" x14ac:dyDescent="0.2">
      <c r="A839" s="169" t="e">
        <f ca="1">IF(C839="","",ROW(行数!A831))</f>
        <v>#NAME?</v>
      </c>
      <c r="B839" s="168" t="e">
        <f t="shared" ca="1" si="87"/>
        <v>#NAME?</v>
      </c>
      <c r="C839" s="90" t="e">
        <f ca="1">[0]!CSVVLookUP(ROW(行数!A831),配列!$C$4,集計記録,3,1)</f>
        <v>#NAME?</v>
      </c>
      <c r="D839" s="90" t="e">
        <f ca="1">[0]!CSVVLookUP(ROW(行数!B831),配列!$C$4,集計記録,4,1)</f>
        <v>#NAME?</v>
      </c>
      <c r="E839" s="118" t="e">
        <f t="shared" ca="1" si="88"/>
        <v>#NAME?</v>
      </c>
      <c r="F839" s="118" t="e">
        <f t="shared" ca="1" si="89"/>
        <v>#NAME?</v>
      </c>
      <c r="G839" s="103" t="e">
        <f t="shared" ca="1" si="90"/>
        <v>#NAME?</v>
      </c>
      <c r="H839" s="104" t="e">
        <f ca="1">IF(C839="","",MROUND([0]!CSVVLookUP(ROW(行数!A831),配列!$C$4,集計記録,8,1),"0:01"))</f>
        <v>#NAME?</v>
      </c>
      <c r="I839" s="104" t="e">
        <f t="shared" ca="1" si="91"/>
        <v>#NAME?</v>
      </c>
      <c r="J839" s="119" t="e">
        <f ca="1">IF(C839="","",MROUND([0]!CSVVLookUP(ROW(行数!A831),配列!$C$4,集計記録,7,1),"0:01"))</f>
        <v>#NAME?</v>
      </c>
      <c r="K839" s="92" t="e">
        <f ca="1">IF(C839="","",[0]!CSVVLookUP(ROW(行数!A831),配列!$C$4,集計記録,5,1))</f>
        <v>#NAME?</v>
      </c>
      <c r="L839" s="104" t="e">
        <f t="shared" ca="1" si="92"/>
        <v>#NAME?</v>
      </c>
      <c r="M839" s="120" t="e">
        <f t="shared" ca="1" si="86"/>
        <v>#NAME?</v>
      </c>
      <c r="N839" s="120" t="e">
        <f ca="1">IF([0]!CSVVLookUP(ROW(行数!A831),配列!$C$4,集計記録,6,1)=0,"",[0]!CSVVLookUP(ROW(行数!A831),配列!$C$4,集計記録,6,1))</f>
        <v>#NAME?</v>
      </c>
      <c r="O839" s="88" t="e">
        <f ca="1">IF(INDIRECT("M"&amp;ROW()-1)&lt;&gt;INDIRECT("M"&amp;ROW()),リスト!$I$5,"")</f>
        <v>#NAME?</v>
      </c>
      <c r="P839" s="88" t="e">
        <f ca="1">IF(INDIRECT("M"&amp;ROW())&lt;&gt;INDIRECT("M"&amp;ROW()+1),リスト!$I$6,"")</f>
        <v>#NAME?</v>
      </c>
    </row>
    <row r="840" spans="1:16" x14ac:dyDescent="0.2">
      <c r="A840" s="169" t="e">
        <f ca="1">IF(C840="","",ROW(行数!A832))</f>
        <v>#NAME?</v>
      </c>
      <c r="B840" s="168" t="e">
        <f t="shared" ca="1" si="87"/>
        <v>#NAME?</v>
      </c>
      <c r="C840" s="90" t="e">
        <f ca="1">[0]!CSVVLookUP(ROW(行数!A832),配列!$C$4,集計記録,3,1)</f>
        <v>#NAME?</v>
      </c>
      <c r="D840" s="90" t="e">
        <f ca="1">[0]!CSVVLookUP(ROW(行数!B832),配列!$C$4,集計記録,4,1)</f>
        <v>#NAME?</v>
      </c>
      <c r="E840" s="118" t="e">
        <f t="shared" ca="1" si="88"/>
        <v>#NAME?</v>
      </c>
      <c r="F840" s="118" t="e">
        <f t="shared" ca="1" si="89"/>
        <v>#NAME?</v>
      </c>
      <c r="G840" s="103" t="e">
        <f t="shared" ca="1" si="90"/>
        <v>#NAME?</v>
      </c>
      <c r="H840" s="104" t="e">
        <f ca="1">IF(C840="","",MROUND([0]!CSVVLookUP(ROW(行数!A832),配列!$C$4,集計記録,8,1),"0:01"))</f>
        <v>#NAME?</v>
      </c>
      <c r="I840" s="104" t="e">
        <f t="shared" ca="1" si="91"/>
        <v>#NAME?</v>
      </c>
      <c r="J840" s="119" t="e">
        <f ca="1">IF(C840="","",MROUND([0]!CSVVLookUP(ROW(行数!A832),配列!$C$4,集計記録,7,1),"0:01"))</f>
        <v>#NAME?</v>
      </c>
      <c r="K840" s="92" t="e">
        <f ca="1">IF(C840="","",[0]!CSVVLookUP(ROW(行数!A832),配列!$C$4,集計記録,5,1))</f>
        <v>#NAME?</v>
      </c>
      <c r="L840" s="104" t="e">
        <f t="shared" ca="1" si="92"/>
        <v>#NAME?</v>
      </c>
      <c r="M840" s="120" t="e">
        <f t="shared" ca="1" si="86"/>
        <v>#NAME?</v>
      </c>
      <c r="N840" s="120" t="e">
        <f ca="1">IF([0]!CSVVLookUP(ROW(行数!A832),配列!$C$4,集計記録,6,1)=0,"",[0]!CSVVLookUP(ROW(行数!A832),配列!$C$4,集計記録,6,1))</f>
        <v>#NAME?</v>
      </c>
      <c r="O840" s="88" t="e">
        <f ca="1">IF(INDIRECT("M"&amp;ROW()-1)&lt;&gt;INDIRECT("M"&amp;ROW()),リスト!$I$5,"")</f>
        <v>#NAME?</v>
      </c>
      <c r="P840" s="88" t="e">
        <f ca="1">IF(INDIRECT("M"&amp;ROW())&lt;&gt;INDIRECT("M"&amp;ROW()+1),リスト!$I$6,"")</f>
        <v>#NAME?</v>
      </c>
    </row>
    <row r="841" spans="1:16" x14ac:dyDescent="0.2">
      <c r="A841" s="169" t="e">
        <f ca="1">IF(C841="","",ROW(行数!A833))</f>
        <v>#NAME?</v>
      </c>
      <c r="B841" s="168" t="e">
        <f t="shared" ca="1" si="87"/>
        <v>#NAME?</v>
      </c>
      <c r="C841" s="90" t="e">
        <f ca="1">[0]!CSVVLookUP(ROW(行数!A833),配列!$C$4,集計記録,3,1)</f>
        <v>#NAME?</v>
      </c>
      <c r="D841" s="90" t="e">
        <f ca="1">[0]!CSVVLookUP(ROW(行数!B833),配列!$C$4,集計記録,4,1)</f>
        <v>#NAME?</v>
      </c>
      <c r="E841" s="118" t="e">
        <f t="shared" ca="1" si="88"/>
        <v>#NAME?</v>
      </c>
      <c r="F841" s="118" t="e">
        <f t="shared" ca="1" si="89"/>
        <v>#NAME?</v>
      </c>
      <c r="G841" s="103" t="e">
        <f t="shared" ca="1" si="90"/>
        <v>#NAME?</v>
      </c>
      <c r="H841" s="104" t="e">
        <f ca="1">IF(C841="","",MROUND([0]!CSVVLookUP(ROW(行数!A833),配列!$C$4,集計記録,8,1),"0:01"))</f>
        <v>#NAME?</v>
      </c>
      <c r="I841" s="104" t="e">
        <f t="shared" ca="1" si="91"/>
        <v>#NAME?</v>
      </c>
      <c r="J841" s="119" t="e">
        <f ca="1">IF(C841="","",MROUND([0]!CSVVLookUP(ROW(行数!A833),配列!$C$4,集計記録,7,1),"0:01"))</f>
        <v>#NAME?</v>
      </c>
      <c r="K841" s="92" t="e">
        <f ca="1">IF(C841="","",[0]!CSVVLookUP(ROW(行数!A833),配列!$C$4,集計記録,5,1))</f>
        <v>#NAME?</v>
      </c>
      <c r="L841" s="104" t="e">
        <f t="shared" ca="1" si="92"/>
        <v>#NAME?</v>
      </c>
      <c r="M841" s="120" t="e">
        <f t="shared" ref="M841:M904" ca="1" si="93">IF(C841="","",VLOOKUP(C841,運転条件判定,13,1))</f>
        <v>#NAME?</v>
      </c>
      <c r="N841" s="120" t="e">
        <f ca="1">IF([0]!CSVVLookUP(ROW(行数!A833),配列!$C$4,集計記録,6,1)=0,"",[0]!CSVVLookUP(ROW(行数!A833),配列!$C$4,集計記録,6,1))</f>
        <v>#NAME?</v>
      </c>
      <c r="O841" s="88" t="e">
        <f ca="1">IF(INDIRECT("M"&amp;ROW()-1)&lt;&gt;INDIRECT("M"&amp;ROW()),リスト!$I$5,"")</f>
        <v>#NAME?</v>
      </c>
      <c r="P841" s="88" t="e">
        <f ca="1">IF(INDIRECT("M"&amp;ROW())&lt;&gt;INDIRECT("M"&amp;ROW()+1),リスト!$I$6,"")</f>
        <v>#NAME?</v>
      </c>
    </row>
    <row r="842" spans="1:16" x14ac:dyDescent="0.2">
      <c r="A842" s="169" t="e">
        <f ca="1">IF(C842="","",ROW(行数!A834))</f>
        <v>#NAME?</v>
      </c>
      <c r="B842" s="168" t="e">
        <f t="shared" ref="B842:B905" ca="1" si="94">IF(C842="","",VLOOKUP(C842,ユニット判定用,3))</f>
        <v>#NAME?</v>
      </c>
      <c r="C842" s="90" t="e">
        <f ca="1">[0]!CSVVLookUP(ROW(行数!A834),配列!$C$4,集計記録,3,1)</f>
        <v>#NAME?</v>
      </c>
      <c r="D842" s="90" t="e">
        <f ca="1">[0]!CSVVLookUP(ROW(行数!B834),配列!$C$4,集計記録,4,1)</f>
        <v>#NAME?</v>
      </c>
      <c r="E842" s="118" t="e">
        <f t="shared" ref="E842:E905" ca="1" si="95">IF(C842="","",D842-C842)</f>
        <v>#NAME?</v>
      </c>
      <c r="F842" s="118" t="e">
        <f t="shared" ref="F842:F905" ca="1" si="96">IF(C842="","",E842-H842-I842)</f>
        <v>#NAME?</v>
      </c>
      <c r="G842" s="103" t="e">
        <f t="shared" ref="G842:G905" ca="1" si="97">IF(C842="","",F842/E842)</f>
        <v>#NAME?</v>
      </c>
      <c r="H842" s="104" t="e">
        <f ca="1">IF(C842="","",MROUND([0]!CSVVLookUP(ROW(行数!A834),配列!$C$4,集計記録,8,1),"0:01"))</f>
        <v>#NAME?</v>
      </c>
      <c r="I842" s="104" t="e">
        <f t="shared" ref="I842:I905" ca="1" si="98">IF(C842="","",MROUND(J842-H842,"0:01"))</f>
        <v>#NAME?</v>
      </c>
      <c r="J842" s="119" t="e">
        <f ca="1">IF(C842="","",MROUND([0]!CSVVLookUP(ROW(行数!A834),配列!$C$4,集計記録,7,1),"0:01"))</f>
        <v>#NAME?</v>
      </c>
      <c r="K842" s="92" t="e">
        <f ca="1">IF(C842="","",[0]!CSVVLookUP(ROW(行数!A834),配列!$C$4,集計記録,5,1))</f>
        <v>#NAME?</v>
      </c>
      <c r="L842" s="104" t="e">
        <f t="shared" ref="L842:L905" ca="1" si="99">IF(C842="","",MROUND(E842/(K842+1),"00:01"))</f>
        <v>#NAME?</v>
      </c>
      <c r="M842" s="120" t="e">
        <f t="shared" ca="1" si="93"/>
        <v>#NAME?</v>
      </c>
      <c r="N842" s="120" t="e">
        <f ca="1">IF([0]!CSVVLookUP(ROW(行数!A834),配列!$C$4,集計記録,6,1)=0,"",[0]!CSVVLookUP(ROW(行数!A834),配列!$C$4,集計記録,6,1))</f>
        <v>#NAME?</v>
      </c>
      <c r="O842" s="88" t="e">
        <f ca="1">IF(INDIRECT("M"&amp;ROW()-1)&lt;&gt;INDIRECT("M"&amp;ROW()),リスト!$I$5,"")</f>
        <v>#NAME?</v>
      </c>
      <c r="P842" s="88" t="e">
        <f ca="1">IF(INDIRECT("M"&amp;ROW())&lt;&gt;INDIRECT("M"&amp;ROW()+1),リスト!$I$6,"")</f>
        <v>#NAME?</v>
      </c>
    </row>
    <row r="843" spans="1:16" x14ac:dyDescent="0.2">
      <c r="A843" s="169" t="e">
        <f ca="1">IF(C843="","",ROW(行数!A835))</f>
        <v>#NAME?</v>
      </c>
      <c r="B843" s="168" t="e">
        <f t="shared" ca="1" si="94"/>
        <v>#NAME?</v>
      </c>
      <c r="C843" s="90" t="e">
        <f ca="1">[0]!CSVVLookUP(ROW(行数!A835),配列!$C$4,集計記録,3,1)</f>
        <v>#NAME?</v>
      </c>
      <c r="D843" s="90" t="e">
        <f ca="1">[0]!CSVVLookUP(ROW(行数!B835),配列!$C$4,集計記録,4,1)</f>
        <v>#NAME?</v>
      </c>
      <c r="E843" s="118" t="e">
        <f t="shared" ca="1" si="95"/>
        <v>#NAME?</v>
      </c>
      <c r="F843" s="118" t="e">
        <f t="shared" ca="1" si="96"/>
        <v>#NAME?</v>
      </c>
      <c r="G843" s="103" t="e">
        <f t="shared" ca="1" si="97"/>
        <v>#NAME?</v>
      </c>
      <c r="H843" s="104" t="e">
        <f ca="1">IF(C843="","",MROUND([0]!CSVVLookUP(ROW(行数!A835),配列!$C$4,集計記録,8,1),"0:01"))</f>
        <v>#NAME?</v>
      </c>
      <c r="I843" s="104" t="e">
        <f t="shared" ca="1" si="98"/>
        <v>#NAME?</v>
      </c>
      <c r="J843" s="119" t="e">
        <f ca="1">IF(C843="","",MROUND([0]!CSVVLookUP(ROW(行数!A835),配列!$C$4,集計記録,7,1),"0:01"))</f>
        <v>#NAME?</v>
      </c>
      <c r="K843" s="92" t="e">
        <f ca="1">IF(C843="","",[0]!CSVVLookUP(ROW(行数!A835),配列!$C$4,集計記録,5,1))</f>
        <v>#NAME?</v>
      </c>
      <c r="L843" s="104" t="e">
        <f t="shared" ca="1" si="99"/>
        <v>#NAME?</v>
      </c>
      <c r="M843" s="120" t="e">
        <f t="shared" ca="1" si="93"/>
        <v>#NAME?</v>
      </c>
      <c r="N843" s="120" t="e">
        <f ca="1">IF([0]!CSVVLookUP(ROW(行数!A835),配列!$C$4,集計記録,6,1)=0,"",[0]!CSVVLookUP(ROW(行数!A835),配列!$C$4,集計記録,6,1))</f>
        <v>#NAME?</v>
      </c>
      <c r="O843" s="88" t="e">
        <f ca="1">IF(INDIRECT("M"&amp;ROW()-1)&lt;&gt;INDIRECT("M"&amp;ROW()),リスト!$I$5,"")</f>
        <v>#NAME?</v>
      </c>
      <c r="P843" s="88" t="e">
        <f ca="1">IF(INDIRECT("M"&amp;ROW())&lt;&gt;INDIRECT("M"&amp;ROW()+1),リスト!$I$6,"")</f>
        <v>#NAME?</v>
      </c>
    </row>
    <row r="844" spans="1:16" x14ac:dyDescent="0.2">
      <c r="A844" s="169" t="e">
        <f ca="1">IF(C844="","",ROW(行数!A836))</f>
        <v>#NAME?</v>
      </c>
      <c r="B844" s="168" t="e">
        <f t="shared" ca="1" si="94"/>
        <v>#NAME?</v>
      </c>
      <c r="C844" s="90" t="e">
        <f ca="1">[0]!CSVVLookUP(ROW(行数!A836),配列!$C$4,集計記録,3,1)</f>
        <v>#NAME?</v>
      </c>
      <c r="D844" s="90" t="e">
        <f ca="1">[0]!CSVVLookUP(ROW(行数!B836),配列!$C$4,集計記録,4,1)</f>
        <v>#NAME?</v>
      </c>
      <c r="E844" s="118" t="e">
        <f t="shared" ca="1" si="95"/>
        <v>#NAME?</v>
      </c>
      <c r="F844" s="118" t="e">
        <f t="shared" ca="1" si="96"/>
        <v>#NAME?</v>
      </c>
      <c r="G844" s="103" t="e">
        <f t="shared" ca="1" si="97"/>
        <v>#NAME?</v>
      </c>
      <c r="H844" s="104" t="e">
        <f ca="1">IF(C844="","",MROUND([0]!CSVVLookUP(ROW(行数!A836),配列!$C$4,集計記録,8,1),"0:01"))</f>
        <v>#NAME?</v>
      </c>
      <c r="I844" s="104" t="e">
        <f t="shared" ca="1" si="98"/>
        <v>#NAME?</v>
      </c>
      <c r="J844" s="119" t="e">
        <f ca="1">IF(C844="","",MROUND([0]!CSVVLookUP(ROW(行数!A836),配列!$C$4,集計記録,7,1),"0:01"))</f>
        <v>#NAME?</v>
      </c>
      <c r="K844" s="92" t="e">
        <f ca="1">IF(C844="","",[0]!CSVVLookUP(ROW(行数!A836),配列!$C$4,集計記録,5,1))</f>
        <v>#NAME?</v>
      </c>
      <c r="L844" s="104" t="e">
        <f t="shared" ca="1" si="99"/>
        <v>#NAME?</v>
      </c>
      <c r="M844" s="120" t="e">
        <f t="shared" ca="1" si="93"/>
        <v>#NAME?</v>
      </c>
      <c r="N844" s="120" t="e">
        <f ca="1">IF([0]!CSVVLookUP(ROW(行数!A836),配列!$C$4,集計記録,6,1)=0,"",[0]!CSVVLookUP(ROW(行数!A836),配列!$C$4,集計記録,6,1))</f>
        <v>#NAME?</v>
      </c>
      <c r="O844" s="88" t="e">
        <f ca="1">IF(INDIRECT("M"&amp;ROW()-1)&lt;&gt;INDIRECT("M"&amp;ROW()),リスト!$I$5,"")</f>
        <v>#NAME?</v>
      </c>
      <c r="P844" s="88" t="e">
        <f ca="1">IF(INDIRECT("M"&amp;ROW())&lt;&gt;INDIRECT("M"&amp;ROW()+1),リスト!$I$6,"")</f>
        <v>#NAME?</v>
      </c>
    </row>
    <row r="845" spans="1:16" x14ac:dyDescent="0.2">
      <c r="A845" s="169" t="e">
        <f ca="1">IF(C845="","",ROW(行数!A837))</f>
        <v>#NAME?</v>
      </c>
      <c r="B845" s="168" t="e">
        <f t="shared" ca="1" si="94"/>
        <v>#NAME?</v>
      </c>
      <c r="C845" s="90" t="e">
        <f ca="1">[0]!CSVVLookUP(ROW(行数!A837),配列!$C$4,集計記録,3,1)</f>
        <v>#NAME?</v>
      </c>
      <c r="D845" s="90" t="e">
        <f ca="1">[0]!CSVVLookUP(ROW(行数!B837),配列!$C$4,集計記録,4,1)</f>
        <v>#NAME?</v>
      </c>
      <c r="E845" s="118" t="e">
        <f t="shared" ca="1" si="95"/>
        <v>#NAME?</v>
      </c>
      <c r="F845" s="118" t="e">
        <f t="shared" ca="1" si="96"/>
        <v>#NAME?</v>
      </c>
      <c r="G845" s="103" t="e">
        <f t="shared" ca="1" si="97"/>
        <v>#NAME?</v>
      </c>
      <c r="H845" s="104" t="e">
        <f ca="1">IF(C845="","",MROUND([0]!CSVVLookUP(ROW(行数!A837),配列!$C$4,集計記録,8,1),"0:01"))</f>
        <v>#NAME?</v>
      </c>
      <c r="I845" s="104" t="e">
        <f t="shared" ca="1" si="98"/>
        <v>#NAME?</v>
      </c>
      <c r="J845" s="119" t="e">
        <f ca="1">IF(C845="","",MROUND([0]!CSVVLookUP(ROW(行数!A837),配列!$C$4,集計記録,7,1),"0:01"))</f>
        <v>#NAME?</v>
      </c>
      <c r="K845" s="92" t="e">
        <f ca="1">IF(C845="","",[0]!CSVVLookUP(ROW(行数!A837),配列!$C$4,集計記録,5,1))</f>
        <v>#NAME?</v>
      </c>
      <c r="L845" s="104" t="e">
        <f t="shared" ca="1" si="99"/>
        <v>#NAME?</v>
      </c>
      <c r="M845" s="120" t="e">
        <f t="shared" ca="1" si="93"/>
        <v>#NAME?</v>
      </c>
      <c r="N845" s="120" t="e">
        <f ca="1">IF([0]!CSVVLookUP(ROW(行数!A837),配列!$C$4,集計記録,6,1)=0,"",[0]!CSVVLookUP(ROW(行数!A837),配列!$C$4,集計記録,6,1))</f>
        <v>#NAME?</v>
      </c>
      <c r="O845" s="88" t="e">
        <f ca="1">IF(INDIRECT("M"&amp;ROW()-1)&lt;&gt;INDIRECT("M"&amp;ROW()),リスト!$I$5,"")</f>
        <v>#NAME?</v>
      </c>
      <c r="P845" s="88" t="e">
        <f ca="1">IF(INDIRECT("M"&amp;ROW())&lt;&gt;INDIRECT("M"&amp;ROW()+1),リスト!$I$6,"")</f>
        <v>#NAME?</v>
      </c>
    </row>
    <row r="846" spans="1:16" x14ac:dyDescent="0.2">
      <c r="A846" s="169" t="e">
        <f ca="1">IF(C846="","",ROW(行数!A838))</f>
        <v>#NAME?</v>
      </c>
      <c r="B846" s="168" t="e">
        <f t="shared" ca="1" si="94"/>
        <v>#NAME?</v>
      </c>
      <c r="C846" s="90" t="e">
        <f ca="1">[0]!CSVVLookUP(ROW(行数!A838),配列!$C$4,集計記録,3,1)</f>
        <v>#NAME?</v>
      </c>
      <c r="D846" s="90" t="e">
        <f ca="1">[0]!CSVVLookUP(ROW(行数!B838),配列!$C$4,集計記録,4,1)</f>
        <v>#NAME?</v>
      </c>
      <c r="E846" s="118" t="e">
        <f t="shared" ca="1" si="95"/>
        <v>#NAME?</v>
      </c>
      <c r="F846" s="118" t="e">
        <f t="shared" ca="1" si="96"/>
        <v>#NAME?</v>
      </c>
      <c r="G846" s="103" t="e">
        <f t="shared" ca="1" si="97"/>
        <v>#NAME?</v>
      </c>
      <c r="H846" s="104" t="e">
        <f ca="1">IF(C846="","",MROUND([0]!CSVVLookUP(ROW(行数!A838),配列!$C$4,集計記録,8,1),"0:01"))</f>
        <v>#NAME?</v>
      </c>
      <c r="I846" s="104" t="e">
        <f t="shared" ca="1" si="98"/>
        <v>#NAME?</v>
      </c>
      <c r="J846" s="119" t="e">
        <f ca="1">IF(C846="","",MROUND([0]!CSVVLookUP(ROW(行数!A838),配列!$C$4,集計記録,7,1),"0:01"))</f>
        <v>#NAME?</v>
      </c>
      <c r="K846" s="92" t="e">
        <f ca="1">IF(C846="","",[0]!CSVVLookUP(ROW(行数!A838),配列!$C$4,集計記録,5,1))</f>
        <v>#NAME?</v>
      </c>
      <c r="L846" s="104" t="e">
        <f t="shared" ca="1" si="99"/>
        <v>#NAME?</v>
      </c>
      <c r="M846" s="120" t="e">
        <f t="shared" ca="1" si="93"/>
        <v>#NAME?</v>
      </c>
      <c r="N846" s="120" t="e">
        <f ca="1">IF([0]!CSVVLookUP(ROW(行数!A838),配列!$C$4,集計記録,6,1)=0,"",[0]!CSVVLookUP(ROW(行数!A838),配列!$C$4,集計記録,6,1))</f>
        <v>#NAME?</v>
      </c>
      <c r="O846" s="88" t="e">
        <f ca="1">IF(INDIRECT("M"&amp;ROW()-1)&lt;&gt;INDIRECT("M"&amp;ROW()),リスト!$I$5,"")</f>
        <v>#NAME?</v>
      </c>
      <c r="P846" s="88" t="e">
        <f ca="1">IF(INDIRECT("M"&amp;ROW())&lt;&gt;INDIRECT("M"&amp;ROW()+1),リスト!$I$6,"")</f>
        <v>#NAME?</v>
      </c>
    </row>
    <row r="847" spans="1:16" x14ac:dyDescent="0.2">
      <c r="A847" s="169" t="e">
        <f ca="1">IF(C847="","",ROW(行数!A839))</f>
        <v>#NAME?</v>
      </c>
      <c r="B847" s="168" t="e">
        <f t="shared" ca="1" si="94"/>
        <v>#NAME?</v>
      </c>
      <c r="C847" s="90" t="e">
        <f ca="1">[0]!CSVVLookUP(ROW(行数!A839),配列!$C$4,集計記録,3,1)</f>
        <v>#NAME?</v>
      </c>
      <c r="D847" s="90" t="e">
        <f ca="1">[0]!CSVVLookUP(ROW(行数!B839),配列!$C$4,集計記録,4,1)</f>
        <v>#NAME?</v>
      </c>
      <c r="E847" s="118" t="e">
        <f t="shared" ca="1" si="95"/>
        <v>#NAME?</v>
      </c>
      <c r="F847" s="118" t="e">
        <f t="shared" ca="1" si="96"/>
        <v>#NAME?</v>
      </c>
      <c r="G847" s="103" t="e">
        <f t="shared" ca="1" si="97"/>
        <v>#NAME?</v>
      </c>
      <c r="H847" s="104" t="e">
        <f ca="1">IF(C847="","",MROUND([0]!CSVVLookUP(ROW(行数!A839),配列!$C$4,集計記録,8,1),"0:01"))</f>
        <v>#NAME?</v>
      </c>
      <c r="I847" s="104" t="e">
        <f t="shared" ca="1" si="98"/>
        <v>#NAME?</v>
      </c>
      <c r="J847" s="119" t="e">
        <f ca="1">IF(C847="","",MROUND([0]!CSVVLookUP(ROW(行数!A839),配列!$C$4,集計記録,7,1),"0:01"))</f>
        <v>#NAME?</v>
      </c>
      <c r="K847" s="92" t="e">
        <f ca="1">IF(C847="","",[0]!CSVVLookUP(ROW(行数!A839),配列!$C$4,集計記録,5,1))</f>
        <v>#NAME?</v>
      </c>
      <c r="L847" s="104" t="e">
        <f t="shared" ca="1" si="99"/>
        <v>#NAME?</v>
      </c>
      <c r="M847" s="120" t="e">
        <f t="shared" ca="1" si="93"/>
        <v>#NAME?</v>
      </c>
      <c r="N847" s="120" t="e">
        <f ca="1">IF([0]!CSVVLookUP(ROW(行数!A839),配列!$C$4,集計記録,6,1)=0,"",[0]!CSVVLookUP(ROW(行数!A839),配列!$C$4,集計記録,6,1))</f>
        <v>#NAME?</v>
      </c>
      <c r="O847" s="88" t="e">
        <f ca="1">IF(INDIRECT("M"&amp;ROW()-1)&lt;&gt;INDIRECT("M"&amp;ROW()),リスト!$I$5,"")</f>
        <v>#NAME?</v>
      </c>
      <c r="P847" s="88" t="e">
        <f ca="1">IF(INDIRECT("M"&amp;ROW())&lt;&gt;INDIRECT("M"&amp;ROW()+1),リスト!$I$6,"")</f>
        <v>#NAME?</v>
      </c>
    </row>
    <row r="848" spans="1:16" x14ac:dyDescent="0.2">
      <c r="A848" s="169" t="e">
        <f ca="1">IF(C848="","",ROW(行数!A840))</f>
        <v>#NAME?</v>
      </c>
      <c r="B848" s="168" t="e">
        <f t="shared" ca="1" si="94"/>
        <v>#NAME?</v>
      </c>
      <c r="C848" s="90" t="e">
        <f ca="1">[0]!CSVVLookUP(ROW(行数!A840),配列!$C$4,集計記録,3,1)</f>
        <v>#NAME?</v>
      </c>
      <c r="D848" s="90" t="e">
        <f ca="1">[0]!CSVVLookUP(ROW(行数!B840),配列!$C$4,集計記録,4,1)</f>
        <v>#NAME?</v>
      </c>
      <c r="E848" s="118" t="e">
        <f t="shared" ca="1" si="95"/>
        <v>#NAME?</v>
      </c>
      <c r="F848" s="118" t="e">
        <f t="shared" ca="1" si="96"/>
        <v>#NAME?</v>
      </c>
      <c r="G848" s="103" t="e">
        <f t="shared" ca="1" si="97"/>
        <v>#NAME?</v>
      </c>
      <c r="H848" s="104" t="e">
        <f ca="1">IF(C848="","",MROUND([0]!CSVVLookUP(ROW(行数!A840),配列!$C$4,集計記録,8,1),"0:01"))</f>
        <v>#NAME?</v>
      </c>
      <c r="I848" s="104" t="e">
        <f t="shared" ca="1" si="98"/>
        <v>#NAME?</v>
      </c>
      <c r="J848" s="119" t="e">
        <f ca="1">IF(C848="","",MROUND([0]!CSVVLookUP(ROW(行数!A840),配列!$C$4,集計記録,7,1),"0:01"))</f>
        <v>#NAME?</v>
      </c>
      <c r="K848" s="92" t="e">
        <f ca="1">IF(C848="","",[0]!CSVVLookUP(ROW(行数!A840),配列!$C$4,集計記録,5,1))</f>
        <v>#NAME?</v>
      </c>
      <c r="L848" s="104" t="e">
        <f t="shared" ca="1" si="99"/>
        <v>#NAME?</v>
      </c>
      <c r="M848" s="120" t="e">
        <f t="shared" ca="1" si="93"/>
        <v>#NAME?</v>
      </c>
      <c r="N848" s="120" t="e">
        <f ca="1">IF([0]!CSVVLookUP(ROW(行数!A840),配列!$C$4,集計記録,6,1)=0,"",[0]!CSVVLookUP(ROW(行数!A840),配列!$C$4,集計記録,6,1))</f>
        <v>#NAME?</v>
      </c>
      <c r="O848" s="88" t="e">
        <f ca="1">IF(INDIRECT("M"&amp;ROW()-1)&lt;&gt;INDIRECT("M"&amp;ROW()),リスト!$I$5,"")</f>
        <v>#NAME?</v>
      </c>
      <c r="P848" s="88" t="e">
        <f ca="1">IF(INDIRECT("M"&amp;ROW())&lt;&gt;INDIRECT("M"&amp;ROW()+1),リスト!$I$6,"")</f>
        <v>#NAME?</v>
      </c>
    </row>
    <row r="849" spans="1:16" x14ac:dyDescent="0.2">
      <c r="A849" s="169" t="e">
        <f ca="1">IF(C849="","",ROW(行数!A841))</f>
        <v>#NAME?</v>
      </c>
      <c r="B849" s="168" t="e">
        <f t="shared" ca="1" si="94"/>
        <v>#NAME?</v>
      </c>
      <c r="C849" s="90" t="e">
        <f ca="1">[0]!CSVVLookUP(ROW(行数!A841),配列!$C$4,集計記録,3,1)</f>
        <v>#NAME?</v>
      </c>
      <c r="D849" s="90" t="e">
        <f ca="1">[0]!CSVVLookUP(ROW(行数!B841),配列!$C$4,集計記録,4,1)</f>
        <v>#NAME?</v>
      </c>
      <c r="E849" s="118" t="e">
        <f t="shared" ca="1" si="95"/>
        <v>#NAME?</v>
      </c>
      <c r="F849" s="118" t="e">
        <f t="shared" ca="1" si="96"/>
        <v>#NAME?</v>
      </c>
      <c r="G849" s="103" t="e">
        <f t="shared" ca="1" si="97"/>
        <v>#NAME?</v>
      </c>
      <c r="H849" s="104" t="e">
        <f ca="1">IF(C849="","",MROUND([0]!CSVVLookUP(ROW(行数!A841),配列!$C$4,集計記録,8,1),"0:01"))</f>
        <v>#NAME?</v>
      </c>
      <c r="I849" s="104" t="e">
        <f t="shared" ca="1" si="98"/>
        <v>#NAME?</v>
      </c>
      <c r="J849" s="119" t="e">
        <f ca="1">IF(C849="","",MROUND([0]!CSVVLookUP(ROW(行数!A841),配列!$C$4,集計記録,7,1),"0:01"))</f>
        <v>#NAME?</v>
      </c>
      <c r="K849" s="92" t="e">
        <f ca="1">IF(C849="","",[0]!CSVVLookUP(ROW(行数!A841),配列!$C$4,集計記録,5,1))</f>
        <v>#NAME?</v>
      </c>
      <c r="L849" s="104" t="e">
        <f t="shared" ca="1" si="99"/>
        <v>#NAME?</v>
      </c>
      <c r="M849" s="120" t="e">
        <f t="shared" ca="1" si="93"/>
        <v>#NAME?</v>
      </c>
      <c r="N849" s="120" t="e">
        <f ca="1">IF([0]!CSVVLookUP(ROW(行数!A841),配列!$C$4,集計記録,6,1)=0,"",[0]!CSVVLookUP(ROW(行数!A841),配列!$C$4,集計記録,6,1))</f>
        <v>#NAME?</v>
      </c>
      <c r="O849" s="88" t="e">
        <f ca="1">IF(INDIRECT("M"&amp;ROW()-1)&lt;&gt;INDIRECT("M"&amp;ROW()),リスト!$I$5,"")</f>
        <v>#NAME?</v>
      </c>
      <c r="P849" s="88" t="e">
        <f ca="1">IF(INDIRECT("M"&amp;ROW())&lt;&gt;INDIRECT("M"&amp;ROW()+1),リスト!$I$6,"")</f>
        <v>#NAME?</v>
      </c>
    </row>
    <row r="850" spans="1:16" x14ac:dyDescent="0.2">
      <c r="A850" s="169" t="e">
        <f ca="1">IF(C850="","",ROW(行数!A842))</f>
        <v>#NAME?</v>
      </c>
      <c r="B850" s="168" t="e">
        <f t="shared" ca="1" si="94"/>
        <v>#NAME?</v>
      </c>
      <c r="C850" s="90" t="e">
        <f ca="1">[0]!CSVVLookUP(ROW(行数!A842),配列!$C$4,集計記録,3,1)</f>
        <v>#NAME?</v>
      </c>
      <c r="D850" s="90" t="e">
        <f ca="1">[0]!CSVVLookUP(ROW(行数!B842),配列!$C$4,集計記録,4,1)</f>
        <v>#NAME?</v>
      </c>
      <c r="E850" s="118" t="e">
        <f t="shared" ca="1" si="95"/>
        <v>#NAME?</v>
      </c>
      <c r="F850" s="118" t="e">
        <f t="shared" ca="1" si="96"/>
        <v>#NAME?</v>
      </c>
      <c r="G850" s="103" t="e">
        <f t="shared" ca="1" si="97"/>
        <v>#NAME?</v>
      </c>
      <c r="H850" s="104" t="e">
        <f ca="1">IF(C850="","",MROUND([0]!CSVVLookUP(ROW(行数!A842),配列!$C$4,集計記録,8,1),"0:01"))</f>
        <v>#NAME?</v>
      </c>
      <c r="I850" s="104" t="e">
        <f t="shared" ca="1" si="98"/>
        <v>#NAME?</v>
      </c>
      <c r="J850" s="119" t="e">
        <f ca="1">IF(C850="","",MROUND([0]!CSVVLookUP(ROW(行数!A842),配列!$C$4,集計記録,7,1),"0:01"))</f>
        <v>#NAME?</v>
      </c>
      <c r="K850" s="92" t="e">
        <f ca="1">IF(C850="","",[0]!CSVVLookUP(ROW(行数!A842),配列!$C$4,集計記録,5,1))</f>
        <v>#NAME?</v>
      </c>
      <c r="L850" s="104" t="e">
        <f t="shared" ca="1" si="99"/>
        <v>#NAME?</v>
      </c>
      <c r="M850" s="120" t="e">
        <f t="shared" ca="1" si="93"/>
        <v>#NAME?</v>
      </c>
      <c r="N850" s="120" t="e">
        <f ca="1">IF([0]!CSVVLookUP(ROW(行数!A842),配列!$C$4,集計記録,6,1)=0,"",[0]!CSVVLookUP(ROW(行数!A842),配列!$C$4,集計記録,6,1))</f>
        <v>#NAME?</v>
      </c>
      <c r="O850" s="88" t="e">
        <f ca="1">IF(INDIRECT("M"&amp;ROW()-1)&lt;&gt;INDIRECT("M"&amp;ROW()),リスト!$I$5,"")</f>
        <v>#NAME?</v>
      </c>
      <c r="P850" s="88" t="e">
        <f ca="1">IF(INDIRECT("M"&amp;ROW())&lt;&gt;INDIRECT("M"&amp;ROW()+1),リスト!$I$6,"")</f>
        <v>#NAME?</v>
      </c>
    </row>
    <row r="851" spans="1:16" x14ac:dyDescent="0.2">
      <c r="A851" s="169" t="e">
        <f ca="1">IF(C851="","",ROW(行数!A843))</f>
        <v>#NAME?</v>
      </c>
      <c r="B851" s="168" t="e">
        <f t="shared" ca="1" si="94"/>
        <v>#NAME?</v>
      </c>
      <c r="C851" s="90" t="e">
        <f ca="1">[0]!CSVVLookUP(ROW(行数!A843),配列!$C$4,集計記録,3,1)</f>
        <v>#NAME?</v>
      </c>
      <c r="D851" s="90" t="e">
        <f ca="1">[0]!CSVVLookUP(ROW(行数!B843),配列!$C$4,集計記録,4,1)</f>
        <v>#NAME?</v>
      </c>
      <c r="E851" s="118" t="e">
        <f t="shared" ca="1" si="95"/>
        <v>#NAME?</v>
      </c>
      <c r="F851" s="118" t="e">
        <f t="shared" ca="1" si="96"/>
        <v>#NAME?</v>
      </c>
      <c r="G851" s="103" t="e">
        <f t="shared" ca="1" si="97"/>
        <v>#NAME?</v>
      </c>
      <c r="H851" s="104" t="e">
        <f ca="1">IF(C851="","",MROUND([0]!CSVVLookUP(ROW(行数!A843),配列!$C$4,集計記録,8,1),"0:01"))</f>
        <v>#NAME?</v>
      </c>
      <c r="I851" s="104" t="e">
        <f t="shared" ca="1" si="98"/>
        <v>#NAME?</v>
      </c>
      <c r="J851" s="119" t="e">
        <f ca="1">IF(C851="","",MROUND([0]!CSVVLookUP(ROW(行数!A843),配列!$C$4,集計記録,7,1),"0:01"))</f>
        <v>#NAME?</v>
      </c>
      <c r="K851" s="92" t="e">
        <f ca="1">IF(C851="","",[0]!CSVVLookUP(ROW(行数!A843),配列!$C$4,集計記録,5,1))</f>
        <v>#NAME?</v>
      </c>
      <c r="L851" s="104" t="e">
        <f t="shared" ca="1" si="99"/>
        <v>#NAME?</v>
      </c>
      <c r="M851" s="120" t="e">
        <f t="shared" ca="1" si="93"/>
        <v>#NAME?</v>
      </c>
      <c r="N851" s="120" t="e">
        <f ca="1">IF([0]!CSVVLookUP(ROW(行数!A843),配列!$C$4,集計記録,6,1)=0,"",[0]!CSVVLookUP(ROW(行数!A843),配列!$C$4,集計記録,6,1))</f>
        <v>#NAME?</v>
      </c>
      <c r="O851" s="88" t="e">
        <f ca="1">IF(INDIRECT("M"&amp;ROW()-1)&lt;&gt;INDIRECT("M"&amp;ROW()),リスト!$I$5,"")</f>
        <v>#NAME?</v>
      </c>
      <c r="P851" s="88" t="e">
        <f ca="1">IF(INDIRECT("M"&amp;ROW())&lt;&gt;INDIRECT("M"&amp;ROW()+1),リスト!$I$6,"")</f>
        <v>#NAME?</v>
      </c>
    </row>
    <row r="852" spans="1:16" x14ac:dyDescent="0.2">
      <c r="A852" s="169" t="e">
        <f ca="1">IF(C852="","",ROW(行数!A844))</f>
        <v>#NAME?</v>
      </c>
      <c r="B852" s="168" t="e">
        <f t="shared" ca="1" si="94"/>
        <v>#NAME?</v>
      </c>
      <c r="C852" s="90" t="e">
        <f ca="1">[0]!CSVVLookUP(ROW(行数!A844),配列!$C$4,集計記録,3,1)</f>
        <v>#NAME?</v>
      </c>
      <c r="D852" s="90" t="e">
        <f ca="1">[0]!CSVVLookUP(ROW(行数!B844),配列!$C$4,集計記録,4,1)</f>
        <v>#NAME?</v>
      </c>
      <c r="E852" s="118" t="e">
        <f t="shared" ca="1" si="95"/>
        <v>#NAME?</v>
      </c>
      <c r="F852" s="118" t="e">
        <f t="shared" ca="1" si="96"/>
        <v>#NAME?</v>
      </c>
      <c r="G852" s="103" t="e">
        <f t="shared" ca="1" si="97"/>
        <v>#NAME?</v>
      </c>
      <c r="H852" s="104" t="e">
        <f ca="1">IF(C852="","",MROUND([0]!CSVVLookUP(ROW(行数!A844),配列!$C$4,集計記録,8,1),"0:01"))</f>
        <v>#NAME?</v>
      </c>
      <c r="I852" s="104" t="e">
        <f t="shared" ca="1" si="98"/>
        <v>#NAME?</v>
      </c>
      <c r="J852" s="119" t="e">
        <f ca="1">IF(C852="","",MROUND([0]!CSVVLookUP(ROW(行数!A844),配列!$C$4,集計記録,7,1),"0:01"))</f>
        <v>#NAME?</v>
      </c>
      <c r="K852" s="92" t="e">
        <f ca="1">IF(C852="","",[0]!CSVVLookUP(ROW(行数!A844),配列!$C$4,集計記録,5,1))</f>
        <v>#NAME?</v>
      </c>
      <c r="L852" s="104" t="e">
        <f t="shared" ca="1" si="99"/>
        <v>#NAME?</v>
      </c>
      <c r="M852" s="120" t="e">
        <f t="shared" ca="1" si="93"/>
        <v>#NAME?</v>
      </c>
      <c r="N852" s="120" t="e">
        <f ca="1">IF([0]!CSVVLookUP(ROW(行数!A844),配列!$C$4,集計記録,6,1)=0,"",[0]!CSVVLookUP(ROW(行数!A844),配列!$C$4,集計記録,6,1))</f>
        <v>#NAME?</v>
      </c>
      <c r="O852" s="88" t="e">
        <f ca="1">IF(INDIRECT("M"&amp;ROW()-1)&lt;&gt;INDIRECT("M"&amp;ROW()),リスト!$I$5,"")</f>
        <v>#NAME?</v>
      </c>
      <c r="P852" s="88" t="e">
        <f ca="1">IF(INDIRECT("M"&amp;ROW())&lt;&gt;INDIRECT("M"&amp;ROW()+1),リスト!$I$6,"")</f>
        <v>#NAME?</v>
      </c>
    </row>
    <row r="853" spans="1:16" x14ac:dyDescent="0.2">
      <c r="A853" s="169" t="e">
        <f ca="1">IF(C853="","",ROW(行数!A845))</f>
        <v>#NAME?</v>
      </c>
      <c r="B853" s="168" t="e">
        <f t="shared" ca="1" si="94"/>
        <v>#NAME?</v>
      </c>
      <c r="C853" s="90" t="e">
        <f ca="1">[0]!CSVVLookUP(ROW(行数!A845),配列!$C$4,集計記録,3,1)</f>
        <v>#NAME?</v>
      </c>
      <c r="D853" s="90" t="e">
        <f ca="1">[0]!CSVVLookUP(ROW(行数!B845),配列!$C$4,集計記録,4,1)</f>
        <v>#NAME?</v>
      </c>
      <c r="E853" s="118" t="e">
        <f t="shared" ca="1" si="95"/>
        <v>#NAME?</v>
      </c>
      <c r="F853" s="118" t="e">
        <f t="shared" ca="1" si="96"/>
        <v>#NAME?</v>
      </c>
      <c r="G853" s="103" t="e">
        <f t="shared" ca="1" si="97"/>
        <v>#NAME?</v>
      </c>
      <c r="H853" s="104" t="e">
        <f ca="1">IF(C853="","",MROUND([0]!CSVVLookUP(ROW(行数!A845),配列!$C$4,集計記録,8,1),"0:01"))</f>
        <v>#NAME?</v>
      </c>
      <c r="I853" s="104" t="e">
        <f t="shared" ca="1" si="98"/>
        <v>#NAME?</v>
      </c>
      <c r="J853" s="119" t="e">
        <f ca="1">IF(C853="","",MROUND([0]!CSVVLookUP(ROW(行数!A845),配列!$C$4,集計記録,7,1),"0:01"))</f>
        <v>#NAME?</v>
      </c>
      <c r="K853" s="92" t="e">
        <f ca="1">IF(C853="","",[0]!CSVVLookUP(ROW(行数!A845),配列!$C$4,集計記録,5,1))</f>
        <v>#NAME?</v>
      </c>
      <c r="L853" s="104" t="e">
        <f t="shared" ca="1" si="99"/>
        <v>#NAME?</v>
      </c>
      <c r="M853" s="120" t="e">
        <f t="shared" ca="1" si="93"/>
        <v>#NAME?</v>
      </c>
      <c r="N853" s="120" t="e">
        <f ca="1">IF([0]!CSVVLookUP(ROW(行数!A845),配列!$C$4,集計記録,6,1)=0,"",[0]!CSVVLookUP(ROW(行数!A845),配列!$C$4,集計記録,6,1))</f>
        <v>#NAME?</v>
      </c>
      <c r="O853" s="88" t="e">
        <f ca="1">IF(INDIRECT("M"&amp;ROW()-1)&lt;&gt;INDIRECT("M"&amp;ROW()),リスト!$I$5,"")</f>
        <v>#NAME?</v>
      </c>
      <c r="P853" s="88" t="e">
        <f ca="1">IF(INDIRECT("M"&amp;ROW())&lt;&gt;INDIRECT("M"&amp;ROW()+1),リスト!$I$6,"")</f>
        <v>#NAME?</v>
      </c>
    </row>
    <row r="854" spans="1:16" x14ac:dyDescent="0.2">
      <c r="A854" s="169" t="e">
        <f ca="1">IF(C854="","",ROW(行数!A846))</f>
        <v>#NAME?</v>
      </c>
      <c r="B854" s="168" t="e">
        <f t="shared" ca="1" si="94"/>
        <v>#NAME?</v>
      </c>
      <c r="C854" s="90" t="e">
        <f ca="1">[0]!CSVVLookUP(ROW(行数!A846),配列!$C$4,集計記録,3,1)</f>
        <v>#NAME?</v>
      </c>
      <c r="D854" s="90" t="e">
        <f ca="1">[0]!CSVVLookUP(ROW(行数!B846),配列!$C$4,集計記録,4,1)</f>
        <v>#NAME?</v>
      </c>
      <c r="E854" s="118" t="e">
        <f t="shared" ca="1" si="95"/>
        <v>#NAME?</v>
      </c>
      <c r="F854" s="118" t="e">
        <f t="shared" ca="1" si="96"/>
        <v>#NAME?</v>
      </c>
      <c r="G854" s="103" t="e">
        <f t="shared" ca="1" si="97"/>
        <v>#NAME?</v>
      </c>
      <c r="H854" s="104" t="e">
        <f ca="1">IF(C854="","",MROUND([0]!CSVVLookUP(ROW(行数!A846),配列!$C$4,集計記録,8,1),"0:01"))</f>
        <v>#NAME?</v>
      </c>
      <c r="I854" s="104" t="e">
        <f t="shared" ca="1" si="98"/>
        <v>#NAME?</v>
      </c>
      <c r="J854" s="119" t="e">
        <f ca="1">IF(C854="","",MROUND([0]!CSVVLookUP(ROW(行数!A846),配列!$C$4,集計記録,7,1),"0:01"))</f>
        <v>#NAME?</v>
      </c>
      <c r="K854" s="92" t="e">
        <f ca="1">IF(C854="","",[0]!CSVVLookUP(ROW(行数!A846),配列!$C$4,集計記録,5,1))</f>
        <v>#NAME?</v>
      </c>
      <c r="L854" s="104" t="e">
        <f t="shared" ca="1" si="99"/>
        <v>#NAME?</v>
      </c>
      <c r="M854" s="120" t="e">
        <f t="shared" ca="1" si="93"/>
        <v>#NAME?</v>
      </c>
      <c r="N854" s="120" t="e">
        <f ca="1">IF([0]!CSVVLookUP(ROW(行数!A846),配列!$C$4,集計記録,6,1)=0,"",[0]!CSVVLookUP(ROW(行数!A846),配列!$C$4,集計記録,6,1))</f>
        <v>#NAME?</v>
      </c>
      <c r="O854" s="88" t="e">
        <f ca="1">IF(INDIRECT("M"&amp;ROW()-1)&lt;&gt;INDIRECT("M"&amp;ROW()),リスト!$I$5,"")</f>
        <v>#NAME?</v>
      </c>
      <c r="P854" s="88" t="e">
        <f ca="1">IF(INDIRECT("M"&amp;ROW())&lt;&gt;INDIRECT("M"&amp;ROW()+1),リスト!$I$6,"")</f>
        <v>#NAME?</v>
      </c>
    </row>
    <row r="855" spans="1:16" x14ac:dyDescent="0.2">
      <c r="A855" s="169" t="e">
        <f ca="1">IF(C855="","",ROW(行数!A847))</f>
        <v>#NAME?</v>
      </c>
      <c r="B855" s="168" t="e">
        <f t="shared" ca="1" si="94"/>
        <v>#NAME?</v>
      </c>
      <c r="C855" s="90" t="e">
        <f ca="1">[0]!CSVVLookUP(ROW(行数!A847),配列!$C$4,集計記録,3,1)</f>
        <v>#NAME?</v>
      </c>
      <c r="D855" s="90" t="e">
        <f ca="1">[0]!CSVVLookUP(ROW(行数!B847),配列!$C$4,集計記録,4,1)</f>
        <v>#NAME?</v>
      </c>
      <c r="E855" s="118" t="e">
        <f t="shared" ca="1" si="95"/>
        <v>#NAME?</v>
      </c>
      <c r="F855" s="118" t="e">
        <f t="shared" ca="1" si="96"/>
        <v>#NAME?</v>
      </c>
      <c r="G855" s="103" t="e">
        <f t="shared" ca="1" si="97"/>
        <v>#NAME?</v>
      </c>
      <c r="H855" s="104" t="e">
        <f ca="1">IF(C855="","",MROUND([0]!CSVVLookUP(ROW(行数!A847),配列!$C$4,集計記録,8,1),"0:01"))</f>
        <v>#NAME?</v>
      </c>
      <c r="I855" s="104" t="e">
        <f t="shared" ca="1" si="98"/>
        <v>#NAME?</v>
      </c>
      <c r="J855" s="119" t="e">
        <f ca="1">IF(C855="","",MROUND([0]!CSVVLookUP(ROW(行数!A847),配列!$C$4,集計記録,7,1),"0:01"))</f>
        <v>#NAME?</v>
      </c>
      <c r="K855" s="92" t="e">
        <f ca="1">IF(C855="","",[0]!CSVVLookUP(ROW(行数!A847),配列!$C$4,集計記録,5,1))</f>
        <v>#NAME?</v>
      </c>
      <c r="L855" s="104" t="e">
        <f t="shared" ca="1" si="99"/>
        <v>#NAME?</v>
      </c>
      <c r="M855" s="120" t="e">
        <f t="shared" ca="1" si="93"/>
        <v>#NAME?</v>
      </c>
      <c r="N855" s="120" t="e">
        <f ca="1">IF([0]!CSVVLookUP(ROW(行数!A847),配列!$C$4,集計記録,6,1)=0,"",[0]!CSVVLookUP(ROW(行数!A847),配列!$C$4,集計記録,6,1))</f>
        <v>#NAME?</v>
      </c>
      <c r="O855" s="88" t="e">
        <f ca="1">IF(INDIRECT("M"&amp;ROW()-1)&lt;&gt;INDIRECT("M"&amp;ROW()),リスト!$I$5,"")</f>
        <v>#NAME?</v>
      </c>
      <c r="P855" s="88" t="e">
        <f ca="1">IF(INDIRECT("M"&amp;ROW())&lt;&gt;INDIRECT("M"&amp;ROW()+1),リスト!$I$6,"")</f>
        <v>#NAME?</v>
      </c>
    </row>
    <row r="856" spans="1:16" x14ac:dyDescent="0.2">
      <c r="A856" s="169" t="e">
        <f ca="1">IF(C856="","",ROW(行数!A848))</f>
        <v>#NAME?</v>
      </c>
      <c r="B856" s="168" t="e">
        <f t="shared" ca="1" si="94"/>
        <v>#NAME?</v>
      </c>
      <c r="C856" s="90" t="e">
        <f ca="1">[0]!CSVVLookUP(ROW(行数!A848),配列!$C$4,集計記録,3,1)</f>
        <v>#NAME?</v>
      </c>
      <c r="D856" s="90" t="e">
        <f ca="1">[0]!CSVVLookUP(ROW(行数!B848),配列!$C$4,集計記録,4,1)</f>
        <v>#NAME?</v>
      </c>
      <c r="E856" s="118" t="e">
        <f t="shared" ca="1" si="95"/>
        <v>#NAME?</v>
      </c>
      <c r="F856" s="118" t="e">
        <f t="shared" ca="1" si="96"/>
        <v>#NAME?</v>
      </c>
      <c r="G856" s="103" t="e">
        <f t="shared" ca="1" si="97"/>
        <v>#NAME?</v>
      </c>
      <c r="H856" s="104" t="e">
        <f ca="1">IF(C856="","",MROUND([0]!CSVVLookUP(ROW(行数!A848),配列!$C$4,集計記録,8,1),"0:01"))</f>
        <v>#NAME?</v>
      </c>
      <c r="I856" s="104" t="e">
        <f t="shared" ca="1" si="98"/>
        <v>#NAME?</v>
      </c>
      <c r="J856" s="119" t="e">
        <f ca="1">IF(C856="","",MROUND([0]!CSVVLookUP(ROW(行数!A848),配列!$C$4,集計記録,7,1),"0:01"))</f>
        <v>#NAME?</v>
      </c>
      <c r="K856" s="92" t="e">
        <f ca="1">IF(C856="","",[0]!CSVVLookUP(ROW(行数!A848),配列!$C$4,集計記録,5,1))</f>
        <v>#NAME?</v>
      </c>
      <c r="L856" s="104" t="e">
        <f t="shared" ca="1" si="99"/>
        <v>#NAME?</v>
      </c>
      <c r="M856" s="120" t="e">
        <f t="shared" ca="1" si="93"/>
        <v>#NAME?</v>
      </c>
      <c r="N856" s="120" t="e">
        <f ca="1">IF([0]!CSVVLookUP(ROW(行数!A848),配列!$C$4,集計記録,6,1)=0,"",[0]!CSVVLookUP(ROW(行数!A848),配列!$C$4,集計記録,6,1))</f>
        <v>#NAME?</v>
      </c>
      <c r="O856" s="88" t="e">
        <f ca="1">IF(INDIRECT("M"&amp;ROW()-1)&lt;&gt;INDIRECT("M"&amp;ROW()),リスト!$I$5,"")</f>
        <v>#NAME?</v>
      </c>
      <c r="P856" s="88" t="e">
        <f ca="1">IF(INDIRECT("M"&amp;ROW())&lt;&gt;INDIRECT("M"&amp;ROW()+1),リスト!$I$6,"")</f>
        <v>#NAME?</v>
      </c>
    </row>
    <row r="857" spans="1:16" x14ac:dyDescent="0.2">
      <c r="A857" s="169" t="e">
        <f ca="1">IF(C857="","",ROW(行数!A849))</f>
        <v>#NAME?</v>
      </c>
      <c r="B857" s="168" t="e">
        <f t="shared" ca="1" si="94"/>
        <v>#NAME?</v>
      </c>
      <c r="C857" s="90" t="e">
        <f ca="1">[0]!CSVVLookUP(ROW(行数!A849),配列!$C$4,集計記録,3,1)</f>
        <v>#NAME?</v>
      </c>
      <c r="D857" s="90" t="e">
        <f ca="1">[0]!CSVVLookUP(ROW(行数!B849),配列!$C$4,集計記録,4,1)</f>
        <v>#NAME?</v>
      </c>
      <c r="E857" s="118" t="e">
        <f t="shared" ca="1" si="95"/>
        <v>#NAME?</v>
      </c>
      <c r="F857" s="118" t="e">
        <f t="shared" ca="1" si="96"/>
        <v>#NAME?</v>
      </c>
      <c r="G857" s="103" t="e">
        <f t="shared" ca="1" si="97"/>
        <v>#NAME?</v>
      </c>
      <c r="H857" s="104" t="e">
        <f ca="1">IF(C857="","",MROUND([0]!CSVVLookUP(ROW(行数!A849),配列!$C$4,集計記録,8,1),"0:01"))</f>
        <v>#NAME?</v>
      </c>
      <c r="I857" s="104" t="e">
        <f t="shared" ca="1" si="98"/>
        <v>#NAME?</v>
      </c>
      <c r="J857" s="119" t="e">
        <f ca="1">IF(C857="","",MROUND([0]!CSVVLookUP(ROW(行数!A849),配列!$C$4,集計記録,7,1),"0:01"))</f>
        <v>#NAME?</v>
      </c>
      <c r="K857" s="92" t="e">
        <f ca="1">IF(C857="","",[0]!CSVVLookUP(ROW(行数!A849),配列!$C$4,集計記録,5,1))</f>
        <v>#NAME?</v>
      </c>
      <c r="L857" s="104" t="e">
        <f t="shared" ca="1" si="99"/>
        <v>#NAME?</v>
      </c>
      <c r="M857" s="120" t="e">
        <f t="shared" ca="1" si="93"/>
        <v>#NAME?</v>
      </c>
      <c r="N857" s="120" t="e">
        <f ca="1">IF([0]!CSVVLookUP(ROW(行数!A849),配列!$C$4,集計記録,6,1)=0,"",[0]!CSVVLookUP(ROW(行数!A849),配列!$C$4,集計記録,6,1))</f>
        <v>#NAME?</v>
      </c>
      <c r="O857" s="88" t="e">
        <f ca="1">IF(INDIRECT("M"&amp;ROW()-1)&lt;&gt;INDIRECT("M"&amp;ROW()),リスト!$I$5,"")</f>
        <v>#NAME?</v>
      </c>
      <c r="P857" s="88" t="e">
        <f ca="1">IF(INDIRECT("M"&amp;ROW())&lt;&gt;INDIRECT("M"&amp;ROW()+1),リスト!$I$6,"")</f>
        <v>#NAME?</v>
      </c>
    </row>
    <row r="858" spans="1:16" x14ac:dyDescent="0.2">
      <c r="A858" s="169" t="e">
        <f ca="1">IF(C858="","",ROW(行数!A850))</f>
        <v>#NAME?</v>
      </c>
      <c r="B858" s="168" t="e">
        <f t="shared" ca="1" si="94"/>
        <v>#NAME?</v>
      </c>
      <c r="C858" s="90" t="e">
        <f ca="1">[0]!CSVVLookUP(ROW(行数!A850),配列!$C$4,集計記録,3,1)</f>
        <v>#NAME?</v>
      </c>
      <c r="D858" s="90" t="e">
        <f ca="1">[0]!CSVVLookUP(ROW(行数!B850),配列!$C$4,集計記録,4,1)</f>
        <v>#NAME?</v>
      </c>
      <c r="E858" s="118" t="e">
        <f t="shared" ca="1" si="95"/>
        <v>#NAME?</v>
      </c>
      <c r="F858" s="118" t="e">
        <f t="shared" ca="1" si="96"/>
        <v>#NAME?</v>
      </c>
      <c r="G858" s="103" t="e">
        <f t="shared" ca="1" si="97"/>
        <v>#NAME?</v>
      </c>
      <c r="H858" s="104" t="e">
        <f ca="1">IF(C858="","",MROUND([0]!CSVVLookUP(ROW(行数!A850),配列!$C$4,集計記録,8,1),"0:01"))</f>
        <v>#NAME?</v>
      </c>
      <c r="I858" s="104" t="e">
        <f t="shared" ca="1" si="98"/>
        <v>#NAME?</v>
      </c>
      <c r="J858" s="119" t="e">
        <f ca="1">IF(C858="","",MROUND([0]!CSVVLookUP(ROW(行数!A850),配列!$C$4,集計記録,7,1),"0:01"))</f>
        <v>#NAME?</v>
      </c>
      <c r="K858" s="92" t="e">
        <f ca="1">IF(C858="","",[0]!CSVVLookUP(ROW(行数!A850),配列!$C$4,集計記録,5,1))</f>
        <v>#NAME?</v>
      </c>
      <c r="L858" s="104" t="e">
        <f t="shared" ca="1" si="99"/>
        <v>#NAME?</v>
      </c>
      <c r="M858" s="120" t="e">
        <f t="shared" ca="1" si="93"/>
        <v>#NAME?</v>
      </c>
      <c r="N858" s="120" t="e">
        <f ca="1">IF([0]!CSVVLookUP(ROW(行数!A850),配列!$C$4,集計記録,6,1)=0,"",[0]!CSVVLookUP(ROW(行数!A850),配列!$C$4,集計記録,6,1))</f>
        <v>#NAME?</v>
      </c>
      <c r="O858" s="88" t="e">
        <f ca="1">IF(INDIRECT("M"&amp;ROW()-1)&lt;&gt;INDIRECT("M"&amp;ROW()),リスト!$I$5,"")</f>
        <v>#NAME?</v>
      </c>
      <c r="P858" s="88" t="e">
        <f ca="1">IF(INDIRECT("M"&amp;ROW())&lt;&gt;INDIRECT("M"&amp;ROW()+1),リスト!$I$6,"")</f>
        <v>#NAME?</v>
      </c>
    </row>
    <row r="859" spans="1:16" x14ac:dyDescent="0.2">
      <c r="A859" s="169" t="e">
        <f ca="1">IF(C859="","",ROW(行数!A851))</f>
        <v>#NAME?</v>
      </c>
      <c r="B859" s="168" t="e">
        <f t="shared" ca="1" si="94"/>
        <v>#NAME?</v>
      </c>
      <c r="C859" s="90" t="e">
        <f ca="1">[0]!CSVVLookUP(ROW(行数!A851),配列!$C$4,集計記録,3,1)</f>
        <v>#NAME?</v>
      </c>
      <c r="D859" s="90" t="e">
        <f ca="1">[0]!CSVVLookUP(ROW(行数!B851),配列!$C$4,集計記録,4,1)</f>
        <v>#NAME?</v>
      </c>
      <c r="E859" s="118" t="e">
        <f t="shared" ca="1" si="95"/>
        <v>#NAME?</v>
      </c>
      <c r="F859" s="118" t="e">
        <f t="shared" ca="1" si="96"/>
        <v>#NAME?</v>
      </c>
      <c r="G859" s="103" t="e">
        <f t="shared" ca="1" si="97"/>
        <v>#NAME?</v>
      </c>
      <c r="H859" s="104" t="e">
        <f ca="1">IF(C859="","",MROUND([0]!CSVVLookUP(ROW(行数!A851),配列!$C$4,集計記録,8,1),"0:01"))</f>
        <v>#NAME?</v>
      </c>
      <c r="I859" s="104" t="e">
        <f t="shared" ca="1" si="98"/>
        <v>#NAME?</v>
      </c>
      <c r="J859" s="119" t="e">
        <f ca="1">IF(C859="","",MROUND([0]!CSVVLookUP(ROW(行数!A851),配列!$C$4,集計記録,7,1),"0:01"))</f>
        <v>#NAME?</v>
      </c>
      <c r="K859" s="92" t="e">
        <f ca="1">IF(C859="","",[0]!CSVVLookUP(ROW(行数!A851),配列!$C$4,集計記録,5,1))</f>
        <v>#NAME?</v>
      </c>
      <c r="L859" s="104" t="e">
        <f t="shared" ca="1" si="99"/>
        <v>#NAME?</v>
      </c>
      <c r="M859" s="120" t="e">
        <f t="shared" ca="1" si="93"/>
        <v>#NAME?</v>
      </c>
      <c r="N859" s="120" t="e">
        <f ca="1">IF([0]!CSVVLookUP(ROW(行数!A851),配列!$C$4,集計記録,6,1)=0,"",[0]!CSVVLookUP(ROW(行数!A851),配列!$C$4,集計記録,6,1))</f>
        <v>#NAME?</v>
      </c>
      <c r="O859" s="88" t="e">
        <f ca="1">IF(INDIRECT("M"&amp;ROW()-1)&lt;&gt;INDIRECT("M"&amp;ROW()),リスト!$I$5,"")</f>
        <v>#NAME?</v>
      </c>
      <c r="P859" s="88" t="e">
        <f ca="1">IF(INDIRECT("M"&amp;ROW())&lt;&gt;INDIRECT("M"&amp;ROW()+1),リスト!$I$6,"")</f>
        <v>#NAME?</v>
      </c>
    </row>
    <row r="860" spans="1:16" x14ac:dyDescent="0.2">
      <c r="A860" s="169" t="e">
        <f ca="1">IF(C860="","",ROW(行数!A852))</f>
        <v>#NAME?</v>
      </c>
      <c r="B860" s="168" t="e">
        <f t="shared" ca="1" si="94"/>
        <v>#NAME?</v>
      </c>
      <c r="C860" s="90" t="e">
        <f ca="1">[0]!CSVVLookUP(ROW(行数!A852),配列!$C$4,集計記録,3,1)</f>
        <v>#NAME?</v>
      </c>
      <c r="D860" s="90" t="e">
        <f ca="1">[0]!CSVVLookUP(ROW(行数!B852),配列!$C$4,集計記録,4,1)</f>
        <v>#NAME?</v>
      </c>
      <c r="E860" s="118" t="e">
        <f t="shared" ca="1" si="95"/>
        <v>#NAME?</v>
      </c>
      <c r="F860" s="118" t="e">
        <f t="shared" ca="1" si="96"/>
        <v>#NAME?</v>
      </c>
      <c r="G860" s="103" t="e">
        <f t="shared" ca="1" si="97"/>
        <v>#NAME?</v>
      </c>
      <c r="H860" s="104" t="e">
        <f ca="1">IF(C860="","",MROUND([0]!CSVVLookUP(ROW(行数!A852),配列!$C$4,集計記録,8,1),"0:01"))</f>
        <v>#NAME?</v>
      </c>
      <c r="I860" s="104" t="e">
        <f t="shared" ca="1" si="98"/>
        <v>#NAME?</v>
      </c>
      <c r="J860" s="119" t="e">
        <f ca="1">IF(C860="","",MROUND([0]!CSVVLookUP(ROW(行数!A852),配列!$C$4,集計記録,7,1),"0:01"))</f>
        <v>#NAME?</v>
      </c>
      <c r="K860" s="92" t="e">
        <f ca="1">IF(C860="","",[0]!CSVVLookUP(ROW(行数!A852),配列!$C$4,集計記録,5,1))</f>
        <v>#NAME?</v>
      </c>
      <c r="L860" s="104" t="e">
        <f t="shared" ca="1" si="99"/>
        <v>#NAME?</v>
      </c>
      <c r="M860" s="120" t="e">
        <f t="shared" ca="1" si="93"/>
        <v>#NAME?</v>
      </c>
      <c r="N860" s="120" t="e">
        <f ca="1">IF([0]!CSVVLookUP(ROW(行数!A852),配列!$C$4,集計記録,6,1)=0,"",[0]!CSVVLookUP(ROW(行数!A852),配列!$C$4,集計記録,6,1))</f>
        <v>#NAME?</v>
      </c>
      <c r="O860" s="88" t="e">
        <f ca="1">IF(INDIRECT("M"&amp;ROW()-1)&lt;&gt;INDIRECT("M"&amp;ROW()),リスト!$I$5,"")</f>
        <v>#NAME?</v>
      </c>
      <c r="P860" s="88" t="e">
        <f ca="1">IF(INDIRECT("M"&amp;ROW())&lt;&gt;INDIRECT("M"&amp;ROW()+1),リスト!$I$6,"")</f>
        <v>#NAME?</v>
      </c>
    </row>
    <row r="861" spans="1:16" x14ac:dyDescent="0.2">
      <c r="A861" s="169" t="e">
        <f ca="1">IF(C861="","",ROW(行数!A853))</f>
        <v>#NAME?</v>
      </c>
      <c r="B861" s="168" t="e">
        <f t="shared" ca="1" si="94"/>
        <v>#NAME?</v>
      </c>
      <c r="C861" s="90" t="e">
        <f ca="1">[0]!CSVVLookUP(ROW(行数!A853),配列!$C$4,集計記録,3,1)</f>
        <v>#NAME?</v>
      </c>
      <c r="D861" s="90" t="e">
        <f ca="1">[0]!CSVVLookUP(ROW(行数!B853),配列!$C$4,集計記録,4,1)</f>
        <v>#NAME?</v>
      </c>
      <c r="E861" s="118" t="e">
        <f t="shared" ca="1" si="95"/>
        <v>#NAME?</v>
      </c>
      <c r="F861" s="118" t="e">
        <f t="shared" ca="1" si="96"/>
        <v>#NAME?</v>
      </c>
      <c r="G861" s="103" t="e">
        <f t="shared" ca="1" si="97"/>
        <v>#NAME?</v>
      </c>
      <c r="H861" s="104" t="e">
        <f ca="1">IF(C861="","",MROUND([0]!CSVVLookUP(ROW(行数!A853),配列!$C$4,集計記録,8,1),"0:01"))</f>
        <v>#NAME?</v>
      </c>
      <c r="I861" s="104" t="e">
        <f t="shared" ca="1" si="98"/>
        <v>#NAME?</v>
      </c>
      <c r="J861" s="119" t="e">
        <f ca="1">IF(C861="","",MROUND([0]!CSVVLookUP(ROW(行数!A853),配列!$C$4,集計記録,7,1),"0:01"))</f>
        <v>#NAME?</v>
      </c>
      <c r="K861" s="92" t="e">
        <f ca="1">IF(C861="","",[0]!CSVVLookUP(ROW(行数!A853),配列!$C$4,集計記録,5,1))</f>
        <v>#NAME?</v>
      </c>
      <c r="L861" s="104" t="e">
        <f t="shared" ca="1" si="99"/>
        <v>#NAME?</v>
      </c>
      <c r="M861" s="120" t="e">
        <f t="shared" ca="1" si="93"/>
        <v>#NAME?</v>
      </c>
      <c r="N861" s="120" t="e">
        <f ca="1">IF([0]!CSVVLookUP(ROW(行数!A853),配列!$C$4,集計記録,6,1)=0,"",[0]!CSVVLookUP(ROW(行数!A853),配列!$C$4,集計記録,6,1))</f>
        <v>#NAME?</v>
      </c>
      <c r="O861" s="88" t="e">
        <f ca="1">IF(INDIRECT("M"&amp;ROW()-1)&lt;&gt;INDIRECT("M"&amp;ROW()),リスト!$I$5,"")</f>
        <v>#NAME?</v>
      </c>
      <c r="P861" s="88" t="e">
        <f ca="1">IF(INDIRECT("M"&amp;ROW())&lt;&gt;INDIRECT("M"&amp;ROW()+1),リスト!$I$6,"")</f>
        <v>#NAME?</v>
      </c>
    </row>
    <row r="862" spans="1:16" x14ac:dyDescent="0.2">
      <c r="A862" s="169" t="e">
        <f ca="1">IF(C862="","",ROW(行数!A854))</f>
        <v>#NAME?</v>
      </c>
      <c r="B862" s="168" t="e">
        <f t="shared" ca="1" si="94"/>
        <v>#NAME?</v>
      </c>
      <c r="C862" s="90" t="e">
        <f ca="1">[0]!CSVVLookUP(ROW(行数!A854),配列!$C$4,集計記録,3,1)</f>
        <v>#NAME?</v>
      </c>
      <c r="D862" s="90" t="e">
        <f ca="1">[0]!CSVVLookUP(ROW(行数!B854),配列!$C$4,集計記録,4,1)</f>
        <v>#NAME?</v>
      </c>
      <c r="E862" s="118" t="e">
        <f t="shared" ca="1" si="95"/>
        <v>#NAME?</v>
      </c>
      <c r="F862" s="118" t="e">
        <f t="shared" ca="1" si="96"/>
        <v>#NAME?</v>
      </c>
      <c r="G862" s="103" t="e">
        <f t="shared" ca="1" si="97"/>
        <v>#NAME?</v>
      </c>
      <c r="H862" s="104" t="e">
        <f ca="1">IF(C862="","",MROUND([0]!CSVVLookUP(ROW(行数!A854),配列!$C$4,集計記録,8,1),"0:01"))</f>
        <v>#NAME?</v>
      </c>
      <c r="I862" s="104" t="e">
        <f t="shared" ca="1" si="98"/>
        <v>#NAME?</v>
      </c>
      <c r="J862" s="119" t="e">
        <f ca="1">IF(C862="","",MROUND([0]!CSVVLookUP(ROW(行数!A854),配列!$C$4,集計記録,7,1),"0:01"))</f>
        <v>#NAME?</v>
      </c>
      <c r="K862" s="92" t="e">
        <f ca="1">IF(C862="","",[0]!CSVVLookUP(ROW(行数!A854),配列!$C$4,集計記録,5,1))</f>
        <v>#NAME?</v>
      </c>
      <c r="L862" s="104" t="e">
        <f t="shared" ca="1" si="99"/>
        <v>#NAME?</v>
      </c>
      <c r="M862" s="120" t="e">
        <f t="shared" ca="1" si="93"/>
        <v>#NAME?</v>
      </c>
      <c r="N862" s="120" t="e">
        <f ca="1">IF([0]!CSVVLookUP(ROW(行数!A854),配列!$C$4,集計記録,6,1)=0,"",[0]!CSVVLookUP(ROW(行数!A854),配列!$C$4,集計記録,6,1))</f>
        <v>#NAME?</v>
      </c>
      <c r="O862" s="88" t="e">
        <f ca="1">IF(INDIRECT("M"&amp;ROW()-1)&lt;&gt;INDIRECT("M"&amp;ROW()),リスト!$I$5,"")</f>
        <v>#NAME?</v>
      </c>
      <c r="P862" s="88" t="e">
        <f ca="1">IF(INDIRECT("M"&amp;ROW())&lt;&gt;INDIRECT("M"&amp;ROW()+1),リスト!$I$6,"")</f>
        <v>#NAME?</v>
      </c>
    </row>
    <row r="863" spans="1:16" x14ac:dyDescent="0.2">
      <c r="A863" s="169" t="e">
        <f ca="1">IF(C863="","",ROW(行数!A855))</f>
        <v>#NAME?</v>
      </c>
      <c r="B863" s="168" t="e">
        <f t="shared" ca="1" si="94"/>
        <v>#NAME?</v>
      </c>
      <c r="C863" s="90" t="e">
        <f ca="1">[0]!CSVVLookUP(ROW(行数!A855),配列!$C$4,集計記録,3,1)</f>
        <v>#NAME?</v>
      </c>
      <c r="D863" s="90" t="e">
        <f ca="1">[0]!CSVVLookUP(ROW(行数!B855),配列!$C$4,集計記録,4,1)</f>
        <v>#NAME?</v>
      </c>
      <c r="E863" s="118" t="e">
        <f t="shared" ca="1" si="95"/>
        <v>#NAME?</v>
      </c>
      <c r="F863" s="118" t="e">
        <f t="shared" ca="1" si="96"/>
        <v>#NAME?</v>
      </c>
      <c r="G863" s="103" t="e">
        <f t="shared" ca="1" si="97"/>
        <v>#NAME?</v>
      </c>
      <c r="H863" s="104" t="e">
        <f ca="1">IF(C863="","",MROUND([0]!CSVVLookUP(ROW(行数!A855),配列!$C$4,集計記録,8,1),"0:01"))</f>
        <v>#NAME?</v>
      </c>
      <c r="I863" s="104" t="e">
        <f t="shared" ca="1" si="98"/>
        <v>#NAME?</v>
      </c>
      <c r="J863" s="119" t="e">
        <f ca="1">IF(C863="","",MROUND([0]!CSVVLookUP(ROW(行数!A855),配列!$C$4,集計記録,7,1),"0:01"))</f>
        <v>#NAME?</v>
      </c>
      <c r="K863" s="92" t="e">
        <f ca="1">IF(C863="","",[0]!CSVVLookUP(ROW(行数!A855),配列!$C$4,集計記録,5,1))</f>
        <v>#NAME?</v>
      </c>
      <c r="L863" s="104" t="e">
        <f t="shared" ca="1" si="99"/>
        <v>#NAME?</v>
      </c>
      <c r="M863" s="120" t="e">
        <f t="shared" ca="1" si="93"/>
        <v>#NAME?</v>
      </c>
      <c r="N863" s="120" t="e">
        <f ca="1">IF([0]!CSVVLookUP(ROW(行数!A855),配列!$C$4,集計記録,6,1)=0,"",[0]!CSVVLookUP(ROW(行数!A855),配列!$C$4,集計記録,6,1))</f>
        <v>#NAME?</v>
      </c>
      <c r="O863" s="88" t="e">
        <f ca="1">IF(INDIRECT("M"&amp;ROW()-1)&lt;&gt;INDIRECT("M"&amp;ROW()),リスト!$I$5,"")</f>
        <v>#NAME?</v>
      </c>
      <c r="P863" s="88" t="e">
        <f ca="1">IF(INDIRECT("M"&amp;ROW())&lt;&gt;INDIRECT("M"&amp;ROW()+1),リスト!$I$6,"")</f>
        <v>#NAME?</v>
      </c>
    </row>
    <row r="864" spans="1:16" x14ac:dyDescent="0.2">
      <c r="A864" s="169" t="e">
        <f ca="1">IF(C864="","",ROW(行数!A856))</f>
        <v>#NAME?</v>
      </c>
      <c r="B864" s="168" t="e">
        <f t="shared" ca="1" si="94"/>
        <v>#NAME?</v>
      </c>
      <c r="C864" s="90" t="e">
        <f ca="1">[0]!CSVVLookUP(ROW(行数!A856),配列!$C$4,集計記録,3,1)</f>
        <v>#NAME?</v>
      </c>
      <c r="D864" s="90" t="e">
        <f ca="1">[0]!CSVVLookUP(ROW(行数!B856),配列!$C$4,集計記録,4,1)</f>
        <v>#NAME?</v>
      </c>
      <c r="E864" s="118" t="e">
        <f t="shared" ca="1" si="95"/>
        <v>#NAME?</v>
      </c>
      <c r="F864" s="118" t="e">
        <f t="shared" ca="1" si="96"/>
        <v>#NAME?</v>
      </c>
      <c r="G864" s="103" t="e">
        <f t="shared" ca="1" si="97"/>
        <v>#NAME?</v>
      </c>
      <c r="H864" s="104" t="e">
        <f ca="1">IF(C864="","",MROUND([0]!CSVVLookUP(ROW(行数!A856),配列!$C$4,集計記録,8,1),"0:01"))</f>
        <v>#NAME?</v>
      </c>
      <c r="I864" s="104" t="e">
        <f t="shared" ca="1" si="98"/>
        <v>#NAME?</v>
      </c>
      <c r="J864" s="119" t="e">
        <f ca="1">IF(C864="","",MROUND([0]!CSVVLookUP(ROW(行数!A856),配列!$C$4,集計記録,7,1),"0:01"))</f>
        <v>#NAME?</v>
      </c>
      <c r="K864" s="92" t="e">
        <f ca="1">IF(C864="","",[0]!CSVVLookUP(ROW(行数!A856),配列!$C$4,集計記録,5,1))</f>
        <v>#NAME?</v>
      </c>
      <c r="L864" s="104" t="e">
        <f t="shared" ca="1" si="99"/>
        <v>#NAME?</v>
      </c>
      <c r="M864" s="120" t="e">
        <f t="shared" ca="1" si="93"/>
        <v>#NAME?</v>
      </c>
      <c r="N864" s="120" t="e">
        <f ca="1">IF([0]!CSVVLookUP(ROW(行数!A856),配列!$C$4,集計記録,6,1)=0,"",[0]!CSVVLookUP(ROW(行数!A856),配列!$C$4,集計記録,6,1))</f>
        <v>#NAME?</v>
      </c>
      <c r="O864" s="88" t="e">
        <f ca="1">IF(INDIRECT("M"&amp;ROW()-1)&lt;&gt;INDIRECT("M"&amp;ROW()),リスト!$I$5,"")</f>
        <v>#NAME?</v>
      </c>
      <c r="P864" s="88" t="e">
        <f ca="1">IF(INDIRECT("M"&amp;ROW())&lt;&gt;INDIRECT("M"&amp;ROW()+1),リスト!$I$6,"")</f>
        <v>#NAME?</v>
      </c>
    </row>
    <row r="865" spans="1:16" x14ac:dyDescent="0.2">
      <c r="A865" s="169" t="e">
        <f ca="1">IF(C865="","",ROW(行数!A857))</f>
        <v>#NAME?</v>
      </c>
      <c r="B865" s="168" t="e">
        <f t="shared" ca="1" si="94"/>
        <v>#NAME?</v>
      </c>
      <c r="C865" s="90" t="e">
        <f ca="1">[0]!CSVVLookUP(ROW(行数!A857),配列!$C$4,集計記録,3,1)</f>
        <v>#NAME?</v>
      </c>
      <c r="D865" s="90" t="e">
        <f ca="1">[0]!CSVVLookUP(ROW(行数!B857),配列!$C$4,集計記録,4,1)</f>
        <v>#NAME?</v>
      </c>
      <c r="E865" s="118" t="e">
        <f t="shared" ca="1" si="95"/>
        <v>#NAME?</v>
      </c>
      <c r="F865" s="118" t="e">
        <f t="shared" ca="1" si="96"/>
        <v>#NAME?</v>
      </c>
      <c r="G865" s="103" t="e">
        <f t="shared" ca="1" si="97"/>
        <v>#NAME?</v>
      </c>
      <c r="H865" s="104" t="e">
        <f ca="1">IF(C865="","",MROUND([0]!CSVVLookUP(ROW(行数!A857),配列!$C$4,集計記録,8,1),"0:01"))</f>
        <v>#NAME?</v>
      </c>
      <c r="I865" s="104" t="e">
        <f t="shared" ca="1" si="98"/>
        <v>#NAME?</v>
      </c>
      <c r="J865" s="119" t="e">
        <f ca="1">IF(C865="","",MROUND([0]!CSVVLookUP(ROW(行数!A857),配列!$C$4,集計記録,7,1),"0:01"))</f>
        <v>#NAME?</v>
      </c>
      <c r="K865" s="92" t="e">
        <f ca="1">IF(C865="","",[0]!CSVVLookUP(ROW(行数!A857),配列!$C$4,集計記録,5,1))</f>
        <v>#NAME?</v>
      </c>
      <c r="L865" s="104" t="e">
        <f t="shared" ca="1" si="99"/>
        <v>#NAME?</v>
      </c>
      <c r="M865" s="120" t="e">
        <f t="shared" ca="1" si="93"/>
        <v>#NAME?</v>
      </c>
      <c r="N865" s="120" t="e">
        <f ca="1">IF([0]!CSVVLookUP(ROW(行数!A857),配列!$C$4,集計記録,6,1)=0,"",[0]!CSVVLookUP(ROW(行数!A857),配列!$C$4,集計記録,6,1))</f>
        <v>#NAME?</v>
      </c>
      <c r="O865" s="88" t="e">
        <f ca="1">IF(INDIRECT("M"&amp;ROW()-1)&lt;&gt;INDIRECT("M"&amp;ROW()),リスト!$I$5,"")</f>
        <v>#NAME?</v>
      </c>
      <c r="P865" s="88" t="e">
        <f ca="1">IF(INDIRECT("M"&amp;ROW())&lt;&gt;INDIRECT("M"&amp;ROW()+1),リスト!$I$6,"")</f>
        <v>#NAME?</v>
      </c>
    </row>
    <row r="866" spans="1:16" x14ac:dyDescent="0.2">
      <c r="A866" s="169" t="e">
        <f ca="1">IF(C866="","",ROW(行数!A858))</f>
        <v>#NAME?</v>
      </c>
      <c r="B866" s="168" t="e">
        <f t="shared" ca="1" si="94"/>
        <v>#NAME?</v>
      </c>
      <c r="C866" s="90" t="e">
        <f ca="1">[0]!CSVVLookUP(ROW(行数!A858),配列!$C$4,集計記録,3,1)</f>
        <v>#NAME?</v>
      </c>
      <c r="D866" s="90" t="e">
        <f ca="1">[0]!CSVVLookUP(ROW(行数!B858),配列!$C$4,集計記録,4,1)</f>
        <v>#NAME?</v>
      </c>
      <c r="E866" s="118" t="e">
        <f t="shared" ca="1" si="95"/>
        <v>#NAME?</v>
      </c>
      <c r="F866" s="118" t="e">
        <f t="shared" ca="1" si="96"/>
        <v>#NAME?</v>
      </c>
      <c r="G866" s="103" t="e">
        <f t="shared" ca="1" si="97"/>
        <v>#NAME?</v>
      </c>
      <c r="H866" s="104" t="e">
        <f ca="1">IF(C866="","",MROUND([0]!CSVVLookUP(ROW(行数!A858),配列!$C$4,集計記録,8,1),"0:01"))</f>
        <v>#NAME?</v>
      </c>
      <c r="I866" s="104" t="e">
        <f t="shared" ca="1" si="98"/>
        <v>#NAME?</v>
      </c>
      <c r="J866" s="119" t="e">
        <f ca="1">IF(C866="","",MROUND([0]!CSVVLookUP(ROW(行数!A858),配列!$C$4,集計記録,7,1),"0:01"))</f>
        <v>#NAME?</v>
      </c>
      <c r="K866" s="92" t="e">
        <f ca="1">IF(C866="","",[0]!CSVVLookUP(ROW(行数!A858),配列!$C$4,集計記録,5,1))</f>
        <v>#NAME?</v>
      </c>
      <c r="L866" s="104" t="e">
        <f t="shared" ca="1" si="99"/>
        <v>#NAME?</v>
      </c>
      <c r="M866" s="120" t="e">
        <f t="shared" ca="1" si="93"/>
        <v>#NAME?</v>
      </c>
      <c r="N866" s="120" t="e">
        <f ca="1">IF([0]!CSVVLookUP(ROW(行数!A858),配列!$C$4,集計記録,6,1)=0,"",[0]!CSVVLookUP(ROW(行数!A858),配列!$C$4,集計記録,6,1))</f>
        <v>#NAME?</v>
      </c>
      <c r="O866" s="88" t="e">
        <f ca="1">IF(INDIRECT("M"&amp;ROW()-1)&lt;&gt;INDIRECT("M"&amp;ROW()),リスト!$I$5,"")</f>
        <v>#NAME?</v>
      </c>
      <c r="P866" s="88" t="e">
        <f ca="1">IF(INDIRECT("M"&amp;ROW())&lt;&gt;INDIRECT("M"&amp;ROW()+1),リスト!$I$6,"")</f>
        <v>#NAME?</v>
      </c>
    </row>
    <row r="867" spans="1:16" x14ac:dyDescent="0.2">
      <c r="A867" s="169" t="e">
        <f ca="1">IF(C867="","",ROW(行数!A859))</f>
        <v>#NAME?</v>
      </c>
      <c r="B867" s="168" t="e">
        <f t="shared" ca="1" si="94"/>
        <v>#NAME?</v>
      </c>
      <c r="C867" s="90" t="e">
        <f ca="1">[0]!CSVVLookUP(ROW(行数!A859),配列!$C$4,集計記録,3,1)</f>
        <v>#NAME?</v>
      </c>
      <c r="D867" s="90" t="e">
        <f ca="1">[0]!CSVVLookUP(ROW(行数!B859),配列!$C$4,集計記録,4,1)</f>
        <v>#NAME?</v>
      </c>
      <c r="E867" s="118" t="e">
        <f t="shared" ca="1" si="95"/>
        <v>#NAME?</v>
      </c>
      <c r="F867" s="118" t="e">
        <f t="shared" ca="1" si="96"/>
        <v>#NAME?</v>
      </c>
      <c r="G867" s="103" t="e">
        <f t="shared" ca="1" si="97"/>
        <v>#NAME?</v>
      </c>
      <c r="H867" s="104" t="e">
        <f ca="1">IF(C867="","",MROUND([0]!CSVVLookUP(ROW(行数!A859),配列!$C$4,集計記録,8,1),"0:01"))</f>
        <v>#NAME?</v>
      </c>
      <c r="I867" s="104" t="e">
        <f t="shared" ca="1" si="98"/>
        <v>#NAME?</v>
      </c>
      <c r="J867" s="119" t="e">
        <f ca="1">IF(C867="","",MROUND([0]!CSVVLookUP(ROW(行数!A859),配列!$C$4,集計記録,7,1),"0:01"))</f>
        <v>#NAME?</v>
      </c>
      <c r="K867" s="92" t="e">
        <f ca="1">IF(C867="","",[0]!CSVVLookUP(ROW(行数!A859),配列!$C$4,集計記録,5,1))</f>
        <v>#NAME?</v>
      </c>
      <c r="L867" s="104" t="e">
        <f t="shared" ca="1" si="99"/>
        <v>#NAME?</v>
      </c>
      <c r="M867" s="120" t="e">
        <f t="shared" ca="1" si="93"/>
        <v>#NAME?</v>
      </c>
      <c r="N867" s="120" t="e">
        <f ca="1">IF([0]!CSVVLookUP(ROW(行数!A859),配列!$C$4,集計記録,6,1)=0,"",[0]!CSVVLookUP(ROW(行数!A859),配列!$C$4,集計記録,6,1))</f>
        <v>#NAME?</v>
      </c>
      <c r="O867" s="88" t="e">
        <f ca="1">IF(INDIRECT("M"&amp;ROW()-1)&lt;&gt;INDIRECT("M"&amp;ROW()),リスト!$I$5,"")</f>
        <v>#NAME?</v>
      </c>
      <c r="P867" s="88" t="e">
        <f ca="1">IF(INDIRECT("M"&amp;ROW())&lt;&gt;INDIRECT("M"&amp;ROW()+1),リスト!$I$6,"")</f>
        <v>#NAME?</v>
      </c>
    </row>
    <row r="868" spans="1:16" x14ac:dyDescent="0.2">
      <c r="A868" s="169" t="e">
        <f ca="1">IF(C868="","",ROW(行数!A860))</f>
        <v>#NAME?</v>
      </c>
      <c r="B868" s="168" t="e">
        <f t="shared" ca="1" si="94"/>
        <v>#NAME?</v>
      </c>
      <c r="C868" s="90" t="e">
        <f ca="1">[0]!CSVVLookUP(ROW(行数!A860),配列!$C$4,集計記録,3,1)</f>
        <v>#NAME?</v>
      </c>
      <c r="D868" s="90" t="e">
        <f ca="1">[0]!CSVVLookUP(ROW(行数!B860),配列!$C$4,集計記録,4,1)</f>
        <v>#NAME?</v>
      </c>
      <c r="E868" s="118" t="e">
        <f t="shared" ca="1" si="95"/>
        <v>#NAME?</v>
      </c>
      <c r="F868" s="118" t="e">
        <f t="shared" ca="1" si="96"/>
        <v>#NAME?</v>
      </c>
      <c r="G868" s="103" t="e">
        <f t="shared" ca="1" si="97"/>
        <v>#NAME?</v>
      </c>
      <c r="H868" s="104" t="e">
        <f ca="1">IF(C868="","",MROUND([0]!CSVVLookUP(ROW(行数!A860),配列!$C$4,集計記録,8,1),"0:01"))</f>
        <v>#NAME?</v>
      </c>
      <c r="I868" s="104" t="e">
        <f t="shared" ca="1" si="98"/>
        <v>#NAME?</v>
      </c>
      <c r="J868" s="119" t="e">
        <f ca="1">IF(C868="","",MROUND([0]!CSVVLookUP(ROW(行数!A860),配列!$C$4,集計記録,7,1),"0:01"))</f>
        <v>#NAME?</v>
      </c>
      <c r="K868" s="92" t="e">
        <f ca="1">IF(C868="","",[0]!CSVVLookUP(ROW(行数!A860),配列!$C$4,集計記録,5,1))</f>
        <v>#NAME?</v>
      </c>
      <c r="L868" s="104" t="e">
        <f t="shared" ca="1" si="99"/>
        <v>#NAME?</v>
      </c>
      <c r="M868" s="120" t="e">
        <f t="shared" ca="1" si="93"/>
        <v>#NAME?</v>
      </c>
      <c r="N868" s="120" t="e">
        <f ca="1">IF([0]!CSVVLookUP(ROW(行数!A860),配列!$C$4,集計記録,6,1)=0,"",[0]!CSVVLookUP(ROW(行数!A860),配列!$C$4,集計記録,6,1))</f>
        <v>#NAME?</v>
      </c>
      <c r="O868" s="88" t="e">
        <f ca="1">IF(INDIRECT("M"&amp;ROW()-1)&lt;&gt;INDIRECT("M"&amp;ROW()),リスト!$I$5,"")</f>
        <v>#NAME?</v>
      </c>
      <c r="P868" s="88" t="e">
        <f ca="1">IF(INDIRECT("M"&amp;ROW())&lt;&gt;INDIRECT("M"&amp;ROW()+1),リスト!$I$6,"")</f>
        <v>#NAME?</v>
      </c>
    </row>
    <row r="869" spans="1:16" x14ac:dyDescent="0.2">
      <c r="A869" s="169" t="e">
        <f ca="1">IF(C869="","",ROW(行数!A861))</f>
        <v>#NAME?</v>
      </c>
      <c r="B869" s="168" t="e">
        <f t="shared" ca="1" si="94"/>
        <v>#NAME?</v>
      </c>
      <c r="C869" s="90" t="e">
        <f ca="1">[0]!CSVVLookUP(ROW(行数!A861),配列!$C$4,集計記録,3,1)</f>
        <v>#NAME?</v>
      </c>
      <c r="D869" s="90" t="e">
        <f ca="1">[0]!CSVVLookUP(ROW(行数!B861),配列!$C$4,集計記録,4,1)</f>
        <v>#NAME?</v>
      </c>
      <c r="E869" s="118" t="e">
        <f t="shared" ca="1" si="95"/>
        <v>#NAME?</v>
      </c>
      <c r="F869" s="118" t="e">
        <f t="shared" ca="1" si="96"/>
        <v>#NAME?</v>
      </c>
      <c r="G869" s="103" t="e">
        <f t="shared" ca="1" si="97"/>
        <v>#NAME?</v>
      </c>
      <c r="H869" s="104" t="e">
        <f ca="1">IF(C869="","",MROUND([0]!CSVVLookUP(ROW(行数!A861),配列!$C$4,集計記録,8,1),"0:01"))</f>
        <v>#NAME?</v>
      </c>
      <c r="I869" s="104" t="e">
        <f t="shared" ca="1" si="98"/>
        <v>#NAME?</v>
      </c>
      <c r="J869" s="119" t="e">
        <f ca="1">IF(C869="","",MROUND([0]!CSVVLookUP(ROW(行数!A861),配列!$C$4,集計記録,7,1),"0:01"))</f>
        <v>#NAME?</v>
      </c>
      <c r="K869" s="92" t="e">
        <f ca="1">IF(C869="","",[0]!CSVVLookUP(ROW(行数!A861),配列!$C$4,集計記録,5,1))</f>
        <v>#NAME?</v>
      </c>
      <c r="L869" s="104" t="e">
        <f t="shared" ca="1" si="99"/>
        <v>#NAME?</v>
      </c>
      <c r="M869" s="120" t="e">
        <f t="shared" ca="1" si="93"/>
        <v>#NAME?</v>
      </c>
      <c r="N869" s="120" t="e">
        <f ca="1">IF([0]!CSVVLookUP(ROW(行数!A861),配列!$C$4,集計記録,6,1)=0,"",[0]!CSVVLookUP(ROW(行数!A861),配列!$C$4,集計記録,6,1))</f>
        <v>#NAME?</v>
      </c>
      <c r="O869" s="88" t="e">
        <f ca="1">IF(INDIRECT("M"&amp;ROW()-1)&lt;&gt;INDIRECT("M"&amp;ROW()),リスト!$I$5,"")</f>
        <v>#NAME?</v>
      </c>
      <c r="P869" s="88" t="e">
        <f ca="1">IF(INDIRECT("M"&amp;ROW())&lt;&gt;INDIRECT("M"&amp;ROW()+1),リスト!$I$6,"")</f>
        <v>#NAME?</v>
      </c>
    </row>
    <row r="870" spans="1:16" x14ac:dyDescent="0.2">
      <c r="A870" s="169" t="e">
        <f ca="1">IF(C870="","",ROW(行数!A862))</f>
        <v>#NAME?</v>
      </c>
      <c r="B870" s="168" t="e">
        <f t="shared" ca="1" si="94"/>
        <v>#NAME?</v>
      </c>
      <c r="C870" s="90" t="e">
        <f ca="1">[0]!CSVVLookUP(ROW(行数!A862),配列!$C$4,集計記録,3,1)</f>
        <v>#NAME?</v>
      </c>
      <c r="D870" s="90" t="e">
        <f ca="1">[0]!CSVVLookUP(ROW(行数!B862),配列!$C$4,集計記録,4,1)</f>
        <v>#NAME?</v>
      </c>
      <c r="E870" s="118" t="e">
        <f t="shared" ca="1" si="95"/>
        <v>#NAME?</v>
      </c>
      <c r="F870" s="118" t="e">
        <f t="shared" ca="1" si="96"/>
        <v>#NAME?</v>
      </c>
      <c r="G870" s="103" t="e">
        <f t="shared" ca="1" si="97"/>
        <v>#NAME?</v>
      </c>
      <c r="H870" s="104" t="e">
        <f ca="1">IF(C870="","",MROUND([0]!CSVVLookUP(ROW(行数!A862),配列!$C$4,集計記録,8,1),"0:01"))</f>
        <v>#NAME?</v>
      </c>
      <c r="I870" s="104" t="e">
        <f t="shared" ca="1" si="98"/>
        <v>#NAME?</v>
      </c>
      <c r="J870" s="119" t="e">
        <f ca="1">IF(C870="","",MROUND([0]!CSVVLookUP(ROW(行数!A862),配列!$C$4,集計記録,7,1),"0:01"))</f>
        <v>#NAME?</v>
      </c>
      <c r="K870" s="92" t="e">
        <f ca="1">IF(C870="","",[0]!CSVVLookUP(ROW(行数!A862),配列!$C$4,集計記録,5,1))</f>
        <v>#NAME?</v>
      </c>
      <c r="L870" s="104" t="e">
        <f t="shared" ca="1" si="99"/>
        <v>#NAME?</v>
      </c>
      <c r="M870" s="120" t="e">
        <f t="shared" ca="1" si="93"/>
        <v>#NAME?</v>
      </c>
      <c r="N870" s="120" t="e">
        <f ca="1">IF([0]!CSVVLookUP(ROW(行数!A862),配列!$C$4,集計記録,6,1)=0,"",[0]!CSVVLookUP(ROW(行数!A862),配列!$C$4,集計記録,6,1))</f>
        <v>#NAME?</v>
      </c>
      <c r="O870" s="88" t="e">
        <f ca="1">IF(INDIRECT("M"&amp;ROW()-1)&lt;&gt;INDIRECT("M"&amp;ROW()),リスト!$I$5,"")</f>
        <v>#NAME?</v>
      </c>
      <c r="P870" s="88" t="e">
        <f ca="1">IF(INDIRECT("M"&amp;ROW())&lt;&gt;INDIRECT("M"&amp;ROW()+1),リスト!$I$6,"")</f>
        <v>#NAME?</v>
      </c>
    </row>
    <row r="871" spans="1:16" x14ac:dyDescent="0.2">
      <c r="A871" s="169" t="e">
        <f ca="1">IF(C871="","",ROW(行数!A863))</f>
        <v>#NAME?</v>
      </c>
      <c r="B871" s="168" t="e">
        <f t="shared" ca="1" si="94"/>
        <v>#NAME?</v>
      </c>
      <c r="C871" s="90" t="e">
        <f ca="1">[0]!CSVVLookUP(ROW(行数!A863),配列!$C$4,集計記録,3,1)</f>
        <v>#NAME?</v>
      </c>
      <c r="D871" s="90" t="e">
        <f ca="1">[0]!CSVVLookUP(ROW(行数!B863),配列!$C$4,集計記録,4,1)</f>
        <v>#NAME?</v>
      </c>
      <c r="E871" s="118" t="e">
        <f t="shared" ca="1" si="95"/>
        <v>#NAME?</v>
      </c>
      <c r="F871" s="118" t="e">
        <f t="shared" ca="1" si="96"/>
        <v>#NAME?</v>
      </c>
      <c r="G871" s="103" t="e">
        <f t="shared" ca="1" si="97"/>
        <v>#NAME?</v>
      </c>
      <c r="H871" s="104" t="e">
        <f ca="1">IF(C871="","",MROUND([0]!CSVVLookUP(ROW(行数!A863),配列!$C$4,集計記録,8,1),"0:01"))</f>
        <v>#NAME?</v>
      </c>
      <c r="I871" s="104" t="e">
        <f t="shared" ca="1" si="98"/>
        <v>#NAME?</v>
      </c>
      <c r="J871" s="119" t="e">
        <f ca="1">IF(C871="","",MROUND([0]!CSVVLookUP(ROW(行数!A863),配列!$C$4,集計記録,7,1),"0:01"))</f>
        <v>#NAME?</v>
      </c>
      <c r="K871" s="92" t="e">
        <f ca="1">IF(C871="","",[0]!CSVVLookUP(ROW(行数!A863),配列!$C$4,集計記録,5,1))</f>
        <v>#NAME?</v>
      </c>
      <c r="L871" s="104" t="e">
        <f t="shared" ca="1" si="99"/>
        <v>#NAME?</v>
      </c>
      <c r="M871" s="120" t="e">
        <f t="shared" ca="1" si="93"/>
        <v>#NAME?</v>
      </c>
      <c r="N871" s="120" t="e">
        <f ca="1">IF([0]!CSVVLookUP(ROW(行数!A863),配列!$C$4,集計記録,6,1)=0,"",[0]!CSVVLookUP(ROW(行数!A863),配列!$C$4,集計記録,6,1))</f>
        <v>#NAME?</v>
      </c>
      <c r="O871" s="88" t="e">
        <f ca="1">IF(INDIRECT("M"&amp;ROW()-1)&lt;&gt;INDIRECT("M"&amp;ROW()),リスト!$I$5,"")</f>
        <v>#NAME?</v>
      </c>
      <c r="P871" s="88" t="e">
        <f ca="1">IF(INDIRECT("M"&amp;ROW())&lt;&gt;INDIRECT("M"&amp;ROW()+1),リスト!$I$6,"")</f>
        <v>#NAME?</v>
      </c>
    </row>
    <row r="872" spans="1:16" x14ac:dyDescent="0.2">
      <c r="A872" s="169" t="e">
        <f ca="1">IF(C872="","",ROW(行数!A864))</f>
        <v>#NAME?</v>
      </c>
      <c r="B872" s="168" t="e">
        <f t="shared" ca="1" si="94"/>
        <v>#NAME?</v>
      </c>
      <c r="C872" s="90" t="e">
        <f ca="1">[0]!CSVVLookUP(ROW(行数!A864),配列!$C$4,集計記録,3,1)</f>
        <v>#NAME?</v>
      </c>
      <c r="D872" s="90" t="e">
        <f ca="1">[0]!CSVVLookUP(ROW(行数!B864),配列!$C$4,集計記録,4,1)</f>
        <v>#NAME?</v>
      </c>
      <c r="E872" s="118" t="e">
        <f t="shared" ca="1" si="95"/>
        <v>#NAME?</v>
      </c>
      <c r="F872" s="118" t="e">
        <f t="shared" ca="1" si="96"/>
        <v>#NAME?</v>
      </c>
      <c r="G872" s="103" t="e">
        <f t="shared" ca="1" si="97"/>
        <v>#NAME?</v>
      </c>
      <c r="H872" s="104" t="e">
        <f ca="1">IF(C872="","",MROUND([0]!CSVVLookUP(ROW(行数!A864),配列!$C$4,集計記録,8,1),"0:01"))</f>
        <v>#NAME?</v>
      </c>
      <c r="I872" s="104" t="e">
        <f t="shared" ca="1" si="98"/>
        <v>#NAME?</v>
      </c>
      <c r="J872" s="119" t="e">
        <f ca="1">IF(C872="","",MROUND([0]!CSVVLookUP(ROW(行数!A864),配列!$C$4,集計記録,7,1),"0:01"))</f>
        <v>#NAME?</v>
      </c>
      <c r="K872" s="92" t="e">
        <f ca="1">IF(C872="","",[0]!CSVVLookUP(ROW(行数!A864),配列!$C$4,集計記録,5,1))</f>
        <v>#NAME?</v>
      </c>
      <c r="L872" s="104" t="e">
        <f t="shared" ca="1" si="99"/>
        <v>#NAME?</v>
      </c>
      <c r="M872" s="120" t="e">
        <f t="shared" ca="1" si="93"/>
        <v>#NAME?</v>
      </c>
      <c r="N872" s="120" t="e">
        <f ca="1">IF([0]!CSVVLookUP(ROW(行数!A864),配列!$C$4,集計記録,6,1)=0,"",[0]!CSVVLookUP(ROW(行数!A864),配列!$C$4,集計記録,6,1))</f>
        <v>#NAME?</v>
      </c>
      <c r="O872" s="88" t="e">
        <f ca="1">IF(INDIRECT("M"&amp;ROW()-1)&lt;&gt;INDIRECT("M"&amp;ROW()),リスト!$I$5,"")</f>
        <v>#NAME?</v>
      </c>
      <c r="P872" s="88" t="e">
        <f ca="1">IF(INDIRECT("M"&amp;ROW())&lt;&gt;INDIRECT("M"&amp;ROW()+1),リスト!$I$6,"")</f>
        <v>#NAME?</v>
      </c>
    </row>
    <row r="873" spans="1:16" x14ac:dyDescent="0.2">
      <c r="A873" s="169" t="e">
        <f ca="1">IF(C873="","",ROW(行数!A865))</f>
        <v>#NAME?</v>
      </c>
      <c r="B873" s="168" t="e">
        <f t="shared" ca="1" si="94"/>
        <v>#NAME?</v>
      </c>
      <c r="C873" s="90" t="e">
        <f ca="1">[0]!CSVVLookUP(ROW(行数!A865),配列!$C$4,集計記録,3,1)</f>
        <v>#NAME?</v>
      </c>
      <c r="D873" s="90" t="e">
        <f ca="1">[0]!CSVVLookUP(ROW(行数!B865),配列!$C$4,集計記録,4,1)</f>
        <v>#NAME?</v>
      </c>
      <c r="E873" s="118" t="e">
        <f t="shared" ca="1" si="95"/>
        <v>#NAME?</v>
      </c>
      <c r="F873" s="118" t="e">
        <f t="shared" ca="1" si="96"/>
        <v>#NAME?</v>
      </c>
      <c r="G873" s="103" t="e">
        <f t="shared" ca="1" si="97"/>
        <v>#NAME?</v>
      </c>
      <c r="H873" s="104" t="e">
        <f ca="1">IF(C873="","",MROUND([0]!CSVVLookUP(ROW(行数!A865),配列!$C$4,集計記録,8,1),"0:01"))</f>
        <v>#NAME?</v>
      </c>
      <c r="I873" s="104" t="e">
        <f t="shared" ca="1" si="98"/>
        <v>#NAME?</v>
      </c>
      <c r="J873" s="119" t="e">
        <f ca="1">IF(C873="","",MROUND([0]!CSVVLookUP(ROW(行数!A865),配列!$C$4,集計記録,7,1),"0:01"))</f>
        <v>#NAME?</v>
      </c>
      <c r="K873" s="92" t="e">
        <f ca="1">IF(C873="","",[0]!CSVVLookUP(ROW(行数!A865),配列!$C$4,集計記録,5,1))</f>
        <v>#NAME?</v>
      </c>
      <c r="L873" s="104" t="e">
        <f t="shared" ca="1" si="99"/>
        <v>#NAME?</v>
      </c>
      <c r="M873" s="120" t="e">
        <f t="shared" ca="1" si="93"/>
        <v>#NAME?</v>
      </c>
      <c r="N873" s="120" t="e">
        <f ca="1">IF([0]!CSVVLookUP(ROW(行数!A865),配列!$C$4,集計記録,6,1)=0,"",[0]!CSVVLookUP(ROW(行数!A865),配列!$C$4,集計記録,6,1))</f>
        <v>#NAME?</v>
      </c>
      <c r="O873" s="88" t="e">
        <f ca="1">IF(INDIRECT("M"&amp;ROW()-1)&lt;&gt;INDIRECT("M"&amp;ROW()),リスト!$I$5,"")</f>
        <v>#NAME?</v>
      </c>
      <c r="P873" s="88" t="e">
        <f ca="1">IF(INDIRECT("M"&amp;ROW())&lt;&gt;INDIRECT("M"&amp;ROW()+1),リスト!$I$6,"")</f>
        <v>#NAME?</v>
      </c>
    </row>
    <row r="874" spans="1:16" x14ac:dyDescent="0.2">
      <c r="A874" s="169" t="e">
        <f ca="1">IF(C874="","",ROW(行数!A866))</f>
        <v>#NAME?</v>
      </c>
      <c r="B874" s="168" t="e">
        <f t="shared" ca="1" si="94"/>
        <v>#NAME?</v>
      </c>
      <c r="C874" s="90" t="e">
        <f ca="1">[0]!CSVVLookUP(ROW(行数!A866),配列!$C$4,集計記録,3,1)</f>
        <v>#NAME?</v>
      </c>
      <c r="D874" s="90" t="e">
        <f ca="1">[0]!CSVVLookUP(ROW(行数!B866),配列!$C$4,集計記録,4,1)</f>
        <v>#NAME?</v>
      </c>
      <c r="E874" s="118" t="e">
        <f t="shared" ca="1" si="95"/>
        <v>#NAME?</v>
      </c>
      <c r="F874" s="118" t="e">
        <f t="shared" ca="1" si="96"/>
        <v>#NAME?</v>
      </c>
      <c r="G874" s="103" t="e">
        <f t="shared" ca="1" si="97"/>
        <v>#NAME?</v>
      </c>
      <c r="H874" s="104" t="e">
        <f ca="1">IF(C874="","",MROUND([0]!CSVVLookUP(ROW(行数!A866),配列!$C$4,集計記録,8,1),"0:01"))</f>
        <v>#NAME?</v>
      </c>
      <c r="I874" s="104" t="e">
        <f t="shared" ca="1" si="98"/>
        <v>#NAME?</v>
      </c>
      <c r="J874" s="119" t="e">
        <f ca="1">IF(C874="","",MROUND([0]!CSVVLookUP(ROW(行数!A866),配列!$C$4,集計記録,7,1),"0:01"))</f>
        <v>#NAME?</v>
      </c>
      <c r="K874" s="92" t="e">
        <f ca="1">IF(C874="","",[0]!CSVVLookUP(ROW(行数!A866),配列!$C$4,集計記録,5,1))</f>
        <v>#NAME?</v>
      </c>
      <c r="L874" s="104" t="e">
        <f t="shared" ca="1" si="99"/>
        <v>#NAME?</v>
      </c>
      <c r="M874" s="120" t="e">
        <f t="shared" ca="1" si="93"/>
        <v>#NAME?</v>
      </c>
      <c r="N874" s="120" t="e">
        <f ca="1">IF([0]!CSVVLookUP(ROW(行数!A866),配列!$C$4,集計記録,6,1)=0,"",[0]!CSVVLookUP(ROW(行数!A866),配列!$C$4,集計記録,6,1))</f>
        <v>#NAME?</v>
      </c>
      <c r="O874" s="88" t="e">
        <f ca="1">IF(INDIRECT("M"&amp;ROW()-1)&lt;&gt;INDIRECT("M"&amp;ROW()),リスト!$I$5,"")</f>
        <v>#NAME?</v>
      </c>
      <c r="P874" s="88" t="e">
        <f ca="1">IF(INDIRECT("M"&amp;ROW())&lt;&gt;INDIRECT("M"&amp;ROW()+1),リスト!$I$6,"")</f>
        <v>#NAME?</v>
      </c>
    </row>
    <row r="875" spans="1:16" x14ac:dyDescent="0.2">
      <c r="A875" s="169" t="e">
        <f ca="1">IF(C875="","",ROW(行数!A867))</f>
        <v>#NAME?</v>
      </c>
      <c r="B875" s="168" t="e">
        <f t="shared" ca="1" si="94"/>
        <v>#NAME?</v>
      </c>
      <c r="C875" s="90" t="e">
        <f ca="1">[0]!CSVVLookUP(ROW(行数!A867),配列!$C$4,集計記録,3,1)</f>
        <v>#NAME?</v>
      </c>
      <c r="D875" s="90" t="e">
        <f ca="1">[0]!CSVVLookUP(ROW(行数!B867),配列!$C$4,集計記録,4,1)</f>
        <v>#NAME?</v>
      </c>
      <c r="E875" s="118" t="e">
        <f t="shared" ca="1" si="95"/>
        <v>#NAME?</v>
      </c>
      <c r="F875" s="118" t="e">
        <f t="shared" ca="1" si="96"/>
        <v>#NAME?</v>
      </c>
      <c r="G875" s="103" t="e">
        <f t="shared" ca="1" si="97"/>
        <v>#NAME?</v>
      </c>
      <c r="H875" s="104" t="e">
        <f ca="1">IF(C875="","",MROUND([0]!CSVVLookUP(ROW(行数!A867),配列!$C$4,集計記録,8,1),"0:01"))</f>
        <v>#NAME?</v>
      </c>
      <c r="I875" s="104" t="e">
        <f t="shared" ca="1" si="98"/>
        <v>#NAME?</v>
      </c>
      <c r="J875" s="119" t="e">
        <f ca="1">IF(C875="","",MROUND([0]!CSVVLookUP(ROW(行数!A867),配列!$C$4,集計記録,7,1),"0:01"))</f>
        <v>#NAME?</v>
      </c>
      <c r="K875" s="92" t="e">
        <f ca="1">IF(C875="","",[0]!CSVVLookUP(ROW(行数!A867),配列!$C$4,集計記録,5,1))</f>
        <v>#NAME?</v>
      </c>
      <c r="L875" s="104" t="e">
        <f t="shared" ca="1" si="99"/>
        <v>#NAME?</v>
      </c>
      <c r="M875" s="120" t="e">
        <f t="shared" ca="1" si="93"/>
        <v>#NAME?</v>
      </c>
      <c r="N875" s="120" t="e">
        <f ca="1">IF([0]!CSVVLookUP(ROW(行数!A867),配列!$C$4,集計記録,6,1)=0,"",[0]!CSVVLookUP(ROW(行数!A867),配列!$C$4,集計記録,6,1))</f>
        <v>#NAME?</v>
      </c>
      <c r="O875" s="88" t="e">
        <f ca="1">IF(INDIRECT("M"&amp;ROW()-1)&lt;&gt;INDIRECT("M"&amp;ROW()),リスト!$I$5,"")</f>
        <v>#NAME?</v>
      </c>
      <c r="P875" s="88" t="e">
        <f ca="1">IF(INDIRECT("M"&amp;ROW())&lt;&gt;INDIRECT("M"&amp;ROW()+1),リスト!$I$6,"")</f>
        <v>#NAME?</v>
      </c>
    </row>
    <row r="876" spans="1:16" x14ac:dyDescent="0.2">
      <c r="A876" s="169" t="e">
        <f ca="1">IF(C876="","",ROW(行数!A868))</f>
        <v>#NAME?</v>
      </c>
      <c r="B876" s="168" t="e">
        <f t="shared" ca="1" si="94"/>
        <v>#NAME?</v>
      </c>
      <c r="C876" s="90" t="e">
        <f ca="1">[0]!CSVVLookUP(ROW(行数!A868),配列!$C$4,集計記録,3,1)</f>
        <v>#NAME?</v>
      </c>
      <c r="D876" s="90" t="e">
        <f ca="1">[0]!CSVVLookUP(ROW(行数!B868),配列!$C$4,集計記録,4,1)</f>
        <v>#NAME?</v>
      </c>
      <c r="E876" s="118" t="e">
        <f t="shared" ca="1" si="95"/>
        <v>#NAME?</v>
      </c>
      <c r="F876" s="118" t="e">
        <f t="shared" ca="1" si="96"/>
        <v>#NAME?</v>
      </c>
      <c r="G876" s="103" t="e">
        <f t="shared" ca="1" si="97"/>
        <v>#NAME?</v>
      </c>
      <c r="H876" s="104" t="e">
        <f ca="1">IF(C876="","",MROUND([0]!CSVVLookUP(ROW(行数!A868),配列!$C$4,集計記録,8,1),"0:01"))</f>
        <v>#NAME?</v>
      </c>
      <c r="I876" s="104" t="e">
        <f t="shared" ca="1" si="98"/>
        <v>#NAME?</v>
      </c>
      <c r="J876" s="119" t="e">
        <f ca="1">IF(C876="","",MROUND([0]!CSVVLookUP(ROW(行数!A868),配列!$C$4,集計記録,7,1),"0:01"))</f>
        <v>#NAME?</v>
      </c>
      <c r="K876" s="92" t="e">
        <f ca="1">IF(C876="","",[0]!CSVVLookUP(ROW(行数!A868),配列!$C$4,集計記録,5,1))</f>
        <v>#NAME?</v>
      </c>
      <c r="L876" s="104" t="e">
        <f t="shared" ca="1" si="99"/>
        <v>#NAME?</v>
      </c>
      <c r="M876" s="120" t="e">
        <f t="shared" ca="1" si="93"/>
        <v>#NAME?</v>
      </c>
      <c r="N876" s="120" t="e">
        <f ca="1">IF([0]!CSVVLookUP(ROW(行数!A868),配列!$C$4,集計記録,6,1)=0,"",[0]!CSVVLookUP(ROW(行数!A868),配列!$C$4,集計記録,6,1))</f>
        <v>#NAME?</v>
      </c>
      <c r="O876" s="88" t="e">
        <f ca="1">IF(INDIRECT("M"&amp;ROW()-1)&lt;&gt;INDIRECT("M"&amp;ROW()),リスト!$I$5,"")</f>
        <v>#NAME?</v>
      </c>
      <c r="P876" s="88" t="e">
        <f ca="1">IF(INDIRECT("M"&amp;ROW())&lt;&gt;INDIRECT("M"&amp;ROW()+1),リスト!$I$6,"")</f>
        <v>#NAME?</v>
      </c>
    </row>
    <row r="877" spans="1:16" x14ac:dyDescent="0.2">
      <c r="A877" s="169" t="e">
        <f ca="1">IF(C877="","",ROW(行数!A869))</f>
        <v>#NAME?</v>
      </c>
      <c r="B877" s="168" t="e">
        <f t="shared" ca="1" si="94"/>
        <v>#NAME?</v>
      </c>
      <c r="C877" s="90" t="e">
        <f ca="1">[0]!CSVVLookUP(ROW(行数!A869),配列!$C$4,集計記録,3,1)</f>
        <v>#NAME?</v>
      </c>
      <c r="D877" s="90" t="e">
        <f ca="1">[0]!CSVVLookUP(ROW(行数!B869),配列!$C$4,集計記録,4,1)</f>
        <v>#NAME?</v>
      </c>
      <c r="E877" s="118" t="e">
        <f t="shared" ca="1" si="95"/>
        <v>#NAME?</v>
      </c>
      <c r="F877" s="118" t="e">
        <f t="shared" ca="1" si="96"/>
        <v>#NAME?</v>
      </c>
      <c r="G877" s="103" t="e">
        <f t="shared" ca="1" si="97"/>
        <v>#NAME?</v>
      </c>
      <c r="H877" s="104" t="e">
        <f ca="1">IF(C877="","",MROUND([0]!CSVVLookUP(ROW(行数!A869),配列!$C$4,集計記録,8,1),"0:01"))</f>
        <v>#NAME?</v>
      </c>
      <c r="I877" s="104" t="e">
        <f t="shared" ca="1" si="98"/>
        <v>#NAME?</v>
      </c>
      <c r="J877" s="119" t="e">
        <f ca="1">IF(C877="","",MROUND([0]!CSVVLookUP(ROW(行数!A869),配列!$C$4,集計記録,7,1),"0:01"))</f>
        <v>#NAME?</v>
      </c>
      <c r="K877" s="92" t="e">
        <f ca="1">IF(C877="","",[0]!CSVVLookUP(ROW(行数!A869),配列!$C$4,集計記録,5,1))</f>
        <v>#NAME?</v>
      </c>
      <c r="L877" s="104" t="e">
        <f t="shared" ca="1" si="99"/>
        <v>#NAME?</v>
      </c>
      <c r="M877" s="120" t="e">
        <f t="shared" ca="1" si="93"/>
        <v>#NAME?</v>
      </c>
      <c r="N877" s="120" t="e">
        <f ca="1">IF([0]!CSVVLookUP(ROW(行数!A869),配列!$C$4,集計記録,6,1)=0,"",[0]!CSVVLookUP(ROW(行数!A869),配列!$C$4,集計記録,6,1))</f>
        <v>#NAME?</v>
      </c>
      <c r="O877" s="88" t="e">
        <f ca="1">IF(INDIRECT("M"&amp;ROW()-1)&lt;&gt;INDIRECT("M"&amp;ROW()),リスト!$I$5,"")</f>
        <v>#NAME?</v>
      </c>
      <c r="P877" s="88" t="e">
        <f ca="1">IF(INDIRECT("M"&amp;ROW())&lt;&gt;INDIRECT("M"&amp;ROW()+1),リスト!$I$6,"")</f>
        <v>#NAME?</v>
      </c>
    </row>
    <row r="878" spans="1:16" x14ac:dyDescent="0.2">
      <c r="A878" s="169" t="e">
        <f ca="1">IF(C878="","",ROW(行数!A870))</f>
        <v>#NAME?</v>
      </c>
      <c r="B878" s="168" t="e">
        <f t="shared" ca="1" si="94"/>
        <v>#NAME?</v>
      </c>
      <c r="C878" s="90" t="e">
        <f ca="1">[0]!CSVVLookUP(ROW(行数!A870),配列!$C$4,集計記録,3,1)</f>
        <v>#NAME?</v>
      </c>
      <c r="D878" s="90" t="e">
        <f ca="1">[0]!CSVVLookUP(ROW(行数!B870),配列!$C$4,集計記録,4,1)</f>
        <v>#NAME?</v>
      </c>
      <c r="E878" s="118" t="e">
        <f t="shared" ca="1" si="95"/>
        <v>#NAME?</v>
      </c>
      <c r="F878" s="118" t="e">
        <f t="shared" ca="1" si="96"/>
        <v>#NAME?</v>
      </c>
      <c r="G878" s="103" t="e">
        <f t="shared" ca="1" si="97"/>
        <v>#NAME?</v>
      </c>
      <c r="H878" s="104" t="e">
        <f ca="1">IF(C878="","",MROUND([0]!CSVVLookUP(ROW(行数!A870),配列!$C$4,集計記録,8,1),"0:01"))</f>
        <v>#NAME?</v>
      </c>
      <c r="I878" s="104" t="e">
        <f t="shared" ca="1" si="98"/>
        <v>#NAME?</v>
      </c>
      <c r="J878" s="119" t="e">
        <f ca="1">IF(C878="","",MROUND([0]!CSVVLookUP(ROW(行数!A870),配列!$C$4,集計記録,7,1),"0:01"))</f>
        <v>#NAME?</v>
      </c>
      <c r="K878" s="92" t="e">
        <f ca="1">IF(C878="","",[0]!CSVVLookUP(ROW(行数!A870),配列!$C$4,集計記録,5,1))</f>
        <v>#NAME?</v>
      </c>
      <c r="L878" s="104" t="e">
        <f t="shared" ca="1" si="99"/>
        <v>#NAME?</v>
      </c>
      <c r="M878" s="120" t="e">
        <f t="shared" ca="1" si="93"/>
        <v>#NAME?</v>
      </c>
      <c r="N878" s="120" t="e">
        <f ca="1">IF([0]!CSVVLookUP(ROW(行数!A870),配列!$C$4,集計記録,6,1)=0,"",[0]!CSVVLookUP(ROW(行数!A870),配列!$C$4,集計記録,6,1))</f>
        <v>#NAME?</v>
      </c>
      <c r="O878" s="88" t="e">
        <f ca="1">IF(INDIRECT("M"&amp;ROW()-1)&lt;&gt;INDIRECT("M"&amp;ROW()),リスト!$I$5,"")</f>
        <v>#NAME?</v>
      </c>
      <c r="P878" s="88" t="e">
        <f ca="1">IF(INDIRECT("M"&amp;ROW())&lt;&gt;INDIRECT("M"&amp;ROW()+1),リスト!$I$6,"")</f>
        <v>#NAME?</v>
      </c>
    </row>
    <row r="879" spans="1:16" x14ac:dyDescent="0.2">
      <c r="A879" s="169" t="e">
        <f ca="1">IF(C879="","",ROW(行数!A871))</f>
        <v>#NAME?</v>
      </c>
      <c r="B879" s="168" t="e">
        <f t="shared" ca="1" si="94"/>
        <v>#NAME?</v>
      </c>
      <c r="C879" s="90" t="e">
        <f ca="1">[0]!CSVVLookUP(ROW(行数!A871),配列!$C$4,集計記録,3,1)</f>
        <v>#NAME?</v>
      </c>
      <c r="D879" s="90" t="e">
        <f ca="1">[0]!CSVVLookUP(ROW(行数!B871),配列!$C$4,集計記録,4,1)</f>
        <v>#NAME?</v>
      </c>
      <c r="E879" s="118" t="e">
        <f t="shared" ca="1" si="95"/>
        <v>#NAME?</v>
      </c>
      <c r="F879" s="118" t="e">
        <f t="shared" ca="1" si="96"/>
        <v>#NAME?</v>
      </c>
      <c r="G879" s="103" t="e">
        <f t="shared" ca="1" si="97"/>
        <v>#NAME?</v>
      </c>
      <c r="H879" s="104" t="e">
        <f ca="1">IF(C879="","",MROUND([0]!CSVVLookUP(ROW(行数!A871),配列!$C$4,集計記録,8,1),"0:01"))</f>
        <v>#NAME?</v>
      </c>
      <c r="I879" s="104" t="e">
        <f t="shared" ca="1" si="98"/>
        <v>#NAME?</v>
      </c>
      <c r="J879" s="119" t="e">
        <f ca="1">IF(C879="","",MROUND([0]!CSVVLookUP(ROW(行数!A871),配列!$C$4,集計記録,7,1),"0:01"))</f>
        <v>#NAME?</v>
      </c>
      <c r="K879" s="92" t="e">
        <f ca="1">IF(C879="","",[0]!CSVVLookUP(ROW(行数!A871),配列!$C$4,集計記録,5,1))</f>
        <v>#NAME?</v>
      </c>
      <c r="L879" s="104" t="e">
        <f t="shared" ca="1" si="99"/>
        <v>#NAME?</v>
      </c>
      <c r="M879" s="120" t="e">
        <f t="shared" ca="1" si="93"/>
        <v>#NAME?</v>
      </c>
      <c r="N879" s="120" t="e">
        <f ca="1">IF([0]!CSVVLookUP(ROW(行数!A871),配列!$C$4,集計記録,6,1)=0,"",[0]!CSVVLookUP(ROW(行数!A871),配列!$C$4,集計記録,6,1))</f>
        <v>#NAME?</v>
      </c>
      <c r="O879" s="88" t="e">
        <f ca="1">IF(INDIRECT("M"&amp;ROW()-1)&lt;&gt;INDIRECT("M"&amp;ROW()),リスト!$I$5,"")</f>
        <v>#NAME?</v>
      </c>
      <c r="P879" s="88" t="e">
        <f ca="1">IF(INDIRECT("M"&amp;ROW())&lt;&gt;INDIRECT("M"&amp;ROW()+1),リスト!$I$6,"")</f>
        <v>#NAME?</v>
      </c>
    </row>
    <row r="880" spans="1:16" x14ac:dyDescent="0.2">
      <c r="A880" s="169" t="e">
        <f ca="1">IF(C880="","",ROW(行数!A872))</f>
        <v>#NAME?</v>
      </c>
      <c r="B880" s="168" t="e">
        <f t="shared" ca="1" si="94"/>
        <v>#NAME?</v>
      </c>
      <c r="C880" s="90" t="e">
        <f ca="1">[0]!CSVVLookUP(ROW(行数!A872),配列!$C$4,集計記録,3,1)</f>
        <v>#NAME?</v>
      </c>
      <c r="D880" s="90" t="e">
        <f ca="1">[0]!CSVVLookUP(ROW(行数!B872),配列!$C$4,集計記録,4,1)</f>
        <v>#NAME?</v>
      </c>
      <c r="E880" s="118" t="e">
        <f t="shared" ca="1" si="95"/>
        <v>#NAME?</v>
      </c>
      <c r="F880" s="118" t="e">
        <f t="shared" ca="1" si="96"/>
        <v>#NAME?</v>
      </c>
      <c r="G880" s="103" t="e">
        <f t="shared" ca="1" si="97"/>
        <v>#NAME?</v>
      </c>
      <c r="H880" s="104" t="e">
        <f ca="1">IF(C880="","",MROUND([0]!CSVVLookUP(ROW(行数!A872),配列!$C$4,集計記録,8,1),"0:01"))</f>
        <v>#NAME?</v>
      </c>
      <c r="I880" s="104" t="e">
        <f t="shared" ca="1" si="98"/>
        <v>#NAME?</v>
      </c>
      <c r="J880" s="119" t="e">
        <f ca="1">IF(C880="","",MROUND([0]!CSVVLookUP(ROW(行数!A872),配列!$C$4,集計記録,7,1),"0:01"))</f>
        <v>#NAME?</v>
      </c>
      <c r="K880" s="92" t="e">
        <f ca="1">IF(C880="","",[0]!CSVVLookUP(ROW(行数!A872),配列!$C$4,集計記録,5,1))</f>
        <v>#NAME?</v>
      </c>
      <c r="L880" s="104" t="e">
        <f t="shared" ca="1" si="99"/>
        <v>#NAME?</v>
      </c>
      <c r="M880" s="120" t="e">
        <f t="shared" ca="1" si="93"/>
        <v>#NAME?</v>
      </c>
      <c r="N880" s="120" t="e">
        <f ca="1">IF([0]!CSVVLookUP(ROW(行数!A872),配列!$C$4,集計記録,6,1)=0,"",[0]!CSVVLookUP(ROW(行数!A872),配列!$C$4,集計記録,6,1))</f>
        <v>#NAME?</v>
      </c>
      <c r="O880" s="88" t="e">
        <f ca="1">IF(INDIRECT("M"&amp;ROW()-1)&lt;&gt;INDIRECT("M"&amp;ROW()),リスト!$I$5,"")</f>
        <v>#NAME?</v>
      </c>
      <c r="P880" s="88" t="e">
        <f ca="1">IF(INDIRECT("M"&amp;ROW())&lt;&gt;INDIRECT("M"&amp;ROW()+1),リスト!$I$6,"")</f>
        <v>#NAME?</v>
      </c>
    </row>
    <row r="881" spans="1:16" x14ac:dyDescent="0.2">
      <c r="A881" s="169" t="e">
        <f ca="1">IF(C881="","",ROW(行数!A873))</f>
        <v>#NAME?</v>
      </c>
      <c r="B881" s="168" t="e">
        <f t="shared" ca="1" si="94"/>
        <v>#NAME?</v>
      </c>
      <c r="C881" s="90" t="e">
        <f ca="1">[0]!CSVVLookUP(ROW(行数!A873),配列!$C$4,集計記録,3,1)</f>
        <v>#NAME?</v>
      </c>
      <c r="D881" s="90" t="e">
        <f ca="1">[0]!CSVVLookUP(ROW(行数!B873),配列!$C$4,集計記録,4,1)</f>
        <v>#NAME?</v>
      </c>
      <c r="E881" s="118" t="e">
        <f t="shared" ca="1" si="95"/>
        <v>#NAME?</v>
      </c>
      <c r="F881" s="118" t="e">
        <f t="shared" ca="1" si="96"/>
        <v>#NAME?</v>
      </c>
      <c r="G881" s="103" t="e">
        <f t="shared" ca="1" si="97"/>
        <v>#NAME?</v>
      </c>
      <c r="H881" s="104" t="e">
        <f ca="1">IF(C881="","",MROUND([0]!CSVVLookUP(ROW(行数!A873),配列!$C$4,集計記録,8,1),"0:01"))</f>
        <v>#NAME?</v>
      </c>
      <c r="I881" s="104" t="e">
        <f t="shared" ca="1" si="98"/>
        <v>#NAME?</v>
      </c>
      <c r="J881" s="119" t="e">
        <f ca="1">IF(C881="","",MROUND([0]!CSVVLookUP(ROW(行数!A873),配列!$C$4,集計記録,7,1),"0:01"))</f>
        <v>#NAME?</v>
      </c>
      <c r="K881" s="92" t="e">
        <f ca="1">IF(C881="","",[0]!CSVVLookUP(ROW(行数!A873),配列!$C$4,集計記録,5,1))</f>
        <v>#NAME?</v>
      </c>
      <c r="L881" s="104" t="e">
        <f t="shared" ca="1" si="99"/>
        <v>#NAME?</v>
      </c>
      <c r="M881" s="120" t="e">
        <f t="shared" ca="1" si="93"/>
        <v>#NAME?</v>
      </c>
      <c r="N881" s="120" t="e">
        <f ca="1">IF([0]!CSVVLookUP(ROW(行数!A873),配列!$C$4,集計記録,6,1)=0,"",[0]!CSVVLookUP(ROW(行数!A873),配列!$C$4,集計記録,6,1))</f>
        <v>#NAME?</v>
      </c>
      <c r="O881" s="88" t="e">
        <f ca="1">IF(INDIRECT("M"&amp;ROW()-1)&lt;&gt;INDIRECT("M"&amp;ROW()),リスト!$I$5,"")</f>
        <v>#NAME?</v>
      </c>
      <c r="P881" s="88" t="e">
        <f ca="1">IF(INDIRECT("M"&amp;ROW())&lt;&gt;INDIRECT("M"&amp;ROW()+1),リスト!$I$6,"")</f>
        <v>#NAME?</v>
      </c>
    </row>
    <row r="882" spans="1:16" x14ac:dyDescent="0.2">
      <c r="A882" s="169" t="e">
        <f ca="1">IF(C882="","",ROW(行数!A874))</f>
        <v>#NAME?</v>
      </c>
      <c r="B882" s="168" t="e">
        <f t="shared" ca="1" si="94"/>
        <v>#NAME?</v>
      </c>
      <c r="C882" s="90" t="e">
        <f ca="1">[0]!CSVVLookUP(ROW(行数!A874),配列!$C$4,集計記録,3,1)</f>
        <v>#NAME?</v>
      </c>
      <c r="D882" s="90" t="e">
        <f ca="1">[0]!CSVVLookUP(ROW(行数!B874),配列!$C$4,集計記録,4,1)</f>
        <v>#NAME?</v>
      </c>
      <c r="E882" s="118" t="e">
        <f t="shared" ca="1" si="95"/>
        <v>#NAME?</v>
      </c>
      <c r="F882" s="118" t="e">
        <f t="shared" ca="1" si="96"/>
        <v>#NAME?</v>
      </c>
      <c r="G882" s="103" t="e">
        <f t="shared" ca="1" si="97"/>
        <v>#NAME?</v>
      </c>
      <c r="H882" s="104" t="e">
        <f ca="1">IF(C882="","",MROUND([0]!CSVVLookUP(ROW(行数!A874),配列!$C$4,集計記録,8,1),"0:01"))</f>
        <v>#NAME?</v>
      </c>
      <c r="I882" s="104" t="e">
        <f t="shared" ca="1" si="98"/>
        <v>#NAME?</v>
      </c>
      <c r="J882" s="119" t="e">
        <f ca="1">IF(C882="","",MROUND([0]!CSVVLookUP(ROW(行数!A874),配列!$C$4,集計記録,7,1),"0:01"))</f>
        <v>#NAME?</v>
      </c>
      <c r="K882" s="92" t="e">
        <f ca="1">IF(C882="","",[0]!CSVVLookUP(ROW(行数!A874),配列!$C$4,集計記録,5,1))</f>
        <v>#NAME?</v>
      </c>
      <c r="L882" s="104" t="e">
        <f t="shared" ca="1" si="99"/>
        <v>#NAME?</v>
      </c>
      <c r="M882" s="120" t="e">
        <f t="shared" ca="1" si="93"/>
        <v>#NAME?</v>
      </c>
      <c r="N882" s="120" t="e">
        <f ca="1">IF([0]!CSVVLookUP(ROW(行数!A874),配列!$C$4,集計記録,6,1)=0,"",[0]!CSVVLookUP(ROW(行数!A874),配列!$C$4,集計記録,6,1))</f>
        <v>#NAME?</v>
      </c>
      <c r="O882" s="88" t="e">
        <f ca="1">IF(INDIRECT("M"&amp;ROW()-1)&lt;&gt;INDIRECT("M"&amp;ROW()),リスト!$I$5,"")</f>
        <v>#NAME?</v>
      </c>
      <c r="P882" s="88" t="e">
        <f ca="1">IF(INDIRECT("M"&amp;ROW())&lt;&gt;INDIRECT("M"&amp;ROW()+1),リスト!$I$6,"")</f>
        <v>#NAME?</v>
      </c>
    </row>
    <row r="883" spans="1:16" x14ac:dyDescent="0.2">
      <c r="A883" s="169" t="e">
        <f ca="1">IF(C883="","",ROW(行数!A875))</f>
        <v>#NAME?</v>
      </c>
      <c r="B883" s="168" t="e">
        <f t="shared" ca="1" si="94"/>
        <v>#NAME?</v>
      </c>
      <c r="C883" s="90" t="e">
        <f ca="1">[0]!CSVVLookUP(ROW(行数!A875),配列!$C$4,集計記録,3,1)</f>
        <v>#NAME?</v>
      </c>
      <c r="D883" s="90" t="e">
        <f ca="1">[0]!CSVVLookUP(ROW(行数!B875),配列!$C$4,集計記録,4,1)</f>
        <v>#NAME?</v>
      </c>
      <c r="E883" s="118" t="e">
        <f t="shared" ca="1" si="95"/>
        <v>#NAME?</v>
      </c>
      <c r="F883" s="118" t="e">
        <f t="shared" ca="1" si="96"/>
        <v>#NAME?</v>
      </c>
      <c r="G883" s="103" t="e">
        <f t="shared" ca="1" si="97"/>
        <v>#NAME?</v>
      </c>
      <c r="H883" s="104" t="e">
        <f ca="1">IF(C883="","",MROUND([0]!CSVVLookUP(ROW(行数!A875),配列!$C$4,集計記録,8,1),"0:01"))</f>
        <v>#NAME?</v>
      </c>
      <c r="I883" s="104" t="e">
        <f t="shared" ca="1" si="98"/>
        <v>#NAME?</v>
      </c>
      <c r="J883" s="119" t="e">
        <f ca="1">IF(C883="","",MROUND([0]!CSVVLookUP(ROW(行数!A875),配列!$C$4,集計記録,7,1),"0:01"))</f>
        <v>#NAME?</v>
      </c>
      <c r="K883" s="92" t="e">
        <f ca="1">IF(C883="","",[0]!CSVVLookUP(ROW(行数!A875),配列!$C$4,集計記録,5,1))</f>
        <v>#NAME?</v>
      </c>
      <c r="L883" s="104" t="e">
        <f t="shared" ca="1" si="99"/>
        <v>#NAME?</v>
      </c>
      <c r="M883" s="120" t="e">
        <f t="shared" ca="1" si="93"/>
        <v>#NAME?</v>
      </c>
      <c r="N883" s="120" t="e">
        <f ca="1">IF([0]!CSVVLookUP(ROW(行数!A875),配列!$C$4,集計記録,6,1)=0,"",[0]!CSVVLookUP(ROW(行数!A875),配列!$C$4,集計記録,6,1))</f>
        <v>#NAME?</v>
      </c>
      <c r="O883" s="88" t="e">
        <f ca="1">IF(INDIRECT("M"&amp;ROW()-1)&lt;&gt;INDIRECT("M"&amp;ROW()),リスト!$I$5,"")</f>
        <v>#NAME?</v>
      </c>
      <c r="P883" s="88" t="e">
        <f ca="1">IF(INDIRECT("M"&amp;ROW())&lt;&gt;INDIRECT("M"&amp;ROW()+1),リスト!$I$6,"")</f>
        <v>#NAME?</v>
      </c>
    </row>
    <row r="884" spans="1:16" x14ac:dyDescent="0.2">
      <c r="A884" s="169" t="e">
        <f ca="1">IF(C884="","",ROW(行数!A876))</f>
        <v>#NAME?</v>
      </c>
      <c r="B884" s="168" t="e">
        <f t="shared" ca="1" si="94"/>
        <v>#NAME?</v>
      </c>
      <c r="C884" s="90" t="e">
        <f ca="1">[0]!CSVVLookUP(ROW(行数!A876),配列!$C$4,集計記録,3,1)</f>
        <v>#NAME?</v>
      </c>
      <c r="D884" s="90" t="e">
        <f ca="1">[0]!CSVVLookUP(ROW(行数!B876),配列!$C$4,集計記録,4,1)</f>
        <v>#NAME?</v>
      </c>
      <c r="E884" s="118" t="e">
        <f t="shared" ca="1" si="95"/>
        <v>#NAME?</v>
      </c>
      <c r="F884" s="118" t="e">
        <f t="shared" ca="1" si="96"/>
        <v>#NAME?</v>
      </c>
      <c r="G884" s="103" t="e">
        <f t="shared" ca="1" si="97"/>
        <v>#NAME?</v>
      </c>
      <c r="H884" s="104" t="e">
        <f ca="1">IF(C884="","",MROUND([0]!CSVVLookUP(ROW(行数!A876),配列!$C$4,集計記録,8,1),"0:01"))</f>
        <v>#NAME?</v>
      </c>
      <c r="I884" s="104" t="e">
        <f t="shared" ca="1" si="98"/>
        <v>#NAME?</v>
      </c>
      <c r="J884" s="119" t="e">
        <f ca="1">IF(C884="","",MROUND([0]!CSVVLookUP(ROW(行数!A876),配列!$C$4,集計記録,7,1),"0:01"))</f>
        <v>#NAME?</v>
      </c>
      <c r="K884" s="92" t="e">
        <f ca="1">IF(C884="","",[0]!CSVVLookUP(ROW(行数!A876),配列!$C$4,集計記録,5,1))</f>
        <v>#NAME?</v>
      </c>
      <c r="L884" s="104" t="e">
        <f t="shared" ca="1" si="99"/>
        <v>#NAME?</v>
      </c>
      <c r="M884" s="120" t="e">
        <f t="shared" ca="1" si="93"/>
        <v>#NAME?</v>
      </c>
      <c r="N884" s="120" t="e">
        <f ca="1">IF([0]!CSVVLookUP(ROW(行数!A876),配列!$C$4,集計記録,6,1)=0,"",[0]!CSVVLookUP(ROW(行数!A876),配列!$C$4,集計記録,6,1))</f>
        <v>#NAME?</v>
      </c>
      <c r="O884" s="88" t="e">
        <f ca="1">IF(INDIRECT("M"&amp;ROW()-1)&lt;&gt;INDIRECT("M"&amp;ROW()),リスト!$I$5,"")</f>
        <v>#NAME?</v>
      </c>
      <c r="P884" s="88" t="e">
        <f ca="1">IF(INDIRECT("M"&amp;ROW())&lt;&gt;INDIRECT("M"&amp;ROW()+1),リスト!$I$6,"")</f>
        <v>#NAME?</v>
      </c>
    </row>
    <row r="885" spans="1:16" x14ac:dyDescent="0.2">
      <c r="A885" s="169" t="e">
        <f ca="1">IF(C885="","",ROW(行数!A877))</f>
        <v>#NAME?</v>
      </c>
      <c r="B885" s="168" t="e">
        <f t="shared" ca="1" si="94"/>
        <v>#NAME?</v>
      </c>
      <c r="C885" s="90" t="e">
        <f ca="1">[0]!CSVVLookUP(ROW(行数!A877),配列!$C$4,集計記録,3,1)</f>
        <v>#NAME?</v>
      </c>
      <c r="D885" s="90" t="e">
        <f ca="1">[0]!CSVVLookUP(ROW(行数!B877),配列!$C$4,集計記録,4,1)</f>
        <v>#NAME?</v>
      </c>
      <c r="E885" s="118" t="e">
        <f t="shared" ca="1" si="95"/>
        <v>#NAME?</v>
      </c>
      <c r="F885" s="118" t="e">
        <f t="shared" ca="1" si="96"/>
        <v>#NAME?</v>
      </c>
      <c r="G885" s="103" t="e">
        <f t="shared" ca="1" si="97"/>
        <v>#NAME?</v>
      </c>
      <c r="H885" s="104" t="e">
        <f ca="1">IF(C885="","",MROUND([0]!CSVVLookUP(ROW(行数!A877),配列!$C$4,集計記録,8,1),"0:01"))</f>
        <v>#NAME?</v>
      </c>
      <c r="I885" s="104" t="e">
        <f t="shared" ca="1" si="98"/>
        <v>#NAME?</v>
      </c>
      <c r="J885" s="119" t="e">
        <f ca="1">IF(C885="","",MROUND([0]!CSVVLookUP(ROW(行数!A877),配列!$C$4,集計記録,7,1),"0:01"))</f>
        <v>#NAME?</v>
      </c>
      <c r="K885" s="92" t="e">
        <f ca="1">IF(C885="","",[0]!CSVVLookUP(ROW(行数!A877),配列!$C$4,集計記録,5,1))</f>
        <v>#NAME?</v>
      </c>
      <c r="L885" s="104" t="e">
        <f t="shared" ca="1" si="99"/>
        <v>#NAME?</v>
      </c>
      <c r="M885" s="120" t="e">
        <f t="shared" ca="1" si="93"/>
        <v>#NAME?</v>
      </c>
      <c r="N885" s="120" t="e">
        <f ca="1">IF([0]!CSVVLookUP(ROW(行数!A877),配列!$C$4,集計記録,6,1)=0,"",[0]!CSVVLookUP(ROW(行数!A877),配列!$C$4,集計記録,6,1))</f>
        <v>#NAME?</v>
      </c>
      <c r="O885" s="88" t="e">
        <f ca="1">IF(INDIRECT("M"&amp;ROW()-1)&lt;&gt;INDIRECT("M"&amp;ROW()),リスト!$I$5,"")</f>
        <v>#NAME?</v>
      </c>
      <c r="P885" s="88" t="e">
        <f ca="1">IF(INDIRECT("M"&amp;ROW())&lt;&gt;INDIRECT("M"&amp;ROW()+1),リスト!$I$6,"")</f>
        <v>#NAME?</v>
      </c>
    </row>
    <row r="886" spans="1:16" x14ac:dyDescent="0.2">
      <c r="A886" s="169" t="e">
        <f ca="1">IF(C886="","",ROW(行数!A878))</f>
        <v>#NAME?</v>
      </c>
      <c r="B886" s="168" t="e">
        <f t="shared" ca="1" si="94"/>
        <v>#NAME?</v>
      </c>
      <c r="C886" s="90" t="e">
        <f ca="1">[0]!CSVVLookUP(ROW(行数!A878),配列!$C$4,集計記録,3,1)</f>
        <v>#NAME?</v>
      </c>
      <c r="D886" s="90" t="e">
        <f ca="1">[0]!CSVVLookUP(ROW(行数!B878),配列!$C$4,集計記録,4,1)</f>
        <v>#NAME?</v>
      </c>
      <c r="E886" s="118" t="e">
        <f t="shared" ca="1" si="95"/>
        <v>#NAME?</v>
      </c>
      <c r="F886" s="118" t="e">
        <f t="shared" ca="1" si="96"/>
        <v>#NAME?</v>
      </c>
      <c r="G886" s="103" t="e">
        <f t="shared" ca="1" si="97"/>
        <v>#NAME?</v>
      </c>
      <c r="H886" s="104" t="e">
        <f ca="1">IF(C886="","",MROUND([0]!CSVVLookUP(ROW(行数!A878),配列!$C$4,集計記録,8,1),"0:01"))</f>
        <v>#NAME?</v>
      </c>
      <c r="I886" s="104" t="e">
        <f t="shared" ca="1" si="98"/>
        <v>#NAME?</v>
      </c>
      <c r="J886" s="119" t="e">
        <f ca="1">IF(C886="","",MROUND([0]!CSVVLookUP(ROW(行数!A878),配列!$C$4,集計記録,7,1),"0:01"))</f>
        <v>#NAME?</v>
      </c>
      <c r="K886" s="92" t="e">
        <f ca="1">IF(C886="","",[0]!CSVVLookUP(ROW(行数!A878),配列!$C$4,集計記録,5,1))</f>
        <v>#NAME?</v>
      </c>
      <c r="L886" s="104" t="e">
        <f t="shared" ca="1" si="99"/>
        <v>#NAME?</v>
      </c>
      <c r="M886" s="120" t="e">
        <f t="shared" ca="1" si="93"/>
        <v>#NAME?</v>
      </c>
      <c r="N886" s="120" t="e">
        <f ca="1">IF([0]!CSVVLookUP(ROW(行数!A878),配列!$C$4,集計記録,6,1)=0,"",[0]!CSVVLookUP(ROW(行数!A878),配列!$C$4,集計記録,6,1))</f>
        <v>#NAME?</v>
      </c>
      <c r="O886" s="88" t="e">
        <f ca="1">IF(INDIRECT("M"&amp;ROW()-1)&lt;&gt;INDIRECT("M"&amp;ROW()),リスト!$I$5,"")</f>
        <v>#NAME?</v>
      </c>
      <c r="P886" s="88" t="e">
        <f ca="1">IF(INDIRECT("M"&amp;ROW())&lt;&gt;INDIRECT("M"&amp;ROW()+1),リスト!$I$6,"")</f>
        <v>#NAME?</v>
      </c>
    </row>
    <row r="887" spans="1:16" x14ac:dyDescent="0.2">
      <c r="A887" s="169" t="e">
        <f ca="1">IF(C887="","",ROW(行数!A879))</f>
        <v>#NAME?</v>
      </c>
      <c r="B887" s="168" t="e">
        <f t="shared" ca="1" si="94"/>
        <v>#NAME?</v>
      </c>
      <c r="C887" s="90" t="e">
        <f ca="1">[0]!CSVVLookUP(ROW(行数!A879),配列!$C$4,集計記録,3,1)</f>
        <v>#NAME?</v>
      </c>
      <c r="D887" s="90" t="e">
        <f ca="1">[0]!CSVVLookUP(ROW(行数!B879),配列!$C$4,集計記録,4,1)</f>
        <v>#NAME?</v>
      </c>
      <c r="E887" s="118" t="e">
        <f t="shared" ca="1" si="95"/>
        <v>#NAME?</v>
      </c>
      <c r="F887" s="118" t="e">
        <f t="shared" ca="1" si="96"/>
        <v>#NAME?</v>
      </c>
      <c r="G887" s="103" t="e">
        <f t="shared" ca="1" si="97"/>
        <v>#NAME?</v>
      </c>
      <c r="H887" s="104" t="e">
        <f ca="1">IF(C887="","",MROUND([0]!CSVVLookUP(ROW(行数!A879),配列!$C$4,集計記録,8,1),"0:01"))</f>
        <v>#NAME?</v>
      </c>
      <c r="I887" s="104" t="e">
        <f t="shared" ca="1" si="98"/>
        <v>#NAME?</v>
      </c>
      <c r="J887" s="119" t="e">
        <f ca="1">IF(C887="","",MROUND([0]!CSVVLookUP(ROW(行数!A879),配列!$C$4,集計記録,7,1),"0:01"))</f>
        <v>#NAME?</v>
      </c>
      <c r="K887" s="92" t="e">
        <f ca="1">IF(C887="","",[0]!CSVVLookUP(ROW(行数!A879),配列!$C$4,集計記録,5,1))</f>
        <v>#NAME?</v>
      </c>
      <c r="L887" s="104" t="e">
        <f t="shared" ca="1" si="99"/>
        <v>#NAME?</v>
      </c>
      <c r="M887" s="120" t="e">
        <f t="shared" ca="1" si="93"/>
        <v>#NAME?</v>
      </c>
      <c r="N887" s="120" t="e">
        <f ca="1">IF([0]!CSVVLookUP(ROW(行数!A879),配列!$C$4,集計記録,6,1)=0,"",[0]!CSVVLookUP(ROW(行数!A879),配列!$C$4,集計記録,6,1))</f>
        <v>#NAME?</v>
      </c>
      <c r="O887" s="88" t="e">
        <f ca="1">IF(INDIRECT("M"&amp;ROW()-1)&lt;&gt;INDIRECT("M"&amp;ROW()),リスト!$I$5,"")</f>
        <v>#NAME?</v>
      </c>
      <c r="P887" s="88" t="e">
        <f ca="1">IF(INDIRECT("M"&amp;ROW())&lt;&gt;INDIRECT("M"&amp;ROW()+1),リスト!$I$6,"")</f>
        <v>#NAME?</v>
      </c>
    </row>
    <row r="888" spans="1:16" x14ac:dyDescent="0.2">
      <c r="A888" s="169" t="e">
        <f ca="1">IF(C888="","",ROW(行数!A880))</f>
        <v>#NAME?</v>
      </c>
      <c r="B888" s="168" t="e">
        <f t="shared" ca="1" si="94"/>
        <v>#NAME?</v>
      </c>
      <c r="C888" s="90" t="e">
        <f ca="1">[0]!CSVVLookUP(ROW(行数!A880),配列!$C$4,集計記録,3,1)</f>
        <v>#NAME?</v>
      </c>
      <c r="D888" s="90" t="e">
        <f ca="1">[0]!CSVVLookUP(ROW(行数!B880),配列!$C$4,集計記録,4,1)</f>
        <v>#NAME?</v>
      </c>
      <c r="E888" s="118" t="e">
        <f t="shared" ca="1" si="95"/>
        <v>#NAME?</v>
      </c>
      <c r="F888" s="118" t="e">
        <f t="shared" ca="1" si="96"/>
        <v>#NAME?</v>
      </c>
      <c r="G888" s="103" t="e">
        <f t="shared" ca="1" si="97"/>
        <v>#NAME?</v>
      </c>
      <c r="H888" s="104" t="e">
        <f ca="1">IF(C888="","",MROUND([0]!CSVVLookUP(ROW(行数!A880),配列!$C$4,集計記録,8,1),"0:01"))</f>
        <v>#NAME?</v>
      </c>
      <c r="I888" s="104" t="e">
        <f t="shared" ca="1" si="98"/>
        <v>#NAME?</v>
      </c>
      <c r="J888" s="119" t="e">
        <f ca="1">IF(C888="","",MROUND([0]!CSVVLookUP(ROW(行数!A880),配列!$C$4,集計記録,7,1),"0:01"))</f>
        <v>#NAME?</v>
      </c>
      <c r="K888" s="92" t="e">
        <f ca="1">IF(C888="","",[0]!CSVVLookUP(ROW(行数!A880),配列!$C$4,集計記録,5,1))</f>
        <v>#NAME?</v>
      </c>
      <c r="L888" s="104" t="e">
        <f t="shared" ca="1" si="99"/>
        <v>#NAME?</v>
      </c>
      <c r="M888" s="120" t="e">
        <f t="shared" ca="1" si="93"/>
        <v>#NAME?</v>
      </c>
      <c r="N888" s="120" t="e">
        <f ca="1">IF([0]!CSVVLookUP(ROW(行数!A880),配列!$C$4,集計記録,6,1)=0,"",[0]!CSVVLookUP(ROW(行数!A880),配列!$C$4,集計記録,6,1))</f>
        <v>#NAME?</v>
      </c>
      <c r="O888" s="88" t="e">
        <f ca="1">IF(INDIRECT("M"&amp;ROW()-1)&lt;&gt;INDIRECT("M"&amp;ROW()),リスト!$I$5,"")</f>
        <v>#NAME?</v>
      </c>
      <c r="P888" s="88" t="e">
        <f ca="1">IF(INDIRECT("M"&amp;ROW())&lt;&gt;INDIRECT("M"&amp;ROW()+1),リスト!$I$6,"")</f>
        <v>#NAME?</v>
      </c>
    </row>
    <row r="889" spans="1:16" x14ac:dyDescent="0.2">
      <c r="A889" s="169" t="e">
        <f ca="1">IF(C889="","",ROW(行数!A881))</f>
        <v>#NAME?</v>
      </c>
      <c r="B889" s="168" t="e">
        <f t="shared" ca="1" si="94"/>
        <v>#NAME?</v>
      </c>
      <c r="C889" s="90" t="e">
        <f ca="1">[0]!CSVVLookUP(ROW(行数!A881),配列!$C$4,集計記録,3,1)</f>
        <v>#NAME?</v>
      </c>
      <c r="D889" s="90" t="e">
        <f ca="1">[0]!CSVVLookUP(ROW(行数!B881),配列!$C$4,集計記録,4,1)</f>
        <v>#NAME?</v>
      </c>
      <c r="E889" s="118" t="e">
        <f t="shared" ca="1" si="95"/>
        <v>#NAME?</v>
      </c>
      <c r="F889" s="118" t="e">
        <f t="shared" ca="1" si="96"/>
        <v>#NAME?</v>
      </c>
      <c r="G889" s="103" t="e">
        <f t="shared" ca="1" si="97"/>
        <v>#NAME?</v>
      </c>
      <c r="H889" s="104" t="e">
        <f ca="1">IF(C889="","",MROUND([0]!CSVVLookUP(ROW(行数!A881),配列!$C$4,集計記録,8,1),"0:01"))</f>
        <v>#NAME?</v>
      </c>
      <c r="I889" s="104" t="e">
        <f t="shared" ca="1" si="98"/>
        <v>#NAME?</v>
      </c>
      <c r="J889" s="119" t="e">
        <f ca="1">IF(C889="","",MROUND([0]!CSVVLookUP(ROW(行数!A881),配列!$C$4,集計記録,7,1),"0:01"))</f>
        <v>#NAME?</v>
      </c>
      <c r="K889" s="92" t="e">
        <f ca="1">IF(C889="","",[0]!CSVVLookUP(ROW(行数!A881),配列!$C$4,集計記録,5,1))</f>
        <v>#NAME?</v>
      </c>
      <c r="L889" s="104" t="e">
        <f t="shared" ca="1" si="99"/>
        <v>#NAME?</v>
      </c>
      <c r="M889" s="120" t="e">
        <f t="shared" ca="1" si="93"/>
        <v>#NAME?</v>
      </c>
      <c r="N889" s="120" t="e">
        <f ca="1">IF([0]!CSVVLookUP(ROW(行数!A881),配列!$C$4,集計記録,6,1)=0,"",[0]!CSVVLookUP(ROW(行数!A881),配列!$C$4,集計記録,6,1))</f>
        <v>#NAME?</v>
      </c>
      <c r="O889" s="88" t="e">
        <f ca="1">IF(INDIRECT("M"&amp;ROW()-1)&lt;&gt;INDIRECT("M"&amp;ROW()),リスト!$I$5,"")</f>
        <v>#NAME?</v>
      </c>
      <c r="P889" s="88" t="e">
        <f ca="1">IF(INDIRECT("M"&amp;ROW())&lt;&gt;INDIRECT("M"&amp;ROW()+1),リスト!$I$6,"")</f>
        <v>#NAME?</v>
      </c>
    </row>
    <row r="890" spans="1:16" x14ac:dyDescent="0.2">
      <c r="A890" s="169" t="e">
        <f ca="1">IF(C890="","",ROW(行数!A882))</f>
        <v>#NAME?</v>
      </c>
      <c r="B890" s="168" t="e">
        <f t="shared" ca="1" si="94"/>
        <v>#NAME?</v>
      </c>
      <c r="C890" s="90" t="e">
        <f ca="1">[0]!CSVVLookUP(ROW(行数!A882),配列!$C$4,集計記録,3,1)</f>
        <v>#NAME?</v>
      </c>
      <c r="D890" s="90" t="e">
        <f ca="1">[0]!CSVVLookUP(ROW(行数!B882),配列!$C$4,集計記録,4,1)</f>
        <v>#NAME?</v>
      </c>
      <c r="E890" s="118" t="e">
        <f t="shared" ca="1" si="95"/>
        <v>#NAME?</v>
      </c>
      <c r="F890" s="118" t="e">
        <f t="shared" ca="1" si="96"/>
        <v>#NAME?</v>
      </c>
      <c r="G890" s="103" t="e">
        <f t="shared" ca="1" si="97"/>
        <v>#NAME?</v>
      </c>
      <c r="H890" s="104" t="e">
        <f ca="1">IF(C890="","",MROUND([0]!CSVVLookUP(ROW(行数!A882),配列!$C$4,集計記録,8,1),"0:01"))</f>
        <v>#NAME?</v>
      </c>
      <c r="I890" s="104" t="e">
        <f t="shared" ca="1" si="98"/>
        <v>#NAME?</v>
      </c>
      <c r="J890" s="119" t="e">
        <f ca="1">IF(C890="","",MROUND([0]!CSVVLookUP(ROW(行数!A882),配列!$C$4,集計記録,7,1),"0:01"))</f>
        <v>#NAME?</v>
      </c>
      <c r="K890" s="92" t="e">
        <f ca="1">IF(C890="","",[0]!CSVVLookUP(ROW(行数!A882),配列!$C$4,集計記録,5,1))</f>
        <v>#NAME?</v>
      </c>
      <c r="L890" s="104" t="e">
        <f t="shared" ca="1" si="99"/>
        <v>#NAME?</v>
      </c>
      <c r="M890" s="120" t="e">
        <f t="shared" ca="1" si="93"/>
        <v>#NAME?</v>
      </c>
      <c r="N890" s="120" t="e">
        <f ca="1">IF([0]!CSVVLookUP(ROW(行数!A882),配列!$C$4,集計記録,6,1)=0,"",[0]!CSVVLookUP(ROW(行数!A882),配列!$C$4,集計記録,6,1))</f>
        <v>#NAME?</v>
      </c>
      <c r="O890" s="88" t="e">
        <f ca="1">IF(INDIRECT("M"&amp;ROW()-1)&lt;&gt;INDIRECT("M"&amp;ROW()),リスト!$I$5,"")</f>
        <v>#NAME?</v>
      </c>
      <c r="P890" s="88" t="e">
        <f ca="1">IF(INDIRECT("M"&amp;ROW())&lt;&gt;INDIRECT("M"&amp;ROW()+1),リスト!$I$6,"")</f>
        <v>#NAME?</v>
      </c>
    </row>
    <row r="891" spans="1:16" x14ac:dyDescent="0.2">
      <c r="A891" s="169" t="e">
        <f ca="1">IF(C891="","",ROW(行数!A883))</f>
        <v>#NAME?</v>
      </c>
      <c r="B891" s="168" t="e">
        <f t="shared" ca="1" si="94"/>
        <v>#NAME?</v>
      </c>
      <c r="C891" s="90" t="e">
        <f ca="1">[0]!CSVVLookUP(ROW(行数!A883),配列!$C$4,集計記録,3,1)</f>
        <v>#NAME?</v>
      </c>
      <c r="D891" s="90" t="e">
        <f ca="1">[0]!CSVVLookUP(ROW(行数!B883),配列!$C$4,集計記録,4,1)</f>
        <v>#NAME?</v>
      </c>
      <c r="E891" s="118" t="e">
        <f t="shared" ca="1" si="95"/>
        <v>#NAME?</v>
      </c>
      <c r="F891" s="118" t="e">
        <f t="shared" ca="1" si="96"/>
        <v>#NAME?</v>
      </c>
      <c r="G891" s="103" t="e">
        <f t="shared" ca="1" si="97"/>
        <v>#NAME?</v>
      </c>
      <c r="H891" s="104" t="e">
        <f ca="1">IF(C891="","",MROUND([0]!CSVVLookUP(ROW(行数!A883),配列!$C$4,集計記録,8,1),"0:01"))</f>
        <v>#NAME?</v>
      </c>
      <c r="I891" s="104" t="e">
        <f t="shared" ca="1" si="98"/>
        <v>#NAME?</v>
      </c>
      <c r="J891" s="119" t="e">
        <f ca="1">IF(C891="","",MROUND([0]!CSVVLookUP(ROW(行数!A883),配列!$C$4,集計記録,7,1),"0:01"))</f>
        <v>#NAME?</v>
      </c>
      <c r="K891" s="92" t="e">
        <f ca="1">IF(C891="","",[0]!CSVVLookUP(ROW(行数!A883),配列!$C$4,集計記録,5,1))</f>
        <v>#NAME?</v>
      </c>
      <c r="L891" s="104" t="e">
        <f t="shared" ca="1" si="99"/>
        <v>#NAME?</v>
      </c>
      <c r="M891" s="120" t="e">
        <f t="shared" ca="1" si="93"/>
        <v>#NAME?</v>
      </c>
      <c r="N891" s="120" t="e">
        <f ca="1">IF([0]!CSVVLookUP(ROW(行数!A883),配列!$C$4,集計記録,6,1)=0,"",[0]!CSVVLookUP(ROW(行数!A883),配列!$C$4,集計記録,6,1))</f>
        <v>#NAME?</v>
      </c>
      <c r="O891" s="88" t="e">
        <f ca="1">IF(INDIRECT("M"&amp;ROW()-1)&lt;&gt;INDIRECT("M"&amp;ROW()),リスト!$I$5,"")</f>
        <v>#NAME?</v>
      </c>
      <c r="P891" s="88" t="e">
        <f ca="1">IF(INDIRECT("M"&amp;ROW())&lt;&gt;INDIRECT("M"&amp;ROW()+1),リスト!$I$6,"")</f>
        <v>#NAME?</v>
      </c>
    </row>
    <row r="892" spans="1:16" x14ac:dyDescent="0.2">
      <c r="A892" s="169" t="e">
        <f ca="1">IF(C892="","",ROW(行数!A884))</f>
        <v>#NAME?</v>
      </c>
      <c r="B892" s="168" t="e">
        <f t="shared" ca="1" si="94"/>
        <v>#NAME?</v>
      </c>
      <c r="C892" s="90" t="e">
        <f ca="1">[0]!CSVVLookUP(ROW(行数!A884),配列!$C$4,集計記録,3,1)</f>
        <v>#NAME?</v>
      </c>
      <c r="D892" s="90" t="e">
        <f ca="1">[0]!CSVVLookUP(ROW(行数!B884),配列!$C$4,集計記録,4,1)</f>
        <v>#NAME?</v>
      </c>
      <c r="E892" s="118" t="e">
        <f t="shared" ca="1" si="95"/>
        <v>#NAME?</v>
      </c>
      <c r="F892" s="118" t="e">
        <f t="shared" ca="1" si="96"/>
        <v>#NAME?</v>
      </c>
      <c r="G892" s="103" t="e">
        <f t="shared" ca="1" si="97"/>
        <v>#NAME?</v>
      </c>
      <c r="H892" s="104" t="e">
        <f ca="1">IF(C892="","",MROUND([0]!CSVVLookUP(ROW(行数!A884),配列!$C$4,集計記録,8,1),"0:01"))</f>
        <v>#NAME?</v>
      </c>
      <c r="I892" s="104" t="e">
        <f t="shared" ca="1" si="98"/>
        <v>#NAME?</v>
      </c>
      <c r="J892" s="119" t="e">
        <f ca="1">IF(C892="","",MROUND([0]!CSVVLookUP(ROW(行数!A884),配列!$C$4,集計記録,7,1),"0:01"))</f>
        <v>#NAME?</v>
      </c>
      <c r="K892" s="92" t="e">
        <f ca="1">IF(C892="","",[0]!CSVVLookUP(ROW(行数!A884),配列!$C$4,集計記録,5,1))</f>
        <v>#NAME?</v>
      </c>
      <c r="L892" s="104" t="e">
        <f t="shared" ca="1" si="99"/>
        <v>#NAME?</v>
      </c>
      <c r="M892" s="120" t="e">
        <f t="shared" ca="1" si="93"/>
        <v>#NAME?</v>
      </c>
      <c r="N892" s="120" t="e">
        <f ca="1">IF([0]!CSVVLookUP(ROW(行数!A884),配列!$C$4,集計記録,6,1)=0,"",[0]!CSVVLookUP(ROW(行数!A884),配列!$C$4,集計記録,6,1))</f>
        <v>#NAME?</v>
      </c>
      <c r="O892" s="88" t="e">
        <f ca="1">IF(INDIRECT("M"&amp;ROW()-1)&lt;&gt;INDIRECT("M"&amp;ROW()),リスト!$I$5,"")</f>
        <v>#NAME?</v>
      </c>
      <c r="P892" s="88" t="e">
        <f ca="1">IF(INDIRECT("M"&amp;ROW())&lt;&gt;INDIRECT("M"&amp;ROW()+1),リスト!$I$6,"")</f>
        <v>#NAME?</v>
      </c>
    </row>
    <row r="893" spans="1:16" x14ac:dyDescent="0.2">
      <c r="A893" s="169" t="e">
        <f ca="1">IF(C893="","",ROW(行数!A885))</f>
        <v>#NAME?</v>
      </c>
      <c r="B893" s="168" t="e">
        <f t="shared" ca="1" si="94"/>
        <v>#NAME?</v>
      </c>
      <c r="C893" s="90" t="e">
        <f ca="1">[0]!CSVVLookUP(ROW(行数!A885),配列!$C$4,集計記録,3,1)</f>
        <v>#NAME?</v>
      </c>
      <c r="D893" s="90" t="e">
        <f ca="1">[0]!CSVVLookUP(ROW(行数!B885),配列!$C$4,集計記録,4,1)</f>
        <v>#NAME?</v>
      </c>
      <c r="E893" s="118" t="e">
        <f t="shared" ca="1" si="95"/>
        <v>#NAME?</v>
      </c>
      <c r="F893" s="118" t="e">
        <f t="shared" ca="1" si="96"/>
        <v>#NAME?</v>
      </c>
      <c r="G893" s="103" t="e">
        <f t="shared" ca="1" si="97"/>
        <v>#NAME?</v>
      </c>
      <c r="H893" s="104" t="e">
        <f ca="1">IF(C893="","",MROUND([0]!CSVVLookUP(ROW(行数!A885),配列!$C$4,集計記録,8,1),"0:01"))</f>
        <v>#NAME?</v>
      </c>
      <c r="I893" s="104" t="e">
        <f t="shared" ca="1" si="98"/>
        <v>#NAME?</v>
      </c>
      <c r="J893" s="119" t="e">
        <f ca="1">IF(C893="","",MROUND([0]!CSVVLookUP(ROW(行数!A885),配列!$C$4,集計記録,7,1),"0:01"))</f>
        <v>#NAME?</v>
      </c>
      <c r="K893" s="92" t="e">
        <f ca="1">IF(C893="","",[0]!CSVVLookUP(ROW(行数!A885),配列!$C$4,集計記録,5,1))</f>
        <v>#NAME?</v>
      </c>
      <c r="L893" s="104" t="e">
        <f t="shared" ca="1" si="99"/>
        <v>#NAME?</v>
      </c>
      <c r="M893" s="120" t="e">
        <f t="shared" ca="1" si="93"/>
        <v>#NAME?</v>
      </c>
      <c r="N893" s="120" t="e">
        <f ca="1">IF([0]!CSVVLookUP(ROW(行数!A885),配列!$C$4,集計記録,6,1)=0,"",[0]!CSVVLookUP(ROW(行数!A885),配列!$C$4,集計記録,6,1))</f>
        <v>#NAME?</v>
      </c>
      <c r="O893" s="88" t="e">
        <f ca="1">IF(INDIRECT("M"&amp;ROW()-1)&lt;&gt;INDIRECT("M"&amp;ROW()),リスト!$I$5,"")</f>
        <v>#NAME?</v>
      </c>
      <c r="P893" s="88" t="e">
        <f ca="1">IF(INDIRECT("M"&amp;ROW())&lt;&gt;INDIRECT("M"&amp;ROW()+1),リスト!$I$6,"")</f>
        <v>#NAME?</v>
      </c>
    </row>
    <row r="894" spans="1:16" x14ac:dyDescent="0.2">
      <c r="A894" s="169" t="e">
        <f ca="1">IF(C894="","",ROW(行数!A886))</f>
        <v>#NAME?</v>
      </c>
      <c r="B894" s="168" t="e">
        <f t="shared" ca="1" si="94"/>
        <v>#NAME?</v>
      </c>
      <c r="C894" s="90" t="e">
        <f ca="1">[0]!CSVVLookUP(ROW(行数!A886),配列!$C$4,集計記録,3,1)</f>
        <v>#NAME?</v>
      </c>
      <c r="D894" s="90" t="e">
        <f ca="1">[0]!CSVVLookUP(ROW(行数!B886),配列!$C$4,集計記録,4,1)</f>
        <v>#NAME?</v>
      </c>
      <c r="E894" s="118" t="e">
        <f t="shared" ca="1" si="95"/>
        <v>#NAME?</v>
      </c>
      <c r="F894" s="118" t="e">
        <f t="shared" ca="1" si="96"/>
        <v>#NAME?</v>
      </c>
      <c r="G894" s="103" t="e">
        <f t="shared" ca="1" si="97"/>
        <v>#NAME?</v>
      </c>
      <c r="H894" s="104" t="e">
        <f ca="1">IF(C894="","",MROUND([0]!CSVVLookUP(ROW(行数!A886),配列!$C$4,集計記録,8,1),"0:01"))</f>
        <v>#NAME?</v>
      </c>
      <c r="I894" s="104" t="e">
        <f t="shared" ca="1" si="98"/>
        <v>#NAME?</v>
      </c>
      <c r="J894" s="119" t="e">
        <f ca="1">IF(C894="","",MROUND([0]!CSVVLookUP(ROW(行数!A886),配列!$C$4,集計記録,7,1),"0:01"))</f>
        <v>#NAME?</v>
      </c>
      <c r="K894" s="92" t="e">
        <f ca="1">IF(C894="","",[0]!CSVVLookUP(ROW(行数!A886),配列!$C$4,集計記録,5,1))</f>
        <v>#NAME?</v>
      </c>
      <c r="L894" s="104" t="e">
        <f t="shared" ca="1" si="99"/>
        <v>#NAME?</v>
      </c>
      <c r="M894" s="120" t="e">
        <f t="shared" ca="1" si="93"/>
        <v>#NAME?</v>
      </c>
      <c r="N894" s="120" t="e">
        <f ca="1">IF([0]!CSVVLookUP(ROW(行数!A886),配列!$C$4,集計記録,6,1)=0,"",[0]!CSVVLookUP(ROW(行数!A886),配列!$C$4,集計記録,6,1))</f>
        <v>#NAME?</v>
      </c>
      <c r="O894" s="88" t="e">
        <f ca="1">IF(INDIRECT("M"&amp;ROW()-1)&lt;&gt;INDIRECT("M"&amp;ROW()),リスト!$I$5,"")</f>
        <v>#NAME?</v>
      </c>
      <c r="P894" s="88" t="e">
        <f ca="1">IF(INDIRECT("M"&amp;ROW())&lt;&gt;INDIRECT("M"&amp;ROW()+1),リスト!$I$6,"")</f>
        <v>#NAME?</v>
      </c>
    </row>
    <row r="895" spans="1:16" x14ac:dyDescent="0.2">
      <c r="A895" s="169" t="e">
        <f ca="1">IF(C895="","",ROW(行数!A887))</f>
        <v>#NAME?</v>
      </c>
      <c r="B895" s="168" t="e">
        <f t="shared" ca="1" si="94"/>
        <v>#NAME?</v>
      </c>
      <c r="C895" s="90" t="e">
        <f ca="1">[0]!CSVVLookUP(ROW(行数!A887),配列!$C$4,集計記録,3,1)</f>
        <v>#NAME?</v>
      </c>
      <c r="D895" s="90" t="e">
        <f ca="1">[0]!CSVVLookUP(ROW(行数!B887),配列!$C$4,集計記録,4,1)</f>
        <v>#NAME?</v>
      </c>
      <c r="E895" s="118" t="e">
        <f t="shared" ca="1" si="95"/>
        <v>#NAME?</v>
      </c>
      <c r="F895" s="118" t="e">
        <f t="shared" ca="1" si="96"/>
        <v>#NAME?</v>
      </c>
      <c r="G895" s="103" t="e">
        <f t="shared" ca="1" si="97"/>
        <v>#NAME?</v>
      </c>
      <c r="H895" s="104" t="e">
        <f ca="1">IF(C895="","",MROUND([0]!CSVVLookUP(ROW(行数!A887),配列!$C$4,集計記録,8,1),"0:01"))</f>
        <v>#NAME?</v>
      </c>
      <c r="I895" s="104" t="e">
        <f t="shared" ca="1" si="98"/>
        <v>#NAME?</v>
      </c>
      <c r="J895" s="119" t="e">
        <f ca="1">IF(C895="","",MROUND([0]!CSVVLookUP(ROW(行数!A887),配列!$C$4,集計記録,7,1),"0:01"))</f>
        <v>#NAME?</v>
      </c>
      <c r="K895" s="92" t="e">
        <f ca="1">IF(C895="","",[0]!CSVVLookUP(ROW(行数!A887),配列!$C$4,集計記録,5,1))</f>
        <v>#NAME?</v>
      </c>
      <c r="L895" s="104" t="e">
        <f t="shared" ca="1" si="99"/>
        <v>#NAME?</v>
      </c>
      <c r="M895" s="120" t="e">
        <f t="shared" ca="1" si="93"/>
        <v>#NAME?</v>
      </c>
      <c r="N895" s="120" t="e">
        <f ca="1">IF([0]!CSVVLookUP(ROW(行数!A887),配列!$C$4,集計記録,6,1)=0,"",[0]!CSVVLookUP(ROW(行数!A887),配列!$C$4,集計記録,6,1))</f>
        <v>#NAME?</v>
      </c>
      <c r="O895" s="88" t="e">
        <f ca="1">IF(INDIRECT("M"&amp;ROW()-1)&lt;&gt;INDIRECT("M"&amp;ROW()),リスト!$I$5,"")</f>
        <v>#NAME?</v>
      </c>
      <c r="P895" s="88" t="e">
        <f ca="1">IF(INDIRECT("M"&amp;ROW())&lt;&gt;INDIRECT("M"&amp;ROW()+1),リスト!$I$6,"")</f>
        <v>#NAME?</v>
      </c>
    </row>
    <row r="896" spans="1:16" x14ac:dyDescent="0.2">
      <c r="A896" s="169" t="e">
        <f ca="1">IF(C896="","",ROW(行数!A888))</f>
        <v>#NAME?</v>
      </c>
      <c r="B896" s="168" t="e">
        <f t="shared" ca="1" si="94"/>
        <v>#NAME?</v>
      </c>
      <c r="C896" s="90" t="e">
        <f ca="1">[0]!CSVVLookUP(ROW(行数!A888),配列!$C$4,集計記録,3,1)</f>
        <v>#NAME?</v>
      </c>
      <c r="D896" s="90" t="e">
        <f ca="1">[0]!CSVVLookUP(ROW(行数!B888),配列!$C$4,集計記録,4,1)</f>
        <v>#NAME?</v>
      </c>
      <c r="E896" s="118" t="e">
        <f t="shared" ca="1" si="95"/>
        <v>#NAME?</v>
      </c>
      <c r="F896" s="118" t="e">
        <f t="shared" ca="1" si="96"/>
        <v>#NAME?</v>
      </c>
      <c r="G896" s="103" t="e">
        <f t="shared" ca="1" si="97"/>
        <v>#NAME?</v>
      </c>
      <c r="H896" s="104" t="e">
        <f ca="1">IF(C896="","",MROUND([0]!CSVVLookUP(ROW(行数!A888),配列!$C$4,集計記録,8,1),"0:01"))</f>
        <v>#NAME?</v>
      </c>
      <c r="I896" s="104" t="e">
        <f t="shared" ca="1" si="98"/>
        <v>#NAME?</v>
      </c>
      <c r="J896" s="119" t="e">
        <f ca="1">IF(C896="","",MROUND([0]!CSVVLookUP(ROW(行数!A888),配列!$C$4,集計記録,7,1),"0:01"))</f>
        <v>#NAME?</v>
      </c>
      <c r="K896" s="92" t="e">
        <f ca="1">IF(C896="","",[0]!CSVVLookUP(ROW(行数!A888),配列!$C$4,集計記録,5,1))</f>
        <v>#NAME?</v>
      </c>
      <c r="L896" s="104" t="e">
        <f t="shared" ca="1" si="99"/>
        <v>#NAME?</v>
      </c>
      <c r="M896" s="120" t="e">
        <f t="shared" ca="1" si="93"/>
        <v>#NAME?</v>
      </c>
      <c r="N896" s="120" t="e">
        <f ca="1">IF([0]!CSVVLookUP(ROW(行数!A888),配列!$C$4,集計記録,6,1)=0,"",[0]!CSVVLookUP(ROW(行数!A888),配列!$C$4,集計記録,6,1))</f>
        <v>#NAME?</v>
      </c>
      <c r="O896" s="88" t="e">
        <f ca="1">IF(INDIRECT("M"&amp;ROW()-1)&lt;&gt;INDIRECT("M"&amp;ROW()),リスト!$I$5,"")</f>
        <v>#NAME?</v>
      </c>
      <c r="P896" s="88" t="e">
        <f ca="1">IF(INDIRECT("M"&amp;ROW())&lt;&gt;INDIRECT("M"&amp;ROW()+1),リスト!$I$6,"")</f>
        <v>#NAME?</v>
      </c>
    </row>
    <row r="897" spans="1:16" x14ac:dyDescent="0.2">
      <c r="A897" s="169" t="e">
        <f ca="1">IF(C897="","",ROW(行数!A889))</f>
        <v>#NAME?</v>
      </c>
      <c r="B897" s="168" t="e">
        <f t="shared" ca="1" si="94"/>
        <v>#NAME?</v>
      </c>
      <c r="C897" s="90" t="e">
        <f ca="1">[0]!CSVVLookUP(ROW(行数!A889),配列!$C$4,集計記録,3,1)</f>
        <v>#NAME?</v>
      </c>
      <c r="D897" s="90" t="e">
        <f ca="1">[0]!CSVVLookUP(ROW(行数!B889),配列!$C$4,集計記録,4,1)</f>
        <v>#NAME?</v>
      </c>
      <c r="E897" s="118" t="e">
        <f t="shared" ca="1" si="95"/>
        <v>#NAME?</v>
      </c>
      <c r="F897" s="118" t="e">
        <f t="shared" ca="1" si="96"/>
        <v>#NAME?</v>
      </c>
      <c r="G897" s="103" t="e">
        <f t="shared" ca="1" si="97"/>
        <v>#NAME?</v>
      </c>
      <c r="H897" s="104" t="e">
        <f ca="1">IF(C897="","",MROUND([0]!CSVVLookUP(ROW(行数!A889),配列!$C$4,集計記録,8,1),"0:01"))</f>
        <v>#NAME?</v>
      </c>
      <c r="I897" s="104" t="e">
        <f t="shared" ca="1" si="98"/>
        <v>#NAME?</v>
      </c>
      <c r="J897" s="119" t="e">
        <f ca="1">IF(C897="","",MROUND([0]!CSVVLookUP(ROW(行数!A889),配列!$C$4,集計記録,7,1),"0:01"))</f>
        <v>#NAME?</v>
      </c>
      <c r="K897" s="92" t="e">
        <f ca="1">IF(C897="","",[0]!CSVVLookUP(ROW(行数!A889),配列!$C$4,集計記録,5,1))</f>
        <v>#NAME?</v>
      </c>
      <c r="L897" s="104" t="e">
        <f t="shared" ca="1" si="99"/>
        <v>#NAME?</v>
      </c>
      <c r="M897" s="120" t="e">
        <f t="shared" ca="1" si="93"/>
        <v>#NAME?</v>
      </c>
      <c r="N897" s="120" t="e">
        <f ca="1">IF([0]!CSVVLookUP(ROW(行数!A889),配列!$C$4,集計記録,6,1)=0,"",[0]!CSVVLookUP(ROW(行数!A889),配列!$C$4,集計記録,6,1))</f>
        <v>#NAME?</v>
      </c>
      <c r="O897" s="88" t="e">
        <f ca="1">IF(INDIRECT("M"&amp;ROW()-1)&lt;&gt;INDIRECT("M"&amp;ROW()),リスト!$I$5,"")</f>
        <v>#NAME?</v>
      </c>
      <c r="P897" s="88" t="e">
        <f ca="1">IF(INDIRECT("M"&amp;ROW())&lt;&gt;INDIRECT("M"&amp;ROW()+1),リスト!$I$6,"")</f>
        <v>#NAME?</v>
      </c>
    </row>
    <row r="898" spans="1:16" x14ac:dyDescent="0.2">
      <c r="A898" s="169" t="e">
        <f ca="1">IF(C898="","",ROW(行数!A890))</f>
        <v>#NAME?</v>
      </c>
      <c r="B898" s="168" t="e">
        <f t="shared" ca="1" si="94"/>
        <v>#NAME?</v>
      </c>
      <c r="C898" s="90" t="e">
        <f ca="1">[0]!CSVVLookUP(ROW(行数!A890),配列!$C$4,集計記録,3,1)</f>
        <v>#NAME?</v>
      </c>
      <c r="D898" s="90" t="e">
        <f ca="1">[0]!CSVVLookUP(ROW(行数!B890),配列!$C$4,集計記録,4,1)</f>
        <v>#NAME?</v>
      </c>
      <c r="E898" s="118" t="e">
        <f t="shared" ca="1" si="95"/>
        <v>#NAME?</v>
      </c>
      <c r="F898" s="118" t="e">
        <f t="shared" ca="1" si="96"/>
        <v>#NAME?</v>
      </c>
      <c r="G898" s="103" t="e">
        <f t="shared" ca="1" si="97"/>
        <v>#NAME?</v>
      </c>
      <c r="H898" s="104" t="e">
        <f ca="1">IF(C898="","",MROUND([0]!CSVVLookUP(ROW(行数!A890),配列!$C$4,集計記録,8,1),"0:01"))</f>
        <v>#NAME?</v>
      </c>
      <c r="I898" s="104" t="e">
        <f t="shared" ca="1" si="98"/>
        <v>#NAME?</v>
      </c>
      <c r="J898" s="119" t="e">
        <f ca="1">IF(C898="","",MROUND([0]!CSVVLookUP(ROW(行数!A890),配列!$C$4,集計記録,7,1),"0:01"))</f>
        <v>#NAME?</v>
      </c>
      <c r="K898" s="92" t="e">
        <f ca="1">IF(C898="","",[0]!CSVVLookUP(ROW(行数!A890),配列!$C$4,集計記録,5,1))</f>
        <v>#NAME?</v>
      </c>
      <c r="L898" s="104" t="e">
        <f t="shared" ca="1" si="99"/>
        <v>#NAME?</v>
      </c>
      <c r="M898" s="120" t="e">
        <f t="shared" ca="1" si="93"/>
        <v>#NAME?</v>
      </c>
      <c r="N898" s="120" t="e">
        <f ca="1">IF([0]!CSVVLookUP(ROW(行数!A890),配列!$C$4,集計記録,6,1)=0,"",[0]!CSVVLookUP(ROW(行数!A890),配列!$C$4,集計記録,6,1))</f>
        <v>#NAME?</v>
      </c>
      <c r="O898" s="88" t="e">
        <f ca="1">IF(INDIRECT("M"&amp;ROW()-1)&lt;&gt;INDIRECT("M"&amp;ROW()),リスト!$I$5,"")</f>
        <v>#NAME?</v>
      </c>
      <c r="P898" s="88" t="e">
        <f ca="1">IF(INDIRECT("M"&amp;ROW())&lt;&gt;INDIRECT("M"&amp;ROW()+1),リスト!$I$6,"")</f>
        <v>#NAME?</v>
      </c>
    </row>
    <row r="899" spans="1:16" x14ac:dyDescent="0.2">
      <c r="A899" s="169" t="e">
        <f ca="1">IF(C899="","",ROW(行数!A891))</f>
        <v>#NAME?</v>
      </c>
      <c r="B899" s="168" t="e">
        <f t="shared" ca="1" si="94"/>
        <v>#NAME?</v>
      </c>
      <c r="C899" s="90" t="e">
        <f ca="1">[0]!CSVVLookUP(ROW(行数!A891),配列!$C$4,集計記録,3,1)</f>
        <v>#NAME?</v>
      </c>
      <c r="D899" s="90" t="e">
        <f ca="1">[0]!CSVVLookUP(ROW(行数!B891),配列!$C$4,集計記録,4,1)</f>
        <v>#NAME?</v>
      </c>
      <c r="E899" s="118" t="e">
        <f t="shared" ca="1" si="95"/>
        <v>#NAME?</v>
      </c>
      <c r="F899" s="118" t="e">
        <f t="shared" ca="1" si="96"/>
        <v>#NAME?</v>
      </c>
      <c r="G899" s="103" t="e">
        <f t="shared" ca="1" si="97"/>
        <v>#NAME?</v>
      </c>
      <c r="H899" s="104" t="e">
        <f ca="1">IF(C899="","",MROUND([0]!CSVVLookUP(ROW(行数!A891),配列!$C$4,集計記録,8,1),"0:01"))</f>
        <v>#NAME?</v>
      </c>
      <c r="I899" s="104" t="e">
        <f t="shared" ca="1" si="98"/>
        <v>#NAME?</v>
      </c>
      <c r="J899" s="119" t="e">
        <f ca="1">IF(C899="","",MROUND([0]!CSVVLookUP(ROW(行数!A891),配列!$C$4,集計記録,7,1),"0:01"))</f>
        <v>#NAME?</v>
      </c>
      <c r="K899" s="92" t="e">
        <f ca="1">IF(C899="","",[0]!CSVVLookUP(ROW(行数!A891),配列!$C$4,集計記録,5,1))</f>
        <v>#NAME?</v>
      </c>
      <c r="L899" s="104" t="e">
        <f t="shared" ca="1" si="99"/>
        <v>#NAME?</v>
      </c>
      <c r="M899" s="120" t="e">
        <f t="shared" ca="1" si="93"/>
        <v>#NAME?</v>
      </c>
      <c r="N899" s="120" t="e">
        <f ca="1">IF([0]!CSVVLookUP(ROW(行数!A891),配列!$C$4,集計記録,6,1)=0,"",[0]!CSVVLookUP(ROW(行数!A891),配列!$C$4,集計記録,6,1))</f>
        <v>#NAME?</v>
      </c>
      <c r="O899" s="88" t="e">
        <f ca="1">IF(INDIRECT("M"&amp;ROW()-1)&lt;&gt;INDIRECT("M"&amp;ROW()),リスト!$I$5,"")</f>
        <v>#NAME?</v>
      </c>
      <c r="P899" s="88" t="e">
        <f ca="1">IF(INDIRECT("M"&amp;ROW())&lt;&gt;INDIRECT("M"&amp;ROW()+1),リスト!$I$6,"")</f>
        <v>#NAME?</v>
      </c>
    </row>
    <row r="900" spans="1:16" x14ac:dyDescent="0.2">
      <c r="A900" s="169" t="e">
        <f ca="1">IF(C900="","",ROW(行数!A892))</f>
        <v>#NAME?</v>
      </c>
      <c r="B900" s="168" t="e">
        <f t="shared" ca="1" si="94"/>
        <v>#NAME?</v>
      </c>
      <c r="C900" s="90" t="e">
        <f ca="1">[0]!CSVVLookUP(ROW(行数!A892),配列!$C$4,集計記録,3,1)</f>
        <v>#NAME?</v>
      </c>
      <c r="D900" s="90" t="e">
        <f ca="1">[0]!CSVVLookUP(ROW(行数!B892),配列!$C$4,集計記録,4,1)</f>
        <v>#NAME?</v>
      </c>
      <c r="E900" s="118" t="e">
        <f t="shared" ca="1" si="95"/>
        <v>#NAME?</v>
      </c>
      <c r="F900" s="118" t="e">
        <f t="shared" ca="1" si="96"/>
        <v>#NAME?</v>
      </c>
      <c r="G900" s="103" t="e">
        <f t="shared" ca="1" si="97"/>
        <v>#NAME?</v>
      </c>
      <c r="H900" s="104" t="e">
        <f ca="1">IF(C900="","",MROUND([0]!CSVVLookUP(ROW(行数!A892),配列!$C$4,集計記録,8,1),"0:01"))</f>
        <v>#NAME?</v>
      </c>
      <c r="I900" s="104" t="e">
        <f t="shared" ca="1" si="98"/>
        <v>#NAME?</v>
      </c>
      <c r="J900" s="119" t="e">
        <f ca="1">IF(C900="","",MROUND([0]!CSVVLookUP(ROW(行数!A892),配列!$C$4,集計記録,7,1),"0:01"))</f>
        <v>#NAME?</v>
      </c>
      <c r="K900" s="92" t="e">
        <f ca="1">IF(C900="","",[0]!CSVVLookUP(ROW(行数!A892),配列!$C$4,集計記録,5,1))</f>
        <v>#NAME?</v>
      </c>
      <c r="L900" s="104" t="e">
        <f t="shared" ca="1" si="99"/>
        <v>#NAME?</v>
      </c>
      <c r="M900" s="120" t="e">
        <f t="shared" ca="1" si="93"/>
        <v>#NAME?</v>
      </c>
      <c r="N900" s="120" t="e">
        <f ca="1">IF([0]!CSVVLookUP(ROW(行数!A892),配列!$C$4,集計記録,6,1)=0,"",[0]!CSVVLookUP(ROW(行数!A892),配列!$C$4,集計記録,6,1))</f>
        <v>#NAME?</v>
      </c>
      <c r="O900" s="88" t="e">
        <f ca="1">IF(INDIRECT("M"&amp;ROW()-1)&lt;&gt;INDIRECT("M"&amp;ROW()),リスト!$I$5,"")</f>
        <v>#NAME?</v>
      </c>
      <c r="P900" s="88" t="e">
        <f ca="1">IF(INDIRECT("M"&amp;ROW())&lt;&gt;INDIRECT("M"&amp;ROW()+1),リスト!$I$6,"")</f>
        <v>#NAME?</v>
      </c>
    </row>
    <row r="901" spans="1:16" x14ac:dyDescent="0.2">
      <c r="A901" s="169" t="e">
        <f ca="1">IF(C901="","",ROW(行数!A893))</f>
        <v>#NAME?</v>
      </c>
      <c r="B901" s="168" t="e">
        <f t="shared" ca="1" si="94"/>
        <v>#NAME?</v>
      </c>
      <c r="C901" s="90" t="e">
        <f ca="1">[0]!CSVVLookUP(ROW(行数!A893),配列!$C$4,集計記録,3,1)</f>
        <v>#NAME?</v>
      </c>
      <c r="D901" s="90" t="e">
        <f ca="1">[0]!CSVVLookUP(ROW(行数!B893),配列!$C$4,集計記録,4,1)</f>
        <v>#NAME?</v>
      </c>
      <c r="E901" s="118" t="e">
        <f t="shared" ca="1" si="95"/>
        <v>#NAME?</v>
      </c>
      <c r="F901" s="118" t="e">
        <f t="shared" ca="1" si="96"/>
        <v>#NAME?</v>
      </c>
      <c r="G901" s="103" t="e">
        <f t="shared" ca="1" si="97"/>
        <v>#NAME?</v>
      </c>
      <c r="H901" s="104" t="e">
        <f ca="1">IF(C901="","",MROUND([0]!CSVVLookUP(ROW(行数!A893),配列!$C$4,集計記録,8,1),"0:01"))</f>
        <v>#NAME?</v>
      </c>
      <c r="I901" s="104" t="e">
        <f t="shared" ca="1" si="98"/>
        <v>#NAME?</v>
      </c>
      <c r="J901" s="119" t="e">
        <f ca="1">IF(C901="","",MROUND([0]!CSVVLookUP(ROW(行数!A893),配列!$C$4,集計記録,7,1),"0:01"))</f>
        <v>#NAME?</v>
      </c>
      <c r="K901" s="92" t="e">
        <f ca="1">IF(C901="","",[0]!CSVVLookUP(ROW(行数!A893),配列!$C$4,集計記録,5,1))</f>
        <v>#NAME?</v>
      </c>
      <c r="L901" s="104" t="e">
        <f t="shared" ca="1" si="99"/>
        <v>#NAME?</v>
      </c>
      <c r="M901" s="120" t="e">
        <f t="shared" ca="1" si="93"/>
        <v>#NAME?</v>
      </c>
      <c r="N901" s="120" t="e">
        <f ca="1">IF([0]!CSVVLookUP(ROW(行数!A893),配列!$C$4,集計記録,6,1)=0,"",[0]!CSVVLookUP(ROW(行数!A893),配列!$C$4,集計記録,6,1))</f>
        <v>#NAME?</v>
      </c>
      <c r="O901" s="88" t="e">
        <f ca="1">IF(INDIRECT("M"&amp;ROW()-1)&lt;&gt;INDIRECT("M"&amp;ROW()),リスト!$I$5,"")</f>
        <v>#NAME?</v>
      </c>
      <c r="P901" s="88" t="e">
        <f ca="1">IF(INDIRECT("M"&amp;ROW())&lt;&gt;INDIRECT("M"&amp;ROW()+1),リスト!$I$6,"")</f>
        <v>#NAME?</v>
      </c>
    </row>
    <row r="902" spans="1:16" x14ac:dyDescent="0.2">
      <c r="A902" s="169" t="e">
        <f ca="1">IF(C902="","",ROW(行数!A894))</f>
        <v>#NAME?</v>
      </c>
      <c r="B902" s="168" t="e">
        <f t="shared" ca="1" si="94"/>
        <v>#NAME?</v>
      </c>
      <c r="C902" s="90" t="e">
        <f ca="1">[0]!CSVVLookUP(ROW(行数!A894),配列!$C$4,集計記録,3,1)</f>
        <v>#NAME?</v>
      </c>
      <c r="D902" s="90" t="e">
        <f ca="1">[0]!CSVVLookUP(ROW(行数!B894),配列!$C$4,集計記録,4,1)</f>
        <v>#NAME?</v>
      </c>
      <c r="E902" s="118" t="e">
        <f t="shared" ca="1" si="95"/>
        <v>#NAME?</v>
      </c>
      <c r="F902" s="118" t="e">
        <f t="shared" ca="1" si="96"/>
        <v>#NAME?</v>
      </c>
      <c r="G902" s="103" t="e">
        <f t="shared" ca="1" si="97"/>
        <v>#NAME?</v>
      </c>
      <c r="H902" s="104" t="e">
        <f ca="1">IF(C902="","",MROUND([0]!CSVVLookUP(ROW(行数!A894),配列!$C$4,集計記録,8,1),"0:01"))</f>
        <v>#NAME?</v>
      </c>
      <c r="I902" s="104" t="e">
        <f t="shared" ca="1" si="98"/>
        <v>#NAME?</v>
      </c>
      <c r="J902" s="119" t="e">
        <f ca="1">IF(C902="","",MROUND([0]!CSVVLookUP(ROW(行数!A894),配列!$C$4,集計記録,7,1),"0:01"))</f>
        <v>#NAME?</v>
      </c>
      <c r="K902" s="92" t="e">
        <f ca="1">IF(C902="","",[0]!CSVVLookUP(ROW(行数!A894),配列!$C$4,集計記録,5,1))</f>
        <v>#NAME?</v>
      </c>
      <c r="L902" s="104" t="e">
        <f t="shared" ca="1" si="99"/>
        <v>#NAME?</v>
      </c>
      <c r="M902" s="120" t="e">
        <f t="shared" ca="1" si="93"/>
        <v>#NAME?</v>
      </c>
      <c r="N902" s="120" t="e">
        <f ca="1">IF([0]!CSVVLookUP(ROW(行数!A894),配列!$C$4,集計記録,6,1)=0,"",[0]!CSVVLookUP(ROW(行数!A894),配列!$C$4,集計記録,6,1))</f>
        <v>#NAME?</v>
      </c>
      <c r="O902" s="88" t="e">
        <f ca="1">IF(INDIRECT("M"&amp;ROW()-1)&lt;&gt;INDIRECT("M"&amp;ROW()),リスト!$I$5,"")</f>
        <v>#NAME?</v>
      </c>
      <c r="P902" s="88" t="e">
        <f ca="1">IF(INDIRECT("M"&amp;ROW())&lt;&gt;INDIRECT("M"&amp;ROW()+1),リスト!$I$6,"")</f>
        <v>#NAME?</v>
      </c>
    </row>
    <row r="903" spans="1:16" x14ac:dyDescent="0.2">
      <c r="A903" s="169" t="e">
        <f ca="1">IF(C903="","",ROW(行数!A895))</f>
        <v>#NAME?</v>
      </c>
      <c r="B903" s="168" t="e">
        <f t="shared" ca="1" si="94"/>
        <v>#NAME?</v>
      </c>
      <c r="C903" s="90" t="e">
        <f ca="1">[0]!CSVVLookUP(ROW(行数!A895),配列!$C$4,集計記録,3,1)</f>
        <v>#NAME?</v>
      </c>
      <c r="D903" s="90" t="e">
        <f ca="1">[0]!CSVVLookUP(ROW(行数!B895),配列!$C$4,集計記録,4,1)</f>
        <v>#NAME?</v>
      </c>
      <c r="E903" s="118" t="e">
        <f t="shared" ca="1" si="95"/>
        <v>#NAME?</v>
      </c>
      <c r="F903" s="118" t="e">
        <f t="shared" ca="1" si="96"/>
        <v>#NAME?</v>
      </c>
      <c r="G903" s="103" t="e">
        <f t="shared" ca="1" si="97"/>
        <v>#NAME?</v>
      </c>
      <c r="H903" s="104" t="e">
        <f ca="1">IF(C903="","",MROUND([0]!CSVVLookUP(ROW(行数!A895),配列!$C$4,集計記録,8,1),"0:01"))</f>
        <v>#NAME?</v>
      </c>
      <c r="I903" s="104" t="e">
        <f t="shared" ca="1" si="98"/>
        <v>#NAME?</v>
      </c>
      <c r="J903" s="119" t="e">
        <f ca="1">IF(C903="","",MROUND([0]!CSVVLookUP(ROW(行数!A895),配列!$C$4,集計記録,7,1),"0:01"))</f>
        <v>#NAME?</v>
      </c>
      <c r="K903" s="92" t="e">
        <f ca="1">IF(C903="","",[0]!CSVVLookUP(ROW(行数!A895),配列!$C$4,集計記録,5,1))</f>
        <v>#NAME?</v>
      </c>
      <c r="L903" s="104" t="e">
        <f t="shared" ca="1" si="99"/>
        <v>#NAME?</v>
      </c>
      <c r="M903" s="120" t="e">
        <f t="shared" ca="1" si="93"/>
        <v>#NAME?</v>
      </c>
      <c r="N903" s="120" t="e">
        <f ca="1">IF([0]!CSVVLookUP(ROW(行数!A895),配列!$C$4,集計記録,6,1)=0,"",[0]!CSVVLookUP(ROW(行数!A895),配列!$C$4,集計記録,6,1))</f>
        <v>#NAME?</v>
      </c>
      <c r="O903" s="88" t="e">
        <f ca="1">IF(INDIRECT("M"&amp;ROW()-1)&lt;&gt;INDIRECT("M"&amp;ROW()),リスト!$I$5,"")</f>
        <v>#NAME?</v>
      </c>
      <c r="P903" s="88" t="e">
        <f ca="1">IF(INDIRECT("M"&amp;ROW())&lt;&gt;INDIRECT("M"&amp;ROW()+1),リスト!$I$6,"")</f>
        <v>#NAME?</v>
      </c>
    </row>
    <row r="904" spans="1:16" x14ac:dyDescent="0.2">
      <c r="A904" s="169" t="e">
        <f ca="1">IF(C904="","",ROW(行数!A896))</f>
        <v>#NAME?</v>
      </c>
      <c r="B904" s="168" t="e">
        <f t="shared" ca="1" si="94"/>
        <v>#NAME?</v>
      </c>
      <c r="C904" s="90" t="e">
        <f ca="1">[0]!CSVVLookUP(ROW(行数!A896),配列!$C$4,集計記録,3,1)</f>
        <v>#NAME?</v>
      </c>
      <c r="D904" s="90" t="e">
        <f ca="1">[0]!CSVVLookUP(ROW(行数!B896),配列!$C$4,集計記録,4,1)</f>
        <v>#NAME?</v>
      </c>
      <c r="E904" s="118" t="e">
        <f t="shared" ca="1" si="95"/>
        <v>#NAME?</v>
      </c>
      <c r="F904" s="118" t="e">
        <f t="shared" ca="1" si="96"/>
        <v>#NAME?</v>
      </c>
      <c r="G904" s="103" t="e">
        <f t="shared" ca="1" si="97"/>
        <v>#NAME?</v>
      </c>
      <c r="H904" s="104" t="e">
        <f ca="1">IF(C904="","",MROUND([0]!CSVVLookUP(ROW(行数!A896),配列!$C$4,集計記録,8,1),"0:01"))</f>
        <v>#NAME?</v>
      </c>
      <c r="I904" s="104" t="e">
        <f t="shared" ca="1" si="98"/>
        <v>#NAME?</v>
      </c>
      <c r="J904" s="119" t="e">
        <f ca="1">IF(C904="","",MROUND([0]!CSVVLookUP(ROW(行数!A896),配列!$C$4,集計記録,7,1),"0:01"))</f>
        <v>#NAME?</v>
      </c>
      <c r="K904" s="92" t="e">
        <f ca="1">IF(C904="","",[0]!CSVVLookUP(ROW(行数!A896),配列!$C$4,集計記録,5,1))</f>
        <v>#NAME?</v>
      </c>
      <c r="L904" s="104" t="e">
        <f t="shared" ca="1" si="99"/>
        <v>#NAME?</v>
      </c>
      <c r="M904" s="120" t="e">
        <f t="shared" ca="1" si="93"/>
        <v>#NAME?</v>
      </c>
      <c r="N904" s="120" t="e">
        <f ca="1">IF([0]!CSVVLookUP(ROW(行数!A896),配列!$C$4,集計記録,6,1)=0,"",[0]!CSVVLookUP(ROW(行数!A896),配列!$C$4,集計記録,6,1))</f>
        <v>#NAME?</v>
      </c>
      <c r="O904" s="88" t="e">
        <f ca="1">IF(INDIRECT("M"&amp;ROW()-1)&lt;&gt;INDIRECT("M"&amp;ROW()),リスト!$I$5,"")</f>
        <v>#NAME?</v>
      </c>
      <c r="P904" s="88" t="e">
        <f ca="1">IF(INDIRECT("M"&amp;ROW())&lt;&gt;INDIRECT("M"&amp;ROW()+1),リスト!$I$6,"")</f>
        <v>#NAME?</v>
      </c>
    </row>
    <row r="905" spans="1:16" x14ac:dyDescent="0.2">
      <c r="A905" s="169" t="e">
        <f ca="1">IF(C905="","",ROW(行数!A897))</f>
        <v>#NAME?</v>
      </c>
      <c r="B905" s="168" t="e">
        <f t="shared" ca="1" si="94"/>
        <v>#NAME?</v>
      </c>
      <c r="C905" s="90" t="e">
        <f ca="1">[0]!CSVVLookUP(ROW(行数!A897),配列!$C$4,集計記録,3,1)</f>
        <v>#NAME?</v>
      </c>
      <c r="D905" s="90" t="e">
        <f ca="1">[0]!CSVVLookUP(ROW(行数!B897),配列!$C$4,集計記録,4,1)</f>
        <v>#NAME?</v>
      </c>
      <c r="E905" s="118" t="e">
        <f t="shared" ca="1" si="95"/>
        <v>#NAME?</v>
      </c>
      <c r="F905" s="118" t="e">
        <f t="shared" ca="1" si="96"/>
        <v>#NAME?</v>
      </c>
      <c r="G905" s="103" t="e">
        <f t="shared" ca="1" si="97"/>
        <v>#NAME?</v>
      </c>
      <c r="H905" s="104" t="e">
        <f ca="1">IF(C905="","",MROUND([0]!CSVVLookUP(ROW(行数!A897),配列!$C$4,集計記録,8,1),"0:01"))</f>
        <v>#NAME?</v>
      </c>
      <c r="I905" s="104" t="e">
        <f t="shared" ca="1" si="98"/>
        <v>#NAME?</v>
      </c>
      <c r="J905" s="119" t="e">
        <f ca="1">IF(C905="","",MROUND([0]!CSVVLookUP(ROW(行数!A897),配列!$C$4,集計記録,7,1),"0:01"))</f>
        <v>#NAME?</v>
      </c>
      <c r="K905" s="92" t="e">
        <f ca="1">IF(C905="","",[0]!CSVVLookUP(ROW(行数!A897),配列!$C$4,集計記録,5,1))</f>
        <v>#NAME?</v>
      </c>
      <c r="L905" s="104" t="e">
        <f t="shared" ca="1" si="99"/>
        <v>#NAME?</v>
      </c>
      <c r="M905" s="120" t="e">
        <f t="shared" ref="M905:M968" ca="1" si="100">IF(C905="","",VLOOKUP(C905,運転条件判定,13,1))</f>
        <v>#NAME?</v>
      </c>
      <c r="N905" s="120" t="e">
        <f ca="1">IF([0]!CSVVLookUP(ROW(行数!A897),配列!$C$4,集計記録,6,1)=0,"",[0]!CSVVLookUP(ROW(行数!A897),配列!$C$4,集計記録,6,1))</f>
        <v>#NAME?</v>
      </c>
      <c r="O905" s="88" t="e">
        <f ca="1">IF(INDIRECT("M"&amp;ROW()-1)&lt;&gt;INDIRECT("M"&amp;ROW()),リスト!$I$5,"")</f>
        <v>#NAME?</v>
      </c>
      <c r="P905" s="88" t="e">
        <f ca="1">IF(INDIRECT("M"&amp;ROW())&lt;&gt;INDIRECT("M"&amp;ROW()+1),リスト!$I$6,"")</f>
        <v>#NAME?</v>
      </c>
    </row>
    <row r="906" spans="1:16" x14ac:dyDescent="0.2">
      <c r="A906" s="169" t="e">
        <f ca="1">IF(C906="","",ROW(行数!A898))</f>
        <v>#NAME?</v>
      </c>
      <c r="B906" s="168" t="e">
        <f t="shared" ref="B906:B969" ca="1" si="101">IF(C906="","",VLOOKUP(C906,ユニット判定用,3))</f>
        <v>#NAME?</v>
      </c>
      <c r="C906" s="90" t="e">
        <f ca="1">[0]!CSVVLookUP(ROW(行数!A898),配列!$C$4,集計記録,3,1)</f>
        <v>#NAME?</v>
      </c>
      <c r="D906" s="90" t="e">
        <f ca="1">[0]!CSVVLookUP(ROW(行数!B898),配列!$C$4,集計記録,4,1)</f>
        <v>#NAME?</v>
      </c>
      <c r="E906" s="118" t="e">
        <f t="shared" ref="E906:E969" ca="1" si="102">IF(C906="","",D906-C906)</f>
        <v>#NAME?</v>
      </c>
      <c r="F906" s="118" t="e">
        <f t="shared" ref="F906:F969" ca="1" si="103">IF(C906="","",E906-H906-I906)</f>
        <v>#NAME?</v>
      </c>
      <c r="G906" s="103" t="e">
        <f t="shared" ref="G906:G969" ca="1" si="104">IF(C906="","",F906/E906)</f>
        <v>#NAME?</v>
      </c>
      <c r="H906" s="104" t="e">
        <f ca="1">IF(C906="","",MROUND([0]!CSVVLookUP(ROW(行数!A898),配列!$C$4,集計記録,8,1),"0:01"))</f>
        <v>#NAME?</v>
      </c>
      <c r="I906" s="104" t="e">
        <f t="shared" ref="I906:I969" ca="1" si="105">IF(C906="","",MROUND(J906-H906,"0:01"))</f>
        <v>#NAME?</v>
      </c>
      <c r="J906" s="119" t="e">
        <f ca="1">IF(C906="","",MROUND([0]!CSVVLookUP(ROW(行数!A898),配列!$C$4,集計記録,7,1),"0:01"))</f>
        <v>#NAME?</v>
      </c>
      <c r="K906" s="92" t="e">
        <f ca="1">IF(C906="","",[0]!CSVVLookUP(ROW(行数!A898),配列!$C$4,集計記録,5,1))</f>
        <v>#NAME?</v>
      </c>
      <c r="L906" s="104" t="e">
        <f t="shared" ref="L906:L969" ca="1" si="106">IF(C906="","",MROUND(E906/(K906+1),"00:01"))</f>
        <v>#NAME?</v>
      </c>
      <c r="M906" s="120" t="e">
        <f t="shared" ca="1" si="100"/>
        <v>#NAME?</v>
      </c>
      <c r="N906" s="120" t="e">
        <f ca="1">IF([0]!CSVVLookUP(ROW(行数!A898),配列!$C$4,集計記録,6,1)=0,"",[0]!CSVVLookUP(ROW(行数!A898),配列!$C$4,集計記録,6,1))</f>
        <v>#NAME?</v>
      </c>
      <c r="O906" s="88" t="e">
        <f ca="1">IF(INDIRECT("M"&amp;ROW()-1)&lt;&gt;INDIRECT("M"&amp;ROW()),リスト!$I$5,"")</f>
        <v>#NAME?</v>
      </c>
      <c r="P906" s="88" t="e">
        <f ca="1">IF(INDIRECT("M"&amp;ROW())&lt;&gt;INDIRECT("M"&amp;ROW()+1),リスト!$I$6,"")</f>
        <v>#NAME?</v>
      </c>
    </row>
    <row r="907" spans="1:16" x14ac:dyDescent="0.2">
      <c r="A907" s="169" t="e">
        <f ca="1">IF(C907="","",ROW(行数!A899))</f>
        <v>#NAME?</v>
      </c>
      <c r="B907" s="168" t="e">
        <f t="shared" ca="1" si="101"/>
        <v>#NAME?</v>
      </c>
      <c r="C907" s="90" t="e">
        <f ca="1">[0]!CSVVLookUP(ROW(行数!A899),配列!$C$4,集計記録,3,1)</f>
        <v>#NAME?</v>
      </c>
      <c r="D907" s="90" t="e">
        <f ca="1">[0]!CSVVLookUP(ROW(行数!B899),配列!$C$4,集計記録,4,1)</f>
        <v>#NAME?</v>
      </c>
      <c r="E907" s="118" t="e">
        <f t="shared" ca="1" si="102"/>
        <v>#NAME?</v>
      </c>
      <c r="F907" s="118" t="e">
        <f t="shared" ca="1" si="103"/>
        <v>#NAME?</v>
      </c>
      <c r="G907" s="103" t="e">
        <f t="shared" ca="1" si="104"/>
        <v>#NAME?</v>
      </c>
      <c r="H907" s="104" t="e">
        <f ca="1">IF(C907="","",MROUND([0]!CSVVLookUP(ROW(行数!A899),配列!$C$4,集計記録,8,1),"0:01"))</f>
        <v>#NAME?</v>
      </c>
      <c r="I907" s="104" t="e">
        <f t="shared" ca="1" si="105"/>
        <v>#NAME?</v>
      </c>
      <c r="J907" s="119" t="e">
        <f ca="1">IF(C907="","",MROUND([0]!CSVVLookUP(ROW(行数!A899),配列!$C$4,集計記録,7,1),"0:01"))</f>
        <v>#NAME?</v>
      </c>
      <c r="K907" s="92" t="e">
        <f ca="1">IF(C907="","",[0]!CSVVLookUP(ROW(行数!A899),配列!$C$4,集計記録,5,1))</f>
        <v>#NAME?</v>
      </c>
      <c r="L907" s="104" t="e">
        <f t="shared" ca="1" si="106"/>
        <v>#NAME?</v>
      </c>
      <c r="M907" s="120" t="e">
        <f t="shared" ca="1" si="100"/>
        <v>#NAME?</v>
      </c>
      <c r="N907" s="120" t="e">
        <f ca="1">IF([0]!CSVVLookUP(ROW(行数!A899),配列!$C$4,集計記録,6,1)=0,"",[0]!CSVVLookUP(ROW(行数!A899),配列!$C$4,集計記録,6,1))</f>
        <v>#NAME?</v>
      </c>
      <c r="O907" s="88" t="e">
        <f ca="1">IF(INDIRECT("M"&amp;ROW()-1)&lt;&gt;INDIRECT("M"&amp;ROW()),リスト!$I$5,"")</f>
        <v>#NAME?</v>
      </c>
      <c r="P907" s="88" t="e">
        <f ca="1">IF(INDIRECT("M"&amp;ROW())&lt;&gt;INDIRECT("M"&amp;ROW()+1),リスト!$I$6,"")</f>
        <v>#NAME?</v>
      </c>
    </row>
    <row r="908" spans="1:16" x14ac:dyDescent="0.2">
      <c r="A908" s="169" t="e">
        <f ca="1">IF(C908="","",ROW(行数!A900))</f>
        <v>#NAME?</v>
      </c>
      <c r="B908" s="168" t="e">
        <f t="shared" ca="1" si="101"/>
        <v>#NAME?</v>
      </c>
      <c r="C908" s="90" t="e">
        <f ca="1">[0]!CSVVLookUP(ROW(行数!A900),配列!$C$4,集計記録,3,1)</f>
        <v>#NAME?</v>
      </c>
      <c r="D908" s="90" t="e">
        <f ca="1">[0]!CSVVLookUP(ROW(行数!B900),配列!$C$4,集計記録,4,1)</f>
        <v>#NAME?</v>
      </c>
      <c r="E908" s="118" t="e">
        <f t="shared" ca="1" si="102"/>
        <v>#NAME?</v>
      </c>
      <c r="F908" s="118" t="e">
        <f t="shared" ca="1" si="103"/>
        <v>#NAME?</v>
      </c>
      <c r="G908" s="103" t="e">
        <f t="shared" ca="1" si="104"/>
        <v>#NAME?</v>
      </c>
      <c r="H908" s="104" t="e">
        <f ca="1">IF(C908="","",MROUND([0]!CSVVLookUP(ROW(行数!A900),配列!$C$4,集計記録,8,1),"0:01"))</f>
        <v>#NAME?</v>
      </c>
      <c r="I908" s="104" t="e">
        <f t="shared" ca="1" si="105"/>
        <v>#NAME?</v>
      </c>
      <c r="J908" s="119" t="e">
        <f ca="1">IF(C908="","",MROUND([0]!CSVVLookUP(ROW(行数!A900),配列!$C$4,集計記録,7,1),"0:01"))</f>
        <v>#NAME?</v>
      </c>
      <c r="K908" s="92" t="e">
        <f ca="1">IF(C908="","",[0]!CSVVLookUP(ROW(行数!A900),配列!$C$4,集計記録,5,1))</f>
        <v>#NAME?</v>
      </c>
      <c r="L908" s="104" t="e">
        <f t="shared" ca="1" si="106"/>
        <v>#NAME?</v>
      </c>
      <c r="M908" s="120" t="e">
        <f t="shared" ca="1" si="100"/>
        <v>#NAME?</v>
      </c>
      <c r="N908" s="120" t="e">
        <f ca="1">IF([0]!CSVVLookUP(ROW(行数!A900),配列!$C$4,集計記録,6,1)=0,"",[0]!CSVVLookUP(ROW(行数!A900),配列!$C$4,集計記録,6,1))</f>
        <v>#NAME?</v>
      </c>
      <c r="O908" s="88" t="e">
        <f ca="1">IF(INDIRECT("M"&amp;ROW()-1)&lt;&gt;INDIRECT("M"&amp;ROW()),リスト!$I$5,"")</f>
        <v>#NAME?</v>
      </c>
      <c r="P908" s="88" t="e">
        <f ca="1">IF(INDIRECT("M"&amp;ROW())&lt;&gt;INDIRECT("M"&amp;ROW()+1),リスト!$I$6,"")</f>
        <v>#NAME?</v>
      </c>
    </row>
    <row r="909" spans="1:16" x14ac:dyDescent="0.2">
      <c r="A909" s="169" t="e">
        <f ca="1">IF(C909="","",ROW(行数!A901))</f>
        <v>#NAME?</v>
      </c>
      <c r="B909" s="168" t="e">
        <f t="shared" ca="1" si="101"/>
        <v>#NAME?</v>
      </c>
      <c r="C909" s="90" t="e">
        <f ca="1">[0]!CSVVLookUP(ROW(行数!A901),配列!$C$4,集計記録,3,1)</f>
        <v>#NAME?</v>
      </c>
      <c r="D909" s="90" t="e">
        <f ca="1">[0]!CSVVLookUP(ROW(行数!B901),配列!$C$4,集計記録,4,1)</f>
        <v>#NAME?</v>
      </c>
      <c r="E909" s="118" t="e">
        <f t="shared" ca="1" si="102"/>
        <v>#NAME?</v>
      </c>
      <c r="F909" s="118" t="e">
        <f t="shared" ca="1" si="103"/>
        <v>#NAME?</v>
      </c>
      <c r="G909" s="103" t="e">
        <f t="shared" ca="1" si="104"/>
        <v>#NAME?</v>
      </c>
      <c r="H909" s="104" t="e">
        <f ca="1">IF(C909="","",MROUND([0]!CSVVLookUP(ROW(行数!A901),配列!$C$4,集計記録,8,1),"0:01"))</f>
        <v>#NAME?</v>
      </c>
      <c r="I909" s="104" t="e">
        <f t="shared" ca="1" si="105"/>
        <v>#NAME?</v>
      </c>
      <c r="J909" s="119" t="e">
        <f ca="1">IF(C909="","",MROUND([0]!CSVVLookUP(ROW(行数!A901),配列!$C$4,集計記録,7,1),"0:01"))</f>
        <v>#NAME?</v>
      </c>
      <c r="K909" s="92" t="e">
        <f ca="1">IF(C909="","",[0]!CSVVLookUP(ROW(行数!A901),配列!$C$4,集計記録,5,1))</f>
        <v>#NAME?</v>
      </c>
      <c r="L909" s="104" t="e">
        <f t="shared" ca="1" si="106"/>
        <v>#NAME?</v>
      </c>
      <c r="M909" s="120" t="e">
        <f t="shared" ca="1" si="100"/>
        <v>#NAME?</v>
      </c>
      <c r="N909" s="120" t="e">
        <f ca="1">IF([0]!CSVVLookUP(ROW(行数!A901),配列!$C$4,集計記録,6,1)=0,"",[0]!CSVVLookUP(ROW(行数!A901),配列!$C$4,集計記録,6,1))</f>
        <v>#NAME?</v>
      </c>
      <c r="O909" s="88" t="e">
        <f ca="1">IF(INDIRECT("M"&amp;ROW()-1)&lt;&gt;INDIRECT("M"&amp;ROW()),リスト!$I$5,"")</f>
        <v>#NAME?</v>
      </c>
      <c r="P909" s="88" t="e">
        <f ca="1">IF(INDIRECT("M"&amp;ROW())&lt;&gt;INDIRECT("M"&amp;ROW()+1),リスト!$I$6,"")</f>
        <v>#NAME?</v>
      </c>
    </row>
    <row r="910" spans="1:16" x14ac:dyDescent="0.2">
      <c r="A910" s="169" t="e">
        <f ca="1">IF(C910="","",ROW(行数!A902))</f>
        <v>#NAME?</v>
      </c>
      <c r="B910" s="168" t="e">
        <f t="shared" ca="1" si="101"/>
        <v>#NAME?</v>
      </c>
      <c r="C910" s="90" t="e">
        <f ca="1">[0]!CSVVLookUP(ROW(行数!A902),配列!$C$4,集計記録,3,1)</f>
        <v>#NAME?</v>
      </c>
      <c r="D910" s="90" t="e">
        <f ca="1">[0]!CSVVLookUP(ROW(行数!B902),配列!$C$4,集計記録,4,1)</f>
        <v>#NAME?</v>
      </c>
      <c r="E910" s="118" t="e">
        <f t="shared" ca="1" si="102"/>
        <v>#NAME?</v>
      </c>
      <c r="F910" s="118" t="e">
        <f t="shared" ca="1" si="103"/>
        <v>#NAME?</v>
      </c>
      <c r="G910" s="103" t="e">
        <f t="shared" ca="1" si="104"/>
        <v>#NAME?</v>
      </c>
      <c r="H910" s="104" t="e">
        <f ca="1">IF(C910="","",MROUND([0]!CSVVLookUP(ROW(行数!A902),配列!$C$4,集計記録,8,1),"0:01"))</f>
        <v>#NAME?</v>
      </c>
      <c r="I910" s="104" t="e">
        <f t="shared" ca="1" si="105"/>
        <v>#NAME?</v>
      </c>
      <c r="J910" s="119" t="e">
        <f ca="1">IF(C910="","",MROUND([0]!CSVVLookUP(ROW(行数!A902),配列!$C$4,集計記録,7,1),"0:01"))</f>
        <v>#NAME?</v>
      </c>
      <c r="K910" s="92" t="e">
        <f ca="1">IF(C910="","",[0]!CSVVLookUP(ROW(行数!A902),配列!$C$4,集計記録,5,1))</f>
        <v>#NAME?</v>
      </c>
      <c r="L910" s="104" t="e">
        <f t="shared" ca="1" si="106"/>
        <v>#NAME?</v>
      </c>
      <c r="M910" s="120" t="e">
        <f t="shared" ca="1" si="100"/>
        <v>#NAME?</v>
      </c>
      <c r="N910" s="120" t="e">
        <f ca="1">IF([0]!CSVVLookUP(ROW(行数!A902),配列!$C$4,集計記録,6,1)=0,"",[0]!CSVVLookUP(ROW(行数!A902),配列!$C$4,集計記録,6,1))</f>
        <v>#NAME?</v>
      </c>
      <c r="O910" s="88" t="e">
        <f ca="1">IF(INDIRECT("M"&amp;ROW()-1)&lt;&gt;INDIRECT("M"&amp;ROW()),リスト!$I$5,"")</f>
        <v>#NAME?</v>
      </c>
      <c r="P910" s="88" t="e">
        <f ca="1">IF(INDIRECT("M"&amp;ROW())&lt;&gt;INDIRECT("M"&amp;ROW()+1),リスト!$I$6,"")</f>
        <v>#NAME?</v>
      </c>
    </row>
    <row r="911" spans="1:16" x14ac:dyDescent="0.2">
      <c r="A911" s="169" t="e">
        <f ca="1">IF(C911="","",ROW(行数!A903))</f>
        <v>#NAME?</v>
      </c>
      <c r="B911" s="168" t="e">
        <f t="shared" ca="1" si="101"/>
        <v>#NAME?</v>
      </c>
      <c r="C911" s="90" t="e">
        <f ca="1">[0]!CSVVLookUP(ROW(行数!A903),配列!$C$4,集計記録,3,1)</f>
        <v>#NAME?</v>
      </c>
      <c r="D911" s="90" t="e">
        <f ca="1">[0]!CSVVLookUP(ROW(行数!B903),配列!$C$4,集計記録,4,1)</f>
        <v>#NAME?</v>
      </c>
      <c r="E911" s="118" t="e">
        <f t="shared" ca="1" si="102"/>
        <v>#NAME?</v>
      </c>
      <c r="F911" s="118" t="e">
        <f t="shared" ca="1" si="103"/>
        <v>#NAME?</v>
      </c>
      <c r="G911" s="103" t="e">
        <f t="shared" ca="1" si="104"/>
        <v>#NAME?</v>
      </c>
      <c r="H911" s="104" t="e">
        <f ca="1">IF(C911="","",MROUND([0]!CSVVLookUP(ROW(行数!A903),配列!$C$4,集計記録,8,1),"0:01"))</f>
        <v>#NAME?</v>
      </c>
      <c r="I911" s="104" t="e">
        <f t="shared" ca="1" si="105"/>
        <v>#NAME?</v>
      </c>
      <c r="J911" s="119" t="e">
        <f ca="1">IF(C911="","",MROUND([0]!CSVVLookUP(ROW(行数!A903),配列!$C$4,集計記録,7,1),"0:01"))</f>
        <v>#NAME?</v>
      </c>
      <c r="K911" s="92" t="e">
        <f ca="1">IF(C911="","",[0]!CSVVLookUP(ROW(行数!A903),配列!$C$4,集計記録,5,1))</f>
        <v>#NAME?</v>
      </c>
      <c r="L911" s="104" t="e">
        <f t="shared" ca="1" si="106"/>
        <v>#NAME?</v>
      </c>
      <c r="M911" s="120" t="e">
        <f t="shared" ca="1" si="100"/>
        <v>#NAME?</v>
      </c>
      <c r="N911" s="120" t="e">
        <f ca="1">IF([0]!CSVVLookUP(ROW(行数!A903),配列!$C$4,集計記録,6,1)=0,"",[0]!CSVVLookUP(ROW(行数!A903),配列!$C$4,集計記録,6,1))</f>
        <v>#NAME?</v>
      </c>
      <c r="O911" s="88" t="e">
        <f ca="1">IF(INDIRECT("M"&amp;ROW()-1)&lt;&gt;INDIRECT("M"&amp;ROW()),リスト!$I$5,"")</f>
        <v>#NAME?</v>
      </c>
      <c r="P911" s="88" t="e">
        <f ca="1">IF(INDIRECT("M"&amp;ROW())&lt;&gt;INDIRECT("M"&amp;ROW()+1),リスト!$I$6,"")</f>
        <v>#NAME?</v>
      </c>
    </row>
    <row r="912" spans="1:16" x14ac:dyDescent="0.2">
      <c r="A912" s="169" t="e">
        <f ca="1">IF(C912="","",ROW(行数!A904))</f>
        <v>#NAME?</v>
      </c>
      <c r="B912" s="168" t="e">
        <f t="shared" ca="1" si="101"/>
        <v>#NAME?</v>
      </c>
      <c r="C912" s="90" t="e">
        <f ca="1">[0]!CSVVLookUP(ROW(行数!A904),配列!$C$4,集計記録,3,1)</f>
        <v>#NAME?</v>
      </c>
      <c r="D912" s="90" t="e">
        <f ca="1">[0]!CSVVLookUP(ROW(行数!B904),配列!$C$4,集計記録,4,1)</f>
        <v>#NAME?</v>
      </c>
      <c r="E912" s="118" t="e">
        <f t="shared" ca="1" si="102"/>
        <v>#NAME?</v>
      </c>
      <c r="F912" s="118" t="e">
        <f t="shared" ca="1" si="103"/>
        <v>#NAME?</v>
      </c>
      <c r="G912" s="103" t="e">
        <f t="shared" ca="1" si="104"/>
        <v>#NAME?</v>
      </c>
      <c r="H912" s="104" t="e">
        <f ca="1">IF(C912="","",MROUND([0]!CSVVLookUP(ROW(行数!A904),配列!$C$4,集計記録,8,1),"0:01"))</f>
        <v>#NAME?</v>
      </c>
      <c r="I912" s="104" t="e">
        <f t="shared" ca="1" si="105"/>
        <v>#NAME?</v>
      </c>
      <c r="J912" s="119" t="e">
        <f ca="1">IF(C912="","",MROUND([0]!CSVVLookUP(ROW(行数!A904),配列!$C$4,集計記録,7,1),"0:01"))</f>
        <v>#NAME?</v>
      </c>
      <c r="K912" s="92" t="e">
        <f ca="1">IF(C912="","",[0]!CSVVLookUP(ROW(行数!A904),配列!$C$4,集計記録,5,1))</f>
        <v>#NAME?</v>
      </c>
      <c r="L912" s="104" t="e">
        <f t="shared" ca="1" si="106"/>
        <v>#NAME?</v>
      </c>
      <c r="M912" s="120" t="e">
        <f t="shared" ca="1" si="100"/>
        <v>#NAME?</v>
      </c>
      <c r="N912" s="120" t="e">
        <f ca="1">IF([0]!CSVVLookUP(ROW(行数!A904),配列!$C$4,集計記録,6,1)=0,"",[0]!CSVVLookUP(ROW(行数!A904),配列!$C$4,集計記録,6,1))</f>
        <v>#NAME?</v>
      </c>
      <c r="O912" s="88" t="e">
        <f ca="1">IF(INDIRECT("M"&amp;ROW()-1)&lt;&gt;INDIRECT("M"&amp;ROW()),リスト!$I$5,"")</f>
        <v>#NAME?</v>
      </c>
      <c r="P912" s="88" t="e">
        <f ca="1">IF(INDIRECT("M"&amp;ROW())&lt;&gt;INDIRECT("M"&amp;ROW()+1),リスト!$I$6,"")</f>
        <v>#NAME?</v>
      </c>
    </row>
    <row r="913" spans="1:16" x14ac:dyDescent="0.2">
      <c r="A913" s="169" t="e">
        <f ca="1">IF(C913="","",ROW(行数!A905))</f>
        <v>#NAME?</v>
      </c>
      <c r="B913" s="168" t="e">
        <f t="shared" ca="1" si="101"/>
        <v>#NAME?</v>
      </c>
      <c r="C913" s="90" t="e">
        <f ca="1">[0]!CSVVLookUP(ROW(行数!A905),配列!$C$4,集計記録,3,1)</f>
        <v>#NAME?</v>
      </c>
      <c r="D913" s="90" t="e">
        <f ca="1">[0]!CSVVLookUP(ROW(行数!B905),配列!$C$4,集計記録,4,1)</f>
        <v>#NAME?</v>
      </c>
      <c r="E913" s="118" t="e">
        <f t="shared" ca="1" si="102"/>
        <v>#NAME?</v>
      </c>
      <c r="F913" s="118" t="e">
        <f t="shared" ca="1" si="103"/>
        <v>#NAME?</v>
      </c>
      <c r="G913" s="103" t="e">
        <f t="shared" ca="1" si="104"/>
        <v>#NAME?</v>
      </c>
      <c r="H913" s="104" t="e">
        <f ca="1">IF(C913="","",MROUND([0]!CSVVLookUP(ROW(行数!A905),配列!$C$4,集計記録,8,1),"0:01"))</f>
        <v>#NAME?</v>
      </c>
      <c r="I913" s="104" t="e">
        <f t="shared" ca="1" si="105"/>
        <v>#NAME?</v>
      </c>
      <c r="J913" s="119" t="e">
        <f ca="1">IF(C913="","",MROUND([0]!CSVVLookUP(ROW(行数!A905),配列!$C$4,集計記録,7,1),"0:01"))</f>
        <v>#NAME?</v>
      </c>
      <c r="K913" s="92" t="e">
        <f ca="1">IF(C913="","",[0]!CSVVLookUP(ROW(行数!A905),配列!$C$4,集計記録,5,1))</f>
        <v>#NAME?</v>
      </c>
      <c r="L913" s="104" t="e">
        <f t="shared" ca="1" si="106"/>
        <v>#NAME?</v>
      </c>
      <c r="M913" s="120" t="e">
        <f t="shared" ca="1" si="100"/>
        <v>#NAME?</v>
      </c>
      <c r="N913" s="120" t="e">
        <f ca="1">IF([0]!CSVVLookUP(ROW(行数!A905),配列!$C$4,集計記録,6,1)=0,"",[0]!CSVVLookUP(ROW(行数!A905),配列!$C$4,集計記録,6,1))</f>
        <v>#NAME?</v>
      </c>
      <c r="O913" s="88" t="e">
        <f ca="1">IF(INDIRECT("M"&amp;ROW()-1)&lt;&gt;INDIRECT("M"&amp;ROW()),リスト!$I$5,"")</f>
        <v>#NAME?</v>
      </c>
      <c r="P913" s="88" t="e">
        <f ca="1">IF(INDIRECT("M"&amp;ROW())&lt;&gt;INDIRECT("M"&amp;ROW()+1),リスト!$I$6,"")</f>
        <v>#NAME?</v>
      </c>
    </row>
    <row r="914" spans="1:16" x14ac:dyDescent="0.2">
      <c r="A914" s="169" t="e">
        <f ca="1">IF(C914="","",ROW(行数!A906))</f>
        <v>#NAME?</v>
      </c>
      <c r="B914" s="168" t="e">
        <f t="shared" ca="1" si="101"/>
        <v>#NAME?</v>
      </c>
      <c r="C914" s="90" t="e">
        <f ca="1">[0]!CSVVLookUP(ROW(行数!A906),配列!$C$4,集計記録,3,1)</f>
        <v>#NAME?</v>
      </c>
      <c r="D914" s="90" t="e">
        <f ca="1">[0]!CSVVLookUP(ROW(行数!B906),配列!$C$4,集計記録,4,1)</f>
        <v>#NAME?</v>
      </c>
      <c r="E914" s="118" t="e">
        <f t="shared" ca="1" si="102"/>
        <v>#NAME?</v>
      </c>
      <c r="F914" s="118" t="e">
        <f t="shared" ca="1" si="103"/>
        <v>#NAME?</v>
      </c>
      <c r="G914" s="103" t="e">
        <f t="shared" ca="1" si="104"/>
        <v>#NAME?</v>
      </c>
      <c r="H914" s="104" t="e">
        <f ca="1">IF(C914="","",MROUND([0]!CSVVLookUP(ROW(行数!A906),配列!$C$4,集計記録,8,1),"0:01"))</f>
        <v>#NAME?</v>
      </c>
      <c r="I914" s="104" t="e">
        <f t="shared" ca="1" si="105"/>
        <v>#NAME?</v>
      </c>
      <c r="J914" s="119" t="e">
        <f ca="1">IF(C914="","",MROUND([0]!CSVVLookUP(ROW(行数!A906),配列!$C$4,集計記録,7,1),"0:01"))</f>
        <v>#NAME?</v>
      </c>
      <c r="K914" s="92" t="e">
        <f ca="1">IF(C914="","",[0]!CSVVLookUP(ROW(行数!A906),配列!$C$4,集計記録,5,1))</f>
        <v>#NAME?</v>
      </c>
      <c r="L914" s="104" t="e">
        <f t="shared" ca="1" si="106"/>
        <v>#NAME?</v>
      </c>
      <c r="M914" s="120" t="e">
        <f t="shared" ca="1" si="100"/>
        <v>#NAME?</v>
      </c>
      <c r="N914" s="120" t="e">
        <f ca="1">IF([0]!CSVVLookUP(ROW(行数!A906),配列!$C$4,集計記録,6,1)=0,"",[0]!CSVVLookUP(ROW(行数!A906),配列!$C$4,集計記録,6,1))</f>
        <v>#NAME?</v>
      </c>
      <c r="O914" s="88" t="e">
        <f ca="1">IF(INDIRECT("M"&amp;ROW()-1)&lt;&gt;INDIRECT("M"&amp;ROW()),リスト!$I$5,"")</f>
        <v>#NAME?</v>
      </c>
      <c r="P914" s="88" t="e">
        <f ca="1">IF(INDIRECT("M"&amp;ROW())&lt;&gt;INDIRECT("M"&amp;ROW()+1),リスト!$I$6,"")</f>
        <v>#NAME?</v>
      </c>
    </row>
    <row r="915" spans="1:16" x14ac:dyDescent="0.2">
      <c r="A915" s="169" t="e">
        <f ca="1">IF(C915="","",ROW(行数!A907))</f>
        <v>#NAME?</v>
      </c>
      <c r="B915" s="168" t="e">
        <f t="shared" ca="1" si="101"/>
        <v>#NAME?</v>
      </c>
      <c r="C915" s="90" t="e">
        <f ca="1">[0]!CSVVLookUP(ROW(行数!A907),配列!$C$4,集計記録,3,1)</f>
        <v>#NAME?</v>
      </c>
      <c r="D915" s="90" t="e">
        <f ca="1">[0]!CSVVLookUP(ROW(行数!B907),配列!$C$4,集計記録,4,1)</f>
        <v>#NAME?</v>
      </c>
      <c r="E915" s="118" t="e">
        <f t="shared" ca="1" si="102"/>
        <v>#NAME?</v>
      </c>
      <c r="F915" s="118" t="e">
        <f t="shared" ca="1" si="103"/>
        <v>#NAME?</v>
      </c>
      <c r="G915" s="103" t="e">
        <f t="shared" ca="1" si="104"/>
        <v>#NAME?</v>
      </c>
      <c r="H915" s="104" t="e">
        <f ca="1">IF(C915="","",MROUND([0]!CSVVLookUP(ROW(行数!A907),配列!$C$4,集計記録,8,1),"0:01"))</f>
        <v>#NAME?</v>
      </c>
      <c r="I915" s="104" t="e">
        <f t="shared" ca="1" si="105"/>
        <v>#NAME?</v>
      </c>
      <c r="J915" s="119" t="e">
        <f ca="1">IF(C915="","",MROUND([0]!CSVVLookUP(ROW(行数!A907),配列!$C$4,集計記録,7,1),"0:01"))</f>
        <v>#NAME?</v>
      </c>
      <c r="K915" s="92" t="e">
        <f ca="1">IF(C915="","",[0]!CSVVLookUP(ROW(行数!A907),配列!$C$4,集計記録,5,1))</f>
        <v>#NAME?</v>
      </c>
      <c r="L915" s="104" t="e">
        <f t="shared" ca="1" si="106"/>
        <v>#NAME?</v>
      </c>
      <c r="M915" s="120" t="e">
        <f t="shared" ca="1" si="100"/>
        <v>#NAME?</v>
      </c>
      <c r="N915" s="120" t="e">
        <f ca="1">IF([0]!CSVVLookUP(ROW(行数!A907),配列!$C$4,集計記録,6,1)=0,"",[0]!CSVVLookUP(ROW(行数!A907),配列!$C$4,集計記録,6,1))</f>
        <v>#NAME?</v>
      </c>
      <c r="O915" s="88" t="e">
        <f ca="1">IF(INDIRECT("M"&amp;ROW()-1)&lt;&gt;INDIRECT("M"&amp;ROW()),リスト!$I$5,"")</f>
        <v>#NAME?</v>
      </c>
      <c r="P915" s="88" t="e">
        <f ca="1">IF(INDIRECT("M"&amp;ROW())&lt;&gt;INDIRECT("M"&amp;ROW()+1),リスト!$I$6,"")</f>
        <v>#NAME?</v>
      </c>
    </row>
    <row r="916" spans="1:16" x14ac:dyDescent="0.2">
      <c r="A916" s="169" t="e">
        <f ca="1">IF(C916="","",ROW(行数!A908))</f>
        <v>#NAME?</v>
      </c>
      <c r="B916" s="168" t="e">
        <f t="shared" ca="1" si="101"/>
        <v>#NAME?</v>
      </c>
      <c r="C916" s="90" t="e">
        <f ca="1">[0]!CSVVLookUP(ROW(行数!A908),配列!$C$4,集計記録,3,1)</f>
        <v>#NAME?</v>
      </c>
      <c r="D916" s="90" t="e">
        <f ca="1">[0]!CSVVLookUP(ROW(行数!B908),配列!$C$4,集計記録,4,1)</f>
        <v>#NAME?</v>
      </c>
      <c r="E916" s="118" t="e">
        <f t="shared" ca="1" si="102"/>
        <v>#NAME?</v>
      </c>
      <c r="F916" s="118" t="e">
        <f t="shared" ca="1" si="103"/>
        <v>#NAME?</v>
      </c>
      <c r="G916" s="103" t="e">
        <f t="shared" ca="1" si="104"/>
        <v>#NAME?</v>
      </c>
      <c r="H916" s="104" t="e">
        <f ca="1">IF(C916="","",MROUND([0]!CSVVLookUP(ROW(行数!A908),配列!$C$4,集計記録,8,1),"0:01"))</f>
        <v>#NAME?</v>
      </c>
      <c r="I916" s="104" t="e">
        <f t="shared" ca="1" si="105"/>
        <v>#NAME?</v>
      </c>
      <c r="J916" s="119" t="e">
        <f ca="1">IF(C916="","",MROUND([0]!CSVVLookUP(ROW(行数!A908),配列!$C$4,集計記録,7,1),"0:01"))</f>
        <v>#NAME?</v>
      </c>
      <c r="K916" s="92" t="e">
        <f ca="1">IF(C916="","",[0]!CSVVLookUP(ROW(行数!A908),配列!$C$4,集計記録,5,1))</f>
        <v>#NAME?</v>
      </c>
      <c r="L916" s="104" t="e">
        <f t="shared" ca="1" si="106"/>
        <v>#NAME?</v>
      </c>
      <c r="M916" s="120" t="e">
        <f t="shared" ca="1" si="100"/>
        <v>#NAME?</v>
      </c>
      <c r="N916" s="120" t="e">
        <f ca="1">IF([0]!CSVVLookUP(ROW(行数!A908),配列!$C$4,集計記録,6,1)=0,"",[0]!CSVVLookUP(ROW(行数!A908),配列!$C$4,集計記録,6,1))</f>
        <v>#NAME?</v>
      </c>
      <c r="O916" s="88" t="e">
        <f ca="1">IF(INDIRECT("M"&amp;ROW()-1)&lt;&gt;INDIRECT("M"&amp;ROW()),リスト!$I$5,"")</f>
        <v>#NAME?</v>
      </c>
      <c r="P916" s="88" t="e">
        <f ca="1">IF(INDIRECT("M"&amp;ROW())&lt;&gt;INDIRECT("M"&amp;ROW()+1),リスト!$I$6,"")</f>
        <v>#NAME?</v>
      </c>
    </row>
    <row r="917" spans="1:16" x14ac:dyDescent="0.2">
      <c r="A917" s="169" t="e">
        <f ca="1">IF(C917="","",ROW(行数!A909))</f>
        <v>#NAME?</v>
      </c>
      <c r="B917" s="168" t="e">
        <f t="shared" ca="1" si="101"/>
        <v>#NAME?</v>
      </c>
      <c r="C917" s="90" t="e">
        <f ca="1">[0]!CSVVLookUP(ROW(行数!A909),配列!$C$4,集計記録,3,1)</f>
        <v>#NAME?</v>
      </c>
      <c r="D917" s="90" t="e">
        <f ca="1">[0]!CSVVLookUP(ROW(行数!B909),配列!$C$4,集計記録,4,1)</f>
        <v>#NAME?</v>
      </c>
      <c r="E917" s="118" t="e">
        <f t="shared" ca="1" si="102"/>
        <v>#NAME?</v>
      </c>
      <c r="F917" s="118" t="e">
        <f t="shared" ca="1" si="103"/>
        <v>#NAME?</v>
      </c>
      <c r="G917" s="103" t="e">
        <f t="shared" ca="1" si="104"/>
        <v>#NAME?</v>
      </c>
      <c r="H917" s="104" t="e">
        <f ca="1">IF(C917="","",MROUND([0]!CSVVLookUP(ROW(行数!A909),配列!$C$4,集計記録,8,1),"0:01"))</f>
        <v>#NAME?</v>
      </c>
      <c r="I917" s="104" t="e">
        <f t="shared" ca="1" si="105"/>
        <v>#NAME?</v>
      </c>
      <c r="J917" s="119" t="e">
        <f ca="1">IF(C917="","",MROUND([0]!CSVVLookUP(ROW(行数!A909),配列!$C$4,集計記録,7,1),"0:01"))</f>
        <v>#NAME?</v>
      </c>
      <c r="K917" s="92" t="e">
        <f ca="1">IF(C917="","",[0]!CSVVLookUP(ROW(行数!A909),配列!$C$4,集計記録,5,1))</f>
        <v>#NAME?</v>
      </c>
      <c r="L917" s="104" t="e">
        <f t="shared" ca="1" si="106"/>
        <v>#NAME?</v>
      </c>
      <c r="M917" s="120" t="e">
        <f t="shared" ca="1" si="100"/>
        <v>#NAME?</v>
      </c>
      <c r="N917" s="120" t="e">
        <f ca="1">IF([0]!CSVVLookUP(ROW(行数!A909),配列!$C$4,集計記録,6,1)=0,"",[0]!CSVVLookUP(ROW(行数!A909),配列!$C$4,集計記録,6,1))</f>
        <v>#NAME?</v>
      </c>
      <c r="O917" s="88" t="e">
        <f ca="1">IF(INDIRECT("M"&amp;ROW()-1)&lt;&gt;INDIRECT("M"&amp;ROW()),リスト!$I$5,"")</f>
        <v>#NAME?</v>
      </c>
      <c r="P917" s="88" t="e">
        <f ca="1">IF(INDIRECT("M"&amp;ROW())&lt;&gt;INDIRECT("M"&amp;ROW()+1),リスト!$I$6,"")</f>
        <v>#NAME?</v>
      </c>
    </row>
    <row r="918" spans="1:16" x14ac:dyDescent="0.2">
      <c r="A918" s="169" t="e">
        <f ca="1">IF(C918="","",ROW(行数!A910))</f>
        <v>#NAME?</v>
      </c>
      <c r="B918" s="168" t="e">
        <f t="shared" ca="1" si="101"/>
        <v>#NAME?</v>
      </c>
      <c r="C918" s="90" t="e">
        <f ca="1">[0]!CSVVLookUP(ROW(行数!A910),配列!$C$4,集計記録,3,1)</f>
        <v>#NAME?</v>
      </c>
      <c r="D918" s="90" t="e">
        <f ca="1">[0]!CSVVLookUP(ROW(行数!B910),配列!$C$4,集計記録,4,1)</f>
        <v>#NAME?</v>
      </c>
      <c r="E918" s="118" t="e">
        <f t="shared" ca="1" si="102"/>
        <v>#NAME?</v>
      </c>
      <c r="F918" s="118" t="e">
        <f t="shared" ca="1" si="103"/>
        <v>#NAME?</v>
      </c>
      <c r="G918" s="103" t="e">
        <f t="shared" ca="1" si="104"/>
        <v>#NAME?</v>
      </c>
      <c r="H918" s="104" t="e">
        <f ca="1">IF(C918="","",MROUND([0]!CSVVLookUP(ROW(行数!A910),配列!$C$4,集計記録,8,1),"0:01"))</f>
        <v>#NAME?</v>
      </c>
      <c r="I918" s="104" t="e">
        <f t="shared" ca="1" si="105"/>
        <v>#NAME?</v>
      </c>
      <c r="J918" s="119" t="e">
        <f ca="1">IF(C918="","",MROUND([0]!CSVVLookUP(ROW(行数!A910),配列!$C$4,集計記録,7,1),"0:01"))</f>
        <v>#NAME?</v>
      </c>
      <c r="K918" s="92" t="e">
        <f ca="1">IF(C918="","",[0]!CSVVLookUP(ROW(行数!A910),配列!$C$4,集計記録,5,1))</f>
        <v>#NAME?</v>
      </c>
      <c r="L918" s="104" t="e">
        <f t="shared" ca="1" si="106"/>
        <v>#NAME?</v>
      </c>
      <c r="M918" s="120" t="e">
        <f t="shared" ca="1" si="100"/>
        <v>#NAME?</v>
      </c>
      <c r="N918" s="120" t="e">
        <f ca="1">IF([0]!CSVVLookUP(ROW(行数!A910),配列!$C$4,集計記録,6,1)=0,"",[0]!CSVVLookUP(ROW(行数!A910),配列!$C$4,集計記録,6,1))</f>
        <v>#NAME?</v>
      </c>
      <c r="O918" s="88" t="e">
        <f ca="1">IF(INDIRECT("M"&amp;ROW()-1)&lt;&gt;INDIRECT("M"&amp;ROW()),リスト!$I$5,"")</f>
        <v>#NAME?</v>
      </c>
      <c r="P918" s="88" t="e">
        <f ca="1">IF(INDIRECT("M"&amp;ROW())&lt;&gt;INDIRECT("M"&amp;ROW()+1),リスト!$I$6,"")</f>
        <v>#NAME?</v>
      </c>
    </row>
    <row r="919" spans="1:16" x14ac:dyDescent="0.2">
      <c r="A919" s="169" t="e">
        <f ca="1">IF(C919="","",ROW(行数!A911))</f>
        <v>#NAME?</v>
      </c>
      <c r="B919" s="168" t="e">
        <f t="shared" ca="1" si="101"/>
        <v>#NAME?</v>
      </c>
      <c r="C919" s="90" t="e">
        <f ca="1">[0]!CSVVLookUP(ROW(行数!A911),配列!$C$4,集計記録,3,1)</f>
        <v>#NAME?</v>
      </c>
      <c r="D919" s="90" t="e">
        <f ca="1">[0]!CSVVLookUP(ROW(行数!B911),配列!$C$4,集計記録,4,1)</f>
        <v>#NAME?</v>
      </c>
      <c r="E919" s="118" t="e">
        <f t="shared" ca="1" si="102"/>
        <v>#NAME?</v>
      </c>
      <c r="F919" s="118" t="e">
        <f t="shared" ca="1" si="103"/>
        <v>#NAME?</v>
      </c>
      <c r="G919" s="103" t="e">
        <f t="shared" ca="1" si="104"/>
        <v>#NAME?</v>
      </c>
      <c r="H919" s="104" t="e">
        <f ca="1">IF(C919="","",MROUND([0]!CSVVLookUP(ROW(行数!A911),配列!$C$4,集計記録,8,1),"0:01"))</f>
        <v>#NAME?</v>
      </c>
      <c r="I919" s="104" t="e">
        <f t="shared" ca="1" si="105"/>
        <v>#NAME?</v>
      </c>
      <c r="J919" s="119" t="e">
        <f ca="1">IF(C919="","",MROUND([0]!CSVVLookUP(ROW(行数!A911),配列!$C$4,集計記録,7,1),"0:01"))</f>
        <v>#NAME?</v>
      </c>
      <c r="K919" s="92" t="e">
        <f ca="1">IF(C919="","",[0]!CSVVLookUP(ROW(行数!A911),配列!$C$4,集計記録,5,1))</f>
        <v>#NAME?</v>
      </c>
      <c r="L919" s="104" t="e">
        <f t="shared" ca="1" si="106"/>
        <v>#NAME?</v>
      </c>
      <c r="M919" s="120" t="e">
        <f t="shared" ca="1" si="100"/>
        <v>#NAME?</v>
      </c>
      <c r="N919" s="120" t="e">
        <f ca="1">IF([0]!CSVVLookUP(ROW(行数!A911),配列!$C$4,集計記録,6,1)=0,"",[0]!CSVVLookUP(ROW(行数!A911),配列!$C$4,集計記録,6,1))</f>
        <v>#NAME?</v>
      </c>
      <c r="O919" s="88" t="e">
        <f ca="1">IF(INDIRECT("M"&amp;ROW()-1)&lt;&gt;INDIRECT("M"&amp;ROW()),リスト!$I$5,"")</f>
        <v>#NAME?</v>
      </c>
      <c r="P919" s="88" t="e">
        <f ca="1">IF(INDIRECT("M"&amp;ROW())&lt;&gt;INDIRECT("M"&amp;ROW()+1),リスト!$I$6,"")</f>
        <v>#NAME?</v>
      </c>
    </row>
    <row r="920" spans="1:16" x14ac:dyDescent="0.2">
      <c r="A920" s="169" t="e">
        <f ca="1">IF(C920="","",ROW(行数!A912))</f>
        <v>#NAME?</v>
      </c>
      <c r="B920" s="168" t="e">
        <f t="shared" ca="1" si="101"/>
        <v>#NAME?</v>
      </c>
      <c r="C920" s="90" t="e">
        <f ca="1">[0]!CSVVLookUP(ROW(行数!A912),配列!$C$4,集計記録,3,1)</f>
        <v>#NAME?</v>
      </c>
      <c r="D920" s="90" t="e">
        <f ca="1">[0]!CSVVLookUP(ROW(行数!B912),配列!$C$4,集計記録,4,1)</f>
        <v>#NAME?</v>
      </c>
      <c r="E920" s="118" t="e">
        <f t="shared" ca="1" si="102"/>
        <v>#NAME?</v>
      </c>
      <c r="F920" s="118" t="e">
        <f t="shared" ca="1" si="103"/>
        <v>#NAME?</v>
      </c>
      <c r="G920" s="103" t="e">
        <f t="shared" ca="1" si="104"/>
        <v>#NAME?</v>
      </c>
      <c r="H920" s="104" t="e">
        <f ca="1">IF(C920="","",MROUND([0]!CSVVLookUP(ROW(行数!A912),配列!$C$4,集計記録,8,1),"0:01"))</f>
        <v>#NAME?</v>
      </c>
      <c r="I920" s="104" t="e">
        <f t="shared" ca="1" si="105"/>
        <v>#NAME?</v>
      </c>
      <c r="J920" s="119" t="e">
        <f ca="1">IF(C920="","",MROUND([0]!CSVVLookUP(ROW(行数!A912),配列!$C$4,集計記録,7,1),"0:01"))</f>
        <v>#NAME?</v>
      </c>
      <c r="K920" s="92" t="e">
        <f ca="1">IF(C920="","",[0]!CSVVLookUP(ROW(行数!A912),配列!$C$4,集計記録,5,1))</f>
        <v>#NAME?</v>
      </c>
      <c r="L920" s="104" t="e">
        <f t="shared" ca="1" si="106"/>
        <v>#NAME?</v>
      </c>
      <c r="M920" s="120" t="e">
        <f t="shared" ca="1" si="100"/>
        <v>#NAME?</v>
      </c>
      <c r="N920" s="120" t="e">
        <f ca="1">IF([0]!CSVVLookUP(ROW(行数!A912),配列!$C$4,集計記録,6,1)=0,"",[0]!CSVVLookUP(ROW(行数!A912),配列!$C$4,集計記録,6,1))</f>
        <v>#NAME?</v>
      </c>
      <c r="O920" s="88" t="e">
        <f ca="1">IF(INDIRECT("M"&amp;ROW()-1)&lt;&gt;INDIRECT("M"&amp;ROW()),リスト!$I$5,"")</f>
        <v>#NAME?</v>
      </c>
      <c r="P920" s="88" t="e">
        <f ca="1">IF(INDIRECT("M"&amp;ROW())&lt;&gt;INDIRECT("M"&amp;ROW()+1),リスト!$I$6,"")</f>
        <v>#NAME?</v>
      </c>
    </row>
    <row r="921" spans="1:16" x14ac:dyDescent="0.2">
      <c r="A921" s="169" t="e">
        <f ca="1">IF(C921="","",ROW(行数!A913))</f>
        <v>#NAME?</v>
      </c>
      <c r="B921" s="168" t="e">
        <f t="shared" ca="1" si="101"/>
        <v>#NAME?</v>
      </c>
      <c r="C921" s="90" t="e">
        <f ca="1">[0]!CSVVLookUP(ROW(行数!A913),配列!$C$4,集計記録,3,1)</f>
        <v>#NAME?</v>
      </c>
      <c r="D921" s="90" t="e">
        <f ca="1">[0]!CSVVLookUP(ROW(行数!B913),配列!$C$4,集計記録,4,1)</f>
        <v>#NAME?</v>
      </c>
      <c r="E921" s="118" t="e">
        <f t="shared" ca="1" si="102"/>
        <v>#NAME?</v>
      </c>
      <c r="F921" s="118" t="e">
        <f t="shared" ca="1" si="103"/>
        <v>#NAME?</v>
      </c>
      <c r="G921" s="103" t="e">
        <f t="shared" ca="1" si="104"/>
        <v>#NAME?</v>
      </c>
      <c r="H921" s="104" t="e">
        <f ca="1">IF(C921="","",MROUND([0]!CSVVLookUP(ROW(行数!A913),配列!$C$4,集計記録,8,1),"0:01"))</f>
        <v>#NAME?</v>
      </c>
      <c r="I921" s="104" t="e">
        <f t="shared" ca="1" si="105"/>
        <v>#NAME?</v>
      </c>
      <c r="J921" s="119" t="e">
        <f ca="1">IF(C921="","",MROUND([0]!CSVVLookUP(ROW(行数!A913),配列!$C$4,集計記録,7,1),"0:01"))</f>
        <v>#NAME?</v>
      </c>
      <c r="K921" s="92" t="e">
        <f ca="1">IF(C921="","",[0]!CSVVLookUP(ROW(行数!A913),配列!$C$4,集計記録,5,1))</f>
        <v>#NAME?</v>
      </c>
      <c r="L921" s="104" t="e">
        <f t="shared" ca="1" si="106"/>
        <v>#NAME?</v>
      </c>
      <c r="M921" s="120" t="e">
        <f t="shared" ca="1" si="100"/>
        <v>#NAME?</v>
      </c>
      <c r="N921" s="120" t="e">
        <f ca="1">IF([0]!CSVVLookUP(ROW(行数!A913),配列!$C$4,集計記録,6,1)=0,"",[0]!CSVVLookUP(ROW(行数!A913),配列!$C$4,集計記録,6,1))</f>
        <v>#NAME?</v>
      </c>
      <c r="O921" s="88" t="e">
        <f ca="1">IF(INDIRECT("M"&amp;ROW()-1)&lt;&gt;INDIRECT("M"&amp;ROW()),リスト!$I$5,"")</f>
        <v>#NAME?</v>
      </c>
      <c r="P921" s="88" t="e">
        <f ca="1">IF(INDIRECT("M"&amp;ROW())&lt;&gt;INDIRECT("M"&amp;ROW()+1),リスト!$I$6,"")</f>
        <v>#NAME?</v>
      </c>
    </row>
    <row r="922" spans="1:16" x14ac:dyDescent="0.2">
      <c r="A922" s="169" t="e">
        <f ca="1">IF(C922="","",ROW(行数!A914))</f>
        <v>#NAME?</v>
      </c>
      <c r="B922" s="168" t="e">
        <f t="shared" ca="1" si="101"/>
        <v>#NAME?</v>
      </c>
      <c r="C922" s="90" t="e">
        <f ca="1">[0]!CSVVLookUP(ROW(行数!A914),配列!$C$4,集計記録,3,1)</f>
        <v>#NAME?</v>
      </c>
      <c r="D922" s="90" t="e">
        <f ca="1">[0]!CSVVLookUP(ROW(行数!B914),配列!$C$4,集計記録,4,1)</f>
        <v>#NAME?</v>
      </c>
      <c r="E922" s="118" t="e">
        <f t="shared" ca="1" si="102"/>
        <v>#NAME?</v>
      </c>
      <c r="F922" s="118" t="e">
        <f t="shared" ca="1" si="103"/>
        <v>#NAME?</v>
      </c>
      <c r="G922" s="103" t="e">
        <f t="shared" ca="1" si="104"/>
        <v>#NAME?</v>
      </c>
      <c r="H922" s="104" t="e">
        <f ca="1">IF(C922="","",MROUND([0]!CSVVLookUP(ROW(行数!A914),配列!$C$4,集計記録,8,1),"0:01"))</f>
        <v>#NAME?</v>
      </c>
      <c r="I922" s="104" t="e">
        <f t="shared" ca="1" si="105"/>
        <v>#NAME?</v>
      </c>
      <c r="J922" s="119" t="e">
        <f ca="1">IF(C922="","",MROUND([0]!CSVVLookUP(ROW(行数!A914),配列!$C$4,集計記録,7,1),"0:01"))</f>
        <v>#NAME?</v>
      </c>
      <c r="K922" s="92" t="e">
        <f ca="1">IF(C922="","",[0]!CSVVLookUP(ROW(行数!A914),配列!$C$4,集計記録,5,1))</f>
        <v>#NAME?</v>
      </c>
      <c r="L922" s="104" t="e">
        <f t="shared" ca="1" si="106"/>
        <v>#NAME?</v>
      </c>
      <c r="M922" s="120" t="e">
        <f t="shared" ca="1" si="100"/>
        <v>#NAME?</v>
      </c>
      <c r="N922" s="120" t="e">
        <f ca="1">IF([0]!CSVVLookUP(ROW(行数!A914),配列!$C$4,集計記録,6,1)=0,"",[0]!CSVVLookUP(ROW(行数!A914),配列!$C$4,集計記録,6,1))</f>
        <v>#NAME?</v>
      </c>
      <c r="O922" s="88" t="e">
        <f ca="1">IF(INDIRECT("M"&amp;ROW()-1)&lt;&gt;INDIRECT("M"&amp;ROW()),リスト!$I$5,"")</f>
        <v>#NAME?</v>
      </c>
      <c r="P922" s="88" t="e">
        <f ca="1">IF(INDIRECT("M"&amp;ROW())&lt;&gt;INDIRECT("M"&amp;ROW()+1),リスト!$I$6,"")</f>
        <v>#NAME?</v>
      </c>
    </row>
    <row r="923" spans="1:16" x14ac:dyDescent="0.2">
      <c r="A923" s="169" t="e">
        <f ca="1">IF(C923="","",ROW(行数!A915))</f>
        <v>#NAME?</v>
      </c>
      <c r="B923" s="168" t="e">
        <f t="shared" ca="1" si="101"/>
        <v>#NAME?</v>
      </c>
      <c r="C923" s="90" t="e">
        <f ca="1">[0]!CSVVLookUP(ROW(行数!A915),配列!$C$4,集計記録,3,1)</f>
        <v>#NAME?</v>
      </c>
      <c r="D923" s="90" t="e">
        <f ca="1">[0]!CSVVLookUP(ROW(行数!B915),配列!$C$4,集計記録,4,1)</f>
        <v>#NAME?</v>
      </c>
      <c r="E923" s="118" t="e">
        <f t="shared" ca="1" si="102"/>
        <v>#NAME?</v>
      </c>
      <c r="F923" s="118" t="e">
        <f t="shared" ca="1" si="103"/>
        <v>#NAME?</v>
      </c>
      <c r="G923" s="103" t="e">
        <f t="shared" ca="1" si="104"/>
        <v>#NAME?</v>
      </c>
      <c r="H923" s="104" t="e">
        <f ca="1">IF(C923="","",MROUND([0]!CSVVLookUP(ROW(行数!A915),配列!$C$4,集計記録,8,1),"0:01"))</f>
        <v>#NAME?</v>
      </c>
      <c r="I923" s="104" t="e">
        <f t="shared" ca="1" si="105"/>
        <v>#NAME?</v>
      </c>
      <c r="J923" s="119" t="e">
        <f ca="1">IF(C923="","",MROUND([0]!CSVVLookUP(ROW(行数!A915),配列!$C$4,集計記録,7,1),"0:01"))</f>
        <v>#NAME?</v>
      </c>
      <c r="K923" s="92" t="e">
        <f ca="1">IF(C923="","",[0]!CSVVLookUP(ROW(行数!A915),配列!$C$4,集計記録,5,1))</f>
        <v>#NAME?</v>
      </c>
      <c r="L923" s="104" t="e">
        <f t="shared" ca="1" si="106"/>
        <v>#NAME?</v>
      </c>
      <c r="M923" s="120" t="e">
        <f t="shared" ca="1" si="100"/>
        <v>#NAME?</v>
      </c>
      <c r="N923" s="120" t="e">
        <f ca="1">IF([0]!CSVVLookUP(ROW(行数!A915),配列!$C$4,集計記録,6,1)=0,"",[0]!CSVVLookUP(ROW(行数!A915),配列!$C$4,集計記録,6,1))</f>
        <v>#NAME?</v>
      </c>
      <c r="O923" s="88" t="e">
        <f ca="1">IF(INDIRECT("M"&amp;ROW()-1)&lt;&gt;INDIRECT("M"&amp;ROW()),リスト!$I$5,"")</f>
        <v>#NAME?</v>
      </c>
      <c r="P923" s="88" t="e">
        <f ca="1">IF(INDIRECT("M"&amp;ROW())&lt;&gt;INDIRECT("M"&amp;ROW()+1),リスト!$I$6,"")</f>
        <v>#NAME?</v>
      </c>
    </row>
    <row r="924" spans="1:16" x14ac:dyDescent="0.2">
      <c r="A924" s="169" t="e">
        <f ca="1">IF(C924="","",ROW(行数!A916))</f>
        <v>#NAME?</v>
      </c>
      <c r="B924" s="168" t="e">
        <f t="shared" ca="1" si="101"/>
        <v>#NAME?</v>
      </c>
      <c r="C924" s="90" t="e">
        <f ca="1">[0]!CSVVLookUP(ROW(行数!A916),配列!$C$4,集計記録,3,1)</f>
        <v>#NAME?</v>
      </c>
      <c r="D924" s="90" t="e">
        <f ca="1">[0]!CSVVLookUP(ROW(行数!B916),配列!$C$4,集計記録,4,1)</f>
        <v>#NAME?</v>
      </c>
      <c r="E924" s="118" t="e">
        <f t="shared" ca="1" si="102"/>
        <v>#NAME?</v>
      </c>
      <c r="F924" s="118" t="e">
        <f t="shared" ca="1" si="103"/>
        <v>#NAME?</v>
      </c>
      <c r="G924" s="103" t="e">
        <f t="shared" ca="1" si="104"/>
        <v>#NAME?</v>
      </c>
      <c r="H924" s="104" t="e">
        <f ca="1">IF(C924="","",MROUND([0]!CSVVLookUP(ROW(行数!A916),配列!$C$4,集計記録,8,1),"0:01"))</f>
        <v>#NAME?</v>
      </c>
      <c r="I924" s="104" t="e">
        <f t="shared" ca="1" si="105"/>
        <v>#NAME?</v>
      </c>
      <c r="J924" s="119" t="e">
        <f ca="1">IF(C924="","",MROUND([0]!CSVVLookUP(ROW(行数!A916),配列!$C$4,集計記録,7,1),"0:01"))</f>
        <v>#NAME?</v>
      </c>
      <c r="K924" s="92" t="e">
        <f ca="1">IF(C924="","",[0]!CSVVLookUP(ROW(行数!A916),配列!$C$4,集計記録,5,1))</f>
        <v>#NAME?</v>
      </c>
      <c r="L924" s="104" t="e">
        <f t="shared" ca="1" si="106"/>
        <v>#NAME?</v>
      </c>
      <c r="M924" s="120" t="e">
        <f t="shared" ca="1" si="100"/>
        <v>#NAME?</v>
      </c>
      <c r="N924" s="120" t="e">
        <f ca="1">IF([0]!CSVVLookUP(ROW(行数!A916),配列!$C$4,集計記録,6,1)=0,"",[0]!CSVVLookUP(ROW(行数!A916),配列!$C$4,集計記録,6,1))</f>
        <v>#NAME?</v>
      </c>
      <c r="O924" s="88" t="e">
        <f ca="1">IF(INDIRECT("M"&amp;ROW()-1)&lt;&gt;INDIRECT("M"&amp;ROW()),リスト!$I$5,"")</f>
        <v>#NAME?</v>
      </c>
      <c r="P924" s="88" t="e">
        <f ca="1">IF(INDIRECT("M"&amp;ROW())&lt;&gt;INDIRECT("M"&amp;ROW()+1),リスト!$I$6,"")</f>
        <v>#NAME?</v>
      </c>
    </row>
    <row r="925" spans="1:16" x14ac:dyDescent="0.2">
      <c r="A925" s="169" t="e">
        <f ca="1">IF(C925="","",ROW(行数!A917))</f>
        <v>#NAME?</v>
      </c>
      <c r="B925" s="168" t="e">
        <f t="shared" ca="1" si="101"/>
        <v>#NAME?</v>
      </c>
      <c r="C925" s="90" t="e">
        <f ca="1">[0]!CSVVLookUP(ROW(行数!A917),配列!$C$4,集計記録,3,1)</f>
        <v>#NAME?</v>
      </c>
      <c r="D925" s="90" t="e">
        <f ca="1">[0]!CSVVLookUP(ROW(行数!B917),配列!$C$4,集計記録,4,1)</f>
        <v>#NAME?</v>
      </c>
      <c r="E925" s="118" t="e">
        <f t="shared" ca="1" si="102"/>
        <v>#NAME?</v>
      </c>
      <c r="F925" s="118" t="e">
        <f t="shared" ca="1" si="103"/>
        <v>#NAME?</v>
      </c>
      <c r="G925" s="103" t="e">
        <f t="shared" ca="1" si="104"/>
        <v>#NAME?</v>
      </c>
      <c r="H925" s="104" t="e">
        <f ca="1">IF(C925="","",MROUND([0]!CSVVLookUP(ROW(行数!A917),配列!$C$4,集計記録,8,1),"0:01"))</f>
        <v>#NAME?</v>
      </c>
      <c r="I925" s="104" t="e">
        <f t="shared" ca="1" si="105"/>
        <v>#NAME?</v>
      </c>
      <c r="J925" s="119" t="e">
        <f ca="1">IF(C925="","",MROUND([0]!CSVVLookUP(ROW(行数!A917),配列!$C$4,集計記録,7,1),"0:01"))</f>
        <v>#NAME?</v>
      </c>
      <c r="K925" s="92" t="e">
        <f ca="1">IF(C925="","",[0]!CSVVLookUP(ROW(行数!A917),配列!$C$4,集計記録,5,1))</f>
        <v>#NAME?</v>
      </c>
      <c r="L925" s="104" t="e">
        <f t="shared" ca="1" si="106"/>
        <v>#NAME?</v>
      </c>
      <c r="M925" s="120" t="e">
        <f t="shared" ca="1" si="100"/>
        <v>#NAME?</v>
      </c>
      <c r="N925" s="120" t="e">
        <f ca="1">IF([0]!CSVVLookUP(ROW(行数!A917),配列!$C$4,集計記録,6,1)=0,"",[0]!CSVVLookUP(ROW(行数!A917),配列!$C$4,集計記録,6,1))</f>
        <v>#NAME?</v>
      </c>
      <c r="O925" s="88" t="e">
        <f ca="1">IF(INDIRECT("M"&amp;ROW()-1)&lt;&gt;INDIRECT("M"&amp;ROW()),リスト!$I$5,"")</f>
        <v>#NAME?</v>
      </c>
      <c r="P925" s="88" t="e">
        <f ca="1">IF(INDIRECT("M"&amp;ROW())&lt;&gt;INDIRECT("M"&amp;ROW()+1),リスト!$I$6,"")</f>
        <v>#NAME?</v>
      </c>
    </row>
    <row r="926" spans="1:16" x14ac:dyDescent="0.2">
      <c r="A926" s="169" t="e">
        <f ca="1">IF(C926="","",ROW(行数!A918))</f>
        <v>#NAME?</v>
      </c>
      <c r="B926" s="168" t="e">
        <f t="shared" ca="1" si="101"/>
        <v>#NAME?</v>
      </c>
      <c r="C926" s="90" t="e">
        <f ca="1">[0]!CSVVLookUP(ROW(行数!A918),配列!$C$4,集計記録,3,1)</f>
        <v>#NAME?</v>
      </c>
      <c r="D926" s="90" t="e">
        <f ca="1">[0]!CSVVLookUP(ROW(行数!B918),配列!$C$4,集計記録,4,1)</f>
        <v>#NAME?</v>
      </c>
      <c r="E926" s="118" t="e">
        <f t="shared" ca="1" si="102"/>
        <v>#NAME?</v>
      </c>
      <c r="F926" s="118" t="e">
        <f t="shared" ca="1" si="103"/>
        <v>#NAME?</v>
      </c>
      <c r="G926" s="103" t="e">
        <f t="shared" ca="1" si="104"/>
        <v>#NAME?</v>
      </c>
      <c r="H926" s="104" t="e">
        <f ca="1">IF(C926="","",MROUND([0]!CSVVLookUP(ROW(行数!A918),配列!$C$4,集計記録,8,1),"0:01"))</f>
        <v>#NAME?</v>
      </c>
      <c r="I926" s="104" t="e">
        <f t="shared" ca="1" si="105"/>
        <v>#NAME?</v>
      </c>
      <c r="J926" s="119" t="e">
        <f ca="1">IF(C926="","",MROUND([0]!CSVVLookUP(ROW(行数!A918),配列!$C$4,集計記録,7,1),"0:01"))</f>
        <v>#NAME?</v>
      </c>
      <c r="K926" s="92" t="e">
        <f ca="1">IF(C926="","",[0]!CSVVLookUP(ROW(行数!A918),配列!$C$4,集計記録,5,1))</f>
        <v>#NAME?</v>
      </c>
      <c r="L926" s="104" t="e">
        <f t="shared" ca="1" si="106"/>
        <v>#NAME?</v>
      </c>
      <c r="M926" s="120" t="e">
        <f t="shared" ca="1" si="100"/>
        <v>#NAME?</v>
      </c>
      <c r="N926" s="120" t="e">
        <f ca="1">IF([0]!CSVVLookUP(ROW(行数!A918),配列!$C$4,集計記録,6,1)=0,"",[0]!CSVVLookUP(ROW(行数!A918),配列!$C$4,集計記録,6,1))</f>
        <v>#NAME?</v>
      </c>
      <c r="O926" s="88" t="e">
        <f ca="1">IF(INDIRECT("M"&amp;ROW()-1)&lt;&gt;INDIRECT("M"&amp;ROW()),リスト!$I$5,"")</f>
        <v>#NAME?</v>
      </c>
      <c r="P926" s="88" t="e">
        <f ca="1">IF(INDIRECT("M"&amp;ROW())&lt;&gt;INDIRECT("M"&amp;ROW()+1),リスト!$I$6,"")</f>
        <v>#NAME?</v>
      </c>
    </row>
    <row r="927" spans="1:16" x14ac:dyDescent="0.2">
      <c r="A927" s="169" t="e">
        <f ca="1">IF(C927="","",ROW(行数!A919))</f>
        <v>#NAME?</v>
      </c>
      <c r="B927" s="168" t="e">
        <f t="shared" ca="1" si="101"/>
        <v>#NAME?</v>
      </c>
      <c r="C927" s="90" t="e">
        <f ca="1">[0]!CSVVLookUP(ROW(行数!A919),配列!$C$4,集計記録,3,1)</f>
        <v>#NAME?</v>
      </c>
      <c r="D927" s="90" t="e">
        <f ca="1">[0]!CSVVLookUP(ROW(行数!B919),配列!$C$4,集計記録,4,1)</f>
        <v>#NAME?</v>
      </c>
      <c r="E927" s="118" t="e">
        <f t="shared" ca="1" si="102"/>
        <v>#NAME?</v>
      </c>
      <c r="F927" s="118" t="e">
        <f t="shared" ca="1" si="103"/>
        <v>#NAME?</v>
      </c>
      <c r="G927" s="103" t="e">
        <f t="shared" ca="1" si="104"/>
        <v>#NAME?</v>
      </c>
      <c r="H927" s="104" t="e">
        <f ca="1">IF(C927="","",MROUND([0]!CSVVLookUP(ROW(行数!A919),配列!$C$4,集計記録,8,1),"0:01"))</f>
        <v>#NAME?</v>
      </c>
      <c r="I927" s="104" t="e">
        <f t="shared" ca="1" si="105"/>
        <v>#NAME?</v>
      </c>
      <c r="J927" s="119" t="e">
        <f ca="1">IF(C927="","",MROUND([0]!CSVVLookUP(ROW(行数!A919),配列!$C$4,集計記録,7,1),"0:01"))</f>
        <v>#NAME?</v>
      </c>
      <c r="K927" s="92" t="e">
        <f ca="1">IF(C927="","",[0]!CSVVLookUP(ROW(行数!A919),配列!$C$4,集計記録,5,1))</f>
        <v>#NAME?</v>
      </c>
      <c r="L927" s="104" t="e">
        <f t="shared" ca="1" si="106"/>
        <v>#NAME?</v>
      </c>
      <c r="M927" s="120" t="e">
        <f t="shared" ca="1" si="100"/>
        <v>#NAME?</v>
      </c>
      <c r="N927" s="120" t="e">
        <f ca="1">IF([0]!CSVVLookUP(ROW(行数!A919),配列!$C$4,集計記録,6,1)=0,"",[0]!CSVVLookUP(ROW(行数!A919),配列!$C$4,集計記録,6,1))</f>
        <v>#NAME?</v>
      </c>
      <c r="O927" s="88" t="e">
        <f ca="1">IF(INDIRECT("M"&amp;ROW()-1)&lt;&gt;INDIRECT("M"&amp;ROW()),リスト!$I$5,"")</f>
        <v>#NAME?</v>
      </c>
      <c r="P927" s="88" t="e">
        <f ca="1">IF(INDIRECT("M"&amp;ROW())&lt;&gt;INDIRECT("M"&amp;ROW()+1),リスト!$I$6,"")</f>
        <v>#NAME?</v>
      </c>
    </row>
    <row r="928" spans="1:16" x14ac:dyDescent="0.2">
      <c r="A928" s="169" t="e">
        <f ca="1">IF(C928="","",ROW(行数!A920))</f>
        <v>#NAME?</v>
      </c>
      <c r="B928" s="168" t="e">
        <f t="shared" ca="1" si="101"/>
        <v>#NAME?</v>
      </c>
      <c r="C928" s="90" t="e">
        <f ca="1">[0]!CSVVLookUP(ROW(行数!A920),配列!$C$4,集計記録,3,1)</f>
        <v>#NAME?</v>
      </c>
      <c r="D928" s="90" t="e">
        <f ca="1">[0]!CSVVLookUP(ROW(行数!B920),配列!$C$4,集計記録,4,1)</f>
        <v>#NAME?</v>
      </c>
      <c r="E928" s="118" t="e">
        <f t="shared" ca="1" si="102"/>
        <v>#NAME?</v>
      </c>
      <c r="F928" s="118" t="e">
        <f t="shared" ca="1" si="103"/>
        <v>#NAME?</v>
      </c>
      <c r="G928" s="103" t="e">
        <f t="shared" ca="1" si="104"/>
        <v>#NAME?</v>
      </c>
      <c r="H928" s="104" t="e">
        <f ca="1">IF(C928="","",MROUND([0]!CSVVLookUP(ROW(行数!A920),配列!$C$4,集計記録,8,1),"0:01"))</f>
        <v>#NAME?</v>
      </c>
      <c r="I928" s="104" t="e">
        <f t="shared" ca="1" si="105"/>
        <v>#NAME?</v>
      </c>
      <c r="J928" s="119" t="e">
        <f ca="1">IF(C928="","",MROUND([0]!CSVVLookUP(ROW(行数!A920),配列!$C$4,集計記録,7,1),"0:01"))</f>
        <v>#NAME?</v>
      </c>
      <c r="K928" s="92" t="e">
        <f ca="1">IF(C928="","",[0]!CSVVLookUP(ROW(行数!A920),配列!$C$4,集計記録,5,1))</f>
        <v>#NAME?</v>
      </c>
      <c r="L928" s="104" t="e">
        <f t="shared" ca="1" si="106"/>
        <v>#NAME?</v>
      </c>
      <c r="M928" s="120" t="e">
        <f t="shared" ca="1" si="100"/>
        <v>#NAME?</v>
      </c>
      <c r="N928" s="120" t="e">
        <f ca="1">IF([0]!CSVVLookUP(ROW(行数!A920),配列!$C$4,集計記録,6,1)=0,"",[0]!CSVVLookUP(ROW(行数!A920),配列!$C$4,集計記録,6,1))</f>
        <v>#NAME?</v>
      </c>
      <c r="O928" s="88" t="e">
        <f ca="1">IF(INDIRECT("M"&amp;ROW()-1)&lt;&gt;INDIRECT("M"&amp;ROW()),リスト!$I$5,"")</f>
        <v>#NAME?</v>
      </c>
      <c r="P928" s="88" t="e">
        <f ca="1">IF(INDIRECT("M"&amp;ROW())&lt;&gt;INDIRECT("M"&amp;ROW()+1),リスト!$I$6,"")</f>
        <v>#NAME?</v>
      </c>
    </row>
    <row r="929" spans="1:16" x14ac:dyDescent="0.2">
      <c r="A929" s="169" t="e">
        <f ca="1">IF(C929="","",ROW(行数!A921))</f>
        <v>#NAME?</v>
      </c>
      <c r="B929" s="168" t="e">
        <f t="shared" ca="1" si="101"/>
        <v>#NAME?</v>
      </c>
      <c r="C929" s="90" t="e">
        <f ca="1">[0]!CSVVLookUP(ROW(行数!A921),配列!$C$4,集計記録,3,1)</f>
        <v>#NAME?</v>
      </c>
      <c r="D929" s="90" t="e">
        <f ca="1">[0]!CSVVLookUP(ROW(行数!B921),配列!$C$4,集計記録,4,1)</f>
        <v>#NAME?</v>
      </c>
      <c r="E929" s="118" t="e">
        <f t="shared" ca="1" si="102"/>
        <v>#NAME?</v>
      </c>
      <c r="F929" s="118" t="e">
        <f t="shared" ca="1" si="103"/>
        <v>#NAME?</v>
      </c>
      <c r="G929" s="103" t="e">
        <f t="shared" ca="1" si="104"/>
        <v>#NAME?</v>
      </c>
      <c r="H929" s="104" t="e">
        <f ca="1">IF(C929="","",MROUND([0]!CSVVLookUP(ROW(行数!A921),配列!$C$4,集計記録,8,1),"0:01"))</f>
        <v>#NAME?</v>
      </c>
      <c r="I929" s="104" t="e">
        <f t="shared" ca="1" si="105"/>
        <v>#NAME?</v>
      </c>
      <c r="J929" s="119" t="e">
        <f ca="1">IF(C929="","",MROUND([0]!CSVVLookUP(ROW(行数!A921),配列!$C$4,集計記録,7,1),"0:01"))</f>
        <v>#NAME?</v>
      </c>
      <c r="K929" s="92" t="e">
        <f ca="1">IF(C929="","",[0]!CSVVLookUP(ROW(行数!A921),配列!$C$4,集計記録,5,1))</f>
        <v>#NAME?</v>
      </c>
      <c r="L929" s="104" t="e">
        <f t="shared" ca="1" si="106"/>
        <v>#NAME?</v>
      </c>
      <c r="M929" s="120" t="e">
        <f t="shared" ca="1" si="100"/>
        <v>#NAME?</v>
      </c>
      <c r="N929" s="120" t="e">
        <f ca="1">IF([0]!CSVVLookUP(ROW(行数!A921),配列!$C$4,集計記録,6,1)=0,"",[0]!CSVVLookUP(ROW(行数!A921),配列!$C$4,集計記録,6,1))</f>
        <v>#NAME?</v>
      </c>
      <c r="O929" s="88" t="e">
        <f ca="1">IF(INDIRECT("M"&amp;ROW()-1)&lt;&gt;INDIRECT("M"&amp;ROW()),リスト!$I$5,"")</f>
        <v>#NAME?</v>
      </c>
      <c r="P929" s="88" t="e">
        <f ca="1">IF(INDIRECT("M"&amp;ROW())&lt;&gt;INDIRECT("M"&amp;ROW()+1),リスト!$I$6,"")</f>
        <v>#NAME?</v>
      </c>
    </row>
    <row r="930" spans="1:16" x14ac:dyDescent="0.2">
      <c r="A930" s="169" t="e">
        <f ca="1">IF(C930="","",ROW(行数!A922))</f>
        <v>#NAME?</v>
      </c>
      <c r="B930" s="168" t="e">
        <f t="shared" ca="1" si="101"/>
        <v>#NAME?</v>
      </c>
      <c r="C930" s="90" t="e">
        <f ca="1">[0]!CSVVLookUP(ROW(行数!A922),配列!$C$4,集計記録,3,1)</f>
        <v>#NAME?</v>
      </c>
      <c r="D930" s="90" t="e">
        <f ca="1">[0]!CSVVLookUP(ROW(行数!B922),配列!$C$4,集計記録,4,1)</f>
        <v>#NAME?</v>
      </c>
      <c r="E930" s="118" t="e">
        <f t="shared" ca="1" si="102"/>
        <v>#NAME?</v>
      </c>
      <c r="F930" s="118" t="e">
        <f t="shared" ca="1" si="103"/>
        <v>#NAME?</v>
      </c>
      <c r="G930" s="103" t="e">
        <f t="shared" ca="1" si="104"/>
        <v>#NAME?</v>
      </c>
      <c r="H930" s="104" t="e">
        <f ca="1">IF(C930="","",MROUND([0]!CSVVLookUP(ROW(行数!A922),配列!$C$4,集計記録,8,1),"0:01"))</f>
        <v>#NAME?</v>
      </c>
      <c r="I930" s="104" t="e">
        <f t="shared" ca="1" si="105"/>
        <v>#NAME?</v>
      </c>
      <c r="J930" s="119" t="e">
        <f ca="1">IF(C930="","",MROUND([0]!CSVVLookUP(ROW(行数!A922),配列!$C$4,集計記録,7,1),"0:01"))</f>
        <v>#NAME?</v>
      </c>
      <c r="K930" s="92" t="e">
        <f ca="1">IF(C930="","",[0]!CSVVLookUP(ROW(行数!A922),配列!$C$4,集計記録,5,1))</f>
        <v>#NAME?</v>
      </c>
      <c r="L930" s="104" t="e">
        <f t="shared" ca="1" si="106"/>
        <v>#NAME?</v>
      </c>
      <c r="M930" s="120" t="e">
        <f t="shared" ca="1" si="100"/>
        <v>#NAME?</v>
      </c>
      <c r="N930" s="120" t="e">
        <f ca="1">IF([0]!CSVVLookUP(ROW(行数!A922),配列!$C$4,集計記録,6,1)=0,"",[0]!CSVVLookUP(ROW(行数!A922),配列!$C$4,集計記録,6,1))</f>
        <v>#NAME?</v>
      </c>
      <c r="O930" s="88" t="e">
        <f ca="1">IF(INDIRECT("M"&amp;ROW()-1)&lt;&gt;INDIRECT("M"&amp;ROW()),リスト!$I$5,"")</f>
        <v>#NAME?</v>
      </c>
      <c r="P930" s="88" t="e">
        <f ca="1">IF(INDIRECT("M"&amp;ROW())&lt;&gt;INDIRECT("M"&amp;ROW()+1),リスト!$I$6,"")</f>
        <v>#NAME?</v>
      </c>
    </row>
    <row r="931" spans="1:16" x14ac:dyDescent="0.2">
      <c r="A931" s="169" t="e">
        <f ca="1">IF(C931="","",ROW(行数!A923))</f>
        <v>#NAME?</v>
      </c>
      <c r="B931" s="168" t="e">
        <f t="shared" ca="1" si="101"/>
        <v>#NAME?</v>
      </c>
      <c r="C931" s="90" t="e">
        <f ca="1">[0]!CSVVLookUP(ROW(行数!A923),配列!$C$4,集計記録,3,1)</f>
        <v>#NAME?</v>
      </c>
      <c r="D931" s="90" t="e">
        <f ca="1">[0]!CSVVLookUP(ROW(行数!B923),配列!$C$4,集計記録,4,1)</f>
        <v>#NAME?</v>
      </c>
      <c r="E931" s="118" t="e">
        <f t="shared" ca="1" si="102"/>
        <v>#NAME?</v>
      </c>
      <c r="F931" s="118" t="e">
        <f t="shared" ca="1" si="103"/>
        <v>#NAME?</v>
      </c>
      <c r="G931" s="103" t="e">
        <f t="shared" ca="1" si="104"/>
        <v>#NAME?</v>
      </c>
      <c r="H931" s="104" t="e">
        <f ca="1">IF(C931="","",MROUND([0]!CSVVLookUP(ROW(行数!A923),配列!$C$4,集計記録,8,1),"0:01"))</f>
        <v>#NAME?</v>
      </c>
      <c r="I931" s="104" t="e">
        <f t="shared" ca="1" si="105"/>
        <v>#NAME?</v>
      </c>
      <c r="J931" s="119" t="e">
        <f ca="1">IF(C931="","",MROUND([0]!CSVVLookUP(ROW(行数!A923),配列!$C$4,集計記録,7,1),"0:01"))</f>
        <v>#NAME?</v>
      </c>
      <c r="K931" s="92" t="e">
        <f ca="1">IF(C931="","",[0]!CSVVLookUP(ROW(行数!A923),配列!$C$4,集計記録,5,1))</f>
        <v>#NAME?</v>
      </c>
      <c r="L931" s="104" t="e">
        <f t="shared" ca="1" si="106"/>
        <v>#NAME?</v>
      </c>
      <c r="M931" s="120" t="e">
        <f t="shared" ca="1" si="100"/>
        <v>#NAME?</v>
      </c>
      <c r="N931" s="120" t="e">
        <f ca="1">IF([0]!CSVVLookUP(ROW(行数!A923),配列!$C$4,集計記録,6,1)=0,"",[0]!CSVVLookUP(ROW(行数!A923),配列!$C$4,集計記録,6,1))</f>
        <v>#NAME?</v>
      </c>
      <c r="O931" s="88" t="e">
        <f ca="1">IF(INDIRECT("M"&amp;ROW()-1)&lt;&gt;INDIRECT("M"&amp;ROW()),リスト!$I$5,"")</f>
        <v>#NAME?</v>
      </c>
      <c r="P931" s="88" t="e">
        <f ca="1">IF(INDIRECT("M"&amp;ROW())&lt;&gt;INDIRECT("M"&amp;ROW()+1),リスト!$I$6,"")</f>
        <v>#NAME?</v>
      </c>
    </row>
    <row r="932" spans="1:16" x14ac:dyDescent="0.2">
      <c r="A932" s="169" t="e">
        <f ca="1">IF(C932="","",ROW(行数!A924))</f>
        <v>#NAME?</v>
      </c>
      <c r="B932" s="168" t="e">
        <f t="shared" ca="1" si="101"/>
        <v>#NAME?</v>
      </c>
      <c r="C932" s="90" t="e">
        <f ca="1">[0]!CSVVLookUP(ROW(行数!A924),配列!$C$4,集計記録,3,1)</f>
        <v>#NAME?</v>
      </c>
      <c r="D932" s="90" t="e">
        <f ca="1">[0]!CSVVLookUP(ROW(行数!B924),配列!$C$4,集計記録,4,1)</f>
        <v>#NAME?</v>
      </c>
      <c r="E932" s="118" t="e">
        <f t="shared" ca="1" si="102"/>
        <v>#NAME?</v>
      </c>
      <c r="F932" s="118" t="e">
        <f t="shared" ca="1" si="103"/>
        <v>#NAME?</v>
      </c>
      <c r="G932" s="103" t="e">
        <f t="shared" ca="1" si="104"/>
        <v>#NAME?</v>
      </c>
      <c r="H932" s="104" t="e">
        <f ca="1">IF(C932="","",MROUND([0]!CSVVLookUP(ROW(行数!A924),配列!$C$4,集計記録,8,1),"0:01"))</f>
        <v>#NAME?</v>
      </c>
      <c r="I932" s="104" t="e">
        <f t="shared" ca="1" si="105"/>
        <v>#NAME?</v>
      </c>
      <c r="J932" s="119" t="e">
        <f ca="1">IF(C932="","",MROUND([0]!CSVVLookUP(ROW(行数!A924),配列!$C$4,集計記録,7,1),"0:01"))</f>
        <v>#NAME?</v>
      </c>
      <c r="K932" s="92" t="e">
        <f ca="1">IF(C932="","",[0]!CSVVLookUP(ROW(行数!A924),配列!$C$4,集計記録,5,1))</f>
        <v>#NAME?</v>
      </c>
      <c r="L932" s="104" t="e">
        <f t="shared" ca="1" si="106"/>
        <v>#NAME?</v>
      </c>
      <c r="M932" s="120" t="e">
        <f t="shared" ca="1" si="100"/>
        <v>#NAME?</v>
      </c>
      <c r="N932" s="120" t="e">
        <f ca="1">IF([0]!CSVVLookUP(ROW(行数!A924),配列!$C$4,集計記録,6,1)=0,"",[0]!CSVVLookUP(ROW(行数!A924),配列!$C$4,集計記録,6,1))</f>
        <v>#NAME?</v>
      </c>
      <c r="O932" s="88" t="e">
        <f ca="1">IF(INDIRECT("M"&amp;ROW()-1)&lt;&gt;INDIRECT("M"&amp;ROW()),リスト!$I$5,"")</f>
        <v>#NAME?</v>
      </c>
      <c r="P932" s="88" t="e">
        <f ca="1">IF(INDIRECT("M"&amp;ROW())&lt;&gt;INDIRECT("M"&amp;ROW()+1),リスト!$I$6,"")</f>
        <v>#NAME?</v>
      </c>
    </row>
    <row r="933" spans="1:16" x14ac:dyDescent="0.2">
      <c r="A933" s="169" t="e">
        <f ca="1">IF(C933="","",ROW(行数!A925))</f>
        <v>#NAME?</v>
      </c>
      <c r="B933" s="168" t="e">
        <f t="shared" ca="1" si="101"/>
        <v>#NAME?</v>
      </c>
      <c r="C933" s="90" t="e">
        <f ca="1">[0]!CSVVLookUP(ROW(行数!A925),配列!$C$4,集計記録,3,1)</f>
        <v>#NAME?</v>
      </c>
      <c r="D933" s="90" t="e">
        <f ca="1">[0]!CSVVLookUP(ROW(行数!B925),配列!$C$4,集計記録,4,1)</f>
        <v>#NAME?</v>
      </c>
      <c r="E933" s="118" t="e">
        <f t="shared" ca="1" si="102"/>
        <v>#NAME?</v>
      </c>
      <c r="F933" s="118" t="e">
        <f t="shared" ca="1" si="103"/>
        <v>#NAME?</v>
      </c>
      <c r="G933" s="103" t="e">
        <f t="shared" ca="1" si="104"/>
        <v>#NAME?</v>
      </c>
      <c r="H933" s="104" t="e">
        <f ca="1">IF(C933="","",MROUND([0]!CSVVLookUP(ROW(行数!A925),配列!$C$4,集計記録,8,1),"0:01"))</f>
        <v>#NAME?</v>
      </c>
      <c r="I933" s="104" t="e">
        <f t="shared" ca="1" si="105"/>
        <v>#NAME?</v>
      </c>
      <c r="J933" s="119" t="e">
        <f ca="1">IF(C933="","",MROUND([0]!CSVVLookUP(ROW(行数!A925),配列!$C$4,集計記録,7,1),"0:01"))</f>
        <v>#NAME?</v>
      </c>
      <c r="K933" s="92" t="e">
        <f ca="1">IF(C933="","",[0]!CSVVLookUP(ROW(行数!A925),配列!$C$4,集計記録,5,1))</f>
        <v>#NAME?</v>
      </c>
      <c r="L933" s="104" t="e">
        <f t="shared" ca="1" si="106"/>
        <v>#NAME?</v>
      </c>
      <c r="M933" s="120" t="e">
        <f t="shared" ca="1" si="100"/>
        <v>#NAME?</v>
      </c>
      <c r="N933" s="120" t="e">
        <f ca="1">IF([0]!CSVVLookUP(ROW(行数!A925),配列!$C$4,集計記録,6,1)=0,"",[0]!CSVVLookUP(ROW(行数!A925),配列!$C$4,集計記録,6,1))</f>
        <v>#NAME?</v>
      </c>
      <c r="O933" s="88" t="e">
        <f ca="1">IF(INDIRECT("M"&amp;ROW()-1)&lt;&gt;INDIRECT("M"&amp;ROW()),リスト!$I$5,"")</f>
        <v>#NAME?</v>
      </c>
      <c r="P933" s="88" t="e">
        <f ca="1">IF(INDIRECT("M"&amp;ROW())&lt;&gt;INDIRECT("M"&amp;ROW()+1),リスト!$I$6,"")</f>
        <v>#NAME?</v>
      </c>
    </row>
    <row r="934" spans="1:16" x14ac:dyDescent="0.2">
      <c r="A934" s="169" t="e">
        <f ca="1">IF(C934="","",ROW(行数!A926))</f>
        <v>#NAME?</v>
      </c>
      <c r="B934" s="168" t="e">
        <f t="shared" ca="1" si="101"/>
        <v>#NAME?</v>
      </c>
      <c r="C934" s="90" t="e">
        <f ca="1">[0]!CSVVLookUP(ROW(行数!A926),配列!$C$4,集計記録,3,1)</f>
        <v>#NAME?</v>
      </c>
      <c r="D934" s="90" t="e">
        <f ca="1">[0]!CSVVLookUP(ROW(行数!B926),配列!$C$4,集計記録,4,1)</f>
        <v>#NAME?</v>
      </c>
      <c r="E934" s="118" t="e">
        <f t="shared" ca="1" si="102"/>
        <v>#NAME?</v>
      </c>
      <c r="F934" s="118" t="e">
        <f t="shared" ca="1" si="103"/>
        <v>#NAME?</v>
      </c>
      <c r="G934" s="103" t="e">
        <f t="shared" ca="1" si="104"/>
        <v>#NAME?</v>
      </c>
      <c r="H934" s="104" t="e">
        <f ca="1">IF(C934="","",MROUND([0]!CSVVLookUP(ROW(行数!A926),配列!$C$4,集計記録,8,1),"0:01"))</f>
        <v>#NAME?</v>
      </c>
      <c r="I934" s="104" t="e">
        <f t="shared" ca="1" si="105"/>
        <v>#NAME?</v>
      </c>
      <c r="J934" s="119" t="e">
        <f ca="1">IF(C934="","",MROUND([0]!CSVVLookUP(ROW(行数!A926),配列!$C$4,集計記録,7,1),"0:01"))</f>
        <v>#NAME?</v>
      </c>
      <c r="K934" s="92" t="e">
        <f ca="1">IF(C934="","",[0]!CSVVLookUP(ROW(行数!A926),配列!$C$4,集計記録,5,1))</f>
        <v>#NAME?</v>
      </c>
      <c r="L934" s="104" t="e">
        <f t="shared" ca="1" si="106"/>
        <v>#NAME?</v>
      </c>
      <c r="M934" s="120" t="e">
        <f t="shared" ca="1" si="100"/>
        <v>#NAME?</v>
      </c>
      <c r="N934" s="120" t="e">
        <f ca="1">IF([0]!CSVVLookUP(ROW(行数!A926),配列!$C$4,集計記録,6,1)=0,"",[0]!CSVVLookUP(ROW(行数!A926),配列!$C$4,集計記録,6,1))</f>
        <v>#NAME?</v>
      </c>
      <c r="O934" s="88" t="e">
        <f ca="1">IF(INDIRECT("M"&amp;ROW()-1)&lt;&gt;INDIRECT("M"&amp;ROW()),リスト!$I$5,"")</f>
        <v>#NAME?</v>
      </c>
      <c r="P934" s="88" t="e">
        <f ca="1">IF(INDIRECT("M"&amp;ROW())&lt;&gt;INDIRECT("M"&amp;ROW()+1),リスト!$I$6,"")</f>
        <v>#NAME?</v>
      </c>
    </row>
    <row r="935" spans="1:16" x14ac:dyDescent="0.2">
      <c r="A935" s="169" t="e">
        <f ca="1">IF(C935="","",ROW(行数!A927))</f>
        <v>#NAME?</v>
      </c>
      <c r="B935" s="168" t="e">
        <f t="shared" ca="1" si="101"/>
        <v>#NAME?</v>
      </c>
      <c r="C935" s="90" t="e">
        <f ca="1">[0]!CSVVLookUP(ROW(行数!A927),配列!$C$4,集計記録,3,1)</f>
        <v>#NAME?</v>
      </c>
      <c r="D935" s="90" t="e">
        <f ca="1">[0]!CSVVLookUP(ROW(行数!B927),配列!$C$4,集計記録,4,1)</f>
        <v>#NAME?</v>
      </c>
      <c r="E935" s="118" t="e">
        <f t="shared" ca="1" si="102"/>
        <v>#NAME?</v>
      </c>
      <c r="F935" s="118" t="e">
        <f t="shared" ca="1" si="103"/>
        <v>#NAME?</v>
      </c>
      <c r="G935" s="103" t="e">
        <f t="shared" ca="1" si="104"/>
        <v>#NAME?</v>
      </c>
      <c r="H935" s="104" t="e">
        <f ca="1">IF(C935="","",MROUND([0]!CSVVLookUP(ROW(行数!A927),配列!$C$4,集計記録,8,1),"0:01"))</f>
        <v>#NAME?</v>
      </c>
      <c r="I935" s="104" t="e">
        <f t="shared" ca="1" si="105"/>
        <v>#NAME?</v>
      </c>
      <c r="J935" s="119" t="e">
        <f ca="1">IF(C935="","",MROUND([0]!CSVVLookUP(ROW(行数!A927),配列!$C$4,集計記録,7,1),"0:01"))</f>
        <v>#NAME?</v>
      </c>
      <c r="K935" s="92" t="e">
        <f ca="1">IF(C935="","",[0]!CSVVLookUP(ROW(行数!A927),配列!$C$4,集計記録,5,1))</f>
        <v>#NAME?</v>
      </c>
      <c r="L935" s="104" t="e">
        <f t="shared" ca="1" si="106"/>
        <v>#NAME?</v>
      </c>
      <c r="M935" s="120" t="e">
        <f t="shared" ca="1" si="100"/>
        <v>#NAME?</v>
      </c>
      <c r="N935" s="120" t="e">
        <f ca="1">IF([0]!CSVVLookUP(ROW(行数!A927),配列!$C$4,集計記録,6,1)=0,"",[0]!CSVVLookUP(ROW(行数!A927),配列!$C$4,集計記録,6,1))</f>
        <v>#NAME?</v>
      </c>
      <c r="O935" s="88" t="e">
        <f ca="1">IF(INDIRECT("M"&amp;ROW()-1)&lt;&gt;INDIRECT("M"&amp;ROW()),リスト!$I$5,"")</f>
        <v>#NAME?</v>
      </c>
      <c r="P935" s="88" t="e">
        <f ca="1">IF(INDIRECT("M"&amp;ROW())&lt;&gt;INDIRECT("M"&amp;ROW()+1),リスト!$I$6,"")</f>
        <v>#NAME?</v>
      </c>
    </row>
    <row r="936" spans="1:16" x14ac:dyDescent="0.2">
      <c r="A936" s="169" t="e">
        <f ca="1">IF(C936="","",ROW(行数!A928))</f>
        <v>#NAME?</v>
      </c>
      <c r="B936" s="168" t="e">
        <f t="shared" ca="1" si="101"/>
        <v>#NAME?</v>
      </c>
      <c r="C936" s="90" t="e">
        <f ca="1">[0]!CSVVLookUP(ROW(行数!A928),配列!$C$4,集計記録,3,1)</f>
        <v>#NAME?</v>
      </c>
      <c r="D936" s="90" t="e">
        <f ca="1">[0]!CSVVLookUP(ROW(行数!B928),配列!$C$4,集計記録,4,1)</f>
        <v>#NAME?</v>
      </c>
      <c r="E936" s="118" t="e">
        <f t="shared" ca="1" si="102"/>
        <v>#NAME?</v>
      </c>
      <c r="F936" s="118" t="e">
        <f t="shared" ca="1" si="103"/>
        <v>#NAME?</v>
      </c>
      <c r="G936" s="103" t="e">
        <f t="shared" ca="1" si="104"/>
        <v>#NAME?</v>
      </c>
      <c r="H936" s="104" t="e">
        <f ca="1">IF(C936="","",MROUND([0]!CSVVLookUP(ROW(行数!A928),配列!$C$4,集計記録,8,1),"0:01"))</f>
        <v>#NAME?</v>
      </c>
      <c r="I936" s="104" t="e">
        <f t="shared" ca="1" si="105"/>
        <v>#NAME?</v>
      </c>
      <c r="J936" s="119" t="e">
        <f ca="1">IF(C936="","",MROUND([0]!CSVVLookUP(ROW(行数!A928),配列!$C$4,集計記録,7,1),"0:01"))</f>
        <v>#NAME?</v>
      </c>
      <c r="K936" s="92" t="e">
        <f ca="1">IF(C936="","",[0]!CSVVLookUP(ROW(行数!A928),配列!$C$4,集計記録,5,1))</f>
        <v>#NAME?</v>
      </c>
      <c r="L936" s="104" t="e">
        <f t="shared" ca="1" si="106"/>
        <v>#NAME?</v>
      </c>
      <c r="M936" s="120" t="e">
        <f t="shared" ca="1" si="100"/>
        <v>#NAME?</v>
      </c>
      <c r="N936" s="120" t="e">
        <f ca="1">IF([0]!CSVVLookUP(ROW(行数!A928),配列!$C$4,集計記録,6,1)=0,"",[0]!CSVVLookUP(ROW(行数!A928),配列!$C$4,集計記録,6,1))</f>
        <v>#NAME?</v>
      </c>
      <c r="O936" s="88" t="e">
        <f ca="1">IF(INDIRECT("M"&amp;ROW()-1)&lt;&gt;INDIRECT("M"&amp;ROW()),リスト!$I$5,"")</f>
        <v>#NAME?</v>
      </c>
      <c r="P936" s="88" t="e">
        <f ca="1">IF(INDIRECT("M"&amp;ROW())&lt;&gt;INDIRECT("M"&amp;ROW()+1),リスト!$I$6,"")</f>
        <v>#NAME?</v>
      </c>
    </row>
    <row r="937" spans="1:16" x14ac:dyDescent="0.2">
      <c r="A937" s="169" t="e">
        <f ca="1">IF(C937="","",ROW(行数!A929))</f>
        <v>#NAME?</v>
      </c>
      <c r="B937" s="168" t="e">
        <f t="shared" ca="1" si="101"/>
        <v>#NAME?</v>
      </c>
      <c r="C937" s="90" t="e">
        <f ca="1">[0]!CSVVLookUP(ROW(行数!A929),配列!$C$4,集計記録,3,1)</f>
        <v>#NAME?</v>
      </c>
      <c r="D937" s="90" t="e">
        <f ca="1">[0]!CSVVLookUP(ROW(行数!B929),配列!$C$4,集計記録,4,1)</f>
        <v>#NAME?</v>
      </c>
      <c r="E937" s="118" t="e">
        <f t="shared" ca="1" si="102"/>
        <v>#NAME?</v>
      </c>
      <c r="F937" s="118" t="e">
        <f t="shared" ca="1" si="103"/>
        <v>#NAME?</v>
      </c>
      <c r="G937" s="103" t="e">
        <f t="shared" ca="1" si="104"/>
        <v>#NAME?</v>
      </c>
      <c r="H937" s="104" t="e">
        <f ca="1">IF(C937="","",MROUND([0]!CSVVLookUP(ROW(行数!A929),配列!$C$4,集計記録,8,1),"0:01"))</f>
        <v>#NAME?</v>
      </c>
      <c r="I937" s="104" t="e">
        <f t="shared" ca="1" si="105"/>
        <v>#NAME?</v>
      </c>
      <c r="J937" s="119" t="e">
        <f ca="1">IF(C937="","",MROUND([0]!CSVVLookUP(ROW(行数!A929),配列!$C$4,集計記録,7,1),"0:01"))</f>
        <v>#NAME?</v>
      </c>
      <c r="K937" s="92" t="e">
        <f ca="1">IF(C937="","",[0]!CSVVLookUP(ROW(行数!A929),配列!$C$4,集計記録,5,1))</f>
        <v>#NAME?</v>
      </c>
      <c r="L937" s="104" t="e">
        <f t="shared" ca="1" si="106"/>
        <v>#NAME?</v>
      </c>
      <c r="M937" s="120" t="e">
        <f t="shared" ca="1" si="100"/>
        <v>#NAME?</v>
      </c>
      <c r="N937" s="120" t="e">
        <f ca="1">IF([0]!CSVVLookUP(ROW(行数!A929),配列!$C$4,集計記録,6,1)=0,"",[0]!CSVVLookUP(ROW(行数!A929),配列!$C$4,集計記録,6,1))</f>
        <v>#NAME?</v>
      </c>
      <c r="O937" s="88" t="e">
        <f ca="1">IF(INDIRECT("M"&amp;ROW()-1)&lt;&gt;INDIRECT("M"&amp;ROW()),リスト!$I$5,"")</f>
        <v>#NAME?</v>
      </c>
      <c r="P937" s="88" t="e">
        <f ca="1">IF(INDIRECT("M"&amp;ROW())&lt;&gt;INDIRECT("M"&amp;ROW()+1),リスト!$I$6,"")</f>
        <v>#NAME?</v>
      </c>
    </row>
    <row r="938" spans="1:16" x14ac:dyDescent="0.2">
      <c r="A938" s="169" t="e">
        <f ca="1">IF(C938="","",ROW(行数!A930))</f>
        <v>#NAME?</v>
      </c>
      <c r="B938" s="168" t="e">
        <f t="shared" ca="1" si="101"/>
        <v>#NAME?</v>
      </c>
      <c r="C938" s="90" t="e">
        <f ca="1">[0]!CSVVLookUP(ROW(行数!A930),配列!$C$4,集計記録,3,1)</f>
        <v>#NAME?</v>
      </c>
      <c r="D938" s="90" t="e">
        <f ca="1">[0]!CSVVLookUP(ROW(行数!B930),配列!$C$4,集計記録,4,1)</f>
        <v>#NAME?</v>
      </c>
      <c r="E938" s="118" t="e">
        <f t="shared" ca="1" si="102"/>
        <v>#NAME?</v>
      </c>
      <c r="F938" s="118" t="e">
        <f t="shared" ca="1" si="103"/>
        <v>#NAME?</v>
      </c>
      <c r="G938" s="103" t="e">
        <f t="shared" ca="1" si="104"/>
        <v>#NAME?</v>
      </c>
      <c r="H938" s="104" t="e">
        <f ca="1">IF(C938="","",MROUND([0]!CSVVLookUP(ROW(行数!A930),配列!$C$4,集計記録,8,1),"0:01"))</f>
        <v>#NAME?</v>
      </c>
      <c r="I938" s="104" t="e">
        <f t="shared" ca="1" si="105"/>
        <v>#NAME?</v>
      </c>
      <c r="J938" s="119" t="e">
        <f ca="1">IF(C938="","",MROUND([0]!CSVVLookUP(ROW(行数!A930),配列!$C$4,集計記録,7,1),"0:01"))</f>
        <v>#NAME?</v>
      </c>
      <c r="K938" s="92" t="e">
        <f ca="1">IF(C938="","",[0]!CSVVLookUP(ROW(行数!A930),配列!$C$4,集計記録,5,1))</f>
        <v>#NAME?</v>
      </c>
      <c r="L938" s="104" t="e">
        <f t="shared" ca="1" si="106"/>
        <v>#NAME?</v>
      </c>
      <c r="M938" s="120" t="e">
        <f t="shared" ca="1" si="100"/>
        <v>#NAME?</v>
      </c>
      <c r="N938" s="120" t="e">
        <f ca="1">IF([0]!CSVVLookUP(ROW(行数!A930),配列!$C$4,集計記録,6,1)=0,"",[0]!CSVVLookUP(ROW(行数!A930),配列!$C$4,集計記録,6,1))</f>
        <v>#NAME?</v>
      </c>
      <c r="O938" s="88" t="e">
        <f ca="1">IF(INDIRECT("M"&amp;ROW()-1)&lt;&gt;INDIRECT("M"&amp;ROW()),リスト!$I$5,"")</f>
        <v>#NAME?</v>
      </c>
      <c r="P938" s="88" t="e">
        <f ca="1">IF(INDIRECT("M"&amp;ROW())&lt;&gt;INDIRECT("M"&amp;ROW()+1),リスト!$I$6,"")</f>
        <v>#NAME?</v>
      </c>
    </row>
    <row r="939" spans="1:16" x14ac:dyDescent="0.2">
      <c r="A939" s="169" t="e">
        <f ca="1">IF(C939="","",ROW(行数!A931))</f>
        <v>#NAME?</v>
      </c>
      <c r="B939" s="168" t="e">
        <f t="shared" ca="1" si="101"/>
        <v>#NAME?</v>
      </c>
      <c r="C939" s="90" t="e">
        <f ca="1">[0]!CSVVLookUP(ROW(行数!A931),配列!$C$4,集計記録,3,1)</f>
        <v>#NAME?</v>
      </c>
      <c r="D939" s="90" t="e">
        <f ca="1">[0]!CSVVLookUP(ROW(行数!B931),配列!$C$4,集計記録,4,1)</f>
        <v>#NAME?</v>
      </c>
      <c r="E939" s="118" t="e">
        <f t="shared" ca="1" si="102"/>
        <v>#NAME?</v>
      </c>
      <c r="F939" s="118" t="e">
        <f t="shared" ca="1" si="103"/>
        <v>#NAME?</v>
      </c>
      <c r="G939" s="103" t="e">
        <f t="shared" ca="1" si="104"/>
        <v>#NAME?</v>
      </c>
      <c r="H939" s="104" t="e">
        <f ca="1">IF(C939="","",MROUND([0]!CSVVLookUP(ROW(行数!A931),配列!$C$4,集計記録,8,1),"0:01"))</f>
        <v>#NAME?</v>
      </c>
      <c r="I939" s="104" t="e">
        <f t="shared" ca="1" si="105"/>
        <v>#NAME?</v>
      </c>
      <c r="J939" s="119" t="e">
        <f ca="1">IF(C939="","",MROUND([0]!CSVVLookUP(ROW(行数!A931),配列!$C$4,集計記録,7,1),"0:01"))</f>
        <v>#NAME?</v>
      </c>
      <c r="K939" s="92" t="e">
        <f ca="1">IF(C939="","",[0]!CSVVLookUP(ROW(行数!A931),配列!$C$4,集計記録,5,1))</f>
        <v>#NAME?</v>
      </c>
      <c r="L939" s="104" t="e">
        <f t="shared" ca="1" si="106"/>
        <v>#NAME?</v>
      </c>
      <c r="M939" s="120" t="e">
        <f t="shared" ca="1" si="100"/>
        <v>#NAME?</v>
      </c>
      <c r="N939" s="120" t="e">
        <f ca="1">IF([0]!CSVVLookUP(ROW(行数!A931),配列!$C$4,集計記録,6,1)=0,"",[0]!CSVVLookUP(ROW(行数!A931),配列!$C$4,集計記録,6,1))</f>
        <v>#NAME?</v>
      </c>
      <c r="O939" s="88" t="e">
        <f ca="1">IF(INDIRECT("M"&amp;ROW()-1)&lt;&gt;INDIRECT("M"&amp;ROW()),リスト!$I$5,"")</f>
        <v>#NAME?</v>
      </c>
      <c r="P939" s="88" t="e">
        <f ca="1">IF(INDIRECT("M"&amp;ROW())&lt;&gt;INDIRECT("M"&amp;ROW()+1),リスト!$I$6,"")</f>
        <v>#NAME?</v>
      </c>
    </row>
    <row r="940" spans="1:16" x14ac:dyDescent="0.2">
      <c r="A940" s="169" t="e">
        <f ca="1">IF(C940="","",ROW(行数!A932))</f>
        <v>#NAME?</v>
      </c>
      <c r="B940" s="168" t="e">
        <f t="shared" ca="1" si="101"/>
        <v>#NAME?</v>
      </c>
      <c r="C940" s="90" t="e">
        <f ca="1">[0]!CSVVLookUP(ROW(行数!A932),配列!$C$4,集計記録,3,1)</f>
        <v>#NAME?</v>
      </c>
      <c r="D940" s="90" t="e">
        <f ca="1">[0]!CSVVLookUP(ROW(行数!B932),配列!$C$4,集計記録,4,1)</f>
        <v>#NAME?</v>
      </c>
      <c r="E940" s="118" t="e">
        <f t="shared" ca="1" si="102"/>
        <v>#NAME?</v>
      </c>
      <c r="F940" s="118" t="e">
        <f t="shared" ca="1" si="103"/>
        <v>#NAME?</v>
      </c>
      <c r="G940" s="103" t="e">
        <f t="shared" ca="1" si="104"/>
        <v>#NAME?</v>
      </c>
      <c r="H940" s="104" t="e">
        <f ca="1">IF(C940="","",MROUND([0]!CSVVLookUP(ROW(行数!A932),配列!$C$4,集計記録,8,1),"0:01"))</f>
        <v>#NAME?</v>
      </c>
      <c r="I940" s="104" t="e">
        <f t="shared" ca="1" si="105"/>
        <v>#NAME?</v>
      </c>
      <c r="J940" s="119" t="e">
        <f ca="1">IF(C940="","",MROUND([0]!CSVVLookUP(ROW(行数!A932),配列!$C$4,集計記録,7,1),"0:01"))</f>
        <v>#NAME?</v>
      </c>
      <c r="K940" s="92" t="e">
        <f ca="1">IF(C940="","",[0]!CSVVLookUP(ROW(行数!A932),配列!$C$4,集計記録,5,1))</f>
        <v>#NAME?</v>
      </c>
      <c r="L940" s="104" t="e">
        <f t="shared" ca="1" si="106"/>
        <v>#NAME?</v>
      </c>
      <c r="M940" s="120" t="e">
        <f t="shared" ca="1" si="100"/>
        <v>#NAME?</v>
      </c>
      <c r="N940" s="120" t="e">
        <f ca="1">IF([0]!CSVVLookUP(ROW(行数!A932),配列!$C$4,集計記録,6,1)=0,"",[0]!CSVVLookUP(ROW(行数!A932),配列!$C$4,集計記録,6,1))</f>
        <v>#NAME?</v>
      </c>
      <c r="O940" s="88" t="e">
        <f ca="1">IF(INDIRECT("M"&amp;ROW()-1)&lt;&gt;INDIRECT("M"&amp;ROW()),リスト!$I$5,"")</f>
        <v>#NAME?</v>
      </c>
      <c r="P940" s="88" t="e">
        <f ca="1">IF(INDIRECT("M"&amp;ROW())&lt;&gt;INDIRECT("M"&amp;ROW()+1),リスト!$I$6,"")</f>
        <v>#NAME?</v>
      </c>
    </row>
    <row r="941" spans="1:16" x14ac:dyDescent="0.2">
      <c r="A941" s="169" t="e">
        <f ca="1">IF(C941="","",ROW(行数!A933))</f>
        <v>#NAME?</v>
      </c>
      <c r="B941" s="168" t="e">
        <f t="shared" ca="1" si="101"/>
        <v>#NAME?</v>
      </c>
      <c r="C941" s="90" t="e">
        <f ca="1">[0]!CSVVLookUP(ROW(行数!A933),配列!$C$4,集計記録,3,1)</f>
        <v>#NAME?</v>
      </c>
      <c r="D941" s="90" t="e">
        <f ca="1">[0]!CSVVLookUP(ROW(行数!B933),配列!$C$4,集計記録,4,1)</f>
        <v>#NAME?</v>
      </c>
      <c r="E941" s="118" t="e">
        <f t="shared" ca="1" si="102"/>
        <v>#NAME?</v>
      </c>
      <c r="F941" s="118" t="e">
        <f t="shared" ca="1" si="103"/>
        <v>#NAME?</v>
      </c>
      <c r="G941" s="103" t="e">
        <f t="shared" ca="1" si="104"/>
        <v>#NAME?</v>
      </c>
      <c r="H941" s="104" t="e">
        <f ca="1">IF(C941="","",MROUND([0]!CSVVLookUP(ROW(行数!A933),配列!$C$4,集計記録,8,1),"0:01"))</f>
        <v>#NAME?</v>
      </c>
      <c r="I941" s="104" t="e">
        <f t="shared" ca="1" si="105"/>
        <v>#NAME?</v>
      </c>
      <c r="J941" s="119" t="e">
        <f ca="1">IF(C941="","",MROUND([0]!CSVVLookUP(ROW(行数!A933),配列!$C$4,集計記録,7,1),"0:01"))</f>
        <v>#NAME?</v>
      </c>
      <c r="K941" s="92" t="e">
        <f ca="1">IF(C941="","",[0]!CSVVLookUP(ROW(行数!A933),配列!$C$4,集計記録,5,1))</f>
        <v>#NAME?</v>
      </c>
      <c r="L941" s="104" t="e">
        <f t="shared" ca="1" si="106"/>
        <v>#NAME?</v>
      </c>
      <c r="M941" s="120" t="e">
        <f t="shared" ca="1" si="100"/>
        <v>#NAME?</v>
      </c>
      <c r="N941" s="120" t="e">
        <f ca="1">IF([0]!CSVVLookUP(ROW(行数!A933),配列!$C$4,集計記録,6,1)=0,"",[0]!CSVVLookUP(ROW(行数!A933),配列!$C$4,集計記録,6,1))</f>
        <v>#NAME?</v>
      </c>
      <c r="O941" s="88" t="e">
        <f ca="1">IF(INDIRECT("M"&amp;ROW()-1)&lt;&gt;INDIRECT("M"&amp;ROW()),リスト!$I$5,"")</f>
        <v>#NAME?</v>
      </c>
      <c r="P941" s="88" t="e">
        <f ca="1">IF(INDIRECT("M"&amp;ROW())&lt;&gt;INDIRECT("M"&amp;ROW()+1),リスト!$I$6,"")</f>
        <v>#NAME?</v>
      </c>
    </row>
    <row r="942" spans="1:16" x14ac:dyDescent="0.2">
      <c r="A942" s="169" t="e">
        <f ca="1">IF(C942="","",ROW(行数!A934))</f>
        <v>#NAME?</v>
      </c>
      <c r="B942" s="168" t="e">
        <f t="shared" ca="1" si="101"/>
        <v>#NAME?</v>
      </c>
      <c r="C942" s="90" t="e">
        <f ca="1">[0]!CSVVLookUP(ROW(行数!A934),配列!$C$4,集計記録,3,1)</f>
        <v>#NAME?</v>
      </c>
      <c r="D942" s="90" t="e">
        <f ca="1">[0]!CSVVLookUP(ROW(行数!B934),配列!$C$4,集計記録,4,1)</f>
        <v>#NAME?</v>
      </c>
      <c r="E942" s="118" t="e">
        <f t="shared" ca="1" si="102"/>
        <v>#NAME?</v>
      </c>
      <c r="F942" s="118" t="e">
        <f t="shared" ca="1" si="103"/>
        <v>#NAME?</v>
      </c>
      <c r="G942" s="103" t="e">
        <f t="shared" ca="1" si="104"/>
        <v>#NAME?</v>
      </c>
      <c r="H942" s="104" t="e">
        <f ca="1">IF(C942="","",MROUND([0]!CSVVLookUP(ROW(行数!A934),配列!$C$4,集計記録,8,1),"0:01"))</f>
        <v>#NAME?</v>
      </c>
      <c r="I942" s="104" t="e">
        <f t="shared" ca="1" si="105"/>
        <v>#NAME?</v>
      </c>
      <c r="J942" s="119" t="e">
        <f ca="1">IF(C942="","",MROUND([0]!CSVVLookUP(ROW(行数!A934),配列!$C$4,集計記録,7,1),"0:01"))</f>
        <v>#NAME?</v>
      </c>
      <c r="K942" s="92" t="e">
        <f ca="1">IF(C942="","",[0]!CSVVLookUP(ROW(行数!A934),配列!$C$4,集計記録,5,1))</f>
        <v>#NAME?</v>
      </c>
      <c r="L942" s="104" t="e">
        <f t="shared" ca="1" si="106"/>
        <v>#NAME?</v>
      </c>
      <c r="M942" s="120" t="e">
        <f t="shared" ca="1" si="100"/>
        <v>#NAME?</v>
      </c>
      <c r="N942" s="120" t="e">
        <f ca="1">IF([0]!CSVVLookUP(ROW(行数!A934),配列!$C$4,集計記録,6,1)=0,"",[0]!CSVVLookUP(ROW(行数!A934),配列!$C$4,集計記録,6,1))</f>
        <v>#NAME?</v>
      </c>
      <c r="O942" s="88" t="e">
        <f ca="1">IF(INDIRECT("M"&amp;ROW()-1)&lt;&gt;INDIRECT("M"&amp;ROW()),リスト!$I$5,"")</f>
        <v>#NAME?</v>
      </c>
      <c r="P942" s="88" t="e">
        <f ca="1">IF(INDIRECT("M"&amp;ROW())&lt;&gt;INDIRECT("M"&amp;ROW()+1),リスト!$I$6,"")</f>
        <v>#NAME?</v>
      </c>
    </row>
    <row r="943" spans="1:16" x14ac:dyDescent="0.2">
      <c r="A943" s="169" t="e">
        <f ca="1">IF(C943="","",ROW(行数!A935))</f>
        <v>#NAME?</v>
      </c>
      <c r="B943" s="168" t="e">
        <f t="shared" ca="1" si="101"/>
        <v>#NAME?</v>
      </c>
      <c r="C943" s="90" t="e">
        <f ca="1">[0]!CSVVLookUP(ROW(行数!A935),配列!$C$4,集計記録,3,1)</f>
        <v>#NAME?</v>
      </c>
      <c r="D943" s="90" t="e">
        <f ca="1">[0]!CSVVLookUP(ROW(行数!B935),配列!$C$4,集計記録,4,1)</f>
        <v>#NAME?</v>
      </c>
      <c r="E943" s="118" t="e">
        <f t="shared" ca="1" si="102"/>
        <v>#NAME?</v>
      </c>
      <c r="F943" s="118" t="e">
        <f t="shared" ca="1" si="103"/>
        <v>#NAME?</v>
      </c>
      <c r="G943" s="103" t="e">
        <f t="shared" ca="1" si="104"/>
        <v>#NAME?</v>
      </c>
      <c r="H943" s="104" t="e">
        <f ca="1">IF(C943="","",MROUND([0]!CSVVLookUP(ROW(行数!A935),配列!$C$4,集計記録,8,1),"0:01"))</f>
        <v>#NAME?</v>
      </c>
      <c r="I943" s="104" t="e">
        <f t="shared" ca="1" si="105"/>
        <v>#NAME?</v>
      </c>
      <c r="J943" s="119" t="e">
        <f ca="1">IF(C943="","",MROUND([0]!CSVVLookUP(ROW(行数!A935),配列!$C$4,集計記録,7,1),"0:01"))</f>
        <v>#NAME?</v>
      </c>
      <c r="K943" s="92" t="e">
        <f ca="1">IF(C943="","",[0]!CSVVLookUP(ROW(行数!A935),配列!$C$4,集計記録,5,1))</f>
        <v>#NAME?</v>
      </c>
      <c r="L943" s="104" t="e">
        <f t="shared" ca="1" si="106"/>
        <v>#NAME?</v>
      </c>
      <c r="M943" s="120" t="e">
        <f t="shared" ca="1" si="100"/>
        <v>#NAME?</v>
      </c>
      <c r="N943" s="120" t="e">
        <f ca="1">IF([0]!CSVVLookUP(ROW(行数!A935),配列!$C$4,集計記録,6,1)=0,"",[0]!CSVVLookUP(ROW(行数!A935),配列!$C$4,集計記録,6,1))</f>
        <v>#NAME?</v>
      </c>
      <c r="O943" s="88" t="e">
        <f ca="1">IF(INDIRECT("M"&amp;ROW()-1)&lt;&gt;INDIRECT("M"&amp;ROW()),リスト!$I$5,"")</f>
        <v>#NAME?</v>
      </c>
      <c r="P943" s="88" t="e">
        <f ca="1">IF(INDIRECT("M"&amp;ROW())&lt;&gt;INDIRECT("M"&amp;ROW()+1),リスト!$I$6,"")</f>
        <v>#NAME?</v>
      </c>
    </row>
    <row r="944" spans="1:16" x14ac:dyDescent="0.2">
      <c r="A944" s="169" t="e">
        <f ca="1">IF(C944="","",ROW(行数!A936))</f>
        <v>#NAME?</v>
      </c>
      <c r="B944" s="168" t="e">
        <f t="shared" ca="1" si="101"/>
        <v>#NAME?</v>
      </c>
      <c r="C944" s="90" t="e">
        <f ca="1">[0]!CSVVLookUP(ROW(行数!A936),配列!$C$4,集計記録,3,1)</f>
        <v>#NAME?</v>
      </c>
      <c r="D944" s="90" t="e">
        <f ca="1">[0]!CSVVLookUP(ROW(行数!B936),配列!$C$4,集計記録,4,1)</f>
        <v>#NAME?</v>
      </c>
      <c r="E944" s="118" t="e">
        <f t="shared" ca="1" si="102"/>
        <v>#NAME?</v>
      </c>
      <c r="F944" s="118" t="e">
        <f t="shared" ca="1" si="103"/>
        <v>#NAME?</v>
      </c>
      <c r="G944" s="103" t="e">
        <f t="shared" ca="1" si="104"/>
        <v>#NAME?</v>
      </c>
      <c r="H944" s="104" t="e">
        <f ca="1">IF(C944="","",MROUND([0]!CSVVLookUP(ROW(行数!A936),配列!$C$4,集計記録,8,1),"0:01"))</f>
        <v>#NAME?</v>
      </c>
      <c r="I944" s="104" t="e">
        <f t="shared" ca="1" si="105"/>
        <v>#NAME?</v>
      </c>
      <c r="J944" s="119" t="e">
        <f ca="1">IF(C944="","",MROUND([0]!CSVVLookUP(ROW(行数!A936),配列!$C$4,集計記録,7,1),"0:01"))</f>
        <v>#NAME?</v>
      </c>
      <c r="K944" s="92" t="e">
        <f ca="1">IF(C944="","",[0]!CSVVLookUP(ROW(行数!A936),配列!$C$4,集計記録,5,1))</f>
        <v>#NAME?</v>
      </c>
      <c r="L944" s="104" t="e">
        <f t="shared" ca="1" si="106"/>
        <v>#NAME?</v>
      </c>
      <c r="M944" s="120" t="e">
        <f t="shared" ca="1" si="100"/>
        <v>#NAME?</v>
      </c>
      <c r="N944" s="120" t="e">
        <f ca="1">IF([0]!CSVVLookUP(ROW(行数!A936),配列!$C$4,集計記録,6,1)=0,"",[0]!CSVVLookUP(ROW(行数!A936),配列!$C$4,集計記録,6,1))</f>
        <v>#NAME?</v>
      </c>
      <c r="O944" s="88" t="e">
        <f ca="1">IF(INDIRECT("M"&amp;ROW()-1)&lt;&gt;INDIRECT("M"&amp;ROW()),リスト!$I$5,"")</f>
        <v>#NAME?</v>
      </c>
      <c r="P944" s="88" t="e">
        <f ca="1">IF(INDIRECT("M"&amp;ROW())&lt;&gt;INDIRECT("M"&amp;ROW()+1),リスト!$I$6,"")</f>
        <v>#NAME?</v>
      </c>
    </row>
    <row r="945" spans="1:16" x14ac:dyDescent="0.2">
      <c r="A945" s="169" t="e">
        <f ca="1">IF(C945="","",ROW(行数!A937))</f>
        <v>#NAME?</v>
      </c>
      <c r="B945" s="168" t="e">
        <f t="shared" ca="1" si="101"/>
        <v>#NAME?</v>
      </c>
      <c r="C945" s="90" t="e">
        <f ca="1">[0]!CSVVLookUP(ROW(行数!A937),配列!$C$4,集計記録,3,1)</f>
        <v>#NAME?</v>
      </c>
      <c r="D945" s="90" t="e">
        <f ca="1">[0]!CSVVLookUP(ROW(行数!B937),配列!$C$4,集計記録,4,1)</f>
        <v>#NAME?</v>
      </c>
      <c r="E945" s="118" t="e">
        <f t="shared" ca="1" si="102"/>
        <v>#NAME?</v>
      </c>
      <c r="F945" s="118" t="e">
        <f t="shared" ca="1" si="103"/>
        <v>#NAME?</v>
      </c>
      <c r="G945" s="103" t="e">
        <f t="shared" ca="1" si="104"/>
        <v>#NAME?</v>
      </c>
      <c r="H945" s="104" t="e">
        <f ca="1">IF(C945="","",MROUND([0]!CSVVLookUP(ROW(行数!A937),配列!$C$4,集計記録,8,1),"0:01"))</f>
        <v>#NAME?</v>
      </c>
      <c r="I945" s="104" t="e">
        <f t="shared" ca="1" si="105"/>
        <v>#NAME?</v>
      </c>
      <c r="J945" s="119" t="e">
        <f ca="1">IF(C945="","",MROUND([0]!CSVVLookUP(ROW(行数!A937),配列!$C$4,集計記録,7,1),"0:01"))</f>
        <v>#NAME?</v>
      </c>
      <c r="K945" s="92" t="e">
        <f ca="1">IF(C945="","",[0]!CSVVLookUP(ROW(行数!A937),配列!$C$4,集計記録,5,1))</f>
        <v>#NAME?</v>
      </c>
      <c r="L945" s="104" t="e">
        <f t="shared" ca="1" si="106"/>
        <v>#NAME?</v>
      </c>
      <c r="M945" s="120" t="e">
        <f t="shared" ca="1" si="100"/>
        <v>#NAME?</v>
      </c>
      <c r="N945" s="120" t="e">
        <f ca="1">IF([0]!CSVVLookUP(ROW(行数!A937),配列!$C$4,集計記録,6,1)=0,"",[0]!CSVVLookUP(ROW(行数!A937),配列!$C$4,集計記録,6,1))</f>
        <v>#NAME?</v>
      </c>
      <c r="O945" s="88" t="e">
        <f ca="1">IF(INDIRECT("M"&amp;ROW()-1)&lt;&gt;INDIRECT("M"&amp;ROW()),リスト!$I$5,"")</f>
        <v>#NAME?</v>
      </c>
      <c r="P945" s="88" t="e">
        <f ca="1">IF(INDIRECT("M"&amp;ROW())&lt;&gt;INDIRECT("M"&amp;ROW()+1),リスト!$I$6,"")</f>
        <v>#NAME?</v>
      </c>
    </row>
    <row r="946" spans="1:16" x14ac:dyDescent="0.2">
      <c r="A946" s="169" t="e">
        <f ca="1">IF(C946="","",ROW(行数!A938))</f>
        <v>#NAME?</v>
      </c>
      <c r="B946" s="168" t="e">
        <f t="shared" ca="1" si="101"/>
        <v>#NAME?</v>
      </c>
      <c r="C946" s="90" t="e">
        <f ca="1">[0]!CSVVLookUP(ROW(行数!A938),配列!$C$4,集計記録,3,1)</f>
        <v>#NAME?</v>
      </c>
      <c r="D946" s="90" t="e">
        <f ca="1">[0]!CSVVLookUP(ROW(行数!B938),配列!$C$4,集計記録,4,1)</f>
        <v>#NAME?</v>
      </c>
      <c r="E946" s="118" t="e">
        <f t="shared" ca="1" si="102"/>
        <v>#NAME?</v>
      </c>
      <c r="F946" s="118" t="e">
        <f t="shared" ca="1" si="103"/>
        <v>#NAME?</v>
      </c>
      <c r="G946" s="103" t="e">
        <f t="shared" ca="1" si="104"/>
        <v>#NAME?</v>
      </c>
      <c r="H946" s="104" t="e">
        <f ca="1">IF(C946="","",MROUND([0]!CSVVLookUP(ROW(行数!A938),配列!$C$4,集計記録,8,1),"0:01"))</f>
        <v>#NAME?</v>
      </c>
      <c r="I946" s="104" t="e">
        <f t="shared" ca="1" si="105"/>
        <v>#NAME?</v>
      </c>
      <c r="J946" s="119" t="e">
        <f ca="1">IF(C946="","",MROUND([0]!CSVVLookUP(ROW(行数!A938),配列!$C$4,集計記録,7,1),"0:01"))</f>
        <v>#NAME?</v>
      </c>
      <c r="K946" s="92" t="e">
        <f ca="1">IF(C946="","",[0]!CSVVLookUP(ROW(行数!A938),配列!$C$4,集計記録,5,1))</f>
        <v>#NAME?</v>
      </c>
      <c r="L946" s="104" t="e">
        <f t="shared" ca="1" si="106"/>
        <v>#NAME?</v>
      </c>
      <c r="M946" s="120" t="e">
        <f t="shared" ca="1" si="100"/>
        <v>#NAME?</v>
      </c>
      <c r="N946" s="120" t="e">
        <f ca="1">IF([0]!CSVVLookUP(ROW(行数!A938),配列!$C$4,集計記録,6,1)=0,"",[0]!CSVVLookUP(ROW(行数!A938),配列!$C$4,集計記録,6,1))</f>
        <v>#NAME?</v>
      </c>
      <c r="O946" s="88" t="e">
        <f ca="1">IF(INDIRECT("M"&amp;ROW()-1)&lt;&gt;INDIRECT("M"&amp;ROW()),リスト!$I$5,"")</f>
        <v>#NAME?</v>
      </c>
      <c r="P946" s="88" t="e">
        <f ca="1">IF(INDIRECT("M"&amp;ROW())&lt;&gt;INDIRECT("M"&amp;ROW()+1),リスト!$I$6,"")</f>
        <v>#NAME?</v>
      </c>
    </row>
    <row r="947" spans="1:16" x14ac:dyDescent="0.2">
      <c r="A947" s="169" t="e">
        <f ca="1">IF(C947="","",ROW(行数!A939))</f>
        <v>#NAME?</v>
      </c>
      <c r="B947" s="168" t="e">
        <f t="shared" ca="1" si="101"/>
        <v>#NAME?</v>
      </c>
      <c r="C947" s="90" t="e">
        <f ca="1">[0]!CSVVLookUP(ROW(行数!A939),配列!$C$4,集計記録,3,1)</f>
        <v>#NAME?</v>
      </c>
      <c r="D947" s="90" t="e">
        <f ca="1">[0]!CSVVLookUP(ROW(行数!B939),配列!$C$4,集計記録,4,1)</f>
        <v>#NAME?</v>
      </c>
      <c r="E947" s="118" t="e">
        <f t="shared" ca="1" si="102"/>
        <v>#NAME?</v>
      </c>
      <c r="F947" s="118" t="e">
        <f t="shared" ca="1" si="103"/>
        <v>#NAME?</v>
      </c>
      <c r="G947" s="103" t="e">
        <f t="shared" ca="1" si="104"/>
        <v>#NAME?</v>
      </c>
      <c r="H947" s="104" t="e">
        <f ca="1">IF(C947="","",MROUND([0]!CSVVLookUP(ROW(行数!A939),配列!$C$4,集計記録,8,1),"0:01"))</f>
        <v>#NAME?</v>
      </c>
      <c r="I947" s="104" t="e">
        <f t="shared" ca="1" si="105"/>
        <v>#NAME?</v>
      </c>
      <c r="J947" s="119" t="e">
        <f ca="1">IF(C947="","",MROUND([0]!CSVVLookUP(ROW(行数!A939),配列!$C$4,集計記録,7,1),"0:01"))</f>
        <v>#NAME?</v>
      </c>
      <c r="K947" s="92" t="e">
        <f ca="1">IF(C947="","",[0]!CSVVLookUP(ROW(行数!A939),配列!$C$4,集計記録,5,1))</f>
        <v>#NAME?</v>
      </c>
      <c r="L947" s="104" t="e">
        <f t="shared" ca="1" si="106"/>
        <v>#NAME?</v>
      </c>
      <c r="M947" s="120" t="e">
        <f t="shared" ca="1" si="100"/>
        <v>#NAME?</v>
      </c>
      <c r="N947" s="120" t="e">
        <f ca="1">IF([0]!CSVVLookUP(ROW(行数!A939),配列!$C$4,集計記録,6,1)=0,"",[0]!CSVVLookUP(ROW(行数!A939),配列!$C$4,集計記録,6,1))</f>
        <v>#NAME?</v>
      </c>
      <c r="O947" s="88" t="e">
        <f ca="1">IF(INDIRECT("M"&amp;ROW()-1)&lt;&gt;INDIRECT("M"&amp;ROW()),リスト!$I$5,"")</f>
        <v>#NAME?</v>
      </c>
      <c r="P947" s="88" t="e">
        <f ca="1">IF(INDIRECT("M"&amp;ROW())&lt;&gt;INDIRECT("M"&amp;ROW()+1),リスト!$I$6,"")</f>
        <v>#NAME?</v>
      </c>
    </row>
    <row r="948" spans="1:16" x14ac:dyDescent="0.2">
      <c r="A948" s="169" t="e">
        <f ca="1">IF(C948="","",ROW(行数!A940))</f>
        <v>#NAME?</v>
      </c>
      <c r="B948" s="168" t="e">
        <f t="shared" ca="1" si="101"/>
        <v>#NAME?</v>
      </c>
      <c r="C948" s="90" t="e">
        <f ca="1">[0]!CSVVLookUP(ROW(行数!A940),配列!$C$4,集計記録,3,1)</f>
        <v>#NAME?</v>
      </c>
      <c r="D948" s="90" t="e">
        <f ca="1">[0]!CSVVLookUP(ROW(行数!B940),配列!$C$4,集計記録,4,1)</f>
        <v>#NAME?</v>
      </c>
      <c r="E948" s="118" t="e">
        <f t="shared" ca="1" si="102"/>
        <v>#NAME?</v>
      </c>
      <c r="F948" s="118" t="e">
        <f t="shared" ca="1" si="103"/>
        <v>#NAME?</v>
      </c>
      <c r="G948" s="103" t="e">
        <f t="shared" ca="1" si="104"/>
        <v>#NAME?</v>
      </c>
      <c r="H948" s="104" t="e">
        <f ca="1">IF(C948="","",MROUND([0]!CSVVLookUP(ROW(行数!A940),配列!$C$4,集計記録,8,1),"0:01"))</f>
        <v>#NAME?</v>
      </c>
      <c r="I948" s="104" t="e">
        <f t="shared" ca="1" si="105"/>
        <v>#NAME?</v>
      </c>
      <c r="J948" s="119" t="e">
        <f ca="1">IF(C948="","",MROUND([0]!CSVVLookUP(ROW(行数!A940),配列!$C$4,集計記録,7,1),"0:01"))</f>
        <v>#NAME?</v>
      </c>
      <c r="K948" s="92" t="e">
        <f ca="1">IF(C948="","",[0]!CSVVLookUP(ROW(行数!A940),配列!$C$4,集計記録,5,1))</f>
        <v>#NAME?</v>
      </c>
      <c r="L948" s="104" t="e">
        <f t="shared" ca="1" si="106"/>
        <v>#NAME?</v>
      </c>
      <c r="M948" s="120" t="e">
        <f t="shared" ca="1" si="100"/>
        <v>#NAME?</v>
      </c>
      <c r="N948" s="120" t="e">
        <f ca="1">IF([0]!CSVVLookUP(ROW(行数!A940),配列!$C$4,集計記録,6,1)=0,"",[0]!CSVVLookUP(ROW(行数!A940),配列!$C$4,集計記録,6,1))</f>
        <v>#NAME?</v>
      </c>
      <c r="O948" s="88" t="e">
        <f ca="1">IF(INDIRECT("M"&amp;ROW()-1)&lt;&gt;INDIRECT("M"&amp;ROW()),リスト!$I$5,"")</f>
        <v>#NAME?</v>
      </c>
      <c r="P948" s="88" t="e">
        <f ca="1">IF(INDIRECT("M"&amp;ROW())&lt;&gt;INDIRECT("M"&amp;ROW()+1),リスト!$I$6,"")</f>
        <v>#NAME?</v>
      </c>
    </row>
    <row r="949" spans="1:16" x14ac:dyDescent="0.2">
      <c r="A949" s="169" t="e">
        <f ca="1">IF(C949="","",ROW(行数!A941))</f>
        <v>#NAME?</v>
      </c>
      <c r="B949" s="168" t="e">
        <f t="shared" ca="1" si="101"/>
        <v>#NAME?</v>
      </c>
      <c r="C949" s="90" t="e">
        <f ca="1">[0]!CSVVLookUP(ROW(行数!A941),配列!$C$4,集計記録,3,1)</f>
        <v>#NAME?</v>
      </c>
      <c r="D949" s="90" t="e">
        <f ca="1">[0]!CSVVLookUP(ROW(行数!B941),配列!$C$4,集計記録,4,1)</f>
        <v>#NAME?</v>
      </c>
      <c r="E949" s="118" t="e">
        <f t="shared" ca="1" si="102"/>
        <v>#NAME?</v>
      </c>
      <c r="F949" s="118" t="e">
        <f t="shared" ca="1" si="103"/>
        <v>#NAME?</v>
      </c>
      <c r="G949" s="103" t="e">
        <f t="shared" ca="1" si="104"/>
        <v>#NAME?</v>
      </c>
      <c r="H949" s="104" t="e">
        <f ca="1">IF(C949="","",MROUND([0]!CSVVLookUP(ROW(行数!A941),配列!$C$4,集計記録,8,1),"0:01"))</f>
        <v>#NAME?</v>
      </c>
      <c r="I949" s="104" t="e">
        <f t="shared" ca="1" si="105"/>
        <v>#NAME?</v>
      </c>
      <c r="J949" s="119" t="e">
        <f ca="1">IF(C949="","",MROUND([0]!CSVVLookUP(ROW(行数!A941),配列!$C$4,集計記録,7,1),"0:01"))</f>
        <v>#NAME?</v>
      </c>
      <c r="K949" s="92" t="e">
        <f ca="1">IF(C949="","",[0]!CSVVLookUP(ROW(行数!A941),配列!$C$4,集計記録,5,1))</f>
        <v>#NAME?</v>
      </c>
      <c r="L949" s="104" t="e">
        <f t="shared" ca="1" si="106"/>
        <v>#NAME?</v>
      </c>
      <c r="M949" s="120" t="e">
        <f t="shared" ca="1" si="100"/>
        <v>#NAME?</v>
      </c>
      <c r="N949" s="120" t="e">
        <f ca="1">IF([0]!CSVVLookUP(ROW(行数!A941),配列!$C$4,集計記録,6,1)=0,"",[0]!CSVVLookUP(ROW(行数!A941),配列!$C$4,集計記録,6,1))</f>
        <v>#NAME?</v>
      </c>
      <c r="O949" s="88" t="e">
        <f ca="1">IF(INDIRECT("M"&amp;ROW()-1)&lt;&gt;INDIRECT("M"&amp;ROW()),リスト!$I$5,"")</f>
        <v>#NAME?</v>
      </c>
      <c r="P949" s="88" t="e">
        <f ca="1">IF(INDIRECT("M"&amp;ROW())&lt;&gt;INDIRECT("M"&amp;ROW()+1),リスト!$I$6,"")</f>
        <v>#NAME?</v>
      </c>
    </row>
    <row r="950" spans="1:16" x14ac:dyDescent="0.2">
      <c r="A950" s="169" t="e">
        <f ca="1">IF(C950="","",ROW(行数!A942))</f>
        <v>#NAME?</v>
      </c>
      <c r="B950" s="168" t="e">
        <f t="shared" ca="1" si="101"/>
        <v>#NAME?</v>
      </c>
      <c r="C950" s="90" t="e">
        <f ca="1">[0]!CSVVLookUP(ROW(行数!A942),配列!$C$4,集計記録,3,1)</f>
        <v>#NAME?</v>
      </c>
      <c r="D950" s="90" t="e">
        <f ca="1">[0]!CSVVLookUP(ROW(行数!B942),配列!$C$4,集計記録,4,1)</f>
        <v>#NAME?</v>
      </c>
      <c r="E950" s="118" t="e">
        <f t="shared" ca="1" si="102"/>
        <v>#NAME?</v>
      </c>
      <c r="F950" s="118" t="e">
        <f t="shared" ca="1" si="103"/>
        <v>#NAME?</v>
      </c>
      <c r="G950" s="103" t="e">
        <f t="shared" ca="1" si="104"/>
        <v>#NAME?</v>
      </c>
      <c r="H950" s="104" t="e">
        <f ca="1">IF(C950="","",MROUND([0]!CSVVLookUP(ROW(行数!A942),配列!$C$4,集計記録,8,1),"0:01"))</f>
        <v>#NAME?</v>
      </c>
      <c r="I950" s="104" t="e">
        <f t="shared" ca="1" si="105"/>
        <v>#NAME?</v>
      </c>
      <c r="J950" s="119" t="e">
        <f ca="1">IF(C950="","",MROUND([0]!CSVVLookUP(ROW(行数!A942),配列!$C$4,集計記録,7,1),"0:01"))</f>
        <v>#NAME?</v>
      </c>
      <c r="K950" s="92" t="e">
        <f ca="1">IF(C950="","",[0]!CSVVLookUP(ROW(行数!A942),配列!$C$4,集計記録,5,1))</f>
        <v>#NAME?</v>
      </c>
      <c r="L950" s="104" t="e">
        <f t="shared" ca="1" si="106"/>
        <v>#NAME?</v>
      </c>
      <c r="M950" s="120" t="e">
        <f t="shared" ca="1" si="100"/>
        <v>#NAME?</v>
      </c>
      <c r="N950" s="120" t="e">
        <f ca="1">IF([0]!CSVVLookUP(ROW(行数!A942),配列!$C$4,集計記録,6,1)=0,"",[0]!CSVVLookUP(ROW(行数!A942),配列!$C$4,集計記録,6,1))</f>
        <v>#NAME?</v>
      </c>
      <c r="O950" s="88" t="e">
        <f ca="1">IF(INDIRECT("M"&amp;ROW()-1)&lt;&gt;INDIRECT("M"&amp;ROW()),リスト!$I$5,"")</f>
        <v>#NAME?</v>
      </c>
      <c r="P950" s="88" t="e">
        <f ca="1">IF(INDIRECT("M"&amp;ROW())&lt;&gt;INDIRECT("M"&amp;ROW()+1),リスト!$I$6,"")</f>
        <v>#NAME?</v>
      </c>
    </row>
    <row r="951" spans="1:16" x14ac:dyDescent="0.2">
      <c r="A951" s="169" t="e">
        <f ca="1">IF(C951="","",ROW(行数!A943))</f>
        <v>#NAME?</v>
      </c>
      <c r="B951" s="168" t="e">
        <f t="shared" ca="1" si="101"/>
        <v>#NAME?</v>
      </c>
      <c r="C951" s="90" t="e">
        <f ca="1">[0]!CSVVLookUP(ROW(行数!A943),配列!$C$4,集計記録,3,1)</f>
        <v>#NAME?</v>
      </c>
      <c r="D951" s="90" t="e">
        <f ca="1">[0]!CSVVLookUP(ROW(行数!B943),配列!$C$4,集計記録,4,1)</f>
        <v>#NAME?</v>
      </c>
      <c r="E951" s="118" t="e">
        <f t="shared" ca="1" si="102"/>
        <v>#NAME?</v>
      </c>
      <c r="F951" s="118" t="e">
        <f t="shared" ca="1" si="103"/>
        <v>#NAME?</v>
      </c>
      <c r="G951" s="103" t="e">
        <f t="shared" ca="1" si="104"/>
        <v>#NAME?</v>
      </c>
      <c r="H951" s="104" t="e">
        <f ca="1">IF(C951="","",MROUND([0]!CSVVLookUP(ROW(行数!A943),配列!$C$4,集計記録,8,1),"0:01"))</f>
        <v>#NAME?</v>
      </c>
      <c r="I951" s="104" t="e">
        <f t="shared" ca="1" si="105"/>
        <v>#NAME?</v>
      </c>
      <c r="J951" s="119" t="e">
        <f ca="1">IF(C951="","",MROUND([0]!CSVVLookUP(ROW(行数!A943),配列!$C$4,集計記録,7,1),"0:01"))</f>
        <v>#NAME?</v>
      </c>
      <c r="K951" s="92" t="e">
        <f ca="1">IF(C951="","",[0]!CSVVLookUP(ROW(行数!A943),配列!$C$4,集計記録,5,1))</f>
        <v>#NAME?</v>
      </c>
      <c r="L951" s="104" t="e">
        <f t="shared" ca="1" si="106"/>
        <v>#NAME?</v>
      </c>
      <c r="M951" s="120" t="e">
        <f t="shared" ca="1" si="100"/>
        <v>#NAME?</v>
      </c>
      <c r="N951" s="120" t="e">
        <f ca="1">IF([0]!CSVVLookUP(ROW(行数!A943),配列!$C$4,集計記録,6,1)=0,"",[0]!CSVVLookUP(ROW(行数!A943),配列!$C$4,集計記録,6,1))</f>
        <v>#NAME?</v>
      </c>
      <c r="O951" s="88" t="e">
        <f ca="1">IF(INDIRECT("M"&amp;ROW()-1)&lt;&gt;INDIRECT("M"&amp;ROW()),リスト!$I$5,"")</f>
        <v>#NAME?</v>
      </c>
      <c r="P951" s="88" t="e">
        <f ca="1">IF(INDIRECT("M"&amp;ROW())&lt;&gt;INDIRECT("M"&amp;ROW()+1),リスト!$I$6,"")</f>
        <v>#NAME?</v>
      </c>
    </row>
    <row r="952" spans="1:16" x14ac:dyDescent="0.2">
      <c r="A952" s="169" t="e">
        <f ca="1">IF(C952="","",ROW(行数!A944))</f>
        <v>#NAME?</v>
      </c>
      <c r="B952" s="168" t="e">
        <f t="shared" ca="1" si="101"/>
        <v>#NAME?</v>
      </c>
      <c r="C952" s="90" t="e">
        <f ca="1">[0]!CSVVLookUP(ROW(行数!A944),配列!$C$4,集計記録,3,1)</f>
        <v>#NAME?</v>
      </c>
      <c r="D952" s="90" t="e">
        <f ca="1">[0]!CSVVLookUP(ROW(行数!B944),配列!$C$4,集計記録,4,1)</f>
        <v>#NAME?</v>
      </c>
      <c r="E952" s="118" t="e">
        <f t="shared" ca="1" si="102"/>
        <v>#NAME?</v>
      </c>
      <c r="F952" s="118" t="e">
        <f t="shared" ca="1" si="103"/>
        <v>#NAME?</v>
      </c>
      <c r="G952" s="103" t="e">
        <f t="shared" ca="1" si="104"/>
        <v>#NAME?</v>
      </c>
      <c r="H952" s="104" t="e">
        <f ca="1">IF(C952="","",MROUND([0]!CSVVLookUP(ROW(行数!A944),配列!$C$4,集計記録,8,1),"0:01"))</f>
        <v>#NAME?</v>
      </c>
      <c r="I952" s="104" t="e">
        <f t="shared" ca="1" si="105"/>
        <v>#NAME?</v>
      </c>
      <c r="J952" s="119" t="e">
        <f ca="1">IF(C952="","",MROUND([0]!CSVVLookUP(ROW(行数!A944),配列!$C$4,集計記録,7,1),"0:01"))</f>
        <v>#NAME?</v>
      </c>
      <c r="K952" s="92" t="e">
        <f ca="1">IF(C952="","",[0]!CSVVLookUP(ROW(行数!A944),配列!$C$4,集計記録,5,1))</f>
        <v>#NAME?</v>
      </c>
      <c r="L952" s="104" t="e">
        <f t="shared" ca="1" si="106"/>
        <v>#NAME?</v>
      </c>
      <c r="M952" s="120" t="e">
        <f t="shared" ca="1" si="100"/>
        <v>#NAME?</v>
      </c>
      <c r="N952" s="120" t="e">
        <f ca="1">IF([0]!CSVVLookUP(ROW(行数!A944),配列!$C$4,集計記録,6,1)=0,"",[0]!CSVVLookUP(ROW(行数!A944),配列!$C$4,集計記録,6,1))</f>
        <v>#NAME?</v>
      </c>
      <c r="O952" s="88" t="e">
        <f ca="1">IF(INDIRECT("M"&amp;ROW()-1)&lt;&gt;INDIRECT("M"&amp;ROW()),リスト!$I$5,"")</f>
        <v>#NAME?</v>
      </c>
      <c r="P952" s="88" t="e">
        <f ca="1">IF(INDIRECT("M"&amp;ROW())&lt;&gt;INDIRECT("M"&amp;ROW()+1),リスト!$I$6,"")</f>
        <v>#NAME?</v>
      </c>
    </row>
    <row r="953" spans="1:16" x14ac:dyDescent="0.2">
      <c r="A953" s="169" t="e">
        <f ca="1">IF(C953="","",ROW(行数!A945))</f>
        <v>#NAME?</v>
      </c>
      <c r="B953" s="168" t="e">
        <f t="shared" ca="1" si="101"/>
        <v>#NAME?</v>
      </c>
      <c r="C953" s="90" t="e">
        <f ca="1">[0]!CSVVLookUP(ROW(行数!A945),配列!$C$4,集計記録,3,1)</f>
        <v>#NAME?</v>
      </c>
      <c r="D953" s="90" t="e">
        <f ca="1">[0]!CSVVLookUP(ROW(行数!B945),配列!$C$4,集計記録,4,1)</f>
        <v>#NAME?</v>
      </c>
      <c r="E953" s="118" t="e">
        <f t="shared" ca="1" si="102"/>
        <v>#NAME?</v>
      </c>
      <c r="F953" s="118" t="e">
        <f t="shared" ca="1" si="103"/>
        <v>#NAME?</v>
      </c>
      <c r="G953" s="103" t="e">
        <f t="shared" ca="1" si="104"/>
        <v>#NAME?</v>
      </c>
      <c r="H953" s="104" t="e">
        <f ca="1">IF(C953="","",MROUND([0]!CSVVLookUP(ROW(行数!A945),配列!$C$4,集計記録,8,1),"0:01"))</f>
        <v>#NAME?</v>
      </c>
      <c r="I953" s="104" t="e">
        <f t="shared" ca="1" si="105"/>
        <v>#NAME?</v>
      </c>
      <c r="J953" s="119" t="e">
        <f ca="1">IF(C953="","",MROUND([0]!CSVVLookUP(ROW(行数!A945),配列!$C$4,集計記録,7,1),"0:01"))</f>
        <v>#NAME?</v>
      </c>
      <c r="K953" s="92" t="e">
        <f ca="1">IF(C953="","",[0]!CSVVLookUP(ROW(行数!A945),配列!$C$4,集計記録,5,1))</f>
        <v>#NAME?</v>
      </c>
      <c r="L953" s="104" t="e">
        <f t="shared" ca="1" si="106"/>
        <v>#NAME?</v>
      </c>
      <c r="M953" s="120" t="e">
        <f t="shared" ca="1" si="100"/>
        <v>#NAME?</v>
      </c>
      <c r="N953" s="120" t="e">
        <f ca="1">IF([0]!CSVVLookUP(ROW(行数!A945),配列!$C$4,集計記録,6,1)=0,"",[0]!CSVVLookUP(ROW(行数!A945),配列!$C$4,集計記録,6,1))</f>
        <v>#NAME?</v>
      </c>
      <c r="O953" s="88" t="e">
        <f ca="1">IF(INDIRECT("M"&amp;ROW()-1)&lt;&gt;INDIRECT("M"&amp;ROW()),リスト!$I$5,"")</f>
        <v>#NAME?</v>
      </c>
      <c r="P953" s="88" t="e">
        <f ca="1">IF(INDIRECT("M"&amp;ROW())&lt;&gt;INDIRECT("M"&amp;ROW()+1),リスト!$I$6,"")</f>
        <v>#NAME?</v>
      </c>
    </row>
    <row r="954" spans="1:16" x14ac:dyDescent="0.2">
      <c r="A954" s="169" t="e">
        <f ca="1">IF(C954="","",ROW(行数!A946))</f>
        <v>#NAME?</v>
      </c>
      <c r="B954" s="168" t="e">
        <f t="shared" ca="1" si="101"/>
        <v>#NAME?</v>
      </c>
      <c r="C954" s="90" t="e">
        <f ca="1">[0]!CSVVLookUP(ROW(行数!A946),配列!$C$4,集計記録,3,1)</f>
        <v>#NAME?</v>
      </c>
      <c r="D954" s="90" t="e">
        <f ca="1">[0]!CSVVLookUP(ROW(行数!B946),配列!$C$4,集計記録,4,1)</f>
        <v>#NAME?</v>
      </c>
      <c r="E954" s="118" t="e">
        <f t="shared" ca="1" si="102"/>
        <v>#NAME?</v>
      </c>
      <c r="F954" s="118" t="e">
        <f t="shared" ca="1" si="103"/>
        <v>#NAME?</v>
      </c>
      <c r="G954" s="103" t="e">
        <f t="shared" ca="1" si="104"/>
        <v>#NAME?</v>
      </c>
      <c r="H954" s="104" t="e">
        <f ca="1">IF(C954="","",MROUND([0]!CSVVLookUP(ROW(行数!A946),配列!$C$4,集計記録,8,1),"0:01"))</f>
        <v>#NAME?</v>
      </c>
      <c r="I954" s="104" t="e">
        <f t="shared" ca="1" si="105"/>
        <v>#NAME?</v>
      </c>
      <c r="J954" s="119" t="e">
        <f ca="1">IF(C954="","",MROUND([0]!CSVVLookUP(ROW(行数!A946),配列!$C$4,集計記録,7,1),"0:01"))</f>
        <v>#NAME?</v>
      </c>
      <c r="K954" s="92" t="e">
        <f ca="1">IF(C954="","",[0]!CSVVLookUP(ROW(行数!A946),配列!$C$4,集計記録,5,1))</f>
        <v>#NAME?</v>
      </c>
      <c r="L954" s="104" t="e">
        <f t="shared" ca="1" si="106"/>
        <v>#NAME?</v>
      </c>
      <c r="M954" s="120" t="e">
        <f t="shared" ca="1" si="100"/>
        <v>#NAME?</v>
      </c>
      <c r="N954" s="120" t="e">
        <f ca="1">IF([0]!CSVVLookUP(ROW(行数!A946),配列!$C$4,集計記録,6,1)=0,"",[0]!CSVVLookUP(ROW(行数!A946),配列!$C$4,集計記録,6,1))</f>
        <v>#NAME?</v>
      </c>
      <c r="O954" s="88" t="e">
        <f ca="1">IF(INDIRECT("M"&amp;ROW()-1)&lt;&gt;INDIRECT("M"&amp;ROW()),リスト!$I$5,"")</f>
        <v>#NAME?</v>
      </c>
      <c r="P954" s="88" t="e">
        <f ca="1">IF(INDIRECT("M"&amp;ROW())&lt;&gt;INDIRECT("M"&amp;ROW()+1),リスト!$I$6,"")</f>
        <v>#NAME?</v>
      </c>
    </row>
    <row r="955" spans="1:16" x14ac:dyDescent="0.2">
      <c r="A955" s="169" t="e">
        <f ca="1">IF(C955="","",ROW(行数!A947))</f>
        <v>#NAME?</v>
      </c>
      <c r="B955" s="168" t="e">
        <f t="shared" ca="1" si="101"/>
        <v>#NAME?</v>
      </c>
      <c r="C955" s="90" t="e">
        <f ca="1">[0]!CSVVLookUP(ROW(行数!A947),配列!$C$4,集計記録,3,1)</f>
        <v>#NAME?</v>
      </c>
      <c r="D955" s="90" t="e">
        <f ca="1">[0]!CSVVLookUP(ROW(行数!B947),配列!$C$4,集計記録,4,1)</f>
        <v>#NAME?</v>
      </c>
      <c r="E955" s="118" t="e">
        <f t="shared" ca="1" si="102"/>
        <v>#NAME?</v>
      </c>
      <c r="F955" s="118" t="e">
        <f t="shared" ca="1" si="103"/>
        <v>#NAME?</v>
      </c>
      <c r="G955" s="103" t="e">
        <f t="shared" ca="1" si="104"/>
        <v>#NAME?</v>
      </c>
      <c r="H955" s="104" t="e">
        <f ca="1">IF(C955="","",MROUND([0]!CSVVLookUP(ROW(行数!A947),配列!$C$4,集計記録,8,1),"0:01"))</f>
        <v>#NAME?</v>
      </c>
      <c r="I955" s="104" t="e">
        <f t="shared" ca="1" si="105"/>
        <v>#NAME?</v>
      </c>
      <c r="J955" s="119" t="e">
        <f ca="1">IF(C955="","",MROUND([0]!CSVVLookUP(ROW(行数!A947),配列!$C$4,集計記録,7,1),"0:01"))</f>
        <v>#NAME?</v>
      </c>
      <c r="K955" s="92" t="e">
        <f ca="1">IF(C955="","",[0]!CSVVLookUP(ROW(行数!A947),配列!$C$4,集計記録,5,1))</f>
        <v>#NAME?</v>
      </c>
      <c r="L955" s="104" t="e">
        <f t="shared" ca="1" si="106"/>
        <v>#NAME?</v>
      </c>
      <c r="M955" s="120" t="e">
        <f t="shared" ca="1" si="100"/>
        <v>#NAME?</v>
      </c>
      <c r="N955" s="120" t="e">
        <f ca="1">IF([0]!CSVVLookUP(ROW(行数!A947),配列!$C$4,集計記録,6,1)=0,"",[0]!CSVVLookUP(ROW(行数!A947),配列!$C$4,集計記録,6,1))</f>
        <v>#NAME?</v>
      </c>
      <c r="O955" s="88" t="e">
        <f ca="1">IF(INDIRECT("M"&amp;ROW()-1)&lt;&gt;INDIRECT("M"&amp;ROW()),リスト!$I$5,"")</f>
        <v>#NAME?</v>
      </c>
      <c r="P955" s="88" t="e">
        <f ca="1">IF(INDIRECT("M"&amp;ROW())&lt;&gt;INDIRECT("M"&amp;ROW()+1),リスト!$I$6,"")</f>
        <v>#NAME?</v>
      </c>
    </row>
    <row r="956" spans="1:16" x14ac:dyDescent="0.2">
      <c r="A956" s="169" t="e">
        <f ca="1">IF(C956="","",ROW(行数!A948))</f>
        <v>#NAME?</v>
      </c>
      <c r="B956" s="168" t="e">
        <f t="shared" ca="1" si="101"/>
        <v>#NAME?</v>
      </c>
      <c r="C956" s="90" t="e">
        <f ca="1">[0]!CSVVLookUP(ROW(行数!A948),配列!$C$4,集計記録,3,1)</f>
        <v>#NAME?</v>
      </c>
      <c r="D956" s="90" t="e">
        <f ca="1">[0]!CSVVLookUP(ROW(行数!B948),配列!$C$4,集計記録,4,1)</f>
        <v>#NAME?</v>
      </c>
      <c r="E956" s="118" t="e">
        <f t="shared" ca="1" si="102"/>
        <v>#NAME?</v>
      </c>
      <c r="F956" s="118" t="e">
        <f t="shared" ca="1" si="103"/>
        <v>#NAME?</v>
      </c>
      <c r="G956" s="103" t="e">
        <f t="shared" ca="1" si="104"/>
        <v>#NAME?</v>
      </c>
      <c r="H956" s="104" t="e">
        <f ca="1">IF(C956="","",MROUND([0]!CSVVLookUP(ROW(行数!A948),配列!$C$4,集計記録,8,1),"0:01"))</f>
        <v>#NAME?</v>
      </c>
      <c r="I956" s="104" t="e">
        <f t="shared" ca="1" si="105"/>
        <v>#NAME?</v>
      </c>
      <c r="J956" s="119" t="e">
        <f ca="1">IF(C956="","",MROUND([0]!CSVVLookUP(ROW(行数!A948),配列!$C$4,集計記録,7,1),"0:01"))</f>
        <v>#NAME?</v>
      </c>
      <c r="K956" s="92" t="e">
        <f ca="1">IF(C956="","",[0]!CSVVLookUP(ROW(行数!A948),配列!$C$4,集計記録,5,1))</f>
        <v>#NAME?</v>
      </c>
      <c r="L956" s="104" t="e">
        <f t="shared" ca="1" si="106"/>
        <v>#NAME?</v>
      </c>
      <c r="M956" s="120" t="e">
        <f t="shared" ca="1" si="100"/>
        <v>#NAME?</v>
      </c>
      <c r="N956" s="120" t="e">
        <f ca="1">IF([0]!CSVVLookUP(ROW(行数!A948),配列!$C$4,集計記録,6,1)=0,"",[0]!CSVVLookUP(ROW(行数!A948),配列!$C$4,集計記録,6,1))</f>
        <v>#NAME?</v>
      </c>
      <c r="O956" s="88" t="e">
        <f ca="1">IF(INDIRECT("M"&amp;ROW()-1)&lt;&gt;INDIRECT("M"&amp;ROW()),リスト!$I$5,"")</f>
        <v>#NAME?</v>
      </c>
      <c r="P956" s="88" t="e">
        <f ca="1">IF(INDIRECT("M"&amp;ROW())&lt;&gt;INDIRECT("M"&amp;ROW()+1),リスト!$I$6,"")</f>
        <v>#NAME?</v>
      </c>
    </row>
    <row r="957" spans="1:16" x14ac:dyDescent="0.2">
      <c r="A957" s="169" t="e">
        <f ca="1">IF(C957="","",ROW(行数!A949))</f>
        <v>#NAME?</v>
      </c>
      <c r="B957" s="168" t="e">
        <f t="shared" ca="1" si="101"/>
        <v>#NAME?</v>
      </c>
      <c r="C957" s="90" t="e">
        <f ca="1">[0]!CSVVLookUP(ROW(行数!A949),配列!$C$4,集計記録,3,1)</f>
        <v>#NAME?</v>
      </c>
      <c r="D957" s="90" t="e">
        <f ca="1">[0]!CSVVLookUP(ROW(行数!B949),配列!$C$4,集計記録,4,1)</f>
        <v>#NAME?</v>
      </c>
      <c r="E957" s="118" t="e">
        <f t="shared" ca="1" si="102"/>
        <v>#NAME?</v>
      </c>
      <c r="F957" s="118" t="e">
        <f t="shared" ca="1" si="103"/>
        <v>#NAME?</v>
      </c>
      <c r="G957" s="103" t="e">
        <f t="shared" ca="1" si="104"/>
        <v>#NAME?</v>
      </c>
      <c r="H957" s="104" t="e">
        <f ca="1">IF(C957="","",MROUND([0]!CSVVLookUP(ROW(行数!A949),配列!$C$4,集計記録,8,1),"0:01"))</f>
        <v>#NAME?</v>
      </c>
      <c r="I957" s="104" t="e">
        <f t="shared" ca="1" si="105"/>
        <v>#NAME?</v>
      </c>
      <c r="J957" s="119" t="e">
        <f ca="1">IF(C957="","",MROUND([0]!CSVVLookUP(ROW(行数!A949),配列!$C$4,集計記録,7,1),"0:01"))</f>
        <v>#NAME?</v>
      </c>
      <c r="K957" s="92" t="e">
        <f ca="1">IF(C957="","",[0]!CSVVLookUP(ROW(行数!A949),配列!$C$4,集計記録,5,1))</f>
        <v>#NAME?</v>
      </c>
      <c r="L957" s="104" t="e">
        <f t="shared" ca="1" si="106"/>
        <v>#NAME?</v>
      </c>
      <c r="M957" s="120" t="e">
        <f t="shared" ca="1" si="100"/>
        <v>#NAME?</v>
      </c>
      <c r="N957" s="120" t="e">
        <f ca="1">IF([0]!CSVVLookUP(ROW(行数!A949),配列!$C$4,集計記録,6,1)=0,"",[0]!CSVVLookUP(ROW(行数!A949),配列!$C$4,集計記録,6,1))</f>
        <v>#NAME?</v>
      </c>
      <c r="O957" s="88" t="e">
        <f ca="1">IF(INDIRECT("M"&amp;ROW()-1)&lt;&gt;INDIRECT("M"&amp;ROW()),リスト!$I$5,"")</f>
        <v>#NAME?</v>
      </c>
      <c r="P957" s="88" t="e">
        <f ca="1">IF(INDIRECT("M"&amp;ROW())&lt;&gt;INDIRECT("M"&amp;ROW()+1),リスト!$I$6,"")</f>
        <v>#NAME?</v>
      </c>
    </row>
    <row r="958" spans="1:16" x14ac:dyDescent="0.2">
      <c r="A958" s="169" t="e">
        <f ca="1">IF(C958="","",ROW(行数!A950))</f>
        <v>#NAME?</v>
      </c>
      <c r="B958" s="168" t="e">
        <f t="shared" ca="1" si="101"/>
        <v>#NAME?</v>
      </c>
      <c r="C958" s="90" t="e">
        <f ca="1">[0]!CSVVLookUP(ROW(行数!A950),配列!$C$4,集計記録,3,1)</f>
        <v>#NAME?</v>
      </c>
      <c r="D958" s="90" t="e">
        <f ca="1">[0]!CSVVLookUP(ROW(行数!B950),配列!$C$4,集計記録,4,1)</f>
        <v>#NAME?</v>
      </c>
      <c r="E958" s="118" t="e">
        <f t="shared" ca="1" si="102"/>
        <v>#NAME?</v>
      </c>
      <c r="F958" s="118" t="e">
        <f t="shared" ca="1" si="103"/>
        <v>#NAME?</v>
      </c>
      <c r="G958" s="103" t="e">
        <f t="shared" ca="1" si="104"/>
        <v>#NAME?</v>
      </c>
      <c r="H958" s="104" t="e">
        <f ca="1">IF(C958="","",MROUND([0]!CSVVLookUP(ROW(行数!A950),配列!$C$4,集計記録,8,1),"0:01"))</f>
        <v>#NAME?</v>
      </c>
      <c r="I958" s="104" t="e">
        <f t="shared" ca="1" si="105"/>
        <v>#NAME?</v>
      </c>
      <c r="J958" s="119" t="e">
        <f ca="1">IF(C958="","",MROUND([0]!CSVVLookUP(ROW(行数!A950),配列!$C$4,集計記録,7,1),"0:01"))</f>
        <v>#NAME?</v>
      </c>
      <c r="K958" s="92" t="e">
        <f ca="1">IF(C958="","",[0]!CSVVLookUP(ROW(行数!A950),配列!$C$4,集計記録,5,1))</f>
        <v>#NAME?</v>
      </c>
      <c r="L958" s="104" t="e">
        <f t="shared" ca="1" si="106"/>
        <v>#NAME?</v>
      </c>
      <c r="M958" s="120" t="e">
        <f t="shared" ca="1" si="100"/>
        <v>#NAME?</v>
      </c>
      <c r="N958" s="120" t="e">
        <f ca="1">IF([0]!CSVVLookUP(ROW(行数!A950),配列!$C$4,集計記録,6,1)=0,"",[0]!CSVVLookUP(ROW(行数!A950),配列!$C$4,集計記録,6,1))</f>
        <v>#NAME?</v>
      </c>
      <c r="O958" s="88" t="e">
        <f ca="1">IF(INDIRECT("M"&amp;ROW()-1)&lt;&gt;INDIRECT("M"&amp;ROW()),リスト!$I$5,"")</f>
        <v>#NAME?</v>
      </c>
      <c r="P958" s="88" t="e">
        <f ca="1">IF(INDIRECT("M"&amp;ROW())&lt;&gt;INDIRECT("M"&amp;ROW()+1),リスト!$I$6,"")</f>
        <v>#NAME?</v>
      </c>
    </row>
    <row r="959" spans="1:16" x14ac:dyDescent="0.2">
      <c r="A959" s="169" t="e">
        <f ca="1">IF(C959="","",ROW(行数!A951))</f>
        <v>#NAME?</v>
      </c>
      <c r="B959" s="168" t="e">
        <f t="shared" ca="1" si="101"/>
        <v>#NAME?</v>
      </c>
      <c r="C959" s="90" t="e">
        <f ca="1">[0]!CSVVLookUP(ROW(行数!A951),配列!$C$4,集計記録,3,1)</f>
        <v>#NAME?</v>
      </c>
      <c r="D959" s="90" t="e">
        <f ca="1">[0]!CSVVLookUP(ROW(行数!B951),配列!$C$4,集計記録,4,1)</f>
        <v>#NAME?</v>
      </c>
      <c r="E959" s="118" t="e">
        <f t="shared" ca="1" si="102"/>
        <v>#NAME?</v>
      </c>
      <c r="F959" s="118" t="e">
        <f t="shared" ca="1" si="103"/>
        <v>#NAME?</v>
      </c>
      <c r="G959" s="103" t="e">
        <f t="shared" ca="1" si="104"/>
        <v>#NAME?</v>
      </c>
      <c r="H959" s="104" t="e">
        <f ca="1">IF(C959="","",MROUND([0]!CSVVLookUP(ROW(行数!A951),配列!$C$4,集計記録,8,1),"0:01"))</f>
        <v>#NAME?</v>
      </c>
      <c r="I959" s="104" t="e">
        <f t="shared" ca="1" si="105"/>
        <v>#NAME?</v>
      </c>
      <c r="J959" s="119" t="e">
        <f ca="1">IF(C959="","",MROUND([0]!CSVVLookUP(ROW(行数!A951),配列!$C$4,集計記録,7,1),"0:01"))</f>
        <v>#NAME?</v>
      </c>
      <c r="K959" s="92" t="e">
        <f ca="1">IF(C959="","",[0]!CSVVLookUP(ROW(行数!A951),配列!$C$4,集計記録,5,1))</f>
        <v>#NAME?</v>
      </c>
      <c r="L959" s="104" t="e">
        <f t="shared" ca="1" si="106"/>
        <v>#NAME?</v>
      </c>
      <c r="M959" s="120" t="e">
        <f t="shared" ca="1" si="100"/>
        <v>#NAME?</v>
      </c>
      <c r="N959" s="120" t="e">
        <f ca="1">IF([0]!CSVVLookUP(ROW(行数!A951),配列!$C$4,集計記録,6,1)=0,"",[0]!CSVVLookUP(ROW(行数!A951),配列!$C$4,集計記録,6,1))</f>
        <v>#NAME?</v>
      </c>
      <c r="O959" s="88" t="e">
        <f ca="1">IF(INDIRECT("M"&amp;ROW()-1)&lt;&gt;INDIRECT("M"&amp;ROW()),リスト!$I$5,"")</f>
        <v>#NAME?</v>
      </c>
      <c r="P959" s="88" t="e">
        <f ca="1">IF(INDIRECT("M"&amp;ROW())&lt;&gt;INDIRECT("M"&amp;ROW()+1),リスト!$I$6,"")</f>
        <v>#NAME?</v>
      </c>
    </row>
    <row r="960" spans="1:16" x14ac:dyDescent="0.2">
      <c r="A960" s="169" t="e">
        <f ca="1">IF(C960="","",ROW(行数!A952))</f>
        <v>#NAME?</v>
      </c>
      <c r="B960" s="168" t="e">
        <f t="shared" ca="1" si="101"/>
        <v>#NAME?</v>
      </c>
      <c r="C960" s="90" t="e">
        <f ca="1">[0]!CSVVLookUP(ROW(行数!A952),配列!$C$4,集計記録,3,1)</f>
        <v>#NAME?</v>
      </c>
      <c r="D960" s="90" t="e">
        <f ca="1">[0]!CSVVLookUP(ROW(行数!B952),配列!$C$4,集計記録,4,1)</f>
        <v>#NAME?</v>
      </c>
      <c r="E960" s="118" t="e">
        <f t="shared" ca="1" si="102"/>
        <v>#NAME?</v>
      </c>
      <c r="F960" s="118" t="e">
        <f t="shared" ca="1" si="103"/>
        <v>#NAME?</v>
      </c>
      <c r="G960" s="103" t="e">
        <f t="shared" ca="1" si="104"/>
        <v>#NAME?</v>
      </c>
      <c r="H960" s="104" t="e">
        <f ca="1">IF(C960="","",MROUND([0]!CSVVLookUP(ROW(行数!A952),配列!$C$4,集計記録,8,1),"0:01"))</f>
        <v>#NAME?</v>
      </c>
      <c r="I960" s="104" t="e">
        <f t="shared" ca="1" si="105"/>
        <v>#NAME?</v>
      </c>
      <c r="J960" s="119" t="e">
        <f ca="1">IF(C960="","",MROUND([0]!CSVVLookUP(ROW(行数!A952),配列!$C$4,集計記録,7,1),"0:01"))</f>
        <v>#NAME?</v>
      </c>
      <c r="K960" s="92" t="e">
        <f ca="1">IF(C960="","",[0]!CSVVLookUP(ROW(行数!A952),配列!$C$4,集計記録,5,1))</f>
        <v>#NAME?</v>
      </c>
      <c r="L960" s="104" t="e">
        <f t="shared" ca="1" si="106"/>
        <v>#NAME?</v>
      </c>
      <c r="M960" s="120" t="e">
        <f t="shared" ca="1" si="100"/>
        <v>#NAME?</v>
      </c>
      <c r="N960" s="120" t="e">
        <f ca="1">IF([0]!CSVVLookUP(ROW(行数!A952),配列!$C$4,集計記録,6,1)=0,"",[0]!CSVVLookUP(ROW(行数!A952),配列!$C$4,集計記録,6,1))</f>
        <v>#NAME?</v>
      </c>
      <c r="O960" s="88" t="e">
        <f ca="1">IF(INDIRECT("M"&amp;ROW()-1)&lt;&gt;INDIRECT("M"&amp;ROW()),リスト!$I$5,"")</f>
        <v>#NAME?</v>
      </c>
      <c r="P960" s="88" t="e">
        <f ca="1">IF(INDIRECT("M"&amp;ROW())&lt;&gt;INDIRECT("M"&amp;ROW()+1),リスト!$I$6,"")</f>
        <v>#NAME?</v>
      </c>
    </row>
    <row r="961" spans="1:16" x14ac:dyDescent="0.2">
      <c r="A961" s="169" t="e">
        <f ca="1">IF(C961="","",ROW(行数!A953))</f>
        <v>#NAME?</v>
      </c>
      <c r="B961" s="168" t="e">
        <f t="shared" ca="1" si="101"/>
        <v>#NAME?</v>
      </c>
      <c r="C961" s="90" t="e">
        <f ca="1">[0]!CSVVLookUP(ROW(行数!A953),配列!$C$4,集計記録,3,1)</f>
        <v>#NAME?</v>
      </c>
      <c r="D961" s="90" t="e">
        <f ca="1">[0]!CSVVLookUP(ROW(行数!B953),配列!$C$4,集計記録,4,1)</f>
        <v>#NAME?</v>
      </c>
      <c r="E961" s="118" t="e">
        <f t="shared" ca="1" si="102"/>
        <v>#NAME?</v>
      </c>
      <c r="F961" s="118" t="e">
        <f t="shared" ca="1" si="103"/>
        <v>#NAME?</v>
      </c>
      <c r="G961" s="103" t="e">
        <f t="shared" ca="1" si="104"/>
        <v>#NAME?</v>
      </c>
      <c r="H961" s="104" t="e">
        <f ca="1">IF(C961="","",MROUND([0]!CSVVLookUP(ROW(行数!A953),配列!$C$4,集計記録,8,1),"0:01"))</f>
        <v>#NAME?</v>
      </c>
      <c r="I961" s="104" t="e">
        <f t="shared" ca="1" si="105"/>
        <v>#NAME?</v>
      </c>
      <c r="J961" s="119" t="e">
        <f ca="1">IF(C961="","",MROUND([0]!CSVVLookUP(ROW(行数!A953),配列!$C$4,集計記録,7,1),"0:01"))</f>
        <v>#NAME?</v>
      </c>
      <c r="K961" s="92" t="e">
        <f ca="1">IF(C961="","",[0]!CSVVLookUP(ROW(行数!A953),配列!$C$4,集計記録,5,1))</f>
        <v>#NAME?</v>
      </c>
      <c r="L961" s="104" t="e">
        <f t="shared" ca="1" si="106"/>
        <v>#NAME?</v>
      </c>
      <c r="M961" s="120" t="e">
        <f t="shared" ca="1" si="100"/>
        <v>#NAME?</v>
      </c>
      <c r="N961" s="120" t="e">
        <f ca="1">IF([0]!CSVVLookUP(ROW(行数!A953),配列!$C$4,集計記録,6,1)=0,"",[0]!CSVVLookUP(ROW(行数!A953),配列!$C$4,集計記録,6,1))</f>
        <v>#NAME?</v>
      </c>
      <c r="O961" s="88" t="e">
        <f ca="1">IF(INDIRECT("M"&amp;ROW()-1)&lt;&gt;INDIRECT("M"&amp;ROW()),リスト!$I$5,"")</f>
        <v>#NAME?</v>
      </c>
      <c r="P961" s="88" t="e">
        <f ca="1">IF(INDIRECT("M"&amp;ROW())&lt;&gt;INDIRECT("M"&amp;ROW()+1),リスト!$I$6,"")</f>
        <v>#NAME?</v>
      </c>
    </row>
    <row r="962" spans="1:16" x14ac:dyDescent="0.2">
      <c r="A962" s="169" t="e">
        <f ca="1">IF(C962="","",ROW(行数!A954))</f>
        <v>#NAME?</v>
      </c>
      <c r="B962" s="168" t="e">
        <f t="shared" ca="1" si="101"/>
        <v>#NAME?</v>
      </c>
      <c r="C962" s="90" t="e">
        <f ca="1">[0]!CSVVLookUP(ROW(行数!A954),配列!$C$4,集計記録,3,1)</f>
        <v>#NAME?</v>
      </c>
      <c r="D962" s="90" t="e">
        <f ca="1">[0]!CSVVLookUP(ROW(行数!B954),配列!$C$4,集計記録,4,1)</f>
        <v>#NAME?</v>
      </c>
      <c r="E962" s="118" t="e">
        <f t="shared" ca="1" si="102"/>
        <v>#NAME?</v>
      </c>
      <c r="F962" s="118" t="e">
        <f t="shared" ca="1" si="103"/>
        <v>#NAME?</v>
      </c>
      <c r="G962" s="103" t="e">
        <f t="shared" ca="1" si="104"/>
        <v>#NAME?</v>
      </c>
      <c r="H962" s="104" t="e">
        <f ca="1">IF(C962="","",MROUND([0]!CSVVLookUP(ROW(行数!A954),配列!$C$4,集計記録,8,1),"0:01"))</f>
        <v>#NAME?</v>
      </c>
      <c r="I962" s="104" t="e">
        <f t="shared" ca="1" si="105"/>
        <v>#NAME?</v>
      </c>
      <c r="J962" s="119" t="e">
        <f ca="1">IF(C962="","",MROUND([0]!CSVVLookUP(ROW(行数!A954),配列!$C$4,集計記録,7,1),"0:01"))</f>
        <v>#NAME?</v>
      </c>
      <c r="K962" s="92" t="e">
        <f ca="1">IF(C962="","",[0]!CSVVLookUP(ROW(行数!A954),配列!$C$4,集計記録,5,1))</f>
        <v>#NAME?</v>
      </c>
      <c r="L962" s="104" t="e">
        <f t="shared" ca="1" si="106"/>
        <v>#NAME?</v>
      </c>
      <c r="M962" s="120" t="e">
        <f t="shared" ca="1" si="100"/>
        <v>#NAME?</v>
      </c>
      <c r="N962" s="120" t="e">
        <f ca="1">IF([0]!CSVVLookUP(ROW(行数!A954),配列!$C$4,集計記録,6,1)=0,"",[0]!CSVVLookUP(ROW(行数!A954),配列!$C$4,集計記録,6,1))</f>
        <v>#NAME?</v>
      </c>
      <c r="O962" s="88" t="e">
        <f ca="1">IF(INDIRECT("M"&amp;ROW()-1)&lt;&gt;INDIRECT("M"&amp;ROW()),リスト!$I$5,"")</f>
        <v>#NAME?</v>
      </c>
      <c r="P962" s="88" t="e">
        <f ca="1">IF(INDIRECT("M"&amp;ROW())&lt;&gt;INDIRECT("M"&amp;ROW()+1),リスト!$I$6,"")</f>
        <v>#NAME?</v>
      </c>
    </row>
    <row r="963" spans="1:16" x14ac:dyDescent="0.2">
      <c r="A963" s="169" t="e">
        <f ca="1">IF(C963="","",ROW(行数!A955))</f>
        <v>#NAME?</v>
      </c>
      <c r="B963" s="168" t="e">
        <f t="shared" ca="1" si="101"/>
        <v>#NAME?</v>
      </c>
      <c r="C963" s="90" t="e">
        <f ca="1">[0]!CSVVLookUP(ROW(行数!A955),配列!$C$4,集計記録,3,1)</f>
        <v>#NAME?</v>
      </c>
      <c r="D963" s="90" t="e">
        <f ca="1">[0]!CSVVLookUP(ROW(行数!B955),配列!$C$4,集計記録,4,1)</f>
        <v>#NAME?</v>
      </c>
      <c r="E963" s="118" t="e">
        <f t="shared" ca="1" si="102"/>
        <v>#NAME?</v>
      </c>
      <c r="F963" s="118" t="e">
        <f t="shared" ca="1" si="103"/>
        <v>#NAME?</v>
      </c>
      <c r="G963" s="103" t="e">
        <f t="shared" ca="1" si="104"/>
        <v>#NAME?</v>
      </c>
      <c r="H963" s="104" t="e">
        <f ca="1">IF(C963="","",MROUND([0]!CSVVLookUP(ROW(行数!A955),配列!$C$4,集計記録,8,1),"0:01"))</f>
        <v>#NAME?</v>
      </c>
      <c r="I963" s="104" t="e">
        <f t="shared" ca="1" si="105"/>
        <v>#NAME?</v>
      </c>
      <c r="J963" s="119" t="e">
        <f ca="1">IF(C963="","",MROUND([0]!CSVVLookUP(ROW(行数!A955),配列!$C$4,集計記録,7,1),"0:01"))</f>
        <v>#NAME?</v>
      </c>
      <c r="K963" s="92" t="e">
        <f ca="1">IF(C963="","",[0]!CSVVLookUP(ROW(行数!A955),配列!$C$4,集計記録,5,1))</f>
        <v>#NAME?</v>
      </c>
      <c r="L963" s="104" t="e">
        <f t="shared" ca="1" si="106"/>
        <v>#NAME?</v>
      </c>
      <c r="M963" s="120" t="e">
        <f t="shared" ca="1" si="100"/>
        <v>#NAME?</v>
      </c>
      <c r="N963" s="120" t="e">
        <f ca="1">IF([0]!CSVVLookUP(ROW(行数!A955),配列!$C$4,集計記録,6,1)=0,"",[0]!CSVVLookUP(ROW(行数!A955),配列!$C$4,集計記録,6,1))</f>
        <v>#NAME?</v>
      </c>
      <c r="O963" s="88" t="e">
        <f ca="1">IF(INDIRECT("M"&amp;ROW()-1)&lt;&gt;INDIRECT("M"&amp;ROW()),リスト!$I$5,"")</f>
        <v>#NAME?</v>
      </c>
      <c r="P963" s="88" t="e">
        <f ca="1">IF(INDIRECT("M"&amp;ROW())&lt;&gt;INDIRECT("M"&amp;ROW()+1),リスト!$I$6,"")</f>
        <v>#NAME?</v>
      </c>
    </row>
    <row r="964" spans="1:16" x14ac:dyDescent="0.2">
      <c r="A964" s="169" t="e">
        <f ca="1">IF(C964="","",ROW(行数!A956))</f>
        <v>#NAME?</v>
      </c>
      <c r="B964" s="168" t="e">
        <f t="shared" ca="1" si="101"/>
        <v>#NAME?</v>
      </c>
      <c r="C964" s="90" t="e">
        <f ca="1">[0]!CSVVLookUP(ROW(行数!A956),配列!$C$4,集計記録,3,1)</f>
        <v>#NAME?</v>
      </c>
      <c r="D964" s="90" t="e">
        <f ca="1">[0]!CSVVLookUP(ROW(行数!B956),配列!$C$4,集計記録,4,1)</f>
        <v>#NAME?</v>
      </c>
      <c r="E964" s="118" t="e">
        <f t="shared" ca="1" si="102"/>
        <v>#NAME?</v>
      </c>
      <c r="F964" s="118" t="e">
        <f t="shared" ca="1" si="103"/>
        <v>#NAME?</v>
      </c>
      <c r="G964" s="103" t="e">
        <f t="shared" ca="1" si="104"/>
        <v>#NAME?</v>
      </c>
      <c r="H964" s="104" t="e">
        <f ca="1">IF(C964="","",MROUND([0]!CSVVLookUP(ROW(行数!A956),配列!$C$4,集計記録,8,1),"0:01"))</f>
        <v>#NAME?</v>
      </c>
      <c r="I964" s="104" t="e">
        <f t="shared" ca="1" si="105"/>
        <v>#NAME?</v>
      </c>
      <c r="J964" s="119" t="e">
        <f ca="1">IF(C964="","",MROUND([0]!CSVVLookUP(ROW(行数!A956),配列!$C$4,集計記録,7,1),"0:01"))</f>
        <v>#NAME?</v>
      </c>
      <c r="K964" s="92" t="e">
        <f ca="1">IF(C964="","",[0]!CSVVLookUP(ROW(行数!A956),配列!$C$4,集計記録,5,1))</f>
        <v>#NAME?</v>
      </c>
      <c r="L964" s="104" t="e">
        <f t="shared" ca="1" si="106"/>
        <v>#NAME?</v>
      </c>
      <c r="M964" s="120" t="e">
        <f t="shared" ca="1" si="100"/>
        <v>#NAME?</v>
      </c>
      <c r="N964" s="120" t="e">
        <f ca="1">IF([0]!CSVVLookUP(ROW(行数!A956),配列!$C$4,集計記録,6,1)=0,"",[0]!CSVVLookUP(ROW(行数!A956),配列!$C$4,集計記録,6,1))</f>
        <v>#NAME?</v>
      </c>
      <c r="O964" s="88" t="e">
        <f ca="1">IF(INDIRECT("M"&amp;ROW()-1)&lt;&gt;INDIRECT("M"&amp;ROW()),リスト!$I$5,"")</f>
        <v>#NAME?</v>
      </c>
      <c r="P964" s="88" t="e">
        <f ca="1">IF(INDIRECT("M"&amp;ROW())&lt;&gt;INDIRECT("M"&amp;ROW()+1),リスト!$I$6,"")</f>
        <v>#NAME?</v>
      </c>
    </row>
    <row r="965" spans="1:16" x14ac:dyDescent="0.2">
      <c r="A965" s="169" t="e">
        <f ca="1">IF(C965="","",ROW(行数!A957))</f>
        <v>#NAME?</v>
      </c>
      <c r="B965" s="168" t="e">
        <f t="shared" ca="1" si="101"/>
        <v>#NAME?</v>
      </c>
      <c r="C965" s="90" t="e">
        <f ca="1">[0]!CSVVLookUP(ROW(行数!A957),配列!$C$4,集計記録,3,1)</f>
        <v>#NAME?</v>
      </c>
      <c r="D965" s="90" t="e">
        <f ca="1">[0]!CSVVLookUP(ROW(行数!B957),配列!$C$4,集計記録,4,1)</f>
        <v>#NAME?</v>
      </c>
      <c r="E965" s="118" t="e">
        <f t="shared" ca="1" si="102"/>
        <v>#NAME?</v>
      </c>
      <c r="F965" s="118" t="e">
        <f t="shared" ca="1" si="103"/>
        <v>#NAME?</v>
      </c>
      <c r="G965" s="103" t="e">
        <f t="shared" ca="1" si="104"/>
        <v>#NAME?</v>
      </c>
      <c r="H965" s="104" t="e">
        <f ca="1">IF(C965="","",MROUND([0]!CSVVLookUP(ROW(行数!A957),配列!$C$4,集計記録,8,1),"0:01"))</f>
        <v>#NAME?</v>
      </c>
      <c r="I965" s="104" t="e">
        <f t="shared" ca="1" si="105"/>
        <v>#NAME?</v>
      </c>
      <c r="J965" s="119" t="e">
        <f ca="1">IF(C965="","",MROUND([0]!CSVVLookUP(ROW(行数!A957),配列!$C$4,集計記録,7,1),"0:01"))</f>
        <v>#NAME?</v>
      </c>
      <c r="K965" s="92" t="e">
        <f ca="1">IF(C965="","",[0]!CSVVLookUP(ROW(行数!A957),配列!$C$4,集計記録,5,1))</f>
        <v>#NAME?</v>
      </c>
      <c r="L965" s="104" t="e">
        <f t="shared" ca="1" si="106"/>
        <v>#NAME?</v>
      </c>
      <c r="M965" s="120" t="e">
        <f t="shared" ca="1" si="100"/>
        <v>#NAME?</v>
      </c>
      <c r="N965" s="120" t="e">
        <f ca="1">IF([0]!CSVVLookUP(ROW(行数!A957),配列!$C$4,集計記録,6,1)=0,"",[0]!CSVVLookUP(ROW(行数!A957),配列!$C$4,集計記録,6,1))</f>
        <v>#NAME?</v>
      </c>
      <c r="O965" s="88" t="e">
        <f ca="1">IF(INDIRECT("M"&amp;ROW()-1)&lt;&gt;INDIRECT("M"&amp;ROW()),リスト!$I$5,"")</f>
        <v>#NAME?</v>
      </c>
      <c r="P965" s="88" t="e">
        <f ca="1">IF(INDIRECT("M"&amp;ROW())&lt;&gt;INDIRECT("M"&amp;ROW()+1),リスト!$I$6,"")</f>
        <v>#NAME?</v>
      </c>
    </row>
    <row r="966" spans="1:16" x14ac:dyDescent="0.2">
      <c r="A966" s="169" t="e">
        <f ca="1">IF(C966="","",ROW(行数!A958))</f>
        <v>#NAME?</v>
      </c>
      <c r="B966" s="168" t="e">
        <f t="shared" ca="1" si="101"/>
        <v>#NAME?</v>
      </c>
      <c r="C966" s="90" t="e">
        <f ca="1">[0]!CSVVLookUP(ROW(行数!A958),配列!$C$4,集計記録,3,1)</f>
        <v>#NAME?</v>
      </c>
      <c r="D966" s="90" t="e">
        <f ca="1">[0]!CSVVLookUP(ROW(行数!B958),配列!$C$4,集計記録,4,1)</f>
        <v>#NAME?</v>
      </c>
      <c r="E966" s="118" t="e">
        <f t="shared" ca="1" si="102"/>
        <v>#NAME?</v>
      </c>
      <c r="F966" s="118" t="e">
        <f t="shared" ca="1" si="103"/>
        <v>#NAME?</v>
      </c>
      <c r="G966" s="103" t="e">
        <f t="shared" ca="1" si="104"/>
        <v>#NAME?</v>
      </c>
      <c r="H966" s="104" t="e">
        <f ca="1">IF(C966="","",MROUND([0]!CSVVLookUP(ROW(行数!A958),配列!$C$4,集計記録,8,1),"0:01"))</f>
        <v>#NAME?</v>
      </c>
      <c r="I966" s="104" t="e">
        <f t="shared" ca="1" si="105"/>
        <v>#NAME?</v>
      </c>
      <c r="J966" s="119" t="e">
        <f ca="1">IF(C966="","",MROUND([0]!CSVVLookUP(ROW(行数!A958),配列!$C$4,集計記録,7,1),"0:01"))</f>
        <v>#NAME?</v>
      </c>
      <c r="K966" s="92" t="e">
        <f ca="1">IF(C966="","",[0]!CSVVLookUP(ROW(行数!A958),配列!$C$4,集計記録,5,1))</f>
        <v>#NAME?</v>
      </c>
      <c r="L966" s="104" t="e">
        <f t="shared" ca="1" si="106"/>
        <v>#NAME?</v>
      </c>
      <c r="M966" s="120" t="e">
        <f t="shared" ca="1" si="100"/>
        <v>#NAME?</v>
      </c>
      <c r="N966" s="120" t="e">
        <f ca="1">IF([0]!CSVVLookUP(ROW(行数!A958),配列!$C$4,集計記録,6,1)=0,"",[0]!CSVVLookUP(ROW(行数!A958),配列!$C$4,集計記録,6,1))</f>
        <v>#NAME?</v>
      </c>
      <c r="O966" s="88" t="e">
        <f ca="1">IF(INDIRECT("M"&amp;ROW()-1)&lt;&gt;INDIRECT("M"&amp;ROW()),リスト!$I$5,"")</f>
        <v>#NAME?</v>
      </c>
      <c r="P966" s="88" t="e">
        <f ca="1">IF(INDIRECT("M"&amp;ROW())&lt;&gt;INDIRECT("M"&amp;ROW()+1),リスト!$I$6,"")</f>
        <v>#NAME?</v>
      </c>
    </row>
    <row r="967" spans="1:16" x14ac:dyDescent="0.2">
      <c r="A967" s="169" t="e">
        <f ca="1">IF(C967="","",ROW(行数!A959))</f>
        <v>#NAME?</v>
      </c>
      <c r="B967" s="168" t="e">
        <f t="shared" ca="1" si="101"/>
        <v>#NAME?</v>
      </c>
      <c r="C967" s="90" t="e">
        <f ca="1">[0]!CSVVLookUP(ROW(行数!A959),配列!$C$4,集計記録,3,1)</f>
        <v>#NAME?</v>
      </c>
      <c r="D967" s="90" t="e">
        <f ca="1">[0]!CSVVLookUP(ROW(行数!B959),配列!$C$4,集計記録,4,1)</f>
        <v>#NAME?</v>
      </c>
      <c r="E967" s="118" t="e">
        <f t="shared" ca="1" si="102"/>
        <v>#NAME?</v>
      </c>
      <c r="F967" s="118" t="e">
        <f t="shared" ca="1" si="103"/>
        <v>#NAME?</v>
      </c>
      <c r="G967" s="103" t="e">
        <f t="shared" ca="1" si="104"/>
        <v>#NAME?</v>
      </c>
      <c r="H967" s="104" t="e">
        <f ca="1">IF(C967="","",MROUND([0]!CSVVLookUP(ROW(行数!A959),配列!$C$4,集計記録,8,1),"0:01"))</f>
        <v>#NAME?</v>
      </c>
      <c r="I967" s="104" t="e">
        <f t="shared" ca="1" si="105"/>
        <v>#NAME?</v>
      </c>
      <c r="J967" s="119" t="e">
        <f ca="1">IF(C967="","",MROUND([0]!CSVVLookUP(ROW(行数!A959),配列!$C$4,集計記録,7,1),"0:01"))</f>
        <v>#NAME?</v>
      </c>
      <c r="K967" s="92" t="e">
        <f ca="1">IF(C967="","",[0]!CSVVLookUP(ROW(行数!A959),配列!$C$4,集計記録,5,1))</f>
        <v>#NAME?</v>
      </c>
      <c r="L967" s="104" t="e">
        <f t="shared" ca="1" si="106"/>
        <v>#NAME?</v>
      </c>
      <c r="M967" s="120" t="e">
        <f t="shared" ca="1" si="100"/>
        <v>#NAME?</v>
      </c>
      <c r="N967" s="120" t="e">
        <f ca="1">IF([0]!CSVVLookUP(ROW(行数!A959),配列!$C$4,集計記録,6,1)=0,"",[0]!CSVVLookUP(ROW(行数!A959),配列!$C$4,集計記録,6,1))</f>
        <v>#NAME?</v>
      </c>
      <c r="O967" s="88" t="e">
        <f ca="1">IF(INDIRECT("M"&amp;ROW()-1)&lt;&gt;INDIRECT("M"&amp;ROW()),リスト!$I$5,"")</f>
        <v>#NAME?</v>
      </c>
      <c r="P967" s="88" t="e">
        <f ca="1">IF(INDIRECT("M"&amp;ROW())&lt;&gt;INDIRECT("M"&amp;ROW()+1),リスト!$I$6,"")</f>
        <v>#NAME?</v>
      </c>
    </row>
    <row r="968" spans="1:16" x14ac:dyDescent="0.2">
      <c r="A968" s="169" t="e">
        <f ca="1">IF(C968="","",ROW(行数!A960))</f>
        <v>#NAME?</v>
      </c>
      <c r="B968" s="168" t="e">
        <f t="shared" ca="1" si="101"/>
        <v>#NAME?</v>
      </c>
      <c r="C968" s="90" t="e">
        <f ca="1">[0]!CSVVLookUP(ROW(行数!A960),配列!$C$4,集計記録,3,1)</f>
        <v>#NAME?</v>
      </c>
      <c r="D968" s="90" t="e">
        <f ca="1">[0]!CSVVLookUP(ROW(行数!B960),配列!$C$4,集計記録,4,1)</f>
        <v>#NAME?</v>
      </c>
      <c r="E968" s="118" t="e">
        <f t="shared" ca="1" si="102"/>
        <v>#NAME?</v>
      </c>
      <c r="F968" s="118" t="e">
        <f t="shared" ca="1" si="103"/>
        <v>#NAME?</v>
      </c>
      <c r="G968" s="103" t="e">
        <f t="shared" ca="1" si="104"/>
        <v>#NAME?</v>
      </c>
      <c r="H968" s="104" t="e">
        <f ca="1">IF(C968="","",MROUND([0]!CSVVLookUP(ROW(行数!A960),配列!$C$4,集計記録,8,1),"0:01"))</f>
        <v>#NAME?</v>
      </c>
      <c r="I968" s="104" t="e">
        <f t="shared" ca="1" si="105"/>
        <v>#NAME?</v>
      </c>
      <c r="J968" s="119" t="e">
        <f ca="1">IF(C968="","",MROUND([0]!CSVVLookUP(ROW(行数!A960),配列!$C$4,集計記録,7,1),"0:01"))</f>
        <v>#NAME?</v>
      </c>
      <c r="K968" s="92" t="e">
        <f ca="1">IF(C968="","",[0]!CSVVLookUP(ROW(行数!A960),配列!$C$4,集計記録,5,1))</f>
        <v>#NAME?</v>
      </c>
      <c r="L968" s="104" t="e">
        <f t="shared" ca="1" si="106"/>
        <v>#NAME?</v>
      </c>
      <c r="M968" s="120" t="e">
        <f t="shared" ca="1" si="100"/>
        <v>#NAME?</v>
      </c>
      <c r="N968" s="120" t="e">
        <f ca="1">IF([0]!CSVVLookUP(ROW(行数!A960),配列!$C$4,集計記録,6,1)=0,"",[0]!CSVVLookUP(ROW(行数!A960),配列!$C$4,集計記録,6,1))</f>
        <v>#NAME?</v>
      </c>
      <c r="O968" s="88" t="e">
        <f ca="1">IF(INDIRECT("M"&amp;ROW()-1)&lt;&gt;INDIRECT("M"&amp;ROW()),リスト!$I$5,"")</f>
        <v>#NAME?</v>
      </c>
      <c r="P968" s="88" t="e">
        <f ca="1">IF(INDIRECT("M"&amp;ROW())&lt;&gt;INDIRECT("M"&amp;ROW()+1),リスト!$I$6,"")</f>
        <v>#NAME?</v>
      </c>
    </row>
    <row r="969" spans="1:16" x14ac:dyDescent="0.2">
      <c r="A969" s="169" t="e">
        <f ca="1">IF(C969="","",ROW(行数!A961))</f>
        <v>#NAME?</v>
      </c>
      <c r="B969" s="168" t="e">
        <f t="shared" ca="1" si="101"/>
        <v>#NAME?</v>
      </c>
      <c r="C969" s="90" t="e">
        <f ca="1">[0]!CSVVLookUP(ROW(行数!A961),配列!$C$4,集計記録,3,1)</f>
        <v>#NAME?</v>
      </c>
      <c r="D969" s="90" t="e">
        <f ca="1">[0]!CSVVLookUP(ROW(行数!B961),配列!$C$4,集計記録,4,1)</f>
        <v>#NAME?</v>
      </c>
      <c r="E969" s="118" t="e">
        <f t="shared" ca="1" si="102"/>
        <v>#NAME?</v>
      </c>
      <c r="F969" s="118" t="e">
        <f t="shared" ca="1" si="103"/>
        <v>#NAME?</v>
      </c>
      <c r="G969" s="103" t="e">
        <f t="shared" ca="1" si="104"/>
        <v>#NAME?</v>
      </c>
      <c r="H969" s="104" t="e">
        <f ca="1">IF(C969="","",MROUND([0]!CSVVLookUP(ROW(行数!A961),配列!$C$4,集計記録,8,1),"0:01"))</f>
        <v>#NAME?</v>
      </c>
      <c r="I969" s="104" t="e">
        <f t="shared" ca="1" si="105"/>
        <v>#NAME?</v>
      </c>
      <c r="J969" s="119" t="e">
        <f ca="1">IF(C969="","",MROUND([0]!CSVVLookUP(ROW(行数!A961),配列!$C$4,集計記録,7,1),"0:01"))</f>
        <v>#NAME?</v>
      </c>
      <c r="K969" s="92" t="e">
        <f ca="1">IF(C969="","",[0]!CSVVLookUP(ROW(行数!A961),配列!$C$4,集計記録,5,1))</f>
        <v>#NAME?</v>
      </c>
      <c r="L969" s="104" t="e">
        <f t="shared" ca="1" si="106"/>
        <v>#NAME?</v>
      </c>
      <c r="M969" s="120" t="e">
        <f t="shared" ref="M969:M1000" ca="1" si="107">IF(C969="","",VLOOKUP(C969,運転条件判定,13,1))</f>
        <v>#NAME?</v>
      </c>
      <c r="N969" s="120" t="e">
        <f ca="1">IF([0]!CSVVLookUP(ROW(行数!A961),配列!$C$4,集計記録,6,1)=0,"",[0]!CSVVLookUP(ROW(行数!A961),配列!$C$4,集計記録,6,1))</f>
        <v>#NAME?</v>
      </c>
      <c r="O969" s="88" t="e">
        <f ca="1">IF(INDIRECT("M"&amp;ROW()-1)&lt;&gt;INDIRECT("M"&amp;ROW()),リスト!$I$5,"")</f>
        <v>#NAME?</v>
      </c>
      <c r="P969" s="88" t="e">
        <f ca="1">IF(INDIRECT("M"&amp;ROW())&lt;&gt;INDIRECT("M"&amp;ROW()+1),リスト!$I$6,"")</f>
        <v>#NAME?</v>
      </c>
    </row>
    <row r="970" spans="1:16" x14ac:dyDescent="0.2">
      <c r="A970" s="169" t="e">
        <f ca="1">IF(C970="","",ROW(行数!A962))</f>
        <v>#NAME?</v>
      </c>
      <c r="B970" s="168" t="e">
        <f t="shared" ref="B970:B1000" ca="1" si="108">IF(C970="","",VLOOKUP(C970,ユニット判定用,3))</f>
        <v>#NAME?</v>
      </c>
      <c r="C970" s="90" t="e">
        <f ca="1">[0]!CSVVLookUP(ROW(行数!A962),配列!$C$4,集計記録,3,1)</f>
        <v>#NAME?</v>
      </c>
      <c r="D970" s="90" t="e">
        <f ca="1">[0]!CSVVLookUP(ROW(行数!B962),配列!$C$4,集計記録,4,1)</f>
        <v>#NAME?</v>
      </c>
      <c r="E970" s="118" t="e">
        <f t="shared" ref="E970:E1000" ca="1" si="109">IF(C970="","",D970-C970)</f>
        <v>#NAME?</v>
      </c>
      <c r="F970" s="118" t="e">
        <f t="shared" ref="F970:F1000" ca="1" si="110">IF(C970="","",E970-H970-I970)</f>
        <v>#NAME?</v>
      </c>
      <c r="G970" s="103" t="e">
        <f t="shared" ref="G970:G1000" ca="1" si="111">IF(C970="","",F970/E970)</f>
        <v>#NAME?</v>
      </c>
      <c r="H970" s="104" t="e">
        <f ca="1">IF(C970="","",MROUND([0]!CSVVLookUP(ROW(行数!A962),配列!$C$4,集計記録,8,1),"0:01"))</f>
        <v>#NAME?</v>
      </c>
      <c r="I970" s="104" t="e">
        <f t="shared" ref="I970:I994" ca="1" si="112">IF(C970="","",MROUND(J970-H970,"0:01"))</f>
        <v>#NAME?</v>
      </c>
      <c r="J970" s="119" t="e">
        <f ca="1">IF(C970="","",MROUND([0]!CSVVLookUP(ROW(行数!A962),配列!$C$4,集計記録,7,1),"0:01"))</f>
        <v>#NAME?</v>
      </c>
      <c r="K970" s="92" t="e">
        <f ca="1">IF(C970="","",[0]!CSVVLookUP(ROW(行数!A962),配列!$C$4,集計記録,5,1))</f>
        <v>#NAME?</v>
      </c>
      <c r="L970" s="104" t="e">
        <f t="shared" ref="L970:L994" ca="1" si="113">IF(C970="","",MROUND(E970/(K970+1),"00:01"))</f>
        <v>#NAME?</v>
      </c>
      <c r="M970" s="120" t="e">
        <f t="shared" ca="1" si="107"/>
        <v>#NAME?</v>
      </c>
      <c r="N970" s="120" t="e">
        <f ca="1">IF([0]!CSVVLookUP(ROW(行数!A962),配列!$C$4,集計記録,6,1)=0,"",[0]!CSVVLookUP(ROW(行数!A962),配列!$C$4,集計記録,6,1))</f>
        <v>#NAME?</v>
      </c>
      <c r="O970" s="88" t="e">
        <f ca="1">IF(INDIRECT("M"&amp;ROW()-1)&lt;&gt;INDIRECT("M"&amp;ROW()),リスト!$I$5,"")</f>
        <v>#NAME?</v>
      </c>
      <c r="P970" s="88" t="e">
        <f ca="1">IF(INDIRECT("M"&amp;ROW())&lt;&gt;INDIRECT("M"&amp;ROW()+1),リスト!$I$6,"")</f>
        <v>#NAME?</v>
      </c>
    </row>
    <row r="971" spans="1:16" x14ac:dyDescent="0.2">
      <c r="A971" s="169" t="e">
        <f ca="1">IF(C971="","",ROW(行数!A963))</f>
        <v>#NAME?</v>
      </c>
      <c r="B971" s="168" t="e">
        <f t="shared" ca="1" si="108"/>
        <v>#NAME?</v>
      </c>
      <c r="C971" s="90" t="e">
        <f ca="1">[0]!CSVVLookUP(ROW(行数!A963),配列!$C$4,集計記録,3,1)</f>
        <v>#NAME?</v>
      </c>
      <c r="D971" s="90" t="e">
        <f ca="1">[0]!CSVVLookUP(ROW(行数!B963),配列!$C$4,集計記録,4,1)</f>
        <v>#NAME?</v>
      </c>
      <c r="E971" s="118" t="e">
        <f t="shared" ca="1" si="109"/>
        <v>#NAME?</v>
      </c>
      <c r="F971" s="118" t="e">
        <f t="shared" ca="1" si="110"/>
        <v>#NAME?</v>
      </c>
      <c r="G971" s="103" t="e">
        <f t="shared" ca="1" si="111"/>
        <v>#NAME?</v>
      </c>
      <c r="H971" s="104" t="e">
        <f ca="1">IF(C971="","",MROUND([0]!CSVVLookUP(ROW(行数!A963),配列!$C$4,集計記録,8,1),"0:01"))</f>
        <v>#NAME?</v>
      </c>
      <c r="I971" s="104" t="e">
        <f t="shared" ca="1" si="112"/>
        <v>#NAME?</v>
      </c>
      <c r="J971" s="119" t="e">
        <f ca="1">IF(C971="","",MROUND([0]!CSVVLookUP(ROW(行数!A963),配列!$C$4,集計記録,7,1),"0:01"))</f>
        <v>#NAME?</v>
      </c>
      <c r="K971" s="92" t="e">
        <f ca="1">IF(C971="","",[0]!CSVVLookUP(ROW(行数!A963),配列!$C$4,集計記録,5,1))</f>
        <v>#NAME?</v>
      </c>
      <c r="L971" s="104" t="e">
        <f t="shared" ca="1" si="113"/>
        <v>#NAME?</v>
      </c>
      <c r="M971" s="120" t="e">
        <f t="shared" ca="1" si="107"/>
        <v>#NAME?</v>
      </c>
      <c r="N971" s="120" t="e">
        <f ca="1">IF([0]!CSVVLookUP(ROW(行数!A963),配列!$C$4,集計記録,6,1)=0,"",[0]!CSVVLookUP(ROW(行数!A963),配列!$C$4,集計記録,6,1))</f>
        <v>#NAME?</v>
      </c>
      <c r="O971" s="88" t="e">
        <f ca="1">IF(INDIRECT("M"&amp;ROW()-1)&lt;&gt;INDIRECT("M"&amp;ROW()),リスト!$I$5,"")</f>
        <v>#NAME?</v>
      </c>
      <c r="P971" s="88" t="e">
        <f ca="1">IF(INDIRECT("M"&amp;ROW())&lt;&gt;INDIRECT("M"&amp;ROW()+1),リスト!$I$6,"")</f>
        <v>#NAME?</v>
      </c>
    </row>
    <row r="972" spans="1:16" x14ac:dyDescent="0.2">
      <c r="A972" s="169" t="e">
        <f ca="1">IF(C972="","",ROW(行数!A964))</f>
        <v>#NAME?</v>
      </c>
      <c r="B972" s="168" t="e">
        <f t="shared" ca="1" si="108"/>
        <v>#NAME?</v>
      </c>
      <c r="C972" s="90" t="e">
        <f ca="1">[0]!CSVVLookUP(ROW(行数!A964),配列!$C$4,集計記録,3,1)</f>
        <v>#NAME?</v>
      </c>
      <c r="D972" s="90" t="e">
        <f ca="1">[0]!CSVVLookUP(ROW(行数!B964),配列!$C$4,集計記録,4,1)</f>
        <v>#NAME?</v>
      </c>
      <c r="E972" s="118" t="e">
        <f t="shared" ca="1" si="109"/>
        <v>#NAME?</v>
      </c>
      <c r="F972" s="118" t="e">
        <f t="shared" ca="1" si="110"/>
        <v>#NAME?</v>
      </c>
      <c r="G972" s="103" t="e">
        <f t="shared" ca="1" si="111"/>
        <v>#NAME?</v>
      </c>
      <c r="H972" s="104" t="e">
        <f ca="1">IF(C972="","",MROUND([0]!CSVVLookUP(ROW(行数!A964),配列!$C$4,集計記録,8,1),"0:01"))</f>
        <v>#NAME?</v>
      </c>
      <c r="I972" s="104" t="e">
        <f t="shared" ca="1" si="112"/>
        <v>#NAME?</v>
      </c>
      <c r="J972" s="119" t="e">
        <f ca="1">IF(C972="","",MROUND([0]!CSVVLookUP(ROW(行数!A964),配列!$C$4,集計記録,7,1),"0:01"))</f>
        <v>#NAME?</v>
      </c>
      <c r="K972" s="92" t="e">
        <f ca="1">IF(C972="","",[0]!CSVVLookUP(ROW(行数!A964),配列!$C$4,集計記録,5,1))</f>
        <v>#NAME?</v>
      </c>
      <c r="L972" s="104" t="e">
        <f t="shared" ca="1" si="113"/>
        <v>#NAME?</v>
      </c>
      <c r="M972" s="120" t="e">
        <f t="shared" ca="1" si="107"/>
        <v>#NAME?</v>
      </c>
      <c r="N972" s="120" t="e">
        <f ca="1">IF([0]!CSVVLookUP(ROW(行数!A964),配列!$C$4,集計記録,6,1)=0,"",[0]!CSVVLookUP(ROW(行数!A964),配列!$C$4,集計記録,6,1))</f>
        <v>#NAME?</v>
      </c>
      <c r="O972" s="88" t="e">
        <f ca="1">IF(INDIRECT("M"&amp;ROW()-1)&lt;&gt;INDIRECT("M"&amp;ROW()),リスト!$I$5,"")</f>
        <v>#NAME?</v>
      </c>
      <c r="P972" s="88" t="e">
        <f ca="1">IF(INDIRECT("M"&amp;ROW())&lt;&gt;INDIRECT("M"&amp;ROW()+1),リスト!$I$6,"")</f>
        <v>#NAME?</v>
      </c>
    </row>
    <row r="973" spans="1:16" x14ac:dyDescent="0.2">
      <c r="A973" s="169" t="e">
        <f ca="1">IF(C973="","",ROW(行数!A965))</f>
        <v>#NAME?</v>
      </c>
      <c r="B973" s="168" t="e">
        <f t="shared" ca="1" si="108"/>
        <v>#NAME?</v>
      </c>
      <c r="C973" s="90" t="e">
        <f ca="1">[0]!CSVVLookUP(ROW(行数!A965),配列!$C$4,集計記録,3,1)</f>
        <v>#NAME?</v>
      </c>
      <c r="D973" s="90" t="e">
        <f ca="1">[0]!CSVVLookUP(ROW(行数!B965),配列!$C$4,集計記録,4,1)</f>
        <v>#NAME?</v>
      </c>
      <c r="E973" s="118" t="e">
        <f t="shared" ca="1" si="109"/>
        <v>#NAME?</v>
      </c>
      <c r="F973" s="118" t="e">
        <f t="shared" ca="1" si="110"/>
        <v>#NAME?</v>
      </c>
      <c r="G973" s="103" t="e">
        <f t="shared" ca="1" si="111"/>
        <v>#NAME?</v>
      </c>
      <c r="H973" s="104" t="e">
        <f ca="1">IF(C973="","",MROUND([0]!CSVVLookUP(ROW(行数!A965),配列!$C$4,集計記録,8,1),"0:01"))</f>
        <v>#NAME?</v>
      </c>
      <c r="I973" s="104" t="e">
        <f t="shared" ca="1" si="112"/>
        <v>#NAME?</v>
      </c>
      <c r="J973" s="119" t="e">
        <f ca="1">IF(C973="","",MROUND([0]!CSVVLookUP(ROW(行数!A965),配列!$C$4,集計記録,7,1),"0:01"))</f>
        <v>#NAME?</v>
      </c>
      <c r="K973" s="92" t="e">
        <f ca="1">IF(C973="","",[0]!CSVVLookUP(ROW(行数!A965),配列!$C$4,集計記録,5,1))</f>
        <v>#NAME?</v>
      </c>
      <c r="L973" s="104" t="e">
        <f t="shared" ca="1" si="113"/>
        <v>#NAME?</v>
      </c>
      <c r="M973" s="120" t="e">
        <f t="shared" ca="1" si="107"/>
        <v>#NAME?</v>
      </c>
      <c r="N973" s="120" t="e">
        <f ca="1">IF([0]!CSVVLookUP(ROW(行数!A965),配列!$C$4,集計記録,6,1)=0,"",[0]!CSVVLookUP(ROW(行数!A965),配列!$C$4,集計記録,6,1))</f>
        <v>#NAME?</v>
      </c>
      <c r="O973" s="88" t="e">
        <f ca="1">IF(INDIRECT("M"&amp;ROW()-1)&lt;&gt;INDIRECT("M"&amp;ROW()),リスト!$I$5,"")</f>
        <v>#NAME?</v>
      </c>
      <c r="P973" s="88" t="e">
        <f ca="1">IF(INDIRECT("M"&amp;ROW())&lt;&gt;INDIRECT("M"&amp;ROW()+1),リスト!$I$6,"")</f>
        <v>#NAME?</v>
      </c>
    </row>
    <row r="974" spans="1:16" x14ac:dyDescent="0.2">
      <c r="A974" s="169" t="e">
        <f ca="1">IF(C974="","",ROW(行数!A966))</f>
        <v>#NAME?</v>
      </c>
      <c r="B974" s="168" t="e">
        <f t="shared" ca="1" si="108"/>
        <v>#NAME?</v>
      </c>
      <c r="C974" s="90" t="e">
        <f ca="1">[0]!CSVVLookUP(ROW(行数!A966),配列!$C$4,集計記録,3,1)</f>
        <v>#NAME?</v>
      </c>
      <c r="D974" s="90" t="e">
        <f ca="1">[0]!CSVVLookUP(ROW(行数!B966),配列!$C$4,集計記録,4,1)</f>
        <v>#NAME?</v>
      </c>
      <c r="E974" s="118" t="e">
        <f t="shared" ca="1" si="109"/>
        <v>#NAME?</v>
      </c>
      <c r="F974" s="118" t="e">
        <f t="shared" ca="1" si="110"/>
        <v>#NAME?</v>
      </c>
      <c r="G974" s="103" t="e">
        <f t="shared" ca="1" si="111"/>
        <v>#NAME?</v>
      </c>
      <c r="H974" s="104" t="e">
        <f ca="1">IF(C974="","",MROUND([0]!CSVVLookUP(ROW(行数!A966),配列!$C$4,集計記録,8,1),"0:01"))</f>
        <v>#NAME?</v>
      </c>
      <c r="I974" s="104" t="e">
        <f t="shared" ca="1" si="112"/>
        <v>#NAME?</v>
      </c>
      <c r="J974" s="119" t="e">
        <f ca="1">IF(C974="","",MROUND([0]!CSVVLookUP(ROW(行数!A966),配列!$C$4,集計記録,7,1),"0:01"))</f>
        <v>#NAME?</v>
      </c>
      <c r="K974" s="92" t="e">
        <f ca="1">IF(C974="","",[0]!CSVVLookUP(ROW(行数!A966),配列!$C$4,集計記録,5,1))</f>
        <v>#NAME?</v>
      </c>
      <c r="L974" s="104" t="e">
        <f t="shared" ca="1" si="113"/>
        <v>#NAME?</v>
      </c>
      <c r="M974" s="120" t="e">
        <f t="shared" ca="1" si="107"/>
        <v>#NAME?</v>
      </c>
      <c r="N974" s="120" t="e">
        <f ca="1">IF([0]!CSVVLookUP(ROW(行数!A966),配列!$C$4,集計記録,6,1)=0,"",[0]!CSVVLookUP(ROW(行数!A966),配列!$C$4,集計記録,6,1))</f>
        <v>#NAME?</v>
      </c>
      <c r="O974" s="88" t="e">
        <f ca="1">IF(INDIRECT("M"&amp;ROW()-1)&lt;&gt;INDIRECT("M"&amp;ROW()),リスト!$I$5,"")</f>
        <v>#NAME?</v>
      </c>
      <c r="P974" s="88" t="e">
        <f ca="1">IF(INDIRECT("M"&amp;ROW())&lt;&gt;INDIRECT("M"&amp;ROW()+1),リスト!$I$6,"")</f>
        <v>#NAME?</v>
      </c>
    </row>
    <row r="975" spans="1:16" x14ac:dyDescent="0.2">
      <c r="A975" s="169" t="e">
        <f ca="1">IF(C975="","",ROW(行数!A967))</f>
        <v>#NAME?</v>
      </c>
      <c r="B975" s="168" t="e">
        <f t="shared" ca="1" si="108"/>
        <v>#NAME?</v>
      </c>
      <c r="C975" s="90" t="e">
        <f ca="1">[0]!CSVVLookUP(ROW(行数!A967),配列!$C$4,集計記録,3,1)</f>
        <v>#NAME?</v>
      </c>
      <c r="D975" s="90" t="e">
        <f ca="1">[0]!CSVVLookUP(ROW(行数!B967),配列!$C$4,集計記録,4,1)</f>
        <v>#NAME?</v>
      </c>
      <c r="E975" s="118" t="e">
        <f t="shared" ca="1" si="109"/>
        <v>#NAME?</v>
      </c>
      <c r="F975" s="118" t="e">
        <f t="shared" ca="1" si="110"/>
        <v>#NAME?</v>
      </c>
      <c r="G975" s="103" t="e">
        <f t="shared" ca="1" si="111"/>
        <v>#NAME?</v>
      </c>
      <c r="H975" s="104" t="e">
        <f ca="1">IF(C975="","",MROUND([0]!CSVVLookUP(ROW(行数!A967),配列!$C$4,集計記録,8,1),"0:01"))</f>
        <v>#NAME?</v>
      </c>
      <c r="I975" s="104" t="e">
        <f t="shared" ca="1" si="112"/>
        <v>#NAME?</v>
      </c>
      <c r="J975" s="119" t="e">
        <f ca="1">IF(C975="","",MROUND([0]!CSVVLookUP(ROW(行数!A967),配列!$C$4,集計記録,7,1),"0:01"))</f>
        <v>#NAME?</v>
      </c>
      <c r="K975" s="92" t="e">
        <f ca="1">IF(C975="","",[0]!CSVVLookUP(ROW(行数!A967),配列!$C$4,集計記録,5,1))</f>
        <v>#NAME?</v>
      </c>
      <c r="L975" s="104" t="e">
        <f t="shared" ca="1" si="113"/>
        <v>#NAME?</v>
      </c>
      <c r="M975" s="120" t="e">
        <f t="shared" ca="1" si="107"/>
        <v>#NAME?</v>
      </c>
      <c r="N975" s="120" t="e">
        <f ca="1">IF([0]!CSVVLookUP(ROW(行数!A967),配列!$C$4,集計記録,6,1)=0,"",[0]!CSVVLookUP(ROW(行数!A967),配列!$C$4,集計記録,6,1))</f>
        <v>#NAME?</v>
      </c>
      <c r="O975" s="88" t="e">
        <f ca="1">IF(INDIRECT("M"&amp;ROW()-1)&lt;&gt;INDIRECT("M"&amp;ROW()),リスト!$I$5,"")</f>
        <v>#NAME?</v>
      </c>
      <c r="P975" s="88" t="e">
        <f ca="1">IF(INDIRECT("M"&amp;ROW())&lt;&gt;INDIRECT("M"&amp;ROW()+1),リスト!$I$6,"")</f>
        <v>#NAME?</v>
      </c>
    </row>
    <row r="976" spans="1:16" x14ac:dyDescent="0.2">
      <c r="A976" s="169" t="e">
        <f ca="1">IF(C976="","",ROW(行数!A968))</f>
        <v>#NAME?</v>
      </c>
      <c r="B976" s="168" t="e">
        <f t="shared" ca="1" si="108"/>
        <v>#NAME?</v>
      </c>
      <c r="C976" s="90" t="e">
        <f ca="1">[0]!CSVVLookUP(ROW(行数!A968),配列!$C$4,集計記録,3,1)</f>
        <v>#NAME?</v>
      </c>
      <c r="D976" s="90" t="e">
        <f ca="1">[0]!CSVVLookUP(ROW(行数!B968),配列!$C$4,集計記録,4,1)</f>
        <v>#NAME?</v>
      </c>
      <c r="E976" s="118" t="e">
        <f t="shared" ca="1" si="109"/>
        <v>#NAME?</v>
      </c>
      <c r="F976" s="118" t="e">
        <f t="shared" ca="1" si="110"/>
        <v>#NAME?</v>
      </c>
      <c r="G976" s="103" t="e">
        <f t="shared" ca="1" si="111"/>
        <v>#NAME?</v>
      </c>
      <c r="H976" s="104" t="e">
        <f ca="1">IF(C976="","",MROUND([0]!CSVVLookUP(ROW(行数!A968),配列!$C$4,集計記録,8,1),"0:01"))</f>
        <v>#NAME?</v>
      </c>
      <c r="I976" s="104" t="e">
        <f t="shared" ca="1" si="112"/>
        <v>#NAME?</v>
      </c>
      <c r="J976" s="119" t="e">
        <f ca="1">IF(C976="","",MROUND([0]!CSVVLookUP(ROW(行数!A968),配列!$C$4,集計記録,7,1),"0:01"))</f>
        <v>#NAME?</v>
      </c>
      <c r="K976" s="92" t="e">
        <f ca="1">IF(C976="","",[0]!CSVVLookUP(ROW(行数!A968),配列!$C$4,集計記録,5,1))</f>
        <v>#NAME?</v>
      </c>
      <c r="L976" s="104" t="e">
        <f t="shared" ca="1" si="113"/>
        <v>#NAME?</v>
      </c>
      <c r="M976" s="120" t="e">
        <f t="shared" ca="1" si="107"/>
        <v>#NAME?</v>
      </c>
      <c r="N976" s="120" t="e">
        <f ca="1">IF([0]!CSVVLookUP(ROW(行数!A968),配列!$C$4,集計記録,6,1)=0,"",[0]!CSVVLookUP(ROW(行数!A968),配列!$C$4,集計記録,6,1))</f>
        <v>#NAME?</v>
      </c>
      <c r="O976" s="88" t="e">
        <f ca="1">IF(INDIRECT("M"&amp;ROW()-1)&lt;&gt;INDIRECT("M"&amp;ROW()),リスト!$I$5,"")</f>
        <v>#NAME?</v>
      </c>
      <c r="P976" s="88" t="e">
        <f ca="1">IF(INDIRECT("M"&amp;ROW())&lt;&gt;INDIRECT("M"&amp;ROW()+1),リスト!$I$6,"")</f>
        <v>#NAME?</v>
      </c>
    </row>
    <row r="977" spans="1:16" x14ac:dyDescent="0.2">
      <c r="A977" s="169" t="e">
        <f ca="1">IF(C977="","",ROW(行数!A969))</f>
        <v>#NAME?</v>
      </c>
      <c r="B977" s="168" t="e">
        <f t="shared" ca="1" si="108"/>
        <v>#NAME?</v>
      </c>
      <c r="C977" s="90" t="e">
        <f ca="1">[0]!CSVVLookUP(ROW(行数!A969),配列!$C$4,集計記録,3,1)</f>
        <v>#NAME?</v>
      </c>
      <c r="D977" s="90" t="e">
        <f ca="1">[0]!CSVVLookUP(ROW(行数!B969),配列!$C$4,集計記録,4,1)</f>
        <v>#NAME?</v>
      </c>
      <c r="E977" s="118" t="e">
        <f t="shared" ca="1" si="109"/>
        <v>#NAME?</v>
      </c>
      <c r="F977" s="118" t="e">
        <f t="shared" ca="1" si="110"/>
        <v>#NAME?</v>
      </c>
      <c r="G977" s="103" t="e">
        <f t="shared" ca="1" si="111"/>
        <v>#NAME?</v>
      </c>
      <c r="H977" s="104" t="e">
        <f ca="1">IF(C977="","",MROUND([0]!CSVVLookUP(ROW(行数!A969),配列!$C$4,集計記録,8,1),"0:01"))</f>
        <v>#NAME?</v>
      </c>
      <c r="I977" s="104" t="e">
        <f t="shared" ca="1" si="112"/>
        <v>#NAME?</v>
      </c>
      <c r="J977" s="119" t="e">
        <f ca="1">IF(C977="","",MROUND([0]!CSVVLookUP(ROW(行数!A969),配列!$C$4,集計記録,7,1),"0:01"))</f>
        <v>#NAME?</v>
      </c>
      <c r="K977" s="92" t="e">
        <f ca="1">IF(C977="","",[0]!CSVVLookUP(ROW(行数!A969),配列!$C$4,集計記録,5,1))</f>
        <v>#NAME?</v>
      </c>
      <c r="L977" s="104" t="e">
        <f t="shared" ca="1" si="113"/>
        <v>#NAME?</v>
      </c>
      <c r="M977" s="120" t="e">
        <f t="shared" ca="1" si="107"/>
        <v>#NAME?</v>
      </c>
      <c r="N977" s="120" t="e">
        <f ca="1">IF([0]!CSVVLookUP(ROW(行数!A969),配列!$C$4,集計記録,6,1)=0,"",[0]!CSVVLookUP(ROW(行数!A969),配列!$C$4,集計記録,6,1))</f>
        <v>#NAME?</v>
      </c>
      <c r="O977" s="88" t="e">
        <f ca="1">IF(INDIRECT("M"&amp;ROW()-1)&lt;&gt;INDIRECT("M"&amp;ROW()),リスト!$I$5,"")</f>
        <v>#NAME?</v>
      </c>
      <c r="P977" s="88" t="e">
        <f ca="1">IF(INDIRECT("M"&amp;ROW())&lt;&gt;INDIRECT("M"&amp;ROW()+1),リスト!$I$6,"")</f>
        <v>#NAME?</v>
      </c>
    </row>
    <row r="978" spans="1:16" x14ac:dyDescent="0.2">
      <c r="A978" s="169" t="e">
        <f ca="1">IF(C978="","",ROW(行数!A970))</f>
        <v>#NAME?</v>
      </c>
      <c r="B978" s="168" t="e">
        <f t="shared" ca="1" si="108"/>
        <v>#NAME?</v>
      </c>
      <c r="C978" s="90" t="e">
        <f ca="1">[0]!CSVVLookUP(ROW(行数!A970),配列!$C$4,集計記録,3,1)</f>
        <v>#NAME?</v>
      </c>
      <c r="D978" s="90" t="e">
        <f ca="1">[0]!CSVVLookUP(ROW(行数!B970),配列!$C$4,集計記録,4,1)</f>
        <v>#NAME?</v>
      </c>
      <c r="E978" s="118" t="e">
        <f t="shared" ca="1" si="109"/>
        <v>#NAME?</v>
      </c>
      <c r="F978" s="118" t="e">
        <f t="shared" ca="1" si="110"/>
        <v>#NAME?</v>
      </c>
      <c r="G978" s="103" t="e">
        <f t="shared" ca="1" si="111"/>
        <v>#NAME?</v>
      </c>
      <c r="H978" s="104" t="e">
        <f ca="1">IF(C978="","",MROUND([0]!CSVVLookUP(ROW(行数!A970),配列!$C$4,集計記録,8,1),"0:01"))</f>
        <v>#NAME?</v>
      </c>
      <c r="I978" s="104" t="e">
        <f t="shared" ca="1" si="112"/>
        <v>#NAME?</v>
      </c>
      <c r="J978" s="119" t="e">
        <f ca="1">IF(C978="","",MROUND([0]!CSVVLookUP(ROW(行数!A970),配列!$C$4,集計記録,7,1),"0:01"))</f>
        <v>#NAME?</v>
      </c>
      <c r="K978" s="92" t="e">
        <f ca="1">IF(C978="","",[0]!CSVVLookUP(ROW(行数!A970),配列!$C$4,集計記録,5,1))</f>
        <v>#NAME?</v>
      </c>
      <c r="L978" s="104" t="e">
        <f t="shared" ca="1" si="113"/>
        <v>#NAME?</v>
      </c>
      <c r="M978" s="120" t="e">
        <f t="shared" ca="1" si="107"/>
        <v>#NAME?</v>
      </c>
      <c r="N978" s="120" t="e">
        <f ca="1">IF([0]!CSVVLookUP(ROW(行数!A970),配列!$C$4,集計記録,6,1)=0,"",[0]!CSVVLookUP(ROW(行数!A970),配列!$C$4,集計記録,6,1))</f>
        <v>#NAME?</v>
      </c>
      <c r="O978" s="88" t="e">
        <f ca="1">IF(INDIRECT("M"&amp;ROW()-1)&lt;&gt;INDIRECT("M"&amp;ROW()),リスト!$I$5,"")</f>
        <v>#NAME?</v>
      </c>
      <c r="P978" s="88" t="e">
        <f ca="1">IF(INDIRECT("M"&amp;ROW())&lt;&gt;INDIRECT("M"&amp;ROW()+1),リスト!$I$6,"")</f>
        <v>#NAME?</v>
      </c>
    </row>
    <row r="979" spans="1:16" x14ac:dyDescent="0.2">
      <c r="A979" s="169" t="e">
        <f ca="1">IF(C979="","",ROW(行数!A971))</f>
        <v>#NAME?</v>
      </c>
      <c r="B979" s="168" t="e">
        <f t="shared" ca="1" si="108"/>
        <v>#NAME?</v>
      </c>
      <c r="C979" s="90" t="e">
        <f ca="1">[0]!CSVVLookUP(ROW(行数!A971),配列!$C$4,集計記録,3,1)</f>
        <v>#NAME?</v>
      </c>
      <c r="D979" s="90" t="e">
        <f ca="1">[0]!CSVVLookUP(ROW(行数!B971),配列!$C$4,集計記録,4,1)</f>
        <v>#NAME?</v>
      </c>
      <c r="E979" s="118" t="e">
        <f t="shared" ca="1" si="109"/>
        <v>#NAME?</v>
      </c>
      <c r="F979" s="118" t="e">
        <f t="shared" ca="1" si="110"/>
        <v>#NAME?</v>
      </c>
      <c r="G979" s="103" t="e">
        <f t="shared" ca="1" si="111"/>
        <v>#NAME?</v>
      </c>
      <c r="H979" s="104" t="e">
        <f ca="1">IF(C979="","",MROUND([0]!CSVVLookUP(ROW(行数!A971),配列!$C$4,集計記録,8,1),"0:01"))</f>
        <v>#NAME?</v>
      </c>
      <c r="I979" s="104" t="e">
        <f t="shared" ca="1" si="112"/>
        <v>#NAME?</v>
      </c>
      <c r="J979" s="119" t="e">
        <f ca="1">IF(C979="","",MROUND([0]!CSVVLookUP(ROW(行数!A971),配列!$C$4,集計記録,7,1),"0:01"))</f>
        <v>#NAME?</v>
      </c>
      <c r="K979" s="92" t="e">
        <f ca="1">IF(C979="","",[0]!CSVVLookUP(ROW(行数!A971),配列!$C$4,集計記録,5,1))</f>
        <v>#NAME?</v>
      </c>
      <c r="L979" s="104" t="e">
        <f t="shared" ca="1" si="113"/>
        <v>#NAME?</v>
      </c>
      <c r="M979" s="120" t="e">
        <f t="shared" ca="1" si="107"/>
        <v>#NAME?</v>
      </c>
      <c r="N979" s="120" t="e">
        <f ca="1">IF([0]!CSVVLookUP(ROW(行数!A971),配列!$C$4,集計記録,6,1)=0,"",[0]!CSVVLookUP(ROW(行数!A971),配列!$C$4,集計記録,6,1))</f>
        <v>#NAME?</v>
      </c>
      <c r="O979" s="88" t="e">
        <f ca="1">IF(INDIRECT("M"&amp;ROW()-1)&lt;&gt;INDIRECT("M"&amp;ROW()),リスト!$I$5,"")</f>
        <v>#NAME?</v>
      </c>
      <c r="P979" s="88" t="e">
        <f ca="1">IF(INDIRECT("M"&amp;ROW())&lt;&gt;INDIRECT("M"&amp;ROW()+1),リスト!$I$6,"")</f>
        <v>#NAME?</v>
      </c>
    </row>
    <row r="980" spans="1:16" x14ac:dyDescent="0.2">
      <c r="A980" s="169" t="e">
        <f ca="1">IF(C980="","",ROW(行数!A972))</f>
        <v>#NAME?</v>
      </c>
      <c r="B980" s="168" t="e">
        <f t="shared" ca="1" si="108"/>
        <v>#NAME?</v>
      </c>
      <c r="C980" s="90" t="e">
        <f ca="1">[0]!CSVVLookUP(ROW(行数!A972),配列!$C$4,集計記録,3,1)</f>
        <v>#NAME?</v>
      </c>
      <c r="D980" s="90" t="e">
        <f ca="1">[0]!CSVVLookUP(ROW(行数!B972),配列!$C$4,集計記録,4,1)</f>
        <v>#NAME?</v>
      </c>
      <c r="E980" s="118" t="e">
        <f t="shared" ca="1" si="109"/>
        <v>#NAME?</v>
      </c>
      <c r="F980" s="118" t="e">
        <f t="shared" ca="1" si="110"/>
        <v>#NAME?</v>
      </c>
      <c r="G980" s="103" t="e">
        <f t="shared" ca="1" si="111"/>
        <v>#NAME?</v>
      </c>
      <c r="H980" s="104" t="e">
        <f ca="1">IF(C980="","",MROUND([0]!CSVVLookUP(ROW(行数!A972),配列!$C$4,集計記録,8,1),"0:01"))</f>
        <v>#NAME?</v>
      </c>
      <c r="I980" s="104" t="e">
        <f t="shared" ca="1" si="112"/>
        <v>#NAME?</v>
      </c>
      <c r="J980" s="119" t="e">
        <f ca="1">IF(C980="","",MROUND([0]!CSVVLookUP(ROW(行数!A972),配列!$C$4,集計記録,7,1),"0:01"))</f>
        <v>#NAME?</v>
      </c>
      <c r="K980" s="92" t="e">
        <f ca="1">IF(C980="","",[0]!CSVVLookUP(ROW(行数!A972),配列!$C$4,集計記録,5,1))</f>
        <v>#NAME?</v>
      </c>
      <c r="L980" s="104" t="e">
        <f t="shared" ca="1" si="113"/>
        <v>#NAME?</v>
      </c>
      <c r="M980" s="120" t="e">
        <f t="shared" ca="1" si="107"/>
        <v>#NAME?</v>
      </c>
      <c r="N980" s="120" t="e">
        <f ca="1">IF([0]!CSVVLookUP(ROW(行数!A972),配列!$C$4,集計記録,6,1)=0,"",[0]!CSVVLookUP(ROW(行数!A972),配列!$C$4,集計記録,6,1))</f>
        <v>#NAME?</v>
      </c>
      <c r="O980" s="88" t="e">
        <f ca="1">IF(INDIRECT("M"&amp;ROW()-1)&lt;&gt;INDIRECT("M"&amp;ROW()),リスト!$I$5,"")</f>
        <v>#NAME?</v>
      </c>
      <c r="P980" s="88" t="e">
        <f ca="1">IF(INDIRECT("M"&amp;ROW())&lt;&gt;INDIRECT("M"&amp;ROW()+1),リスト!$I$6,"")</f>
        <v>#NAME?</v>
      </c>
    </row>
    <row r="981" spans="1:16" x14ac:dyDescent="0.2">
      <c r="A981" s="169" t="e">
        <f ca="1">IF(C981="","",ROW(行数!A973))</f>
        <v>#NAME?</v>
      </c>
      <c r="B981" s="168" t="e">
        <f t="shared" ca="1" si="108"/>
        <v>#NAME?</v>
      </c>
      <c r="C981" s="90" t="e">
        <f ca="1">[0]!CSVVLookUP(ROW(行数!A973),配列!$C$4,集計記録,3,1)</f>
        <v>#NAME?</v>
      </c>
      <c r="D981" s="90" t="e">
        <f ca="1">[0]!CSVVLookUP(ROW(行数!B973),配列!$C$4,集計記録,4,1)</f>
        <v>#NAME?</v>
      </c>
      <c r="E981" s="118" t="e">
        <f t="shared" ca="1" si="109"/>
        <v>#NAME?</v>
      </c>
      <c r="F981" s="118" t="e">
        <f t="shared" ca="1" si="110"/>
        <v>#NAME?</v>
      </c>
      <c r="G981" s="103" t="e">
        <f t="shared" ca="1" si="111"/>
        <v>#NAME?</v>
      </c>
      <c r="H981" s="104" t="e">
        <f ca="1">IF(C981="","",MROUND([0]!CSVVLookUP(ROW(行数!A973),配列!$C$4,集計記録,8,1),"0:01"))</f>
        <v>#NAME?</v>
      </c>
      <c r="I981" s="104" t="e">
        <f t="shared" ca="1" si="112"/>
        <v>#NAME?</v>
      </c>
      <c r="J981" s="119" t="e">
        <f ca="1">IF(C981="","",MROUND([0]!CSVVLookUP(ROW(行数!A973),配列!$C$4,集計記録,7,1),"0:01"))</f>
        <v>#NAME?</v>
      </c>
      <c r="K981" s="92" t="e">
        <f ca="1">IF(C981="","",[0]!CSVVLookUP(ROW(行数!A973),配列!$C$4,集計記録,5,1))</f>
        <v>#NAME?</v>
      </c>
      <c r="L981" s="104" t="e">
        <f t="shared" ca="1" si="113"/>
        <v>#NAME?</v>
      </c>
      <c r="M981" s="120" t="e">
        <f t="shared" ca="1" si="107"/>
        <v>#NAME?</v>
      </c>
      <c r="N981" s="120" t="e">
        <f ca="1">IF([0]!CSVVLookUP(ROW(行数!A973),配列!$C$4,集計記録,6,1)=0,"",[0]!CSVVLookUP(ROW(行数!A973),配列!$C$4,集計記録,6,1))</f>
        <v>#NAME?</v>
      </c>
      <c r="O981" s="88" t="e">
        <f ca="1">IF(INDIRECT("M"&amp;ROW()-1)&lt;&gt;INDIRECT("M"&amp;ROW()),リスト!$I$5,"")</f>
        <v>#NAME?</v>
      </c>
      <c r="P981" s="88" t="e">
        <f ca="1">IF(INDIRECT("M"&amp;ROW())&lt;&gt;INDIRECT("M"&amp;ROW()+1),リスト!$I$6,"")</f>
        <v>#NAME?</v>
      </c>
    </row>
    <row r="982" spans="1:16" x14ac:dyDescent="0.2">
      <c r="A982" s="169" t="e">
        <f ca="1">IF(C982="","",ROW(行数!A974))</f>
        <v>#NAME?</v>
      </c>
      <c r="B982" s="168" t="e">
        <f t="shared" ca="1" si="108"/>
        <v>#NAME?</v>
      </c>
      <c r="C982" s="90" t="e">
        <f ca="1">[0]!CSVVLookUP(ROW(行数!A974),配列!$C$4,集計記録,3,1)</f>
        <v>#NAME?</v>
      </c>
      <c r="D982" s="90" t="e">
        <f ca="1">[0]!CSVVLookUP(ROW(行数!B974),配列!$C$4,集計記録,4,1)</f>
        <v>#NAME?</v>
      </c>
      <c r="E982" s="118" t="e">
        <f t="shared" ca="1" si="109"/>
        <v>#NAME?</v>
      </c>
      <c r="F982" s="118" t="e">
        <f t="shared" ca="1" si="110"/>
        <v>#NAME?</v>
      </c>
      <c r="G982" s="103" t="e">
        <f t="shared" ca="1" si="111"/>
        <v>#NAME?</v>
      </c>
      <c r="H982" s="104" t="e">
        <f ca="1">IF(C982="","",MROUND([0]!CSVVLookUP(ROW(行数!A974),配列!$C$4,集計記録,8,1),"0:01"))</f>
        <v>#NAME?</v>
      </c>
      <c r="I982" s="104" t="e">
        <f t="shared" ca="1" si="112"/>
        <v>#NAME?</v>
      </c>
      <c r="J982" s="119" t="e">
        <f ca="1">IF(C982="","",MROUND([0]!CSVVLookUP(ROW(行数!A974),配列!$C$4,集計記録,7,1),"0:01"))</f>
        <v>#NAME?</v>
      </c>
      <c r="K982" s="92" t="e">
        <f ca="1">IF(C982="","",[0]!CSVVLookUP(ROW(行数!A974),配列!$C$4,集計記録,5,1))</f>
        <v>#NAME?</v>
      </c>
      <c r="L982" s="104" t="e">
        <f t="shared" ca="1" si="113"/>
        <v>#NAME?</v>
      </c>
      <c r="M982" s="120" t="e">
        <f t="shared" ca="1" si="107"/>
        <v>#NAME?</v>
      </c>
      <c r="N982" s="120" t="e">
        <f ca="1">IF([0]!CSVVLookUP(ROW(行数!A974),配列!$C$4,集計記録,6,1)=0,"",[0]!CSVVLookUP(ROW(行数!A974),配列!$C$4,集計記録,6,1))</f>
        <v>#NAME?</v>
      </c>
      <c r="O982" s="88" t="e">
        <f ca="1">IF(INDIRECT("M"&amp;ROW()-1)&lt;&gt;INDIRECT("M"&amp;ROW()),リスト!$I$5,"")</f>
        <v>#NAME?</v>
      </c>
      <c r="P982" s="88" t="e">
        <f ca="1">IF(INDIRECT("M"&amp;ROW())&lt;&gt;INDIRECT("M"&amp;ROW()+1),リスト!$I$6,"")</f>
        <v>#NAME?</v>
      </c>
    </row>
    <row r="983" spans="1:16" x14ac:dyDescent="0.2">
      <c r="A983" s="169" t="e">
        <f ca="1">IF(C983="","",ROW(行数!A975))</f>
        <v>#NAME?</v>
      </c>
      <c r="B983" s="168" t="e">
        <f t="shared" ca="1" si="108"/>
        <v>#NAME?</v>
      </c>
      <c r="C983" s="90" t="e">
        <f ca="1">[0]!CSVVLookUP(ROW(行数!A975),配列!$C$4,集計記録,3,1)</f>
        <v>#NAME?</v>
      </c>
      <c r="D983" s="90" t="e">
        <f ca="1">[0]!CSVVLookUP(ROW(行数!B975),配列!$C$4,集計記録,4,1)</f>
        <v>#NAME?</v>
      </c>
      <c r="E983" s="118" t="e">
        <f t="shared" ca="1" si="109"/>
        <v>#NAME?</v>
      </c>
      <c r="F983" s="118" t="e">
        <f t="shared" ca="1" si="110"/>
        <v>#NAME?</v>
      </c>
      <c r="G983" s="103" t="e">
        <f t="shared" ca="1" si="111"/>
        <v>#NAME?</v>
      </c>
      <c r="H983" s="104" t="e">
        <f ca="1">IF(C983="","",MROUND([0]!CSVVLookUP(ROW(行数!A975),配列!$C$4,集計記録,8,1),"0:01"))</f>
        <v>#NAME?</v>
      </c>
      <c r="I983" s="104" t="e">
        <f t="shared" ca="1" si="112"/>
        <v>#NAME?</v>
      </c>
      <c r="J983" s="119" t="e">
        <f ca="1">IF(C983="","",MROUND([0]!CSVVLookUP(ROW(行数!A975),配列!$C$4,集計記録,7,1),"0:01"))</f>
        <v>#NAME?</v>
      </c>
      <c r="K983" s="92" t="e">
        <f ca="1">IF(C983="","",[0]!CSVVLookUP(ROW(行数!A975),配列!$C$4,集計記録,5,1))</f>
        <v>#NAME?</v>
      </c>
      <c r="L983" s="104" t="e">
        <f t="shared" ca="1" si="113"/>
        <v>#NAME?</v>
      </c>
      <c r="M983" s="120" t="e">
        <f t="shared" ca="1" si="107"/>
        <v>#NAME?</v>
      </c>
      <c r="N983" s="120" t="e">
        <f ca="1">IF([0]!CSVVLookUP(ROW(行数!A975),配列!$C$4,集計記録,6,1)=0,"",[0]!CSVVLookUP(ROW(行数!A975),配列!$C$4,集計記録,6,1))</f>
        <v>#NAME?</v>
      </c>
      <c r="O983" s="88" t="e">
        <f ca="1">IF(INDIRECT("M"&amp;ROW()-1)&lt;&gt;INDIRECT("M"&amp;ROW()),リスト!$I$5,"")</f>
        <v>#NAME?</v>
      </c>
      <c r="P983" s="88" t="e">
        <f ca="1">IF(INDIRECT("M"&amp;ROW())&lt;&gt;INDIRECT("M"&amp;ROW()+1),リスト!$I$6,"")</f>
        <v>#NAME?</v>
      </c>
    </row>
    <row r="984" spans="1:16" x14ac:dyDescent="0.2">
      <c r="A984" s="169" t="e">
        <f ca="1">IF(C984="","",ROW(行数!A976))</f>
        <v>#NAME?</v>
      </c>
      <c r="B984" s="168" t="e">
        <f t="shared" ca="1" si="108"/>
        <v>#NAME?</v>
      </c>
      <c r="C984" s="90" t="e">
        <f ca="1">[0]!CSVVLookUP(ROW(行数!A976),配列!$C$4,集計記録,3,1)</f>
        <v>#NAME?</v>
      </c>
      <c r="D984" s="90" t="e">
        <f ca="1">[0]!CSVVLookUP(ROW(行数!B976),配列!$C$4,集計記録,4,1)</f>
        <v>#NAME?</v>
      </c>
      <c r="E984" s="118" t="e">
        <f t="shared" ca="1" si="109"/>
        <v>#NAME?</v>
      </c>
      <c r="F984" s="118" t="e">
        <f t="shared" ca="1" si="110"/>
        <v>#NAME?</v>
      </c>
      <c r="G984" s="103" t="e">
        <f t="shared" ca="1" si="111"/>
        <v>#NAME?</v>
      </c>
      <c r="H984" s="104" t="e">
        <f ca="1">IF(C984="","",MROUND([0]!CSVVLookUP(ROW(行数!A976),配列!$C$4,集計記録,8,1),"0:01"))</f>
        <v>#NAME?</v>
      </c>
      <c r="I984" s="104" t="e">
        <f t="shared" ca="1" si="112"/>
        <v>#NAME?</v>
      </c>
      <c r="J984" s="119" t="e">
        <f ca="1">IF(C984="","",MROUND([0]!CSVVLookUP(ROW(行数!A976),配列!$C$4,集計記録,7,1),"0:01"))</f>
        <v>#NAME?</v>
      </c>
      <c r="K984" s="92" t="e">
        <f ca="1">IF(C984="","",[0]!CSVVLookUP(ROW(行数!A976),配列!$C$4,集計記録,5,1))</f>
        <v>#NAME?</v>
      </c>
      <c r="L984" s="104" t="e">
        <f t="shared" ca="1" si="113"/>
        <v>#NAME?</v>
      </c>
      <c r="M984" s="120" t="e">
        <f t="shared" ca="1" si="107"/>
        <v>#NAME?</v>
      </c>
      <c r="N984" s="120" t="e">
        <f ca="1">IF([0]!CSVVLookUP(ROW(行数!A976),配列!$C$4,集計記録,6,1)=0,"",[0]!CSVVLookUP(ROW(行数!A976),配列!$C$4,集計記録,6,1))</f>
        <v>#NAME?</v>
      </c>
      <c r="O984" s="88" t="e">
        <f ca="1">IF(INDIRECT("M"&amp;ROW()-1)&lt;&gt;INDIRECT("M"&amp;ROW()),リスト!$I$5,"")</f>
        <v>#NAME?</v>
      </c>
      <c r="P984" s="88" t="e">
        <f ca="1">IF(INDIRECT("M"&amp;ROW())&lt;&gt;INDIRECT("M"&amp;ROW()+1),リスト!$I$6,"")</f>
        <v>#NAME?</v>
      </c>
    </row>
    <row r="985" spans="1:16" x14ac:dyDescent="0.2">
      <c r="A985" s="169" t="e">
        <f ca="1">IF(C985="","",ROW(行数!A977))</f>
        <v>#NAME?</v>
      </c>
      <c r="B985" s="168" t="e">
        <f t="shared" ca="1" si="108"/>
        <v>#NAME?</v>
      </c>
      <c r="C985" s="90" t="e">
        <f ca="1">[0]!CSVVLookUP(ROW(行数!A977),配列!$C$4,集計記録,3,1)</f>
        <v>#NAME?</v>
      </c>
      <c r="D985" s="90" t="e">
        <f ca="1">[0]!CSVVLookUP(ROW(行数!B977),配列!$C$4,集計記録,4,1)</f>
        <v>#NAME?</v>
      </c>
      <c r="E985" s="118" t="e">
        <f t="shared" ca="1" si="109"/>
        <v>#NAME?</v>
      </c>
      <c r="F985" s="118" t="e">
        <f t="shared" ca="1" si="110"/>
        <v>#NAME?</v>
      </c>
      <c r="G985" s="103" t="e">
        <f t="shared" ca="1" si="111"/>
        <v>#NAME?</v>
      </c>
      <c r="H985" s="104" t="e">
        <f ca="1">IF(C985="","",MROUND([0]!CSVVLookUP(ROW(行数!A977),配列!$C$4,集計記録,8,1),"0:01"))</f>
        <v>#NAME?</v>
      </c>
      <c r="I985" s="104" t="e">
        <f t="shared" ca="1" si="112"/>
        <v>#NAME?</v>
      </c>
      <c r="J985" s="119" t="e">
        <f ca="1">IF(C985="","",MROUND([0]!CSVVLookUP(ROW(行数!A977),配列!$C$4,集計記録,7,1),"0:01"))</f>
        <v>#NAME?</v>
      </c>
      <c r="K985" s="92" t="e">
        <f ca="1">IF(C985="","",[0]!CSVVLookUP(ROW(行数!A977),配列!$C$4,集計記録,5,1))</f>
        <v>#NAME?</v>
      </c>
      <c r="L985" s="104" t="e">
        <f t="shared" ca="1" si="113"/>
        <v>#NAME?</v>
      </c>
      <c r="M985" s="120" t="e">
        <f t="shared" ca="1" si="107"/>
        <v>#NAME?</v>
      </c>
      <c r="N985" s="120" t="e">
        <f ca="1">IF([0]!CSVVLookUP(ROW(行数!A977),配列!$C$4,集計記録,6,1)=0,"",[0]!CSVVLookUP(ROW(行数!A977),配列!$C$4,集計記録,6,1))</f>
        <v>#NAME?</v>
      </c>
      <c r="O985" s="88" t="e">
        <f ca="1">IF(INDIRECT("M"&amp;ROW()-1)&lt;&gt;INDIRECT("M"&amp;ROW()),リスト!$I$5,"")</f>
        <v>#NAME?</v>
      </c>
      <c r="P985" s="88" t="e">
        <f ca="1">IF(INDIRECT("M"&amp;ROW())&lt;&gt;INDIRECT("M"&amp;ROW()+1),リスト!$I$6,"")</f>
        <v>#NAME?</v>
      </c>
    </row>
    <row r="986" spans="1:16" x14ac:dyDescent="0.2">
      <c r="A986" s="169" t="e">
        <f ca="1">IF(C986="","",ROW(行数!A978))</f>
        <v>#NAME?</v>
      </c>
      <c r="B986" s="168" t="e">
        <f t="shared" ca="1" si="108"/>
        <v>#NAME?</v>
      </c>
      <c r="C986" s="90" t="e">
        <f ca="1">[0]!CSVVLookUP(ROW(行数!A978),配列!$C$4,集計記録,3,1)</f>
        <v>#NAME?</v>
      </c>
      <c r="D986" s="90" t="e">
        <f ca="1">[0]!CSVVLookUP(ROW(行数!B978),配列!$C$4,集計記録,4,1)</f>
        <v>#NAME?</v>
      </c>
      <c r="E986" s="118" t="e">
        <f t="shared" ca="1" si="109"/>
        <v>#NAME?</v>
      </c>
      <c r="F986" s="118" t="e">
        <f t="shared" ca="1" si="110"/>
        <v>#NAME?</v>
      </c>
      <c r="G986" s="103" t="e">
        <f t="shared" ca="1" si="111"/>
        <v>#NAME?</v>
      </c>
      <c r="H986" s="104" t="e">
        <f ca="1">IF(C986="","",MROUND([0]!CSVVLookUP(ROW(行数!A978),配列!$C$4,集計記録,8,1),"0:01"))</f>
        <v>#NAME?</v>
      </c>
      <c r="I986" s="104" t="e">
        <f t="shared" ca="1" si="112"/>
        <v>#NAME?</v>
      </c>
      <c r="J986" s="119" t="e">
        <f ca="1">IF(C986="","",MROUND([0]!CSVVLookUP(ROW(行数!A978),配列!$C$4,集計記録,7,1),"0:01"))</f>
        <v>#NAME?</v>
      </c>
      <c r="K986" s="92" t="e">
        <f ca="1">IF(C986="","",[0]!CSVVLookUP(ROW(行数!A978),配列!$C$4,集計記録,5,1))</f>
        <v>#NAME?</v>
      </c>
      <c r="L986" s="104" t="e">
        <f t="shared" ca="1" si="113"/>
        <v>#NAME?</v>
      </c>
      <c r="M986" s="120" t="e">
        <f t="shared" ca="1" si="107"/>
        <v>#NAME?</v>
      </c>
      <c r="N986" s="120" t="e">
        <f ca="1">IF([0]!CSVVLookUP(ROW(行数!A978),配列!$C$4,集計記録,6,1)=0,"",[0]!CSVVLookUP(ROW(行数!A978),配列!$C$4,集計記録,6,1))</f>
        <v>#NAME?</v>
      </c>
      <c r="O986" s="88" t="e">
        <f ca="1">IF(INDIRECT("M"&amp;ROW()-1)&lt;&gt;INDIRECT("M"&amp;ROW()),リスト!$I$5,"")</f>
        <v>#NAME?</v>
      </c>
      <c r="P986" s="88" t="e">
        <f ca="1">IF(INDIRECT("M"&amp;ROW())&lt;&gt;INDIRECT("M"&amp;ROW()+1),リスト!$I$6,"")</f>
        <v>#NAME?</v>
      </c>
    </row>
    <row r="987" spans="1:16" x14ac:dyDescent="0.2">
      <c r="A987" s="169" t="e">
        <f ca="1">IF(C987="","",ROW(行数!A979))</f>
        <v>#NAME?</v>
      </c>
      <c r="B987" s="168" t="e">
        <f t="shared" ca="1" si="108"/>
        <v>#NAME?</v>
      </c>
      <c r="C987" s="90" t="e">
        <f ca="1">[0]!CSVVLookUP(ROW(行数!A979),配列!$C$4,集計記録,3,1)</f>
        <v>#NAME?</v>
      </c>
      <c r="D987" s="90" t="e">
        <f ca="1">[0]!CSVVLookUP(ROW(行数!B979),配列!$C$4,集計記録,4,1)</f>
        <v>#NAME?</v>
      </c>
      <c r="E987" s="118" t="e">
        <f t="shared" ca="1" si="109"/>
        <v>#NAME?</v>
      </c>
      <c r="F987" s="118" t="e">
        <f t="shared" ca="1" si="110"/>
        <v>#NAME?</v>
      </c>
      <c r="G987" s="103" t="e">
        <f t="shared" ca="1" si="111"/>
        <v>#NAME?</v>
      </c>
      <c r="H987" s="104" t="e">
        <f ca="1">IF(C987="","",MROUND([0]!CSVVLookUP(ROW(行数!A979),配列!$C$4,集計記録,8,1),"0:01"))</f>
        <v>#NAME?</v>
      </c>
      <c r="I987" s="104" t="e">
        <f t="shared" ca="1" si="112"/>
        <v>#NAME?</v>
      </c>
      <c r="J987" s="119" t="e">
        <f ca="1">IF(C987="","",MROUND([0]!CSVVLookUP(ROW(行数!A979),配列!$C$4,集計記録,7,1),"0:01"))</f>
        <v>#NAME?</v>
      </c>
      <c r="K987" s="92" t="e">
        <f ca="1">IF(C987="","",[0]!CSVVLookUP(ROW(行数!A979),配列!$C$4,集計記録,5,1))</f>
        <v>#NAME?</v>
      </c>
      <c r="L987" s="104" t="e">
        <f t="shared" ca="1" si="113"/>
        <v>#NAME?</v>
      </c>
      <c r="M987" s="120" t="e">
        <f t="shared" ca="1" si="107"/>
        <v>#NAME?</v>
      </c>
      <c r="N987" s="120" t="e">
        <f ca="1">IF([0]!CSVVLookUP(ROW(行数!A979),配列!$C$4,集計記録,6,1)=0,"",[0]!CSVVLookUP(ROW(行数!A979),配列!$C$4,集計記録,6,1))</f>
        <v>#NAME?</v>
      </c>
      <c r="O987" s="88" t="e">
        <f ca="1">IF(INDIRECT("M"&amp;ROW()-1)&lt;&gt;INDIRECT("M"&amp;ROW()),リスト!$I$5,"")</f>
        <v>#NAME?</v>
      </c>
      <c r="P987" s="88" t="e">
        <f ca="1">IF(INDIRECT("M"&amp;ROW())&lt;&gt;INDIRECT("M"&amp;ROW()+1),リスト!$I$6,"")</f>
        <v>#NAME?</v>
      </c>
    </row>
    <row r="988" spans="1:16" x14ac:dyDescent="0.2">
      <c r="A988" s="169" t="e">
        <f ca="1">IF(C988="","",ROW(行数!A980))</f>
        <v>#NAME?</v>
      </c>
      <c r="B988" s="168" t="e">
        <f t="shared" ca="1" si="108"/>
        <v>#NAME?</v>
      </c>
      <c r="C988" s="90" t="e">
        <f ca="1">[0]!CSVVLookUP(ROW(行数!A980),配列!$C$4,集計記録,3,1)</f>
        <v>#NAME?</v>
      </c>
      <c r="D988" s="90" t="e">
        <f ca="1">[0]!CSVVLookUP(ROW(行数!B980),配列!$C$4,集計記録,4,1)</f>
        <v>#NAME?</v>
      </c>
      <c r="E988" s="118" t="e">
        <f t="shared" ca="1" si="109"/>
        <v>#NAME?</v>
      </c>
      <c r="F988" s="118" t="e">
        <f t="shared" ca="1" si="110"/>
        <v>#NAME?</v>
      </c>
      <c r="G988" s="103" t="e">
        <f t="shared" ca="1" si="111"/>
        <v>#NAME?</v>
      </c>
      <c r="H988" s="104" t="e">
        <f ca="1">IF(C988="","",MROUND([0]!CSVVLookUP(ROW(行数!A980),配列!$C$4,集計記録,8,1),"0:01"))</f>
        <v>#NAME?</v>
      </c>
      <c r="I988" s="104" t="e">
        <f t="shared" ca="1" si="112"/>
        <v>#NAME?</v>
      </c>
      <c r="J988" s="119" t="e">
        <f ca="1">IF(C988="","",MROUND([0]!CSVVLookUP(ROW(行数!A980),配列!$C$4,集計記録,7,1),"0:01"))</f>
        <v>#NAME?</v>
      </c>
      <c r="K988" s="92" t="e">
        <f ca="1">IF(C988="","",[0]!CSVVLookUP(ROW(行数!A980),配列!$C$4,集計記録,5,1))</f>
        <v>#NAME?</v>
      </c>
      <c r="L988" s="104" t="e">
        <f t="shared" ca="1" si="113"/>
        <v>#NAME?</v>
      </c>
      <c r="M988" s="120" t="e">
        <f t="shared" ca="1" si="107"/>
        <v>#NAME?</v>
      </c>
      <c r="N988" s="120" t="e">
        <f ca="1">IF([0]!CSVVLookUP(ROW(行数!A980),配列!$C$4,集計記録,6,1)=0,"",[0]!CSVVLookUP(ROW(行数!A980),配列!$C$4,集計記録,6,1))</f>
        <v>#NAME?</v>
      </c>
      <c r="O988" s="88" t="e">
        <f ca="1">IF(INDIRECT("M"&amp;ROW()-1)&lt;&gt;INDIRECT("M"&amp;ROW()),リスト!$I$5,"")</f>
        <v>#NAME?</v>
      </c>
      <c r="P988" s="88" t="e">
        <f ca="1">IF(INDIRECT("M"&amp;ROW())&lt;&gt;INDIRECT("M"&amp;ROW()+1),リスト!$I$6,"")</f>
        <v>#NAME?</v>
      </c>
    </row>
    <row r="989" spans="1:16" x14ac:dyDescent="0.2">
      <c r="A989" s="169" t="e">
        <f ca="1">IF(C989="","",ROW(行数!A981))</f>
        <v>#NAME?</v>
      </c>
      <c r="B989" s="168" t="e">
        <f t="shared" ca="1" si="108"/>
        <v>#NAME?</v>
      </c>
      <c r="C989" s="90" t="e">
        <f ca="1">[0]!CSVVLookUP(ROW(行数!A981),配列!$C$4,集計記録,3,1)</f>
        <v>#NAME?</v>
      </c>
      <c r="D989" s="90" t="e">
        <f ca="1">[0]!CSVVLookUP(ROW(行数!B981),配列!$C$4,集計記録,4,1)</f>
        <v>#NAME?</v>
      </c>
      <c r="E989" s="118" t="e">
        <f t="shared" ca="1" si="109"/>
        <v>#NAME?</v>
      </c>
      <c r="F989" s="118" t="e">
        <f t="shared" ca="1" si="110"/>
        <v>#NAME?</v>
      </c>
      <c r="G989" s="103" t="e">
        <f t="shared" ca="1" si="111"/>
        <v>#NAME?</v>
      </c>
      <c r="H989" s="104" t="e">
        <f ca="1">IF(C989="","",MROUND([0]!CSVVLookUP(ROW(行数!A981),配列!$C$4,集計記録,8,1),"0:01"))</f>
        <v>#NAME?</v>
      </c>
      <c r="I989" s="104" t="e">
        <f t="shared" ca="1" si="112"/>
        <v>#NAME?</v>
      </c>
      <c r="J989" s="119" t="e">
        <f ca="1">IF(C989="","",MROUND([0]!CSVVLookUP(ROW(行数!A981),配列!$C$4,集計記録,7,1),"0:01"))</f>
        <v>#NAME?</v>
      </c>
      <c r="K989" s="92" t="e">
        <f ca="1">IF(C989="","",[0]!CSVVLookUP(ROW(行数!A981),配列!$C$4,集計記録,5,1))</f>
        <v>#NAME?</v>
      </c>
      <c r="L989" s="104" t="e">
        <f t="shared" ca="1" si="113"/>
        <v>#NAME?</v>
      </c>
      <c r="M989" s="120" t="e">
        <f t="shared" ca="1" si="107"/>
        <v>#NAME?</v>
      </c>
      <c r="N989" s="120" t="e">
        <f ca="1">IF([0]!CSVVLookUP(ROW(行数!A981),配列!$C$4,集計記録,6,1)=0,"",[0]!CSVVLookUP(ROW(行数!A981),配列!$C$4,集計記録,6,1))</f>
        <v>#NAME?</v>
      </c>
      <c r="O989" s="88" t="e">
        <f ca="1">IF(INDIRECT("M"&amp;ROW()-1)&lt;&gt;INDIRECT("M"&amp;ROW()),リスト!$I$5,"")</f>
        <v>#NAME?</v>
      </c>
      <c r="P989" s="88" t="e">
        <f ca="1">IF(INDIRECT("M"&amp;ROW())&lt;&gt;INDIRECT("M"&amp;ROW()+1),リスト!$I$6,"")</f>
        <v>#NAME?</v>
      </c>
    </row>
    <row r="990" spans="1:16" x14ac:dyDescent="0.2">
      <c r="A990" s="169" t="e">
        <f ca="1">IF(C990="","",ROW(行数!A982))</f>
        <v>#NAME?</v>
      </c>
      <c r="B990" s="168" t="e">
        <f t="shared" ca="1" si="108"/>
        <v>#NAME?</v>
      </c>
      <c r="C990" s="90" t="e">
        <f ca="1">[0]!CSVVLookUP(ROW(行数!A982),配列!$C$4,集計記録,3,1)</f>
        <v>#NAME?</v>
      </c>
      <c r="D990" s="90" t="e">
        <f ca="1">[0]!CSVVLookUP(ROW(行数!B982),配列!$C$4,集計記録,4,1)</f>
        <v>#NAME?</v>
      </c>
      <c r="E990" s="118" t="e">
        <f t="shared" ca="1" si="109"/>
        <v>#NAME?</v>
      </c>
      <c r="F990" s="118" t="e">
        <f t="shared" ca="1" si="110"/>
        <v>#NAME?</v>
      </c>
      <c r="G990" s="103" t="e">
        <f t="shared" ca="1" si="111"/>
        <v>#NAME?</v>
      </c>
      <c r="H990" s="104" t="e">
        <f ca="1">IF(C990="","",MROUND([0]!CSVVLookUP(ROW(行数!A982),配列!$C$4,集計記録,8,1),"0:01"))</f>
        <v>#NAME?</v>
      </c>
      <c r="I990" s="104" t="e">
        <f t="shared" ca="1" si="112"/>
        <v>#NAME?</v>
      </c>
      <c r="J990" s="119" t="e">
        <f ca="1">IF(C990="","",MROUND([0]!CSVVLookUP(ROW(行数!A982),配列!$C$4,集計記録,7,1),"0:01"))</f>
        <v>#NAME?</v>
      </c>
      <c r="K990" s="92" t="e">
        <f ca="1">IF(C990="","",[0]!CSVVLookUP(ROW(行数!A982),配列!$C$4,集計記録,5,1))</f>
        <v>#NAME?</v>
      </c>
      <c r="L990" s="104" t="e">
        <f t="shared" ca="1" si="113"/>
        <v>#NAME?</v>
      </c>
      <c r="M990" s="120" t="e">
        <f t="shared" ca="1" si="107"/>
        <v>#NAME?</v>
      </c>
      <c r="N990" s="120" t="e">
        <f ca="1">IF([0]!CSVVLookUP(ROW(行数!A982),配列!$C$4,集計記録,6,1)=0,"",[0]!CSVVLookUP(ROW(行数!A982),配列!$C$4,集計記録,6,1))</f>
        <v>#NAME?</v>
      </c>
      <c r="O990" s="88" t="e">
        <f ca="1">IF(INDIRECT("M"&amp;ROW()-1)&lt;&gt;INDIRECT("M"&amp;ROW()),リスト!$I$5,"")</f>
        <v>#NAME?</v>
      </c>
      <c r="P990" s="88" t="e">
        <f ca="1">IF(INDIRECT("M"&amp;ROW())&lt;&gt;INDIRECT("M"&amp;ROW()+1),リスト!$I$6,"")</f>
        <v>#NAME?</v>
      </c>
    </row>
    <row r="991" spans="1:16" x14ac:dyDescent="0.2">
      <c r="A991" s="169" t="e">
        <f ca="1">IF(C991="","",ROW(行数!A983))</f>
        <v>#NAME?</v>
      </c>
      <c r="B991" s="168" t="e">
        <f t="shared" ca="1" si="108"/>
        <v>#NAME?</v>
      </c>
      <c r="C991" s="90" t="e">
        <f ca="1">[0]!CSVVLookUP(ROW(行数!A983),配列!$C$4,集計記録,3,1)</f>
        <v>#NAME?</v>
      </c>
      <c r="D991" s="90" t="e">
        <f ca="1">[0]!CSVVLookUP(ROW(行数!B983),配列!$C$4,集計記録,4,1)</f>
        <v>#NAME?</v>
      </c>
      <c r="E991" s="118" t="e">
        <f t="shared" ca="1" si="109"/>
        <v>#NAME?</v>
      </c>
      <c r="F991" s="118" t="e">
        <f t="shared" ca="1" si="110"/>
        <v>#NAME?</v>
      </c>
      <c r="G991" s="103" t="e">
        <f t="shared" ca="1" si="111"/>
        <v>#NAME?</v>
      </c>
      <c r="H991" s="104" t="e">
        <f ca="1">IF(C991="","",MROUND([0]!CSVVLookUP(ROW(行数!A983),配列!$C$4,集計記録,8,1),"0:01"))</f>
        <v>#NAME?</v>
      </c>
      <c r="I991" s="104" t="e">
        <f t="shared" ca="1" si="112"/>
        <v>#NAME?</v>
      </c>
      <c r="J991" s="119" t="e">
        <f ca="1">IF(C991="","",MROUND([0]!CSVVLookUP(ROW(行数!A983),配列!$C$4,集計記録,7,1),"0:01"))</f>
        <v>#NAME?</v>
      </c>
      <c r="K991" s="92" t="e">
        <f ca="1">IF(C991="","",[0]!CSVVLookUP(ROW(行数!A983),配列!$C$4,集計記録,5,1))</f>
        <v>#NAME?</v>
      </c>
      <c r="L991" s="104" t="e">
        <f t="shared" ca="1" si="113"/>
        <v>#NAME?</v>
      </c>
      <c r="M991" s="120" t="e">
        <f t="shared" ca="1" si="107"/>
        <v>#NAME?</v>
      </c>
      <c r="N991" s="120" t="e">
        <f ca="1">IF([0]!CSVVLookUP(ROW(行数!A983),配列!$C$4,集計記録,6,1)=0,"",[0]!CSVVLookUP(ROW(行数!A983),配列!$C$4,集計記録,6,1))</f>
        <v>#NAME?</v>
      </c>
      <c r="O991" s="88" t="e">
        <f ca="1">IF(INDIRECT("M"&amp;ROW()-1)&lt;&gt;INDIRECT("M"&amp;ROW()),リスト!$I$5,"")</f>
        <v>#NAME?</v>
      </c>
      <c r="P991" s="88" t="e">
        <f ca="1">IF(INDIRECT("M"&amp;ROW())&lt;&gt;INDIRECT("M"&amp;ROW()+1),リスト!$I$6,"")</f>
        <v>#NAME?</v>
      </c>
    </row>
    <row r="992" spans="1:16" x14ac:dyDescent="0.2">
      <c r="A992" s="169" t="e">
        <f ca="1">IF(C992="","",ROW(行数!A984))</f>
        <v>#NAME?</v>
      </c>
      <c r="B992" s="168" t="e">
        <f t="shared" ca="1" si="108"/>
        <v>#NAME?</v>
      </c>
      <c r="C992" s="90" t="e">
        <f ca="1">[0]!CSVVLookUP(ROW(行数!A984),配列!$C$4,集計記録,3,1)</f>
        <v>#NAME?</v>
      </c>
      <c r="D992" s="90" t="e">
        <f ca="1">[0]!CSVVLookUP(ROW(行数!B984),配列!$C$4,集計記録,4,1)</f>
        <v>#NAME?</v>
      </c>
      <c r="E992" s="118" t="e">
        <f t="shared" ca="1" si="109"/>
        <v>#NAME?</v>
      </c>
      <c r="F992" s="118" t="e">
        <f t="shared" ca="1" si="110"/>
        <v>#NAME?</v>
      </c>
      <c r="G992" s="103" t="e">
        <f t="shared" ca="1" si="111"/>
        <v>#NAME?</v>
      </c>
      <c r="H992" s="104" t="e">
        <f ca="1">IF(C992="","",MROUND([0]!CSVVLookUP(ROW(行数!A984),配列!$C$4,集計記録,8,1),"0:01"))</f>
        <v>#NAME?</v>
      </c>
      <c r="I992" s="104" t="e">
        <f t="shared" ca="1" si="112"/>
        <v>#NAME?</v>
      </c>
      <c r="J992" s="119" t="e">
        <f ca="1">IF(C992="","",MROUND([0]!CSVVLookUP(ROW(行数!A984),配列!$C$4,集計記録,7,1),"0:01"))</f>
        <v>#NAME?</v>
      </c>
      <c r="K992" s="92" t="e">
        <f ca="1">IF(C992="","",[0]!CSVVLookUP(ROW(行数!A984),配列!$C$4,集計記録,5,1))</f>
        <v>#NAME?</v>
      </c>
      <c r="L992" s="104" t="e">
        <f t="shared" ca="1" si="113"/>
        <v>#NAME?</v>
      </c>
      <c r="M992" s="120" t="e">
        <f t="shared" ca="1" si="107"/>
        <v>#NAME?</v>
      </c>
      <c r="N992" s="120" t="e">
        <f ca="1">IF([0]!CSVVLookUP(ROW(行数!A984),配列!$C$4,集計記録,6,1)=0,"",[0]!CSVVLookUP(ROW(行数!A984),配列!$C$4,集計記録,6,1))</f>
        <v>#NAME?</v>
      </c>
      <c r="O992" s="88" t="e">
        <f ca="1">IF(INDIRECT("M"&amp;ROW()-1)&lt;&gt;INDIRECT("M"&amp;ROW()),リスト!$I$5,"")</f>
        <v>#NAME?</v>
      </c>
      <c r="P992" s="88" t="e">
        <f ca="1">IF(INDIRECT("M"&amp;ROW())&lt;&gt;INDIRECT("M"&amp;ROW()+1),リスト!$I$6,"")</f>
        <v>#NAME?</v>
      </c>
    </row>
    <row r="993" spans="1:16" x14ac:dyDescent="0.2">
      <c r="A993" s="169" t="e">
        <f ca="1">IF(C993="","",ROW(行数!A985))</f>
        <v>#NAME?</v>
      </c>
      <c r="B993" s="168" t="e">
        <f t="shared" ca="1" si="108"/>
        <v>#NAME?</v>
      </c>
      <c r="C993" s="90" t="e">
        <f ca="1">[0]!CSVVLookUP(ROW(行数!A985),配列!$C$4,集計記録,3,1)</f>
        <v>#NAME?</v>
      </c>
      <c r="D993" s="90" t="e">
        <f ca="1">[0]!CSVVLookUP(ROW(行数!B985),配列!$C$4,集計記録,4,1)</f>
        <v>#NAME?</v>
      </c>
      <c r="E993" s="118" t="e">
        <f t="shared" ca="1" si="109"/>
        <v>#NAME?</v>
      </c>
      <c r="F993" s="118" t="e">
        <f t="shared" ca="1" si="110"/>
        <v>#NAME?</v>
      </c>
      <c r="G993" s="103" t="e">
        <f t="shared" ca="1" si="111"/>
        <v>#NAME?</v>
      </c>
      <c r="H993" s="104" t="e">
        <f ca="1">IF(C993="","",MROUND([0]!CSVVLookUP(ROW(行数!A985),配列!$C$4,集計記録,8,1),"0:01"))</f>
        <v>#NAME?</v>
      </c>
      <c r="I993" s="104" t="e">
        <f t="shared" ca="1" si="112"/>
        <v>#NAME?</v>
      </c>
      <c r="J993" s="119" t="e">
        <f ca="1">IF(C993="","",MROUND([0]!CSVVLookUP(ROW(行数!A985),配列!$C$4,集計記録,7,1),"0:01"))</f>
        <v>#NAME?</v>
      </c>
      <c r="K993" s="92" t="e">
        <f ca="1">IF(C993="","",[0]!CSVVLookUP(ROW(行数!A985),配列!$C$4,集計記録,5,1))</f>
        <v>#NAME?</v>
      </c>
      <c r="L993" s="104" t="e">
        <f t="shared" ca="1" si="113"/>
        <v>#NAME?</v>
      </c>
      <c r="M993" s="120" t="e">
        <f t="shared" ca="1" si="107"/>
        <v>#NAME?</v>
      </c>
      <c r="N993" s="120" t="e">
        <f ca="1">IF([0]!CSVVLookUP(ROW(行数!A985),配列!$C$4,集計記録,6,1)=0,"",[0]!CSVVLookUP(ROW(行数!A985),配列!$C$4,集計記録,6,1))</f>
        <v>#NAME?</v>
      </c>
      <c r="O993" s="88" t="e">
        <f ca="1">IF(INDIRECT("M"&amp;ROW()-1)&lt;&gt;INDIRECT("M"&amp;ROW()),リスト!$I$5,"")</f>
        <v>#NAME?</v>
      </c>
      <c r="P993" s="88" t="e">
        <f ca="1">IF(INDIRECT("M"&amp;ROW())&lt;&gt;INDIRECT("M"&amp;ROW()+1),リスト!$I$6,"")</f>
        <v>#NAME?</v>
      </c>
    </row>
    <row r="994" spans="1:16" x14ac:dyDescent="0.2">
      <c r="A994" s="169" t="e">
        <f ca="1">IF(C994="","",ROW(行数!A986))</f>
        <v>#NAME?</v>
      </c>
      <c r="B994" s="168" t="e">
        <f t="shared" ca="1" si="108"/>
        <v>#NAME?</v>
      </c>
      <c r="C994" s="90" t="e">
        <f ca="1">[0]!CSVVLookUP(ROW(行数!A986),配列!$C$4,集計記録,3,1)</f>
        <v>#NAME?</v>
      </c>
      <c r="D994" s="90" t="e">
        <f ca="1">[0]!CSVVLookUP(ROW(行数!B986),配列!$C$4,集計記録,4,1)</f>
        <v>#NAME?</v>
      </c>
      <c r="E994" s="118" t="e">
        <f t="shared" ca="1" si="109"/>
        <v>#NAME?</v>
      </c>
      <c r="F994" s="118" t="e">
        <f t="shared" ca="1" si="110"/>
        <v>#NAME?</v>
      </c>
      <c r="G994" s="103" t="e">
        <f t="shared" ca="1" si="111"/>
        <v>#NAME?</v>
      </c>
      <c r="H994" s="104" t="e">
        <f ca="1">IF(C994="","",MROUND([0]!CSVVLookUP(ROW(行数!A986),配列!$C$4,集計記録,8,1),"0:01"))</f>
        <v>#NAME?</v>
      </c>
      <c r="I994" s="104" t="e">
        <f t="shared" ca="1" si="112"/>
        <v>#NAME?</v>
      </c>
      <c r="J994" s="119" t="e">
        <f ca="1">IF(C994="","",MROUND([0]!CSVVLookUP(ROW(行数!A986),配列!$C$4,集計記録,7,1),"0:01"))</f>
        <v>#NAME?</v>
      </c>
      <c r="K994" s="92" t="e">
        <f ca="1">IF(C994="","",[0]!CSVVLookUP(ROW(行数!A986),配列!$C$4,集計記録,5,1))</f>
        <v>#NAME?</v>
      </c>
      <c r="L994" s="104" t="e">
        <f t="shared" ca="1" si="113"/>
        <v>#NAME?</v>
      </c>
      <c r="M994" s="120" t="e">
        <f t="shared" ca="1" si="107"/>
        <v>#NAME?</v>
      </c>
      <c r="N994" s="120" t="e">
        <f ca="1">IF([0]!CSVVLookUP(ROW(行数!A986),配列!$C$4,集計記録,6,1)=0,"",[0]!CSVVLookUP(ROW(行数!A986),配列!$C$4,集計記録,6,1))</f>
        <v>#NAME?</v>
      </c>
      <c r="O994" s="88" t="e">
        <f ca="1">IF(INDIRECT("M"&amp;ROW()-1)&lt;&gt;INDIRECT("M"&amp;ROW()),リスト!$I$5,"")</f>
        <v>#NAME?</v>
      </c>
      <c r="P994" s="88" t="e">
        <f ca="1">IF(INDIRECT("M"&amp;ROW())&lt;&gt;INDIRECT("M"&amp;ROW()+1),リスト!$I$6,"")</f>
        <v>#NAME?</v>
      </c>
    </row>
    <row r="995" spans="1:16" x14ac:dyDescent="0.2">
      <c r="A995" s="169" t="e">
        <f ca="1">IF(C995="","",ROW(行数!A987))</f>
        <v>#NAME?</v>
      </c>
      <c r="B995" s="168" t="e">
        <f t="shared" ca="1" si="108"/>
        <v>#NAME?</v>
      </c>
      <c r="C995" s="90" t="e">
        <f ca="1">[0]!CSVVLookUP(ROW(行数!A987),配列!$C$4,集計記録,3,1)</f>
        <v>#NAME?</v>
      </c>
      <c r="D995" s="90" t="e">
        <f ca="1">[0]!CSVVLookUP(ROW(行数!B987),配列!$C$4,集計記録,4,1)</f>
        <v>#NAME?</v>
      </c>
      <c r="E995" s="118" t="e">
        <f t="shared" ca="1" si="109"/>
        <v>#NAME?</v>
      </c>
      <c r="F995" s="118" t="e">
        <f t="shared" ca="1" si="110"/>
        <v>#NAME?</v>
      </c>
      <c r="G995" s="103" t="e">
        <f t="shared" ca="1" si="111"/>
        <v>#NAME?</v>
      </c>
      <c r="H995" s="104" t="e">
        <f ca="1">IF(C995="","",MROUND([0]!CSVVLookUP(ROW(行数!A987),配列!$C$4,集計記録,8,1),"0:01"))</f>
        <v>#NAME?</v>
      </c>
      <c r="I995" s="104" t="e">
        <f ca="1">IF(C995="","",MROUND(J995-H995,"0:01"))</f>
        <v>#NAME?</v>
      </c>
      <c r="J995" s="119" t="e">
        <f ca="1">IF(C995="","",MROUND([0]!CSVVLookUP(ROW(行数!A987),配列!$C$4,集計記録,7,1),"0:01"))</f>
        <v>#NAME?</v>
      </c>
      <c r="K995" s="92" t="e">
        <f ca="1">IF(C995="","",[0]!CSVVLookUP(ROW(行数!A987),配列!$C$4,集計記録,5,1))</f>
        <v>#NAME?</v>
      </c>
      <c r="L995" s="104" t="e">
        <f ca="1">IF(C995="","",MROUND(E995/(K995+1),"00:01"))</f>
        <v>#NAME?</v>
      </c>
      <c r="M995" s="120" t="e">
        <f t="shared" ca="1" si="107"/>
        <v>#NAME?</v>
      </c>
      <c r="N995" s="120" t="e">
        <f ca="1">IF([0]!CSVVLookUP(ROW(行数!A987),配列!$C$4,集計記録,6,1)=0,"",[0]!CSVVLookUP(ROW(行数!A987),配列!$C$4,集計記録,6,1))</f>
        <v>#NAME?</v>
      </c>
      <c r="O995" s="88" t="e">
        <f ca="1">IF(INDIRECT("M"&amp;ROW()-1)&lt;&gt;INDIRECT("M"&amp;ROW()),リスト!$I$5,"")</f>
        <v>#NAME?</v>
      </c>
      <c r="P995" s="88" t="e">
        <f ca="1">IF(INDIRECT("M"&amp;ROW())&lt;&gt;INDIRECT("M"&amp;ROW()+1),リスト!$I$6,"")</f>
        <v>#NAME?</v>
      </c>
    </row>
    <row r="996" spans="1:16" x14ac:dyDescent="0.2">
      <c r="A996" s="169" t="e">
        <f ca="1">IF(C996="","",ROW(行数!A988))</f>
        <v>#NAME?</v>
      </c>
      <c r="B996" s="168" t="e">
        <f t="shared" ca="1" si="108"/>
        <v>#NAME?</v>
      </c>
      <c r="C996" s="90" t="e">
        <f ca="1">[0]!CSVVLookUP(ROW(行数!A988),配列!$C$4,集計記録,3,1)</f>
        <v>#NAME?</v>
      </c>
      <c r="D996" s="90" t="e">
        <f ca="1">[0]!CSVVLookUP(ROW(行数!B988),配列!$C$4,集計記録,4,1)</f>
        <v>#NAME?</v>
      </c>
      <c r="E996" s="118" t="e">
        <f t="shared" ca="1" si="109"/>
        <v>#NAME?</v>
      </c>
      <c r="F996" s="118" t="e">
        <f t="shared" ca="1" si="110"/>
        <v>#NAME?</v>
      </c>
      <c r="G996" s="103" t="e">
        <f t="shared" ca="1" si="111"/>
        <v>#NAME?</v>
      </c>
      <c r="H996" s="104" t="e">
        <f ca="1">IF(C996="","",MROUND([0]!CSVVLookUP(ROW(行数!A988),配列!$C$4,集計記録,8,1),"0:01"))</f>
        <v>#NAME?</v>
      </c>
      <c r="I996" s="104" t="e">
        <f t="shared" ref="I996:I1000" ca="1" si="114">IF(C996="","",MROUND(J996-H996,"0:01"))</f>
        <v>#NAME?</v>
      </c>
      <c r="J996" s="119" t="e">
        <f ca="1">IF(C996="","",MROUND([0]!CSVVLookUP(ROW(行数!A988),配列!$C$4,集計記録,7,1),"0:01"))</f>
        <v>#NAME?</v>
      </c>
      <c r="K996" s="92" t="e">
        <f ca="1">IF(C996="","",[0]!CSVVLookUP(ROW(行数!A988),配列!$C$4,集計記録,5,1))</f>
        <v>#NAME?</v>
      </c>
      <c r="L996" s="104" t="e">
        <f t="shared" ref="L996:L1000" ca="1" si="115">IF(C996="","",MROUND(E996/(K996+1),"00:01"))</f>
        <v>#NAME?</v>
      </c>
      <c r="M996" s="120" t="e">
        <f t="shared" ca="1" si="107"/>
        <v>#NAME?</v>
      </c>
      <c r="N996" s="120" t="e">
        <f ca="1">IF([0]!CSVVLookUP(ROW(行数!A988),配列!$C$4,集計記録,6,1)=0,"",[0]!CSVVLookUP(ROW(行数!A988),配列!$C$4,集計記録,6,1))</f>
        <v>#NAME?</v>
      </c>
      <c r="O996" s="88" t="e">
        <f ca="1">IF(INDIRECT("M"&amp;ROW()-1)&lt;&gt;INDIRECT("M"&amp;ROW()),リスト!$I$5,"")</f>
        <v>#NAME?</v>
      </c>
      <c r="P996" s="88" t="e">
        <f ca="1">IF(INDIRECT("M"&amp;ROW())&lt;&gt;INDIRECT("M"&amp;ROW()+1),リスト!$I$6,"")</f>
        <v>#NAME?</v>
      </c>
    </row>
    <row r="997" spans="1:16" x14ac:dyDescent="0.2">
      <c r="A997" s="169" t="e">
        <f ca="1">IF(C997="","",ROW(行数!A989))</f>
        <v>#NAME?</v>
      </c>
      <c r="B997" s="168" t="e">
        <f t="shared" ca="1" si="108"/>
        <v>#NAME?</v>
      </c>
      <c r="C997" s="90" t="e">
        <f ca="1">[0]!CSVVLookUP(ROW(行数!A989),配列!$C$4,集計記録,3,1)</f>
        <v>#NAME?</v>
      </c>
      <c r="D997" s="90" t="e">
        <f ca="1">[0]!CSVVLookUP(ROW(行数!B989),配列!$C$4,集計記録,4,1)</f>
        <v>#NAME?</v>
      </c>
      <c r="E997" s="118" t="e">
        <f t="shared" ca="1" si="109"/>
        <v>#NAME?</v>
      </c>
      <c r="F997" s="118" t="e">
        <f t="shared" ca="1" si="110"/>
        <v>#NAME?</v>
      </c>
      <c r="G997" s="103" t="e">
        <f t="shared" ca="1" si="111"/>
        <v>#NAME?</v>
      </c>
      <c r="H997" s="104" t="e">
        <f ca="1">IF(C997="","",MROUND([0]!CSVVLookUP(ROW(行数!A989),配列!$C$4,集計記録,8,1),"0:01"))</f>
        <v>#NAME?</v>
      </c>
      <c r="I997" s="104" t="e">
        <f t="shared" ca="1" si="114"/>
        <v>#NAME?</v>
      </c>
      <c r="J997" s="119" t="e">
        <f ca="1">IF(C997="","",MROUND([0]!CSVVLookUP(ROW(行数!A989),配列!$C$4,集計記録,7,1),"0:01"))</f>
        <v>#NAME?</v>
      </c>
      <c r="K997" s="92" t="e">
        <f ca="1">IF(C997="","",[0]!CSVVLookUP(ROW(行数!A989),配列!$C$4,集計記録,5,1))</f>
        <v>#NAME?</v>
      </c>
      <c r="L997" s="104" t="e">
        <f t="shared" ca="1" si="115"/>
        <v>#NAME?</v>
      </c>
      <c r="M997" s="120" t="e">
        <f t="shared" ca="1" si="107"/>
        <v>#NAME?</v>
      </c>
      <c r="N997" s="120" t="e">
        <f ca="1">IF([0]!CSVVLookUP(ROW(行数!A989),配列!$C$4,集計記録,6,1)=0,"",[0]!CSVVLookUP(ROW(行数!A989),配列!$C$4,集計記録,6,1))</f>
        <v>#NAME?</v>
      </c>
      <c r="O997" s="88" t="e">
        <f ca="1">IF(INDIRECT("M"&amp;ROW()-1)&lt;&gt;INDIRECT("M"&amp;ROW()),リスト!$I$5,"")</f>
        <v>#NAME?</v>
      </c>
      <c r="P997" s="88" t="e">
        <f ca="1">IF(INDIRECT("M"&amp;ROW())&lt;&gt;INDIRECT("M"&amp;ROW()+1),リスト!$I$6,"")</f>
        <v>#NAME?</v>
      </c>
    </row>
    <row r="998" spans="1:16" x14ac:dyDescent="0.2">
      <c r="A998" s="169" t="e">
        <f ca="1">IF(C998="","",ROW(行数!A990))</f>
        <v>#NAME?</v>
      </c>
      <c r="B998" s="168" t="e">
        <f t="shared" ca="1" si="108"/>
        <v>#NAME?</v>
      </c>
      <c r="C998" s="90" t="e">
        <f ca="1">[0]!CSVVLookUP(ROW(行数!A990),配列!$C$4,集計記録,3,1)</f>
        <v>#NAME?</v>
      </c>
      <c r="D998" s="90" t="e">
        <f ca="1">[0]!CSVVLookUP(ROW(行数!B990),配列!$C$4,集計記録,4,1)</f>
        <v>#NAME?</v>
      </c>
      <c r="E998" s="118" t="e">
        <f t="shared" ca="1" si="109"/>
        <v>#NAME?</v>
      </c>
      <c r="F998" s="118" t="e">
        <f t="shared" ca="1" si="110"/>
        <v>#NAME?</v>
      </c>
      <c r="G998" s="103" t="e">
        <f t="shared" ca="1" si="111"/>
        <v>#NAME?</v>
      </c>
      <c r="H998" s="104" t="e">
        <f ca="1">IF(C998="","",MROUND([0]!CSVVLookUP(ROW(行数!A990),配列!$C$4,集計記録,8,1),"0:01"))</f>
        <v>#NAME?</v>
      </c>
      <c r="I998" s="104" t="e">
        <f t="shared" ca="1" si="114"/>
        <v>#NAME?</v>
      </c>
      <c r="J998" s="119" t="e">
        <f ca="1">IF(C998="","",MROUND([0]!CSVVLookUP(ROW(行数!A990),配列!$C$4,集計記録,7,1),"0:01"))</f>
        <v>#NAME?</v>
      </c>
      <c r="K998" s="92" t="e">
        <f ca="1">IF(C998="","",[0]!CSVVLookUP(ROW(行数!A990),配列!$C$4,集計記録,5,1))</f>
        <v>#NAME?</v>
      </c>
      <c r="L998" s="104" t="e">
        <f t="shared" ca="1" si="115"/>
        <v>#NAME?</v>
      </c>
      <c r="M998" s="120" t="e">
        <f t="shared" ca="1" si="107"/>
        <v>#NAME?</v>
      </c>
      <c r="N998" s="120" t="e">
        <f ca="1">IF([0]!CSVVLookUP(ROW(行数!A990),配列!$C$4,集計記録,6,1)=0,"",[0]!CSVVLookUP(ROW(行数!A990),配列!$C$4,集計記録,6,1))</f>
        <v>#NAME?</v>
      </c>
      <c r="O998" s="88" t="e">
        <f ca="1">IF(INDIRECT("M"&amp;ROW()-1)&lt;&gt;INDIRECT("M"&amp;ROW()),リスト!$I$5,"")</f>
        <v>#NAME?</v>
      </c>
      <c r="P998" s="88" t="e">
        <f ca="1">IF(INDIRECT("M"&amp;ROW())&lt;&gt;INDIRECT("M"&amp;ROW()+1),リスト!$I$6,"")</f>
        <v>#NAME?</v>
      </c>
    </row>
    <row r="999" spans="1:16" x14ac:dyDescent="0.2">
      <c r="A999" s="169" t="e">
        <f ca="1">IF(C999="","",ROW(行数!A991))</f>
        <v>#NAME?</v>
      </c>
      <c r="B999" s="168" t="e">
        <f t="shared" ca="1" si="108"/>
        <v>#NAME?</v>
      </c>
      <c r="C999" s="90" t="e">
        <f ca="1">[0]!CSVVLookUP(ROW(行数!A991),配列!$C$4,集計記録,3,1)</f>
        <v>#NAME?</v>
      </c>
      <c r="D999" s="90" t="e">
        <f ca="1">[0]!CSVVLookUP(ROW(行数!B991),配列!$C$4,集計記録,4,1)</f>
        <v>#NAME?</v>
      </c>
      <c r="E999" s="118" t="e">
        <f t="shared" ca="1" si="109"/>
        <v>#NAME?</v>
      </c>
      <c r="F999" s="118" t="e">
        <f t="shared" ca="1" si="110"/>
        <v>#NAME?</v>
      </c>
      <c r="G999" s="103" t="e">
        <f t="shared" ca="1" si="111"/>
        <v>#NAME?</v>
      </c>
      <c r="H999" s="104" t="e">
        <f ca="1">IF(C999="","",MROUND([0]!CSVVLookUP(ROW(行数!A991),配列!$C$4,集計記録,8,1),"0:01"))</f>
        <v>#NAME?</v>
      </c>
      <c r="I999" s="104" t="e">
        <f t="shared" ca="1" si="114"/>
        <v>#NAME?</v>
      </c>
      <c r="J999" s="119" t="e">
        <f ca="1">IF(C999="","",MROUND([0]!CSVVLookUP(ROW(行数!A991),配列!$C$4,集計記録,7,1),"0:01"))</f>
        <v>#NAME?</v>
      </c>
      <c r="K999" s="92" t="e">
        <f ca="1">IF(C999="","",[0]!CSVVLookUP(ROW(行数!A991),配列!$C$4,集計記録,5,1))</f>
        <v>#NAME?</v>
      </c>
      <c r="L999" s="104" t="e">
        <f t="shared" ca="1" si="115"/>
        <v>#NAME?</v>
      </c>
      <c r="M999" s="120" t="e">
        <f t="shared" ca="1" si="107"/>
        <v>#NAME?</v>
      </c>
      <c r="N999" s="120" t="e">
        <f ca="1">IF([0]!CSVVLookUP(ROW(行数!A991),配列!$C$4,集計記録,6,1)=0,"",[0]!CSVVLookUP(ROW(行数!A991),配列!$C$4,集計記録,6,1))</f>
        <v>#NAME?</v>
      </c>
      <c r="O999" s="88" t="e">
        <f ca="1">IF(INDIRECT("M"&amp;ROW()-1)&lt;&gt;INDIRECT("M"&amp;ROW()),リスト!$I$5,"")</f>
        <v>#NAME?</v>
      </c>
      <c r="P999" s="88" t="e">
        <f ca="1">IF(INDIRECT("M"&amp;ROW())&lt;&gt;INDIRECT("M"&amp;ROW()+1),リスト!$I$6,"")</f>
        <v>#NAME?</v>
      </c>
    </row>
    <row r="1000" spans="1:16" x14ac:dyDescent="0.2">
      <c r="A1000" s="169" t="e">
        <f ca="1">IF(C1000="","",ROW(行数!A992))</f>
        <v>#NAME?</v>
      </c>
      <c r="B1000" s="168" t="e">
        <f t="shared" ca="1" si="108"/>
        <v>#NAME?</v>
      </c>
      <c r="C1000" s="90" t="e">
        <f ca="1">[0]!CSVVLookUP(ROW(行数!A992),配列!$C$4,集計記録,3,1)</f>
        <v>#NAME?</v>
      </c>
      <c r="D1000" s="90" t="e">
        <f ca="1">[0]!CSVVLookUP(ROW(行数!B992),配列!$C$4,集計記録,4,1)</f>
        <v>#NAME?</v>
      </c>
      <c r="E1000" s="118" t="e">
        <f t="shared" ca="1" si="109"/>
        <v>#NAME?</v>
      </c>
      <c r="F1000" s="118" t="e">
        <f t="shared" ca="1" si="110"/>
        <v>#NAME?</v>
      </c>
      <c r="G1000" s="103" t="e">
        <f t="shared" ca="1" si="111"/>
        <v>#NAME?</v>
      </c>
      <c r="H1000" s="104" t="e">
        <f ca="1">IF(C1000="","",MROUND([0]!CSVVLookUP(ROW(行数!A992),配列!$C$4,集計記録,8,1),"0:01"))</f>
        <v>#NAME?</v>
      </c>
      <c r="I1000" s="104" t="e">
        <f t="shared" ca="1" si="114"/>
        <v>#NAME?</v>
      </c>
      <c r="J1000" s="119" t="e">
        <f ca="1">IF(C1000="","",MROUND([0]!CSVVLookUP(ROW(行数!A992),配列!$C$4,集計記録,7,1),"0:01"))</f>
        <v>#NAME?</v>
      </c>
      <c r="K1000" s="92" t="e">
        <f ca="1">IF(C1000="","",[0]!CSVVLookUP(ROW(行数!A992),配列!$C$4,集計記録,5,1))</f>
        <v>#NAME?</v>
      </c>
      <c r="L1000" s="104" t="e">
        <f t="shared" ca="1" si="115"/>
        <v>#NAME?</v>
      </c>
      <c r="M1000" s="120" t="e">
        <f t="shared" ca="1" si="107"/>
        <v>#NAME?</v>
      </c>
      <c r="N1000" s="120" t="e">
        <f ca="1">IF([0]!CSVVLookUP(ROW(行数!A992),配列!$C$4,集計記録,6,1)=0,"",[0]!CSVVLookUP(ROW(行数!A992),配列!$C$4,集計記録,6,1))</f>
        <v>#NAME?</v>
      </c>
      <c r="O1000" s="88" t="e">
        <f ca="1">IF(INDIRECT("M"&amp;ROW()-1)&lt;&gt;INDIRECT("M"&amp;ROW()),リスト!$I$5,"")</f>
        <v>#NAME?</v>
      </c>
      <c r="P1000" s="88" t="e">
        <f ca="1">IF(INDIRECT("M"&amp;ROW())&lt;&gt;INDIRECT("M"&amp;ROW()+1),リスト!$I$6,"")</f>
        <v>#NAME?</v>
      </c>
    </row>
  </sheetData>
  <phoneticPr fontId="1"/>
  <conditionalFormatting sqref="C9:F1000 L9:L1000 H9:J1000">
    <cfRule type="expression" dxfId="97" priority="3">
      <formula>SECOND(C9)&gt;0</formula>
    </cfRule>
  </conditionalFormatting>
  <pageMargins left="0.7" right="0.7" top="0.75" bottom="0.75" header="0.3" footer="0.3"/>
  <pageSetup paperSize="9" scale="62" orientation="landscape" r:id="rId1"/>
  <rowBreaks count="1" manualBreakCount="1">
    <brk id="124" max="16383" man="1"/>
  </rowBreaks>
  <colBreaks count="1" manualBreakCount="1">
    <brk id="14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O220"/>
  <sheetViews>
    <sheetView zoomScale="85" zoomScaleNormal="85" workbookViewId="0">
      <pane ySplit="7" topLeftCell="A73" activePane="bottomLeft" state="frozen"/>
      <selection pane="bottomLeft" activeCell="I84" sqref="I84"/>
    </sheetView>
  </sheetViews>
  <sheetFormatPr defaultColWidth="9" defaultRowHeight="13" x14ac:dyDescent="0.2"/>
  <cols>
    <col min="2" max="2" width="9.26953125" style="16" bestFit="1" customWidth="1"/>
    <col min="3" max="4" width="17.08984375" bestFit="1" customWidth="1"/>
    <col min="5" max="6" width="9" style="16"/>
    <col min="9" max="9" width="16.453125" style="16" bestFit="1" customWidth="1"/>
  </cols>
  <sheetData>
    <row r="2" spans="2:15" ht="19" x14ac:dyDescent="0.2">
      <c r="B2" s="247" t="s">
        <v>186</v>
      </c>
      <c r="C2" s="25"/>
    </row>
    <row r="5" spans="2:15" x14ac:dyDescent="0.2">
      <c r="M5" s="20"/>
    </row>
    <row r="6" spans="2:15" ht="13.4" customHeight="1" x14ac:dyDescent="0.2">
      <c r="B6" s="321" t="s">
        <v>181</v>
      </c>
      <c r="C6" s="322" t="s">
        <v>20</v>
      </c>
      <c r="D6" s="322"/>
      <c r="E6" s="227" t="s">
        <v>34</v>
      </c>
      <c r="F6" s="228" t="s">
        <v>23</v>
      </c>
      <c r="G6" s="229" t="s">
        <v>35</v>
      </c>
      <c r="H6" s="319" t="s">
        <v>145</v>
      </c>
      <c r="I6" s="321" t="s">
        <v>182</v>
      </c>
      <c r="J6" s="323" t="s">
        <v>86</v>
      </c>
      <c r="K6" s="319" t="s">
        <v>146</v>
      </c>
      <c r="L6" s="230" t="s">
        <v>84</v>
      </c>
      <c r="M6" s="20"/>
    </row>
    <row r="7" spans="2:15" x14ac:dyDescent="0.2">
      <c r="B7" s="321"/>
      <c r="C7" s="322"/>
      <c r="D7" s="322"/>
      <c r="E7" s="227" t="s">
        <v>183</v>
      </c>
      <c r="F7" s="228" t="s">
        <v>188</v>
      </c>
      <c r="G7" s="229" t="s">
        <v>36</v>
      </c>
      <c r="H7" s="320"/>
      <c r="I7" s="321"/>
      <c r="J7" s="324"/>
      <c r="K7" s="320"/>
      <c r="L7" s="230" t="s">
        <v>184</v>
      </c>
      <c r="M7" s="20"/>
    </row>
    <row r="8" spans="2:15" ht="13.5" thickBot="1" x14ac:dyDescent="0.25">
      <c r="B8" s="226" t="e">
        <f ca="1">'利用時間(シフト)'!B9</f>
        <v>#NAME?</v>
      </c>
      <c r="C8" s="231" t="e">
        <f ca="1">'利用時間(シフト)'!C9</f>
        <v>#NAME?</v>
      </c>
      <c r="D8" s="231" t="e">
        <f ca="1">'利用時間(シフト)'!D9</f>
        <v>#NAME?</v>
      </c>
      <c r="E8" s="241" t="e">
        <f t="shared" ref="E8:E71" ca="1" si="0">IF($C8="","",VLOOKUP($C8,運転条件判定,14,1))</f>
        <v>#NAME?</v>
      </c>
      <c r="F8" s="242" t="e">
        <f t="shared" ref="F8:F71" ca="1" si="1">IF($C8="","",VLOOKUP($C8,運転条件判定,16,1))</f>
        <v>#NAME?</v>
      </c>
      <c r="G8" s="232" t="e">
        <f ca="1">'利用時間(シフト)'!L9</f>
        <v>#NAME?</v>
      </c>
      <c r="H8" s="233" t="e">
        <f ca="1">'利用時間(シフト)'!K9</f>
        <v>#NAME?</v>
      </c>
      <c r="I8" s="245" t="e">
        <f ca="1">'利用時間(シフト)'!M9</f>
        <v>#NAME?</v>
      </c>
      <c r="J8" s="234" t="e">
        <f t="shared" ref="J8:J71" ca="1" si="2">IF($C8="","",VLOOKUP($C8,運転条件判定,12,1))</f>
        <v>#NAME?</v>
      </c>
      <c r="K8" s="233" t="e">
        <f t="shared" ref="K8:K71" ca="1" si="3">IF(C8="","",SUMIFS($H$8:$H$1000,$I$8:$I$1000,I8,$B$8:$B$1000,B8))</f>
        <v>#NAME?</v>
      </c>
      <c r="L8" s="235" t="e">
        <f t="shared" ref="L8:L71" ca="1" si="4">IF($C8="","",VLOOKUP($C8,運転条件判定,15,1))</f>
        <v>#NAME?</v>
      </c>
      <c r="M8" s="20"/>
      <c r="O8" s="248" t="s">
        <v>185</v>
      </c>
    </row>
    <row r="9" spans="2:15" ht="13.5" thickBot="1" x14ac:dyDescent="0.25">
      <c r="B9" s="226" t="e">
        <f ca="1">'利用時間(シフト)'!B10</f>
        <v>#NAME?</v>
      </c>
      <c r="C9" s="236" t="e">
        <f ca="1">'利用時間(シフト)'!C10</f>
        <v>#NAME?</v>
      </c>
      <c r="D9" s="236" t="e">
        <f ca="1">'利用時間(シフト)'!D10</f>
        <v>#NAME?</v>
      </c>
      <c r="E9" s="243" t="e">
        <f ca="1">IF($C9="","",VLOOKUP($C9,運転条件判定,14,1))</f>
        <v>#NAME?</v>
      </c>
      <c r="F9" s="244" t="e">
        <f t="shared" ca="1" si="1"/>
        <v>#NAME?</v>
      </c>
      <c r="G9" s="237" t="e">
        <f ca="1">'利用時間(シフト)'!L10</f>
        <v>#NAME?</v>
      </c>
      <c r="H9" s="238" t="e">
        <f ca="1">'利用時間(シフト)'!K10</f>
        <v>#NAME?</v>
      </c>
      <c r="I9" s="246" t="e">
        <f ca="1">'利用時間(シフト)'!M10</f>
        <v>#NAME?</v>
      </c>
      <c r="J9" s="239" t="e">
        <f t="shared" ca="1" si="2"/>
        <v>#NAME?</v>
      </c>
      <c r="K9" s="238" t="e">
        <f t="shared" ca="1" si="3"/>
        <v>#NAME?</v>
      </c>
      <c r="L9" s="240" t="e">
        <f t="shared" ca="1" si="4"/>
        <v>#NAME?</v>
      </c>
      <c r="M9" s="20"/>
      <c r="O9" s="249" t="e">
        <f ca="1">SUM(H8:H499)</f>
        <v>#NAME?</v>
      </c>
    </row>
    <row r="10" spans="2:15" x14ac:dyDescent="0.2">
      <c r="B10" s="226" t="e">
        <f ca="1">'利用時間(シフト)'!B11</f>
        <v>#NAME?</v>
      </c>
      <c r="C10" s="236" t="e">
        <f ca="1">'利用時間(シフト)'!C11</f>
        <v>#NAME?</v>
      </c>
      <c r="D10" s="236" t="e">
        <f ca="1">'利用時間(シフト)'!D11</f>
        <v>#NAME?</v>
      </c>
      <c r="E10" s="243" t="e">
        <f t="shared" ca="1" si="0"/>
        <v>#NAME?</v>
      </c>
      <c r="F10" s="244" t="e">
        <f t="shared" ca="1" si="1"/>
        <v>#NAME?</v>
      </c>
      <c r="G10" s="237" t="e">
        <f ca="1">'利用時間(シフト)'!L11</f>
        <v>#NAME?</v>
      </c>
      <c r="H10" s="238" t="e">
        <f ca="1">'利用時間(シフト)'!K11</f>
        <v>#NAME?</v>
      </c>
      <c r="I10" s="246" t="e">
        <f ca="1">'利用時間(シフト)'!M11</f>
        <v>#NAME?</v>
      </c>
      <c r="J10" s="239" t="e">
        <f t="shared" ca="1" si="2"/>
        <v>#NAME?</v>
      </c>
      <c r="K10" s="238" t="e">
        <f t="shared" ca="1" si="3"/>
        <v>#NAME?</v>
      </c>
      <c r="L10" s="240" t="e">
        <f t="shared" ca="1" si="4"/>
        <v>#NAME?</v>
      </c>
      <c r="M10" s="20"/>
    </row>
    <row r="11" spans="2:15" x14ac:dyDescent="0.2">
      <c r="B11" s="226" t="e">
        <f ca="1">'利用時間(シフト)'!B12</f>
        <v>#NAME?</v>
      </c>
      <c r="C11" s="236" t="e">
        <f ca="1">'利用時間(シフト)'!C12</f>
        <v>#NAME?</v>
      </c>
      <c r="D11" s="236" t="e">
        <f ca="1">'利用時間(シフト)'!D12</f>
        <v>#NAME?</v>
      </c>
      <c r="E11" s="243" t="e">
        <f t="shared" ca="1" si="0"/>
        <v>#NAME?</v>
      </c>
      <c r="F11" s="244" t="e">
        <f t="shared" ca="1" si="1"/>
        <v>#NAME?</v>
      </c>
      <c r="G11" s="237" t="e">
        <f ca="1">'利用時間(シフト)'!L12</f>
        <v>#NAME?</v>
      </c>
      <c r="H11" s="238" t="e">
        <f ca="1">'利用時間(シフト)'!K12</f>
        <v>#NAME?</v>
      </c>
      <c r="I11" s="246" t="e">
        <f ca="1">'利用時間(シフト)'!M12</f>
        <v>#NAME?</v>
      </c>
      <c r="J11" s="239" t="e">
        <f t="shared" ca="1" si="2"/>
        <v>#NAME?</v>
      </c>
      <c r="K11" s="238" t="e">
        <f t="shared" ca="1" si="3"/>
        <v>#NAME?</v>
      </c>
      <c r="L11" s="240" t="e">
        <f t="shared" ca="1" si="4"/>
        <v>#NAME?</v>
      </c>
      <c r="M11" s="20"/>
    </row>
    <row r="12" spans="2:15" x14ac:dyDescent="0.2">
      <c r="B12" s="226" t="e">
        <f ca="1">'利用時間(シフト)'!B13</f>
        <v>#NAME?</v>
      </c>
      <c r="C12" s="236" t="e">
        <f ca="1">'利用時間(シフト)'!C13</f>
        <v>#NAME?</v>
      </c>
      <c r="D12" s="236" t="e">
        <f ca="1">'利用時間(シフト)'!D13</f>
        <v>#NAME?</v>
      </c>
      <c r="E12" s="243" t="e">
        <f t="shared" ca="1" si="0"/>
        <v>#NAME?</v>
      </c>
      <c r="F12" s="244" t="e">
        <f t="shared" ca="1" si="1"/>
        <v>#NAME?</v>
      </c>
      <c r="G12" s="237" t="e">
        <f ca="1">'利用時間(シフト)'!L13</f>
        <v>#NAME?</v>
      </c>
      <c r="H12" s="238" t="e">
        <f ca="1">'利用時間(シフト)'!K13</f>
        <v>#NAME?</v>
      </c>
      <c r="I12" s="246" t="e">
        <f ca="1">'利用時間(シフト)'!M13</f>
        <v>#NAME?</v>
      </c>
      <c r="J12" s="239" t="e">
        <f t="shared" ca="1" si="2"/>
        <v>#NAME?</v>
      </c>
      <c r="K12" s="238" t="e">
        <f t="shared" ca="1" si="3"/>
        <v>#NAME?</v>
      </c>
      <c r="L12" s="240" t="e">
        <f t="shared" ca="1" si="4"/>
        <v>#NAME?</v>
      </c>
      <c r="M12" s="43"/>
    </row>
    <row r="13" spans="2:15" x14ac:dyDescent="0.2">
      <c r="B13" s="226" t="e">
        <f ca="1">'利用時間(シフト)'!B14</f>
        <v>#NAME?</v>
      </c>
      <c r="C13" s="236" t="e">
        <f ca="1">'利用時間(シフト)'!C14</f>
        <v>#NAME?</v>
      </c>
      <c r="D13" s="236" t="e">
        <f ca="1">'利用時間(シフト)'!D14</f>
        <v>#NAME?</v>
      </c>
      <c r="E13" s="243" t="e">
        <f t="shared" ca="1" si="0"/>
        <v>#NAME?</v>
      </c>
      <c r="F13" s="244" t="e">
        <f t="shared" ca="1" si="1"/>
        <v>#NAME?</v>
      </c>
      <c r="G13" s="237" t="e">
        <f ca="1">'利用時間(シフト)'!L14</f>
        <v>#NAME?</v>
      </c>
      <c r="H13" s="238" t="e">
        <f ca="1">'利用時間(シフト)'!K14</f>
        <v>#NAME?</v>
      </c>
      <c r="I13" s="246" t="e">
        <f ca="1">'利用時間(シフト)'!M14</f>
        <v>#NAME?</v>
      </c>
      <c r="J13" s="239" t="e">
        <f t="shared" ca="1" si="2"/>
        <v>#NAME?</v>
      </c>
      <c r="K13" s="238" t="e">
        <f t="shared" ca="1" si="3"/>
        <v>#NAME?</v>
      </c>
      <c r="L13" s="240" t="e">
        <f t="shared" ca="1" si="4"/>
        <v>#NAME?</v>
      </c>
      <c r="M13" s="20"/>
    </row>
    <row r="14" spans="2:15" x14ac:dyDescent="0.2">
      <c r="B14" s="226" t="e">
        <f ca="1">'利用時間(シフト)'!B15</f>
        <v>#NAME?</v>
      </c>
      <c r="C14" s="236" t="e">
        <f ca="1">'利用時間(シフト)'!C15</f>
        <v>#NAME?</v>
      </c>
      <c r="D14" s="236" t="e">
        <f ca="1">'利用時間(シフト)'!D15</f>
        <v>#NAME?</v>
      </c>
      <c r="E14" s="243" t="e">
        <f t="shared" ca="1" si="0"/>
        <v>#NAME?</v>
      </c>
      <c r="F14" s="244" t="e">
        <f t="shared" ca="1" si="1"/>
        <v>#NAME?</v>
      </c>
      <c r="G14" s="237" t="e">
        <f ca="1">'利用時間(シフト)'!L15</f>
        <v>#NAME?</v>
      </c>
      <c r="H14" s="238" t="e">
        <f ca="1">'利用時間(シフト)'!K15</f>
        <v>#NAME?</v>
      </c>
      <c r="I14" s="246" t="e">
        <f ca="1">'利用時間(シフト)'!M15</f>
        <v>#NAME?</v>
      </c>
      <c r="J14" s="239" t="e">
        <f t="shared" ca="1" si="2"/>
        <v>#NAME?</v>
      </c>
      <c r="K14" s="238" t="e">
        <f t="shared" ca="1" si="3"/>
        <v>#NAME?</v>
      </c>
      <c r="L14" s="240" t="e">
        <f t="shared" ca="1" si="4"/>
        <v>#NAME?</v>
      </c>
      <c r="M14" s="20"/>
    </row>
    <row r="15" spans="2:15" x14ac:dyDescent="0.2">
      <c r="B15" s="226" t="e">
        <f ca="1">'利用時間(シフト)'!B16</f>
        <v>#NAME?</v>
      </c>
      <c r="C15" s="236" t="e">
        <f ca="1">'利用時間(シフト)'!C16</f>
        <v>#NAME?</v>
      </c>
      <c r="D15" s="236" t="e">
        <f ca="1">'利用時間(シフト)'!D16</f>
        <v>#NAME?</v>
      </c>
      <c r="E15" s="243" t="e">
        <f t="shared" ca="1" si="0"/>
        <v>#NAME?</v>
      </c>
      <c r="F15" s="244" t="e">
        <f t="shared" ca="1" si="1"/>
        <v>#NAME?</v>
      </c>
      <c r="G15" s="237" t="e">
        <f ca="1">'利用時間(シフト)'!L16</f>
        <v>#NAME?</v>
      </c>
      <c r="H15" s="238" t="e">
        <f ca="1">'利用時間(シフト)'!K16</f>
        <v>#NAME?</v>
      </c>
      <c r="I15" s="246" t="e">
        <f ca="1">'利用時間(シフト)'!M16</f>
        <v>#NAME?</v>
      </c>
      <c r="J15" s="239" t="e">
        <f t="shared" ca="1" si="2"/>
        <v>#NAME?</v>
      </c>
      <c r="K15" s="238" t="e">
        <f t="shared" ca="1" si="3"/>
        <v>#NAME?</v>
      </c>
      <c r="L15" s="240" t="e">
        <f t="shared" ca="1" si="4"/>
        <v>#NAME?</v>
      </c>
      <c r="M15" s="20"/>
    </row>
    <row r="16" spans="2:15" x14ac:dyDescent="0.2">
      <c r="B16" s="226" t="e">
        <f ca="1">'利用時間(シフト)'!B17</f>
        <v>#NAME?</v>
      </c>
      <c r="C16" s="236" t="e">
        <f ca="1">'利用時間(シフト)'!C17</f>
        <v>#NAME?</v>
      </c>
      <c r="D16" s="236" t="e">
        <f ca="1">'利用時間(シフト)'!D17</f>
        <v>#NAME?</v>
      </c>
      <c r="E16" s="243" t="e">
        <f t="shared" ca="1" si="0"/>
        <v>#NAME?</v>
      </c>
      <c r="F16" s="244" t="e">
        <f t="shared" ca="1" si="1"/>
        <v>#NAME?</v>
      </c>
      <c r="G16" s="237" t="e">
        <f ca="1">'利用時間(シフト)'!L17</f>
        <v>#NAME?</v>
      </c>
      <c r="H16" s="238" t="e">
        <f ca="1">'利用時間(シフト)'!K17</f>
        <v>#NAME?</v>
      </c>
      <c r="I16" s="246" t="e">
        <f ca="1">'利用時間(シフト)'!M17</f>
        <v>#NAME?</v>
      </c>
      <c r="J16" s="239" t="e">
        <f t="shared" ca="1" si="2"/>
        <v>#NAME?</v>
      </c>
      <c r="K16" s="238" t="e">
        <f t="shared" ca="1" si="3"/>
        <v>#NAME?</v>
      </c>
      <c r="L16" s="240" t="e">
        <f t="shared" ca="1" si="4"/>
        <v>#NAME?</v>
      </c>
      <c r="M16" s="20"/>
    </row>
    <row r="17" spans="2:13" x14ac:dyDescent="0.2">
      <c r="B17" s="226" t="e">
        <f ca="1">'利用時間(シフト)'!B18</f>
        <v>#NAME?</v>
      </c>
      <c r="C17" s="236" t="e">
        <f ca="1">'利用時間(シフト)'!C18</f>
        <v>#NAME?</v>
      </c>
      <c r="D17" s="236" t="e">
        <f ca="1">'利用時間(シフト)'!D18</f>
        <v>#NAME?</v>
      </c>
      <c r="E17" s="243" t="e">
        <f t="shared" ca="1" si="0"/>
        <v>#NAME?</v>
      </c>
      <c r="F17" s="244" t="e">
        <f t="shared" ca="1" si="1"/>
        <v>#NAME?</v>
      </c>
      <c r="G17" s="237" t="e">
        <f ca="1">'利用時間(シフト)'!L18</f>
        <v>#NAME?</v>
      </c>
      <c r="H17" s="238" t="e">
        <f ca="1">'利用時間(シフト)'!K18</f>
        <v>#NAME?</v>
      </c>
      <c r="I17" s="246" t="e">
        <f ca="1">'利用時間(シフト)'!M18</f>
        <v>#NAME?</v>
      </c>
      <c r="J17" s="239" t="e">
        <f t="shared" ca="1" si="2"/>
        <v>#NAME?</v>
      </c>
      <c r="K17" s="238" t="e">
        <f t="shared" ca="1" si="3"/>
        <v>#NAME?</v>
      </c>
      <c r="L17" s="240" t="e">
        <f t="shared" ca="1" si="4"/>
        <v>#NAME?</v>
      </c>
      <c r="M17" s="20"/>
    </row>
    <row r="18" spans="2:13" x14ac:dyDescent="0.2">
      <c r="B18" s="226" t="e">
        <f ca="1">'利用時間(シフト)'!B19</f>
        <v>#NAME?</v>
      </c>
      <c r="C18" s="236" t="e">
        <f ca="1">'利用時間(シフト)'!C19</f>
        <v>#NAME?</v>
      </c>
      <c r="D18" s="236" t="e">
        <f ca="1">'利用時間(シフト)'!D19</f>
        <v>#NAME?</v>
      </c>
      <c r="E18" s="243" t="e">
        <f t="shared" ca="1" si="0"/>
        <v>#NAME?</v>
      </c>
      <c r="F18" s="244" t="e">
        <f t="shared" ca="1" si="1"/>
        <v>#NAME?</v>
      </c>
      <c r="G18" s="237" t="e">
        <f ca="1">'利用時間(シフト)'!L19</f>
        <v>#NAME?</v>
      </c>
      <c r="H18" s="238" t="e">
        <f ca="1">'利用時間(シフト)'!K19</f>
        <v>#NAME?</v>
      </c>
      <c r="I18" s="246" t="e">
        <f ca="1">'利用時間(シフト)'!M19</f>
        <v>#NAME?</v>
      </c>
      <c r="J18" s="239" t="e">
        <f t="shared" ca="1" si="2"/>
        <v>#NAME?</v>
      </c>
      <c r="K18" s="238" t="e">
        <f t="shared" ca="1" si="3"/>
        <v>#NAME?</v>
      </c>
      <c r="L18" s="240" t="e">
        <f t="shared" ca="1" si="4"/>
        <v>#NAME?</v>
      </c>
      <c r="M18" s="20"/>
    </row>
    <row r="19" spans="2:13" x14ac:dyDescent="0.2">
      <c r="B19" s="226" t="e">
        <f ca="1">'利用時間(シフト)'!B20</f>
        <v>#NAME?</v>
      </c>
      <c r="C19" s="236" t="e">
        <f ca="1">'利用時間(シフト)'!C20</f>
        <v>#NAME?</v>
      </c>
      <c r="D19" s="236" t="e">
        <f ca="1">'利用時間(シフト)'!D20</f>
        <v>#NAME?</v>
      </c>
      <c r="E19" s="243" t="e">
        <f t="shared" ca="1" si="0"/>
        <v>#NAME?</v>
      </c>
      <c r="F19" s="244" t="e">
        <f t="shared" ca="1" si="1"/>
        <v>#NAME?</v>
      </c>
      <c r="G19" s="237" t="e">
        <f ca="1">'利用時間(シフト)'!L20</f>
        <v>#NAME?</v>
      </c>
      <c r="H19" s="238" t="e">
        <f ca="1">'利用時間(シフト)'!K20</f>
        <v>#NAME?</v>
      </c>
      <c r="I19" s="246" t="e">
        <f ca="1">'利用時間(シフト)'!M20</f>
        <v>#NAME?</v>
      </c>
      <c r="J19" s="239" t="e">
        <f t="shared" ca="1" si="2"/>
        <v>#NAME?</v>
      </c>
      <c r="K19" s="238" t="e">
        <f t="shared" ca="1" si="3"/>
        <v>#NAME?</v>
      </c>
      <c r="L19" s="240" t="e">
        <f t="shared" ca="1" si="4"/>
        <v>#NAME?</v>
      </c>
      <c r="M19" s="20"/>
    </row>
    <row r="20" spans="2:13" x14ac:dyDescent="0.2">
      <c r="B20" s="226" t="e">
        <f ca="1">'利用時間(シフト)'!B21</f>
        <v>#NAME?</v>
      </c>
      <c r="C20" s="236" t="e">
        <f ca="1">'利用時間(シフト)'!C21</f>
        <v>#NAME?</v>
      </c>
      <c r="D20" s="236" t="e">
        <f ca="1">'利用時間(シフト)'!D21</f>
        <v>#NAME?</v>
      </c>
      <c r="E20" s="243" t="e">
        <f t="shared" ca="1" si="0"/>
        <v>#NAME?</v>
      </c>
      <c r="F20" s="244" t="e">
        <f t="shared" ca="1" si="1"/>
        <v>#NAME?</v>
      </c>
      <c r="G20" s="237" t="e">
        <f ca="1">'利用時間(シフト)'!L21</f>
        <v>#NAME?</v>
      </c>
      <c r="H20" s="238" t="e">
        <f ca="1">'利用時間(シフト)'!K21</f>
        <v>#NAME?</v>
      </c>
      <c r="I20" s="246" t="e">
        <f ca="1">'利用時間(シフト)'!M21</f>
        <v>#NAME?</v>
      </c>
      <c r="J20" s="239" t="e">
        <f t="shared" ca="1" si="2"/>
        <v>#NAME?</v>
      </c>
      <c r="K20" s="238" t="e">
        <f t="shared" ca="1" si="3"/>
        <v>#NAME?</v>
      </c>
      <c r="L20" s="240" t="e">
        <f t="shared" ca="1" si="4"/>
        <v>#NAME?</v>
      </c>
      <c r="M20" s="20"/>
    </row>
    <row r="21" spans="2:13" x14ac:dyDescent="0.2">
      <c r="B21" s="226" t="e">
        <f ca="1">'利用時間(シフト)'!B22</f>
        <v>#NAME?</v>
      </c>
      <c r="C21" s="236" t="e">
        <f ca="1">'利用時間(シフト)'!C22</f>
        <v>#NAME?</v>
      </c>
      <c r="D21" s="236" t="e">
        <f ca="1">'利用時間(シフト)'!D22</f>
        <v>#NAME?</v>
      </c>
      <c r="E21" s="243" t="e">
        <f t="shared" ca="1" si="0"/>
        <v>#NAME?</v>
      </c>
      <c r="F21" s="244" t="e">
        <f t="shared" ca="1" si="1"/>
        <v>#NAME?</v>
      </c>
      <c r="G21" s="237" t="e">
        <f ca="1">'利用時間(シフト)'!L22</f>
        <v>#NAME?</v>
      </c>
      <c r="H21" s="238" t="e">
        <f ca="1">'利用時間(シフト)'!K22</f>
        <v>#NAME?</v>
      </c>
      <c r="I21" s="246" t="e">
        <f ca="1">'利用時間(シフト)'!M22</f>
        <v>#NAME?</v>
      </c>
      <c r="J21" s="239" t="e">
        <f t="shared" ca="1" si="2"/>
        <v>#NAME?</v>
      </c>
      <c r="K21" s="238" t="e">
        <f t="shared" ca="1" si="3"/>
        <v>#NAME?</v>
      </c>
      <c r="L21" s="240" t="e">
        <f t="shared" ca="1" si="4"/>
        <v>#NAME?</v>
      </c>
      <c r="M21" s="43"/>
    </row>
    <row r="22" spans="2:13" x14ac:dyDescent="0.2">
      <c r="B22" s="226" t="e">
        <f ca="1">'利用時間(シフト)'!B23</f>
        <v>#NAME?</v>
      </c>
      <c r="C22" s="236" t="e">
        <f ca="1">'利用時間(シフト)'!C23</f>
        <v>#NAME?</v>
      </c>
      <c r="D22" s="236" t="e">
        <f ca="1">'利用時間(シフト)'!D23</f>
        <v>#NAME?</v>
      </c>
      <c r="E22" s="243" t="e">
        <f t="shared" ca="1" si="0"/>
        <v>#NAME?</v>
      </c>
      <c r="F22" s="244" t="e">
        <f t="shared" ca="1" si="1"/>
        <v>#NAME?</v>
      </c>
      <c r="G22" s="237" t="e">
        <f ca="1">'利用時間(シフト)'!L23</f>
        <v>#NAME?</v>
      </c>
      <c r="H22" s="238" t="e">
        <f ca="1">'利用時間(シフト)'!K23</f>
        <v>#NAME?</v>
      </c>
      <c r="I22" s="246" t="e">
        <f ca="1">'利用時間(シフト)'!M23</f>
        <v>#NAME?</v>
      </c>
      <c r="J22" s="239" t="e">
        <f t="shared" ca="1" si="2"/>
        <v>#NAME?</v>
      </c>
      <c r="K22" s="238" t="e">
        <f t="shared" ca="1" si="3"/>
        <v>#NAME?</v>
      </c>
      <c r="L22" s="240" t="e">
        <f t="shared" ca="1" si="4"/>
        <v>#NAME?</v>
      </c>
      <c r="M22" s="20"/>
    </row>
    <row r="23" spans="2:13" x14ac:dyDescent="0.2">
      <c r="B23" s="226" t="e">
        <f ca="1">'利用時間(シフト)'!B24</f>
        <v>#NAME?</v>
      </c>
      <c r="C23" s="236" t="e">
        <f ca="1">'利用時間(シフト)'!C24</f>
        <v>#NAME?</v>
      </c>
      <c r="D23" s="236" t="e">
        <f ca="1">'利用時間(シフト)'!D24</f>
        <v>#NAME?</v>
      </c>
      <c r="E23" s="243" t="e">
        <f t="shared" ca="1" si="0"/>
        <v>#NAME?</v>
      </c>
      <c r="F23" s="244" t="e">
        <f t="shared" ca="1" si="1"/>
        <v>#NAME?</v>
      </c>
      <c r="G23" s="237" t="e">
        <f ca="1">'利用時間(シフト)'!L24</f>
        <v>#NAME?</v>
      </c>
      <c r="H23" s="238" t="e">
        <f ca="1">'利用時間(シフト)'!K24</f>
        <v>#NAME?</v>
      </c>
      <c r="I23" s="246" t="e">
        <f ca="1">'利用時間(シフト)'!M24</f>
        <v>#NAME?</v>
      </c>
      <c r="J23" s="239" t="e">
        <f t="shared" ca="1" si="2"/>
        <v>#NAME?</v>
      </c>
      <c r="K23" s="238" t="e">
        <f t="shared" ca="1" si="3"/>
        <v>#NAME?</v>
      </c>
      <c r="L23" s="240" t="e">
        <f t="shared" ca="1" si="4"/>
        <v>#NAME?</v>
      </c>
      <c r="M23" s="20"/>
    </row>
    <row r="24" spans="2:13" x14ac:dyDescent="0.2">
      <c r="B24" s="226" t="e">
        <f ca="1">'利用時間(シフト)'!B25</f>
        <v>#NAME?</v>
      </c>
      <c r="C24" s="236" t="e">
        <f ca="1">'利用時間(シフト)'!C25</f>
        <v>#NAME?</v>
      </c>
      <c r="D24" s="236" t="e">
        <f ca="1">'利用時間(シフト)'!D25</f>
        <v>#NAME?</v>
      </c>
      <c r="E24" s="243" t="e">
        <f t="shared" ca="1" si="0"/>
        <v>#NAME?</v>
      </c>
      <c r="F24" s="244" t="e">
        <f t="shared" ca="1" si="1"/>
        <v>#NAME?</v>
      </c>
      <c r="G24" s="237" t="e">
        <f ca="1">'利用時間(シフト)'!L25</f>
        <v>#NAME?</v>
      </c>
      <c r="H24" s="238" t="e">
        <f ca="1">'利用時間(シフト)'!K25</f>
        <v>#NAME?</v>
      </c>
      <c r="I24" s="246" t="e">
        <f ca="1">'利用時間(シフト)'!M25</f>
        <v>#NAME?</v>
      </c>
      <c r="J24" s="239" t="e">
        <f t="shared" ca="1" si="2"/>
        <v>#NAME?</v>
      </c>
      <c r="K24" s="238" t="e">
        <f t="shared" ca="1" si="3"/>
        <v>#NAME?</v>
      </c>
      <c r="L24" s="240" t="e">
        <f t="shared" ca="1" si="4"/>
        <v>#NAME?</v>
      </c>
      <c r="M24" s="20"/>
    </row>
    <row r="25" spans="2:13" x14ac:dyDescent="0.2">
      <c r="B25" s="226" t="e">
        <f ca="1">'利用時間(シフト)'!B26</f>
        <v>#NAME?</v>
      </c>
      <c r="C25" s="236" t="e">
        <f ca="1">'利用時間(シフト)'!C26</f>
        <v>#NAME?</v>
      </c>
      <c r="D25" s="236" t="e">
        <f ca="1">'利用時間(シフト)'!D26</f>
        <v>#NAME?</v>
      </c>
      <c r="E25" s="243" t="e">
        <f t="shared" ca="1" si="0"/>
        <v>#NAME?</v>
      </c>
      <c r="F25" s="244" t="e">
        <f t="shared" ca="1" si="1"/>
        <v>#NAME?</v>
      </c>
      <c r="G25" s="237" t="e">
        <f ca="1">'利用時間(シフト)'!L26</f>
        <v>#NAME?</v>
      </c>
      <c r="H25" s="238" t="e">
        <f ca="1">'利用時間(シフト)'!K26</f>
        <v>#NAME?</v>
      </c>
      <c r="I25" s="246" t="e">
        <f ca="1">'利用時間(シフト)'!M26</f>
        <v>#NAME?</v>
      </c>
      <c r="J25" s="239" t="e">
        <f t="shared" ca="1" si="2"/>
        <v>#NAME?</v>
      </c>
      <c r="K25" s="238" t="e">
        <f t="shared" ca="1" si="3"/>
        <v>#NAME?</v>
      </c>
      <c r="L25" s="240" t="e">
        <f t="shared" ca="1" si="4"/>
        <v>#NAME?</v>
      </c>
      <c r="M25" s="20"/>
    </row>
    <row r="26" spans="2:13" x14ac:dyDescent="0.2">
      <c r="B26" s="226" t="e">
        <f ca="1">'利用時間(シフト)'!B27</f>
        <v>#NAME?</v>
      </c>
      <c r="C26" s="236" t="e">
        <f ca="1">'利用時間(シフト)'!C27</f>
        <v>#NAME?</v>
      </c>
      <c r="D26" s="236" t="e">
        <f ca="1">'利用時間(シフト)'!D27</f>
        <v>#NAME?</v>
      </c>
      <c r="E26" s="243" t="e">
        <f t="shared" ca="1" si="0"/>
        <v>#NAME?</v>
      </c>
      <c r="F26" s="244" t="e">
        <f t="shared" ca="1" si="1"/>
        <v>#NAME?</v>
      </c>
      <c r="G26" s="237" t="e">
        <f ca="1">'利用時間(シフト)'!L27</f>
        <v>#NAME?</v>
      </c>
      <c r="H26" s="238" t="e">
        <f ca="1">'利用時間(シフト)'!K27</f>
        <v>#NAME?</v>
      </c>
      <c r="I26" s="246" t="e">
        <f ca="1">'利用時間(シフト)'!M27</f>
        <v>#NAME?</v>
      </c>
      <c r="J26" s="239" t="e">
        <f t="shared" ca="1" si="2"/>
        <v>#NAME?</v>
      </c>
      <c r="K26" s="238" t="e">
        <f t="shared" ca="1" si="3"/>
        <v>#NAME?</v>
      </c>
      <c r="L26" s="240" t="e">
        <f t="shared" ca="1" si="4"/>
        <v>#NAME?</v>
      </c>
      <c r="M26" s="20"/>
    </row>
    <row r="27" spans="2:13" x14ac:dyDescent="0.2">
      <c r="B27" s="226" t="e">
        <f ca="1">'利用時間(シフト)'!B28</f>
        <v>#NAME?</v>
      </c>
      <c r="C27" s="236" t="e">
        <f ca="1">'利用時間(シフト)'!C28</f>
        <v>#NAME?</v>
      </c>
      <c r="D27" s="236" t="e">
        <f ca="1">'利用時間(シフト)'!D28</f>
        <v>#NAME?</v>
      </c>
      <c r="E27" s="243" t="e">
        <f t="shared" ca="1" si="0"/>
        <v>#NAME?</v>
      </c>
      <c r="F27" s="244" t="e">
        <f t="shared" ca="1" si="1"/>
        <v>#NAME?</v>
      </c>
      <c r="G27" s="237" t="e">
        <f ca="1">'利用時間(シフト)'!L28</f>
        <v>#NAME?</v>
      </c>
      <c r="H27" s="238" t="e">
        <f ca="1">'利用時間(シフト)'!K28</f>
        <v>#NAME?</v>
      </c>
      <c r="I27" s="246" t="e">
        <f ca="1">'利用時間(シフト)'!M28</f>
        <v>#NAME?</v>
      </c>
      <c r="J27" s="239" t="e">
        <f t="shared" ca="1" si="2"/>
        <v>#NAME?</v>
      </c>
      <c r="K27" s="238" t="e">
        <f t="shared" ca="1" si="3"/>
        <v>#NAME?</v>
      </c>
      <c r="L27" s="240" t="e">
        <f t="shared" ca="1" si="4"/>
        <v>#NAME?</v>
      </c>
      <c r="M27" s="20"/>
    </row>
    <row r="28" spans="2:13" x14ac:dyDescent="0.2">
      <c r="B28" s="226" t="e">
        <f ca="1">'利用時間(シフト)'!B29</f>
        <v>#NAME?</v>
      </c>
      <c r="C28" s="236" t="e">
        <f ca="1">'利用時間(シフト)'!C29</f>
        <v>#NAME?</v>
      </c>
      <c r="D28" s="236" t="e">
        <f ca="1">'利用時間(シフト)'!D29</f>
        <v>#NAME?</v>
      </c>
      <c r="E28" s="243" t="e">
        <f t="shared" ca="1" si="0"/>
        <v>#NAME?</v>
      </c>
      <c r="F28" s="244" t="e">
        <f t="shared" ca="1" si="1"/>
        <v>#NAME?</v>
      </c>
      <c r="G28" s="237" t="e">
        <f ca="1">'利用時間(シフト)'!L29</f>
        <v>#NAME?</v>
      </c>
      <c r="H28" s="238" t="e">
        <f ca="1">'利用時間(シフト)'!K29</f>
        <v>#NAME?</v>
      </c>
      <c r="I28" s="246" t="e">
        <f ca="1">'利用時間(シフト)'!M29</f>
        <v>#NAME?</v>
      </c>
      <c r="J28" s="239" t="e">
        <f t="shared" ca="1" si="2"/>
        <v>#NAME?</v>
      </c>
      <c r="K28" s="238" t="e">
        <f t="shared" ca="1" si="3"/>
        <v>#NAME?</v>
      </c>
      <c r="L28" s="240" t="e">
        <f t="shared" ca="1" si="4"/>
        <v>#NAME?</v>
      </c>
      <c r="M28" s="20"/>
    </row>
    <row r="29" spans="2:13" x14ac:dyDescent="0.2">
      <c r="B29" s="226" t="e">
        <f ca="1">'利用時間(シフト)'!B30</f>
        <v>#NAME?</v>
      </c>
      <c r="C29" s="236" t="e">
        <f ca="1">'利用時間(シフト)'!C30</f>
        <v>#NAME?</v>
      </c>
      <c r="D29" s="236" t="e">
        <f ca="1">'利用時間(シフト)'!D30</f>
        <v>#NAME?</v>
      </c>
      <c r="E29" s="243" t="e">
        <f t="shared" ca="1" si="0"/>
        <v>#NAME?</v>
      </c>
      <c r="F29" s="244" t="e">
        <f t="shared" ca="1" si="1"/>
        <v>#NAME?</v>
      </c>
      <c r="G29" s="237" t="e">
        <f ca="1">'利用時間(シフト)'!L30</f>
        <v>#NAME?</v>
      </c>
      <c r="H29" s="238" t="e">
        <f ca="1">'利用時間(シフト)'!K30</f>
        <v>#NAME?</v>
      </c>
      <c r="I29" s="246" t="e">
        <f ca="1">'利用時間(シフト)'!M30</f>
        <v>#NAME?</v>
      </c>
      <c r="J29" s="239" t="e">
        <f t="shared" ca="1" si="2"/>
        <v>#NAME?</v>
      </c>
      <c r="K29" s="238" t="e">
        <f t="shared" ca="1" si="3"/>
        <v>#NAME?</v>
      </c>
      <c r="L29" s="240" t="e">
        <f t="shared" ca="1" si="4"/>
        <v>#NAME?</v>
      </c>
      <c r="M29" s="20"/>
    </row>
    <row r="30" spans="2:13" x14ac:dyDescent="0.2">
      <c r="B30" s="226" t="e">
        <f ca="1">'利用時間(シフト)'!B31</f>
        <v>#NAME?</v>
      </c>
      <c r="C30" s="236" t="e">
        <f ca="1">'利用時間(シフト)'!C31</f>
        <v>#NAME?</v>
      </c>
      <c r="D30" s="236" t="e">
        <f ca="1">'利用時間(シフト)'!D31</f>
        <v>#NAME?</v>
      </c>
      <c r="E30" s="243" t="e">
        <f t="shared" ca="1" si="0"/>
        <v>#NAME?</v>
      </c>
      <c r="F30" s="244" t="e">
        <f t="shared" ca="1" si="1"/>
        <v>#NAME?</v>
      </c>
      <c r="G30" s="237" t="e">
        <f ca="1">'利用時間(シフト)'!L31</f>
        <v>#NAME?</v>
      </c>
      <c r="H30" s="238" t="e">
        <f ca="1">'利用時間(シフト)'!K31</f>
        <v>#NAME?</v>
      </c>
      <c r="I30" s="246" t="e">
        <f ca="1">'利用時間(シフト)'!M31</f>
        <v>#NAME?</v>
      </c>
      <c r="J30" s="239" t="e">
        <f t="shared" ca="1" si="2"/>
        <v>#NAME?</v>
      </c>
      <c r="K30" s="238" t="e">
        <f t="shared" ca="1" si="3"/>
        <v>#NAME?</v>
      </c>
      <c r="L30" s="240" t="e">
        <f t="shared" ca="1" si="4"/>
        <v>#NAME?</v>
      </c>
      <c r="M30" s="20"/>
    </row>
    <row r="31" spans="2:13" x14ac:dyDescent="0.2">
      <c r="B31" s="226" t="e">
        <f ca="1">'利用時間(シフト)'!B32</f>
        <v>#NAME?</v>
      </c>
      <c r="C31" s="236" t="e">
        <f ca="1">'利用時間(シフト)'!C32</f>
        <v>#NAME?</v>
      </c>
      <c r="D31" s="236" t="e">
        <f ca="1">'利用時間(シフト)'!D32</f>
        <v>#NAME?</v>
      </c>
      <c r="E31" s="243" t="e">
        <f t="shared" ca="1" si="0"/>
        <v>#NAME?</v>
      </c>
      <c r="F31" s="244" t="e">
        <f t="shared" ca="1" si="1"/>
        <v>#NAME?</v>
      </c>
      <c r="G31" s="237" t="e">
        <f ca="1">'利用時間(シフト)'!L32</f>
        <v>#NAME?</v>
      </c>
      <c r="H31" s="238" t="e">
        <f ca="1">'利用時間(シフト)'!K32</f>
        <v>#NAME?</v>
      </c>
      <c r="I31" s="246" t="e">
        <f ca="1">'利用時間(シフト)'!M32</f>
        <v>#NAME?</v>
      </c>
      <c r="J31" s="239" t="e">
        <f t="shared" ca="1" si="2"/>
        <v>#NAME?</v>
      </c>
      <c r="K31" s="238" t="e">
        <f t="shared" ca="1" si="3"/>
        <v>#NAME?</v>
      </c>
      <c r="L31" s="240" t="e">
        <f t="shared" ca="1" si="4"/>
        <v>#NAME?</v>
      </c>
      <c r="M31" s="20"/>
    </row>
    <row r="32" spans="2:13" x14ac:dyDescent="0.2">
      <c r="B32" s="226" t="e">
        <f ca="1">'利用時間(シフト)'!B33</f>
        <v>#NAME?</v>
      </c>
      <c r="C32" s="236" t="e">
        <f ca="1">'利用時間(シフト)'!C33</f>
        <v>#NAME?</v>
      </c>
      <c r="D32" s="236" t="e">
        <f ca="1">'利用時間(シフト)'!D33</f>
        <v>#NAME?</v>
      </c>
      <c r="E32" s="243" t="e">
        <f t="shared" ca="1" si="0"/>
        <v>#NAME?</v>
      </c>
      <c r="F32" s="244" t="e">
        <f t="shared" ca="1" si="1"/>
        <v>#NAME?</v>
      </c>
      <c r="G32" s="237" t="e">
        <f ca="1">'利用時間(シフト)'!L33</f>
        <v>#NAME?</v>
      </c>
      <c r="H32" s="238" t="e">
        <f ca="1">'利用時間(シフト)'!K33</f>
        <v>#NAME?</v>
      </c>
      <c r="I32" s="246" t="e">
        <f ca="1">'利用時間(シフト)'!M33</f>
        <v>#NAME?</v>
      </c>
      <c r="J32" s="239" t="e">
        <f t="shared" ca="1" si="2"/>
        <v>#NAME?</v>
      </c>
      <c r="K32" s="238" t="e">
        <f t="shared" ca="1" si="3"/>
        <v>#NAME?</v>
      </c>
      <c r="L32" s="240" t="e">
        <f t="shared" ca="1" si="4"/>
        <v>#NAME?</v>
      </c>
      <c r="M32" s="20"/>
    </row>
    <row r="33" spans="2:13" x14ac:dyDescent="0.2">
      <c r="B33" s="226" t="e">
        <f ca="1">'利用時間(シフト)'!B34</f>
        <v>#NAME?</v>
      </c>
      <c r="C33" s="236" t="e">
        <f ca="1">'利用時間(シフト)'!C34</f>
        <v>#NAME?</v>
      </c>
      <c r="D33" s="236" t="e">
        <f ca="1">'利用時間(シフト)'!D34</f>
        <v>#NAME?</v>
      </c>
      <c r="E33" s="243" t="e">
        <f t="shared" ca="1" si="0"/>
        <v>#NAME?</v>
      </c>
      <c r="F33" s="244" t="e">
        <f t="shared" ca="1" si="1"/>
        <v>#NAME?</v>
      </c>
      <c r="G33" s="237" t="e">
        <f ca="1">'利用時間(シフト)'!L34</f>
        <v>#NAME?</v>
      </c>
      <c r="H33" s="238" t="e">
        <f ca="1">'利用時間(シフト)'!K34</f>
        <v>#NAME?</v>
      </c>
      <c r="I33" s="246" t="e">
        <f ca="1">'利用時間(シフト)'!M34</f>
        <v>#NAME?</v>
      </c>
      <c r="J33" s="239" t="e">
        <f t="shared" ca="1" si="2"/>
        <v>#NAME?</v>
      </c>
      <c r="K33" s="238" t="e">
        <f t="shared" ca="1" si="3"/>
        <v>#NAME?</v>
      </c>
      <c r="L33" s="240" t="e">
        <f t="shared" ca="1" si="4"/>
        <v>#NAME?</v>
      </c>
      <c r="M33" s="20"/>
    </row>
    <row r="34" spans="2:13" x14ac:dyDescent="0.2">
      <c r="B34" s="226" t="e">
        <f ca="1">'利用時間(シフト)'!B35</f>
        <v>#NAME?</v>
      </c>
      <c r="C34" s="236" t="e">
        <f ca="1">'利用時間(シフト)'!C35</f>
        <v>#NAME?</v>
      </c>
      <c r="D34" s="236" t="e">
        <f ca="1">'利用時間(シフト)'!D35</f>
        <v>#NAME?</v>
      </c>
      <c r="E34" s="243" t="e">
        <f t="shared" ca="1" si="0"/>
        <v>#NAME?</v>
      </c>
      <c r="F34" s="244" t="e">
        <f t="shared" ca="1" si="1"/>
        <v>#NAME?</v>
      </c>
      <c r="G34" s="237" t="e">
        <f ca="1">'利用時間(シフト)'!L35</f>
        <v>#NAME?</v>
      </c>
      <c r="H34" s="238" t="e">
        <f ca="1">'利用時間(シフト)'!K35</f>
        <v>#NAME?</v>
      </c>
      <c r="I34" s="246" t="e">
        <f ca="1">'利用時間(シフト)'!M35</f>
        <v>#NAME?</v>
      </c>
      <c r="J34" s="239" t="e">
        <f t="shared" ca="1" si="2"/>
        <v>#NAME?</v>
      </c>
      <c r="K34" s="238" t="e">
        <f t="shared" ca="1" si="3"/>
        <v>#NAME?</v>
      </c>
      <c r="L34" s="240" t="e">
        <f t="shared" ca="1" si="4"/>
        <v>#NAME?</v>
      </c>
      <c r="M34" s="20"/>
    </row>
    <row r="35" spans="2:13" x14ac:dyDescent="0.2">
      <c r="B35" s="226" t="e">
        <f ca="1">'利用時間(シフト)'!B36</f>
        <v>#NAME?</v>
      </c>
      <c r="C35" s="236" t="e">
        <f ca="1">'利用時間(シフト)'!C36</f>
        <v>#NAME?</v>
      </c>
      <c r="D35" s="236" t="e">
        <f ca="1">'利用時間(シフト)'!D36</f>
        <v>#NAME?</v>
      </c>
      <c r="E35" s="243" t="e">
        <f t="shared" ca="1" si="0"/>
        <v>#NAME?</v>
      </c>
      <c r="F35" s="244" t="e">
        <f t="shared" ca="1" si="1"/>
        <v>#NAME?</v>
      </c>
      <c r="G35" s="237" t="e">
        <f ca="1">'利用時間(シフト)'!L36</f>
        <v>#NAME?</v>
      </c>
      <c r="H35" s="238" t="e">
        <f ca="1">'利用時間(シフト)'!K36</f>
        <v>#NAME?</v>
      </c>
      <c r="I35" s="246" t="e">
        <f ca="1">'利用時間(シフト)'!M36</f>
        <v>#NAME?</v>
      </c>
      <c r="J35" s="239" t="e">
        <f t="shared" ca="1" si="2"/>
        <v>#NAME?</v>
      </c>
      <c r="K35" s="238" t="e">
        <f t="shared" ca="1" si="3"/>
        <v>#NAME?</v>
      </c>
      <c r="L35" s="240" t="e">
        <f t="shared" ca="1" si="4"/>
        <v>#NAME?</v>
      </c>
      <c r="M35" s="20"/>
    </row>
    <row r="36" spans="2:13" x14ac:dyDescent="0.2">
      <c r="B36" s="226" t="e">
        <f ca="1">'利用時間(シフト)'!B37</f>
        <v>#NAME?</v>
      </c>
      <c r="C36" s="236" t="e">
        <f ca="1">'利用時間(シフト)'!C37</f>
        <v>#NAME?</v>
      </c>
      <c r="D36" s="236" t="e">
        <f ca="1">'利用時間(シフト)'!D37</f>
        <v>#NAME?</v>
      </c>
      <c r="E36" s="243" t="e">
        <f t="shared" ca="1" si="0"/>
        <v>#NAME?</v>
      </c>
      <c r="F36" s="244" t="e">
        <f t="shared" ca="1" si="1"/>
        <v>#NAME?</v>
      </c>
      <c r="G36" s="237" t="e">
        <f ca="1">'利用時間(シフト)'!L37</f>
        <v>#NAME?</v>
      </c>
      <c r="H36" s="238" t="e">
        <f ca="1">'利用時間(シフト)'!K37</f>
        <v>#NAME?</v>
      </c>
      <c r="I36" s="246" t="e">
        <f ca="1">'利用時間(シフト)'!M37</f>
        <v>#NAME?</v>
      </c>
      <c r="J36" s="239" t="e">
        <f t="shared" ca="1" si="2"/>
        <v>#NAME?</v>
      </c>
      <c r="K36" s="238" t="e">
        <f t="shared" ca="1" si="3"/>
        <v>#NAME?</v>
      </c>
      <c r="L36" s="240" t="e">
        <f t="shared" ca="1" si="4"/>
        <v>#NAME?</v>
      </c>
      <c r="M36" s="20"/>
    </row>
    <row r="37" spans="2:13" x14ac:dyDescent="0.2">
      <c r="B37" s="226" t="e">
        <f ca="1">'利用時間(シフト)'!B38</f>
        <v>#NAME?</v>
      </c>
      <c r="C37" s="236" t="e">
        <f ca="1">'利用時間(シフト)'!C38</f>
        <v>#NAME?</v>
      </c>
      <c r="D37" s="236" t="e">
        <f ca="1">'利用時間(シフト)'!D38</f>
        <v>#NAME?</v>
      </c>
      <c r="E37" s="243" t="e">
        <f t="shared" ca="1" si="0"/>
        <v>#NAME?</v>
      </c>
      <c r="F37" s="244" t="e">
        <f t="shared" ca="1" si="1"/>
        <v>#NAME?</v>
      </c>
      <c r="G37" s="237" t="e">
        <f ca="1">'利用時間(シフト)'!L38</f>
        <v>#NAME?</v>
      </c>
      <c r="H37" s="238" t="e">
        <f ca="1">'利用時間(シフト)'!K38</f>
        <v>#NAME?</v>
      </c>
      <c r="I37" s="246" t="e">
        <f ca="1">'利用時間(シフト)'!M38</f>
        <v>#NAME?</v>
      </c>
      <c r="J37" s="239" t="e">
        <f t="shared" ca="1" si="2"/>
        <v>#NAME?</v>
      </c>
      <c r="K37" s="238" t="e">
        <f t="shared" ca="1" si="3"/>
        <v>#NAME?</v>
      </c>
      <c r="L37" s="240" t="e">
        <f t="shared" ca="1" si="4"/>
        <v>#NAME?</v>
      </c>
      <c r="M37" s="20"/>
    </row>
    <row r="38" spans="2:13" x14ac:dyDescent="0.2">
      <c r="B38" s="226" t="e">
        <f ca="1">'利用時間(シフト)'!B39</f>
        <v>#NAME?</v>
      </c>
      <c r="C38" s="236" t="e">
        <f ca="1">'利用時間(シフト)'!C39</f>
        <v>#NAME?</v>
      </c>
      <c r="D38" s="236" t="e">
        <f ca="1">'利用時間(シフト)'!D39</f>
        <v>#NAME?</v>
      </c>
      <c r="E38" s="243" t="e">
        <f t="shared" ca="1" si="0"/>
        <v>#NAME?</v>
      </c>
      <c r="F38" s="244" t="e">
        <f t="shared" ca="1" si="1"/>
        <v>#NAME?</v>
      </c>
      <c r="G38" s="237" t="e">
        <f ca="1">'利用時間(シフト)'!L39</f>
        <v>#NAME?</v>
      </c>
      <c r="H38" s="238" t="e">
        <f ca="1">'利用時間(シフト)'!K39</f>
        <v>#NAME?</v>
      </c>
      <c r="I38" s="246" t="e">
        <f ca="1">'利用時間(シフト)'!M39</f>
        <v>#NAME?</v>
      </c>
      <c r="J38" s="239" t="e">
        <f t="shared" ca="1" si="2"/>
        <v>#NAME?</v>
      </c>
      <c r="K38" s="238" t="e">
        <f t="shared" ca="1" si="3"/>
        <v>#NAME?</v>
      </c>
      <c r="L38" s="240" t="e">
        <f t="shared" ca="1" si="4"/>
        <v>#NAME?</v>
      </c>
      <c r="M38" s="20"/>
    </row>
    <row r="39" spans="2:13" x14ac:dyDescent="0.2">
      <c r="B39" s="226" t="e">
        <f ca="1">'利用時間(シフト)'!B40</f>
        <v>#NAME?</v>
      </c>
      <c r="C39" s="236" t="e">
        <f ca="1">'利用時間(シフト)'!C40</f>
        <v>#NAME?</v>
      </c>
      <c r="D39" s="236" t="e">
        <f ca="1">'利用時間(シフト)'!D40</f>
        <v>#NAME?</v>
      </c>
      <c r="E39" s="243" t="e">
        <f t="shared" ca="1" si="0"/>
        <v>#NAME?</v>
      </c>
      <c r="F39" s="244" t="e">
        <f t="shared" ca="1" si="1"/>
        <v>#NAME?</v>
      </c>
      <c r="G39" s="237" t="e">
        <f ca="1">'利用時間(シフト)'!L40</f>
        <v>#NAME?</v>
      </c>
      <c r="H39" s="238" t="e">
        <f ca="1">'利用時間(シフト)'!K40</f>
        <v>#NAME?</v>
      </c>
      <c r="I39" s="246" t="e">
        <f ca="1">'利用時間(シフト)'!M40</f>
        <v>#NAME?</v>
      </c>
      <c r="J39" s="239" t="e">
        <f t="shared" ca="1" si="2"/>
        <v>#NAME?</v>
      </c>
      <c r="K39" s="238" t="e">
        <f t="shared" ca="1" si="3"/>
        <v>#NAME?</v>
      </c>
      <c r="L39" s="240" t="e">
        <f t="shared" ca="1" si="4"/>
        <v>#NAME?</v>
      </c>
      <c r="M39" s="20"/>
    </row>
    <row r="40" spans="2:13" x14ac:dyDescent="0.2">
      <c r="B40" s="226" t="e">
        <f ca="1">'利用時間(シフト)'!B41</f>
        <v>#NAME?</v>
      </c>
      <c r="C40" s="236" t="e">
        <f ca="1">'利用時間(シフト)'!C41</f>
        <v>#NAME?</v>
      </c>
      <c r="D40" s="236" t="e">
        <f ca="1">'利用時間(シフト)'!D41</f>
        <v>#NAME?</v>
      </c>
      <c r="E40" s="243" t="e">
        <f t="shared" ca="1" si="0"/>
        <v>#NAME?</v>
      </c>
      <c r="F40" s="244" t="e">
        <f t="shared" ca="1" si="1"/>
        <v>#NAME?</v>
      </c>
      <c r="G40" s="237" t="e">
        <f ca="1">'利用時間(シフト)'!L41</f>
        <v>#NAME?</v>
      </c>
      <c r="H40" s="238" t="e">
        <f ca="1">'利用時間(シフト)'!K41</f>
        <v>#NAME?</v>
      </c>
      <c r="I40" s="246" t="e">
        <f ca="1">'利用時間(シフト)'!M41</f>
        <v>#NAME?</v>
      </c>
      <c r="J40" s="239" t="e">
        <f t="shared" ca="1" si="2"/>
        <v>#NAME?</v>
      </c>
      <c r="K40" s="238" t="e">
        <f t="shared" ca="1" si="3"/>
        <v>#NAME?</v>
      </c>
      <c r="L40" s="240" t="e">
        <f t="shared" ca="1" si="4"/>
        <v>#NAME?</v>
      </c>
      <c r="M40" s="20"/>
    </row>
    <row r="41" spans="2:13" x14ac:dyDescent="0.2">
      <c r="B41" s="226" t="e">
        <f ca="1">'利用時間(シフト)'!B42</f>
        <v>#NAME?</v>
      </c>
      <c r="C41" s="236" t="e">
        <f ca="1">'利用時間(シフト)'!C42</f>
        <v>#NAME?</v>
      </c>
      <c r="D41" s="236" t="e">
        <f ca="1">'利用時間(シフト)'!D42</f>
        <v>#NAME?</v>
      </c>
      <c r="E41" s="243" t="e">
        <f t="shared" ca="1" si="0"/>
        <v>#NAME?</v>
      </c>
      <c r="F41" s="244" t="e">
        <f t="shared" ca="1" si="1"/>
        <v>#NAME?</v>
      </c>
      <c r="G41" s="237" t="e">
        <f ca="1">'利用時間(シフト)'!L42</f>
        <v>#NAME?</v>
      </c>
      <c r="H41" s="238" t="e">
        <f ca="1">'利用時間(シフト)'!K42</f>
        <v>#NAME?</v>
      </c>
      <c r="I41" s="246" t="e">
        <f ca="1">'利用時間(シフト)'!M42</f>
        <v>#NAME?</v>
      </c>
      <c r="J41" s="239" t="e">
        <f t="shared" ca="1" si="2"/>
        <v>#NAME?</v>
      </c>
      <c r="K41" s="238" t="e">
        <f t="shared" ca="1" si="3"/>
        <v>#NAME?</v>
      </c>
      <c r="L41" s="240" t="e">
        <f t="shared" ca="1" si="4"/>
        <v>#NAME?</v>
      </c>
      <c r="M41" s="20"/>
    </row>
    <row r="42" spans="2:13" x14ac:dyDescent="0.2">
      <c r="B42" s="226" t="e">
        <f ca="1">'利用時間(シフト)'!B43</f>
        <v>#NAME?</v>
      </c>
      <c r="C42" s="236" t="e">
        <f ca="1">'利用時間(シフト)'!C43</f>
        <v>#NAME?</v>
      </c>
      <c r="D42" s="236" t="e">
        <f ca="1">'利用時間(シフト)'!D43</f>
        <v>#NAME?</v>
      </c>
      <c r="E42" s="243" t="e">
        <f t="shared" ca="1" si="0"/>
        <v>#NAME?</v>
      </c>
      <c r="F42" s="244" t="e">
        <f t="shared" ca="1" si="1"/>
        <v>#NAME?</v>
      </c>
      <c r="G42" s="237" t="e">
        <f ca="1">'利用時間(シフト)'!L43</f>
        <v>#NAME?</v>
      </c>
      <c r="H42" s="238" t="e">
        <f ca="1">'利用時間(シフト)'!K43</f>
        <v>#NAME?</v>
      </c>
      <c r="I42" s="246" t="e">
        <f ca="1">'利用時間(シフト)'!M43</f>
        <v>#NAME?</v>
      </c>
      <c r="J42" s="239" t="e">
        <f t="shared" ca="1" si="2"/>
        <v>#NAME?</v>
      </c>
      <c r="K42" s="238" t="e">
        <f t="shared" ca="1" si="3"/>
        <v>#NAME?</v>
      </c>
      <c r="L42" s="240" t="e">
        <f t="shared" ca="1" si="4"/>
        <v>#NAME?</v>
      </c>
      <c r="M42" s="20"/>
    </row>
    <row r="43" spans="2:13" x14ac:dyDescent="0.2">
      <c r="B43" s="226" t="e">
        <f ca="1">'利用時間(シフト)'!B44</f>
        <v>#NAME?</v>
      </c>
      <c r="C43" s="236" t="e">
        <f ca="1">'利用時間(シフト)'!C44</f>
        <v>#NAME?</v>
      </c>
      <c r="D43" s="236" t="e">
        <f ca="1">'利用時間(シフト)'!D44</f>
        <v>#NAME?</v>
      </c>
      <c r="E43" s="243" t="e">
        <f t="shared" ca="1" si="0"/>
        <v>#NAME?</v>
      </c>
      <c r="F43" s="244" t="e">
        <f t="shared" ca="1" si="1"/>
        <v>#NAME?</v>
      </c>
      <c r="G43" s="237" t="e">
        <f ca="1">'利用時間(シフト)'!L44</f>
        <v>#NAME?</v>
      </c>
      <c r="H43" s="238" t="e">
        <f ca="1">'利用時間(シフト)'!K44</f>
        <v>#NAME?</v>
      </c>
      <c r="I43" s="246" t="e">
        <f ca="1">'利用時間(シフト)'!M44</f>
        <v>#NAME?</v>
      </c>
      <c r="J43" s="239" t="e">
        <f t="shared" ca="1" si="2"/>
        <v>#NAME?</v>
      </c>
      <c r="K43" s="238" t="e">
        <f t="shared" ca="1" si="3"/>
        <v>#NAME?</v>
      </c>
      <c r="L43" s="240" t="e">
        <f t="shared" ca="1" si="4"/>
        <v>#NAME?</v>
      </c>
      <c r="M43" s="20"/>
    </row>
    <row r="44" spans="2:13" x14ac:dyDescent="0.2">
      <c r="B44" s="226" t="e">
        <f ca="1">'利用時間(シフト)'!B45</f>
        <v>#NAME?</v>
      </c>
      <c r="C44" s="236" t="e">
        <f ca="1">'利用時間(シフト)'!C45</f>
        <v>#NAME?</v>
      </c>
      <c r="D44" s="236" t="e">
        <f ca="1">'利用時間(シフト)'!D45</f>
        <v>#NAME?</v>
      </c>
      <c r="E44" s="243" t="e">
        <f t="shared" ca="1" si="0"/>
        <v>#NAME?</v>
      </c>
      <c r="F44" s="244" t="e">
        <f t="shared" ca="1" si="1"/>
        <v>#NAME?</v>
      </c>
      <c r="G44" s="237" t="e">
        <f ca="1">'利用時間(シフト)'!L45</f>
        <v>#NAME?</v>
      </c>
      <c r="H44" s="238" t="e">
        <f ca="1">'利用時間(シフト)'!K45</f>
        <v>#NAME?</v>
      </c>
      <c r="I44" s="246" t="e">
        <f ca="1">'利用時間(シフト)'!M45</f>
        <v>#NAME?</v>
      </c>
      <c r="J44" s="239" t="e">
        <f t="shared" ca="1" si="2"/>
        <v>#NAME?</v>
      </c>
      <c r="K44" s="238" t="e">
        <f t="shared" ca="1" si="3"/>
        <v>#NAME?</v>
      </c>
      <c r="L44" s="240" t="e">
        <f t="shared" ca="1" si="4"/>
        <v>#NAME?</v>
      </c>
      <c r="M44" s="20"/>
    </row>
    <row r="45" spans="2:13" x14ac:dyDescent="0.2">
      <c r="B45" s="226" t="e">
        <f ca="1">'利用時間(シフト)'!B46</f>
        <v>#NAME?</v>
      </c>
      <c r="C45" s="236" t="e">
        <f ca="1">'利用時間(シフト)'!C46</f>
        <v>#NAME?</v>
      </c>
      <c r="D45" s="236" t="e">
        <f ca="1">'利用時間(シフト)'!D46</f>
        <v>#NAME?</v>
      </c>
      <c r="E45" s="243" t="e">
        <f t="shared" ca="1" si="0"/>
        <v>#NAME?</v>
      </c>
      <c r="F45" s="244" t="e">
        <f t="shared" ca="1" si="1"/>
        <v>#NAME?</v>
      </c>
      <c r="G45" s="237" t="e">
        <f ca="1">'利用時間(シフト)'!L46</f>
        <v>#NAME?</v>
      </c>
      <c r="H45" s="238" t="e">
        <f ca="1">'利用時間(シフト)'!K46</f>
        <v>#NAME?</v>
      </c>
      <c r="I45" s="246" t="e">
        <f ca="1">'利用時間(シフト)'!M46</f>
        <v>#NAME?</v>
      </c>
      <c r="J45" s="239" t="e">
        <f t="shared" ca="1" si="2"/>
        <v>#NAME?</v>
      </c>
      <c r="K45" s="238" t="e">
        <f t="shared" ca="1" si="3"/>
        <v>#NAME?</v>
      </c>
      <c r="L45" s="240" t="e">
        <f t="shared" ca="1" si="4"/>
        <v>#NAME?</v>
      </c>
      <c r="M45" s="20"/>
    </row>
    <row r="46" spans="2:13" x14ac:dyDescent="0.2">
      <c r="B46" s="226" t="e">
        <f ca="1">'利用時間(シフト)'!B47</f>
        <v>#NAME?</v>
      </c>
      <c r="C46" s="236" t="e">
        <f ca="1">'利用時間(シフト)'!C47</f>
        <v>#NAME?</v>
      </c>
      <c r="D46" s="236" t="e">
        <f ca="1">'利用時間(シフト)'!D47</f>
        <v>#NAME?</v>
      </c>
      <c r="E46" s="243" t="e">
        <f t="shared" ca="1" si="0"/>
        <v>#NAME?</v>
      </c>
      <c r="F46" s="244" t="e">
        <f t="shared" ca="1" si="1"/>
        <v>#NAME?</v>
      </c>
      <c r="G46" s="237" t="e">
        <f ca="1">'利用時間(シフト)'!L47</f>
        <v>#NAME?</v>
      </c>
      <c r="H46" s="238" t="e">
        <f ca="1">'利用時間(シフト)'!K47</f>
        <v>#NAME?</v>
      </c>
      <c r="I46" s="246" t="e">
        <f ca="1">'利用時間(シフト)'!M47</f>
        <v>#NAME?</v>
      </c>
      <c r="J46" s="239" t="e">
        <f t="shared" ca="1" si="2"/>
        <v>#NAME?</v>
      </c>
      <c r="K46" s="238" t="e">
        <f t="shared" ca="1" si="3"/>
        <v>#NAME?</v>
      </c>
      <c r="L46" s="240" t="e">
        <f t="shared" ca="1" si="4"/>
        <v>#NAME?</v>
      </c>
      <c r="M46" s="20"/>
    </row>
    <row r="47" spans="2:13" x14ac:dyDescent="0.2">
      <c r="B47" s="226" t="e">
        <f ca="1">'利用時間(シフト)'!B48</f>
        <v>#NAME?</v>
      </c>
      <c r="C47" s="236" t="e">
        <f ca="1">'利用時間(シフト)'!C48</f>
        <v>#NAME?</v>
      </c>
      <c r="D47" s="236" t="e">
        <f ca="1">'利用時間(シフト)'!D48</f>
        <v>#NAME?</v>
      </c>
      <c r="E47" s="243" t="e">
        <f t="shared" ca="1" si="0"/>
        <v>#NAME?</v>
      </c>
      <c r="F47" s="244" t="e">
        <f t="shared" ca="1" si="1"/>
        <v>#NAME?</v>
      </c>
      <c r="G47" s="237" t="e">
        <f ca="1">'利用時間(シフト)'!L48</f>
        <v>#NAME?</v>
      </c>
      <c r="H47" s="238" t="e">
        <f ca="1">'利用時間(シフト)'!K48</f>
        <v>#NAME?</v>
      </c>
      <c r="I47" s="246" t="e">
        <f ca="1">'利用時間(シフト)'!M48</f>
        <v>#NAME?</v>
      </c>
      <c r="J47" s="239" t="e">
        <f t="shared" ca="1" si="2"/>
        <v>#NAME?</v>
      </c>
      <c r="K47" s="238" t="e">
        <f t="shared" ca="1" si="3"/>
        <v>#NAME?</v>
      </c>
      <c r="L47" s="240" t="e">
        <f t="shared" ca="1" si="4"/>
        <v>#NAME?</v>
      </c>
      <c r="M47" s="20"/>
    </row>
    <row r="48" spans="2:13" x14ac:dyDescent="0.2">
      <c r="B48" s="226" t="e">
        <f ca="1">'利用時間(シフト)'!B49</f>
        <v>#NAME?</v>
      </c>
      <c r="C48" s="236" t="e">
        <f ca="1">'利用時間(シフト)'!C49</f>
        <v>#NAME?</v>
      </c>
      <c r="D48" s="236" t="e">
        <f ca="1">'利用時間(シフト)'!D49</f>
        <v>#NAME?</v>
      </c>
      <c r="E48" s="243" t="e">
        <f t="shared" ca="1" si="0"/>
        <v>#NAME?</v>
      </c>
      <c r="F48" s="244" t="e">
        <f t="shared" ca="1" si="1"/>
        <v>#NAME?</v>
      </c>
      <c r="G48" s="237" t="e">
        <f ca="1">'利用時間(シフト)'!L49</f>
        <v>#NAME?</v>
      </c>
      <c r="H48" s="238" t="e">
        <f ca="1">'利用時間(シフト)'!K49</f>
        <v>#NAME?</v>
      </c>
      <c r="I48" s="246" t="e">
        <f ca="1">'利用時間(シフト)'!M49</f>
        <v>#NAME?</v>
      </c>
      <c r="J48" s="239" t="e">
        <f t="shared" ca="1" si="2"/>
        <v>#NAME?</v>
      </c>
      <c r="K48" s="238" t="e">
        <f t="shared" ca="1" si="3"/>
        <v>#NAME?</v>
      </c>
      <c r="L48" s="240" t="e">
        <f t="shared" ca="1" si="4"/>
        <v>#NAME?</v>
      </c>
      <c r="M48" s="20"/>
    </row>
    <row r="49" spans="2:13" x14ac:dyDescent="0.2">
      <c r="B49" s="226" t="e">
        <f ca="1">'利用時間(シフト)'!B50</f>
        <v>#NAME?</v>
      </c>
      <c r="C49" s="236" t="e">
        <f ca="1">'利用時間(シフト)'!C50</f>
        <v>#NAME?</v>
      </c>
      <c r="D49" s="236" t="e">
        <f ca="1">'利用時間(シフト)'!D50</f>
        <v>#NAME?</v>
      </c>
      <c r="E49" s="243" t="e">
        <f t="shared" ca="1" si="0"/>
        <v>#NAME?</v>
      </c>
      <c r="F49" s="244" t="e">
        <f t="shared" ca="1" si="1"/>
        <v>#NAME?</v>
      </c>
      <c r="G49" s="237" t="e">
        <f ca="1">'利用時間(シフト)'!L50</f>
        <v>#NAME?</v>
      </c>
      <c r="H49" s="238" t="e">
        <f ca="1">'利用時間(シフト)'!K50</f>
        <v>#NAME?</v>
      </c>
      <c r="I49" s="246" t="e">
        <f ca="1">'利用時間(シフト)'!M50</f>
        <v>#NAME?</v>
      </c>
      <c r="J49" s="239" t="e">
        <f t="shared" ca="1" si="2"/>
        <v>#NAME?</v>
      </c>
      <c r="K49" s="238" t="e">
        <f t="shared" ca="1" si="3"/>
        <v>#NAME?</v>
      </c>
      <c r="L49" s="240" t="e">
        <f t="shared" ca="1" si="4"/>
        <v>#NAME?</v>
      </c>
      <c r="M49" s="20"/>
    </row>
    <row r="50" spans="2:13" x14ac:dyDescent="0.2">
      <c r="B50" s="226" t="e">
        <f ca="1">'利用時間(シフト)'!B51</f>
        <v>#NAME?</v>
      </c>
      <c r="C50" s="236" t="e">
        <f ca="1">'利用時間(シフト)'!C51</f>
        <v>#NAME?</v>
      </c>
      <c r="D50" s="236" t="e">
        <f ca="1">'利用時間(シフト)'!D51</f>
        <v>#NAME?</v>
      </c>
      <c r="E50" s="243" t="e">
        <f t="shared" ca="1" si="0"/>
        <v>#NAME?</v>
      </c>
      <c r="F50" s="244" t="e">
        <f t="shared" ca="1" si="1"/>
        <v>#NAME?</v>
      </c>
      <c r="G50" s="237" t="e">
        <f ca="1">'利用時間(シフト)'!L51</f>
        <v>#NAME?</v>
      </c>
      <c r="H50" s="238" t="e">
        <f ca="1">'利用時間(シフト)'!K51</f>
        <v>#NAME?</v>
      </c>
      <c r="I50" s="246" t="e">
        <f ca="1">'利用時間(シフト)'!M51</f>
        <v>#NAME?</v>
      </c>
      <c r="J50" s="239" t="e">
        <f t="shared" ca="1" si="2"/>
        <v>#NAME?</v>
      </c>
      <c r="K50" s="238" t="e">
        <f t="shared" ca="1" si="3"/>
        <v>#NAME?</v>
      </c>
      <c r="L50" s="240" t="e">
        <f t="shared" ca="1" si="4"/>
        <v>#NAME?</v>
      </c>
      <c r="M50" s="20"/>
    </row>
    <row r="51" spans="2:13" x14ac:dyDescent="0.2">
      <c r="B51" s="226" t="e">
        <f ca="1">'利用時間(シフト)'!B52</f>
        <v>#NAME?</v>
      </c>
      <c r="C51" s="236" t="e">
        <f ca="1">'利用時間(シフト)'!C52</f>
        <v>#NAME?</v>
      </c>
      <c r="D51" s="236" t="e">
        <f ca="1">'利用時間(シフト)'!D52</f>
        <v>#NAME?</v>
      </c>
      <c r="E51" s="243" t="e">
        <f t="shared" ca="1" si="0"/>
        <v>#NAME?</v>
      </c>
      <c r="F51" s="244" t="e">
        <f t="shared" ca="1" si="1"/>
        <v>#NAME?</v>
      </c>
      <c r="G51" s="237" t="e">
        <f ca="1">'利用時間(シフト)'!L52</f>
        <v>#NAME?</v>
      </c>
      <c r="H51" s="238" t="e">
        <f ca="1">'利用時間(シフト)'!K52</f>
        <v>#NAME?</v>
      </c>
      <c r="I51" s="246" t="e">
        <f ca="1">'利用時間(シフト)'!M52</f>
        <v>#NAME?</v>
      </c>
      <c r="J51" s="239" t="e">
        <f t="shared" ca="1" si="2"/>
        <v>#NAME?</v>
      </c>
      <c r="K51" s="238" t="e">
        <f t="shared" ca="1" si="3"/>
        <v>#NAME?</v>
      </c>
      <c r="L51" s="240" t="e">
        <f t="shared" ca="1" si="4"/>
        <v>#NAME?</v>
      </c>
      <c r="M51" s="20"/>
    </row>
    <row r="52" spans="2:13" x14ac:dyDescent="0.2">
      <c r="B52" s="226" t="e">
        <f ca="1">'利用時間(シフト)'!B53</f>
        <v>#NAME?</v>
      </c>
      <c r="C52" s="236" t="e">
        <f ca="1">'利用時間(シフト)'!C53</f>
        <v>#NAME?</v>
      </c>
      <c r="D52" s="236" t="e">
        <f ca="1">'利用時間(シフト)'!D53</f>
        <v>#NAME?</v>
      </c>
      <c r="E52" s="243" t="e">
        <f t="shared" ca="1" si="0"/>
        <v>#NAME?</v>
      </c>
      <c r="F52" s="244" t="e">
        <f t="shared" ca="1" si="1"/>
        <v>#NAME?</v>
      </c>
      <c r="G52" s="237" t="e">
        <f ca="1">'利用時間(シフト)'!L53</f>
        <v>#NAME?</v>
      </c>
      <c r="H52" s="238" t="e">
        <f ca="1">'利用時間(シフト)'!K53</f>
        <v>#NAME?</v>
      </c>
      <c r="I52" s="246" t="e">
        <f ca="1">'利用時間(シフト)'!M53</f>
        <v>#NAME?</v>
      </c>
      <c r="J52" s="239" t="e">
        <f t="shared" ca="1" si="2"/>
        <v>#NAME?</v>
      </c>
      <c r="K52" s="238" t="e">
        <f t="shared" ca="1" si="3"/>
        <v>#NAME?</v>
      </c>
      <c r="L52" s="240" t="e">
        <f t="shared" ca="1" si="4"/>
        <v>#NAME?</v>
      </c>
      <c r="M52" s="20"/>
    </row>
    <row r="53" spans="2:13" x14ac:dyDescent="0.2">
      <c r="B53" s="226" t="e">
        <f ca="1">'利用時間(シフト)'!B54</f>
        <v>#NAME?</v>
      </c>
      <c r="C53" s="236" t="e">
        <f ca="1">'利用時間(シフト)'!C54</f>
        <v>#NAME?</v>
      </c>
      <c r="D53" s="236" t="e">
        <f ca="1">'利用時間(シフト)'!D54</f>
        <v>#NAME?</v>
      </c>
      <c r="E53" s="243" t="e">
        <f t="shared" ca="1" si="0"/>
        <v>#NAME?</v>
      </c>
      <c r="F53" s="244" t="e">
        <f t="shared" ca="1" si="1"/>
        <v>#NAME?</v>
      </c>
      <c r="G53" s="237" t="e">
        <f ca="1">'利用時間(シフト)'!L54</f>
        <v>#NAME?</v>
      </c>
      <c r="H53" s="238" t="e">
        <f ca="1">'利用時間(シフト)'!K54</f>
        <v>#NAME?</v>
      </c>
      <c r="I53" s="246" t="e">
        <f ca="1">'利用時間(シフト)'!M54</f>
        <v>#NAME?</v>
      </c>
      <c r="J53" s="239" t="e">
        <f t="shared" ca="1" si="2"/>
        <v>#NAME?</v>
      </c>
      <c r="K53" s="238" t="e">
        <f t="shared" ca="1" si="3"/>
        <v>#NAME?</v>
      </c>
      <c r="L53" s="240" t="e">
        <f t="shared" ca="1" si="4"/>
        <v>#NAME?</v>
      </c>
      <c r="M53" s="20"/>
    </row>
    <row r="54" spans="2:13" x14ac:dyDescent="0.2">
      <c r="B54" s="226" t="e">
        <f ca="1">'利用時間(シフト)'!B55</f>
        <v>#NAME?</v>
      </c>
      <c r="C54" s="236" t="e">
        <f ca="1">'利用時間(シフト)'!C55</f>
        <v>#NAME?</v>
      </c>
      <c r="D54" s="236" t="e">
        <f ca="1">'利用時間(シフト)'!D55</f>
        <v>#NAME?</v>
      </c>
      <c r="E54" s="243" t="e">
        <f t="shared" ca="1" si="0"/>
        <v>#NAME?</v>
      </c>
      <c r="F54" s="244" t="e">
        <f t="shared" ca="1" si="1"/>
        <v>#NAME?</v>
      </c>
      <c r="G54" s="237" t="e">
        <f ca="1">'利用時間(シフト)'!L55</f>
        <v>#NAME?</v>
      </c>
      <c r="H54" s="238" t="e">
        <f ca="1">'利用時間(シフト)'!K55</f>
        <v>#NAME?</v>
      </c>
      <c r="I54" s="246" t="e">
        <f ca="1">'利用時間(シフト)'!M55</f>
        <v>#NAME?</v>
      </c>
      <c r="J54" s="239" t="e">
        <f t="shared" ca="1" si="2"/>
        <v>#NAME?</v>
      </c>
      <c r="K54" s="238" t="e">
        <f t="shared" ca="1" si="3"/>
        <v>#NAME?</v>
      </c>
      <c r="L54" s="240" t="e">
        <f t="shared" ca="1" si="4"/>
        <v>#NAME?</v>
      </c>
      <c r="M54" s="20"/>
    </row>
    <row r="55" spans="2:13" x14ac:dyDescent="0.2">
      <c r="B55" s="226" t="e">
        <f ca="1">'利用時間(シフト)'!B56</f>
        <v>#NAME?</v>
      </c>
      <c r="C55" s="236" t="e">
        <f ca="1">'利用時間(シフト)'!C56</f>
        <v>#NAME?</v>
      </c>
      <c r="D55" s="236" t="e">
        <f ca="1">'利用時間(シフト)'!D56</f>
        <v>#NAME?</v>
      </c>
      <c r="E55" s="243" t="e">
        <f t="shared" ca="1" si="0"/>
        <v>#NAME?</v>
      </c>
      <c r="F55" s="244" t="e">
        <f t="shared" ca="1" si="1"/>
        <v>#NAME?</v>
      </c>
      <c r="G55" s="237" t="e">
        <f ca="1">'利用時間(シフト)'!L56</f>
        <v>#NAME?</v>
      </c>
      <c r="H55" s="238" t="e">
        <f ca="1">'利用時間(シフト)'!K56</f>
        <v>#NAME?</v>
      </c>
      <c r="I55" s="246" t="e">
        <f ca="1">'利用時間(シフト)'!M56</f>
        <v>#NAME?</v>
      </c>
      <c r="J55" s="239" t="e">
        <f t="shared" ca="1" si="2"/>
        <v>#NAME?</v>
      </c>
      <c r="K55" s="238" t="e">
        <f t="shared" ca="1" si="3"/>
        <v>#NAME?</v>
      </c>
      <c r="L55" s="240" t="e">
        <f t="shared" ca="1" si="4"/>
        <v>#NAME?</v>
      </c>
      <c r="M55" s="20"/>
    </row>
    <row r="56" spans="2:13" x14ac:dyDescent="0.2">
      <c r="B56" s="226" t="e">
        <f ca="1">'利用時間(シフト)'!B57</f>
        <v>#NAME?</v>
      </c>
      <c r="C56" s="236" t="e">
        <f ca="1">'利用時間(シフト)'!C57</f>
        <v>#NAME?</v>
      </c>
      <c r="D56" s="236" t="e">
        <f ca="1">'利用時間(シフト)'!D57</f>
        <v>#NAME?</v>
      </c>
      <c r="E56" s="243" t="e">
        <f t="shared" ca="1" si="0"/>
        <v>#NAME?</v>
      </c>
      <c r="F56" s="244" t="e">
        <f t="shared" ca="1" si="1"/>
        <v>#NAME?</v>
      </c>
      <c r="G56" s="237" t="e">
        <f ca="1">'利用時間(シフト)'!L57</f>
        <v>#NAME?</v>
      </c>
      <c r="H56" s="238" t="e">
        <f ca="1">'利用時間(シフト)'!K57</f>
        <v>#NAME?</v>
      </c>
      <c r="I56" s="246" t="e">
        <f ca="1">'利用時間(シフト)'!M57</f>
        <v>#NAME?</v>
      </c>
      <c r="J56" s="239" t="e">
        <f t="shared" ca="1" si="2"/>
        <v>#NAME?</v>
      </c>
      <c r="K56" s="238" t="e">
        <f t="shared" ca="1" si="3"/>
        <v>#NAME?</v>
      </c>
      <c r="L56" s="240" t="e">
        <f t="shared" ca="1" si="4"/>
        <v>#NAME?</v>
      </c>
      <c r="M56" s="20"/>
    </row>
    <row r="57" spans="2:13" x14ac:dyDescent="0.2">
      <c r="B57" s="226" t="e">
        <f ca="1">'利用時間(シフト)'!B58</f>
        <v>#NAME?</v>
      </c>
      <c r="C57" s="236" t="e">
        <f ca="1">'利用時間(シフト)'!C58</f>
        <v>#NAME?</v>
      </c>
      <c r="D57" s="236" t="e">
        <f ca="1">'利用時間(シフト)'!D58</f>
        <v>#NAME?</v>
      </c>
      <c r="E57" s="243" t="e">
        <f t="shared" ca="1" si="0"/>
        <v>#NAME?</v>
      </c>
      <c r="F57" s="244" t="e">
        <f t="shared" ca="1" si="1"/>
        <v>#NAME?</v>
      </c>
      <c r="G57" s="237" t="e">
        <f ca="1">'利用時間(シフト)'!L58</f>
        <v>#NAME?</v>
      </c>
      <c r="H57" s="238" t="e">
        <f ca="1">'利用時間(シフト)'!K58</f>
        <v>#NAME?</v>
      </c>
      <c r="I57" s="246" t="e">
        <f ca="1">'利用時間(シフト)'!M58</f>
        <v>#NAME?</v>
      </c>
      <c r="J57" s="239" t="e">
        <f t="shared" ca="1" si="2"/>
        <v>#NAME?</v>
      </c>
      <c r="K57" s="238" t="e">
        <f t="shared" ca="1" si="3"/>
        <v>#NAME?</v>
      </c>
      <c r="L57" s="240" t="e">
        <f t="shared" ca="1" si="4"/>
        <v>#NAME?</v>
      </c>
      <c r="M57" s="20"/>
    </row>
    <row r="58" spans="2:13" x14ac:dyDescent="0.2">
      <c r="B58" s="226" t="e">
        <f ca="1">'利用時間(シフト)'!B59</f>
        <v>#NAME?</v>
      </c>
      <c r="C58" s="236" t="e">
        <f ca="1">'利用時間(シフト)'!C59</f>
        <v>#NAME?</v>
      </c>
      <c r="D58" s="236" t="e">
        <f ca="1">'利用時間(シフト)'!D59</f>
        <v>#NAME?</v>
      </c>
      <c r="E58" s="243" t="e">
        <f t="shared" ca="1" si="0"/>
        <v>#NAME?</v>
      </c>
      <c r="F58" s="244" t="e">
        <f t="shared" ca="1" si="1"/>
        <v>#NAME?</v>
      </c>
      <c r="G58" s="237" t="e">
        <f ca="1">'利用時間(シフト)'!L59</f>
        <v>#NAME?</v>
      </c>
      <c r="H58" s="238" t="e">
        <f ca="1">'利用時間(シフト)'!K59</f>
        <v>#NAME?</v>
      </c>
      <c r="I58" s="246" t="e">
        <f ca="1">'利用時間(シフト)'!M59</f>
        <v>#NAME?</v>
      </c>
      <c r="J58" s="239" t="e">
        <f t="shared" ca="1" si="2"/>
        <v>#NAME?</v>
      </c>
      <c r="K58" s="238" t="e">
        <f t="shared" ca="1" si="3"/>
        <v>#NAME?</v>
      </c>
      <c r="L58" s="240" t="e">
        <f t="shared" ca="1" si="4"/>
        <v>#NAME?</v>
      </c>
      <c r="M58" s="20"/>
    </row>
    <row r="59" spans="2:13" x14ac:dyDescent="0.2">
      <c r="B59" s="226" t="e">
        <f ca="1">'利用時間(シフト)'!B60</f>
        <v>#NAME?</v>
      </c>
      <c r="C59" s="236" t="e">
        <f ca="1">'利用時間(シフト)'!C60</f>
        <v>#NAME?</v>
      </c>
      <c r="D59" s="236" t="e">
        <f ca="1">'利用時間(シフト)'!D60</f>
        <v>#NAME?</v>
      </c>
      <c r="E59" s="243" t="e">
        <f t="shared" ca="1" si="0"/>
        <v>#NAME?</v>
      </c>
      <c r="F59" s="244" t="e">
        <f t="shared" ca="1" si="1"/>
        <v>#NAME?</v>
      </c>
      <c r="G59" s="237" t="e">
        <f ca="1">'利用時間(シフト)'!L60</f>
        <v>#NAME?</v>
      </c>
      <c r="H59" s="238" t="e">
        <f ca="1">'利用時間(シフト)'!K60</f>
        <v>#NAME?</v>
      </c>
      <c r="I59" s="246" t="e">
        <f ca="1">'利用時間(シフト)'!M60</f>
        <v>#NAME?</v>
      </c>
      <c r="J59" s="239" t="e">
        <f t="shared" ca="1" si="2"/>
        <v>#NAME?</v>
      </c>
      <c r="K59" s="238" t="e">
        <f t="shared" ca="1" si="3"/>
        <v>#NAME?</v>
      </c>
      <c r="L59" s="240" t="e">
        <f t="shared" ca="1" si="4"/>
        <v>#NAME?</v>
      </c>
      <c r="M59" s="20"/>
    </row>
    <row r="60" spans="2:13" x14ac:dyDescent="0.2">
      <c r="B60" s="226" t="e">
        <f ca="1">'利用時間(シフト)'!B61</f>
        <v>#NAME?</v>
      </c>
      <c r="C60" s="236" t="e">
        <f ca="1">'利用時間(シフト)'!C61</f>
        <v>#NAME?</v>
      </c>
      <c r="D60" s="236" t="e">
        <f ca="1">'利用時間(シフト)'!D61</f>
        <v>#NAME?</v>
      </c>
      <c r="E60" s="243" t="e">
        <f t="shared" ca="1" si="0"/>
        <v>#NAME?</v>
      </c>
      <c r="F60" s="244" t="e">
        <f t="shared" ca="1" si="1"/>
        <v>#NAME?</v>
      </c>
      <c r="G60" s="237" t="e">
        <f ca="1">'利用時間(シフト)'!L61</f>
        <v>#NAME?</v>
      </c>
      <c r="H60" s="238" t="e">
        <f ca="1">'利用時間(シフト)'!K61</f>
        <v>#NAME?</v>
      </c>
      <c r="I60" s="246" t="e">
        <f ca="1">'利用時間(シフト)'!M61</f>
        <v>#NAME?</v>
      </c>
      <c r="J60" s="239" t="e">
        <f t="shared" ca="1" si="2"/>
        <v>#NAME?</v>
      </c>
      <c r="K60" s="238" t="e">
        <f t="shared" ca="1" si="3"/>
        <v>#NAME?</v>
      </c>
      <c r="L60" s="240" t="e">
        <f t="shared" ca="1" si="4"/>
        <v>#NAME?</v>
      </c>
      <c r="M60" s="20"/>
    </row>
    <row r="61" spans="2:13" x14ac:dyDescent="0.2">
      <c r="B61" s="226" t="e">
        <f ca="1">'利用時間(シフト)'!B62</f>
        <v>#NAME?</v>
      </c>
      <c r="C61" s="236" t="e">
        <f ca="1">'利用時間(シフト)'!C62</f>
        <v>#NAME?</v>
      </c>
      <c r="D61" s="236" t="e">
        <f ca="1">'利用時間(シフト)'!D62</f>
        <v>#NAME?</v>
      </c>
      <c r="E61" s="243" t="e">
        <f t="shared" ca="1" si="0"/>
        <v>#NAME?</v>
      </c>
      <c r="F61" s="244" t="e">
        <f t="shared" ca="1" si="1"/>
        <v>#NAME?</v>
      </c>
      <c r="G61" s="237" t="e">
        <f ca="1">'利用時間(シフト)'!L62</f>
        <v>#NAME?</v>
      </c>
      <c r="H61" s="238" t="e">
        <f ca="1">'利用時間(シフト)'!K62</f>
        <v>#NAME?</v>
      </c>
      <c r="I61" s="246" t="e">
        <f ca="1">'利用時間(シフト)'!M62</f>
        <v>#NAME?</v>
      </c>
      <c r="J61" s="239" t="e">
        <f t="shared" ca="1" si="2"/>
        <v>#NAME?</v>
      </c>
      <c r="K61" s="238" t="e">
        <f t="shared" ca="1" si="3"/>
        <v>#NAME?</v>
      </c>
      <c r="L61" s="240" t="e">
        <f t="shared" ca="1" si="4"/>
        <v>#NAME?</v>
      </c>
      <c r="M61" s="20"/>
    </row>
    <row r="62" spans="2:13" x14ac:dyDescent="0.2">
      <c r="B62" s="226" t="e">
        <f ca="1">'利用時間(シフト)'!B63</f>
        <v>#NAME?</v>
      </c>
      <c r="C62" s="236" t="e">
        <f ca="1">'利用時間(シフト)'!C63</f>
        <v>#NAME?</v>
      </c>
      <c r="D62" s="236" t="e">
        <f ca="1">'利用時間(シフト)'!D63</f>
        <v>#NAME?</v>
      </c>
      <c r="E62" s="243" t="e">
        <f t="shared" ca="1" si="0"/>
        <v>#NAME?</v>
      </c>
      <c r="F62" s="244" t="e">
        <f t="shared" ca="1" si="1"/>
        <v>#NAME?</v>
      </c>
      <c r="G62" s="237" t="e">
        <f ca="1">'利用時間(シフト)'!L63</f>
        <v>#NAME?</v>
      </c>
      <c r="H62" s="238" t="e">
        <f ca="1">'利用時間(シフト)'!K63</f>
        <v>#NAME?</v>
      </c>
      <c r="I62" s="246" t="e">
        <f ca="1">'利用時間(シフト)'!M63</f>
        <v>#NAME?</v>
      </c>
      <c r="J62" s="239" t="e">
        <f t="shared" ca="1" si="2"/>
        <v>#NAME?</v>
      </c>
      <c r="K62" s="238" t="e">
        <f t="shared" ca="1" si="3"/>
        <v>#NAME?</v>
      </c>
      <c r="L62" s="240" t="e">
        <f t="shared" ca="1" si="4"/>
        <v>#NAME?</v>
      </c>
      <c r="M62" s="20"/>
    </row>
    <row r="63" spans="2:13" x14ac:dyDescent="0.2">
      <c r="B63" s="226" t="e">
        <f ca="1">'利用時間(シフト)'!B64</f>
        <v>#NAME?</v>
      </c>
      <c r="C63" s="236" t="e">
        <f ca="1">'利用時間(シフト)'!C64</f>
        <v>#NAME?</v>
      </c>
      <c r="D63" s="236" t="e">
        <f ca="1">'利用時間(シフト)'!D64</f>
        <v>#NAME?</v>
      </c>
      <c r="E63" s="243" t="e">
        <f t="shared" ca="1" si="0"/>
        <v>#NAME?</v>
      </c>
      <c r="F63" s="244" t="e">
        <f t="shared" ca="1" si="1"/>
        <v>#NAME?</v>
      </c>
      <c r="G63" s="237" t="e">
        <f ca="1">'利用時間(シフト)'!L64</f>
        <v>#NAME?</v>
      </c>
      <c r="H63" s="238" t="e">
        <f ca="1">'利用時間(シフト)'!K64</f>
        <v>#NAME?</v>
      </c>
      <c r="I63" s="246" t="e">
        <f ca="1">'利用時間(シフト)'!M64</f>
        <v>#NAME?</v>
      </c>
      <c r="J63" s="239" t="e">
        <f t="shared" ca="1" si="2"/>
        <v>#NAME?</v>
      </c>
      <c r="K63" s="238" t="e">
        <f t="shared" ca="1" si="3"/>
        <v>#NAME?</v>
      </c>
      <c r="L63" s="240" t="e">
        <f t="shared" ca="1" si="4"/>
        <v>#NAME?</v>
      </c>
      <c r="M63" s="20"/>
    </row>
    <row r="64" spans="2:13" x14ac:dyDescent="0.2">
      <c r="B64" s="226" t="e">
        <f ca="1">'利用時間(シフト)'!B65</f>
        <v>#NAME?</v>
      </c>
      <c r="C64" s="236" t="e">
        <f ca="1">'利用時間(シフト)'!C65</f>
        <v>#NAME?</v>
      </c>
      <c r="D64" s="236" t="e">
        <f ca="1">'利用時間(シフト)'!D65</f>
        <v>#NAME?</v>
      </c>
      <c r="E64" s="243" t="e">
        <f t="shared" ca="1" si="0"/>
        <v>#NAME?</v>
      </c>
      <c r="F64" s="244" t="e">
        <f t="shared" ca="1" si="1"/>
        <v>#NAME?</v>
      </c>
      <c r="G64" s="237" t="e">
        <f ca="1">'利用時間(シフト)'!L65</f>
        <v>#NAME?</v>
      </c>
      <c r="H64" s="238" t="e">
        <f ca="1">'利用時間(シフト)'!K65</f>
        <v>#NAME?</v>
      </c>
      <c r="I64" s="246" t="e">
        <f ca="1">'利用時間(シフト)'!M65</f>
        <v>#NAME?</v>
      </c>
      <c r="J64" s="239" t="e">
        <f t="shared" ca="1" si="2"/>
        <v>#NAME?</v>
      </c>
      <c r="K64" s="238" t="e">
        <f t="shared" ca="1" si="3"/>
        <v>#NAME?</v>
      </c>
      <c r="L64" s="240" t="e">
        <f t="shared" ca="1" si="4"/>
        <v>#NAME?</v>
      </c>
      <c r="M64" s="20"/>
    </row>
    <row r="65" spans="2:13" x14ac:dyDescent="0.2">
      <c r="B65" s="226" t="e">
        <f ca="1">'利用時間(シフト)'!B66</f>
        <v>#NAME?</v>
      </c>
      <c r="C65" s="236" t="e">
        <f ca="1">'利用時間(シフト)'!C66</f>
        <v>#NAME?</v>
      </c>
      <c r="D65" s="236" t="e">
        <f ca="1">'利用時間(シフト)'!D66</f>
        <v>#NAME?</v>
      </c>
      <c r="E65" s="243" t="e">
        <f t="shared" ca="1" si="0"/>
        <v>#NAME?</v>
      </c>
      <c r="F65" s="244" t="e">
        <f t="shared" ca="1" si="1"/>
        <v>#NAME?</v>
      </c>
      <c r="G65" s="237" t="e">
        <f ca="1">'利用時間(シフト)'!L66</f>
        <v>#NAME?</v>
      </c>
      <c r="H65" s="238" t="e">
        <f ca="1">'利用時間(シフト)'!K66</f>
        <v>#NAME?</v>
      </c>
      <c r="I65" s="246" t="e">
        <f ca="1">'利用時間(シフト)'!M66</f>
        <v>#NAME?</v>
      </c>
      <c r="J65" s="239" t="e">
        <f t="shared" ca="1" si="2"/>
        <v>#NAME?</v>
      </c>
      <c r="K65" s="238" t="e">
        <f t="shared" ca="1" si="3"/>
        <v>#NAME?</v>
      </c>
      <c r="L65" s="240" t="e">
        <f t="shared" ca="1" si="4"/>
        <v>#NAME?</v>
      </c>
      <c r="M65" s="20"/>
    </row>
    <row r="66" spans="2:13" x14ac:dyDescent="0.2">
      <c r="B66" s="226" t="e">
        <f ca="1">'利用時間(シフト)'!B67</f>
        <v>#NAME?</v>
      </c>
      <c r="C66" s="236" t="e">
        <f ca="1">'利用時間(シフト)'!C67</f>
        <v>#NAME?</v>
      </c>
      <c r="D66" s="236" t="e">
        <f ca="1">'利用時間(シフト)'!D67</f>
        <v>#NAME?</v>
      </c>
      <c r="E66" s="243" t="e">
        <f t="shared" ca="1" si="0"/>
        <v>#NAME?</v>
      </c>
      <c r="F66" s="244" t="e">
        <f t="shared" ca="1" si="1"/>
        <v>#NAME?</v>
      </c>
      <c r="G66" s="237" t="e">
        <f ca="1">'利用時間(シフト)'!L67</f>
        <v>#NAME?</v>
      </c>
      <c r="H66" s="238" t="e">
        <f ca="1">'利用時間(シフト)'!K67</f>
        <v>#NAME?</v>
      </c>
      <c r="I66" s="246" t="e">
        <f ca="1">'利用時間(シフト)'!M67</f>
        <v>#NAME?</v>
      </c>
      <c r="J66" s="239" t="e">
        <f t="shared" ca="1" si="2"/>
        <v>#NAME?</v>
      </c>
      <c r="K66" s="238" t="e">
        <f t="shared" ca="1" si="3"/>
        <v>#NAME?</v>
      </c>
      <c r="L66" s="240" t="e">
        <f t="shared" ca="1" si="4"/>
        <v>#NAME?</v>
      </c>
      <c r="M66" s="20"/>
    </row>
    <row r="67" spans="2:13" x14ac:dyDescent="0.2">
      <c r="B67" s="226" t="e">
        <f ca="1">'利用時間(シフト)'!B68</f>
        <v>#NAME?</v>
      </c>
      <c r="C67" s="236" t="e">
        <f ca="1">'利用時間(シフト)'!C68</f>
        <v>#NAME?</v>
      </c>
      <c r="D67" s="236" t="e">
        <f ca="1">'利用時間(シフト)'!D68</f>
        <v>#NAME?</v>
      </c>
      <c r="E67" s="243" t="e">
        <f t="shared" ca="1" si="0"/>
        <v>#NAME?</v>
      </c>
      <c r="F67" s="244" t="e">
        <f t="shared" ca="1" si="1"/>
        <v>#NAME?</v>
      </c>
      <c r="G67" s="237" t="e">
        <f ca="1">'利用時間(シフト)'!L68</f>
        <v>#NAME?</v>
      </c>
      <c r="H67" s="238" t="e">
        <f ca="1">'利用時間(シフト)'!K68</f>
        <v>#NAME?</v>
      </c>
      <c r="I67" s="246" t="e">
        <f ca="1">'利用時間(シフト)'!M68</f>
        <v>#NAME?</v>
      </c>
      <c r="J67" s="239" t="e">
        <f t="shared" ca="1" si="2"/>
        <v>#NAME?</v>
      </c>
      <c r="K67" s="238" t="e">
        <f t="shared" ca="1" si="3"/>
        <v>#NAME?</v>
      </c>
      <c r="L67" s="240" t="e">
        <f t="shared" ca="1" si="4"/>
        <v>#NAME?</v>
      </c>
      <c r="M67" s="20"/>
    </row>
    <row r="68" spans="2:13" x14ac:dyDescent="0.2">
      <c r="B68" s="226" t="e">
        <f ca="1">'利用時間(シフト)'!B69</f>
        <v>#NAME?</v>
      </c>
      <c r="C68" s="236" t="e">
        <f ca="1">'利用時間(シフト)'!C69</f>
        <v>#NAME?</v>
      </c>
      <c r="D68" s="236" t="e">
        <f ca="1">'利用時間(シフト)'!D69</f>
        <v>#NAME?</v>
      </c>
      <c r="E68" s="243" t="e">
        <f t="shared" ca="1" si="0"/>
        <v>#NAME?</v>
      </c>
      <c r="F68" s="244" t="e">
        <f t="shared" ca="1" si="1"/>
        <v>#NAME?</v>
      </c>
      <c r="G68" s="237" t="e">
        <f ca="1">'利用時間(シフト)'!L69</f>
        <v>#NAME?</v>
      </c>
      <c r="H68" s="238" t="e">
        <f ca="1">'利用時間(シフト)'!K69</f>
        <v>#NAME?</v>
      </c>
      <c r="I68" s="246" t="e">
        <f ca="1">'利用時間(シフト)'!M69</f>
        <v>#NAME?</v>
      </c>
      <c r="J68" s="239" t="e">
        <f t="shared" ca="1" si="2"/>
        <v>#NAME?</v>
      </c>
      <c r="K68" s="238" t="e">
        <f t="shared" ca="1" si="3"/>
        <v>#NAME?</v>
      </c>
      <c r="L68" s="240" t="e">
        <f t="shared" ca="1" si="4"/>
        <v>#NAME?</v>
      </c>
      <c r="M68" s="20"/>
    </row>
    <row r="69" spans="2:13" x14ac:dyDescent="0.2">
      <c r="B69" s="226" t="e">
        <f ca="1">'利用時間(シフト)'!B70</f>
        <v>#NAME?</v>
      </c>
      <c r="C69" s="236" t="e">
        <f ca="1">'利用時間(シフト)'!C70</f>
        <v>#NAME?</v>
      </c>
      <c r="D69" s="236" t="e">
        <f ca="1">'利用時間(シフト)'!D70</f>
        <v>#NAME?</v>
      </c>
      <c r="E69" s="243" t="e">
        <f t="shared" ca="1" si="0"/>
        <v>#NAME?</v>
      </c>
      <c r="F69" s="244" t="e">
        <f t="shared" ca="1" si="1"/>
        <v>#NAME?</v>
      </c>
      <c r="G69" s="237" t="e">
        <f ca="1">'利用時間(シフト)'!L70</f>
        <v>#NAME?</v>
      </c>
      <c r="H69" s="238" t="e">
        <f ca="1">'利用時間(シフト)'!K70</f>
        <v>#NAME?</v>
      </c>
      <c r="I69" s="246" t="e">
        <f ca="1">'利用時間(シフト)'!M70</f>
        <v>#NAME?</v>
      </c>
      <c r="J69" s="239" t="e">
        <f t="shared" ca="1" si="2"/>
        <v>#NAME?</v>
      </c>
      <c r="K69" s="238" t="e">
        <f t="shared" ca="1" si="3"/>
        <v>#NAME?</v>
      </c>
      <c r="L69" s="240" t="e">
        <f t="shared" ca="1" si="4"/>
        <v>#NAME?</v>
      </c>
      <c r="M69" s="20"/>
    </row>
    <row r="70" spans="2:13" x14ac:dyDescent="0.2">
      <c r="B70" s="226" t="e">
        <f ca="1">'利用時間(シフト)'!B71</f>
        <v>#NAME?</v>
      </c>
      <c r="C70" s="236" t="e">
        <f ca="1">'利用時間(シフト)'!C71</f>
        <v>#NAME?</v>
      </c>
      <c r="D70" s="236" t="e">
        <f ca="1">'利用時間(シフト)'!D71</f>
        <v>#NAME?</v>
      </c>
      <c r="E70" s="243" t="e">
        <f t="shared" ca="1" si="0"/>
        <v>#NAME?</v>
      </c>
      <c r="F70" s="244" t="e">
        <f t="shared" ca="1" si="1"/>
        <v>#NAME?</v>
      </c>
      <c r="G70" s="237" t="e">
        <f ca="1">'利用時間(シフト)'!L71</f>
        <v>#NAME?</v>
      </c>
      <c r="H70" s="238" t="e">
        <f ca="1">'利用時間(シフト)'!K71</f>
        <v>#NAME?</v>
      </c>
      <c r="I70" s="246" t="e">
        <f ca="1">'利用時間(シフト)'!M71</f>
        <v>#NAME?</v>
      </c>
      <c r="J70" s="239" t="e">
        <f t="shared" ca="1" si="2"/>
        <v>#NAME?</v>
      </c>
      <c r="K70" s="238" t="e">
        <f t="shared" ca="1" si="3"/>
        <v>#NAME?</v>
      </c>
      <c r="L70" s="240" t="e">
        <f t="shared" ca="1" si="4"/>
        <v>#NAME?</v>
      </c>
      <c r="M70" s="20"/>
    </row>
    <row r="71" spans="2:13" x14ac:dyDescent="0.2">
      <c r="B71" s="226" t="e">
        <f ca="1">'利用時間(シフト)'!B72</f>
        <v>#NAME?</v>
      </c>
      <c r="C71" s="236" t="e">
        <f ca="1">'利用時間(シフト)'!C72</f>
        <v>#NAME?</v>
      </c>
      <c r="D71" s="236" t="e">
        <f ca="1">'利用時間(シフト)'!D72</f>
        <v>#NAME?</v>
      </c>
      <c r="E71" s="243" t="e">
        <f t="shared" ca="1" si="0"/>
        <v>#NAME?</v>
      </c>
      <c r="F71" s="244" t="e">
        <f t="shared" ca="1" si="1"/>
        <v>#NAME?</v>
      </c>
      <c r="G71" s="237" t="e">
        <f ca="1">'利用時間(シフト)'!L72</f>
        <v>#NAME?</v>
      </c>
      <c r="H71" s="238" t="e">
        <f ca="1">'利用時間(シフト)'!K72</f>
        <v>#NAME?</v>
      </c>
      <c r="I71" s="246" t="e">
        <f ca="1">'利用時間(シフト)'!M72</f>
        <v>#NAME?</v>
      </c>
      <c r="J71" s="239" t="e">
        <f t="shared" ca="1" si="2"/>
        <v>#NAME?</v>
      </c>
      <c r="K71" s="238" t="e">
        <f t="shared" ca="1" si="3"/>
        <v>#NAME?</v>
      </c>
      <c r="L71" s="240" t="e">
        <f t="shared" ca="1" si="4"/>
        <v>#NAME?</v>
      </c>
      <c r="M71" s="20"/>
    </row>
    <row r="72" spans="2:13" x14ac:dyDescent="0.2">
      <c r="B72" s="226" t="e">
        <f ca="1">'利用時間(シフト)'!B73</f>
        <v>#NAME?</v>
      </c>
      <c r="C72" s="236" t="e">
        <f ca="1">'利用時間(シフト)'!C73</f>
        <v>#NAME?</v>
      </c>
      <c r="D72" s="236" t="e">
        <f ca="1">'利用時間(シフト)'!D73</f>
        <v>#NAME?</v>
      </c>
      <c r="E72" s="243" t="e">
        <f t="shared" ref="E72:E135" ca="1" si="5">IF($C72="","",VLOOKUP($C72,運転条件判定,14,1))</f>
        <v>#NAME?</v>
      </c>
      <c r="F72" s="244" t="e">
        <f t="shared" ref="F72:F135" ca="1" si="6">IF($C72="","",VLOOKUP($C72,運転条件判定,16,1))</f>
        <v>#NAME?</v>
      </c>
      <c r="G72" s="237" t="e">
        <f ca="1">'利用時間(シフト)'!L73</f>
        <v>#NAME?</v>
      </c>
      <c r="H72" s="238" t="e">
        <f ca="1">'利用時間(シフト)'!K73</f>
        <v>#NAME?</v>
      </c>
      <c r="I72" s="246" t="e">
        <f ca="1">'利用時間(シフト)'!M73</f>
        <v>#NAME?</v>
      </c>
      <c r="J72" s="239" t="e">
        <f t="shared" ref="J72:J135" ca="1" si="7">IF($C72="","",VLOOKUP($C72,運転条件判定,12,1))</f>
        <v>#NAME?</v>
      </c>
      <c r="K72" s="238" t="e">
        <f t="shared" ref="K72:K135" ca="1" si="8">IF(C72="","",SUMIFS($H$8:$H$1000,$I$8:$I$1000,I72,$B$8:$B$1000,B72))</f>
        <v>#NAME?</v>
      </c>
      <c r="L72" s="240" t="e">
        <f t="shared" ref="L72:L135" ca="1" si="9">IF($C72="","",VLOOKUP($C72,運転条件判定,15,1))</f>
        <v>#NAME?</v>
      </c>
      <c r="M72" s="20"/>
    </row>
    <row r="73" spans="2:13" x14ac:dyDescent="0.2">
      <c r="B73" s="226" t="e">
        <f ca="1">'利用時間(シフト)'!B74</f>
        <v>#NAME?</v>
      </c>
      <c r="C73" s="236" t="e">
        <f ca="1">'利用時間(シフト)'!C74</f>
        <v>#NAME?</v>
      </c>
      <c r="D73" s="236" t="e">
        <f ca="1">'利用時間(シフト)'!D74</f>
        <v>#NAME?</v>
      </c>
      <c r="E73" s="243" t="e">
        <f t="shared" ca="1" si="5"/>
        <v>#NAME?</v>
      </c>
      <c r="F73" s="244" t="e">
        <f t="shared" ca="1" si="6"/>
        <v>#NAME?</v>
      </c>
      <c r="G73" s="237" t="e">
        <f ca="1">'利用時間(シフト)'!L74</f>
        <v>#NAME?</v>
      </c>
      <c r="H73" s="238" t="e">
        <f ca="1">'利用時間(シフト)'!K74</f>
        <v>#NAME?</v>
      </c>
      <c r="I73" s="246" t="e">
        <f ca="1">'利用時間(シフト)'!M74</f>
        <v>#NAME?</v>
      </c>
      <c r="J73" s="239" t="e">
        <f t="shared" ca="1" si="7"/>
        <v>#NAME?</v>
      </c>
      <c r="K73" s="238" t="e">
        <f t="shared" ca="1" si="8"/>
        <v>#NAME?</v>
      </c>
      <c r="L73" s="240" t="e">
        <f t="shared" ca="1" si="9"/>
        <v>#NAME?</v>
      </c>
      <c r="M73" s="20"/>
    </row>
    <row r="74" spans="2:13" x14ac:dyDescent="0.2">
      <c r="B74" s="226" t="e">
        <f ca="1">'利用時間(シフト)'!B75</f>
        <v>#NAME?</v>
      </c>
      <c r="C74" s="236" t="e">
        <f ca="1">'利用時間(シフト)'!C75</f>
        <v>#NAME?</v>
      </c>
      <c r="D74" s="236" t="e">
        <f ca="1">'利用時間(シフト)'!D75</f>
        <v>#NAME?</v>
      </c>
      <c r="E74" s="243" t="e">
        <f t="shared" ca="1" si="5"/>
        <v>#NAME?</v>
      </c>
      <c r="F74" s="244" t="e">
        <f t="shared" ca="1" si="6"/>
        <v>#NAME?</v>
      </c>
      <c r="G74" s="237" t="e">
        <f ca="1">'利用時間(シフト)'!L75</f>
        <v>#NAME?</v>
      </c>
      <c r="H74" s="238" t="e">
        <f ca="1">'利用時間(シフト)'!K75</f>
        <v>#NAME?</v>
      </c>
      <c r="I74" s="246" t="e">
        <f ca="1">'利用時間(シフト)'!M75</f>
        <v>#NAME?</v>
      </c>
      <c r="J74" s="239" t="e">
        <f t="shared" ca="1" si="7"/>
        <v>#NAME?</v>
      </c>
      <c r="K74" s="238" t="e">
        <f t="shared" ca="1" si="8"/>
        <v>#NAME?</v>
      </c>
      <c r="L74" s="240" t="e">
        <f t="shared" ca="1" si="9"/>
        <v>#NAME?</v>
      </c>
      <c r="M74" s="20"/>
    </row>
    <row r="75" spans="2:13" x14ac:dyDescent="0.2">
      <c r="B75" s="226" t="e">
        <f ca="1">'利用時間(シフト)'!B76</f>
        <v>#NAME?</v>
      </c>
      <c r="C75" s="236" t="e">
        <f ca="1">'利用時間(シフト)'!C76</f>
        <v>#NAME?</v>
      </c>
      <c r="D75" s="236" t="e">
        <f ca="1">'利用時間(シフト)'!D76</f>
        <v>#NAME?</v>
      </c>
      <c r="E75" s="243" t="e">
        <f t="shared" ca="1" si="5"/>
        <v>#NAME?</v>
      </c>
      <c r="F75" s="244" t="e">
        <f t="shared" ca="1" si="6"/>
        <v>#NAME?</v>
      </c>
      <c r="G75" s="237" t="e">
        <f ca="1">'利用時間(シフト)'!L76</f>
        <v>#NAME?</v>
      </c>
      <c r="H75" s="238" t="e">
        <f ca="1">'利用時間(シフト)'!K76</f>
        <v>#NAME?</v>
      </c>
      <c r="I75" s="246" t="e">
        <f ca="1">'利用時間(シフト)'!M76</f>
        <v>#NAME?</v>
      </c>
      <c r="J75" s="239" t="e">
        <f t="shared" ca="1" si="7"/>
        <v>#NAME?</v>
      </c>
      <c r="K75" s="238" t="e">
        <f t="shared" ca="1" si="8"/>
        <v>#NAME?</v>
      </c>
      <c r="L75" s="240" t="e">
        <f t="shared" ca="1" si="9"/>
        <v>#NAME?</v>
      </c>
      <c r="M75" s="20"/>
    </row>
    <row r="76" spans="2:13" x14ac:dyDescent="0.2">
      <c r="B76" s="226" t="e">
        <f ca="1">'利用時間(シフト)'!B77</f>
        <v>#NAME?</v>
      </c>
      <c r="C76" s="236" t="e">
        <f ca="1">'利用時間(シフト)'!C77</f>
        <v>#NAME?</v>
      </c>
      <c r="D76" s="236" t="e">
        <f ca="1">'利用時間(シフト)'!D77</f>
        <v>#NAME?</v>
      </c>
      <c r="E76" s="243" t="e">
        <f t="shared" ca="1" si="5"/>
        <v>#NAME?</v>
      </c>
      <c r="F76" s="244" t="e">
        <f t="shared" ca="1" si="6"/>
        <v>#NAME?</v>
      </c>
      <c r="G76" s="237" t="e">
        <f ca="1">'利用時間(シフト)'!L77</f>
        <v>#NAME?</v>
      </c>
      <c r="H76" s="238" t="e">
        <f ca="1">'利用時間(シフト)'!K77</f>
        <v>#NAME?</v>
      </c>
      <c r="I76" s="246" t="e">
        <f ca="1">'利用時間(シフト)'!M77</f>
        <v>#NAME?</v>
      </c>
      <c r="J76" s="239" t="e">
        <f t="shared" ca="1" si="7"/>
        <v>#NAME?</v>
      </c>
      <c r="K76" s="238" t="e">
        <f t="shared" ca="1" si="8"/>
        <v>#NAME?</v>
      </c>
      <c r="L76" s="240" t="e">
        <f t="shared" ca="1" si="9"/>
        <v>#NAME?</v>
      </c>
      <c r="M76" s="20"/>
    </row>
    <row r="77" spans="2:13" x14ac:dyDescent="0.2">
      <c r="B77" s="226" t="e">
        <f ca="1">'利用時間(シフト)'!B78</f>
        <v>#NAME?</v>
      </c>
      <c r="C77" s="236" t="e">
        <f ca="1">'利用時間(シフト)'!C78</f>
        <v>#NAME?</v>
      </c>
      <c r="D77" s="236" t="e">
        <f ca="1">'利用時間(シフト)'!D78</f>
        <v>#NAME?</v>
      </c>
      <c r="E77" s="243" t="e">
        <f t="shared" ca="1" si="5"/>
        <v>#NAME?</v>
      </c>
      <c r="F77" s="244" t="e">
        <f t="shared" ca="1" si="6"/>
        <v>#NAME?</v>
      </c>
      <c r="G77" s="237" t="e">
        <f ca="1">'利用時間(シフト)'!L78</f>
        <v>#NAME?</v>
      </c>
      <c r="H77" s="238" t="e">
        <f ca="1">'利用時間(シフト)'!K78</f>
        <v>#NAME?</v>
      </c>
      <c r="I77" s="246" t="e">
        <f ca="1">'利用時間(シフト)'!M78</f>
        <v>#NAME?</v>
      </c>
      <c r="J77" s="239" t="e">
        <f t="shared" ca="1" si="7"/>
        <v>#NAME?</v>
      </c>
      <c r="K77" s="238" t="e">
        <f t="shared" ca="1" si="8"/>
        <v>#NAME?</v>
      </c>
      <c r="L77" s="240" t="e">
        <f t="shared" ca="1" si="9"/>
        <v>#NAME?</v>
      </c>
      <c r="M77" s="20"/>
    </row>
    <row r="78" spans="2:13" x14ac:dyDescent="0.2">
      <c r="B78" s="226" t="e">
        <f ca="1">'利用時間(シフト)'!B79</f>
        <v>#NAME?</v>
      </c>
      <c r="C78" s="236" t="e">
        <f ca="1">'利用時間(シフト)'!C79</f>
        <v>#NAME?</v>
      </c>
      <c r="D78" s="236" t="e">
        <f ca="1">'利用時間(シフト)'!D79</f>
        <v>#NAME?</v>
      </c>
      <c r="E78" s="243" t="e">
        <f t="shared" ca="1" si="5"/>
        <v>#NAME?</v>
      </c>
      <c r="F78" s="244" t="e">
        <f t="shared" ca="1" si="6"/>
        <v>#NAME?</v>
      </c>
      <c r="G78" s="237" t="e">
        <f ca="1">'利用時間(シフト)'!L79</f>
        <v>#NAME?</v>
      </c>
      <c r="H78" s="238" t="e">
        <f ca="1">'利用時間(シフト)'!K79</f>
        <v>#NAME?</v>
      </c>
      <c r="I78" s="246" t="e">
        <f ca="1">'利用時間(シフト)'!M79</f>
        <v>#NAME?</v>
      </c>
      <c r="J78" s="239" t="e">
        <f t="shared" ca="1" si="7"/>
        <v>#NAME?</v>
      </c>
      <c r="K78" s="238" t="e">
        <f t="shared" ca="1" si="8"/>
        <v>#NAME?</v>
      </c>
      <c r="L78" s="240" t="e">
        <f t="shared" ca="1" si="9"/>
        <v>#NAME?</v>
      </c>
      <c r="M78" s="20"/>
    </row>
    <row r="79" spans="2:13" x14ac:dyDescent="0.2">
      <c r="B79" s="226" t="e">
        <f ca="1">'利用時間(シフト)'!B80</f>
        <v>#NAME?</v>
      </c>
      <c r="C79" s="236" t="e">
        <f ca="1">'利用時間(シフト)'!C80</f>
        <v>#NAME?</v>
      </c>
      <c r="D79" s="236" t="e">
        <f ca="1">'利用時間(シフト)'!D80</f>
        <v>#NAME?</v>
      </c>
      <c r="E79" s="243" t="e">
        <f t="shared" ca="1" si="5"/>
        <v>#NAME?</v>
      </c>
      <c r="F79" s="244" t="e">
        <f t="shared" ca="1" si="6"/>
        <v>#NAME?</v>
      </c>
      <c r="G79" s="237" t="e">
        <f ca="1">'利用時間(シフト)'!L80</f>
        <v>#NAME?</v>
      </c>
      <c r="H79" s="238" t="e">
        <f ca="1">'利用時間(シフト)'!K80</f>
        <v>#NAME?</v>
      </c>
      <c r="I79" s="246" t="e">
        <f ca="1">'利用時間(シフト)'!M80</f>
        <v>#NAME?</v>
      </c>
      <c r="J79" s="239" t="e">
        <f t="shared" ca="1" si="7"/>
        <v>#NAME?</v>
      </c>
      <c r="K79" s="238" t="e">
        <f t="shared" ca="1" si="8"/>
        <v>#NAME?</v>
      </c>
      <c r="L79" s="240" t="e">
        <f t="shared" ca="1" si="9"/>
        <v>#NAME?</v>
      </c>
      <c r="M79" s="20"/>
    </row>
    <row r="80" spans="2:13" x14ac:dyDescent="0.2">
      <c r="B80" s="226" t="e">
        <f ca="1">'利用時間(シフト)'!B81</f>
        <v>#NAME?</v>
      </c>
      <c r="C80" s="236" t="e">
        <f ca="1">'利用時間(シフト)'!C81</f>
        <v>#NAME?</v>
      </c>
      <c r="D80" s="236" t="e">
        <f ca="1">'利用時間(シフト)'!D81</f>
        <v>#NAME?</v>
      </c>
      <c r="E80" s="243" t="e">
        <f t="shared" ca="1" si="5"/>
        <v>#NAME?</v>
      </c>
      <c r="F80" s="244" t="e">
        <f t="shared" ca="1" si="6"/>
        <v>#NAME?</v>
      </c>
      <c r="G80" s="237" t="e">
        <f ca="1">'利用時間(シフト)'!L81</f>
        <v>#NAME?</v>
      </c>
      <c r="H80" s="238" t="e">
        <f ca="1">'利用時間(シフト)'!K81</f>
        <v>#NAME?</v>
      </c>
      <c r="I80" s="246" t="e">
        <f ca="1">'利用時間(シフト)'!M81</f>
        <v>#NAME?</v>
      </c>
      <c r="J80" s="239" t="e">
        <f t="shared" ca="1" si="7"/>
        <v>#NAME?</v>
      </c>
      <c r="K80" s="238" t="e">
        <f t="shared" ca="1" si="8"/>
        <v>#NAME?</v>
      </c>
      <c r="L80" s="240" t="e">
        <f t="shared" ca="1" si="9"/>
        <v>#NAME?</v>
      </c>
      <c r="M80" s="20"/>
    </row>
    <row r="81" spans="2:13" x14ac:dyDescent="0.2">
      <c r="B81" s="226" t="e">
        <f ca="1">'利用時間(シフト)'!B82</f>
        <v>#NAME?</v>
      </c>
      <c r="C81" s="236" t="e">
        <f ca="1">'利用時間(シフト)'!C82</f>
        <v>#NAME?</v>
      </c>
      <c r="D81" s="236" t="e">
        <f ca="1">'利用時間(シフト)'!D82</f>
        <v>#NAME?</v>
      </c>
      <c r="E81" s="243" t="e">
        <f t="shared" ca="1" si="5"/>
        <v>#NAME?</v>
      </c>
      <c r="F81" s="244" t="e">
        <f t="shared" ca="1" si="6"/>
        <v>#NAME?</v>
      </c>
      <c r="G81" s="237" t="e">
        <f ca="1">'利用時間(シフト)'!L82</f>
        <v>#NAME?</v>
      </c>
      <c r="H81" s="238" t="e">
        <f ca="1">'利用時間(シフト)'!K82</f>
        <v>#NAME?</v>
      </c>
      <c r="I81" s="246" t="e">
        <f ca="1">'利用時間(シフト)'!M82</f>
        <v>#NAME?</v>
      </c>
      <c r="J81" s="239" t="e">
        <f t="shared" ca="1" si="7"/>
        <v>#NAME?</v>
      </c>
      <c r="K81" s="238" t="e">
        <f t="shared" ca="1" si="8"/>
        <v>#NAME?</v>
      </c>
      <c r="L81" s="240" t="e">
        <f t="shared" ca="1" si="9"/>
        <v>#NAME?</v>
      </c>
      <c r="M81" s="20"/>
    </row>
    <row r="82" spans="2:13" x14ac:dyDescent="0.2">
      <c r="B82" s="226" t="e">
        <f ca="1">'利用時間(シフト)'!B83</f>
        <v>#NAME?</v>
      </c>
      <c r="C82" s="236" t="e">
        <f ca="1">'利用時間(シフト)'!C83</f>
        <v>#NAME?</v>
      </c>
      <c r="D82" s="236" t="e">
        <f ca="1">'利用時間(シフト)'!D83</f>
        <v>#NAME?</v>
      </c>
      <c r="E82" s="243" t="e">
        <f t="shared" ca="1" si="5"/>
        <v>#NAME?</v>
      </c>
      <c r="F82" s="244" t="e">
        <f t="shared" ca="1" si="6"/>
        <v>#NAME?</v>
      </c>
      <c r="G82" s="237" t="e">
        <f ca="1">'利用時間(シフト)'!L83</f>
        <v>#NAME?</v>
      </c>
      <c r="H82" s="238" t="e">
        <f ca="1">'利用時間(シフト)'!K83</f>
        <v>#NAME?</v>
      </c>
      <c r="I82" s="246" t="e">
        <f ca="1">'利用時間(シフト)'!M83</f>
        <v>#NAME?</v>
      </c>
      <c r="J82" s="239" t="e">
        <f t="shared" ca="1" si="7"/>
        <v>#NAME?</v>
      </c>
      <c r="K82" s="238" t="e">
        <f t="shared" ca="1" si="8"/>
        <v>#NAME?</v>
      </c>
      <c r="L82" s="240" t="e">
        <f t="shared" ca="1" si="9"/>
        <v>#NAME?</v>
      </c>
      <c r="M82" s="20"/>
    </row>
    <row r="83" spans="2:13" x14ac:dyDescent="0.2">
      <c r="B83" s="226" t="e">
        <f ca="1">'利用時間(シフト)'!B84</f>
        <v>#NAME?</v>
      </c>
      <c r="C83" s="236" t="e">
        <f ca="1">'利用時間(シフト)'!C84</f>
        <v>#NAME?</v>
      </c>
      <c r="D83" s="236" t="e">
        <f ca="1">'利用時間(シフト)'!D84</f>
        <v>#NAME?</v>
      </c>
      <c r="E83" s="243" t="e">
        <f t="shared" ca="1" si="5"/>
        <v>#NAME?</v>
      </c>
      <c r="F83" s="244" t="e">
        <f t="shared" ca="1" si="6"/>
        <v>#NAME?</v>
      </c>
      <c r="G83" s="237" t="e">
        <f ca="1">'利用時間(シフト)'!L84</f>
        <v>#NAME?</v>
      </c>
      <c r="H83" s="238" t="e">
        <f ca="1">'利用時間(シフト)'!K84</f>
        <v>#NAME?</v>
      </c>
      <c r="I83" s="246" t="e">
        <f ca="1">'利用時間(シフト)'!M84</f>
        <v>#NAME?</v>
      </c>
      <c r="J83" s="239" t="e">
        <f t="shared" ca="1" si="7"/>
        <v>#NAME?</v>
      </c>
      <c r="K83" s="238" t="e">
        <f t="shared" ca="1" si="8"/>
        <v>#NAME?</v>
      </c>
      <c r="L83" s="240" t="e">
        <f t="shared" ca="1" si="9"/>
        <v>#NAME?</v>
      </c>
      <c r="M83" s="20"/>
    </row>
    <row r="84" spans="2:13" x14ac:dyDescent="0.2">
      <c r="B84" s="226" t="e">
        <f ca="1">'利用時間(シフト)'!B85</f>
        <v>#NAME?</v>
      </c>
      <c r="C84" s="236" t="e">
        <f ca="1">'利用時間(シフト)'!C85</f>
        <v>#NAME?</v>
      </c>
      <c r="D84" s="236" t="e">
        <f ca="1">'利用時間(シフト)'!D85</f>
        <v>#NAME?</v>
      </c>
      <c r="E84" s="243" t="e">
        <f t="shared" ca="1" si="5"/>
        <v>#NAME?</v>
      </c>
      <c r="F84" s="244" t="e">
        <f t="shared" ca="1" si="6"/>
        <v>#NAME?</v>
      </c>
      <c r="G84" s="237" t="e">
        <f ca="1">'利用時間(シフト)'!L85</f>
        <v>#NAME?</v>
      </c>
      <c r="H84" s="238" t="e">
        <f ca="1">'利用時間(シフト)'!K85</f>
        <v>#NAME?</v>
      </c>
      <c r="I84" s="246" t="e">
        <f ca="1">'利用時間(シフト)'!M85</f>
        <v>#NAME?</v>
      </c>
      <c r="J84" s="239" t="e">
        <f t="shared" ca="1" si="7"/>
        <v>#NAME?</v>
      </c>
      <c r="K84" s="238" t="e">
        <f t="shared" ca="1" si="8"/>
        <v>#NAME?</v>
      </c>
      <c r="L84" s="240" t="e">
        <f t="shared" ca="1" si="9"/>
        <v>#NAME?</v>
      </c>
      <c r="M84" s="20"/>
    </row>
    <row r="85" spans="2:13" x14ac:dyDescent="0.2">
      <c r="B85" s="226" t="e">
        <f ca="1">'利用時間(シフト)'!B86</f>
        <v>#NAME?</v>
      </c>
      <c r="C85" s="236" t="e">
        <f ca="1">'利用時間(シフト)'!C86</f>
        <v>#NAME?</v>
      </c>
      <c r="D85" s="236" t="e">
        <f ca="1">'利用時間(シフト)'!D86</f>
        <v>#NAME?</v>
      </c>
      <c r="E85" s="243" t="e">
        <f t="shared" ca="1" si="5"/>
        <v>#NAME?</v>
      </c>
      <c r="F85" s="244" t="e">
        <f t="shared" ca="1" si="6"/>
        <v>#NAME?</v>
      </c>
      <c r="G85" s="237" t="e">
        <f ca="1">'利用時間(シフト)'!L86</f>
        <v>#NAME?</v>
      </c>
      <c r="H85" s="238" t="e">
        <f ca="1">'利用時間(シフト)'!K86</f>
        <v>#NAME?</v>
      </c>
      <c r="I85" s="246" t="e">
        <f ca="1">'利用時間(シフト)'!M86</f>
        <v>#NAME?</v>
      </c>
      <c r="J85" s="239" t="e">
        <f t="shared" ca="1" si="7"/>
        <v>#NAME?</v>
      </c>
      <c r="K85" s="238" t="e">
        <f t="shared" ca="1" si="8"/>
        <v>#NAME?</v>
      </c>
      <c r="L85" s="240" t="e">
        <f t="shared" ca="1" si="9"/>
        <v>#NAME?</v>
      </c>
      <c r="M85" s="20"/>
    </row>
    <row r="86" spans="2:13" x14ac:dyDescent="0.2">
      <c r="B86" s="226" t="e">
        <f ca="1">'利用時間(シフト)'!B87</f>
        <v>#NAME?</v>
      </c>
      <c r="C86" s="236" t="e">
        <f ca="1">'利用時間(シフト)'!C87</f>
        <v>#NAME?</v>
      </c>
      <c r="D86" s="236" t="e">
        <f ca="1">'利用時間(シフト)'!D87</f>
        <v>#NAME?</v>
      </c>
      <c r="E86" s="243" t="e">
        <f t="shared" ca="1" si="5"/>
        <v>#NAME?</v>
      </c>
      <c r="F86" s="244" t="e">
        <f t="shared" ca="1" si="6"/>
        <v>#NAME?</v>
      </c>
      <c r="G86" s="237" t="e">
        <f ca="1">'利用時間(シフト)'!L87</f>
        <v>#NAME?</v>
      </c>
      <c r="H86" s="238" t="e">
        <f ca="1">'利用時間(シフト)'!K87</f>
        <v>#NAME?</v>
      </c>
      <c r="I86" s="246" t="e">
        <f ca="1">'利用時間(シフト)'!M87</f>
        <v>#NAME?</v>
      </c>
      <c r="J86" s="239" t="e">
        <f t="shared" ca="1" si="7"/>
        <v>#NAME?</v>
      </c>
      <c r="K86" s="238" t="e">
        <f t="shared" ca="1" si="8"/>
        <v>#NAME?</v>
      </c>
      <c r="L86" s="240" t="e">
        <f t="shared" ca="1" si="9"/>
        <v>#NAME?</v>
      </c>
      <c r="M86" s="20"/>
    </row>
    <row r="87" spans="2:13" x14ac:dyDescent="0.2">
      <c r="B87" s="226" t="e">
        <f ca="1">'利用時間(シフト)'!B88</f>
        <v>#NAME?</v>
      </c>
      <c r="C87" s="236" t="e">
        <f ca="1">'利用時間(シフト)'!C88</f>
        <v>#NAME?</v>
      </c>
      <c r="D87" s="236" t="e">
        <f ca="1">'利用時間(シフト)'!D88</f>
        <v>#NAME?</v>
      </c>
      <c r="E87" s="243" t="e">
        <f t="shared" ca="1" si="5"/>
        <v>#NAME?</v>
      </c>
      <c r="F87" s="244" t="e">
        <f t="shared" ca="1" si="6"/>
        <v>#NAME?</v>
      </c>
      <c r="G87" s="237" t="e">
        <f ca="1">'利用時間(シフト)'!L88</f>
        <v>#NAME?</v>
      </c>
      <c r="H87" s="238" t="e">
        <f ca="1">'利用時間(シフト)'!K88</f>
        <v>#NAME?</v>
      </c>
      <c r="I87" s="246" t="e">
        <f ca="1">'利用時間(シフト)'!M88</f>
        <v>#NAME?</v>
      </c>
      <c r="J87" s="239" t="e">
        <f t="shared" ca="1" si="7"/>
        <v>#NAME?</v>
      </c>
      <c r="K87" s="238" t="e">
        <f t="shared" ca="1" si="8"/>
        <v>#NAME?</v>
      </c>
      <c r="L87" s="240" t="e">
        <f t="shared" ca="1" si="9"/>
        <v>#NAME?</v>
      </c>
      <c r="M87" s="20"/>
    </row>
    <row r="88" spans="2:13" x14ac:dyDescent="0.2">
      <c r="B88" s="226" t="e">
        <f ca="1">'利用時間(シフト)'!B89</f>
        <v>#NAME?</v>
      </c>
      <c r="C88" s="236" t="e">
        <f ca="1">'利用時間(シフト)'!C89</f>
        <v>#NAME?</v>
      </c>
      <c r="D88" s="236" t="e">
        <f ca="1">'利用時間(シフト)'!D89</f>
        <v>#NAME?</v>
      </c>
      <c r="E88" s="243" t="e">
        <f t="shared" ca="1" si="5"/>
        <v>#NAME?</v>
      </c>
      <c r="F88" s="244" t="e">
        <f t="shared" ca="1" si="6"/>
        <v>#NAME?</v>
      </c>
      <c r="G88" s="237" t="e">
        <f ca="1">'利用時間(シフト)'!L89</f>
        <v>#NAME?</v>
      </c>
      <c r="H88" s="238" t="e">
        <f ca="1">'利用時間(シフト)'!K89</f>
        <v>#NAME?</v>
      </c>
      <c r="I88" s="246" t="e">
        <f ca="1">'利用時間(シフト)'!M89</f>
        <v>#NAME?</v>
      </c>
      <c r="J88" s="239" t="e">
        <f t="shared" ca="1" si="7"/>
        <v>#NAME?</v>
      </c>
      <c r="K88" s="238" t="e">
        <f t="shared" ca="1" si="8"/>
        <v>#NAME?</v>
      </c>
      <c r="L88" s="240" t="e">
        <f t="shared" ca="1" si="9"/>
        <v>#NAME?</v>
      </c>
      <c r="M88" s="20"/>
    </row>
    <row r="89" spans="2:13" x14ac:dyDescent="0.2">
      <c r="B89" s="226" t="e">
        <f ca="1">'利用時間(シフト)'!B90</f>
        <v>#NAME?</v>
      </c>
      <c r="C89" s="236" t="e">
        <f ca="1">'利用時間(シフト)'!C90</f>
        <v>#NAME?</v>
      </c>
      <c r="D89" s="236" t="e">
        <f ca="1">'利用時間(シフト)'!D90</f>
        <v>#NAME?</v>
      </c>
      <c r="E89" s="243" t="e">
        <f t="shared" ca="1" si="5"/>
        <v>#NAME?</v>
      </c>
      <c r="F89" s="244" t="e">
        <f t="shared" ca="1" si="6"/>
        <v>#NAME?</v>
      </c>
      <c r="G89" s="237" t="e">
        <f ca="1">'利用時間(シフト)'!L90</f>
        <v>#NAME?</v>
      </c>
      <c r="H89" s="238" t="e">
        <f ca="1">'利用時間(シフト)'!K90</f>
        <v>#NAME?</v>
      </c>
      <c r="I89" s="246" t="e">
        <f ca="1">'利用時間(シフト)'!M90</f>
        <v>#NAME?</v>
      </c>
      <c r="J89" s="239" t="e">
        <f t="shared" ca="1" si="7"/>
        <v>#NAME?</v>
      </c>
      <c r="K89" s="238" t="e">
        <f t="shared" ca="1" si="8"/>
        <v>#NAME?</v>
      </c>
      <c r="L89" s="240" t="e">
        <f t="shared" ca="1" si="9"/>
        <v>#NAME?</v>
      </c>
      <c r="M89" s="20"/>
    </row>
    <row r="90" spans="2:13" x14ac:dyDescent="0.2">
      <c r="B90" s="226" t="e">
        <f ca="1">'利用時間(シフト)'!B91</f>
        <v>#NAME?</v>
      </c>
      <c r="C90" s="236" t="e">
        <f ca="1">'利用時間(シフト)'!C91</f>
        <v>#NAME?</v>
      </c>
      <c r="D90" s="236" t="e">
        <f ca="1">'利用時間(シフト)'!D91</f>
        <v>#NAME?</v>
      </c>
      <c r="E90" s="243" t="e">
        <f t="shared" ca="1" si="5"/>
        <v>#NAME?</v>
      </c>
      <c r="F90" s="244" t="e">
        <f t="shared" ca="1" si="6"/>
        <v>#NAME?</v>
      </c>
      <c r="G90" s="237" t="e">
        <f ca="1">'利用時間(シフト)'!L91</f>
        <v>#NAME?</v>
      </c>
      <c r="H90" s="238" t="e">
        <f ca="1">'利用時間(シフト)'!K91</f>
        <v>#NAME?</v>
      </c>
      <c r="I90" s="246" t="e">
        <f ca="1">'利用時間(シフト)'!M91</f>
        <v>#NAME?</v>
      </c>
      <c r="J90" s="239" t="e">
        <f t="shared" ca="1" si="7"/>
        <v>#NAME?</v>
      </c>
      <c r="K90" s="238" t="e">
        <f t="shared" ca="1" si="8"/>
        <v>#NAME?</v>
      </c>
      <c r="L90" s="240" t="e">
        <f t="shared" ca="1" si="9"/>
        <v>#NAME?</v>
      </c>
      <c r="M90" s="20"/>
    </row>
    <row r="91" spans="2:13" x14ac:dyDescent="0.2">
      <c r="B91" s="226" t="e">
        <f ca="1">'利用時間(シフト)'!B92</f>
        <v>#NAME?</v>
      </c>
      <c r="C91" s="236" t="e">
        <f ca="1">'利用時間(シフト)'!C92</f>
        <v>#NAME?</v>
      </c>
      <c r="D91" s="236" t="e">
        <f ca="1">'利用時間(シフト)'!D92</f>
        <v>#NAME?</v>
      </c>
      <c r="E91" s="243" t="e">
        <f t="shared" ca="1" si="5"/>
        <v>#NAME?</v>
      </c>
      <c r="F91" s="244" t="e">
        <f t="shared" ca="1" si="6"/>
        <v>#NAME?</v>
      </c>
      <c r="G91" s="237" t="e">
        <f ca="1">'利用時間(シフト)'!L92</f>
        <v>#NAME?</v>
      </c>
      <c r="H91" s="238" t="e">
        <f ca="1">'利用時間(シフト)'!K92</f>
        <v>#NAME?</v>
      </c>
      <c r="I91" s="246" t="e">
        <f ca="1">'利用時間(シフト)'!M92</f>
        <v>#NAME?</v>
      </c>
      <c r="J91" s="239" t="e">
        <f t="shared" ca="1" si="7"/>
        <v>#NAME?</v>
      </c>
      <c r="K91" s="238" t="e">
        <f t="shared" ca="1" si="8"/>
        <v>#NAME?</v>
      </c>
      <c r="L91" s="240" t="e">
        <f t="shared" ca="1" si="9"/>
        <v>#NAME?</v>
      </c>
      <c r="M91" s="20"/>
    </row>
    <row r="92" spans="2:13" x14ac:dyDescent="0.2">
      <c r="B92" s="226" t="e">
        <f ca="1">'利用時間(シフト)'!B93</f>
        <v>#NAME?</v>
      </c>
      <c r="C92" s="236" t="e">
        <f ca="1">'利用時間(シフト)'!C93</f>
        <v>#NAME?</v>
      </c>
      <c r="D92" s="236" t="e">
        <f ca="1">'利用時間(シフト)'!D93</f>
        <v>#NAME?</v>
      </c>
      <c r="E92" s="243" t="e">
        <f t="shared" ca="1" si="5"/>
        <v>#NAME?</v>
      </c>
      <c r="F92" s="244" t="e">
        <f t="shared" ca="1" si="6"/>
        <v>#NAME?</v>
      </c>
      <c r="G92" s="237" t="e">
        <f ca="1">'利用時間(シフト)'!L93</f>
        <v>#NAME?</v>
      </c>
      <c r="H92" s="238" t="e">
        <f ca="1">'利用時間(シフト)'!K93</f>
        <v>#NAME?</v>
      </c>
      <c r="I92" s="246" t="e">
        <f ca="1">'利用時間(シフト)'!M93</f>
        <v>#NAME?</v>
      </c>
      <c r="J92" s="239" t="e">
        <f t="shared" ca="1" si="7"/>
        <v>#NAME?</v>
      </c>
      <c r="K92" s="238" t="e">
        <f t="shared" ca="1" si="8"/>
        <v>#NAME?</v>
      </c>
      <c r="L92" s="240" t="e">
        <f t="shared" ca="1" si="9"/>
        <v>#NAME?</v>
      </c>
      <c r="M92" s="20"/>
    </row>
    <row r="93" spans="2:13" x14ac:dyDescent="0.2">
      <c r="B93" s="226" t="e">
        <f ca="1">'利用時間(シフト)'!B94</f>
        <v>#NAME?</v>
      </c>
      <c r="C93" s="236" t="e">
        <f ca="1">'利用時間(シフト)'!C94</f>
        <v>#NAME?</v>
      </c>
      <c r="D93" s="236" t="e">
        <f ca="1">'利用時間(シフト)'!D94</f>
        <v>#NAME?</v>
      </c>
      <c r="E93" s="243" t="e">
        <f t="shared" ca="1" si="5"/>
        <v>#NAME?</v>
      </c>
      <c r="F93" s="244" t="e">
        <f t="shared" ca="1" si="6"/>
        <v>#NAME?</v>
      </c>
      <c r="G93" s="237" t="e">
        <f ca="1">'利用時間(シフト)'!L94</f>
        <v>#NAME?</v>
      </c>
      <c r="H93" s="238" t="e">
        <f ca="1">'利用時間(シフト)'!K94</f>
        <v>#NAME?</v>
      </c>
      <c r="I93" s="246" t="e">
        <f ca="1">'利用時間(シフト)'!M94</f>
        <v>#NAME?</v>
      </c>
      <c r="J93" s="239" t="e">
        <f t="shared" ca="1" si="7"/>
        <v>#NAME?</v>
      </c>
      <c r="K93" s="238" t="e">
        <f t="shared" ca="1" si="8"/>
        <v>#NAME?</v>
      </c>
      <c r="L93" s="240" t="e">
        <f t="shared" ca="1" si="9"/>
        <v>#NAME?</v>
      </c>
      <c r="M93" s="20"/>
    </row>
    <row r="94" spans="2:13" x14ac:dyDescent="0.2">
      <c r="B94" s="226" t="e">
        <f ca="1">'利用時間(シフト)'!B95</f>
        <v>#NAME?</v>
      </c>
      <c r="C94" s="236" t="e">
        <f ca="1">'利用時間(シフト)'!C95</f>
        <v>#NAME?</v>
      </c>
      <c r="D94" s="236" t="e">
        <f ca="1">'利用時間(シフト)'!D95</f>
        <v>#NAME?</v>
      </c>
      <c r="E94" s="243" t="e">
        <f t="shared" ca="1" si="5"/>
        <v>#NAME?</v>
      </c>
      <c r="F94" s="244" t="e">
        <f t="shared" ca="1" si="6"/>
        <v>#NAME?</v>
      </c>
      <c r="G94" s="237" t="e">
        <f ca="1">'利用時間(シフト)'!L95</f>
        <v>#NAME?</v>
      </c>
      <c r="H94" s="238" t="e">
        <f ca="1">'利用時間(シフト)'!K95</f>
        <v>#NAME?</v>
      </c>
      <c r="I94" s="246" t="e">
        <f ca="1">'利用時間(シフト)'!M95</f>
        <v>#NAME?</v>
      </c>
      <c r="J94" s="239" t="e">
        <f t="shared" ca="1" si="7"/>
        <v>#NAME?</v>
      </c>
      <c r="K94" s="238" t="e">
        <f t="shared" ca="1" si="8"/>
        <v>#NAME?</v>
      </c>
      <c r="L94" s="240" t="e">
        <f t="shared" ca="1" si="9"/>
        <v>#NAME?</v>
      </c>
      <c r="M94" s="20"/>
    </row>
    <row r="95" spans="2:13" x14ac:dyDescent="0.2">
      <c r="B95" s="226" t="e">
        <f ca="1">'利用時間(シフト)'!B96</f>
        <v>#NAME?</v>
      </c>
      <c r="C95" s="236" t="e">
        <f ca="1">'利用時間(シフト)'!C96</f>
        <v>#NAME?</v>
      </c>
      <c r="D95" s="236" t="e">
        <f ca="1">'利用時間(シフト)'!D96</f>
        <v>#NAME?</v>
      </c>
      <c r="E95" s="243" t="e">
        <f t="shared" ca="1" si="5"/>
        <v>#NAME?</v>
      </c>
      <c r="F95" s="244" t="e">
        <f t="shared" ca="1" si="6"/>
        <v>#NAME?</v>
      </c>
      <c r="G95" s="237" t="e">
        <f ca="1">'利用時間(シフト)'!L96</f>
        <v>#NAME?</v>
      </c>
      <c r="H95" s="238" t="e">
        <f ca="1">'利用時間(シフト)'!K96</f>
        <v>#NAME?</v>
      </c>
      <c r="I95" s="246" t="e">
        <f ca="1">'利用時間(シフト)'!M96</f>
        <v>#NAME?</v>
      </c>
      <c r="J95" s="239" t="e">
        <f t="shared" ca="1" si="7"/>
        <v>#NAME?</v>
      </c>
      <c r="K95" s="238" t="e">
        <f t="shared" ca="1" si="8"/>
        <v>#NAME?</v>
      </c>
      <c r="L95" s="240" t="e">
        <f t="shared" ca="1" si="9"/>
        <v>#NAME?</v>
      </c>
      <c r="M95" s="20"/>
    </row>
    <row r="96" spans="2:13" x14ac:dyDescent="0.2">
      <c r="B96" s="226" t="e">
        <f ca="1">'利用時間(シフト)'!B97</f>
        <v>#NAME?</v>
      </c>
      <c r="C96" s="236" t="e">
        <f ca="1">'利用時間(シフト)'!C97</f>
        <v>#NAME?</v>
      </c>
      <c r="D96" s="236" t="e">
        <f ca="1">'利用時間(シフト)'!D97</f>
        <v>#NAME?</v>
      </c>
      <c r="E96" s="243" t="e">
        <f t="shared" ca="1" si="5"/>
        <v>#NAME?</v>
      </c>
      <c r="F96" s="244" t="e">
        <f t="shared" ca="1" si="6"/>
        <v>#NAME?</v>
      </c>
      <c r="G96" s="237" t="e">
        <f ca="1">'利用時間(シフト)'!L97</f>
        <v>#NAME?</v>
      </c>
      <c r="H96" s="238" t="e">
        <f ca="1">'利用時間(シフト)'!K97</f>
        <v>#NAME?</v>
      </c>
      <c r="I96" s="246" t="e">
        <f ca="1">'利用時間(シフト)'!M97</f>
        <v>#NAME?</v>
      </c>
      <c r="J96" s="239" t="e">
        <f t="shared" ca="1" si="7"/>
        <v>#NAME?</v>
      </c>
      <c r="K96" s="238" t="e">
        <f t="shared" ca="1" si="8"/>
        <v>#NAME?</v>
      </c>
      <c r="L96" s="240" t="e">
        <f t="shared" ca="1" si="9"/>
        <v>#NAME?</v>
      </c>
      <c r="M96" s="20"/>
    </row>
    <row r="97" spans="2:13" x14ac:dyDescent="0.2">
      <c r="B97" s="226" t="e">
        <f ca="1">'利用時間(シフト)'!B98</f>
        <v>#NAME?</v>
      </c>
      <c r="C97" s="236" t="e">
        <f ca="1">'利用時間(シフト)'!C98</f>
        <v>#NAME?</v>
      </c>
      <c r="D97" s="236" t="e">
        <f ca="1">'利用時間(シフト)'!D98</f>
        <v>#NAME?</v>
      </c>
      <c r="E97" s="243" t="e">
        <f t="shared" ca="1" si="5"/>
        <v>#NAME?</v>
      </c>
      <c r="F97" s="244" t="e">
        <f t="shared" ca="1" si="6"/>
        <v>#NAME?</v>
      </c>
      <c r="G97" s="237" t="e">
        <f ca="1">'利用時間(シフト)'!L98</f>
        <v>#NAME?</v>
      </c>
      <c r="H97" s="238" t="e">
        <f ca="1">'利用時間(シフト)'!K98</f>
        <v>#NAME?</v>
      </c>
      <c r="I97" s="246" t="e">
        <f ca="1">'利用時間(シフト)'!M98</f>
        <v>#NAME?</v>
      </c>
      <c r="J97" s="239" t="e">
        <f t="shared" ca="1" si="7"/>
        <v>#NAME?</v>
      </c>
      <c r="K97" s="238" t="e">
        <f t="shared" ca="1" si="8"/>
        <v>#NAME?</v>
      </c>
      <c r="L97" s="240" t="e">
        <f t="shared" ca="1" si="9"/>
        <v>#NAME?</v>
      </c>
      <c r="M97" s="20"/>
    </row>
    <row r="98" spans="2:13" x14ac:dyDescent="0.2">
      <c r="B98" s="226" t="e">
        <f ca="1">'利用時間(シフト)'!B99</f>
        <v>#NAME?</v>
      </c>
      <c r="C98" s="236" t="e">
        <f ca="1">'利用時間(シフト)'!C99</f>
        <v>#NAME?</v>
      </c>
      <c r="D98" s="236" t="e">
        <f ca="1">'利用時間(シフト)'!D99</f>
        <v>#NAME?</v>
      </c>
      <c r="E98" s="243" t="e">
        <f t="shared" ca="1" si="5"/>
        <v>#NAME?</v>
      </c>
      <c r="F98" s="244" t="e">
        <f t="shared" ca="1" si="6"/>
        <v>#NAME?</v>
      </c>
      <c r="G98" s="237" t="e">
        <f ca="1">'利用時間(シフト)'!L99</f>
        <v>#NAME?</v>
      </c>
      <c r="H98" s="238" t="e">
        <f ca="1">'利用時間(シフト)'!K99</f>
        <v>#NAME?</v>
      </c>
      <c r="I98" s="246" t="e">
        <f ca="1">'利用時間(シフト)'!M99</f>
        <v>#NAME?</v>
      </c>
      <c r="J98" s="239" t="e">
        <f t="shared" ca="1" si="7"/>
        <v>#NAME?</v>
      </c>
      <c r="K98" s="238" t="e">
        <f t="shared" ca="1" si="8"/>
        <v>#NAME?</v>
      </c>
      <c r="L98" s="240" t="e">
        <f t="shared" ca="1" si="9"/>
        <v>#NAME?</v>
      </c>
      <c r="M98" s="20"/>
    </row>
    <row r="99" spans="2:13" x14ac:dyDescent="0.2">
      <c r="B99" s="226" t="e">
        <f ca="1">'利用時間(シフト)'!B100</f>
        <v>#NAME?</v>
      </c>
      <c r="C99" s="236" t="e">
        <f ca="1">'利用時間(シフト)'!C100</f>
        <v>#NAME?</v>
      </c>
      <c r="D99" s="236" t="e">
        <f ca="1">'利用時間(シフト)'!D100</f>
        <v>#NAME?</v>
      </c>
      <c r="E99" s="243" t="e">
        <f t="shared" ca="1" si="5"/>
        <v>#NAME?</v>
      </c>
      <c r="F99" s="244" t="e">
        <f t="shared" ca="1" si="6"/>
        <v>#NAME?</v>
      </c>
      <c r="G99" s="237" t="e">
        <f ca="1">'利用時間(シフト)'!L100</f>
        <v>#NAME?</v>
      </c>
      <c r="H99" s="238" t="e">
        <f ca="1">'利用時間(シフト)'!K100</f>
        <v>#NAME?</v>
      </c>
      <c r="I99" s="246" t="e">
        <f ca="1">'利用時間(シフト)'!M100</f>
        <v>#NAME?</v>
      </c>
      <c r="J99" s="239" t="e">
        <f t="shared" ca="1" si="7"/>
        <v>#NAME?</v>
      </c>
      <c r="K99" s="238" t="e">
        <f t="shared" ca="1" si="8"/>
        <v>#NAME?</v>
      </c>
      <c r="L99" s="240" t="e">
        <f t="shared" ca="1" si="9"/>
        <v>#NAME?</v>
      </c>
      <c r="M99" s="20"/>
    </row>
    <row r="100" spans="2:13" x14ac:dyDescent="0.2">
      <c r="B100" s="226" t="e">
        <f ca="1">'利用時間(シフト)'!B101</f>
        <v>#NAME?</v>
      </c>
      <c r="C100" s="236" t="e">
        <f ca="1">'利用時間(シフト)'!C101</f>
        <v>#NAME?</v>
      </c>
      <c r="D100" s="236" t="e">
        <f ca="1">'利用時間(シフト)'!D101</f>
        <v>#NAME?</v>
      </c>
      <c r="E100" s="243" t="e">
        <f t="shared" ca="1" si="5"/>
        <v>#NAME?</v>
      </c>
      <c r="F100" s="244" t="e">
        <f t="shared" ca="1" si="6"/>
        <v>#NAME?</v>
      </c>
      <c r="G100" s="237" t="e">
        <f ca="1">'利用時間(シフト)'!L101</f>
        <v>#NAME?</v>
      </c>
      <c r="H100" s="238" t="e">
        <f ca="1">'利用時間(シフト)'!K101</f>
        <v>#NAME?</v>
      </c>
      <c r="I100" s="246" t="e">
        <f ca="1">'利用時間(シフト)'!M101</f>
        <v>#NAME?</v>
      </c>
      <c r="J100" s="239" t="e">
        <f t="shared" ca="1" si="7"/>
        <v>#NAME?</v>
      </c>
      <c r="K100" s="238" t="e">
        <f t="shared" ca="1" si="8"/>
        <v>#NAME?</v>
      </c>
      <c r="L100" s="240" t="e">
        <f t="shared" ca="1" si="9"/>
        <v>#NAME?</v>
      </c>
      <c r="M100" s="20"/>
    </row>
    <row r="101" spans="2:13" x14ac:dyDescent="0.2">
      <c r="B101" s="226" t="e">
        <f ca="1">'利用時間(シフト)'!B102</f>
        <v>#NAME?</v>
      </c>
      <c r="C101" s="236" t="e">
        <f ca="1">'利用時間(シフト)'!C102</f>
        <v>#NAME?</v>
      </c>
      <c r="D101" s="236" t="e">
        <f ca="1">'利用時間(シフト)'!D102</f>
        <v>#NAME?</v>
      </c>
      <c r="E101" s="243" t="e">
        <f t="shared" ca="1" si="5"/>
        <v>#NAME?</v>
      </c>
      <c r="F101" s="244" t="e">
        <f t="shared" ca="1" si="6"/>
        <v>#NAME?</v>
      </c>
      <c r="G101" s="237" t="e">
        <f ca="1">'利用時間(シフト)'!L102</f>
        <v>#NAME?</v>
      </c>
      <c r="H101" s="238" t="e">
        <f ca="1">'利用時間(シフト)'!K102</f>
        <v>#NAME?</v>
      </c>
      <c r="I101" s="246" t="e">
        <f ca="1">'利用時間(シフト)'!M102</f>
        <v>#NAME?</v>
      </c>
      <c r="J101" s="239" t="e">
        <f t="shared" ca="1" si="7"/>
        <v>#NAME?</v>
      </c>
      <c r="K101" s="238" t="e">
        <f t="shared" ca="1" si="8"/>
        <v>#NAME?</v>
      </c>
      <c r="L101" s="240" t="e">
        <f t="shared" ca="1" si="9"/>
        <v>#NAME?</v>
      </c>
      <c r="M101" s="20"/>
    </row>
    <row r="102" spans="2:13" x14ac:dyDescent="0.2">
      <c r="B102" s="226" t="e">
        <f ca="1">'利用時間(シフト)'!B103</f>
        <v>#NAME?</v>
      </c>
      <c r="C102" s="236" t="e">
        <f ca="1">'利用時間(シフト)'!C103</f>
        <v>#NAME?</v>
      </c>
      <c r="D102" s="236" t="e">
        <f ca="1">'利用時間(シフト)'!D103</f>
        <v>#NAME?</v>
      </c>
      <c r="E102" s="243" t="e">
        <f t="shared" ca="1" si="5"/>
        <v>#NAME?</v>
      </c>
      <c r="F102" s="244" t="e">
        <f t="shared" ca="1" si="6"/>
        <v>#NAME?</v>
      </c>
      <c r="G102" s="237" t="e">
        <f ca="1">'利用時間(シフト)'!L103</f>
        <v>#NAME?</v>
      </c>
      <c r="H102" s="238" t="e">
        <f ca="1">'利用時間(シフト)'!K103</f>
        <v>#NAME?</v>
      </c>
      <c r="I102" s="246" t="e">
        <f ca="1">'利用時間(シフト)'!M103</f>
        <v>#NAME?</v>
      </c>
      <c r="J102" s="239" t="e">
        <f t="shared" ca="1" si="7"/>
        <v>#NAME?</v>
      </c>
      <c r="K102" s="238" t="e">
        <f t="shared" ca="1" si="8"/>
        <v>#NAME?</v>
      </c>
      <c r="L102" s="240" t="e">
        <f t="shared" ca="1" si="9"/>
        <v>#NAME?</v>
      </c>
      <c r="M102" s="20"/>
    </row>
    <row r="103" spans="2:13" x14ac:dyDescent="0.2">
      <c r="B103" s="226" t="e">
        <f ca="1">'利用時間(シフト)'!B104</f>
        <v>#NAME?</v>
      </c>
      <c r="C103" s="236" t="e">
        <f ca="1">'利用時間(シフト)'!C104</f>
        <v>#NAME?</v>
      </c>
      <c r="D103" s="236" t="e">
        <f ca="1">'利用時間(シフト)'!D104</f>
        <v>#NAME?</v>
      </c>
      <c r="E103" s="243" t="e">
        <f t="shared" ca="1" si="5"/>
        <v>#NAME?</v>
      </c>
      <c r="F103" s="244" t="e">
        <f t="shared" ca="1" si="6"/>
        <v>#NAME?</v>
      </c>
      <c r="G103" s="237" t="e">
        <f ca="1">'利用時間(シフト)'!L104</f>
        <v>#NAME?</v>
      </c>
      <c r="H103" s="238" t="e">
        <f ca="1">'利用時間(シフト)'!K104</f>
        <v>#NAME?</v>
      </c>
      <c r="I103" s="246" t="e">
        <f ca="1">'利用時間(シフト)'!M104</f>
        <v>#NAME?</v>
      </c>
      <c r="J103" s="239" t="e">
        <f t="shared" ca="1" si="7"/>
        <v>#NAME?</v>
      </c>
      <c r="K103" s="238" t="e">
        <f t="shared" ca="1" si="8"/>
        <v>#NAME?</v>
      </c>
      <c r="L103" s="240" t="e">
        <f t="shared" ca="1" si="9"/>
        <v>#NAME?</v>
      </c>
      <c r="M103" s="20"/>
    </row>
    <row r="104" spans="2:13" x14ac:dyDescent="0.2">
      <c r="B104" s="226" t="e">
        <f ca="1">'利用時間(シフト)'!B105</f>
        <v>#NAME?</v>
      </c>
      <c r="C104" s="236" t="e">
        <f ca="1">'利用時間(シフト)'!C105</f>
        <v>#NAME?</v>
      </c>
      <c r="D104" s="236" t="e">
        <f ca="1">'利用時間(シフト)'!D105</f>
        <v>#NAME?</v>
      </c>
      <c r="E104" s="243" t="e">
        <f t="shared" ca="1" si="5"/>
        <v>#NAME?</v>
      </c>
      <c r="F104" s="244" t="e">
        <f t="shared" ca="1" si="6"/>
        <v>#NAME?</v>
      </c>
      <c r="G104" s="237" t="e">
        <f ca="1">'利用時間(シフト)'!L105</f>
        <v>#NAME?</v>
      </c>
      <c r="H104" s="238" t="e">
        <f ca="1">'利用時間(シフト)'!K105</f>
        <v>#NAME?</v>
      </c>
      <c r="I104" s="246" t="e">
        <f ca="1">'利用時間(シフト)'!M105</f>
        <v>#NAME?</v>
      </c>
      <c r="J104" s="239" t="e">
        <f t="shared" ca="1" si="7"/>
        <v>#NAME?</v>
      </c>
      <c r="K104" s="238" t="e">
        <f t="shared" ca="1" si="8"/>
        <v>#NAME?</v>
      </c>
      <c r="L104" s="240" t="e">
        <f t="shared" ca="1" si="9"/>
        <v>#NAME?</v>
      </c>
      <c r="M104" s="20"/>
    </row>
    <row r="105" spans="2:13" x14ac:dyDescent="0.2">
      <c r="B105" s="226" t="e">
        <f ca="1">'利用時間(シフト)'!B106</f>
        <v>#NAME?</v>
      </c>
      <c r="C105" s="236" t="e">
        <f ca="1">'利用時間(シフト)'!C106</f>
        <v>#NAME?</v>
      </c>
      <c r="D105" s="236" t="e">
        <f ca="1">'利用時間(シフト)'!D106</f>
        <v>#NAME?</v>
      </c>
      <c r="E105" s="243" t="e">
        <f t="shared" ca="1" si="5"/>
        <v>#NAME?</v>
      </c>
      <c r="F105" s="244" t="e">
        <f t="shared" ca="1" si="6"/>
        <v>#NAME?</v>
      </c>
      <c r="G105" s="237" t="e">
        <f ca="1">'利用時間(シフト)'!L106</f>
        <v>#NAME?</v>
      </c>
      <c r="H105" s="238" t="e">
        <f ca="1">'利用時間(シフト)'!K106</f>
        <v>#NAME?</v>
      </c>
      <c r="I105" s="246" t="e">
        <f ca="1">'利用時間(シフト)'!M106</f>
        <v>#NAME?</v>
      </c>
      <c r="J105" s="239" t="e">
        <f t="shared" ca="1" si="7"/>
        <v>#NAME?</v>
      </c>
      <c r="K105" s="238" t="e">
        <f t="shared" ca="1" si="8"/>
        <v>#NAME?</v>
      </c>
      <c r="L105" s="240" t="e">
        <f t="shared" ca="1" si="9"/>
        <v>#NAME?</v>
      </c>
      <c r="M105" s="20"/>
    </row>
    <row r="106" spans="2:13" x14ac:dyDescent="0.2">
      <c r="B106" s="226" t="e">
        <f ca="1">'利用時間(シフト)'!B107</f>
        <v>#NAME?</v>
      </c>
      <c r="C106" s="236" t="e">
        <f ca="1">'利用時間(シフト)'!C107</f>
        <v>#NAME?</v>
      </c>
      <c r="D106" s="236" t="e">
        <f ca="1">'利用時間(シフト)'!D107</f>
        <v>#NAME?</v>
      </c>
      <c r="E106" s="243" t="e">
        <f t="shared" ca="1" si="5"/>
        <v>#NAME?</v>
      </c>
      <c r="F106" s="244" t="e">
        <f t="shared" ca="1" si="6"/>
        <v>#NAME?</v>
      </c>
      <c r="G106" s="237" t="e">
        <f ca="1">'利用時間(シフト)'!L107</f>
        <v>#NAME?</v>
      </c>
      <c r="H106" s="238" t="e">
        <f ca="1">'利用時間(シフト)'!K107</f>
        <v>#NAME?</v>
      </c>
      <c r="I106" s="246" t="e">
        <f ca="1">'利用時間(シフト)'!M107</f>
        <v>#NAME?</v>
      </c>
      <c r="J106" s="239" t="e">
        <f t="shared" ca="1" si="7"/>
        <v>#NAME?</v>
      </c>
      <c r="K106" s="238" t="e">
        <f t="shared" ca="1" si="8"/>
        <v>#NAME?</v>
      </c>
      <c r="L106" s="240" t="e">
        <f t="shared" ca="1" si="9"/>
        <v>#NAME?</v>
      </c>
      <c r="M106" s="20"/>
    </row>
    <row r="107" spans="2:13" x14ac:dyDescent="0.2">
      <c r="B107" s="226" t="e">
        <f ca="1">'利用時間(シフト)'!B108</f>
        <v>#NAME?</v>
      </c>
      <c r="C107" s="236" t="e">
        <f ca="1">'利用時間(シフト)'!C108</f>
        <v>#NAME?</v>
      </c>
      <c r="D107" s="236" t="e">
        <f ca="1">'利用時間(シフト)'!D108</f>
        <v>#NAME?</v>
      </c>
      <c r="E107" s="243" t="e">
        <f t="shared" ca="1" si="5"/>
        <v>#NAME?</v>
      </c>
      <c r="F107" s="244" t="e">
        <f t="shared" ca="1" si="6"/>
        <v>#NAME?</v>
      </c>
      <c r="G107" s="237" t="e">
        <f ca="1">'利用時間(シフト)'!L108</f>
        <v>#NAME?</v>
      </c>
      <c r="H107" s="238" t="e">
        <f ca="1">'利用時間(シフト)'!K108</f>
        <v>#NAME?</v>
      </c>
      <c r="I107" s="246" t="e">
        <f ca="1">'利用時間(シフト)'!M108</f>
        <v>#NAME?</v>
      </c>
      <c r="J107" s="239" t="e">
        <f t="shared" ca="1" si="7"/>
        <v>#NAME?</v>
      </c>
      <c r="K107" s="238" t="e">
        <f t="shared" ca="1" si="8"/>
        <v>#NAME?</v>
      </c>
      <c r="L107" s="240" t="e">
        <f t="shared" ca="1" si="9"/>
        <v>#NAME?</v>
      </c>
      <c r="M107" s="20"/>
    </row>
    <row r="108" spans="2:13" x14ac:dyDescent="0.2">
      <c r="B108" s="226" t="e">
        <f ca="1">'利用時間(シフト)'!B109</f>
        <v>#NAME?</v>
      </c>
      <c r="C108" s="236" t="e">
        <f ca="1">'利用時間(シフト)'!C109</f>
        <v>#NAME?</v>
      </c>
      <c r="D108" s="236" t="e">
        <f ca="1">'利用時間(シフト)'!D109</f>
        <v>#NAME?</v>
      </c>
      <c r="E108" s="243" t="e">
        <f t="shared" ca="1" si="5"/>
        <v>#NAME?</v>
      </c>
      <c r="F108" s="244" t="e">
        <f t="shared" ca="1" si="6"/>
        <v>#NAME?</v>
      </c>
      <c r="G108" s="237" t="e">
        <f ca="1">'利用時間(シフト)'!L109</f>
        <v>#NAME?</v>
      </c>
      <c r="H108" s="238" t="e">
        <f ca="1">'利用時間(シフト)'!K109</f>
        <v>#NAME?</v>
      </c>
      <c r="I108" s="246" t="e">
        <f ca="1">'利用時間(シフト)'!M109</f>
        <v>#NAME?</v>
      </c>
      <c r="J108" s="239" t="e">
        <f t="shared" ca="1" si="7"/>
        <v>#NAME?</v>
      </c>
      <c r="K108" s="238" t="e">
        <f t="shared" ca="1" si="8"/>
        <v>#NAME?</v>
      </c>
      <c r="L108" s="240" t="e">
        <f t="shared" ca="1" si="9"/>
        <v>#NAME?</v>
      </c>
      <c r="M108" s="20"/>
    </row>
    <row r="109" spans="2:13" x14ac:dyDescent="0.2">
      <c r="B109" s="226" t="e">
        <f ca="1">'利用時間(シフト)'!B110</f>
        <v>#NAME?</v>
      </c>
      <c r="C109" s="236" t="e">
        <f ca="1">'利用時間(シフト)'!C110</f>
        <v>#NAME?</v>
      </c>
      <c r="D109" s="236" t="e">
        <f ca="1">'利用時間(シフト)'!D110</f>
        <v>#NAME?</v>
      </c>
      <c r="E109" s="243" t="e">
        <f t="shared" ca="1" si="5"/>
        <v>#NAME?</v>
      </c>
      <c r="F109" s="244" t="e">
        <f t="shared" ca="1" si="6"/>
        <v>#NAME?</v>
      </c>
      <c r="G109" s="237" t="e">
        <f ca="1">'利用時間(シフト)'!L110</f>
        <v>#NAME?</v>
      </c>
      <c r="H109" s="238" t="e">
        <f ca="1">'利用時間(シフト)'!K110</f>
        <v>#NAME?</v>
      </c>
      <c r="I109" s="246" t="e">
        <f ca="1">'利用時間(シフト)'!M110</f>
        <v>#NAME?</v>
      </c>
      <c r="J109" s="239" t="e">
        <f t="shared" ca="1" si="7"/>
        <v>#NAME?</v>
      </c>
      <c r="K109" s="238" t="e">
        <f t="shared" ca="1" si="8"/>
        <v>#NAME?</v>
      </c>
      <c r="L109" s="240" t="e">
        <f t="shared" ca="1" si="9"/>
        <v>#NAME?</v>
      </c>
      <c r="M109" s="20"/>
    </row>
    <row r="110" spans="2:13" x14ac:dyDescent="0.2">
      <c r="B110" s="226" t="e">
        <f ca="1">'利用時間(シフト)'!B111</f>
        <v>#NAME?</v>
      </c>
      <c r="C110" s="236" t="e">
        <f ca="1">'利用時間(シフト)'!C111</f>
        <v>#NAME?</v>
      </c>
      <c r="D110" s="236" t="e">
        <f ca="1">'利用時間(シフト)'!D111</f>
        <v>#NAME?</v>
      </c>
      <c r="E110" s="243" t="e">
        <f t="shared" ca="1" si="5"/>
        <v>#NAME?</v>
      </c>
      <c r="F110" s="244" t="e">
        <f t="shared" ca="1" si="6"/>
        <v>#NAME?</v>
      </c>
      <c r="G110" s="237" t="e">
        <f ca="1">'利用時間(シフト)'!L111</f>
        <v>#NAME?</v>
      </c>
      <c r="H110" s="238" t="e">
        <f ca="1">'利用時間(シフト)'!K111</f>
        <v>#NAME?</v>
      </c>
      <c r="I110" s="246" t="e">
        <f ca="1">'利用時間(シフト)'!M111</f>
        <v>#NAME?</v>
      </c>
      <c r="J110" s="239" t="e">
        <f t="shared" ca="1" si="7"/>
        <v>#NAME?</v>
      </c>
      <c r="K110" s="238" t="e">
        <f t="shared" ca="1" si="8"/>
        <v>#NAME?</v>
      </c>
      <c r="L110" s="240" t="e">
        <f t="shared" ca="1" si="9"/>
        <v>#NAME?</v>
      </c>
      <c r="M110" s="20"/>
    </row>
    <row r="111" spans="2:13" x14ac:dyDescent="0.2">
      <c r="B111" s="226" t="e">
        <f ca="1">'利用時間(シフト)'!B112</f>
        <v>#NAME?</v>
      </c>
      <c r="C111" s="236" t="e">
        <f ca="1">'利用時間(シフト)'!C112</f>
        <v>#NAME?</v>
      </c>
      <c r="D111" s="236" t="e">
        <f ca="1">'利用時間(シフト)'!D112</f>
        <v>#NAME?</v>
      </c>
      <c r="E111" s="243" t="e">
        <f t="shared" ca="1" si="5"/>
        <v>#NAME?</v>
      </c>
      <c r="F111" s="244" t="e">
        <f t="shared" ca="1" si="6"/>
        <v>#NAME?</v>
      </c>
      <c r="G111" s="237" t="e">
        <f ca="1">'利用時間(シフト)'!L112</f>
        <v>#NAME?</v>
      </c>
      <c r="H111" s="238" t="e">
        <f ca="1">'利用時間(シフト)'!K112</f>
        <v>#NAME?</v>
      </c>
      <c r="I111" s="246" t="e">
        <f ca="1">'利用時間(シフト)'!M112</f>
        <v>#NAME?</v>
      </c>
      <c r="J111" s="239" t="e">
        <f t="shared" ca="1" si="7"/>
        <v>#NAME?</v>
      </c>
      <c r="K111" s="238" t="e">
        <f t="shared" ca="1" si="8"/>
        <v>#NAME?</v>
      </c>
      <c r="L111" s="240" t="e">
        <f t="shared" ca="1" si="9"/>
        <v>#NAME?</v>
      </c>
      <c r="M111" s="20"/>
    </row>
    <row r="112" spans="2:13" x14ac:dyDescent="0.2">
      <c r="B112" s="226" t="e">
        <f ca="1">'利用時間(シフト)'!B113</f>
        <v>#NAME?</v>
      </c>
      <c r="C112" s="236" t="e">
        <f ca="1">'利用時間(シフト)'!C113</f>
        <v>#NAME?</v>
      </c>
      <c r="D112" s="236" t="e">
        <f ca="1">'利用時間(シフト)'!D113</f>
        <v>#NAME?</v>
      </c>
      <c r="E112" s="243" t="e">
        <f t="shared" ca="1" si="5"/>
        <v>#NAME?</v>
      </c>
      <c r="F112" s="244" t="e">
        <f t="shared" ca="1" si="6"/>
        <v>#NAME?</v>
      </c>
      <c r="G112" s="237" t="e">
        <f ca="1">'利用時間(シフト)'!L113</f>
        <v>#NAME?</v>
      </c>
      <c r="H112" s="238" t="e">
        <f ca="1">'利用時間(シフト)'!K113</f>
        <v>#NAME?</v>
      </c>
      <c r="I112" s="246" t="e">
        <f ca="1">'利用時間(シフト)'!M113</f>
        <v>#NAME?</v>
      </c>
      <c r="J112" s="239" t="e">
        <f t="shared" ca="1" si="7"/>
        <v>#NAME?</v>
      </c>
      <c r="K112" s="238" t="e">
        <f t="shared" ca="1" si="8"/>
        <v>#NAME?</v>
      </c>
      <c r="L112" s="240" t="e">
        <f t="shared" ca="1" si="9"/>
        <v>#NAME?</v>
      </c>
      <c r="M112" s="20"/>
    </row>
    <row r="113" spans="2:13" x14ac:dyDescent="0.2">
      <c r="B113" s="226" t="e">
        <f ca="1">'利用時間(シフト)'!B114</f>
        <v>#NAME?</v>
      </c>
      <c r="C113" s="236" t="e">
        <f ca="1">'利用時間(シフト)'!C114</f>
        <v>#NAME?</v>
      </c>
      <c r="D113" s="236" t="e">
        <f ca="1">'利用時間(シフト)'!D114</f>
        <v>#NAME?</v>
      </c>
      <c r="E113" s="243" t="e">
        <f t="shared" ca="1" si="5"/>
        <v>#NAME?</v>
      </c>
      <c r="F113" s="244" t="e">
        <f t="shared" ca="1" si="6"/>
        <v>#NAME?</v>
      </c>
      <c r="G113" s="237" t="e">
        <f ca="1">'利用時間(シフト)'!L114</f>
        <v>#NAME?</v>
      </c>
      <c r="H113" s="238" t="e">
        <f ca="1">'利用時間(シフト)'!K114</f>
        <v>#NAME?</v>
      </c>
      <c r="I113" s="246" t="e">
        <f ca="1">'利用時間(シフト)'!M114</f>
        <v>#NAME?</v>
      </c>
      <c r="J113" s="239" t="e">
        <f t="shared" ca="1" si="7"/>
        <v>#NAME?</v>
      </c>
      <c r="K113" s="238" t="e">
        <f t="shared" ca="1" si="8"/>
        <v>#NAME?</v>
      </c>
      <c r="L113" s="240" t="e">
        <f t="shared" ca="1" si="9"/>
        <v>#NAME?</v>
      </c>
      <c r="M113" s="20"/>
    </row>
    <row r="114" spans="2:13" x14ac:dyDescent="0.2">
      <c r="B114" s="226" t="e">
        <f ca="1">'利用時間(シフト)'!B115</f>
        <v>#NAME?</v>
      </c>
      <c r="C114" s="236" t="e">
        <f ca="1">'利用時間(シフト)'!C115</f>
        <v>#NAME?</v>
      </c>
      <c r="D114" s="236" t="e">
        <f ca="1">'利用時間(シフト)'!D115</f>
        <v>#NAME?</v>
      </c>
      <c r="E114" s="243" t="e">
        <f t="shared" ca="1" si="5"/>
        <v>#NAME?</v>
      </c>
      <c r="F114" s="244" t="e">
        <f t="shared" ca="1" si="6"/>
        <v>#NAME?</v>
      </c>
      <c r="G114" s="237" t="e">
        <f ca="1">'利用時間(シフト)'!L115</f>
        <v>#NAME?</v>
      </c>
      <c r="H114" s="238" t="e">
        <f ca="1">'利用時間(シフト)'!K115</f>
        <v>#NAME?</v>
      </c>
      <c r="I114" s="246" t="e">
        <f ca="1">'利用時間(シフト)'!M115</f>
        <v>#NAME?</v>
      </c>
      <c r="J114" s="239" t="e">
        <f t="shared" ca="1" si="7"/>
        <v>#NAME?</v>
      </c>
      <c r="K114" s="238" t="e">
        <f t="shared" ca="1" si="8"/>
        <v>#NAME?</v>
      </c>
      <c r="L114" s="240" t="e">
        <f t="shared" ca="1" si="9"/>
        <v>#NAME?</v>
      </c>
      <c r="M114" s="20"/>
    </row>
    <row r="115" spans="2:13" x14ac:dyDescent="0.2">
      <c r="B115" s="226" t="e">
        <f ca="1">'利用時間(シフト)'!B116</f>
        <v>#NAME?</v>
      </c>
      <c r="C115" s="236" t="e">
        <f ca="1">'利用時間(シフト)'!C116</f>
        <v>#NAME?</v>
      </c>
      <c r="D115" s="236" t="e">
        <f ca="1">'利用時間(シフト)'!D116</f>
        <v>#NAME?</v>
      </c>
      <c r="E115" s="243" t="e">
        <f t="shared" ca="1" si="5"/>
        <v>#NAME?</v>
      </c>
      <c r="F115" s="244" t="e">
        <f t="shared" ca="1" si="6"/>
        <v>#NAME?</v>
      </c>
      <c r="G115" s="237" t="e">
        <f ca="1">'利用時間(シフト)'!L116</f>
        <v>#NAME?</v>
      </c>
      <c r="H115" s="238" t="e">
        <f ca="1">'利用時間(シフト)'!K116</f>
        <v>#NAME?</v>
      </c>
      <c r="I115" s="246" t="e">
        <f ca="1">'利用時間(シフト)'!M116</f>
        <v>#NAME?</v>
      </c>
      <c r="J115" s="239" t="e">
        <f t="shared" ca="1" si="7"/>
        <v>#NAME?</v>
      </c>
      <c r="K115" s="238" t="e">
        <f t="shared" ca="1" si="8"/>
        <v>#NAME?</v>
      </c>
      <c r="L115" s="240" t="e">
        <f t="shared" ca="1" si="9"/>
        <v>#NAME?</v>
      </c>
      <c r="M115" s="20"/>
    </row>
    <row r="116" spans="2:13" x14ac:dyDescent="0.2">
      <c r="B116" s="226" t="e">
        <f ca="1">'利用時間(シフト)'!B117</f>
        <v>#NAME?</v>
      </c>
      <c r="C116" s="236" t="e">
        <f ca="1">'利用時間(シフト)'!C117</f>
        <v>#NAME?</v>
      </c>
      <c r="D116" s="236" t="e">
        <f ca="1">'利用時間(シフト)'!D117</f>
        <v>#NAME?</v>
      </c>
      <c r="E116" s="243" t="e">
        <f t="shared" ca="1" si="5"/>
        <v>#NAME?</v>
      </c>
      <c r="F116" s="244" t="e">
        <f t="shared" ca="1" si="6"/>
        <v>#NAME?</v>
      </c>
      <c r="G116" s="237" t="e">
        <f ca="1">'利用時間(シフト)'!L117</f>
        <v>#NAME?</v>
      </c>
      <c r="H116" s="238" t="e">
        <f ca="1">'利用時間(シフト)'!K117</f>
        <v>#NAME?</v>
      </c>
      <c r="I116" s="246" t="e">
        <f ca="1">'利用時間(シフト)'!M117</f>
        <v>#NAME?</v>
      </c>
      <c r="J116" s="239" t="e">
        <f t="shared" ca="1" si="7"/>
        <v>#NAME?</v>
      </c>
      <c r="K116" s="238" t="e">
        <f t="shared" ca="1" si="8"/>
        <v>#NAME?</v>
      </c>
      <c r="L116" s="240" t="e">
        <f t="shared" ca="1" si="9"/>
        <v>#NAME?</v>
      </c>
      <c r="M116" s="20"/>
    </row>
    <row r="117" spans="2:13" x14ac:dyDescent="0.2">
      <c r="B117" s="226" t="e">
        <f ca="1">'利用時間(シフト)'!B118</f>
        <v>#NAME?</v>
      </c>
      <c r="C117" s="236" t="e">
        <f ca="1">'利用時間(シフト)'!C118</f>
        <v>#NAME?</v>
      </c>
      <c r="D117" s="236" t="e">
        <f ca="1">'利用時間(シフト)'!D118</f>
        <v>#NAME?</v>
      </c>
      <c r="E117" s="243" t="e">
        <f t="shared" ca="1" si="5"/>
        <v>#NAME?</v>
      </c>
      <c r="F117" s="244" t="e">
        <f t="shared" ca="1" si="6"/>
        <v>#NAME?</v>
      </c>
      <c r="G117" s="237" t="e">
        <f ca="1">'利用時間(シフト)'!L118</f>
        <v>#NAME?</v>
      </c>
      <c r="H117" s="238" t="e">
        <f ca="1">'利用時間(シフト)'!K118</f>
        <v>#NAME?</v>
      </c>
      <c r="I117" s="246" t="e">
        <f ca="1">'利用時間(シフト)'!M118</f>
        <v>#NAME?</v>
      </c>
      <c r="J117" s="239" t="e">
        <f t="shared" ca="1" si="7"/>
        <v>#NAME?</v>
      </c>
      <c r="K117" s="238" t="e">
        <f t="shared" ca="1" si="8"/>
        <v>#NAME?</v>
      </c>
      <c r="L117" s="240" t="e">
        <f t="shared" ca="1" si="9"/>
        <v>#NAME?</v>
      </c>
      <c r="M117" s="20"/>
    </row>
    <row r="118" spans="2:13" x14ac:dyDescent="0.2">
      <c r="B118" s="226" t="e">
        <f ca="1">'利用時間(シフト)'!B119</f>
        <v>#NAME?</v>
      </c>
      <c r="C118" s="236" t="e">
        <f ca="1">'利用時間(シフト)'!C119</f>
        <v>#NAME?</v>
      </c>
      <c r="D118" s="236" t="e">
        <f ca="1">'利用時間(シフト)'!D119</f>
        <v>#NAME?</v>
      </c>
      <c r="E118" s="243" t="e">
        <f t="shared" ca="1" si="5"/>
        <v>#NAME?</v>
      </c>
      <c r="F118" s="244" t="e">
        <f t="shared" ca="1" si="6"/>
        <v>#NAME?</v>
      </c>
      <c r="G118" s="237" t="e">
        <f ca="1">'利用時間(シフト)'!L119</f>
        <v>#NAME?</v>
      </c>
      <c r="H118" s="238" t="e">
        <f ca="1">'利用時間(シフト)'!K119</f>
        <v>#NAME?</v>
      </c>
      <c r="I118" s="246" t="e">
        <f ca="1">'利用時間(シフト)'!M119</f>
        <v>#NAME?</v>
      </c>
      <c r="J118" s="239" t="e">
        <f t="shared" ca="1" si="7"/>
        <v>#NAME?</v>
      </c>
      <c r="K118" s="238" t="e">
        <f t="shared" ca="1" si="8"/>
        <v>#NAME?</v>
      </c>
      <c r="L118" s="240" t="e">
        <f t="shared" ca="1" si="9"/>
        <v>#NAME?</v>
      </c>
      <c r="M118" s="20"/>
    </row>
    <row r="119" spans="2:13" x14ac:dyDescent="0.2">
      <c r="B119" s="226" t="e">
        <f ca="1">'利用時間(シフト)'!B120</f>
        <v>#NAME?</v>
      </c>
      <c r="C119" s="236" t="e">
        <f ca="1">'利用時間(シフト)'!C120</f>
        <v>#NAME?</v>
      </c>
      <c r="D119" s="236" t="e">
        <f ca="1">'利用時間(シフト)'!D120</f>
        <v>#NAME?</v>
      </c>
      <c r="E119" s="243" t="e">
        <f t="shared" ca="1" si="5"/>
        <v>#NAME?</v>
      </c>
      <c r="F119" s="244" t="e">
        <f t="shared" ca="1" si="6"/>
        <v>#NAME?</v>
      </c>
      <c r="G119" s="237" t="e">
        <f ca="1">'利用時間(シフト)'!L120</f>
        <v>#NAME?</v>
      </c>
      <c r="H119" s="238" t="e">
        <f ca="1">'利用時間(シフト)'!K120</f>
        <v>#NAME?</v>
      </c>
      <c r="I119" s="246" t="e">
        <f ca="1">'利用時間(シフト)'!M120</f>
        <v>#NAME?</v>
      </c>
      <c r="J119" s="239" t="e">
        <f t="shared" ca="1" si="7"/>
        <v>#NAME?</v>
      </c>
      <c r="K119" s="238" t="e">
        <f t="shared" ca="1" si="8"/>
        <v>#NAME?</v>
      </c>
      <c r="L119" s="240" t="e">
        <f t="shared" ca="1" si="9"/>
        <v>#NAME?</v>
      </c>
      <c r="M119" s="20"/>
    </row>
    <row r="120" spans="2:13" x14ac:dyDescent="0.2">
      <c r="B120" s="226" t="e">
        <f ca="1">'利用時間(シフト)'!B121</f>
        <v>#NAME?</v>
      </c>
      <c r="C120" s="236" t="e">
        <f ca="1">'利用時間(シフト)'!C121</f>
        <v>#NAME?</v>
      </c>
      <c r="D120" s="236" t="e">
        <f ca="1">'利用時間(シフト)'!D121</f>
        <v>#NAME?</v>
      </c>
      <c r="E120" s="243" t="e">
        <f t="shared" ca="1" si="5"/>
        <v>#NAME?</v>
      </c>
      <c r="F120" s="244" t="e">
        <f t="shared" ca="1" si="6"/>
        <v>#NAME?</v>
      </c>
      <c r="G120" s="237" t="e">
        <f ca="1">'利用時間(シフト)'!L121</f>
        <v>#NAME?</v>
      </c>
      <c r="H120" s="238" t="e">
        <f ca="1">'利用時間(シフト)'!K121</f>
        <v>#NAME?</v>
      </c>
      <c r="I120" s="246" t="e">
        <f ca="1">'利用時間(シフト)'!M121</f>
        <v>#NAME?</v>
      </c>
      <c r="J120" s="239" t="e">
        <f t="shared" ca="1" si="7"/>
        <v>#NAME?</v>
      </c>
      <c r="K120" s="238" t="e">
        <f t="shared" ca="1" si="8"/>
        <v>#NAME?</v>
      </c>
      <c r="L120" s="240" t="e">
        <f t="shared" ca="1" si="9"/>
        <v>#NAME?</v>
      </c>
      <c r="M120" s="20"/>
    </row>
    <row r="121" spans="2:13" x14ac:dyDescent="0.2">
      <c r="B121" s="226" t="e">
        <f ca="1">'利用時間(シフト)'!B122</f>
        <v>#NAME?</v>
      </c>
      <c r="C121" s="236" t="e">
        <f ca="1">'利用時間(シフト)'!C122</f>
        <v>#NAME?</v>
      </c>
      <c r="D121" s="236" t="e">
        <f ca="1">'利用時間(シフト)'!D122</f>
        <v>#NAME?</v>
      </c>
      <c r="E121" s="243" t="e">
        <f t="shared" ca="1" si="5"/>
        <v>#NAME?</v>
      </c>
      <c r="F121" s="244" t="e">
        <f t="shared" ca="1" si="6"/>
        <v>#NAME?</v>
      </c>
      <c r="G121" s="237" t="e">
        <f ca="1">'利用時間(シフト)'!L122</f>
        <v>#NAME?</v>
      </c>
      <c r="H121" s="238" t="e">
        <f ca="1">'利用時間(シフト)'!K122</f>
        <v>#NAME?</v>
      </c>
      <c r="I121" s="246" t="e">
        <f ca="1">'利用時間(シフト)'!M122</f>
        <v>#NAME?</v>
      </c>
      <c r="J121" s="239" t="e">
        <f t="shared" ca="1" si="7"/>
        <v>#NAME?</v>
      </c>
      <c r="K121" s="238" t="e">
        <f t="shared" ca="1" si="8"/>
        <v>#NAME?</v>
      </c>
      <c r="L121" s="240" t="e">
        <f t="shared" ca="1" si="9"/>
        <v>#NAME?</v>
      </c>
      <c r="M121" s="20"/>
    </row>
    <row r="122" spans="2:13" x14ac:dyDescent="0.2">
      <c r="B122" s="226" t="e">
        <f ca="1">'利用時間(シフト)'!B123</f>
        <v>#NAME?</v>
      </c>
      <c r="C122" s="236" t="e">
        <f ca="1">'利用時間(シフト)'!C123</f>
        <v>#NAME?</v>
      </c>
      <c r="D122" s="236" t="e">
        <f ca="1">'利用時間(シフト)'!D123</f>
        <v>#NAME?</v>
      </c>
      <c r="E122" s="243" t="e">
        <f t="shared" ca="1" si="5"/>
        <v>#NAME?</v>
      </c>
      <c r="F122" s="244" t="e">
        <f t="shared" ca="1" si="6"/>
        <v>#NAME?</v>
      </c>
      <c r="G122" s="237" t="e">
        <f ca="1">'利用時間(シフト)'!L123</f>
        <v>#NAME?</v>
      </c>
      <c r="H122" s="238" t="e">
        <f ca="1">'利用時間(シフト)'!K123</f>
        <v>#NAME?</v>
      </c>
      <c r="I122" s="246" t="e">
        <f ca="1">'利用時間(シフト)'!M123</f>
        <v>#NAME?</v>
      </c>
      <c r="J122" s="239" t="e">
        <f t="shared" ca="1" si="7"/>
        <v>#NAME?</v>
      </c>
      <c r="K122" s="238" t="e">
        <f t="shared" ca="1" si="8"/>
        <v>#NAME?</v>
      </c>
      <c r="L122" s="240" t="e">
        <f t="shared" ca="1" si="9"/>
        <v>#NAME?</v>
      </c>
      <c r="M122" s="20"/>
    </row>
    <row r="123" spans="2:13" x14ac:dyDescent="0.2">
      <c r="B123" s="226" t="e">
        <f ca="1">'利用時間(シフト)'!B124</f>
        <v>#NAME?</v>
      </c>
      <c r="C123" s="236" t="e">
        <f ca="1">'利用時間(シフト)'!C124</f>
        <v>#NAME?</v>
      </c>
      <c r="D123" s="236" t="e">
        <f ca="1">'利用時間(シフト)'!D124</f>
        <v>#NAME?</v>
      </c>
      <c r="E123" s="243" t="e">
        <f t="shared" ca="1" si="5"/>
        <v>#NAME?</v>
      </c>
      <c r="F123" s="244" t="e">
        <f t="shared" ca="1" si="6"/>
        <v>#NAME?</v>
      </c>
      <c r="G123" s="237" t="e">
        <f ca="1">'利用時間(シフト)'!L124</f>
        <v>#NAME?</v>
      </c>
      <c r="H123" s="238" t="e">
        <f ca="1">'利用時間(シフト)'!K124</f>
        <v>#NAME?</v>
      </c>
      <c r="I123" s="246" t="e">
        <f ca="1">'利用時間(シフト)'!M124</f>
        <v>#NAME?</v>
      </c>
      <c r="J123" s="239" t="e">
        <f t="shared" ca="1" si="7"/>
        <v>#NAME?</v>
      </c>
      <c r="K123" s="238" t="e">
        <f t="shared" ca="1" si="8"/>
        <v>#NAME?</v>
      </c>
      <c r="L123" s="240" t="e">
        <f t="shared" ca="1" si="9"/>
        <v>#NAME?</v>
      </c>
      <c r="M123" s="20"/>
    </row>
    <row r="124" spans="2:13" x14ac:dyDescent="0.2">
      <c r="B124" s="226" t="e">
        <f ca="1">'利用時間(シフト)'!B125</f>
        <v>#NAME?</v>
      </c>
      <c r="C124" s="236" t="e">
        <f ca="1">'利用時間(シフト)'!C125</f>
        <v>#NAME?</v>
      </c>
      <c r="D124" s="236" t="e">
        <f ca="1">'利用時間(シフト)'!D125</f>
        <v>#NAME?</v>
      </c>
      <c r="E124" s="243" t="e">
        <f t="shared" ca="1" si="5"/>
        <v>#NAME?</v>
      </c>
      <c r="F124" s="244" t="e">
        <f t="shared" ca="1" si="6"/>
        <v>#NAME?</v>
      </c>
      <c r="G124" s="237" t="e">
        <f ca="1">'利用時間(シフト)'!L125</f>
        <v>#NAME?</v>
      </c>
      <c r="H124" s="238" t="e">
        <f ca="1">'利用時間(シフト)'!K125</f>
        <v>#NAME?</v>
      </c>
      <c r="I124" s="246" t="e">
        <f ca="1">'利用時間(シフト)'!M125</f>
        <v>#NAME?</v>
      </c>
      <c r="J124" s="239" t="e">
        <f t="shared" ca="1" si="7"/>
        <v>#NAME?</v>
      </c>
      <c r="K124" s="238" t="e">
        <f t="shared" ca="1" si="8"/>
        <v>#NAME?</v>
      </c>
      <c r="L124" s="240" t="e">
        <f t="shared" ca="1" si="9"/>
        <v>#NAME?</v>
      </c>
      <c r="M124" s="20"/>
    </row>
    <row r="125" spans="2:13" x14ac:dyDescent="0.2">
      <c r="B125" s="226" t="e">
        <f ca="1">'利用時間(シフト)'!B126</f>
        <v>#NAME?</v>
      </c>
      <c r="C125" s="236" t="e">
        <f ca="1">'利用時間(シフト)'!C126</f>
        <v>#NAME?</v>
      </c>
      <c r="D125" s="236" t="e">
        <f ca="1">'利用時間(シフト)'!D126</f>
        <v>#NAME?</v>
      </c>
      <c r="E125" s="243" t="e">
        <f t="shared" ca="1" si="5"/>
        <v>#NAME?</v>
      </c>
      <c r="F125" s="244" t="e">
        <f t="shared" ca="1" si="6"/>
        <v>#NAME?</v>
      </c>
      <c r="G125" s="237" t="e">
        <f ca="1">'利用時間(シフト)'!L126</f>
        <v>#NAME?</v>
      </c>
      <c r="H125" s="238" t="e">
        <f ca="1">'利用時間(シフト)'!K126</f>
        <v>#NAME?</v>
      </c>
      <c r="I125" s="246" t="e">
        <f ca="1">'利用時間(シフト)'!M126</f>
        <v>#NAME?</v>
      </c>
      <c r="J125" s="239" t="e">
        <f t="shared" ca="1" si="7"/>
        <v>#NAME?</v>
      </c>
      <c r="K125" s="238" t="e">
        <f t="shared" ca="1" si="8"/>
        <v>#NAME?</v>
      </c>
      <c r="L125" s="240" t="e">
        <f t="shared" ca="1" si="9"/>
        <v>#NAME?</v>
      </c>
      <c r="M125" s="20"/>
    </row>
    <row r="126" spans="2:13" x14ac:dyDescent="0.2">
      <c r="B126" s="226" t="e">
        <f ca="1">'利用時間(シフト)'!B127</f>
        <v>#NAME?</v>
      </c>
      <c r="C126" s="236" t="e">
        <f ca="1">'利用時間(シフト)'!C127</f>
        <v>#NAME?</v>
      </c>
      <c r="D126" s="236" t="e">
        <f ca="1">'利用時間(シフト)'!D127</f>
        <v>#NAME?</v>
      </c>
      <c r="E126" s="243" t="e">
        <f t="shared" ca="1" si="5"/>
        <v>#NAME?</v>
      </c>
      <c r="F126" s="244" t="e">
        <f t="shared" ca="1" si="6"/>
        <v>#NAME?</v>
      </c>
      <c r="G126" s="237" t="e">
        <f ca="1">'利用時間(シフト)'!L127</f>
        <v>#NAME?</v>
      </c>
      <c r="H126" s="238" t="e">
        <f ca="1">'利用時間(シフト)'!K127</f>
        <v>#NAME?</v>
      </c>
      <c r="I126" s="246" t="e">
        <f ca="1">'利用時間(シフト)'!M127</f>
        <v>#NAME?</v>
      </c>
      <c r="J126" s="239" t="e">
        <f t="shared" ca="1" si="7"/>
        <v>#NAME?</v>
      </c>
      <c r="K126" s="238" t="e">
        <f t="shared" ca="1" si="8"/>
        <v>#NAME?</v>
      </c>
      <c r="L126" s="240" t="e">
        <f t="shared" ca="1" si="9"/>
        <v>#NAME?</v>
      </c>
      <c r="M126" s="20"/>
    </row>
    <row r="127" spans="2:13" x14ac:dyDescent="0.2">
      <c r="B127" s="226" t="e">
        <f ca="1">'利用時間(シフト)'!B128</f>
        <v>#NAME?</v>
      </c>
      <c r="C127" s="236" t="e">
        <f ca="1">'利用時間(シフト)'!C128</f>
        <v>#NAME?</v>
      </c>
      <c r="D127" s="236" t="e">
        <f ca="1">'利用時間(シフト)'!D128</f>
        <v>#NAME?</v>
      </c>
      <c r="E127" s="243" t="e">
        <f t="shared" ca="1" si="5"/>
        <v>#NAME?</v>
      </c>
      <c r="F127" s="244" t="e">
        <f t="shared" ca="1" si="6"/>
        <v>#NAME?</v>
      </c>
      <c r="G127" s="237" t="e">
        <f ca="1">'利用時間(シフト)'!L128</f>
        <v>#NAME?</v>
      </c>
      <c r="H127" s="238" t="e">
        <f ca="1">'利用時間(シフト)'!K128</f>
        <v>#NAME?</v>
      </c>
      <c r="I127" s="246" t="e">
        <f ca="1">'利用時間(シフト)'!M128</f>
        <v>#NAME?</v>
      </c>
      <c r="J127" s="239" t="e">
        <f t="shared" ca="1" si="7"/>
        <v>#NAME?</v>
      </c>
      <c r="K127" s="238" t="e">
        <f t="shared" ca="1" si="8"/>
        <v>#NAME?</v>
      </c>
      <c r="L127" s="240" t="e">
        <f t="shared" ca="1" si="9"/>
        <v>#NAME?</v>
      </c>
      <c r="M127" s="20"/>
    </row>
    <row r="128" spans="2:13" x14ac:dyDescent="0.2">
      <c r="B128" s="226" t="e">
        <f ca="1">'利用時間(シフト)'!B129</f>
        <v>#NAME?</v>
      </c>
      <c r="C128" s="236" t="e">
        <f ca="1">'利用時間(シフト)'!C129</f>
        <v>#NAME?</v>
      </c>
      <c r="D128" s="236" t="e">
        <f ca="1">'利用時間(シフト)'!D129</f>
        <v>#NAME?</v>
      </c>
      <c r="E128" s="243" t="e">
        <f t="shared" ca="1" si="5"/>
        <v>#NAME?</v>
      </c>
      <c r="F128" s="244" t="e">
        <f t="shared" ca="1" si="6"/>
        <v>#NAME?</v>
      </c>
      <c r="G128" s="237" t="e">
        <f ca="1">'利用時間(シフト)'!L129</f>
        <v>#NAME?</v>
      </c>
      <c r="H128" s="238" t="e">
        <f ca="1">'利用時間(シフト)'!K129</f>
        <v>#NAME?</v>
      </c>
      <c r="I128" s="246" t="e">
        <f ca="1">'利用時間(シフト)'!M129</f>
        <v>#NAME?</v>
      </c>
      <c r="J128" s="239" t="e">
        <f t="shared" ca="1" si="7"/>
        <v>#NAME?</v>
      </c>
      <c r="K128" s="238" t="e">
        <f t="shared" ca="1" si="8"/>
        <v>#NAME?</v>
      </c>
      <c r="L128" s="240" t="e">
        <f t="shared" ca="1" si="9"/>
        <v>#NAME?</v>
      </c>
      <c r="M128" s="20"/>
    </row>
    <row r="129" spans="2:13" x14ac:dyDescent="0.2">
      <c r="B129" s="226" t="e">
        <f ca="1">'利用時間(シフト)'!B130</f>
        <v>#NAME?</v>
      </c>
      <c r="C129" s="236" t="e">
        <f ca="1">'利用時間(シフト)'!C130</f>
        <v>#NAME?</v>
      </c>
      <c r="D129" s="236" t="e">
        <f ca="1">'利用時間(シフト)'!D130</f>
        <v>#NAME?</v>
      </c>
      <c r="E129" s="243" t="e">
        <f t="shared" ca="1" si="5"/>
        <v>#NAME?</v>
      </c>
      <c r="F129" s="244" t="e">
        <f t="shared" ca="1" si="6"/>
        <v>#NAME?</v>
      </c>
      <c r="G129" s="237" t="e">
        <f ca="1">'利用時間(シフト)'!L130</f>
        <v>#NAME?</v>
      </c>
      <c r="H129" s="238" t="e">
        <f ca="1">'利用時間(シフト)'!K130</f>
        <v>#NAME?</v>
      </c>
      <c r="I129" s="246" t="e">
        <f ca="1">'利用時間(シフト)'!M130</f>
        <v>#NAME?</v>
      </c>
      <c r="J129" s="239" t="e">
        <f t="shared" ca="1" si="7"/>
        <v>#NAME?</v>
      </c>
      <c r="K129" s="238" t="e">
        <f t="shared" ca="1" si="8"/>
        <v>#NAME?</v>
      </c>
      <c r="L129" s="240" t="e">
        <f t="shared" ca="1" si="9"/>
        <v>#NAME?</v>
      </c>
      <c r="M129" s="20"/>
    </row>
    <row r="130" spans="2:13" x14ac:dyDescent="0.2">
      <c r="B130" s="226" t="e">
        <f ca="1">'利用時間(シフト)'!B131</f>
        <v>#NAME?</v>
      </c>
      <c r="C130" s="236" t="e">
        <f ca="1">'利用時間(シフト)'!C131</f>
        <v>#NAME?</v>
      </c>
      <c r="D130" s="236" t="e">
        <f ca="1">'利用時間(シフト)'!D131</f>
        <v>#NAME?</v>
      </c>
      <c r="E130" s="243" t="e">
        <f t="shared" ca="1" si="5"/>
        <v>#NAME?</v>
      </c>
      <c r="F130" s="244" t="e">
        <f t="shared" ca="1" si="6"/>
        <v>#NAME?</v>
      </c>
      <c r="G130" s="237" t="e">
        <f ca="1">'利用時間(シフト)'!L131</f>
        <v>#NAME?</v>
      </c>
      <c r="H130" s="238" t="e">
        <f ca="1">'利用時間(シフト)'!K131</f>
        <v>#NAME?</v>
      </c>
      <c r="I130" s="246" t="e">
        <f ca="1">'利用時間(シフト)'!M131</f>
        <v>#NAME?</v>
      </c>
      <c r="J130" s="239" t="e">
        <f t="shared" ca="1" si="7"/>
        <v>#NAME?</v>
      </c>
      <c r="K130" s="238" t="e">
        <f t="shared" ca="1" si="8"/>
        <v>#NAME?</v>
      </c>
      <c r="L130" s="240" t="e">
        <f t="shared" ca="1" si="9"/>
        <v>#NAME?</v>
      </c>
      <c r="M130" s="20"/>
    </row>
    <row r="131" spans="2:13" x14ac:dyDescent="0.2">
      <c r="B131" s="226" t="e">
        <f ca="1">'利用時間(シフト)'!B132</f>
        <v>#NAME?</v>
      </c>
      <c r="C131" s="236" t="e">
        <f ca="1">'利用時間(シフト)'!C132</f>
        <v>#NAME?</v>
      </c>
      <c r="D131" s="236" t="e">
        <f ca="1">'利用時間(シフト)'!D132</f>
        <v>#NAME?</v>
      </c>
      <c r="E131" s="243" t="e">
        <f t="shared" ca="1" si="5"/>
        <v>#NAME?</v>
      </c>
      <c r="F131" s="244" t="e">
        <f t="shared" ca="1" si="6"/>
        <v>#NAME?</v>
      </c>
      <c r="G131" s="237" t="e">
        <f ca="1">'利用時間(シフト)'!L132</f>
        <v>#NAME?</v>
      </c>
      <c r="H131" s="238" t="e">
        <f ca="1">'利用時間(シフト)'!K132</f>
        <v>#NAME?</v>
      </c>
      <c r="I131" s="246" t="e">
        <f ca="1">'利用時間(シフト)'!M132</f>
        <v>#NAME?</v>
      </c>
      <c r="J131" s="239" t="e">
        <f t="shared" ca="1" si="7"/>
        <v>#NAME?</v>
      </c>
      <c r="K131" s="238" t="e">
        <f t="shared" ca="1" si="8"/>
        <v>#NAME?</v>
      </c>
      <c r="L131" s="240" t="e">
        <f t="shared" ca="1" si="9"/>
        <v>#NAME?</v>
      </c>
      <c r="M131" s="20"/>
    </row>
    <row r="132" spans="2:13" x14ac:dyDescent="0.2">
      <c r="B132" s="226" t="e">
        <f ca="1">'利用時間(シフト)'!B133</f>
        <v>#NAME?</v>
      </c>
      <c r="C132" s="236" t="e">
        <f ca="1">'利用時間(シフト)'!C133</f>
        <v>#NAME?</v>
      </c>
      <c r="D132" s="236" t="e">
        <f ca="1">'利用時間(シフト)'!D133</f>
        <v>#NAME?</v>
      </c>
      <c r="E132" s="243" t="e">
        <f t="shared" ca="1" si="5"/>
        <v>#NAME?</v>
      </c>
      <c r="F132" s="244" t="e">
        <f t="shared" ca="1" si="6"/>
        <v>#NAME?</v>
      </c>
      <c r="G132" s="237" t="e">
        <f ca="1">'利用時間(シフト)'!L133</f>
        <v>#NAME?</v>
      </c>
      <c r="H132" s="238" t="e">
        <f ca="1">'利用時間(シフト)'!K133</f>
        <v>#NAME?</v>
      </c>
      <c r="I132" s="246" t="e">
        <f ca="1">'利用時間(シフト)'!M133</f>
        <v>#NAME?</v>
      </c>
      <c r="J132" s="239" t="e">
        <f t="shared" ca="1" si="7"/>
        <v>#NAME?</v>
      </c>
      <c r="K132" s="238" t="e">
        <f t="shared" ca="1" si="8"/>
        <v>#NAME?</v>
      </c>
      <c r="L132" s="240" t="e">
        <f t="shared" ca="1" si="9"/>
        <v>#NAME?</v>
      </c>
      <c r="M132" s="20"/>
    </row>
    <row r="133" spans="2:13" x14ac:dyDescent="0.2">
      <c r="B133" s="226" t="e">
        <f ca="1">'利用時間(シフト)'!B134</f>
        <v>#NAME?</v>
      </c>
      <c r="C133" s="236" t="e">
        <f ca="1">'利用時間(シフト)'!C134</f>
        <v>#NAME?</v>
      </c>
      <c r="D133" s="236" t="e">
        <f ca="1">'利用時間(シフト)'!D134</f>
        <v>#NAME?</v>
      </c>
      <c r="E133" s="243" t="e">
        <f t="shared" ca="1" si="5"/>
        <v>#NAME?</v>
      </c>
      <c r="F133" s="244" t="e">
        <f t="shared" ca="1" si="6"/>
        <v>#NAME?</v>
      </c>
      <c r="G133" s="237" t="e">
        <f ca="1">'利用時間(シフト)'!L134</f>
        <v>#NAME?</v>
      </c>
      <c r="H133" s="238" t="e">
        <f ca="1">'利用時間(シフト)'!K134</f>
        <v>#NAME?</v>
      </c>
      <c r="I133" s="246" t="e">
        <f ca="1">'利用時間(シフト)'!M134</f>
        <v>#NAME?</v>
      </c>
      <c r="J133" s="239" t="e">
        <f t="shared" ca="1" si="7"/>
        <v>#NAME?</v>
      </c>
      <c r="K133" s="238" t="e">
        <f t="shared" ca="1" si="8"/>
        <v>#NAME?</v>
      </c>
      <c r="L133" s="240" t="e">
        <f t="shared" ca="1" si="9"/>
        <v>#NAME?</v>
      </c>
      <c r="M133" s="20"/>
    </row>
    <row r="134" spans="2:13" x14ac:dyDescent="0.2">
      <c r="B134" s="226" t="e">
        <f ca="1">'利用時間(シフト)'!B135</f>
        <v>#NAME?</v>
      </c>
      <c r="C134" s="236" t="e">
        <f ca="1">'利用時間(シフト)'!C135</f>
        <v>#NAME?</v>
      </c>
      <c r="D134" s="236" t="e">
        <f ca="1">'利用時間(シフト)'!D135</f>
        <v>#NAME?</v>
      </c>
      <c r="E134" s="243" t="e">
        <f t="shared" ca="1" si="5"/>
        <v>#NAME?</v>
      </c>
      <c r="F134" s="244" t="e">
        <f t="shared" ca="1" si="6"/>
        <v>#NAME?</v>
      </c>
      <c r="G134" s="237" t="e">
        <f ca="1">'利用時間(シフト)'!L135</f>
        <v>#NAME?</v>
      </c>
      <c r="H134" s="238" t="e">
        <f ca="1">'利用時間(シフト)'!K135</f>
        <v>#NAME?</v>
      </c>
      <c r="I134" s="246" t="e">
        <f ca="1">'利用時間(シフト)'!M135</f>
        <v>#NAME?</v>
      </c>
      <c r="J134" s="239" t="e">
        <f t="shared" ca="1" si="7"/>
        <v>#NAME?</v>
      </c>
      <c r="K134" s="238" t="e">
        <f t="shared" ca="1" si="8"/>
        <v>#NAME?</v>
      </c>
      <c r="L134" s="240" t="e">
        <f t="shared" ca="1" si="9"/>
        <v>#NAME?</v>
      </c>
      <c r="M134" s="20"/>
    </row>
    <row r="135" spans="2:13" x14ac:dyDescent="0.2">
      <c r="B135" s="226" t="e">
        <f ca="1">'利用時間(シフト)'!B136</f>
        <v>#NAME?</v>
      </c>
      <c r="C135" s="236" t="e">
        <f ca="1">'利用時間(シフト)'!C136</f>
        <v>#NAME?</v>
      </c>
      <c r="D135" s="236" t="e">
        <f ca="1">'利用時間(シフト)'!D136</f>
        <v>#NAME?</v>
      </c>
      <c r="E135" s="243" t="e">
        <f t="shared" ca="1" si="5"/>
        <v>#NAME?</v>
      </c>
      <c r="F135" s="244" t="e">
        <f t="shared" ca="1" si="6"/>
        <v>#NAME?</v>
      </c>
      <c r="G135" s="237" t="e">
        <f ca="1">'利用時間(シフト)'!L136</f>
        <v>#NAME?</v>
      </c>
      <c r="H135" s="238" t="e">
        <f ca="1">'利用時間(シフト)'!K136</f>
        <v>#NAME?</v>
      </c>
      <c r="I135" s="246" t="e">
        <f ca="1">'利用時間(シフト)'!M136</f>
        <v>#NAME?</v>
      </c>
      <c r="J135" s="239" t="e">
        <f t="shared" ca="1" si="7"/>
        <v>#NAME?</v>
      </c>
      <c r="K135" s="238" t="e">
        <f t="shared" ca="1" si="8"/>
        <v>#NAME?</v>
      </c>
      <c r="L135" s="240" t="e">
        <f t="shared" ca="1" si="9"/>
        <v>#NAME?</v>
      </c>
      <c r="M135" s="20"/>
    </row>
    <row r="136" spans="2:13" x14ac:dyDescent="0.2">
      <c r="B136" s="226" t="e">
        <f ca="1">'利用時間(シフト)'!B137</f>
        <v>#NAME?</v>
      </c>
      <c r="C136" s="236" t="e">
        <f ca="1">'利用時間(シフト)'!C137</f>
        <v>#NAME?</v>
      </c>
      <c r="D136" s="236" t="e">
        <f ca="1">'利用時間(シフト)'!D137</f>
        <v>#NAME?</v>
      </c>
      <c r="E136" s="243" t="e">
        <f t="shared" ref="E136:E199" ca="1" si="10">IF($C136="","",VLOOKUP($C136,運転条件判定,14,1))</f>
        <v>#NAME?</v>
      </c>
      <c r="F136" s="244" t="e">
        <f t="shared" ref="F136:F199" ca="1" si="11">IF($C136="","",VLOOKUP($C136,運転条件判定,16,1))</f>
        <v>#NAME?</v>
      </c>
      <c r="G136" s="237" t="e">
        <f ca="1">'利用時間(シフト)'!L137</f>
        <v>#NAME?</v>
      </c>
      <c r="H136" s="238" t="e">
        <f ca="1">'利用時間(シフト)'!K137</f>
        <v>#NAME?</v>
      </c>
      <c r="I136" s="246" t="e">
        <f ca="1">'利用時間(シフト)'!M137</f>
        <v>#NAME?</v>
      </c>
      <c r="J136" s="239" t="e">
        <f t="shared" ref="J136:J199" ca="1" si="12">IF($C136="","",VLOOKUP($C136,運転条件判定,12,1))</f>
        <v>#NAME?</v>
      </c>
      <c r="K136" s="238" t="e">
        <f t="shared" ref="K136:K199" ca="1" si="13">IF(C136="","",SUMIFS($H$8:$H$1000,$I$8:$I$1000,I136,$B$8:$B$1000,B136))</f>
        <v>#NAME?</v>
      </c>
      <c r="L136" s="240" t="e">
        <f t="shared" ref="L136:L199" ca="1" si="14">IF($C136="","",VLOOKUP($C136,運転条件判定,15,1))</f>
        <v>#NAME?</v>
      </c>
      <c r="M136" s="20"/>
    </row>
    <row r="137" spans="2:13" x14ac:dyDescent="0.2">
      <c r="B137" s="226" t="e">
        <f ca="1">'利用時間(シフト)'!B138</f>
        <v>#NAME?</v>
      </c>
      <c r="C137" s="236" t="e">
        <f ca="1">'利用時間(シフト)'!C138</f>
        <v>#NAME?</v>
      </c>
      <c r="D137" s="236" t="e">
        <f ca="1">'利用時間(シフト)'!D138</f>
        <v>#NAME?</v>
      </c>
      <c r="E137" s="243" t="e">
        <f t="shared" ca="1" si="10"/>
        <v>#NAME?</v>
      </c>
      <c r="F137" s="244" t="e">
        <f t="shared" ca="1" si="11"/>
        <v>#NAME?</v>
      </c>
      <c r="G137" s="237" t="e">
        <f ca="1">'利用時間(シフト)'!L138</f>
        <v>#NAME?</v>
      </c>
      <c r="H137" s="238" t="e">
        <f ca="1">'利用時間(シフト)'!K138</f>
        <v>#NAME?</v>
      </c>
      <c r="I137" s="246" t="e">
        <f ca="1">'利用時間(シフト)'!M138</f>
        <v>#NAME?</v>
      </c>
      <c r="J137" s="239" t="e">
        <f t="shared" ca="1" si="12"/>
        <v>#NAME?</v>
      </c>
      <c r="K137" s="238" t="e">
        <f t="shared" ca="1" si="13"/>
        <v>#NAME?</v>
      </c>
      <c r="L137" s="240" t="e">
        <f t="shared" ca="1" si="14"/>
        <v>#NAME?</v>
      </c>
      <c r="M137" s="20"/>
    </row>
    <row r="138" spans="2:13" x14ac:dyDescent="0.2">
      <c r="B138" s="226" t="e">
        <f ca="1">'利用時間(シフト)'!B139</f>
        <v>#NAME?</v>
      </c>
      <c r="C138" s="236" t="e">
        <f ca="1">'利用時間(シフト)'!C139</f>
        <v>#NAME?</v>
      </c>
      <c r="D138" s="236" t="e">
        <f ca="1">'利用時間(シフト)'!D139</f>
        <v>#NAME?</v>
      </c>
      <c r="E138" s="243" t="e">
        <f t="shared" ca="1" si="10"/>
        <v>#NAME?</v>
      </c>
      <c r="F138" s="244" t="e">
        <f t="shared" ca="1" si="11"/>
        <v>#NAME?</v>
      </c>
      <c r="G138" s="237" t="e">
        <f ca="1">'利用時間(シフト)'!L139</f>
        <v>#NAME?</v>
      </c>
      <c r="H138" s="238" t="e">
        <f ca="1">'利用時間(シフト)'!K139</f>
        <v>#NAME?</v>
      </c>
      <c r="I138" s="246" t="e">
        <f ca="1">'利用時間(シフト)'!M139</f>
        <v>#NAME?</v>
      </c>
      <c r="J138" s="239" t="e">
        <f t="shared" ca="1" si="12"/>
        <v>#NAME?</v>
      </c>
      <c r="K138" s="238" t="e">
        <f t="shared" ca="1" si="13"/>
        <v>#NAME?</v>
      </c>
      <c r="L138" s="240" t="e">
        <f t="shared" ca="1" si="14"/>
        <v>#NAME?</v>
      </c>
      <c r="M138" s="20"/>
    </row>
    <row r="139" spans="2:13" x14ac:dyDescent="0.2">
      <c r="B139" s="226" t="e">
        <f ca="1">'利用時間(シフト)'!B140</f>
        <v>#NAME?</v>
      </c>
      <c r="C139" s="236" t="e">
        <f ca="1">'利用時間(シフト)'!C140</f>
        <v>#NAME?</v>
      </c>
      <c r="D139" s="236" t="e">
        <f ca="1">'利用時間(シフト)'!D140</f>
        <v>#NAME?</v>
      </c>
      <c r="E139" s="243" t="e">
        <f t="shared" ca="1" si="10"/>
        <v>#NAME?</v>
      </c>
      <c r="F139" s="244" t="e">
        <f t="shared" ca="1" si="11"/>
        <v>#NAME?</v>
      </c>
      <c r="G139" s="237" t="e">
        <f ca="1">'利用時間(シフト)'!L140</f>
        <v>#NAME?</v>
      </c>
      <c r="H139" s="238" t="e">
        <f ca="1">'利用時間(シフト)'!K140</f>
        <v>#NAME?</v>
      </c>
      <c r="I139" s="246" t="e">
        <f ca="1">'利用時間(シフト)'!M140</f>
        <v>#NAME?</v>
      </c>
      <c r="J139" s="239" t="e">
        <f t="shared" ca="1" si="12"/>
        <v>#NAME?</v>
      </c>
      <c r="K139" s="238" t="e">
        <f t="shared" ca="1" si="13"/>
        <v>#NAME?</v>
      </c>
      <c r="L139" s="240" t="e">
        <f t="shared" ca="1" si="14"/>
        <v>#NAME?</v>
      </c>
      <c r="M139" s="20"/>
    </row>
    <row r="140" spans="2:13" x14ac:dyDescent="0.2">
      <c r="B140" s="226" t="e">
        <f ca="1">'利用時間(シフト)'!B141</f>
        <v>#NAME?</v>
      </c>
      <c r="C140" s="236" t="e">
        <f ca="1">'利用時間(シフト)'!C141</f>
        <v>#NAME?</v>
      </c>
      <c r="D140" s="236" t="e">
        <f ca="1">'利用時間(シフト)'!D141</f>
        <v>#NAME?</v>
      </c>
      <c r="E140" s="243" t="e">
        <f t="shared" ca="1" si="10"/>
        <v>#NAME?</v>
      </c>
      <c r="F140" s="244" t="e">
        <f t="shared" ca="1" si="11"/>
        <v>#NAME?</v>
      </c>
      <c r="G140" s="237" t="e">
        <f ca="1">'利用時間(シフト)'!L141</f>
        <v>#NAME?</v>
      </c>
      <c r="H140" s="238" t="e">
        <f ca="1">'利用時間(シフト)'!K141</f>
        <v>#NAME?</v>
      </c>
      <c r="I140" s="246" t="e">
        <f ca="1">'利用時間(シフト)'!M141</f>
        <v>#NAME?</v>
      </c>
      <c r="J140" s="239" t="e">
        <f t="shared" ca="1" si="12"/>
        <v>#NAME?</v>
      </c>
      <c r="K140" s="238" t="e">
        <f t="shared" ca="1" si="13"/>
        <v>#NAME?</v>
      </c>
      <c r="L140" s="240" t="e">
        <f t="shared" ca="1" si="14"/>
        <v>#NAME?</v>
      </c>
      <c r="M140" s="20"/>
    </row>
    <row r="141" spans="2:13" x14ac:dyDescent="0.2">
      <c r="B141" s="226" t="e">
        <f ca="1">'利用時間(シフト)'!B142</f>
        <v>#NAME?</v>
      </c>
      <c r="C141" s="236" t="e">
        <f ca="1">'利用時間(シフト)'!C142</f>
        <v>#NAME?</v>
      </c>
      <c r="D141" s="236" t="e">
        <f ca="1">'利用時間(シフト)'!D142</f>
        <v>#NAME?</v>
      </c>
      <c r="E141" s="243" t="e">
        <f t="shared" ca="1" si="10"/>
        <v>#NAME?</v>
      </c>
      <c r="F141" s="244" t="e">
        <f t="shared" ca="1" si="11"/>
        <v>#NAME?</v>
      </c>
      <c r="G141" s="237" t="e">
        <f ca="1">'利用時間(シフト)'!L142</f>
        <v>#NAME?</v>
      </c>
      <c r="H141" s="238" t="e">
        <f ca="1">'利用時間(シフト)'!K142</f>
        <v>#NAME?</v>
      </c>
      <c r="I141" s="246" t="e">
        <f ca="1">'利用時間(シフト)'!M142</f>
        <v>#NAME?</v>
      </c>
      <c r="J141" s="239" t="e">
        <f t="shared" ca="1" si="12"/>
        <v>#NAME?</v>
      </c>
      <c r="K141" s="238" t="e">
        <f t="shared" ca="1" si="13"/>
        <v>#NAME?</v>
      </c>
      <c r="L141" s="240" t="e">
        <f t="shared" ca="1" si="14"/>
        <v>#NAME?</v>
      </c>
      <c r="M141" s="20"/>
    </row>
    <row r="142" spans="2:13" x14ac:dyDescent="0.2">
      <c r="B142" s="226" t="e">
        <f ca="1">'利用時間(シフト)'!B143</f>
        <v>#NAME?</v>
      </c>
      <c r="C142" s="236" t="e">
        <f ca="1">'利用時間(シフト)'!C143</f>
        <v>#NAME?</v>
      </c>
      <c r="D142" s="236" t="e">
        <f ca="1">'利用時間(シフト)'!D143</f>
        <v>#NAME?</v>
      </c>
      <c r="E142" s="243" t="e">
        <f t="shared" ca="1" si="10"/>
        <v>#NAME?</v>
      </c>
      <c r="F142" s="244" t="e">
        <f t="shared" ca="1" si="11"/>
        <v>#NAME?</v>
      </c>
      <c r="G142" s="237" t="e">
        <f ca="1">'利用時間(シフト)'!L143</f>
        <v>#NAME?</v>
      </c>
      <c r="H142" s="238" t="e">
        <f ca="1">'利用時間(シフト)'!K143</f>
        <v>#NAME?</v>
      </c>
      <c r="I142" s="246" t="e">
        <f ca="1">'利用時間(シフト)'!M143</f>
        <v>#NAME?</v>
      </c>
      <c r="J142" s="239" t="e">
        <f t="shared" ca="1" si="12"/>
        <v>#NAME?</v>
      </c>
      <c r="K142" s="238" t="e">
        <f t="shared" ca="1" si="13"/>
        <v>#NAME?</v>
      </c>
      <c r="L142" s="240" t="e">
        <f t="shared" ca="1" si="14"/>
        <v>#NAME?</v>
      </c>
      <c r="M142" s="20"/>
    </row>
    <row r="143" spans="2:13" x14ac:dyDescent="0.2">
      <c r="B143" s="226" t="e">
        <f ca="1">'利用時間(シフト)'!B144</f>
        <v>#NAME?</v>
      </c>
      <c r="C143" s="236" t="e">
        <f ca="1">'利用時間(シフト)'!C144</f>
        <v>#NAME?</v>
      </c>
      <c r="D143" s="236" t="e">
        <f ca="1">'利用時間(シフト)'!D144</f>
        <v>#NAME?</v>
      </c>
      <c r="E143" s="243" t="e">
        <f t="shared" ca="1" si="10"/>
        <v>#NAME?</v>
      </c>
      <c r="F143" s="244" t="e">
        <f t="shared" ca="1" si="11"/>
        <v>#NAME?</v>
      </c>
      <c r="G143" s="237" t="e">
        <f ca="1">'利用時間(シフト)'!L144</f>
        <v>#NAME?</v>
      </c>
      <c r="H143" s="238" t="e">
        <f ca="1">'利用時間(シフト)'!K144</f>
        <v>#NAME?</v>
      </c>
      <c r="I143" s="246" t="e">
        <f ca="1">'利用時間(シフト)'!M144</f>
        <v>#NAME?</v>
      </c>
      <c r="J143" s="239" t="e">
        <f t="shared" ca="1" si="12"/>
        <v>#NAME?</v>
      </c>
      <c r="K143" s="238" t="e">
        <f t="shared" ca="1" si="13"/>
        <v>#NAME?</v>
      </c>
      <c r="L143" s="240" t="e">
        <f t="shared" ca="1" si="14"/>
        <v>#NAME?</v>
      </c>
      <c r="M143" s="20"/>
    </row>
    <row r="144" spans="2:13" x14ac:dyDescent="0.2">
      <c r="B144" s="226" t="e">
        <f ca="1">'利用時間(シフト)'!B145</f>
        <v>#NAME?</v>
      </c>
      <c r="C144" s="236" t="e">
        <f ca="1">'利用時間(シフト)'!C145</f>
        <v>#NAME?</v>
      </c>
      <c r="D144" s="236" t="e">
        <f ca="1">'利用時間(シフト)'!D145</f>
        <v>#NAME?</v>
      </c>
      <c r="E144" s="243" t="e">
        <f t="shared" ca="1" si="10"/>
        <v>#NAME?</v>
      </c>
      <c r="F144" s="244" t="e">
        <f t="shared" ca="1" si="11"/>
        <v>#NAME?</v>
      </c>
      <c r="G144" s="237" t="e">
        <f ca="1">'利用時間(シフト)'!L145</f>
        <v>#NAME?</v>
      </c>
      <c r="H144" s="238" t="e">
        <f ca="1">'利用時間(シフト)'!K145</f>
        <v>#NAME?</v>
      </c>
      <c r="I144" s="246" t="e">
        <f ca="1">'利用時間(シフト)'!M145</f>
        <v>#NAME?</v>
      </c>
      <c r="J144" s="239" t="e">
        <f t="shared" ca="1" si="12"/>
        <v>#NAME?</v>
      </c>
      <c r="K144" s="238" t="e">
        <f t="shared" ca="1" si="13"/>
        <v>#NAME?</v>
      </c>
      <c r="L144" s="240" t="e">
        <f t="shared" ca="1" si="14"/>
        <v>#NAME?</v>
      </c>
      <c r="M144" s="20"/>
    </row>
    <row r="145" spans="2:13" x14ac:dyDescent="0.2">
      <c r="B145" s="226" t="e">
        <f ca="1">'利用時間(シフト)'!B146</f>
        <v>#NAME?</v>
      </c>
      <c r="C145" s="236" t="e">
        <f ca="1">'利用時間(シフト)'!C146</f>
        <v>#NAME?</v>
      </c>
      <c r="D145" s="236" t="e">
        <f ca="1">'利用時間(シフト)'!D146</f>
        <v>#NAME?</v>
      </c>
      <c r="E145" s="243" t="e">
        <f t="shared" ca="1" si="10"/>
        <v>#NAME?</v>
      </c>
      <c r="F145" s="244" t="e">
        <f t="shared" ca="1" si="11"/>
        <v>#NAME?</v>
      </c>
      <c r="G145" s="237" t="e">
        <f ca="1">'利用時間(シフト)'!L146</f>
        <v>#NAME?</v>
      </c>
      <c r="H145" s="238" t="e">
        <f ca="1">'利用時間(シフト)'!K146</f>
        <v>#NAME?</v>
      </c>
      <c r="I145" s="246" t="e">
        <f ca="1">'利用時間(シフト)'!M146</f>
        <v>#NAME?</v>
      </c>
      <c r="J145" s="239" t="e">
        <f t="shared" ca="1" si="12"/>
        <v>#NAME?</v>
      </c>
      <c r="K145" s="238" t="e">
        <f t="shared" ca="1" si="13"/>
        <v>#NAME?</v>
      </c>
      <c r="L145" s="240" t="e">
        <f t="shared" ca="1" si="14"/>
        <v>#NAME?</v>
      </c>
      <c r="M145" s="20"/>
    </row>
    <row r="146" spans="2:13" x14ac:dyDescent="0.2">
      <c r="B146" s="226" t="e">
        <f ca="1">'利用時間(シフト)'!B147</f>
        <v>#NAME?</v>
      </c>
      <c r="C146" s="236" t="e">
        <f ca="1">'利用時間(シフト)'!C147</f>
        <v>#NAME?</v>
      </c>
      <c r="D146" s="236" t="e">
        <f ca="1">'利用時間(シフト)'!D147</f>
        <v>#NAME?</v>
      </c>
      <c r="E146" s="243" t="e">
        <f t="shared" ca="1" si="10"/>
        <v>#NAME?</v>
      </c>
      <c r="F146" s="244" t="e">
        <f t="shared" ca="1" si="11"/>
        <v>#NAME?</v>
      </c>
      <c r="G146" s="237" t="e">
        <f ca="1">'利用時間(シフト)'!L147</f>
        <v>#NAME?</v>
      </c>
      <c r="H146" s="238" t="e">
        <f ca="1">'利用時間(シフト)'!K147</f>
        <v>#NAME?</v>
      </c>
      <c r="I146" s="246" t="e">
        <f ca="1">'利用時間(シフト)'!M147</f>
        <v>#NAME?</v>
      </c>
      <c r="J146" s="239" t="e">
        <f t="shared" ca="1" si="12"/>
        <v>#NAME?</v>
      </c>
      <c r="K146" s="238" t="e">
        <f t="shared" ca="1" si="13"/>
        <v>#NAME?</v>
      </c>
      <c r="L146" s="240" t="e">
        <f t="shared" ca="1" si="14"/>
        <v>#NAME?</v>
      </c>
      <c r="M146" s="20"/>
    </row>
    <row r="147" spans="2:13" x14ac:dyDescent="0.2">
      <c r="B147" s="226" t="e">
        <f ca="1">'利用時間(シフト)'!B148</f>
        <v>#NAME?</v>
      </c>
      <c r="C147" s="236" t="e">
        <f ca="1">'利用時間(シフト)'!C148</f>
        <v>#NAME?</v>
      </c>
      <c r="D147" s="236" t="e">
        <f ca="1">'利用時間(シフト)'!D148</f>
        <v>#NAME?</v>
      </c>
      <c r="E147" s="243" t="e">
        <f t="shared" ca="1" si="10"/>
        <v>#NAME?</v>
      </c>
      <c r="F147" s="244" t="e">
        <f t="shared" ca="1" si="11"/>
        <v>#NAME?</v>
      </c>
      <c r="G147" s="237" t="e">
        <f ca="1">'利用時間(シフト)'!L148</f>
        <v>#NAME?</v>
      </c>
      <c r="H147" s="238" t="e">
        <f ca="1">'利用時間(シフト)'!K148</f>
        <v>#NAME?</v>
      </c>
      <c r="I147" s="246" t="e">
        <f ca="1">'利用時間(シフト)'!M148</f>
        <v>#NAME?</v>
      </c>
      <c r="J147" s="239" t="e">
        <f t="shared" ca="1" si="12"/>
        <v>#NAME?</v>
      </c>
      <c r="K147" s="238" t="e">
        <f t="shared" ca="1" si="13"/>
        <v>#NAME?</v>
      </c>
      <c r="L147" s="240" t="e">
        <f t="shared" ca="1" si="14"/>
        <v>#NAME?</v>
      </c>
      <c r="M147" s="20"/>
    </row>
    <row r="148" spans="2:13" x14ac:dyDescent="0.2">
      <c r="B148" s="226" t="e">
        <f ca="1">'利用時間(シフト)'!B149</f>
        <v>#NAME?</v>
      </c>
      <c r="C148" s="236" t="e">
        <f ca="1">'利用時間(シフト)'!C149</f>
        <v>#NAME?</v>
      </c>
      <c r="D148" s="236" t="e">
        <f ca="1">'利用時間(シフト)'!D149</f>
        <v>#NAME?</v>
      </c>
      <c r="E148" s="243" t="e">
        <f t="shared" ca="1" si="10"/>
        <v>#NAME?</v>
      </c>
      <c r="F148" s="244" t="e">
        <f t="shared" ca="1" si="11"/>
        <v>#NAME?</v>
      </c>
      <c r="G148" s="237" t="e">
        <f ca="1">'利用時間(シフト)'!L149</f>
        <v>#NAME?</v>
      </c>
      <c r="H148" s="238" t="e">
        <f ca="1">'利用時間(シフト)'!K149</f>
        <v>#NAME?</v>
      </c>
      <c r="I148" s="246" t="e">
        <f ca="1">'利用時間(シフト)'!M149</f>
        <v>#NAME?</v>
      </c>
      <c r="J148" s="239" t="e">
        <f t="shared" ca="1" si="12"/>
        <v>#NAME?</v>
      </c>
      <c r="K148" s="238" t="e">
        <f t="shared" ca="1" si="13"/>
        <v>#NAME?</v>
      </c>
      <c r="L148" s="240" t="e">
        <f t="shared" ca="1" si="14"/>
        <v>#NAME?</v>
      </c>
      <c r="M148" s="20"/>
    </row>
    <row r="149" spans="2:13" x14ac:dyDescent="0.2">
      <c r="B149" s="226" t="e">
        <f ca="1">'利用時間(シフト)'!B150</f>
        <v>#NAME?</v>
      </c>
      <c r="C149" s="236" t="e">
        <f ca="1">'利用時間(シフト)'!C150</f>
        <v>#NAME?</v>
      </c>
      <c r="D149" s="236" t="e">
        <f ca="1">'利用時間(シフト)'!D150</f>
        <v>#NAME?</v>
      </c>
      <c r="E149" s="243" t="e">
        <f t="shared" ca="1" si="10"/>
        <v>#NAME?</v>
      </c>
      <c r="F149" s="244" t="e">
        <f t="shared" ca="1" si="11"/>
        <v>#NAME?</v>
      </c>
      <c r="G149" s="237" t="e">
        <f ca="1">'利用時間(シフト)'!L150</f>
        <v>#NAME?</v>
      </c>
      <c r="H149" s="238" t="e">
        <f ca="1">'利用時間(シフト)'!K150</f>
        <v>#NAME?</v>
      </c>
      <c r="I149" s="246" t="e">
        <f ca="1">'利用時間(シフト)'!M150</f>
        <v>#NAME?</v>
      </c>
      <c r="J149" s="239" t="e">
        <f t="shared" ca="1" si="12"/>
        <v>#NAME?</v>
      </c>
      <c r="K149" s="238" t="e">
        <f t="shared" ca="1" si="13"/>
        <v>#NAME?</v>
      </c>
      <c r="L149" s="240" t="e">
        <f t="shared" ca="1" si="14"/>
        <v>#NAME?</v>
      </c>
      <c r="M149" s="20"/>
    </row>
    <row r="150" spans="2:13" x14ac:dyDescent="0.2">
      <c r="B150" s="226" t="e">
        <f ca="1">'利用時間(シフト)'!B151</f>
        <v>#NAME?</v>
      </c>
      <c r="C150" s="236" t="e">
        <f ca="1">'利用時間(シフト)'!C151</f>
        <v>#NAME?</v>
      </c>
      <c r="D150" s="236" t="e">
        <f ca="1">'利用時間(シフト)'!D151</f>
        <v>#NAME?</v>
      </c>
      <c r="E150" s="243" t="e">
        <f t="shared" ca="1" si="10"/>
        <v>#NAME?</v>
      </c>
      <c r="F150" s="244" t="e">
        <f t="shared" ca="1" si="11"/>
        <v>#NAME?</v>
      </c>
      <c r="G150" s="237" t="e">
        <f ca="1">'利用時間(シフト)'!L151</f>
        <v>#NAME?</v>
      </c>
      <c r="H150" s="238" t="e">
        <f ca="1">'利用時間(シフト)'!K151</f>
        <v>#NAME?</v>
      </c>
      <c r="I150" s="246" t="e">
        <f ca="1">'利用時間(シフト)'!M151</f>
        <v>#NAME?</v>
      </c>
      <c r="J150" s="239" t="e">
        <f t="shared" ca="1" si="12"/>
        <v>#NAME?</v>
      </c>
      <c r="K150" s="238" t="e">
        <f t="shared" ca="1" si="13"/>
        <v>#NAME?</v>
      </c>
      <c r="L150" s="240" t="e">
        <f t="shared" ca="1" si="14"/>
        <v>#NAME?</v>
      </c>
      <c r="M150" s="20"/>
    </row>
    <row r="151" spans="2:13" x14ac:dyDescent="0.2">
      <c r="B151" s="226" t="e">
        <f ca="1">'利用時間(シフト)'!B152</f>
        <v>#NAME?</v>
      </c>
      <c r="C151" s="236" t="e">
        <f ca="1">'利用時間(シフト)'!C152</f>
        <v>#NAME?</v>
      </c>
      <c r="D151" s="236" t="e">
        <f ca="1">'利用時間(シフト)'!D152</f>
        <v>#NAME?</v>
      </c>
      <c r="E151" s="243" t="e">
        <f t="shared" ca="1" si="10"/>
        <v>#NAME?</v>
      </c>
      <c r="F151" s="244" t="e">
        <f t="shared" ca="1" si="11"/>
        <v>#NAME?</v>
      </c>
      <c r="G151" s="237" t="e">
        <f ca="1">'利用時間(シフト)'!L152</f>
        <v>#NAME?</v>
      </c>
      <c r="H151" s="238" t="e">
        <f ca="1">'利用時間(シフト)'!K152</f>
        <v>#NAME?</v>
      </c>
      <c r="I151" s="246" t="e">
        <f ca="1">'利用時間(シフト)'!M152</f>
        <v>#NAME?</v>
      </c>
      <c r="J151" s="239" t="e">
        <f t="shared" ca="1" si="12"/>
        <v>#NAME?</v>
      </c>
      <c r="K151" s="238" t="e">
        <f t="shared" ca="1" si="13"/>
        <v>#NAME?</v>
      </c>
      <c r="L151" s="240" t="e">
        <f t="shared" ca="1" si="14"/>
        <v>#NAME?</v>
      </c>
      <c r="M151" s="20"/>
    </row>
    <row r="152" spans="2:13" x14ac:dyDescent="0.2">
      <c r="B152" s="226" t="e">
        <f ca="1">'利用時間(シフト)'!B153</f>
        <v>#NAME?</v>
      </c>
      <c r="C152" s="236" t="e">
        <f ca="1">'利用時間(シフト)'!C153</f>
        <v>#NAME?</v>
      </c>
      <c r="D152" s="236" t="e">
        <f ca="1">'利用時間(シフト)'!D153</f>
        <v>#NAME?</v>
      </c>
      <c r="E152" s="243" t="e">
        <f t="shared" ca="1" si="10"/>
        <v>#NAME?</v>
      </c>
      <c r="F152" s="244" t="e">
        <f t="shared" ca="1" si="11"/>
        <v>#NAME?</v>
      </c>
      <c r="G152" s="237" t="e">
        <f ca="1">'利用時間(シフト)'!L153</f>
        <v>#NAME?</v>
      </c>
      <c r="H152" s="238" t="e">
        <f ca="1">'利用時間(シフト)'!K153</f>
        <v>#NAME?</v>
      </c>
      <c r="I152" s="246" t="e">
        <f ca="1">'利用時間(シフト)'!M153</f>
        <v>#NAME?</v>
      </c>
      <c r="J152" s="239" t="e">
        <f t="shared" ca="1" si="12"/>
        <v>#NAME?</v>
      </c>
      <c r="K152" s="238" t="e">
        <f t="shared" ca="1" si="13"/>
        <v>#NAME?</v>
      </c>
      <c r="L152" s="240" t="e">
        <f t="shared" ca="1" si="14"/>
        <v>#NAME?</v>
      </c>
      <c r="M152" s="20"/>
    </row>
    <row r="153" spans="2:13" x14ac:dyDescent="0.2">
      <c r="B153" s="226" t="e">
        <f ca="1">'利用時間(シフト)'!B154</f>
        <v>#NAME?</v>
      </c>
      <c r="C153" s="236" t="e">
        <f ca="1">'利用時間(シフト)'!C154</f>
        <v>#NAME?</v>
      </c>
      <c r="D153" s="236" t="e">
        <f ca="1">'利用時間(シフト)'!D154</f>
        <v>#NAME?</v>
      </c>
      <c r="E153" s="243" t="e">
        <f t="shared" ca="1" si="10"/>
        <v>#NAME?</v>
      </c>
      <c r="F153" s="244" t="e">
        <f t="shared" ca="1" si="11"/>
        <v>#NAME?</v>
      </c>
      <c r="G153" s="237" t="e">
        <f ca="1">'利用時間(シフト)'!L154</f>
        <v>#NAME?</v>
      </c>
      <c r="H153" s="238" t="e">
        <f ca="1">'利用時間(シフト)'!K154</f>
        <v>#NAME?</v>
      </c>
      <c r="I153" s="246" t="e">
        <f ca="1">'利用時間(シフト)'!M154</f>
        <v>#NAME?</v>
      </c>
      <c r="J153" s="239" t="e">
        <f t="shared" ca="1" si="12"/>
        <v>#NAME?</v>
      </c>
      <c r="K153" s="238" t="e">
        <f t="shared" ca="1" si="13"/>
        <v>#NAME?</v>
      </c>
      <c r="L153" s="240" t="e">
        <f t="shared" ca="1" si="14"/>
        <v>#NAME?</v>
      </c>
      <c r="M153" s="20"/>
    </row>
    <row r="154" spans="2:13" x14ac:dyDescent="0.2">
      <c r="B154" s="226" t="e">
        <f ca="1">'利用時間(シフト)'!B155</f>
        <v>#NAME?</v>
      </c>
      <c r="C154" s="236" t="e">
        <f ca="1">'利用時間(シフト)'!C155</f>
        <v>#NAME?</v>
      </c>
      <c r="D154" s="236" t="e">
        <f ca="1">'利用時間(シフト)'!D155</f>
        <v>#NAME?</v>
      </c>
      <c r="E154" s="243" t="e">
        <f t="shared" ca="1" si="10"/>
        <v>#NAME?</v>
      </c>
      <c r="F154" s="244" t="e">
        <f t="shared" ca="1" si="11"/>
        <v>#NAME?</v>
      </c>
      <c r="G154" s="237" t="e">
        <f ca="1">'利用時間(シフト)'!L155</f>
        <v>#NAME?</v>
      </c>
      <c r="H154" s="238" t="e">
        <f ca="1">'利用時間(シフト)'!K155</f>
        <v>#NAME?</v>
      </c>
      <c r="I154" s="246" t="e">
        <f ca="1">'利用時間(シフト)'!M155</f>
        <v>#NAME?</v>
      </c>
      <c r="J154" s="239" t="e">
        <f t="shared" ca="1" si="12"/>
        <v>#NAME?</v>
      </c>
      <c r="K154" s="238" t="e">
        <f t="shared" ca="1" si="13"/>
        <v>#NAME?</v>
      </c>
      <c r="L154" s="240" t="e">
        <f t="shared" ca="1" si="14"/>
        <v>#NAME?</v>
      </c>
      <c r="M154" s="20"/>
    </row>
    <row r="155" spans="2:13" x14ac:dyDescent="0.2">
      <c r="B155" s="226" t="e">
        <f ca="1">'利用時間(シフト)'!B156</f>
        <v>#NAME?</v>
      </c>
      <c r="C155" s="236" t="e">
        <f ca="1">'利用時間(シフト)'!C156</f>
        <v>#NAME?</v>
      </c>
      <c r="D155" s="236" t="e">
        <f ca="1">'利用時間(シフト)'!D156</f>
        <v>#NAME?</v>
      </c>
      <c r="E155" s="243" t="e">
        <f t="shared" ca="1" si="10"/>
        <v>#NAME?</v>
      </c>
      <c r="F155" s="244" t="e">
        <f t="shared" ca="1" si="11"/>
        <v>#NAME?</v>
      </c>
      <c r="G155" s="237" t="e">
        <f ca="1">'利用時間(シフト)'!L156</f>
        <v>#NAME?</v>
      </c>
      <c r="H155" s="238" t="e">
        <f ca="1">'利用時間(シフト)'!K156</f>
        <v>#NAME?</v>
      </c>
      <c r="I155" s="246" t="e">
        <f ca="1">'利用時間(シフト)'!M156</f>
        <v>#NAME?</v>
      </c>
      <c r="J155" s="239" t="e">
        <f t="shared" ca="1" si="12"/>
        <v>#NAME?</v>
      </c>
      <c r="K155" s="238" t="e">
        <f t="shared" ca="1" si="13"/>
        <v>#NAME?</v>
      </c>
      <c r="L155" s="240" t="e">
        <f t="shared" ca="1" si="14"/>
        <v>#NAME?</v>
      </c>
      <c r="M155" s="20"/>
    </row>
    <row r="156" spans="2:13" x14ac:dyDescent="0.2">
      <c r="B156" s="226" t="e">
        <f ca="1">'利用時間(シフト)'!B157</f>
        <v>#NAME?</v>
      </c>
      <c r="C156" s="236" t="e">
        <f ca="1">'利用時間(シフト)'!C157</f>
        <v>#NAME?</v>
      </c>
      <c r="D156" s="236" t="e">
        <f ca="1">'利用時間(シフト)'!D157</f>
        <v>#NAME?</v>
      </c>
      <c r="E156" s="243" t="e">
        <f t="shared" ca="1" si="10"/>
        <v>#NAME?</v>
      </c>
      <c r="F156" s="244" t="e">
        <f t="shared" ca="1" si="11"/>
        <v>#NAME?</v>
      </c>
      <c r="G156" s="237" t="e">
        <f ca="1">'利用時間(シフト)'!L157</f>
        <v>#NAME?</v>
      </c>
      <c r="H156" s="238" t="e">
        <f ca="1">'利用時間(シフト)'!K157</f>
        <v>#NAME?</v>
      </c>
      <c r="I156" s="246" t="e">
        <f ca="1">'利用時間(シフト)'!M157</f>
        <v>#NAME?</v>
      </c>
      <c r="J156" s="239" t="e">
        <f t="shared" ca="1" si="12"/>
        <v>#NAME?</v>
      </c>
      <c r="K156" s="238" t="e">
        <f t="shared" ca="1" si="13"/>
        <v>#NAME?</v>
      </c>
      <c r="L156" s="240" t="e">
        <f t="shared" ca="1" si="14"/>
        <v>#NAME?</v>
      </c>
      <c r="M156" s="20"/>
    </row>
    <row r="157" spans="2:13" x14ac:dyDescent="0.2">
      <c r="B157" s="226" t="e">
        <f ca="1">'利用時間(シフト)'!B158</f>
        <v>#NAME?</v>
      </c>
      <c r="C157" s="236" t="e">
        <f ca="1">'利用時間(シフト)'!C158</f>
        <v>#NAME?</v>
      </c>
      <c r="D157" s="236" t="e">
        <f ca="1">'利用時間(シフト)'!D158</f>
        <v>#NAME?</v>
      </c>
      <c r="E157" s="243" t="e">
        <f t="shared" ca="1" si="10"/>
        <v>#NAME?</v>
      </c>
      <c r="F157" s="244" t="e">
        <f t="shared" ca="1" si="11"/>
        <v>#NAME?</v>
      </c>
      <c r="G157" s="237" t="e">
        <f ca="1">'利用時間(シフト)'!L158</f>
        <v>#NAME?</v>
      </c>
      <c r="H157" s="238" t="e">
        <f ca="1">'利用時間(シフト)'!K158</f>
        <v>#NAME?</v>
      </c>
      <c r="I157" s="246" t="e">
        <f ca="1">'利用時間(シフト)'!M158</f>
        <v>#NAME?</v>
      </c>
      <c r="J157" s="239" t="e">
        <f t="shared" ca="1" si="12"/>
        <v>#NAME?</v>
      </c>
      <c r="K157" s="238" t="e">
        <f t="shared" ca="1" si="13"/>
        <v>#NAME?</v>
      </c>
      <c r="L157" s="240" t="e">
        <f t="shared" ca="1" si="14"/>
        <v>#NAME?</v>
      </c>
      <c r="M157" s="20"/>
    </row>
    <row r="158" spans="2:13" x14ac:dyDescent="0.2">
      <c r="B158" s="226" t="e">
        <f ca="1">'利用時間(シフト)'!B159</f>
        <v>#NAME?</v>
      </c>
      <c r="C158" s="236" t="e">
        <f ca="1">'利用時間(シフト)'!C159</f>
        <v>#NAME?</v>
      </c>
      <c r="D158" s="236" t="e">
        <f ca="1">'利用時間(シフト)'!D159</f>
        <v>#NAME?</v>
      </c>
      <c r="E158" s="243" t="e">
        <f t="shared" ca="1" si="10"/>
        <v>#NAME?</v>
      </c>
      <c r="F158" s="244" t="e">
        <f t="shared" ca="1" si="11"/>
        <v>#NAME?</v>
      </c>
      <c r="G158" s="237" t="e">
        <f ca="1">'利用時間(シフト)'!L159</f>
        <v>#NAME?</v>
      </c>
      <c r="H158" s="238" t="e">
        <f ca="1">'利用時間(シフト)'!K159</f>
        <v>#NAME?</v>
      </c>
      <c r="I158" s="246" t="e">
        <f ca="1">'利用時間(シフト)'!M159</f>
        <v>#NAME?</v>
      </c>
      <c r="J158" s="239" t="e">
        <f t="shared" ca="1" si="12"/>
        <v>#NAME?</v>
      </c>
      <c r="K158" s="238" t="e">
        <f t="shared" ca="1" si="13"/>
        <v>#NAME?</v>
      </c>
      <c r="L158" s="240" t="e">
        <f t="shared" ca="1" si="14"/>
        <v>#NAME?</v>
      </c>
      <c r="M158" s="20"/>
    </row>
    <row r="159" spans="2:13" x14ac:dyDescent="0.2">
      <c r="B159" s="226" t="e">
        <f ca="1">'利用時間(シフト)'!B160</f>
        <v>#NAME?</v>
      </c>
      <c r="C159" s="236" t="e">
        <f ca="1">'利用時間(シフト)'!C160</f>
        <v>#NAME?</v>
      </c>
      <c r="D159" s="236" t="e">
        <f ca="1">'利用時間(シフト)'!D160</f>
        <v>#NAME?</v>
      </c>
      <c r="E159" s="243" t="e">
        <f t="shared" ca="1" si="10"/>
        <v>#NAME?</v>
      </c>
      <c r="F159" s="244" t="e">
        <f t="shared" ca="1" si="11"/>
        <v>#NAME?</v>
      </c>
      <c r="G159" s="237" t="e">
        <f ca="1">'利用時間(シフト)'!L160</f>
        <v>#NAME?</v>
      </c>
      <c r="H159" s="238" t="e">
        <f ca="1">'利用時間(シフト)'!K160</f>
        <v>#NAME?</v>
      </c>
      <c r="I159" s="246" t="e">
        <f ca="1">'利用時間(シフト)'!M160</f>
        <v>#NAME?</v>
      </c>
      <c r="J159" s="239" t="e">
        <f t="shared" ca="1" si="12"/>
        <v>#NAME?</v>
      </c>
      <c r="K159" s="238" t="e">
        <f t="shared" ca="1" si="13"/>
        <v>#NAME?</v>
      </c>
      <c r="L159" s="240" t="e">
        <f t="shared" ca="1" si="14"/>
        <v>#NAME?</v>
      </c>
      <c r="M159" s="20"/>
    </row>
    <row r="160" spans="2:13" x14ac:dyDescent="0.2">
      <c r="B160" s="226" t="e">
        <f ca="1">'利用時間(シフト)'!B161</f>
        <v>#NAME?</v>
      </c>
      <c r="C160" s="236" t="e">
        <f ca="1">'利用時間(シフト)'!C161</f>
        <v>#NAME?</v>
      </c>
      <c r="D160" s="236" t="e">
        <f ca="1">'利用時間(シフト)'!D161</f>
        <v>#NAME?</v>
      </c>
      <c r="E160" s="243" t="e">
        <f t="shared" ca="1" si="10"/>
        <v>#NAME?</v>
      </c>
      <c r="F160" s="244" t="e">
        <f t="shared" ca="1" si="11"/>
        <v>#NAME?</v>
      </c>
      <c r="G160" s="237" t="e">
        <f ca="1">'利用時間(シフト)'!L161</f>
        <v>#NAME?</v>
      </c>
      <c r="H160" s="238" t="e">
        <f ca="1">'利用時間(シフト)'!K161</f>
        <v>#NAME?</v>
      </c>
      <c r="I160" s="246" t="e">
        <f ca="1">'利用時間(シフト)'!M161</f>
        <v>#NAME?</v>
      </c>
      <c r="J160" s="239" t="e">
        <f t="shared" ca="1" si="12"/>
        <v>#NAME?</v>
      </c>
      <c r="K160" s="238" t="e">
        <f t="shared" ca="1" si="13"/>
        <v>#NAME?</v>
      </c>
      <c r="L160" s="240" t="e">
        <f t="shared" ca="1" si="14"/>
        <v>#NAME?</v>
      </c>
      <c r="M160" s="20"/>
    </row>
    <row r="161" spans="2:13" x14ac:dyDescent="0.2">
      <c r="B161" s="226" t="e">
        <f ca="1">'利用時間(シフト)'!B162</f>
        <v>#NAME?</v>
      </c>
      <c r="C161" s="236" t="e">
        <f ca="1">'利用時間(シフト)'!C162</f>
        <v>#NAME?</v>
      </c>
      <c r="D161" s="236" t="e">
        <f ca="1">'利用時間(シフト)'!D162</f>
        <v>#NAME?</v>
      </c>
      <c r="E161" s="243" t="e">
        <f t="shared" ca="1" si="10"/>
        <v>#NAME?</v>
      </c>
      <c r="F161" s="244" t="e">
        <f t="shared" ca="1" si="11"/>
        <v>#NAME?</v>
      </c>
      <c r="G161" s="237" t="e">
        <f ca="1">'利用時間(シフト)'!L162</f>
        <v>#NAME?</v>
      </c>
      <c r="H161" s="238" t="e">
        <f ca="1">'利用時間(シフト)'!K162</f>
        <v>#NAME?</v>
      </c>
      <c r="I161" s="246" t="e">
        <f ca="1">'利用時間(シフト)'!M162</f>
        <v>#NAME?</v>
      </c>
      <c r="J161" s="239" t="e">
        <f t="shared" ca="1" si="12"/>
        <v>#NAME?</v>
      </c>
      <c r="K161" s="238" t="e">
        <f t="shared" ca="1" si="13"/>
        <v>#NAME?</v>
      </c>
      <c r="L161" s="240" t="e">
        <f t="shared" ca="1" si="14"/>
        <v>#NAME?</v>
      </c>
      <c r="M161" s="20"/>
    </row>
    <row r="162" spans="2:13" x14ac:dyDescent="0.2">
      <c r="B162" s="226" t="e">
        <f ca="1">'利用時間(シフト)'!B163</f>
        <v>#NAME?</v>
      </c>
      <c r="C162" s="236" t="e">
        <f ca="1">'利用時間(シフト)'!C163</f>
        <v>#NAME?</v>
      </c>
      <c r="D162" s="236" t="e">
        <f ca="1">'利用時間(シフト)'!D163</f>
        <v>#NAME?</v>
      </c>
      <c r="E162" s="243" t="e">
        <f t="shared" ca="1" si="10"/>
        <v>#NAME?</v>
      </c>
      <c r="F162" s="244" t="e">
        <f t="shared" ca="1" si="11"/>
        <v>#NAME?</v>
      </c>
      <c r="G162" s="237" t="e">
        <f ca="1">'利用時間(シフト)'!L163</f>
        <v>#NAME?</v>
      </c>
      <c r="H162" s="238" t="e">
        <f ca="1">'利用時間(シフト)'!K163</f>
        <v>#NAME?</v>
      </c>
      <c r="I162" s="246" t="e">
        <f ca="1">'利用時間(シフト)'!M163</f>
        <v>#NAME?</v>
      </c>
      <c r="J162" s="239" t="e">
        <f t="shared" ca="1" si="12"/>
        <v>#NAME?</v>
      </c>
      <c r="K162" s="238" t="e">
        <f t="shared" ca="1" si="13"/>
        <v>#NAME?</v>
      </c>
      <c r="L162" s="240" t="e">
        <f t="shared" ca="1" si="14"/>
        <v>#NAME?</v>
      </c>
      <c r="M162" s="20"/>
    </row>
    <row r="163" spans="2:13" x14ac:dyDescent="0.2">
      <c r="B163" s="226" t="e">
        <f ca="1">'利用時間(シフト)'!B164</f>
        <v>#NAME?</v>
      </c>
      <c r="C163" s="236" t="e">
        <f ca="1">'利用時間(シフト)'!C164</f>
        <v>#NAME?</v>
      </c>
      <c r="D163" s="236" t="e">
        <f ca="1">'利用時間(シフト)'!D164</f>
        <v>#NAME?</v>
      </c>
      <c r="E163" s="243" t="e">
        <f t="shared" ca="1" si="10"/>
        <v>#NAME?</v>
      </c>
      <c r="F163" s="244" t="e">
        <f t="shared" ca="1" si="11"/>
        <v>#NAME?</v>
      </c>
      <c r="G163" s="237" t="e">
        <f ca="1">'利用時間(シフト)'!L164</f>
        <v>#NAME?</v>
      </c>
      <c r="H163" s="238" t="e">
        <f ca="1">'利用時間(シフト)'!K164</f>
        <v>#NAME?</v>
      </c>
      <c r="I163" s="246" t="e">
        <f ca="1">'利用時間(シフト)'!M164</f>
        <v>#NAME?</v>
      </c>
      <c r="J163" s="239" t="e">
        <f t="shared" ca="1" si="12"/>
        <v>#NAME?</v>
      </c>
      <c r="K163" s="238" t="e">
        <f t="shared" ca="1" si="13"/>
        <v>#NAME?</v>
      </c>
      <c r="L163" s="240" t="e">
        <f t="shared" ca="1" si="14"/>
        <v>#NAME?</v>
      </c>
      <c r="M163" s="20"/>
    </row>
    <row r="164" spans="2:13" x14ac:dyDescent="0.2">
      <c r="B164" s="226" t="e">
        <f ca="1">'利用時間(シフト)'!B165</f>
        <v>#NAME?</v>
      </c>
      <c r="C164" s="236" t="e">
        <f ca="1">'利用時間(シフト)'!C165</f>
        <v>#NAME?</v>
      </c>
      <c r="D164" s="236" t="e">
        <f ca="1">'利用時間(シフト)'!D165</f>
        <v>#NAME?</v>
      </c>
      <c r="E164" s="243" t="e">
        <f t="shared" ca="1" si="10"/>
        <v>#NAME?</v>
      </c>
      <c r="F164" s="244" t="e">
        <f t="shared" ca="1" si="11"/>
        <v>#NAME?</v>
      </c>
      <c r="G164" s="237" t="e">
        <f ca="1">'利用時間(シフト)'!L165</f>
        <v>#NAME?</v>
      </c>
      <c r="H164" s="238" t="e">
        <f ca="1">'利用時間(シフト)'!K165</f>
        <v>#NAME?</v>
      </c>
      <c r="I164" s="246" t="e">
        <f ca="1">'利用時間(シフト)'!M165</f>
        <v>#NAME?</v>
      </c>
      <c r="J164" s="239" t="e">
        <f t="shared" ca="1" si="12"/>
        <v>#NAME?</v>
      </c>
      <c r="K164" s="238" t="e">
        <f t="shared" ca="1" si="13"/>
        <v>#NAME?</v>
      </c>
      <c r="L164" s="240" t="e">
        <f t="shared" ca="1" si="14"/>
        <v>#NAME?</v>
      </c>
      <c r="M164" s="20"/>
    </row>
    <row r="165" spans="2:13" x14ac:dyDescent="0.2">
      <c r="B165" s="226" t="e">
        <f ca="1">'利用時間(シフト)'!B166</f>
        <v>#NAME?</v>
      </c>
      <c r="C165" s="236" t="e">
        <f ca="1">'利用時間(シフト)'!C166</f>
        <v>#NAME?</v>
      </c>
      <c r="D165" s="236" t="e">
        <f ca="1">'利用時間(シフト)'!D166</f>
        <v>#NAME?</v>
      </c>
      <c r="E165" s="243" t="e">
        <f t="shared" ca="1" si="10"/>
        <v>#NAME?</v>
      </c>
      <c r="F165" s="244" t="e">
        <f t="shared" ca="1" si="11"/>
        <v>#NAME?</v>
      </c>
      <c r="G165" s="237" t="e">
        <f ca="1">'利用時間(シフト)'!L166</f>
        <v>#NAME?</v>
      </c>
      <c r="H165" s="238" t="e">
        <f ca="1">'利用時間(シフト)'!K166</f>
        <v>#NAME?</v>
      </c>
      <c r="I165" s="246" t="e">
        <f ca="1">'利用時間(シフト)'!M166</f>
        <v>#NAME?</v>
      </c>
      <c r="J165" s="239" t="e">
        <f t="shared" ca="1" si="12"/>
        <v>#NAME?</v>
      </c>
      <c r="K165" s="238" t="e">
        <f t="shared" ca="1" si="13"/>
        <v>#NAME?</v>
      </c>
      <c r="L165" s="240" t="e">
        <f t="shared" ca="1" si="14"/>
        <v>#NAME?</v>
      </c>
      <c r="M165" s="20"/>
    </row>
    <row r="166" spans="2:13" x14ac:dyDescent="0.2">
      <c r="B166" s="226" t="e">
        <f ca="1">'利用時間(シフト)'!B167</f>
        <v>#NAME?</v>
      </c>
      <c r="C166" s="236" t="e">
        <f ca="1">'利用時間(シフト)'!C167</f>
        <v>#NAME?</v>
      </c>
      <c r="D166" s="236" t="e">
        <f ca="1">'利用時間(シフト)'!D167</f>
        <v>#NAME?</v>
      </c>
      <c r="E166" s="243" t="e">
        <f t="shared" ca="1" si="10"/>
        <v>#NAME?</v>
      </c>
      <c r="F166" s="244" t="e">
        <f t="shared" ca="1" si="11"/>
        <v>#NAME?</v>
      </c>
      <c r="G166" s="237" t="e">
        <f ca="1">'利用時間(シフト)'!L167</f>
        <v>#NAME?</v>
      </c>
      <c r="H166" s="238" t="e">
        <f ca="1">'利用時間(シフト)'!K167</f>
        <v>#NAME?</v>
      </c>
      <c r="I166" s="246" t="e">
        <f ca="1">'利用時間(シフト)'!M167</f>
        <v>#NAME?</v>
      </c>
      <c r="J166" s="239" t="e">
        <f t="shared" ca="1" si="12"/>
        <v>#NAME?</v>
      </c>
      <c r="K166" s="238" t="e">
        <f t="shared" ca="1" si="13"/>
        <v>#NAME?</v>
      </c>
      <c r="L166" s="240" t="e">
        <f t="shared" ca="1" si="14"/>
        <v>#NAME?</v>
      </c>
      <c r="M166" s="20"/>
    </row>
    <row r="167" spans="2:13" x14ac:dyDescent="0.2">
      <c r="B167" s="226" t="e">
        <f ca="1">'利用時間(シフト)'!B168</f>
        <v>#NAME?</v>
      </c>
      <c r="C167" s="236" t="e">
        <f ca="1">'利用時間(シフト)'!C168</f>
        <v>#NAME?</v>
      </c>
      <c r="D167" s="236" t="e">
        <f ca="1">'利用時間(シフト)'!D168</f>
        <v>#NAME?</v>
      </c>
      <c r="E167" s="243" t="e">
        <f t="shared" ca="1" si="10"/>
        <v>#NAME?</v>
      </c>
      <c r="F167" s="244" t="e">
        <f t="shared" ca="1" si="11"/>
        <v>#NAME?</v>
      </c>
      <c r="G167" s="237" t="e">
        <f ca="1">'利用時間(シフト)'!L168</f>
        <v>#NAME?</v>
      </c>
      <c r="H167" s="238" t="e">
        <f ca="1">'利用時間(シフト)'!K168</f>
        <v>#NAME?</v>
      </c>
      <c r="I167" s="246" t="e">
        <f ca="1">'利用時間(シフト)'!M168</f>
        <v>#NAME?</v>
      </c>
      <c r="J167" s="239" t="e">
        <f t="shared" ca="1" si="12"/>
        <v>#NAME?</v>
      </c>
      <c r="K167" s="238" t="e">
        <f t="shared" ca="1" si="13"/>
        <v>#NAME?</v>
      </c>
      <c r="L167" s="240" t="e">
        <f t="shared" ca="1" si="14"/>
        <v>#NAME?</v>
      </c>
      <c r="M167" s="20"/>
    </row>
    <row r="168" spans="2:13" x14ac:dyDescent="0.2">
      <c r="B168" s="226" t="e">
        <f ca="1">'利用時間(シフト)'!B169</f>
        <v>#NAME?</v>
      </c>
      <c r="C168" s="236" t="e">
        <f ca="1">'利用時間(シフト)'!C169</f>
        <v>#NAME?</v>
      </c>
      <c r="D168" s="236" t="e">
        <f ca="1">'利用時間(シフト)'!D169</f>
        <v>#NAME?</v>
      </c>
      <c r="E168" s="243" t="e">
        <f t="shared" ca="1" si="10"/>
        <v>#NAME?</v>
      </c>
      <c r="F168" s="244" t="e">
        <f t="shared" ca="1" si="11"/>
        <v>#NAME?</v>
      </c>
      <c r="G168" s="237" t="e">
        <f ca="1">'利用時間(シフト)'!L169</f>
        <v>#NAME?</v>
      </c>
      <c r="H168" s="238" t="e">
        <f ca="1">'利用時間(シフト)'!K169</f>
        <v>#NAME?</v>
      </c>
      <c r="I168" s="246" t="e">
        <f ca="1">'利用時間(シフト)'!M169</f>
        <v>#NAME?</v>
      </c>
      <c r="J168" s="239" t="e">
        <f t="shared" ca="1" si="12"/>
        <v>#NAME?</v>
      </c>
      <c r="K168" s="238" t="e">
        <f t="shared" ca="1" si="13"/>
        <v>#NAME?</v>
      </c>
      <c r="L168" s="240" t="e">
        <f t="shared" ca="1" si="14"/>
        <v>#NAME?</v>
      </c>
      <c r="M168" s="20"/>
    </row>
    <row r="169" spans="2:13" x14ac:dyDescent="0.2">
      <c r="B169" s="226" t="e">
        <f ca="1">'利用時間(シフト)'!B170</f>
        <v>#NAME?</v>
      </c>
      <c r="C169" s="236" t="e">
        <f ca="1">'利用時間(シフト)'!C170</f>
        <v>#NAME?</v>
      </c>
      <c r="D169" s="236" t="e">
        <f ca="1">'利用時間(シフト)'!D170</f>
        <v>#NAME?</v>
      </c>
      <c r="E169" s="243" t="e">
        <f t="shared" ca="1" si="10"/>
        <v>#NAME?</v>
      </c>
      <c r="F169" s="244" t="e">
        <f t="shared" ca="1" si="11"/>
        <v>#NAME?</v>
      </c>
      <c r="G169" s="237" t="e">
        <f ca="1">'利用時間(シフト)'!L170</f>
        <v>#NAME?</v>
      </c>
      <c r="H169" s="238" t="e">
        <f ca="1">'利用時間(シフト)'!K170</f>
        <v>#NAME?</v>
      </c>
      <c r="I169" s="246" t="e">
        <f ca="1">'利用時間(シフト)'!M170</f>
        <v>#NAME?</v>
      </c>
      <c r="J169" s="239" t="e">
        <f t="shared" ca="1" si="12"/>
        <v>#NAME?</v>
      </c>
      <c r="K169" s="238" t="e">
        <f t="shared" ca="1" si="13"/>
        <v>#NAME?</v>
      </c>
      <c r="L169" s="240" t="e">
        <f t="shared" ca="1" si="14"/>
        <v>#NAME?</v>
      </c>
      <c r="M169" s="20"/>
    </row>
    <row r="170" spans="2:13" x14ac:dyDescent="0.2">
      <c r="B170" s="226" t="e">
        <f ca="1">'利用時間(シフト)'!B171</f>
        <v>#NAME?</v>
      </c>
      <c r="C170" s="236" t="e">
        <f ca="1">'利用時間(シフト)'!C171</f>
        <v>#NAME?</v>
      </c>
      <c r="D170" s="236" t="e">
        <f ca="1">'利用時間(シフト)'!D171</f>
        <v>#NAME?</v>
      </c>
      <c r="E170" s="243" t="e">
        <f t="shared" ca="1" si="10"/>
        <v>#NAME?</v>
      </c>
      <c r="F170" s="244" t="e">
        <f t="shared" ca="1" si="11"/>
        <v>#NAME?</v>
      </c>
      <c r="G170" s="237" t="e">
        <f ca="1">'利用時間(シフト)'!L171</f>
        <v>#NAME?</v>
      </c>
      <c r="H170" s="238" t="e">
        <f ca="1">'利用時間(シフト)'!K171</f>
        <v>#NAME?</v>
      </c>
      <c r="I170" s="246" t="e">
        <f ca="1">'利用時間(シフト)'!M171</f>
        <v>#NAME?</v>
      </c>
      <c r="J170" s="239" t="e">
        <f t="shared" ca="1" si="12"/>
        <v>#NAME?</v>
      </c>
      <c r="K170" s="238" t="e">
        <f t="shared" ca="1" si="13"/>
        <v>#NAME?</v>
      </c>
      <c r="L170" s="240" t="e">
        <f t="shared" ca="1" si="14"/>
        <v>#NAME?</v>
      </c>
      <c r="M170" s="20"/>
    </row>
    <row r="171" spans="2:13" x14ac:dyDescent="0.2">
      <c r="B171" s="226" t="e">
        <f ca="1">'利用時間(シフト)'!B172</f>
        <v>#NAME?</v>
      </c>
      <c r="C171" s="236" t="e">
        <f ca="1">'利用時間(シフト)'!C172</f>
        <v>#NAME?</v>
      </c>
      <c r="D171" s="236" t="e">
        <f ca="1">'利用時間(シフト)'!D172</f>
        <v>#NAME?</v>
      </c>
      <c r="E171" s="243" t="e">
        <f t="shared" ca="1" si="10"/>
        <v>#NAME?</v>
      </c>
      <c r="F171" s="244" t="e">
        <f t="shared" ca="1" si="11"/>
        <v>#NAME?</v>
      </c>
      <c r="G171" s="237" t="e">
        <f ca="1">'利用時間(シフト)'!L172</f>
        <v>#NAME?</v>
      </c>
      <c r="H171" s="238" t="e">
        <f ca="1">'利用時間(シフト)'!K172</f>
        <v>#NAME?</v>
      </c>
      <c r="I171" s="246" t="e">
        <f ca="1">'利用時間(シフト)'!M172</f>
        <v>#NAME?</v>
      </c>
      <c r="J171" s="239" t="e">
        <f t="shared" ca="1" si="12"/>
        <v>#NAME?</v>
      </c>
      <c r="K171" s="238" t="e">
        <f t="shared" ca="1" si="13"/>
        <v>#NAME?</v>
      </c>
      <c r="L171" s="240" t="e">
        <f t="shared" ca="1" si="14"/>
        <v>#NAME?</v>
      </c>
      <c r="M171" s="20"/>
    </row>
    <row r="172" spans="2:13" x14ac:dyDescent="0.2">
      <c r="B172" s="226" t="e">
        <f ca="1">'利用時間(シフト)'!B173</f>
        <v>#NAME?</v>
      </c>
      <c r="C172" s="236" t="e">
        <f ca="1">'利用時間(シフト)'!C173</f>
        <v>#NAME?</v>
      </c>
      <c r="D172" s="236" t="e">
        <f ca="1">'利用時間(シフト)'!D173</f>
        <v>#NAME?</v>
      </c>
      <c r="E172" s="243" t="e">
        <f t="shared" ca="1" si="10"/>
        <v>#NAME?</v>
      </c>
      <c r="F172" s="244" t="e">
        <f t="shared" ca="1" si="11"/>
        <v>#NAME?</v>
      </c>
      <c r="G172" s="237" t="e">
        <f ca="1">'利用時間(シフト)'!L173</f>
        <v>#NAME?</v>
      </c>
      <c r="H172" s="238" t="e">
        <f ca="1">'利用時間(シフト)'!K173</f>
        <v>#NAME?</v>
      </c>
      <c r="I172" s="246" t="e">
        <f ca="1">'利用時間(シフト)'!M173</f>
        <v>#NAME?</v>
      </c>
      <c r="J172" s="239" t="e">
        <f t="shared" ca="1" si="12"/>
        <v>#NAME?</v>
      </c>
      <c r="K172" s="238" t="e">
        <f t="shared" ca="1" si="13"/>
        <v>#NAME?</v>
      </c>
      <c r="L172" s="240" t="e">
        <f t="shared" ca="1" si="14"/>
        <v>#NAME?</v>
      </c>
      <c r="M172" s="20"/>
    </row>
    <row r="173" spans="2:13" x14ac:dyDescent="0.2">
      <c r="B173" s="226" t="e">
        <f ca="1">'利用時間(シフト)'!B174</f>
        <v>#NAME?</v>
      </c>
      <c r="C173" s="236" t="e">
        <f ca="1">'利用時間(シフト)'!C174</f>
        <v>#NAME?</v>
      </c>
      <c r="D173" s="236" t="e">
        <f ca="1">'利用時間(シフト)'!D174</f>
        <v>#NAME?</v>
      </c>
      <c r="E173" s="243" t="e">
        <f t="shared" ca="1" si="10"/>
        <v>#NAME?</v>
      </c>
      <c r="F173" s="244" t="e">
        <f t="shared" ca="1" si="11"/>
        <v>#NAME?</v>
      </c>
      <c r="G173" s="237" t="e">
        <f ca="1">'利用時間(シフト)'!L174</f>
        <v>#NAME?</v>
      </c>
      <c r="H173" s="238" t="e">
        <f ca="1">'利用時間(シフト)'!K174</f>
        <v>#NAME?</v>
      </c>
      <c r="I173" s="246" t="e">
        <f ca="1">'利用時間(シフト)'!M174</f>
        <v>#NAME?</v>
      </c>
      <c r="J173" s="239" t="e">
        <f t="shared" ca="1" si="12"/>
        <v>#NAME?</v>
      </c>
      <c r="K173" s="238" t="e">
        <f t="shared" ca="1" si="13"/>
        <v>#NAME?</v>
      </c>
      <c r="L173" s="240" t="e">
        <f t="shared" ca="1" si="14"/>
        <v>#NAME?</v>
      </c>
      <c r="M173" s="20"/>
    </row>
    <row r="174" spans="2:13" x14ac:dyDescent="0.2">
      <c r="B174" s="226" t="e">
        <f ca="1">'利用時間(シフト)'!B175</f>
        <v>#NAME?</v>
      </c>
      <c r="C174" s="236" t="e">
        <f ca="1">'利用時間(シフト)'!C175</f>
        <v>#NAME?</v>
      </c>
      <c r="D174" s="236" t="e">
        <f ca="1">'利用時間(シフト)'!D175</f>
        <v>#NAME?</v>
      </c>
      <c r="E174" s="243" t="e">
        <f t="shared" ca="1" si="10"/>
        <v>#NAME?</v>
      </c>
      <c r="F174" s="244" t="e">
        <f t="shared" ca="1" si="11"/>
        <v>#NAME?</v>
      </c>
      <c r="G174" s="237" t="e">
        <f ca="1">'利用時間(シフト)'!L175</f>
        <v>#NAME?</v>
      </c>
      <c r="H174" s="238" t="e">
        <f ca="1">'利用時間(シフト)'!K175</f>
        <v>#NAME?</v>
      </c>
      <c r="I174" s="246" t="e">
        <f ca="1">'利用時間(シフト)'!M175</f>
        <v>#NAME?</v>
      </c>
      <c r="J174" s="239" t="e">
        <f t="shared" ca="1" si="12"/>
        <v>#NAME?</v>
      </c>
      <c r="K174" s="238" t="e">
        <f t="shared" ca="1" si="13"/>
        <v>#NAME?</v>
      </c>
      <c r="L174" s="240" t="e">
        <f t="shared" ca="1" si="14"/>
        <v>#NAME?</v>
      </c>
      <c r="M174" s="20"/>
    </row>
    <row r="175" spans="2:13" x14ac:dyDescent="0.2">
      <c r="B175" s="226" t="e">
        <f ca="1">'利用時間(シフト)'!B176</f>
        <v>#NAME?</v>
      </c>
      <c r="C175" s="236" t="e">
        <f ca="1">'利用時間(シフト)'!C176</f>
        <v>#NAME?</v>
      </c>
      <c r="D175" s="236" t="e">
        <f ca="1">'利用時間(シフト)'!D176</f>
        <v>#NAME?</v>
      </c>
      <c r="E175" s="243" t="e">
        <f t="shared" ca="1" si="10"/>
        <v>#NAME?</v>
      </c>
      <c r="F175" s="244" t="e">
        <f t="shared" ca="1" si="11"/>
        <v>#NAME?</v>
      </c>
      <c r="G175" s="237" t="e">
        <f ca="1">'利用時間(シフト)'!L176</f>
        <v>#NAME?</v>
      </c>
      <c r="H175" s="238" t="e">
        <f ca="1">'利用時間(シフト)'!K176</f>
        <v>#NAME?</v>
      </c>
      <c r="I175" s="246" t="e">
        <f ca="1">'利用時間(シフト)'!M176</f>
        <v>#NAME?</v>
      </c>
      <c r="J175" s="239" t="e">
        <f t="shared" ca="1" si="12"/>
        <v>#NAME?</v>
      </c>
      <c r="K175" s="238" t="e">
        <f t="shared" ca="1" si="13"/>
        <v>#NAME?</v>
      </c>
      <c r="L175" s="240" t="e">
        <f t="shared" ca="1" si="14"/>
        <v>#NAME?</v>
      </c>
      <c r="M175" s="20"/>
    </row>
    <row r="176" spans="2:13" x14ac:dyDescent="0.2">
      <c r="B176" s="226" t="e">
        <f ca="1">'利用時間(シフト)'!B177</f>
        <v>#NAME?</v>
      </c>
      <c r="C176" s="236" t="e">
        <f ca="1">'利用時間(シフト)'!C177</f>
        <v>#NAME?</v>
      </c>
      <c r="D176" s="236" t="e">
        <f ca="1">'利用時間(シフト)'!D177</f>
        <v>#NAME?</v>
      </c>
      <c r="E176" s="243" t="e">
        <f t="shared" ca="1" si="10"/>
        <v>#NAME?</v>
      </c>
      <c r="F176" s="244" t="e">
        <f t="shared" ca="1" si="11"/>
        <v>#NAME?</v>
      </c>
      <c r="G176" s="237" t="e">
        <f ca="1">'利用時間(シフト)'!L177</f>
        <v>#NAME?</v>
      </c>
      <c r="H176" s="238" t="e">
        <f ca="1">'利用時間(シフト)'!K177</f>
        <v>#NAME?</v>
      </c>
      <c r="I176" s="246" t="e">
        <f ca="1">'利用時間(シフト)'!M177</f>
        <v>#NAME?</v>
      </c>
      <c r="J176" s="239" t="e">
        <f t="shared" ca="1" si="12"/>
        <v>#NAME?</v>
      </c>
      <c r="K176" s="238" t="e">
        <f t="shared" ca="1" si="13"/>
        <v>#NAME?</v>
      </c>
      <c r="L176" s="240" t="e">
        <f t="shared" ca="1" si="14"/>
        <v>#NAME?</v>
      </c>
      <c r="M176" s="20"/>
    </row>
    <row r="177" spans="2:13" x14ac:dyDescent="0.2">
      <c r="B177" s="226" t="e">
        <f ca="1">'利用時間(シフト)'!B178</f>
        <v>#NAME?</v>
      </c>
      <c r="C177" s="236" t="e">
        <f ca="1">'利用時間(シフト)'!C178</f>
        <v>#NAME?</v>
      </c>
      <c r="D177" s="236" t="e">
        <f ca="1">'利用時間(シフト)'!D178</f>
        <v>#NAME?</v>
      </c>
      <c r="E177" s="243" t="e">
        <f t="shared" ca="1" si="10"/>
        <v>#NAME?</v>
      </c>
      <c r="F177" s="244" t="e">
        <f t="shared" ca="1" si="11"/>
        <v>#NAME?</v>
      </c>
      <c r="G177" s="237" t="e">
        <f ca="1">'利用時間(シフト)'!L178</f>
        <v>#NAME?</v>
      </c>
      <c r="H177" s="238" t="e">
        <f ca="1">'利用時間(シフト)'!K178</f>
        <v>#NAME?</v>
      </c>
      <c r="I177" s="246" t="e">
        <f ca="1">'利用時間(シフト)'!M178</f>
        <v>#NAME?</v>
      </c>
      <c r="J177" s="239" t="e">
        <f t="shared" ca="1" si="12"/>
        <v>#NAME?</v>
      </c>
      <c r="K177" s="238" t="e">
        <f t="shared" ca="1" si="13"/>
        <v>#NAME?</v>
      </c>
      <c r="L177" s="240" t="e">
        <f t="shared" ca="1" si="14"/>
        <v>#NAME?</v>
      </c>
      <c r="M177" s="20"/>
    </row>
    <row r="178" spans="2:13" x14ac:dyDescent="0.2">
      <c r="B178" s="226" t="e">
        <f ca="1">'利用時間(シフト)'!B179</f>
        <v>#NAME?</v>
      </c>
      <c r="C178" s="236" t="e">
        <f ca="1">'利用時間(シフト)'!C179</f>
        <v>#NAME?</v>
      </c>
      <c r="D178" s="236" t="e">
        <f ca="1">'利用時間(シフト)'!D179</f>
        <v>#NAME?</v>
      </c>
      <c r="E178" s="243" t="e">
        <f t="shared" ca="1" si="10"/>
        <v>#NAME?</v>
      </c>
      <c r="F178" s="244" t="e">
        <f t="shared" ca="1" si="11"/>
        <v>#NAME?</v>
      </c>
      <c r="G178" s="237" t="e">
        <f ca="1">'利用時間(シフト)'!L179</f>
        <v>#NAME?</v>
      </c>
      <c r="H178" s="238" t="e">
        <f ca="1">'利用時間(シフト)'!K179</f>
        <v>#NAME?</v>
      </c>
      <c r="I178" s="246" t="e">
        <f ca="1">'利用時間(シフト)'!M179</f>
        <v>#NAME?</v>
      </c>
      <c r="J178" s="239" t="e">
        <f t="shared" ca="1" si="12"/>
        <v>#NAME?</v>
      </c>
      <c r="K178" s="238" t="e">
        <f t="shared" ca="1" si="13"/>
        <v>#NAME?</v>
      </c>
      <c r="L178" s="240" t="e">
        <f t="shared" ca="1" si="14"/>
        <v>#NAME?</v>
      </c>
      <c r="M178" s="20"/>
    </row>
    <row r="179" spans="2:13" x14ac:dyDescent="0.2">
      <c r="B179" s="226" t="e">
        <f ca="1">'利用時間(シフト)'!B180</f>
        <v>#NAME?</v>
      </c>
      <c r="C179" s="236" t="e">
        <f ca="1">'利用時間(シフト)'!C180</f>
        <v>#NAME?</v>
      </c>
      <c r="D179" s="236" t="e">
        <f ca="1">'利用時間(シフト)'!D180</f>
        <v>#NAME?</v>
      </c>
      <c r="E179" s="243" t="e">
        <f t="shared" ca="1" si="10"/>
        <v>#NAME?</v>
      </c>
      <c r="F179" s="244" t="e">
        <f t="shared" ca="1" si="11"/>
        <v>#NAME?</v>
      </c>
      <c r="G179" s="237" t="e">
        <f ca="1">'利用時間(シフト)'!L180</f>
        <v>#NAME?</v>
      </c>
      <c r="H179" s="238" t="e">
        <f ca="1">'利用時間(シフト)'!K180</f>
        <v>#NAME?</v>
      </c>
      <c r="I179" s="246" t="e">
        <f ca="1">'利用時間(シフト)'!M180</f>
        <v>#NAME?</v>
      </c>
      <c r="J179" s="239" t="e">
        <f t="shared" ca="1" si="12"/>
        <v>#NAME?</v>
      </c>
      <c r="K179" s="238" t="e">
        <f t="shared" ca="1" si="13"/>
        <v>#NAME?</v>
      </c>
      <c r="L179" s="240" t="e">
        <f t="shared" ca="1" si="14"/>
        <v>#NAME?</v>
      </c>
      <c r="M179" s="20"/>
    </row>
    <row r="180" spans="2:13" x14ac:dyDescent="0.2">
      <c r="B180" s="226" t="e">
        <f ca="1">'利用時間(シフト)'!B181</f>
        <v>#NAME?</v>
      </c>
      <c r="C180" s="236" t="e">
        <f ca="1">'利用時間(シフト)'!C181</f>
        <v>#NAME?</v>
      </c>
      <c r="D180" s="236" t="e">
        <f ca="1">'利用時間(シフト)'!D181</f>
        <v>#NAME?</v>
      </c>
      <c r="E180" s="243" t="e">
        <f t="shared" ca="1" si="10"/>
        <v>#NAME?</v>
      </c>
      <c r="F180" s="244" t="e">
        <f t="shared" ca="1" si="11"/>
        <v>#NAME?</v>
      </c>
      <c r="G180" s="237" t="e">
        <f ca="1">'利用時間(シフト)'!L181</f>
        <v>#NAME?</v>
      </c>
      <c r="H180" s="238" t="e">
        <f ca="1">'利用時間(シフト)'!K181</f>
        <v>#NAME?</v>
      </c>
      <c r="I180" s="246" t="e">
        <f ca="1">'利用時間(シフト)'!M181</f>
        <v>#NAME?</v>
      </c>
      <c r="J180" s="239" t="e">
        <f t="shared" ca="1" si="12"/>
        <v>#NAME?</v>
      </c>
      <c r="K180" s="238" t="e">
        <f t="shared" ca="1" si="13"/>
        <v>#NAME?</v>
      </c>
      <c r="L180" s="240" t="e">
        <f t="shared" ca="1" si="14"/>
        <v>#NAME?</v>
      </c>
      <c r="M180" s="20"/>
    </row>
    <row r="181" spans="2:13" x14ac:dyDescent="0.2">
      <c r="B181" s="226" t="e">
        <f ca="1">'利用時間(シフト)'!B182</f>
        <v>#NAME?</v>
      </c>
      <c r="C181" s="236" t="e">
        <f ca="1">'利用時間(シフト)'!C182</f>
        <v>#NAME?</v>
      </c>
      <c r="D181" s="236" t="e">
        <f ca="1">'利用時間(シフト)'!D182</f>
        <v>#NAME?</v>
      </c>
      <c r="E181" s="243" t="e">
        <f t="shared" ca="1" si="10"/>
        <v>#NAME?</v>
      </c>
      <c r="F181" s="244" t="e">
        <f t="shared" ca="1" si="11"/>
        <v>#NAME?</v>
      </c>
      <c r="G181" s="237" t="e">
        <f ca="1">'利用時間(シフト)'!L182</f>
        <v>#NAME?</v>
      </c>
      <c r="H181" s="238" t="e">
        <f ca="1">'利用時間(シフト)'!K182</f>
        <v>#NAME?</v>
      </c>
      <c r="I181" s="246" t="e">
        <f ca="1">'利用時間(シフト)'!M182</f>
        <v>#NAME?</v>
      </c>
      <c r="J181" s="239" t="e">
        <f t="shared" ca="1" si="12"/>
        <v>#NAME?</v>
      </c>
      <c r="K181" s="238" t="e">
        <f t="shared" ca="1" si="13"/>
        <v>#NAME?</v>
      </c>
      <c r="L181" s="240" t="e">
        <f t="shared" ca="1" si="14"/>
        <v>#NAME?</v>
      </c>
      <c r="M181" s="20"/>
    </row>
    <row r="182" spans="2:13" x14ac:dyDescent="0.2">
      <c r="B182" s="226" t="e">
        <f ca="1">'利用時間(シフト)'!B183</f>
        <v>#NAME?</v>
      </c>
      <c r="C182" s="236" t="e">
        <f ca="1">'利用時間(シフト)'!C183</f>
        <v>#NAME?</v>
      </c>
      <c r="D182" s="236" t="e">
        <f ca="1">'利用時間(シフト)'!D183</f>
        <v>#NAME?</v>
      </c>
      <c r="E182" s="243" t="e">
        <f t="shared" ca="1" si="10"/>
        <v>#NAME?</v>
      </c>
      <c r="F182" s="244" t="e">
        <f t="shared" ca="1" si="11"/>
        <v>#NAME?</v>
      </c>
      <c r="G182" s="237" t="e">
        <f ca="1">'利用時間(シフト)'!L183</f>
        <v>#NAME?</v>
      </c>
      <c r="H182" s="238" t="e">
        <f ca="1">'利用時間(シフト)'!K183</f>
        <v>#NAME?</v>
      </c>
      <c r="I182" s="246" t="e">
        <f ca="1">'利用時間(シフト)'!M183</f>
        <v>#NAME?</v>
      </c>
      <c r="J182" s="239" t="e">
        <f t="shared" ca="1" si="12"/>
        <v>#NAME?</v>
      </c>
      <c r="K182" s="238" t="e">
        <f t="shared" ca="1" si="13"/>
        <v>#NAME?</v>
      </c>
      <c r="L182" s="240" t="e">
        <f t="shared" ca="1" si="14"/>
        <v>#NAME?</v>
      </c>
      <c r="M182" s="20"/>
    </row>
    <row r="183" spans="2:13" x14ac:dyDescent="0.2">
      <c r="B183" s="226" t="e">
        <f ca="1">'利用時間(シフト)'!B184</f>
        <v>#NAME?</v>
      </c>
      <c r="C183" s="236" t="e">
        <f ca="1">'利用時間(シフト)'!C184</f>
        <v>#NAME?</v>
      </c>
      <c r="D183" s="236" t="e">
        <f ca="1">'利用時間(シフト)'!D184</f>
        <v>#NAME?</v>
      </c>
      <c r="E183" s="243" t="e">
        <f t="shared" ca="1" si="10"/>
        <v>#NAME?</v>
      </c>
      <c r="F183" s="244" t="e">
        <f t="shared" ca="1" si="11"/>
        <v>#NAME?</v>
      </c>
      <c r="G183" s="237" t="e">
        <f ca="1">'利用時間(シフト)'!L184</f>
        <v>#NAME?</v>
      </c>
      <c r="H183" s="238" t="e">
        <f ca="1">'利用時間(シフト)'!K184</f>
        <v>#NAME?</v>
      </c>
      <c r="I183" s="246" t="e">
        <f ca="1">'利用時間(シフト)'!M184</f>
        <v>#NAME?</v>
      </c>
      <c r="J183" s="239" t="e">
        <f t="shared" ca="1" si="12"/>
        <v>#NAME?</v>
      </c>
      <c r="K183" s="238" t="e">
        <f t="shared" ca="1" si="13"/>
        <v>#NAME?</v>
      </c>
      <c r="L183" s="240" t="e">
        <f t="shared" ca="1" si="14"/>
        <v>#NAME?</v>
      </c>
      <c r="M183" s="20"/>
    </row>
    <row r="184" spans="2:13" x14ac:dyDescent="0.2">
      <c r="B184" s="226" t="e">
        <f ca="1">'利用時間(シフト)'!B185</f>
        <v>#NAME?</v>
      </c>
      <c r="C184" s="236" t="e">
        <f ca="1">'利用時間(シフト)'!C185</f>
        <v>#NAME?</v>
      </c>
      <c r="D184" s="236" t="e">
        <f ca="1">'利用時間(シフト)'!D185</f>
        <v>#NAME?</v>
      </c>
      <c r="E184" s="243" t="e">
        <f t="shared" ca="1" si="10"/>
        <v>#NAME?</v>
      </c>
      <c r="F184" s="244" t="e">
        <f t="shared" ca="1" si="11"/>
        <v>#NAME?</v>
      </c>
      <c r="G184" s="237" t="e">
        <f ca="1">'利用時間(シフト)'!L185</f>
        <v>#NAME?</v>
      </c>
      <c r="H184" s="238" t="e">
        <f ca="1">'利用時間(シフト)'!K185</f>
        <v>#NAME?</v>
      </c>
      <c r="I184" s="246" t="e">
        <f ca="1">'利用時間(シフト)'!M185</f>
        <v>#NAME?</v>
      </c>
      <c r="J184" s="239" t="e">
        <f t="shared" ca="1" si="12"/>
        <v>#NAME?</v>
      </c>
      <c r="K184" s="238" t="e">
        <f t="shared" ca="1" si="13"/>
        <v>#NAME?</v>
      </c>
      <c r="L184" s="240" t="e">
        <f t="shared" ca="1" si="14"/>
        <v>#NAME?</v>
      </c>
      <c r="M184" s="20"/>
    </row>
    <row r="185" spans="2:13" x14ac:dyDescent="0.2">
      <c r="B185" s="226" t="e">
        <f ca="1">'利用時間(シフト)'!B186</f>
        <v>#NAME?</v>
      </c>
      <c r="C185" s="236" t="e">
        <f ca="1">'利用時間(シフト)'!C186</f>
        <v>#NAME?</v>
      </c>
      <c r="D185" s="236" t="e">
        <f ca="1">'利用時間(シフト)'!D186</f>
        <v>#NAME?</v>
      </c>
      <c r="E185" s="243" t="e">
        <f t="shared" ca="1" si="10"/>
        <v>#NAME?</v>
      </c>
      <c r="F185" s="244" t="e">
        <f t="shared" ca="1" si="11"/>
        <v>#NAME?</v>
      </c>
      <c r="G185" s="237" t="e">
        <f ca="1">'利用時間(シフト)'!L186</f>
        <v>#NAME?</v>
      </c>
      <c r="H185" s="238" t="e">
        <f ca="1">'利用時間(シフト)'!K186</f>
        <v>#NAME?</v>
      </c>
      <c r="I185" s="246" t="e">
        <f ca="1">'利用時間(シフト)'!M186</f>
        <v>#NAME?</v>
      </c>
      <c r="J185" s="239" t="e">
        <f t="shared" ca="1" si="12"/>
        <v>#NAME?</v>
      </c>
      <c r="K185" s="238" t="e">
        <f t="shared" ca="1" si="13"/>
        <v>#NAME?</v>
      </c>
      <c r="L185" s="240" t="e">
        <f t="shared" ca="1" si="14"/>
        <v>#NAME?</v>
      </c>
      <c r="M185" s="20"/>
    </row>
    <row r="186" spans="2:13" x14ac:dyDescent="0.2">
      <c r="B186" s="226" t="e">
        <f ca="1">'利用時間(シフト)'!B187</f>
        <v>#NAME?</v>
      </c>
      <c r="C186" s="236" t="e">
        <f ca="1">'利用時間(シフト)'!C187</f>
        <v>#NAME?</v>
      </c>
      <c r="D186" s="236" t="e">
        <f ca="1">'利用時間(シフト)'!D187</f>
        <v>#NAME?</v>
      </c>
      <c r="E186" s="243" t="e">
        <f t="shared" ca="1" si="10"/>
        <v>#NAME?</v>
      </c>
      <c r="F186" s="244" t="e">
        <f t="shared" ca="1" si="11"/>
        <v>#NAME?</v>
      </c>
      <c r="G186" s="237" t="e">
        <f ca="1">'利用時間(シフト)'!L187</f>
        <v>#NAME?</v>
      </c>
      <c r="H186" s="238" t="e">
        <f ca="1">'利用時間(シフト)'!K187</f>
        <v>#NAME?</v>
      </c>
      <c r="I186" s="246" t="e">
        <f ca="1">'利用時間(シフト)'!M187</f>
        <v>#NAME?</v>
      </c>
      <c r="J186" s="239" t="e">
        <f t="shared" ca="1" si="12"/>
        <v>#NAME?</v>
      </c>
      <c r="K186" s="238" t="e">
        <f t="shared" ca="1" si="13"/>
        <v>#NAME?</v>
      </c>
      <c r="L186" s="240" t="e">
        <f t="shared" ca="1" si="14"/>
        <v>#NAME?</v>
      </c>
      <c r="M186" s="20"/>
    </row>
    <row r="187" spans="2:13" x14ac:dyDescent="0.2">
      <c r="B187" s="226" t="e">
        <f ca="1">'利用時間(シフト)'!B188</f>
        <v>#NAME?</v>
      </c>
      <c r="C187" s="236" t="e">
        <f ca="1">'利用時間(シフト)'!C188</f>
        <v>#NAME?</v>
      </c>
      <c r="D187" s="236" t="e">
        <f ca="1">'利用時間(シフト)'!D188</f>
        <v>#NAME?</v>
      </c>
      <c r="E187" s="243" t="e">
        <f t="shared" ca="1" si="10"/>
        <v>#NAME?</v>
      </c>
      <c r="F187" s="244" t="e">
        <f t="shared" ca="1" si="11"/>
        <v>#NAME?</v>
      </c>
      <c r="G187" s="237" t="e">
        <f ca="1">'利用時間(シフト)'!L188</f>
        <v>#NAME?</v>
      </c>
      <c r="H187" s="238" t="e">
        <f ca="1">'利用時間(シフト)'!K188</f>
        <v>#NAME?</v>
      </c>
      <c r="I187" s="246" t="e">
        <f ca="1">'利用時間(シフト)'!M188</f>
        <v>#NAME?</v>
      </c>
      <c r="J187" s="239" t="e">
        <f t="shared" ca="1" si="12"/>
        <v>#NAME?</v>
      </c>
      <c r="K187" s="238" t="e">
        <f t="shared" ca="1" si="13"/>
        <v>#NAME?</v>
      </c>
      <c r="L187" s="240" t="e">
        <f t="shared" ca="1" si="14"/>
        <v>#NAME?</v>
      </c>
      <c r="M187" s="20"/>
    </row>
    <row r="188" spans="2:13" x14ac:dyDescent="0.2">
      <c r="B188" s="226" t="e">
        <f ca="1">'利用時間(シフト)'!B189</f>
        <v>#NAME?</v>
      </c>
      <c r="C188" s="236" t="e">
        <f ca="1">'利用時間(シフト)'!C189</f>
        <v>#NAME?</v>
      </c>
      <c r="D188" s="236" t="e">
        <f ca="1">'利用時間(シフト)'!D189</f>
        <v>#NAME?</v>
      </c>
      <c r="E188" s="243" t="e">
        <f t="shared" ca="1" si="10"/>
        <v>#NAME?</v>
      </c>
      <c r="F188" s="244" t="e">
        <f t="shared" ca="1" si="11"/>
        <v>#NAME?</v>
      </c>
      <c r="G188" s="237" t="e">
        <f ca="1">'利用時間(シフト)'!L189</f>
        <v>#NAME?</v>
      </c>
      <c r="H188" s="238" t="e">
        <f ca="1">'利用時間(シフト)'!K189</f>
        <v>#NAME?</v>
      </c>
      <c r="I188" s="246" t="e">
        <f ca="1">'利用時間(シフト)'!M189</f>
        <v>#NAME?</v>
      </c>
      <c r="J188" s="239" t="e">
        <f t="shared" ca="1" si="12"/>
        <v>#NAME?</v>
      </c>
      <c r="K188" s="238" t="e">
        <f t="shared" ca="1" si="13"/>
        <v>#NAME?</v>
      </c>
      <c r="L188" s="240" t="e">
        <f t="shared" ca="1" si="14"/>
        <v>#NAME?</v>
      </c>
      <c r="M188" s="20"/>
    </row>
    <row r="189" spans="2:13" x14ac:dyDescent="0.2">
      <c r="B189" s="226" t="e">
        <f ca="1">'利用時間(シフト)'!B190</f>
        <v>#NAME?</v>
      </c>
      <c r="C189" s="236" t="e">
        <f ca="1">'利用時間(シフト)'!C190</f>
        <v>#NAME?</v>
      </c>
      <c r="D189" s="236" t="e">
        <f ca="1">'利用時間(シフト)'!D190</f>
        <v>#NAME?</v>
      </c>
      <c r="E189" s="243" t="e">
        <f t="shared" ca="1" si="10"/>
        <v>#NAME?</v>
      </c>
      <c r="F189" s="244" t="e">
        <f t="shared" ca="1" si="11"/>
        <v>#NAME?</v>
      </c>
      <c r="G189" s="237" t="e">
        <f ca="1">'利用時間(シフト)'!L190</f>
        <v>#NAME?</v>
      </c>
      <c r="H189" s="238" t="e">
        <f ca="1">'利用時間(シフト)'!K190</f>
        <v>#NAME?</v>
      </c>
      <c r="I189" s="246" t="e">
        <f ca="1">'利用時間(シフト)'!M190</f>
        <v>#NAME?</v>
      </c>
      <c r="J189" s="239" t="e">
        <f t="shared" ca="1" si="12"/>
        <v>#NAME?</v>
      </c>
      <c r="K189" s="238" t="e">
        <f t="shared" ca="1" si="13"/>
        <v>#NAME?</v>
      </c>
      <c r="L189" s="240" t="e">
        <f t="shared" ca="1" si="14"/>
        <v>#NAME?</v>
      </c>
      <c r="M189" s="20"/>
    </row>
    <row r="190" spans="2:13" x14ac:dyDescent="0.2">
      <c r="B190" s="226" t="e">
        <f ca="1">'利用時間(シフト)'!B191</f>
        <v>#NAME?</v>
      </c>
      <c r="C190" s="236" t="e">
        <f ca="1">'利用時間(シフト)'!C191</f>
        <v>#NAME?</v>
      </c>
      <c r="D190" s="236" t="e">
        <f ca="1">'利用時間(シフト)'!D191</f>
        <v>#NAME?</v>
      </c>
      <c r="E190" s="243" t="e">
        <f t="shared" ca="1" si="10"/>
        <v>#NAME?</v>
      </c>
      <c r="F190" s="244" t="e">
        <f t="shared" ca="1" si="11"/>
        <v>#NAME?</v>
      </c>
      <c r="G190" s="237" t="e">
        <f ca="1">'利用時間(シフト)'!L191</f>
        <v>#NAME?</v>
      </c>
      <c r="H190" s="238" t="e">
        <f ca="1">'利用時間(シフト)'!K191</f>
        <v>#NAME?</v>
      </c>
      <c r="I190" s="246" t="e">
        <f ca="1">'利用時間(シフト)'!M191</f>
        <v>#NAME?</v>
      </c>
      <c r="J190" s="239" t="e">
        <f t="shared" ca="1" si="12"/>
        <v>#NAME?</v>
      </c>
      <c r="K190" s="238" t="e">
        <f t="shared" ca="1" si="13"/>
        <v>#NAME?</v>
      </c>
      <c r="L190" s="240" t="e">
        <f t="shared" ca="1" si="14"/>
        <v>#NAME?</v>
      </c>
    </row>
    <row r="191" spans="2:13" x14ac:dyDescent="0.2">
      <c r="B191" s="226" t="e">
        <f ca="1">'利用時間(シフト)'!B192</f>
        <v>#NAME?</v>
      </c>
      <c r="C191" s="236" t="e">
        <f ca="1">'利用時間(シフト)'!C192</f>
        <v>#NAME?</v>
      </c>
      <c r="D191" s="236" t="e">
        <f ca="1">'利用時間(シフト)'!D192</f>
        <v>#NAME?</v>
      </c>
      <c r="E191" s="243" t="e">
        <f t="shared" ca="1" si="10"/>
        <v>#NAME?</v>
      </c>
      <c r="F191" s="244" t="e">
        <f t="shared" ca="1" si="11"/>
        <v>#NAME?</v>
      </c>
      <c r="G191" s="237" t="e">
        <f ca="1">'利用時間(シフト)'!L192</f>
        <v>#NAME?</v>
      </c>
      <c r="H191" s="238" t="e">
        <f ca="1">'利用時間(シフト)'!K192</f>
        <v>#NAME?</v>
      </c>
      <c r="I191" s="246" t="e">
        <f ca="1">'利用時間(シフト)'!M192</f>
        <v>#NAME?</v>
      </c>
      <c r="J191" s="239" t="e">
        <f t="shared" ca="1" si="12"/>
        <v>#NAME?</v>
      </c>
      <c r="K191" s="238" t="e">
        <f t="shared" ca="1" si="13"/>
        <v>#NAME?</v>
      </c>
      <c r="L191" s="240" t="e">
        <f t="shared" ca="1" si="14"/>
        <v>#NAME?</v>
      </c>
    </row>
    <row r="192" spans="2:13" x14ac:dyDescent="0.2">
      <c r="B192" s="226" t="e">
        <f ca="1">'利用時間(シフト)'!B193</f>
        <v>#NAME?</v>
      </c>
      <c r="C192" s="236" t="e">
        <f ca="1">'利用時間(シフト)'!C193</f>
        <v>#NAME?</v>
      </c>
      <c r="D192" s="236" t="e">
        <f ca="1">'利用時間(シフト)'!D193</f>
        <v>#NAME?</v>
      </c>
      <c r="E192" s="243" t="e">
        <f t="shared" ca="1" si="10"/>
        <v>#NAME?</v>
      </c>
      <c r="F192" s="244" t="e">
        <f t="shared" ca="1" si="11"/>
        <v>#NAME?</v>
      </c>
      <c r="G192" s="237" t="e">
        <f ca="1">'利用時間(シフト)'!L193</f>
        <v>#NAME?</v>
      </c>
      <c r="H192" s="238" t="e">
        <f ca="1">'利用時間(シフト)'!K193</f>
        <v>#NAME?</v>
      </c>
      <c r="I192" s="246" t="e">
        <f ca="1">'利用時間(シフト)'!M193</f>
        <v>#NAME?</v>
      </c>
      <c r="J192" s="239" t="e">
        <f t="shared" ca="1" si="12"/>
        <v>#NAME?</v>
      </c>
      <c r="K192" s="238" t="e">
        <f t="shared" ca="1" si="13"/>
        <v>#NAME?</v>
      </c>
      <c r="L192" s="240" t="e">
        <f t="shared" ca="1" si="14"/>
        <v>#NAME?</v>
      </c>
    </row>
    <row r="193" spans="2:12" x14ac:dyDescent="0.2">
      <c r="B193" s="226" t="e">
        <f ca="1">'利用時間(シフト)'!B194</f>
        <v>#NAME?</v>
      </c>
      <c r="C193" s="236" t="e">
        <f ca="1">'利用時間(シフト)'!C194</f>
        <v>#NAME?</v>
      </c>
      <c r="D193" s="236" t="e">
        <f ca="1">'利用時間(シフト)'!D194</f>
        <v>#NAME?</v>
      </c>
      <c r="E193" s="243" t="e">
        <f t="shared" ca="1" si="10"/>
        <v>#NAME?</v>
      </c>
      <c r="F193" s="244" t="e">
        <f t="shared" ca="1" si="11"/>
        <v>#NAME?</v>
      </c>
      <c r="G193" s="237" t="e">
        <f ca="1">'利用時間(シフト)'!L194</f>
        <v>#NAME?</v>
      </c>
      <c r="H193" s="238" t="e">
        <f ca="1">'利用時間(シフト)'!K194</f>
        <v>#NAME?</v>
      </c>
      <c r="I193" s="246" t="e">
        <f ca="1">'利用時間(シフト)'!M194</f>
        <v>#NAME?</v>
      </c>
      <c r="J193" s="239" t="e">
        <f t="shared" ca="1" si="12"/>
        <v>#NAME?</v>
      </c>
      <c r="K193" s="238" t="e">
        <f t="shared" ca="1" si="13"/>
        <v>#NAME?</v>
      </c>
      <c r="L193" s="240" t="e">
        <f t="shared" ca="1" si="14"/>
        <v>#NAME?</v>
      </c>
    </row>
    <row r="194" spans="2:12" x14ac:dyDescent="0.2">
      <c r="B194" s="226" t="e">
        <f ca="1">'利用時間(シフト)'!B195</f>
        <v>#NAME?</v>
      </c>
      <c r="C194" s="236" t="e">
        <f ca="1">'利用時間(シフト)'!C195</f>
        <v>#NAME?</v>
      </c>
      <c r="D194" s="236" t="e">
        <f ca="1">'利用時間(シフト)'!D195</f>
        <v>#NAME?</v>
      </c>
      <c r="E194" s="243" t="e">
        <f t="shared" ca="1" si="10"/>
        <v>#NAME?</v>
      </c>
      <c r="F194" s="244" t="e">
        <f t="shared" ca="1" si="11"/>
        <v>#NAME?</v>
      </c>
      <c r="G194" s="237" t="e">
        <f ca="1">'利用時間(シフト)'!L195</f>
        <v>#NAME?</v>
      </c>
      <c r="H194" s="238" t="e">
        <f ca="1">'利用時間(シフト)'!K195</f>
        <v>#NAME?</v>
      </c>
      <c r="I194" s="246" t="e">
        <f ca="1">'利用時間(シフト)'!M195</f>
        <v>#NAME?</v>
      </c>
      <c r="J194" s="239" t="e">
        <f t="shared" ca="1" si="12"/>
        <v>#NAME?</v>
      </c>
      <c r="K194" s="238" t="e">
        <f t="shared" ca="1" si="13"/>
        <v>#NAME?</v>
      </c>
      <c r="L194" s="240" t="e">
        <f t="shared" ca="1" si="14"/>
        <v>#NAME?</v>
      </c>
    </row>
    <row r="195" spans="2:12" x14ac:dyDescent="0.2">
      <c r="B195" s="226" t="e">
        <f ca="1">'利用時間(シフト)'!B196</f>
        <v>#NAME?</v>
      </c>
      <c r="C195" s="236" t="e">
        <f ca="1">'利用時間(シフト)'!C196</f>
        <v>#NAME?</v>
      </c>
      <c r="D195" s="236" t="e">
        <f ca="1">'利用時間(シフト)'!D196</f>
        <v>#NAME?</v>
      </c>
      <c r="E195" s="243" t="e">
        <f t="shared" ca="1" si="10"/>
        <v>#NAME?</v>
      </c>
      <c r="F195" s="244" t="e">
        <f t="shared" ca="1" si="11"/>
        <v>#NAME?</v>
      </c>
      <c r="G195" s="237" t="e">
        <f ca="1">'利用時間(シフト)'!L196</f>
        <v>#NAME?</v>
      </c>
      <c r="H195" s="238" t="e">
        <f ca="1">'利用時間(シフト)'!K196</f>
        <v>#NAME?</v>
      </c>
      <c r="I195" s="246" t="e">
        <f ca="1">'利用時間(シフト)'!M196</f>
        <v>#NAME?</v>
      </c>
      <c r="J195" s="239" t="e">
        <f t="shared" ca="1" si="12"/>
        <v>#NAME?</v>
      </c>
      <c r="K195" s="238" t="e">
        <f t="shared" ca="1" si="13"/>
        <v>#NAME?</v>
      </c>
      <c r="L195" s="240" t="e">
        <f t="shared" ca="1" si="14"/>
        <v>#NAME?</v>
      </c>
    </row>
    <row r="196" spans="2:12" x14ac:dyDescent="0.2">
      <c r="B196" s="226" t="e">
        <f ca="1">'利用時間(シフト)'!B197</f>
        <v>#NAME?</v>
      </c>
      <c r="C196" s="236" t="e">
        <f ca="1">'利用時間(シフト)'!C197</f>
        <v>#NAME?</v>
      </c>
      <c r="D196" s="236" t="e">
        <f ca="1">'利用時間(シフト)'!D197</f>
        <v>#NAME?</v>
      </c>
      <c r="E196" s="243" t="e">
        <f t="shared" ca="1" si="10"/>
        <v>#NAME?</v>
      </c>
      <c r="F196" s="244" t="e">
        <f t="shared" ca="1" si="11"/>
        <v>#NAME?</v>
      </c>
      <c r="G196" s="237" t="e">
        <f ca="1">'利用時間(シフト)'!L197</f>
        <v>#NAME?</v>
      </c>
      <c r="H196" s="238" t="e">
        <f ca="1">'利用時間(シフト)'!K197</f>
        <v>#NAME?</v>
      </c>
      <c r="I196" s="246" t="e">
        <f ca="1">'利用時間(シフト)'!M197</f>
        <v>#NAME?</v>
      </c>
      <c r="J196" s="239" t="e">
        <f t="shared" ca="1" si="12"/>
        <v>#NAME?</v>
      </c>
      <c r="K196" s="238" t="e">
        <f t="shared" ca="1" si="13"/>
        <v>#NAME?</v>
      </c>
      <c r="L196" s="240" t="e">
        <f t="shared" ca="1" si="14"/>
        <v>#NAME?</v>
      </c>
    </row>
    <row r="197" spans="2:12" x14ac:dyDescent="0.2">
      <c r="B197" s="226" t="e">
        <f ca="1">'利用時間(シフト)'!B198</f>
        <v>#NAME?</v>
      </c>
      <c r="C197" s="236" t="e">
        <f ca="1">'利用時間(シフト)'!C198</f>
        <v>#NAME?</v>
      </c>
      <c r="D197" s="236" t="e">
        <f ca="1">'利用時間(シフト)'!D198</f>
        <v>#NAME?</v>
      </c>
      <c r="E197" s="243" t="e">
        <f t="shared" ca="1" si="10"/>
        <v>#NAME?</v>
      </c>
      <c r="F197" s="244" t="e">
        <f t="shared" ca="1" si="11"/>
        <v>#NAME?</v>
      </c>
      <c r="G197" s="237" t="e">
        <f ca="1">'利用時間(シフト)'!L198</f>
        <v>#NAME?</v>
      </c>
      <c r="H197" s="238" t="e">
        <f ca="1">'利用時間(シフト)'!K198</f>
        <v>#NAME?</v>
      </c>
      <c r="I197" s="246" t="e">
        <f ca="1">'利用時間(シフト)'!M198</f>
        <v>#NAME?</v>
      </c>
      <c r="J197" s="239" t="e">
        <f t="shared" ca="1" si="12"/>
        <v>#NAME?</v>
      </c>
      <c r="K197" s="238" t="e">
        <f t="shared" ca="1" si="13"/>
        <v>#NAME?</v>
      </c>
      <c r="L197" s="240" t="e">
        <f t="shared" ca="1" si="14"/>
        <v>#NAME?</v>
      </c>
    </row>
    <row r="198" spans="2:12" x14ac:dyDescent="0.2">
      <c r="B198" s="226" t="e">
        <f ca="1">'利用時間(シフト)'!B199</f>
        <v>#NAME?</v>
      </c>
      <c r="C198" s="236" t="e">
        <f ca="1">'利用時間(シフト)'!C199</f>
        <v>#NAME?</v>
      </c>
      <c r="D198" s="236" t="e">
        <f ca="1">'利用時間(シフト)'!D199</f>
        <v>#NAME?</v>
      </c>
      <c r="E198" s="243" t="e">
        <f t="shared" ca="1" si="10"/>
        <v>#NAME?</v>
      </c>
      <c r="F198" s="244" t="e">
        <f t="shared" ca="1" si="11"/>
        <v>#NAME?</v>
      </c>
      <c r="G198" s="237" t="e">
        <f ca="1">'利用時間(シフト)'!L199</f>
        <v>#NAME?</v>
      </c>
      <c r="H198" s="238" t="e">
        <f ca="1">'利用時間(シフト)'!K199</f>
        <v>#NAME?</v>
      </c>
      <c r="I198" s="246" t="e">
        <f ca="1">'利用時間(シフト)'!M199</f>
        <v>#NAME?</v>
      </c>
      <c r="J198" s="239" t="e">
        <f t="shared" ca="1" si="12"/>
        <v>#NAME?</v>
      </c>
      <c r="K198" s="238" t="e">
        <f t="shared" ca="1" si="13"/>
        <v>#NAME?</v>
      </c>
      <c r="L198" s="240" t="e">
        <f t="shared" ca="1" si="14"/>
        <v>#NAME?</v>
      </c>
    </row>
    <row r="199" spans="2:12" x14ac:dyDescent="0.2">
      <c r="B199" s="226" t="e">
        <f ca="1">'利用時間(シフト)'!B200</f>
        <v>#NAME?</v>
      </c>
      <c r="C199" s="236" t="e">
        <f ca="1">'利用時間(シフト)'!C200</f>
        <v>#NAME?</v>
      </c>
      <c r="D199" s="236" t="e">
        <f ca="1">'利用時間(シフト)'!D200</f>
        <v>#NAME?</v>
      </c>
      <c r="E199" s="243" t="e">
        <f t="shared" ca="1" si="10"/>
        <v>#NAME?</v>
      </c>
      <c r="F199" s="244" t="e">
        <f t="shared" ca="1" si="11"/>
        <v>#NAME?</v>
      </c>
      <c r="G199" s="237" t="e">
        <f ca="1">'利用時間(シフト)'!L200</f>
        <v>#NAME?</v>
      </c>
      <c r="H199" s="238" t="e">
        <f ca="1">'利用時間(シフト)'!K200</f>
        <v>#NAME?</v>
      </c>
      <c r="I199" s="246" t="e">
        <f ca="1">'利用時間(シフト)'!M200</f>
        <v>#NAME?</v>
      </c>
      <c r="J199" s="239" t="e">
        <f t="shared" ca="1" si="12"/>
        <v>#NAME?</v>
      </c>
      <c r="K199" s="238" t="e">
        <f t="shared" ca="1" si="13"/>
        <v>#NAME?</v>
      </c>
      <c r="L199" s="240" t="e">
        <f t="shared" ca="1" si="14"/>
        <v>#NAME?</v>
      </c>
    </row>
    <row r="200" spans="2:12" x14ac:dyDescent="0.2">
      <c r="B200" s="226" t="e">
        <f ca="1">'利用時間(シフト)'!B201</f>
        <v>#NAME?</v>
      </c>
      <c r="C200" s="236" t="e">
        <f ca="1">'利用時間(シフト)'!C201</f>
        <v>#NAME?</v>
      </c>
      <c r="D200" s="236" t="e">
        <f ca="1">'利用時間(シフト)'!D201</f>
        <v>#NAME?</v>
      </c>
      <c r="E200" s="243" t="e">
        <f t="shared" ref="E200:E220" ca="1" si="15">IF($C200="","",VLOOKUP($C200,運転条件判定,14,1))</f>
        <v>#NAME?</v>
      </c>
      <c r="F200" s="244" t="e">
        <f t="shared" ref="F200:F220" ca="1" si="16">IF($C200="","",VLOOKUP($C200,運転条件判定,16,1))</f>
        <v>#NAME?</v>
      </c>
      <c r="G200" s="237" t="e">
        <f ca="1">'利用時間(シフト)'!L201</f>
        <v>#NAME?</v>
      </c>
      <c r="H200" s="238" t="e">
        <f ca="1">'利用時間(シフト)'!K201</f>
        <v>#NAME?</v>
      </c>
      <c r="I200" s="246" t="e">
        <f ca="1">'利用時間(シフト)'!M201</f>
        <v>#NAME?</v>
      </c>
      <c r="J200" s="239" t="e">
        <f t="shared" ref="J200:J220" ca="1" si="17">IF($C200="","",VLOOKUP($C200,運転条件判定,12,1))</f>
        <v>#NAME?</v>
      </c>
      <c r="K200" s="238" t="e">
        <f t="shared" ref="K200:K220" ca="1" si="18">IF(C200="","",SUMIFS($H$8:$H$1000,$I$8:$I$1000,I200,$B$8:$B$1000,B200))</f>
        <v>#NAME?</v>
      </c>
      <c r="L200" s="240" t="e">
        <f t="shared" ref="L200:L220" ca="1" si="19">IF($C200="","",VLOOKUP($C200,運転条件判定,15,1))</f>
        <v>#NAME?</v>
      </c>
    </row>
    <row r="201" spans="2:12" x14ac:dyDescent="0.2">
      <c r="B201" s="226" t="e">
        <f ca="1">'利用時間(シフト)'!B202</f>
        <v>#NAME?</v>
      </c>
      <c r="C201" s="236" t="e">
        <f ca="1">'利用時間(シフト)'!C202</f>
        <v>#NAME?</v>
      </c>
      <c r="D201" s="236" t="e">
        <f ca="1">'利用時間(シフト)'!D202</f>
        <v>#NAME?</v>
      </c>
      <c r="E201" s="243" t="e">
        <f t="shared" ca="1" si="15"/>
        <v>#NAME?</v>
      </c>
      <c r="F201" s="244" t="e">
        <f t="shared" ca="1" si="16"/>
        <v>#NAME?</v>
      </c>
      <c r="G201" s="237" t="e">
        <f ca="1">'利用時間(シフト)'!L202</f>
        <v>#NAME?</v>
      </c>
      <c r="H201" s="238" t="e">
        <f ca="1">'利用時間(シフト)'!K202</f>
        <v>#NAME?</v>
      </c>
      <c r="I201" s="246" t="e">
        <f ca="1">'利用時間(シフト)'!M202</f>
        <v>#NAME?</v>
      </c>
      <c r="J201" s="239" t="e">
        <f t="shared" ca="1" si="17"/>
        <v>#NAME?</v>
      </c>
      <c r="K201" s="238" t="e">
        <f t="shared" ca="1" si="18"/>
        <v>#NAME?</v>
      </c>
      <c r="L201" s="240" t="e">
        <f t="shared" ca="1" si="19"/>
        <v>#NAME?</v>
      </c>
    </row>
    <row r="202" spans="2:12" x14ac:dyDescent="0.2">
      <c r="B202" s="226" t="e">
        <f ca="1">'利用時間(シフト)'!B203</f>
        <v>#NAME?</v>
      </c>
      <c r="C202" s="236" t="e">
        <f ca="1">'利用時間(シフト)'!C203</f>
        <v>#NAME?</v>
      </c>
      <c r="D202" s="236" t="e">
        <f ca="1">'利用時間(シフト)'!D203</f>
        <v>#NAME?</v>
      </c>
      <c r="E202" s="243" t="e">
        <f t="shared" ca="1" si="15"/>
        <v>#NAME?</v>
      </c>
      <c r="F202" s="244" t="e">
        <f t="shared" ca="1" si="16"/>
        <v>#NAME?</v>
      </c>
      <c r="G202" s="237" t="e">
        <f ca="1">'利用時間(シフト)'!L203</f>
        <v>#NAME?</v>
      </c>
      <c r="H202" s="238" t="e">
        <f ca="1">'利用時間(シフト)'!K203</f>
        <v>#NAME?</v>
      </c>
      <c r="I202" s="246" t="e">
        <f ca="1">'利用時間(シフト)'!M203</f>
        <v>#NAME?</v>
      </c>
      <c r="J202" s="239" t="e">
        <f t="shared" ca="1" si="17"/>
        <v>#NAME?</v>
      </c>
      <c r="K202" s="238" t="e">
        <f t="shared" ca="1" si="18"/>
        <v>#NAME?</v>
      </c>
      <c r="L202" s="240" t="e">
        <f t="shared" ca="1" si="19"/>
        <v>#NAME?</v>
      </c>
    </row>
    <row r="203" spans="2:12" x14ac:dyDescent="0.2">
      <c r="B203" s="226" t="e">
        <f ca="1">'利用時間(シフト)'!B204</f>
        <v>#NAME?</v>
      </c>
      <c r="C203" s="236" t="e">
        <f ca="1">'利用時間(シフト)'!C204</f>
        <v>#NAME?</v>
      </c>
      <c r="D203" s="236" t="e">
        <f ca="1">'利用時間(シフト)'!D204</f>
        <v>#NAME?</v>
      </c>
      <c r="E203" s="243" t="e">
        <f t="shared" ca="1" si="15"/>
        <v>#NAME?</v>
      </c>
      <c r="F203" s="244" t="e">
        <f t="shared" ca="1" si="16"/>
        <v>#NAME?</v>
      </c>
      <c r="G203" s="237" t="e">
        <f ca="1">'利用時間(シフト)'!L204</f>
        <v>#NAME?</v>
      </c>
      <c r="H203" s="238" t="e">
        <f ca="1">'利用時間(シフト)'!K204</f>
        <v>#NAME?</v>
      </c>
      <c r="I203" s="246" t="e">
        <f ca="1">'利用時間(シフト)'!M204</f>
        <v>#NAME?</v>
      </c>
      <c r="J203" s="239" t="e">
        <f t="shared" ca="1" si="17"/>
        <v>#NAME?</v>
      </c>
      <c r="K203" s="238" t="e">
        <f t="shared" ca="1" si="18"/>
        <v>#NAME?</v>
      </c>
      <c r="L203" s="240" t="e">
        <f t="shared" ca="1" si="19"/>
        <v>#NAME?</v>
      </c>
    </row>
    <row r="204" spans="2:12" x14ac:dyDescent="0.2">
      <c r="B204" s="226" t="e">
        <f ca="1">'利用時間(シフト)'!B205</f>
        <v>#NAME?</v>
      </c>
      <c r="C204" s="236" t="e">
        <f ca="1">'利用時間(シフト)'!C205</f>
        <v>#NAME?</v>
      </c>
      <c r="D204" s="236" t="e">
        <f ca="1">'利用時間(シフト)'!D205</f>
        <v>#NAME?</v>
      </c>
      <c r="E204" s="243" t="e">
        <f t="shared" ca="1" si="15"/>
        <v>#NAME?</v>
      </c>
      <c r="F204" s="244" t="e">
        <f t="shared" ca="1" si="16"/>
        <v>#NAME?</v>
      </c>
      <c r="G204" s="237" t="e">
        <f ca="1">'利用時間(シフト)'!L205</f>
        <v>#NAME?</v>
      </c>
      <c r="H204" s="238" t="e">
        <f ca="1">'利用時間(シフト)'!K205</f>
        <v>#NAME?</v>
      </c>
      <c r="I204" s="246" t="e">
        <f ca="1">'利用時間(シフト)'!M205</f>
        <v>#NAME?</v>
      </c>
      <c r="J204" s="239" t="e">
        <f t="shared" ca="1" si="17"/>
        <v>#NAME?</v>
      </c>
      <c r="K204" s="238" t="e">
        <f t="shared" ca="1" si="18"/>
        <v>#NAME?</v>
      </c>
      <c r="L204" s="240" t="e">
        <f t="shared" ca="1" si="19"/>
        <v>#NAME?</v>
      </c>
    </row>
    <row r="205" spans="2:12" x14ac:dyDescent="0.2">
      <c r="B205" s="226" t="e">
        <f ca="1">'利用時間(シフト)'!B206</f>
        <v>#NAME?</v>
      </c>
      <c r="C205" s="236" t="e">
        <f ca="1">'利用時間(シフト)'!C206</f>
        <v>#NAME?</v>
      </c>
      <c r="D205" s="236" t="e">
        <f ca="1">'利用時間(シフト)'!D206</f>
        <v>#NAME?</v>
      </c>
      <c r="E205" s="243" t="e">
        <f t="shared" ca="1" si="15"/>
        <v>#NAME?</v>
      </c>
      <c r="F205" s="244" t="e">
        <f t="shared" ca="1" si="16"/>
        <v>#NAME?</v>
      </c>
      <c r="G205" s="237" t="e">
        <f ca="1">'利用時間(シフト)'!L206</f>
        <v>#NAME?</v>
      </c>
      <c r="H205" s="238" t="e">
        <f ca="1">'利用時間(シフト)'!K206</f>
        <v>#NAME?</v>
      </c>
      <c r="I205" s="246" t="e">
        <f ca="1">'利用時間(シフト)'!M206</f>
        <v>#NAME?</v>
      </c>
      <c r="J205" s="239" t="e">
        <f t="shared" ca="1" si="17"/>
        <v>#NAME?</v>
      </c>
      <c r="K205" s="238" t="e">
        <f t="shared" ca="1" si="18"/>
        <v>#NAME?</v>
      </c>
      <c r="L205" s="240" t="e">
        <f t="shared" ca="1" si="19"/>
        <v>#NAME?</v>
      </c>
    </row>
    <row r="206" spans="2:12" x14ac:dyDescent="0.2">
      <c r="B206" s="226" t="e">
        <f ca="1">'利用時間(シフト)'!B207</f>
        <v>#NAME?</v>
      </c>
      <c r="C206" s="236" t="e">
        <f ca="1">'利用時間(シフト)'!C207</f>
        <v>#NAME?</v>
      </c>
      <c r="D206" s="236" t="e">
        <f ca="1">'利用時間(シフト)'!D207</f>
        <v>#NAME?</v>
      </c>
      <c r="E206" s="243" t="e">
        <f t="shared" ca="1" si="15"/>
        <v>#NAME?</v>
      </c>
      <c r="F206" s="244" t="e">
        <f t="shared" ca="1" si="16"/>
        <v>#NAME?</v>
      </c>
      <c r="G206" s="237" t="e">
        <f ca="1">'利用時間(シフト)'!L207</f>
        <v>#NAME?</v>
      </c>
      <c r="H206" s="238" t="e">
        <f ca="1">'利用時間(シフト)'!K207</f>
        <v>#NAME?</v>
      </c>
      <c r="I206" s="246" t="e">
        <f ca="1">'利用時間(シフト)'!M207</f>
        <v>#NAME?</v>
      </c>
      <c r="J206" s="239" t="e">
        <f t="shared" ca="1" si="17"/>
        <v>#NAME?</v>
      </c>
      <c r="K206" s="238" t="e">
        <f t="shared" ca="1" si="18"/>
        <v>#NAME?</v>
      </c>
      <c r="L206" s="240" t="e">
        <f t="shared" ca="1" si="19"/>
        <v>#NAME?</v>
      </c>
    </row>
    <row r="207" spans="2:12" x14ac:dyDescent="0.2">
      <c r="B207" s="226" t="e">
        <f ca="1">'利用時間(シフト)'!B208</f>
        <v>#NAME?</v>
      </c>
      <c r="C207" s="236" t="e">
        <f ca="1">'利用時間(シフト)'!C208</f>
        <v>#NAME?</v>
      </c>
      <c r="D207" s="236" t="e">
        <f ca="1">'利用時間(シフト)'!D208</f>
        <v>#NAME?</v>
      </c>
      <c r="E207" s="243" t="e">
        <f t="shared" ca="1" si="15"/>
        <v>#NAME?</v>
      </c>
      <c r="F207" s="244" t="e">
        <f t="shared" ca="1" si="16"/>
        <v>#NAME?</v>
      </c>
      <c r="G207" s="237" t="e">
        <f ca="1">'利用時間(シフト)'!L208</f>
        <v>#NAME?</v>
      </c>
      <c r="H207" s="238" t="e">
        <f ca="1">'利用時間(シフト)'!K208</f>
        <v>#NAME?</v>
      </c>
      <c r="I207" s="246" t="e">
        <f ca="1">'利用時間(シフト)'!M208</f>
        <v>#NAME?</v>
      </c>
      <c r="J207" s="239" t="e">
        <f t="shared" ca="1" si="17"/>
        <v>#NAME?</v>
      </c>
      <c r="K207" s="238" t="e">
        <f t="shared" ca="1" si="18"/>
        <v>#NAME?</v>
      </c>
      <c r="L207" s="240" t="e">
        <f t="shared" ca="1" si="19"/>
        <v>#NAME?</v>
      </c>
    </row>
    <row r="208" spans="2:12" x14ac:dyDescent="0.2">
      <c r="B208" s="226" t="e">
        <f ca="1">'利用時間(シフト)'!B209</f>
        <v>#NAME?</v>
      </c>
      <c r="C208" s="236" t="e">
        <f ca="1">'利用時間(シフト)'!C209</f>
        <v>#NAME?</v>
      </c>
      <c r="D208" s="236" t="e">
        <f ca="1">'利用時間(シフト)'!D209</f>
        <v>#NAME?</v>
      </c>
      <c r="E208" s="243" t="e">
        <f t="shared" ca="1" si="15"/>
        <v>#NAME?</v>
      </c>
      <c r="F208" s="244" t="e">
        <f t="shared" ca="1" si="16"/>
        <v>#NAME?</v>
      </c>
      <c r="G208" s="237" t="e">
        <f ca="1">'利用時間(シフト)'!L209</f>
        <v>#NAME?</v>
      </c>
      <c r="H208" s="238" t="e">
        <f ca="1">'利用時間(シフト)'!K209</f>
        <v>#NAME?</v>
      </c>
      <c r="I208" s="246" t="e">
        <f ca="1">'利用時間(シフト)'!M209</f>
        <v>#NAME?</v>
      </c>
      <c r="J208" s="239" t="e">
        <f t="shared" ca="1" si="17"/>
        <v>#NAME?</v>
      </c>
      <c r="K208" s="238" t="e">
        <f t="shared" ca="1" si="18"/>
        <v>#NAME?</v>
      </c>
      <c r="L208" s="240" t="e">
        <f t="shared" ca="1" si="19"/>
        <v>#NAME?</v>
      </c>
    </row>
    <row r="209" spans="2:12" x14ac:dyDescent="0.2">
      <c r="B209" s="226" t="e">
        <f ca="1">'利用時間(シフト)'!B210</f>
        <v>#NAME?</v>
      </c>
      <c r="C209" s="236" t="e">
        <f ca="1">'利用時間(シフト)'!C210</f>
        <v>#NAME?</v>
      </c>
      <c r="D209" s="236" t="e">
        <f ca="1">'利用時間(シフト)'!D210</f>
        <v>#NAME?</v>
      </c>
      <c r="E209" s="243" t="e">
        <f t="shared" ca="1" si="15"/>
        <v>#NAME?</v>
      </c>
      <c r="F209" s="244" t="e">
        <f t="shared" ca="1" si="16"/>
        <v>#NAME?</v>
      </c>
      <c r="G209" s="237" t="e">
        <f ca="1">'利用時間(シフト)'!L210</f>
        <v>#NAME?</v>
      </c>
      <c r="H209" s="238" t="e">
        <f ca="1">'利用時間(シフト)'!K210</f>
        <v>#NAME?</v>
      </c>
      <c r="I209" s="246" t="e">
        <f ca="1">'利用時間(シフト)'!M210</f>
        <v>#NAME?</v>
      </c>
      <c r="J209" s="239" t="e">
        <f t="shared" ca="1" si="17"/>
        <v>#NAME?</v>
      </c>
      <c r="K209" s="238" t="e">
        <f t="shared" ca="1" si="18"/>
        <v>#NAME?</v>
      </c>
      <c r="L209" s="240" t="e">
        <f t="shared" ca="1" si="19"/>
        <v>#NAME?</v>
      </c>
    </row>
    <row r="210" spans="2:12" x14ac:dyDescent="0.2">
      <c r="B210" s="226" t="e">
        <f ca="1">'利用時間(シフト)'!B211</f>
        <v>#NAME?</v>
      </c>
      <c r="C210" s="236" t="e">
        <f ca="1">'利用時間(シフト)'!C211</f>
        <v>#NAME?</v>
      </c>
      <c r="D210" s="236" t="e">
        <f ca="1">'利用時間(シフト)'!D211</f>
        <v>#NAME?</v>
      </c>
      <c r="E210" s="243" t="e">
        <f t="shared" ca="1" si="15"/>
        <v>#NAME?</v>
      </c>
      <c r="F210" s="244" t="e">
        <f t="shared" ca="1" si="16"/>
        <v>#NAME?</v>
      </c>
      <c r="G210" s="237" t="e">
        <f ca="1">'利用時間(シフト)'!L211</f>
        <v>#NAME?</v>
      </c>
      <c r="H210" s="238" t="e">
        <f ca="1">'利用時間(シフト)'!K211</f>
        <v>#NAME?</v>
      </c>
      <c r="I210" s="246" t="e">
        <f ca="1">'利用時間(シフト)'!M211</f>
        <v>#NAME?</v>
      </c>
      <c r="J210" s="239" t="e">
        <f t="shared" ca="1" si="17"/>
        <v>#NAME?</v>
      </c>
      <c r="K210" s="238" t="e">
        <f t="shared" ca="1" si="18"/>
        <v>#NAME?</v>
      </c>
      <c r="L210" s="240" t="e">
        <f t="shared" ca="1" si="19"/>
        <v>#NAME?</v>
      </c>
    </row>
    <row r="211" spans="2:12" x14ac:dyDescent="0.2">
      <c r="B211" s="226" t="e">
        <f ca="1">'利用時間(シフト)'!B212</f>
        <v>#NAME?</v>
      </c>
      <c r="C211" s="236" t="e">
        <f ca="1">'利用時間(シフト)'!C212</f>
        <v>#NAME?</v>
      </c>
      <c r="D211" s="236" t="e">
        <f ca="1">'利用時間(シフト)'!D212</f>
        <v>#NAME?</v>
      </c>
      <c r="E211" s="243" t="e">
        <f t="shared" ca="1" si="15"/>
        <v>#NAME?</v>
      </c>
      <c r="F211" s="244" t="e">
        <f t="shared" ca="1" si="16"/>
        <v>#NAME?</v>
      </c>
      <c r="G211" s="237" t="e">
        <f ca="1">'利用時間(シフト)'!L212</f>
        <v>#NAME?</v>
      </c>
      <c r="H211" s="238" t="e">
        <f ca="1">'利用時間(シフト)'!K212</f>
        <v>#NAME?</v>
      </c>
      <c r="I211" s="246" t="e">
        <f ca="1">'利用時間(シフト)'!M212</f>
        <v>#NAME?</v>
      </c>
      <c r="J211" s="239" t="e">
        <f t="shared" ca="1" si="17"/>
        <v>#NAME?</v>
      </c>
      <c r="K211" s="238" t="e">
        <f t="shared" ca="1" si="18"/>
        <v>#NAME?</v>
      </c>
      <c r="L211" s="240" t="e">
        <f t="shared" ca="1" si="19"/>
        <v>#NAME?</v>
      </c>
    </row>
    <row r="212" spans="2:12" x14ac:dyDescent="0.2">
      <c r="B212" s="226" t="e">
        <f ca="1">'利用時間(シフト)'!B213</f>
        <v>#NAME?</v>
      </c>
      <c r="C212" s="236" t="e">
        <f ca="1">'利用時間(シフト)'!C213</f>
        <v>#NAME?</v>
      </c>
      <c r="D212" s="236" t="e">
        <f ca="1">'利用時間(シフト)'!D213</f>
        <v>#NAME?</v>
      </c>
      <c r="E212" s="243" t="e">
        <f t="shared" ca="1" si="15"/>
        <v>#NAME?</v>
      </c>
      <c r="F212" s="244" t="e">
        <f t="shared" ca="1" si="16"/>
        <v>#NAME?</v>
      </c>
      <c r="G212" s="237" t="e">
        <f ca="1">'利用時間(シフト)'!L213</f>
        <v>#NAME?</v>
      </c>
      <c r="H212" s="238" t="e">
        <f ca="1">'利用時間(シフト)'!K213</f>
        <v>#NAME?</v>
      </c>
      <c r="I212" s="246" t="e">
        <f ca="1">'利用時間(シフト)'!M213</f>
        <v>#NAME?</v>
      </c>
      <c r="J212" s="239" t="e">
        <f t="shared" ca="1" si="17"/>
        <v>#NAME?</v>
      </c>
      <c r="K212" s="238" t="e">
        <f t="shared" ca="1" si="18"/>
        <v>#NAME?</v>
      </c>
      <c r="L212" s="240" t="e">
        <f t="shared" ca="1" si="19"/>
        <v>#NAME?</v>
      </c>
    </row>
    <row r="213" spans="2:12" x14ac:dyDescent="0.2">
      <c r="B213" s="226" t="e">
        <f ca="1">'利用時間(シフト)'!B214</f>
        <v>#NAME?</v>
      </c>
      <c r="C213" s="236" t="e">
        <f ca="1">'利用時間(シフト)'!C214</f>
        <v>#NAME?</v>
      </c>
      <c r="D213" s="236" t="e">
        <f ca="1">'利用時間(シフト)'!D214</f>
        <v>#NAME?</v>
      </c>
      <c r="E213" s="243" t="e">
        <f t="shared" ca="1" si="15"/>
        <v>#NAME?</v>
      </c>
      <c r="F213" s="244" t="e">
        <f t="shared" ca="1" si="16"/>
        <v>#NAME?</v>
      </c>
      <c r="G213" s="237" t="e">
        <f ca="1">'利用時間(シフト)'!L214</f>
        <v>#NAME?</v>
      </c>
      <c r="H213" s="238" t="e">
        <f ca="1">'利用時間(シフト)'!K214</f>
        <v>#NAME?</v>
      </c>
      <c r="I213" s="246" t="e">
        <f ca="1">'利用時間(シフト)'!M214</f>
        <v>#NAME?</v>
      </c>
      <c r="J213" s="239" t="e">
        <f t="shared" ca="1" si="17"/>
        <v>#NAME?</v>
      </c>
      <c r="K213" s="238" t="e">
        <f t="shared" ca="1" si="18"/>
        <v>#NAME?</v>
      </c>
      <c r="L213" s="240" t="e">
        <f t="shared" ca="1" si="19"/>
        <v>#NAME?</v>
      </c>
    </row>
    <row r="214" spans="2:12" x14ac:dyDescent="0.2">
      <c r="B214" s="226" t="e">
        <f ca="1">'利用時間(シフト)'!B215</f>
        <v>#NAME?</v>
      </c>
      <c r="C214" s="236" t="e">
        <f ca="1">'利用時間(シフト)'!C215</f>
        <v>#NAME?</v>
      </c>
      <c r="D214" s="236" t="e">
        <f ca="1">'利用時間(シフト)'!D215</f>
        <v>#NAME?</v>
      </c>
      <c r="E214" s="243" t="e">
        <f t="shared" ca="1" si="15"/>
        <v>#NAME?</v>
      </c>
      <c r="F214" s="244" t="e">
        <f t="shared" ca="1" si="16"/>
        <v>#NAME?</v>
      </c>
      <c r="G214" s="237" t="e">
        <f ca="1">'利用時間(シフト)'!L215</f>
        <v>#NAME?</v>
      </c>
      <c r="H214" s="238" t="e">
        <f ca="1">'利用時間(シフト)'!K215</f>
        <v>#NAME?</v>
      </c>
      <c r="I214" s="246" t="e">
        <f ca="1">'利用時間(シフト)'!M215</f>
        <v>#NAME?</v>
      </c>
      <c r="J214" s="239" t="e">
        <f t="shared" ca="1" si="17"/>
        <v>#NAME?</v>
      </c>
      <c r="K214" s="238" t="e">
        <f t="shared" ca="1" si="18"/>
        <v>#NAME?</v>
      </c>
      <c r="L214" s="240" t="e">
        <f t="shared" ca="1" si="19"/>
        <v>#NAME?</v>
      </c>
    </row>
    <row r="215" spans="2:12" x14ac:dyDescent="0.2">
      <c r="B215" s="226" t="e">
        <f ca="1">'利用時間(シフト)'!B216</f>
        <v>#NAME?</v>
      </c>
      <c r="C215" s="236" t="e">
        <f ca="1">'利用時間(シフト)'!C216</f>
        <v>#NAME?</v>
      </c>
      <c r="D215" s="236" t="e">
        <f ca="1">'利用時間(シフト)'!D216</f>
        <v>#NAME?</v>
      </c>
      <c r="E215" s="243" t="e">
        <f t="shared" ca="1" si="15"/>
        <v>#NAME?</v>
      </c>
      <c r="F215" s="244" t="e">
        <f t="shared" ca="1" si="16"/>
        <v>#NAME?</v>
      </c>
      <c r="G215" s="237" t="e">
        <f ca="1">'利用時間(シフト)'!L216</f>
        <v>#NAME?</v>
      </c>
      <c r="H215" s="238" t="e">
        <f ca="1">'利用時間(シフト)'!K216</f>
        <v>#NAME?</v>
      </c>
      <c r="I215" s="246" t="e">
        <f ca="1">'利用時間(シフト)'!M216</f>
        <v>#NAME?</v>
      </c>
      <c r="J215" s="239" t="e">
        <f t="shared" ca="1" si="17"/>
        <v>#NAME?</v>
      </c>
      <c r="K215" s="238" t="e">
        <f t="shared" ca="1" si="18"/>
        <v>#NAME?</v>
      </c>
      <c r="L215" s="240" t="e">
        <f t="shared" ca="1" si="19"/>
        <v>#NAME?</v>
      </c>
    </row>
    <row r="216" spans="2:12" x14ac:dyDescent="0.2">
      <c r="B216" s="226" t="e">
        <f ca="1">'利用時間(シフト)'!B217</f>
        <v>#NAME?</v>
      </c>
      <c r="C216" s="236" t="e">
        <f ca="1">'利用時間(シフト)'!C217</f>
        <v>#NAME?</v>
      </c>
      <c r="D216" s="236" t="e">
        <f ca="1">'利用時間(シフト)'!D217</f>
        <v>#NAME?</v>
      </c>
      <c r="E216" s="243" t="e">
        <f t="shared" ca="1" si="15"/>
        <v>#NAME?</v>
      </c>
      <c r="F216" s="244" t="e">
        <f t="shared" ca="1" si="16"/>
        <v>#NAME?</v>
      </c>
      <c r="G216" s="237" t="e">
        <f ca="1">'利用時間(シフト)'!L217</f>
        <v>#NAME?</v>
      </c>
      <c r="H216" s="238" t="e">
        <f ca="1">'利用時間(シフト)'!K217</f>
        <v>#NAME?</v>
      </c>
      <c r="I216" s="246" t="e">
        <f ca="1">'利用時間(シフト)'!M217</f>
        <v>#NAME?</v>
      </c>
      <c r="J216" s="239" t="e">
        <f t="shared" ca="1" si="17"/>
        <v>#NAME?</v>
      </c>
      <c r="K216" s="238" t="e">
        <f t="shared" ca="1" si="18"/>
        <v>#NAME?</v>
      </c>
      <c r="L216" s="240" t="e">
        <f t="shared" ca="1" si="19"/>
        <v>#NAME?</v>
      </c>
    </row>
    <row r="217" spans="2:12" x14ac:dyDescent="0.2">
      <c r="B217" s="226" t="e">
        <f ca="1">'利用時間(シフト)'!B218</f>
        <v>#NAME?</v>
      </c>
      <c r="C217" s="236" t="e">
        <f ca="1">'利用時間(シフト)'!C218</f>
        <v>#NAME?</v>
      </c>
      <c r="D217" s="236" t="e">
        <f ca="1">'利用時間(シフト)'!D218</f>
        <v>#NAME?</v>
      </c>
      <c r="E217" s="243" t="e">
        <f t="shared" ca="1" si="15"/>
        <v>#NAME?</v>
      </c>
      <c r="F217" s="244" t="e">
        <f t="shared" ca="1" si="16"/>
        <v>#NAME?</v>
      </c>
      <c r="G217" s="237" t="e">
        <f ca="1">'利用時間(シフト)'!L218</f>
        <v>#NAME?</v>
      </c>
      <c r="H217" s="238" t="e">
        <f ca="1">'利用時間(シフト)'!K218</f>
        <v>#NAME?</v>
      </c>
      <c r="I217" s="246" t="e">
        <f ca="1">'利用時間(シフト)'!M218</f>
        <v>#NAME?</v>
      </c>
      <c r="J217" s="239" t="e">
        <f t="shared" ca="1" si="17"/>
        <v>#NAME?</v>
      </c>
      <c r="K217" s="238" t="e">
        <f t="shared" ca="1" si="18"/>
        <v>#NAME?</v>
      </c>
      <c r="L217" s="240" t="e">
        <f t="shared" ca="1" si="19"/>
        <v>#NAME?</v>
      </c>
    </row>
    <row r="218" spans="2:12" x14ac:dyDescent="0.2">
      <c r="B218" s="226" t="e">
        <f ca="1">'利用時間(シフト)'!B219</f>
        <v>#NAME?</v>
      </c>
      <c r="C218" s="236" t="e">
        <f ca="1">'利用時間(シフト)'!C219</f>
        <v>#NAME?</v>
      </c>
      <c r="D218" s="236" t="e">
        <f ca="1">'利用時間(シフト)'!D219</f>
        <v>#NAME?</v>
      </c>
      <c r="E218" s="243" t="e">
        <f t="shared" ca="1" si="15"/>
        <v>#NAME?</v>
      </c>
      <c r="F218" s="244" t="e">
        <f t="shared" ca="1" si="16"/>
        <v>#NAME?</v>
      </c>
      <c r="G218" s="237" t="e">
        <f ca="1">'利用時間(シフト)'!L219</f>
        <v>#NAME?</v>
      </c>
      <c r="H218" s="238" t="e">
        <f ca="1">'利用時間(シフト)'!K219</f>
        <v>#NAME?</v>
      </c>
      <c r="I218" s="246" t="e">
        <f ca="1">'利用時間(シフト)'!M219</f>
        <v>#NAME?</v>
      </c>
      <c r="J218" s="239" t="e">
        <f t="shared" ca="1" si="17"/>
        <v>#NAME?</v>
      </c>
      <c r="K218" s="238" t="e">
        <f t="shared" ca="1" si="18"/>
        <v>#NAME?</v>
      </c>
      <c r="L218" s="240" t="e">
        <f t="shared" ca="1" si="19"/>
        <v>#NAME?</v>
      </c>
    </row>
    <row r="219" spans="2:12" x14ac:dyDescent="0.2">
      <c r="B219" s="226" t="e">
        <f ca="1">'利用時間(シフト)'!B220</f>
        <v>#NAME?</v>
      </c>
      <c r="C219" s="236" t="e">
        <f ca="1">'利用時間(シフト)'!C220</f>
        <v>#NAME?</v>
      </c>
      <c r="D219" s="236" t="e">
        <f ca="1">'利用時間(シフト)'!D220</f>
        <v>#NAME?</v>
      </c>
      <c r="E219" s="243" t="e">
        <f t="shared" ca="1" si="15"/>
        <v>#NAME?</v>
      </c>
      <c r="F219" s="244" t="e">
        <f t="shared" ca="1" si="16"/>
        <v>#NAME?</v>
      </c>
      <c r="G219" s="237" t="e">
        <f ca="1">'利用時間(シフト)'!L220</f>
        <v>#NAME?</v>
      </c>
      <c r="H219" s="238" t="e">
        <f ca="1">'利用時間(シフト)'!K220</f>
        <v>#NAME?</v>
      </c>
      <c r="I219" s="246" t="e">
        <f ca="1">'利用時間(シフト)'!M220</f>
        <v>#NAME?</v>
      </c>
      <c r="J219" s="239" t="e">
        <f t="shared" ca="1" si="17"/>
        <v>#NAME?</v>
      </c>
      <c r="K219" s="238" t="e">
        <f t="shared" ca="1" si="18"/>
        <v>#NAME?</v>
      </c>
      <c r="L219" s="240" t="e">
        <f t="shared" ca="1" si="19"/>
        <v>#NAME?</v>
      </c>
    </row>
    <row r="220" spans="2:12" x14ac:dyDescent="0.2">
      <c r="B220" s="226" t="e">
        <f ca="1">'利用時間(シフト)'!B221</f>
        <v>#NAME?</v>
      </c>
      <c r="C220" s="236" t="e">
        <f ca="1">'利用時間(シフト)'!C221</f>
        <v>#NAME?</v>
      </c>
      <c r="D220" s="236" t="e">
        <f ca="1">'利用時間(シフト)'!D221</f>
        <v>#NAME?</v>
      </c>
      <c r="E220" s="243" t="e">
        <f t="shared" ca="1" si="15"/>
        <v>#NAME?</v>
      </c>
      <c r="F220" s="244" t="e">
        <f t="shared" ca="1" si="16"/>
        <v>#NAME?</v>
      </c>
      <c r="G220" s="237" t="e">
        <f ca="1">'利用時間(シフト)'!L221</f>
        <v>#NAME?</v>
      </c>
      <c r="H220" s="250" t="e">
        <f ca="1">'利用時間(シフト)'!K221</f>
        <v>#NAME?</v>
      </c>
      <c r="I220" s="246" t="e">
        <f ca="1">'利用時間(シフト)'!M221</f>
        <v>#NAME?</v>
      </c>
      <c r="J220" s="239" t="e">
        <f t="shared" ca="1" si="17"/>
        <v>#NAME?</v>
      </c>
      <c r="K220" s="250" t="e">
        <f t="shared" ca="1" si="18"/>
        <v>#NAME?</v>
      </c>
      <c r="L220" s="240" t="e">
        <f t="shared" ca="1" si="19"/>
        <v>#NAME?</v>
      </c>
    </row>
  </sheetData>
  <mergeCells count="6">
    <mergeCell ref="K6:K7"/>
    <mergeCell ref="B6:B7"/>
    <mergeCell ref="C6:D7"/>
    <mergeCell ref="I6:I7"/>
    <mergeCell ref="J6:J7"/>
    <mergeCell ref="H6:H7"/>
  </mergeCells>
  <phoneticPr fontId="1"/>
  <conditionalFormatting sqref="J191:J220 J8:J121">
    <cfRule type="containsBlanks" dxfId="96" priority="3">
      <formula>LEN(TRIM(J8))=0</formula>
    </cfRule>
  </conditionalFormatting>
  <conditionalFormatting sqref="J127:J185">
    <cfRule type="containsBlanks" dxfId="95" priority="4">
      <formula>LEN(TRIM(J127))=0</formula>
    </cfRule>
  </conditionalFormatting>
  <conditionalFormatting sqref="J122:J126">
    <cfRule type="containsBlanks" dxfId="94" priority="2">
      <formula>LEN(TRIM(J122))=0</formula>
    </cfRule>
  </conditionalFormatting>
  <conditionalFormatting sqref="J186:J190">
    <cfRule type="containsBlanks" dxfId="93" priority="1">
      <formula>LEN(TRIM(J186))=0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0F42C-4F34-44FB-B91D-910C20A1ECC9}">
  <sheetPr codeName="Sheet12"/>
  <dimension ref="B2:I127"/>
  <sheetViews>
    <sheetView zoomScale="85" zoomScaleNormal="85" workbookViewId="0">
      <pane ySplit="7" topLeftCell="A103" activePane="bottomLeft" state="frozen"/>
      <selection pane="bottomLeft" activeCell="F4" sqref="F4"/>
    </sheetView>
  </sheetViews>
  <sheetFormatPr defaultColWidth="9" defaultRowHeight="13" x14ac:dyDescent="0.2"/>
  <cols>
    <col min="2" max="2" width="9.26953125" style="16" bestFit="1" customWidth="1"/>
    <col min="3" max="4" width="17.08984375" bestFit="1" customWidth="1"/>
    <col min="5" max="6" width="9" style="16"/>
    <col min="9" max="9" width="16.453125" style="16" bestFit="1" customWidth="1"/>
  </cols>
  <sheetData>
    <row r="2" spans="2:9" ht="19" x14ac:dyDescent="0.2">
      <c r="B2" s="247" t="s">
        <v>196</v>
      </c>
      <c r="C2" s="25"/>
    </row>
    <row r="6" spans="2:9" ht="13.4" customHeight="1" x14ac:dyDescent="0.2">
      <c r="B6" s="321" t="s">
        <v>55</v>
      </c>
      <c r="C6" s="322" t="s">
        <v>197</v>
      </c>
      <c r="D6" s="322"/>
      <c r="E6" s="227" t="s">
        <v>34</v>
      </c>
      <c r="F6" s="228" t="s">
        <v>198</v>
      </c>
      <c r="G6" s="229" t="s">
        <v>199</v>
      </c>
      <c r="H6" s="319" t="s">
        <v>200</v>
      </c>
      <c r="I6" s="321" t="s">
        <v>201</v>
      </c>
    </row>
    <row r="7" spans="2:9" x14ac:dyDescent="0.2">
      <c r="B7" s="321"/>
      <c r="C7" s="322"/>
      <c r="D7" s="322"/>
      <c r="E7" s="227" t="s">
        <v>202</v>
      </c>
      <c r="F7" s="228" t="s">
        <v>203</v>
      </c>
      <c r="G7" s="229" t="s">
        <v>204</v>
      </c>
      <c r="H7" s="320"/>
      <c r="I7" s="321"/>
    </row>
    <row r="8" spans="2:9" x14ac:dyDescent="0.2">
      <c r="B8" s="325" t="s">
        <v>239</v>
      </c>
      <c r="C8" s="231">
        <v>45398.916666666664</v>
      </c>
      <c r="D8" s="231">
        <v>45399.416666666664</v>
      </c>
      <c r="E8" s="328">
        <v>7.976</v>
      </c>
      <c r="F8" s="331">
        <v>15</v>
      </c>
      <c r="G8" s="232">
        <v>6.25E-2</v>
      </c>
      <c r="H8" s="233">
        <v>7</v>
      </c>
      <c r="I8" s="334" t="s">
        <v>241</v>
      </c>
    </row>
    <row r="9" spans="2:9" x14ac:dyDescent="0.2">
      <c r="B9" s="326"/>
      <c r="C9" s="236">
        <v>45399.416666666664</v>
      </c>
      <c r="D9" s="236">
        <v>45399.916666666664</v>
      </c>
      <c r="E9" s="329"/>
      <c r="F9" s="332"/>
      <c r="G9" s="237">
        <v>4.1666666666666671E-2</v>
      </c>
      <c r="H9" s="238">
        <v>11</v>
      </c>
      <c r="I9" s="335"/>
    </row>
    <row r="10" spans="2:9" x14ac:dyDescent="0.2">
      <c r="B10" s="326"/>
      <c r="C10" s="236">
        <v>45399.916666666664</v>
      </c>
      <c r="D10" s="236">
        <v>45400.416666666664</v>
      </c>
      <c r="E10" s="329"/>
      <c r="F10" s="332"/>
      <c r="G10" s="237">
        <v>4.1666666666666671E-2</v>
      </c>
      <c r="H10" s="238">
        <v>11</v>
      </c>
      <c r="I10" s="335"/>
    </row>
    <row r="11" spans="2:9" ht="13.5" thickBot="1" x14ac:dyDescent="0.25">
      <c r="B11" s="326"/>
      <c r="C11" s="236">
        <v>45400.416666666664</v>
      </c>
      <c r="D11" s="236">
        <v>45400.916666666664</v>
      </c>
      <c r="E11" s="330"/>
      <c r="F11" s="333"/>
      <c r="G11" s="237">
        <v>2.777777777777778E-2</v>
      </c>
      <c r="H11" s="238">
        <v>17</v>
      </c>
      <c r="I11" s="335"/>
    </row>
    <row r="12" spans="2:9" ht="14" thickTop="1" thickBot="1" x14ac:dyDescent="0.25">
      <c r="B12" s="326"/>
      <c r="C12" s="337"/>
      <c r="D12" s="338"/>
      <c r="E12" s="338"/>
      <c r="F12" s="339"/>
      <c r="G12" s="267">
        <v>4.2361111111111113E-2</v>
      </c>
      <c r="H12" s="268">
        <v>46</v>
      </c>
      <c r="I12" s="336"/>
    </row>
    <row r="13" spans="2:9" ht="13.5" thickTop="1" x14ac:dyDescent="0.2">
      <c r="B13" s="326"/>
      <c r="C13" s="236">
        <v>45403.916666666664</v>
      </c>
      <c r="D13" s="236">
        <v>45404.416666666664</v>
      </c>
      <c r="E13" s="328">
        <v>7.976</v>
      </c>
      <c r="F13" s="331">
        <v>10</v>
      </c>
      <c r="G13" s="237">
        <v>4.1666666666666671E-2</v>
      </c>
      <c r="H13" s="238">
        <v>11</v>
      </c>
      <c r="I13" s="334" t="s">
        <v>242</v>
      </c>
    </row>
    <row r="14" spans="2:9" x14ac:dyDescent="0.2">
      <c r="B14" s="326"/>
      <c r="C14" s="236">
        <v>45404.416666666664</v>
      </c>
      <c r="D14" s="236">
        <v>45404.916666666664</v>
      </c>
      <c r="E14" s="329"/>
      <c r="F14" s="332"/>
      <c r="G14" s="237">
        <v>2.2916666666666669E-2</v>
      </c>
      <c r="H14" s="238">
        <v>21</v>
      </c>
      <c r="I14" s="335"/>
    </row>
    <row r="15" spans="2:9" x14ac:dyDescent="0.2">
      <c r="B15" s="326"/>
      <c r="C15" s="236">
        <v>45404.916666666664</v>
      </c>
      <c r="D15" s="236">
        <v>45405.416666666664</v>
      </c>
      <c r="E15" s="329"/>
      <c r="F15" s="332"/>
      <c r="G15" s="237">
        <v>4.5138888888888888E-2</v>
      </c>
      <c r="H15" s="238">
        <v>10</v>
      </c>
      <c r="I15" s="335"/>
    </row>
    <row r="16" spans="2:9" x14ac:dyDescent="0.2">
      <c r="B16" s="326"/>
      <c r="C16" s="236">
        <v>45405.416666666664</v>
      </c>
      <c r="D16" s="236">
        <v>45405.916666666664</v>
      </c>
      <c r="E16" s="329"/>
      <c r="F16" s="332"/>
      <c r="G16" s="237">
        <v>2.6388888888888889E-2</v>
      </c>
      <c r="H16" s="238">
        <v>18</v>
      </c>
      <c r="I16" s="335"/>
    </row>
    <row r="17" spans="2:9" ht="13.5" thickBot="1" x14ac:dyDescent="0.25">
      <c r="B17" s="326"/>
      <c r="C17" s="236">
        <v>45405.916666666664</v>
      </c>
      <c r="D17" s="236">
        <v>45406.416666666664</v>
      </c>
      <c r="E17" s="330"/>
      <c r="F17" s="333"/>
      <c r="G17" s="237">
        <v>3.5416666666666666E-2</v>
      </c>
      <c r="H17" s="238">
        <v>13</v>
      </c>
      <c r="I17" s="335"/>
    </row>
    <row r="18" spans="2:9" ht="14" thickTop="1" thickBot="1" x14ac:dyDescent="0.25">
      <c r="B18" s="327"/>
      <c r="C18" s="337"/>
      <c r="D18" s="338"/>
      <c r="E18" s="338"/>
      <c r="F18" s="339"/>
      <c r="G18" s="267">
        <v>3.4027777777777782E-2</v>
      </c>
      <c r="H18" s="268">
        <v>73</v>
      </c>
      <c r="I18" s="336"/>
    </row>
    <row r="19" spans="2:9" ht="13.5" thickTop="1" x14ac:dyDescent="0.2">
      <c r="B19" s="325" t="s">
        <v>249</v>
      </c>
      <c r="C19" s="236">
        <v>45426.916666666664</v>
      </c>
      <c r="D19" s="236">
        <v>45427.416666666664</v>
      </c>
      <c r="E19" s="328">
        <v>6.6630000000000003</v>
      </c>
      <c r="F19" s="331" t="s">
        <v>254</v>
      </c>
      <c r="G19" s="237">
        <v>3.8194444444444448E-2</v>
      </c>
      <c r="H19" s="238">
        <v>12</v>
      </c>
      <c r="I19" s="334" t="s">
        <v>252</v>
      </c>
    </row>
    <row r="20" spans="2:9" x14ac:dyDescent="0.2">
      <c r="B20" s="326"/>
      <c r="C20" s="236">
        <v>45427.416666666664</v>
      </c>
      <c r="D20" s="236">
        <v>45427.916666666664</v>
      </c>
      <c r="E20" s="329"/>
      <c r="F20" s="332"/>
      <c r="G20" s="237">
        <v>4.5138888888888888E-2</v>
      </c>
      <c r="H20" s="238">
        <v>10</v>
      </c>
      <c r="I20" s="335"/>
    </row>
    <row r="21" spans="2:9" x14ac:dyDescent="0.2">
      <c r="B21" s="326"/>
      <c r="C21" s="236">
        <v>45427.916666666664</v>
      </c>
      <c r="D21" s="236">
        <v>45428.416666666664</v>
      </c>
      <c r="E21" s="329"/>
      <c r="F21" s="332"/>
      <c r="G21" s="237">
        <v>3.5416666666666666E-2</v>
      </c>
      <c r="H21" s="238">
        <v>13</v>
      </c>
      <c r="I21" s="335"/>
    </row>
    <row r="22" spans="2:9" x14ac:dyDescent="0.2">
      <c r="B22" s="326"/>
      <c r="C22" s="236">
        <v>45428.416666666664</v>
      </c>
      <c r="D22" s="236">
        <v>45428.916666666664</v>
      </c>
      <c r="E22" s="329"/>
      <c r="F22" s="332"/>
      <c r="G22" s="237">
        <v>0.05</v>
      </c>
      <c r="H22" s="238">
        <v>9</v>
      </c>
      <c r="I22" s="335"/>
    </row>
    <row r="23" spans="2:9" ht="13.5" thickBot="1" x14ac:dyDescent="0.25">
      <c r="B23" s="326"/>
      <c r="C23" s="236">
        <v>45428.916666666664</v>
      </c>
      <c r="D23" s="236">
        <v>45429.416666666664</v>
      </c>
      <c r="E23" s="330"/>
      <c r="F23" s="333"/>
      <c r="G23" s="237">
        <v>3.3333333333333333E-2</v>
      </c>
      <c r="H23" s="238">
        <v>14</v>
      </c>
      <c r="I23" s="335"/>
    </row>
    <row r="24" spans="2:9" ht="14" thickTop="1" thickBot="1" x14ac:dyDescent="0.25">
      <c r="B24" s="326"/>
      <c r="C24" s="337"/>
      <c r="D24" s="338"/>
      <c r="E24" s="338"/>
      <c r="F24" s="339"/>
      <c r="G24" s="267">
        <v>4.2361111111111113E-2</v>
      </c>
      <c r="H24" s="268">
        <v>58</v>
      </c>
      <c r="I24" s="336"/>
    </row>
    <row r="25" spans="2:9" ht="13.5" thickTop="1" x14ac:dyDescent="0.2">
      <c r="B25" s="326"/>
      <c r="C25" s="236">
        <v>45429.916666666664</v>
      </c>
      <c r="D25" s="236">
        <v>45430.416666666664</v>
      </c>
      <c r="E25" s="328">
        <v>7.976</v>
      </c>
      <c r="F25" s="331">
        <v>10</v>
      </c>
      <c r="G25" s="237">
        <v>2.9166666666666667E-2</v>
      </c>
      <c r="H25" s="238">
        <v>16</v>
      </c>
      <c r="I25" s="334" t="s">
        <v>253</v>
      </c>
    </row>
    <row r="26" spans="2:9" x14ac:dyDescent="0.2">
      <c r="B26" s="326"/>
      <c r="C26" s="236">
        <v>45430.416666666664</v>
      </c>
      <c r="D26" s="236">
        <v>45430.916666666664</v>
      </c>
      <c r="E26" s="329"/>
      <c r="F26" s="332"/>
      <c r="G26" s="237">
        <v>4.1666666666666671E-2</v>
      </c>
      <c r="H26" s="238">
        <v>11</v>
      </c>
      <c r="I26" s="335"/>
    </row>
    <row r="27" spans="2:9" x14ac:dyDescent="0.2">
      <c r="B27" s="326"/>
      <c r="C27" s="236">
        <v>45430.916666666664</v>
      </c>
      <c r="D27" s="236">
        <v>45431.416666666664</v>
      </c>
      <c r="E27" s="329"/>
      <c r="F27" s="332"/>
      <c r="G27" s="237">
        <v>3.3333333333333333E-2</v>
      </c>
      <c r="H27" s="238">
        <v>14</v>
      </c>
      <c r="I27" s="335"/>
    </row>
    <row r="28" spans="2:9" ht="13.5" thickBot="1" x14ac:dyDescent="0.25">
      <c r="B28" s="326"/>
      <c r="C28" s="236">
        <v>45431.416666666664</v>
      </c>
      <c r="D28" s="236">
        <v>45431.916666666664</v>
      </c>
      <c r="E28" s="330"/>
      <c r="F28" s="333"/>
      <c r="G28" s="237">
        <v>3.3333333333333333E-2</v>
      </c>
      <c r="H28" s="238">
        <v>14</v>
      </c>
      <c r="I28" s="335"/>
    </row>
    <row r="29" spans="2:9" ht="14" thickTop="1" thickBot="1" x14ac:dyDescent="0.25">
      <c r="B29" s="327"/>
      <c r="C29" s="337"/>
      <c r="D29" s="338"/>
      <c r="E29" s="338"/>
      <c r="F29" s="339"/>
      <c r="G29" s="267">
        <v>3.5416666666666666E-2</v>
      </c>
      <c r="H29" s="268">
        <v>55</v>
      </c>
      <c r="I29" s="336"/>
    </row>
    <row r="30" spans="2:9" ht="13.5" thickTop="1" x14ac:dyDescent="0.2">
      <c r="B30" s="325" t="s">
        <v>257</v>
      </c>
      <c r="C30" s="236">
        <v>45433.916666666664</v>
      </c>
      <c r="D30" s="236">
        <v>45434.416666666664</v>
      </c>
      <c r="E30" s="328">
        <v>7.976</v>
      </c>
      <c r="F30" s="331">
        <v>10</v>
      </c>
      <c r="G30" s="237">
        <v>3.3333333333333333E-2</v>
      </c>
      <c r="H30" s="238">
        <v>14</v>
      </c>
      <c r="I30" s="334" t="s">
        <v>259</v>
      </c>
    </row>
    <row r="31" spans="2:9" x14ac:dyDescent="0.2">
      <c r="B31" s="326"/>
      <c r="C31" s="236">
        <v>45434.416666666664</v>
      </c>
      <c r="D31" s="236">
        <v>45434.916666666664</v>
      </c>
      <c r="E31" s="329"/>
      <c r="F31" s="332"/>
      <c r="G31" s="237">
        <v>2.777777777777778E-2</v>
      </c>
      <c r="H31" s="238">
        <v>17</v>
      </c>
      <c r="I31" s="335"/>
    </row>
    <row r="32" spans="2:9" ht="13.5" thickBot="1" x14ac:dyDescent="0.25">
      <c r="B32" s="326"/>
      <c r="C32" s="236">
        <v>45434.916666666664</v>
      </c>
      <c r="D32" s="236">
        <v>45435.416666666664</v>
      </c>
      <c r="E32" s="330"/>
      <c r="F32" s="333"/>
      <c r="G32" s="237">
        <v>2.9166666666666667E-2</v>
      </c>
      <c r="H32" s="238">
        <v>16</v>
      </c>
      <c r="I32" s="335"/>
    </row>
    <row r="33" spans="2:9" ht="14" thickTop="1" thickBot="1" x14ac:dyDescent="0.25">
      <c r="B33" s="326"/>
      <c r="C33" s="337"/>
      <c r="D33" s="338"/>
      <c r="E33" s="338"/>
      <c r="F33" s="339"/>
      <c r="G33" s="267">
        <v>3.125E-2</v>
      </c>
      <c r="H33" s="268">
        <v>47</v>
      </c>
      <c r="I33" s="336"/>
    </row>
    <row r="34" spans="2:9" ht="14" thickTop="1" thickBot="1" x14ac:dyDescent="0.25">
      <c r="B34" s="326"/>
      <c r="C34" s="236">
        <v>45435.416666666664</v>
      </c>
      <c r="D34" s="236">
        <v>45435.916666666664</v>
      </c>
      <c r="E34" s="243">
        <v>7.976</v>
      </c>
      <c r="F34" s="244">
        <v>10</v>
      </c>
      <c r="G34" s="237">
        <v>0.05</v>
      </c>
      <c r="H34" s="238">
        <v>9</v>
      </c>
      <c r="I34" s="334" t="s">
        <v>260</v>
      </c>
    </row>
    <row r="35" spans="2:9" ht="14" thickTop="1" thickBot="1" x14ac:dyDescent="0.25">
      <c r="B35" s="326"/>
      <c r="C35" s="337"/>
      <c r="D35" s="338"/>
      <c r="E35" s="338"/>
      <c r="F35" s="339"/>
      <c r="G35" s="267">
        <v>0.05</v>
      </c>
      <c r="H35" s="268">
        <v>9</v>
      </c>
      <c r="I35" s="336"/>
    </row>
    <row r="36" spans="2:9" ht="13.5" thickTop="1" x14ac:dyDescent="0.2">
      <c r="B36" s="326"/>
      <c r="C36" s="236">
        <v>45436.916666666664</v>
      </c>
      <c r="D36" s="236">
        <v>45437.416666666664</v>
      </c>
      <c r="E36" s="328">
        <v>7.976</v>
      </c>
      <c r="F36" s="331">
        <v>10</v>
      </c>
      <c r="G36" s="237">
        <v>6.25E-2</v>
      </c>
      <c r="H36" s="238">
        <v>7</v>
      </c>
      <c r="I36" s="334" t="s">
        <v>261</v>
      </c>
    </row>
    <row r="37" spans="2:9" x14ac:dyDescent="0.2">
      <c r="B37" s="326"/>
      <c r="C37" s="236">
        <v>45437.416666666664</v>
      </c>
      <c r="D37" s="236">
        <v>45437.916666666664</v>
      </c>
      <c r="E37" s="329"/>
      <c r="F37" s="332"/>
      <c r="G37" s="237">
        <v>1.3194444444444444E-2</v>
      </c>
      <c r="H37" s="238">
        <v>36</v>
      </c>
      <c r="I37" s="335"/>
    </row>
    <row r="38" spans="2:9" ht="13.5" thickBot="1" x14ac:dyDescent="0.25">
      <c r="B38" s="326"/>
      <c r="C38" s="236">
        <v>45437.916666666664</v>
      </c>
      <c r="D38" s="236">
        <v>45438.416666666664</v>
      </c>
      <c r="E38" s="330"/>
      <c r="F38" s="333"/>
      <c r="G38" s="237">
        <v>2.6388888888888889E-2</v>
      </c>
      <c r="H38" s="238">
        <v>18</v>
      </c>
      <c r="I38" s="335"/>
    </row>
    <row r="39" spans="2:9" ht="14" thickTop="1" thickBot="1" x14ac:dyDescent="0.25">
      <c r="B39" s="326"/>
      <c r="C39" s="337"/>
      <c r="D39" s="338"/>
      <c r="E39" s="338"/>
      <c r="F39" s="339"/>
      <c r="G39" s="267">
        <v>2.4305555555555556E-2</v>
      </c>
      <c r="H39" s="268">
        <v>61</v>
      </c>
      <c r="I39" s="336"/>
    </row>
    <row r="40" spans="2:9" ht="13.5" thickTop="1" x14ac:dyDescent="0.2">
      <c r="B40" s="326"/>
      <c r="C40" s="236">
        <v>45443.916666666664</v>
      </c>
      <c r="D40" s="236">
        <v>45444.416666666664</v>
      </c>
      <c r="E40" s="328">
        <v>7.976</v>
      </c>
      <c r="F40" s="331" t="s">
        <v>263</v>
      </c>
      <c r="G40" s="237">
        <v>2.777777777777778E-2</v>
      </c>
      <c r="H40" s="238">
        <v>17</v>
      </c>
      <c r="I40" s="334" t="s">
        <v>262</v>
      </c>
    </row>
    <row r="41" spans="2:9" x14ac:dyDescent="0.2">
      <c r="B41" s="326"/>
      <c r="C41" s="236">
        <v>45444.416666666664</v>
      </c>
      <c r="D41" s="236">
        <v>45444.916666666664</v>
      </c>
      <c r="E41" s="329"/>
      <c r="F41" s="332"/>
      <c r="G41" s="237">
        <v>4.1666666666666671E-2</v>
      </c>
      <c r="H41" s="238">
        <v>11</v>
      </c>
      <c r="I41" s="335"/>
    </row>
    <row r="42" spans="2:9" x14ac:dyDescent="0.2">
      <c r="B42" s="326"/>
      <c r="C42" s="236">
        <v>45444.916666666664</v>
      </c>
      <c r="D42" s="236">
        <v>45445.416666666664</v>
      </c>
      <c r="E42" s="329"/>
      <c r="F42" s="332"/>
      <c r="G42" s="237">
        <v>3.125E-2</v>
      </c>
      <c r="H42" s="238">
        <v>15</v>
      </c>
      <c r="I42" s="335"/>
    </row>
    <row r="43" spans="2:9" ht="13.5" thickBot="1" x14ac:dyDescent="0.25">
      <c r="B43" s="326"/>
      <c r="C43" s="236">
        <v>45445.416666666664</v>
      </c>
      <c r="D43" s="236">
        <v>45445.916666666664</v>
      </c>
      <c r="E43" s="330"/>
      <c r="F43" s="333"/>
      <c r="G43" s="237">
        <v>4.1666666666666671E-2</v>
      </c>
      <c r="H43" s="238">
        <v>11</v>
      </c>
      <c r="I43" s="335"/>
    </row>
    <row r="44" spans="2:9" ht="14" thickTop="1" thickBot="1" x14ac:dyDescent="0.25">
      <c r="B44" s="327"/>
      <c r="C44" s="337"/>
      <c r="D44" s="338"/>
      <c r="E44" s="338"/>
      <c r="F44" s="339"/>
      <c r="G44" s="267">
        <v>3.6111111111111115E-2</v>
      </c>
      <c r="H44" s="268">
        <v>54</v>
      </c>
      <c r="I44" s="336"/>
    </row>
    <row r="45" spans="2:9" ht="14" thickTop="1" thickBot="1" x14ac:dyDescent="0.25">
      <c r="B45" s="325" t="s">
        <v>269</v>
      </c>
      <c r="C45" s="236">
        <v>45448.416666666664</v>
      </c>
      <c r="D45" s="236">
        <v>45448.916666666664</v>
      </c>
      <c r="E45" s="243">
        <v>7.976</v>
      </c>
      <c r="F45" s="244" t="s">
        <v>275</v>
      </c>
      <c r="G45" s="237">
        <v>2.777777777777778E-2</v>
      </c>
      <c r="H45" s="238">
        <v>17</v>
      </c>
      <c r="I45" s="334" t="s">
        <v>266</v>
      </c>
    </row>
    <row r="46" spans="2:9" ht="14" thickTop="1" thickBot="1" x14ac:dyDescent="0.25">
      <c r="B46" s="326"/>
      <c r="C46" s="337"/>
      <c r="D46" s="338"/>
      <c r="E46" s="338"/>
      <c r="F46" s="339"/>
      <c r="G46" s="267">
        <v>2.777777777777778E-2</v>
      </c>
      <c r="H46" s="268">
        <v>17</v>
      </c>
      <c r="I46" s="336"/>
    </row>
    <row r="47" spans="2:9" ht="13.5" thickTop="1" x14ac:dyDescent="0.2">
      <c r="B47" s="326"/>
      <c r="C47" s="236">
        <v>45449.416666666664</v>
      </c>
      <c r="D47" s="236">
        <v>45449.916666666664</v>
      </c>
      <c r="E47" s="328">
        <v>7.976</v>
      </c>
      <c r="F47" s="331" t="s">
        <v>275</v>
      </c>
      <c r="G47" s="237">
        <v>2.6388888888888889E-2</v>
      </c>
      <c r="H47" s="238">
        <v>18</v>
      </c>
      <c r="I47" s="334" t="s">
        <v>285</v>
      </c>
    </row>
    <row r="48" spans="2:9" x14ac:dyDescent="0.2">
      <c r="B48" s="326"/>
      <c r="C48" s="236">
        <v>45449.916666666664</v>
      </c>
      <c r="D48" s="236">
        <v>45450.416666666664</v>
      </c>
      <c r="E48" s="329"/>
      <c r="F48" s="332"/>
      <c r="G48" s="237">
        <v>0.05</v>
      </c>
      <c r="H48" s="238">
        <v>9</v>
      </c>
      <c r="I48" s="335"/>
    </row>
    <row r="49" spans="2:9" x14ac:dyDescent="0.2">
      <c r="B49" s="326"/>
      <c r="C49" s="236">
        <v>45450.416666666664</v>
      </c>
      <c r="D49" s="236">
        <v>45450.916666666664</v>
      </c>
      <c r="E49" s="329"/>
      <c r="F49" s="332"/>
      <c r="G49" s="237">
        <v>4.5138888888888888E-2</v>
      </c>
      <c r="H49" s="238">
        <v>10</v>
      </c>
      <c r="I49" s="335"/>
    </row>
    <row r="50" spans="2:9" x14ac:dyDescent="0.2">
      <c r="B50" s="326"/>
      <c r="C50" s="236">
        <v>45450.916666666664</v>
      </c>
      <c r="D50" s="236">
        <v>45451.416666666664</v>
      </c>
      <c r="E50" s="329"/>
      <c r="F50" s="332"/>
      <c r="G50" s="237">
        <v>2.777777777777778E-2</v>
      </c>
      <c r="H50" s="238">
        <v>17</v>
      </c>
      <c r="I50" s="335"/>
    </row>
    <row r="51" spans="2:9" x14ac:dyDescent="0.2">
      <c r="B51" s="326"/>
      <c r="C51" s="236">
        <v>45451.416666666664</v>
      </c>
      <c r="D51" s="236">
        <v>45451.916666666664</v>
      </c>
      <c r="E51" s="329"/>
      <c r="F51" s="332"/>
      <c r="G51" s="237">
        <v>4.1666666666666671E-2</v>
      </c>
      <c r="H51" s="238">
        <v>11</v>
      </c>
      <c r="I51" s="335"/>
    </row>
    <row r="52" spans="2:9" x14ac:dyDescent="0.2">
      <c r="B52" s="326"/>
      <c r="C52" s="236">
        <v>45451.916666666664</v>
      </c>
      <c r="D52" s="236">
        <v>45452.416666666664</v>
      </c>
      <c r="E52" s="329"/>
      <c r="F52" s="332"/>
      <c r="G52" s="237">
        <v>2.9166666666666667E-2</v>
      </c>
      <c r="H52" s="238">
        <v>16</v>
      </c>
      <c r="I52" s="335"/>
    </row>
    <row r="53" spans="2:9" x14ac:dyDescent="0.2">
      <c r="B53" s="326"/>
      <c r="C53" s="236">
        <v>45452.416666666664</v>
      </c>
      <c r="D53" s="236">
        <v>45452.916666666664</v>
      </c>
      <c r="E53" s="329"/>
      <c r="F53" s="332"/>
      <c r="G53" s="237">
        <v>5.5555555555555559E-2</v>
      </c>
      <c r="H53" s="238">
        <v>8</v>
      </c>
      <c r="I53" s="335"/>
    </row>
    <row r="54" spans="2:9" ht="13.5" thickBot="1" x14ac:dyDescent="0.25">
      <c r="B54" s="326"/>
      <c r="C54" s="236">
        <v>45452.916666666664</v>
      </c>
      <c r="D54" s="236">
        <v>45453.416666666664</v>
      </c>
      <c r="E54" s="330"/>
      <c r="F54" s="333"/>
      <c r="G54" s="237">
        <v>4.1666666666666671E-2</v>
      </c>
      <c r="H54" s="238">
        <v>11</v>
      </c>
      <c r="I54" s="335"/>
    </row>
    <row r="55" spans="2:9" ht="14" thickTop="1" thickBot="1" x14ac:dyDescent="0.25">
      <c r="B55" s="326"/>
      <c r="C55" s="337"/>
      <c r="D55" s="338"/>
      <c r="E55" s="338"/>
      <c r="F55" s="339"/>
      <c r="G55" s="267">
        <v>3.9583333333333331E-2</v>
      </c>
      <c r="H55" s="268">
        <v>100</v>
      </c>
      <c r="I55" s="336"/>
    </row>
    <row r="56" spans="2:9" ht="13.5" thickTop="1" x14ac:dyDescent="0.2">
      <c r="B56" s="326"/>
      <c r="C56" s="236">
        <v>45455.916666666664</v>
      </c>
      <c r="D56" s="236">
        <v>45456.416666666664</v>
      </c>
      <c r="E56" s="328">
        <v>7.976</v>
      </c>
      <c r="F56" s="331" t="s">
        <v>276</v>
      </c>
      <c r="G56" s="237">
        <v>3.3333333333333333E-2</v>
      </c>
      <c r="H56" s="238">
        <v>14</v>
      </c>
      <c r="I56" s="334" t="s">
        <v>267</v>
      </c>
    </row>
    <row r="57" spans="2:9" x14ac:dyDescent="0.2">
      <c r="B57" s="326"/>
      <c r="C57" s="236">
        <v>45456.416666666664</v>
      </c>
      <c r="D57" s="236">
        <v>45456.916666666664</v>
      </c>
      <c r="E57" s="329"/>
      <c r="F57" s="332"/>
      <c r="G57" s="237">
        <v>3.8194444444444448E-2</v>
      </c>
      <c r="H57" s="238">
        <v>12</v>
      </c>
      <c r="I57" s="335"/>
    </row>
    <row r="58" spans="2:9" x14ac:dyDescent="0.2">
      <c r="B58" s="326"/>
      <c r="C58" s="236">
        <v>45456.916666666664</v>
      </c>
      <c r="D58" s="236">
        <v>45457.416666666664</v>
      </c>
      <c r="E58" s="329"/>
      <c r="F58" s="332"/>
      <c r="G58" s="237">
        <v>4.5138888888888888E-2</v>
      </c>
      <c r="H58" s="238">
        <v>10</v>
      </c>
      <c r="I58" s="335"/>
    </row>
    <row r="59" spans="2:9" x14ac:dyDescent="0.2">
      <c r="B59" s="326"/>
      <c r="C59" s="236">
        <v>45457.416666666664</v>
      </c>
      <c r="D59" s="236">
        <v>45457.916666666664</v>
      </c>
      <c r="E59" s="329"/>
      <c r="F59" s="332"/>
      <c r="G59" s="237">
        <v>8.3333333333333343E-2</v>
      </c>
      <c r="H59" s="238">
        <v>5</v>
      </c>
      <c r="I59" s="335"/>
    </row>
    <row r="60" spans="2:9" x14ac:dyDescent="0.2">
      <c r="B60" s="326"/>
      <c r="C60" s="236">
        <v>45457.916666666664</v>
      </c>
      <c r="D60" s="236">
        <v>45458.416666666664</v>
      </c>
      <c r="E60" s="329"/>
      <c r="F60" s="332"/>
      <c r="G60" s="237">
        <v>3.8194444444444448E-2</v>
      </c>
      <c r="H60" s="238">
        <v>12</v>
      </c>
      <c r="I60" s="335"/>
    </row>
    <row r="61" spans="2:9" x14ac:dyDescent="0.2">
      <c r="B61" s="326"/>
      <c r="C61" s="236">
        <v>45458.416666666664</v>
      </c>
      <c r="D61" s="236">
        <v>45458.916666666664</v>
      </c>
      <c r="E61" s="329"/>
      <c r="F61" s="332"/>
      <c r="G61" s="237">
        <v>5.5555555555555559E-2</v>
      </c>
      <c r="H61" s="238">
        <v>8</v>
      </c>
      <c r="I61" s="335"/>
    </row>
    <row r="62" spans="2:9" x14ac:dyDescent="0.2">
      <c r="B62" s="326"/>
      <c r="C62" s="236">
        <v>45458.916666666664</v>
      </c>
      <c r="D62" s="236">
        <v>45459.416666666664</v>
      </c>
      <c r="E62" s="329"/>
      <c r="F62" s="332"/>
      <c r="G62" s="237">
        <v>3.125E-2</v>
      </c>
      <c r="H62" s="238">
        <v>15</v>
      </c>
      <c r="I62" s="335"/>
    </row>
    <row r="63" spans="2:9" x14ac:dyDescent="0.2">
      <c r="B63" s="326"/>
      <c r="C63" s="236">
        <v>45459.416666666664</v>
      </c>
      <c r="D63" s="236">
        <v>45459.916666666664</v>
      </c>
      <c r="E63" s="329"/>
      <c r="F63" s="332"/>
      <c r="G63" s="237">
        <v>6.25E-2</v>
      </c>
      <c r="H63" s="238">
        <v>7</v>
      </c>
      <c r="I63" s="335"/>
    </row>
    <row r="64" spans="2:9" ht="13.5" thickBot="1" x14ac:dyDescent="0.25">
      <c r="B64" s="326"/>
      <c r="C64" s="236">
        <v>45459.916666666664</v>
      </c>
      <c r="D64" s="236">
        <v>45460.416666666664</v>
      </c>
      <c r="E64" s="330"/>
      <c r="F64" s="333"/>
      <c r="G64" s="237">
        <v>5.5555555555555559E-2</v>
      </c>
      <c r="H64" s="238">
        <v>8</v>
      </c>
      <c r="I64" s="335"/>
    </row>
    <row r="65" spans="2:9" ht="14" thickTop="1" thickBot="1" x14ac:dyDescent="0.25">
      <c r="B65" s="327"/>
      <c r="C65" s="337"/>
      <c r="D65" s="338"/>
      <c r="E65" s="338"/>
      <c r="F65" s="339"/>
      <c r="G65" s="267">
        <v>4.8611111111111112E-2</v>
      </c>
      <c r="H65" s="268">
        <v>91</v>
      </c>
      <c r="I65" s="336"/>
    </row>
    <row r="66" spans="2:9" ht="13.5" thickTop="1" x14ac:dyDescent="0.2">
      <c r="B66" s="325" t="s">
        <v>282</v>
      </c>
      <c r="C66" s="236">
        <v>45461.916666666664</v>
      </c>
      <c r="D66" s="236">
        <v>45462.416666666664</v>
      </c>
      <c r="E66" s="328">
        <v>6</v>
      </c>
      <c r="F66" s="331">
        <v>4.05</v>
      </c>
      <c r="G66" s="237">
        <v>3.8194444444444448E-2</v>
      </c>
      <c r="H66" s="238">
        <v>12</v>
      </c>
      <c r="I66" s="334" t="s">
        <v>279</v>
      </c>
    </row>
    <row r="67" spans="2:9" x14ac:dyDescent="0.2">
      <c r="B67" s="326"/>
      <c r="C67" s="236">
        <v>45462.416666666664</v>
      </c>
      <c r="D67" s="236">
        <v>45462.916666666664</v>
      </c>
      <c r="E67" s="329"/>
      <c r="F67" s="332"/>
      <c r="G67" s="237">
        <v>3.125E-2</v>
      </c>
      <c r="H67" s="238">
        <v>15</v>
      </c>
      <c r="I67" s="335"/>
    </row>
    <row r="68" spans="2:9" x14ac:dyDescent="0.2">
      <c r="B68" s="326"/>
      <c r="C68" s="236">
        <v>45462.916666666664</v>
      </c>
      <c r="D68" s="236">
        <v>45463.416666666664</v>
      </c>
      <c r="E68" s="329"/>
      <c r="F68" s="332"/>
      <c r="G68" s="237">
        <v>3.125E-2</v>
      </c>
      <c r="H68" s="238">
        <v>15</v>
      </c>
      <c r="I68" s="335"/>
    </row>
    <row r="69" spans="2:9" x14ac:dyDescent="0.2">
      <c r="B69" s="326"/>
      <c r="C69" s="236">
        <v>45463.416666666664</v>
      </c>
      <c r="D69" s="236">
        <v>45463.916666666664</v>
      </c>
      <c r="E69" s="329"/>
      <c r="F69" s="332"/>
      <c r="G69" s="237">
        <v>5.5555555555555559E-2</v>
      </c>
      <c r="H69" s="238">
        <v>8</v>
      </c>
      <c r="I69" s="335"/>
    </row>
    <row r="70" spans="2:9" x14ac:dyDescent="0.2">
      <c r="B70" s="326"/>
      <c r="C70" s="236">
        <v>45463.916666666664</v>
      </c>
      <c r="D70" s="236">
        <v>45464.416666666664</v>
      </c>
      <c r="E70" s="329"/>
      <c r="F70" s="332"/>
      <c r="G70" s="237">
        <v>2.9166666666666667E-2</v>
      </c>
      <c r="H70" s="238">
        <v>16</v>
      </c>
      <c r="I70" s="335"/>
    </row>
    <row r="71" spans="2:9" x14ac:dyDescent="0.2">
      <c r="B71" s="326"/>
      <c r="C71" s="236">
        <v>45464.416666666664</v>
      </c>
      <c r="D71" s="236">
        <v>45464.916666666664</v>
      </c>
      <c r="E71" s="329"/>
      <c r="F71" s="332"/>
      <c r="G71" s="237">
        <v>2.361111111111111E-2</v>
      </c>
      <c r="H71" s="238">
        <v>20</v>
      </c>
      <c r="I71" s="335"/>
    </row>
    <row r="72" spans="2:9" x14ac:dyDescent="0.2">
      <c r="B72" s="326"/>
      <c r="C72" s="236">
        <v>45464.916666666664</v>
      </c>
      <c r="D72" s="236">
        <v>45465.416666666664</v>
      </c>
      <c r="E72" s="329"/>
      <c r="F72" s="332"/>
      <c r="G72" s="237">
        <v>3.3333333333333333E-2</v>
      </c>
      <c r="H72" s="238">
        <v>14</v>
      </c>
      <c r="I72" s="335"/>
    </row>
    <row r="73" spans="2:9" x14ac:dyDescent="0.2">
      <c r="B73" s="326"/>
      <c r="C73" s="236">
        <v>45465.416666666664</v>
      </c>
      <c r="D73" s="236">
        <v>45465.916666666664</v>
      </c>
      <c r="E73" s="329"/>
      <c r="F73" s="332"/>
      <c r="G73" s="237">
        <v>3.5416666666666666E-2</v>
      </c>
      <c r="H73" s="238">
        <v>13</v>
      </c>
      <c r="I73" s="335"/>
    </row>
    <row r="74" spans="2:9" x14ac:dyDescent="0.2">
      <c r="B74" s="326"/>
      <c r="C74" s="236">
        <v>45465.916666666664</v>
      </c>
      <c r="D74" s="236">
        <v>45466.416666666664</v>
      </c>
      <c r="E74" s="329"/>
      <c r="F74" s="332"/>
      <c r="G74" s="237">
        <v>3.8194444444444448E-2</v>
      </c>
      <c r="H74" s="238">
        <v>12</v>
      </c>
      <c r="I74" s="335"/>
    </row>
    <row r="75" spans="2:9" x14ac:dyDescent="0.2">
      <c r="B75" s="326"/>
      <c r="C75" s="236">
        <v>45466.416666666664</v>
      </c>
      <c r="D75" s="236">
        <v>45466.916666666664</v>
      </c>
      <c r="E75" s="329"/>
      <c r="F75" s="332"/>
      <c r="G75" s="237">
        <v>3.5416666666666666E-2</v>
      </c>
      <c r="H75" s="238">
        <v>13</v>
      </c>
      <c r="I75" s="335"/>
    </row>
    <row r="76" spans="2:9" ht="13.5" thickBot="1" x14ac:dyDescent="0.25">
      <c r="B76" s="326"/>
      <c r="C76" s="236">
        <v>45466.916666666664</v>
      </c>
      <c r="D76" s="236">
        <v>45467.416666666664</v>
      </c>
      <c r="E76" s="330"/>
      <c r="F76" s="333"/>
      <c r="G76" s="237">
        <v>2.9166666666666667E-2</v>
      </c>
      <c r="H76" s="238">
        <v>16</v>
      </c>
      <c r="I76" s="335"/>
    </row>
    <row r="77" spans="2:9" ht="14" thickTop="1" thickBot="1" x14ac:dyDescent="0.25">
      <c r="B77" s="326"/>
      <c r="C77" s="337"/>
      <c r="D77" s="338"/>
      <c r="E77" s="338"/>
      <c r="F77" s="339"/>
      <c r="G77" s="267">
        <v>3.5416666666666666E-2</v>
      </c>
      <c r="H77" s="268">
        <v>154</v>
      </c>
      <c r="I77" s="336"/>
    </row>
    <row r="78" spans="2:9" ht="13.5" thickTop="1" x14ac:dyDescent="0.2">
      <c r="B78" s="326"/>
      <c r="C78" s="236">
        <v>45468.916666666664</v>
      </c>
      <c r="D78" s="236">
        <v>45469.416666666664</v>
      </c>
      <c r="E78" s="328">
        <v>7.98</v>
      </c>
      <c r="F78" s="331" t="s">
        <v>283</v>
      </c>
      <c r="G78" s="237">
        <v>3.8194444444444448E-2</v>
      </c>
      <c r="H78" s="238">
        <v>12</v>
      </c>
      <c r="I78" s="334" t="s">
        <v>280</v>
      </c>
    </row>
    <row r="79" spans="2:9" x14ac:dyDescent="0.2">
      <c r="B79" s="326"/>
      <c r="C79" s="236">
        <v>45469.416666666664</v>
      </c>
      <c r="D79" s="236">
        <v>45469.916666666664</v>
      </c>
      <c r="E79" s="329"/>
      <c r="F79" s="332"/>
      <c r="G79" s="237">
        <v>4.1666666666666671E-2</v>
      </c>
      <c r="H79" s="238">
        <v>11</v>
      </c>
      <c r="I79" s="335"/>
    </row>
    <row r="80" spans="2:9" x14ac:dyDescent="0.2">
      <c r="B80" s="326"/>
      <c r="C80" s="236">
        <v>45469.916666666664</v>
      </c>
      <c r="D80" s="236">
        <v>45470.416666666664</v>
      </c>
      <c r="E80" s="329"/>
      <c r="F80" s="332"/>
      <c r="G80" s="237">
        <v>3.125E-2</v>
      </c>
      <c r="H80" s="238">
        <v>15</v>
      </c>
      <c r="I80" s="335"/>
    </row>
    <row r="81" spans="2:9" x14ac:dyDescent="0.2">
      <c r="B81" s="326"/>
      <c r="C81" s="236">
        <v>45470.416666666664</v>
      </c>
      <c r="D81" s="236">
        <v>45470.916666666664</v>
      </c>
      <c r="E81" s="329"/>
      <c r="F81" s="332"/>
      <c r="G81" s="237">
        <v>4.1666666666666671E-2</v>
      </c>
      <c r="H81" s="238">
        <v>11</v>
      </c>
      <c r="I81" s="335"/>
    </row>
    <row r="82" spans="2:9" ht="13.5" thickBot="1" x14ac:dyDescent="0.25">
      <c r="B82" s="326"/>
      <c r="C82" s="236">
        <v>45470.916666666664</v>
      </c>
      <c r="D82" s="236">
        <v>45471.416666666664</v>
      </c>
      <c r="E82" s="330"/>
      <c r="F82" s="333"/>
      <c r="G82" s="237">
        <v>3.8194444444444448E-2</v>
      </c>
      <c r="H82" s="238">
        <v>12</v>
      </c>
      <c r="I82" s="335"/>
    </row>
    <row r="83" spans="2:9" ht="14" thickTop="1" thickBot="1" x14ac:dyDescent="0.25">
      <c r="B83" s="327"/>
      <c r="C83" s="337"/>
      <c r="D83" s="338"/>
      <c r="E83" s="338"/>
      <c r="F83" s="339"/>
      <c r="G83" s="267">
        <v>4.027777777777778E-2</v>
      </c>
      <c r="H83" s="268">
        <v>61</v>
      </c>
      <c r="I83" s="336"/>
    </row>
    <row r="84" spans="2:9" ht="14" thickTop="1" thickBot="1" x14ac:dyDescent="0.25">
      <c r="B84" s="325" t="s">
        <v>307</v>
      </c>
      <c r="C84" s="236">
        <v>45492.916666666664</v>
      </c>
      <c r="D84" s="236">
        <v>45493.166666666664</v>
      </c>
      <c r="E84" s="243">
        <v>7.98</v>
      </c>
      <c r="F84" s="244">
        <v>10</v>
      </c>
      <c r="G84" s="237">
        <v>2.5000000000000001E-2</v>
      </c>
      <c r="H84" s="238">
        <v>9</v>
      </c>
      <c r="I84" s="334" t="s">
        <v>302</v>
      </c>
    </row>
    <row r="85" spans="2:9" ht="14" thickTop="1" thickBot="1" x14ac:dyDescent="0.25">
      <c r="B85" s="326"/>
      <c r="C85" s="337"/>
      <c r="D85" s="338"/>
      <c r="E85" s="338"/>
      <c r="F85" s="339"/>
      <c r="G85" s="267">
        <v>2.5000000000000001E-2</v>
      </c>
      <c r="H85" s="268">
        <v>9</v>
      </c>
      <c r="I85" s="336"/>
    </row>
    <row r="86" spans="2:9" ht="13.5" thickTop="1" x14ac:dyDescent="0.2">
      <c r="B86" s="326"/>
      <c r="C86" s="236">
        <v>45493.416666666664</v>
      </c>
      <c r="D86" s="236">
        <v>45493.916666666664</v>
      </c>
      <c r="E86" s="328">
        <v>7.98</v>
      </c>
      <c r="F86" s="331">
        <v>10</v>
      </c>
      <c r="G86" s="237">
        <v>5.5555555555555559E-2</v>
      </c>
      <c r="H86" s="238">
        <v>8</v>
      </c>
      <c r="I86" s="334" t="s">
        <v>303</v>
      </c>
    </row>
    <row r="87" spans="2:9" x14ac:dyDescent="0.2">
      <c r="B87" s="326"/>
      <c r="C87" s="236">
        <v>45493.916666666664</v>
      </c>
      <c r="D87" s="236">
        <v>45494.416666666664</v>
      </c>
      <c r="E87" s="329"/>
      <c r="F87" s="332"/>
      <c r="G87" s="237">
        <v>2.013888888888889E-2</v>
      </c>
      <c r="H87" s="238">
        <v>24</v>
      </c>
      <c r="I87" s="335"/>
    </row>
    <row r="88" spans="2:9" ht="13.5" thickBot="1" x14ac:dyDescent="0.25">
      <c r="B88" s="326"/>
      <c r="C88" s="236">
        <v>45494.416666666664</v>
      </c>
      <c r="D88" s="236">
        <v>45494.916666666664</v>
      </c>
      <c r="E88" s="330"/>
      <c r="F88" s="333"/>
      <c r="G88" s="237">
        <v>2.5000000000000001E-2</v>
      </c>
      <c r="H88" s="238">
        <v>19</v>
      </c>
      <c r="I88" s="335"/>
    </row>
    <row r="89" spans="2:9" ht="14" thickTop="1" thickBot="1" x14ac:dyDescent="0.25">
      <c r="B89" s="326"/>
      <c r="C89" s="337"/>
      <c r="D89" s="338"/>
      <c r="E89" s="338"/>
      <c r="F89" s="339"/>
      <c r="G89" s="267">
        <v>2.9166666666666667E-2</v>
      </c>
      <c r="H89" s="268">
        <v>51</v>
      </c>
      <c r="I89" s="336"/>
    </row>
    <row r="90" spans="2:9" ht="13.5" thickTop="1" x14ac:dyDescent="0.2">
      <c r="B90" s="326"/>
      <c r="C90" s="236">
        <v>45496.916666666664</v>
      </c>
      <c r="D90" s="236">
        <v>45497.416666666664</v>
      </c>
      <c r="E90" s="328">
        <v>6.6</v>
      </c>
      <c r="F90" s="331">
        <v>7</v>
      </c>
      <c r="G90" s="237">
        <v>7.1527777777777787E-2</v>
      </c>
      <c r="H90" s="238">
        <v>6</v>
      </c>
      <c r="I90" s="334" t="s">
        <v>304</v>
      </c>
    </row>
    <row r="91" spans="2:9" x14ac:dyDescent="0.2">
      <c r="B91" s="326"/>
      <c r="C91" s="236">
        <v>45497.416666666664</v>
      </c>
      <c r="D91" s="236">
        <v>45497.916666666664</v>
      </c>
      <c r="E91" s="329"/>
      <c r="F91" s="332"/>
      <c r="G91" s="237">
        <v>2.9166666666666667E-2</v>
      </c>
      <c r="H91" s="238">
        <v>16</v>
      </c>
      <c r="I91" s="335"/>
    </row>
    <row r="92" spans="2:9" x14ac:dyDescent="0.2">
      <c r="B92" s="326"/>
      <c r="C92" s="236">
        <v>45497.916666666664</v>
      </c>
      <c r="D92" s="236">
        <v>45498.416666666664</v>
      </c>
      <c r="E92" s="329"/>
      <c r="F92" s="332"/>
      <c r="G92" s="237">
        <v>4.5138888888888888E-2</v>
      </c>
      <c r="H92" s="238">
        <v>10</v>
      </c>
      <c r="I92" s="335"/>
    </row>
    <row r="93" spans="2:9" x14ac:dyDescent="0.2">
      <c r="B93" s="326"/>
      <c r="C93" s="236">
        <v>45498.416666666664</v>
      </c>
      <c r="D93" s="236">
        <v>45498.916666666664</v>
      </c>
      <c r="E93" s="329"/>
      <c r="F93" s="332"/>
      <c r="G93" s="237">
        <v>3.125E-2</v>
      </c>
      <c r="H93" s="238">
        <v>15</v>
      </c>
      <c r="I93" s="335"/>
    </row>
    <row r="94" spans="2:9" ht="13.5" thickBot="1" x14ac:dyDescent="0.25">
      <c r="B94" s="326"/>
      <c r="C94" s="236">
        <v>45498.916666666664</v>
      </c>
      <c r="D94" s="236">
        <v>45499.416666666664</v>
      </c>
      <c r="E94" s="330"/>
      <c r="F94" s="333"/>
      <c r="G94" s="237">
        <v>2.2916666666666669E-2</v>
      </c>
      <c r="H94" s="238">
        <v>21</v>
      </c>
      <c r="I94" s="335"/>
    </row>
    <row r="95" spans="2:9" ht="14" thickTop="1" thickBot="1" x14ac:dyDescent="0.25">
      <c r="B95" s="326"/>
      <c r="C95" s="337"/>
      <c r="D95" s="338"/>
      <c r="E95" s="338"/>
      <c r="F95" s="339"/>
      <c r="G95" s="267">
        <v>3.6111111111111115E-2</v>
      </c>
      <c r="H95" s="268">
        <v>68</v>
      </c>
      <c r="I95" s="336"/>
    </row>
    <row r="96" spans="2:9" ht="13.5" thickTop="1" x14ac:dyDescent="0.2">
      <c r="B96" s="326"/>
      <c r="C96" s="236">
        <v>45499.916666666664</v>
      </c>
      <c r="D96" s="236">
        <v>45500.416666666664</v>
      </c>
      <c r="E96" s="328">
        <v>6.6</v>
      </c>
      <c r="F96" s="331">
        <v>7</v>
      </c>
      <c r="G96" s="237">
        <v>4.1666666666666671E-2</v>
      </c>
      <c r="H96" s="238">
        <v>11</v>
      </c>
      <c r="I96" s="334" t="s">
        <v>305</v>
      </c>
    </row>
    <row r="97" spans="2:9" x14ac:dyDescent="0.2">
      <c r="B97" s="326"/>
      <c r="C97" s="236">
        <v>45500.416666666664</v>
      </c>
      <c r="D97" s="236">
        <v>45500.916666666664</v>
      </c>
      <c r="E97" s="329"/>
      <c r="F97" s="332"/>
      <c r="G97" s="237">
        <v>6.25E-2</v>
      </c>
      <c r="H97" s="238">
        <v>7</v>
      </c>
      <c r="I97" s="335"/>
    </row>
    <row r="98" spans="2:9" x14ac:dyDescent="0.2">
      <c r="B98" s="326"/>
      <c r="C98" s="236">
        <v>45500.916666666664</v>
      </c>
      <c r="D98" s="236">
        <v>45501.416666666664</v>
      </c>
      <c r="E98" s="329"/>
      <c r="F98" s="332"/>
      <c r="G98" s="237">
        <v>6.25E-2</v>
      </c>
      <c r="H98" s="238">
        <v>7</v>
      </c>
      <c r="I98" s="335"/>
    </row>
    <row r="99" spans="2:9" x14ac:dyDescent="0.2">
      <c r="B99" s="326"/>
      <c r="C99" s="236">
        <v>45501.416666666664</v>
      </c>
      <c r="D99" s="236">
        <v>45501.916666666664</v>
      </c>
      <c r="E99" s="329"/>
      <c r="F99" s="332"/>
      <c r="G99" s="237">
        <v>2.5000000000000001E-2</v>
      </c>
      <c r="H99" s="238">
        <v>19</v>
      </c>
      <c r="I99" s="335"/>
    </row>
    <row r="100" spans="2:9" ht="13.5" thickBot="1" x14ac:dyDescent="0.25">
      <c r="B100" s="326"/>
      <c r="C100" s="236">
        <v>45501.916666666664</v>
      </c>
      <c r="D100" s="236">
        <v>45502.416666666664</v>
      </c>
      <c r="E100" s="330"/>
      <c r="F100" s="333"/>
      <c r="G100" s="237">
        <v>2.5000000000000001E-2</v>
      </c>
      <c r="H100" s="238">
        <v>19</v>
      </c>
      <c r="I100" s="335"/>
    </row>
    <row r="101" spans="2:9" ht="14" thickTop="1" thickBot="1" x14ac:dyDescent="0.25">
      <c r="B101" s="327"/>
      <c r="C101" s="337"/>
      <c r="D101" s="338"/>
      <c r="E101" s="338"/>
      <c r="F101" s="339"/>
      <c r="G101" s="267">
        <v>3.888888888888889E-2</v>
      </c>
      <c r="H101" s="268">
        <v>63</v>
      </c>
      <c r="I101" s="336"/>
    </row>
    <row r="102" spans="2:9" ht="14" thickTop="1" thickBot="1" x14ac:dyDescent="0.25">
      <c r="B102" s="325" t="s">
        <v>317</v>
      </c>
      <c r="C102" s="236">
        <v>45573.666666666664</v>
      </c>
      <c r="D102" s="236">
        <v>45573.916666666664</v>
      </c>
      <c r="E102" s="243">
        <v>7.98</v>
      </c>
      <c r="F102" s="244">
        <v>10</v>
      </c>
      <c r="G102" s="237">
        <v>2.5000000000000001E-2</v>
      </c>
      <c r="H102" s="238">
        <v>9</v>
      </c>
      <c r="I102" s="334" t="s">
        <v>302</v>
      </c>
    </row>
    <row r="103" spans="2:9" ht="14" thickTop="1" thickBot="1" x14ac:dyDescent="0.25">
      <c r="B103" s="326"/>
      <c r="C103" s="337"/>
      <c r="D103" s="338"/>
      <c r="E103" s="338"/>
      <c r="F103" s="339"/>
      <c r="G103" s="267">
        <v>2.5000000000000001E-2</v>
      </c>
      <c r="H103" s="268">
        <v>9</v>
      </c>
      <c r="I103" s="336"/>
    </row>
    <row r="104" spans="2:9" ht="13.5" thickTop="1" x14ac:dyDescent="0.2">
      <c r="B104" s="326"/>
      <c r="C104" s="236">
        <v>45573.916666666664</v>
      </c>
      <c r="D104" s="236">
        <v>45574.416666666664</v>
      </c>
      <c r="E104" s="328">
        <v>7.98</v>
      </c>
      <c r="F104" s="331">
        <v>10</v>
      </c>
      <c r="G104" s="237">
        <v>2.2916666666666669E-2</v>
      </c>
      <c r="H104" s="238">
        <v>21</v>
      </c>
      <c r="I104" s="334" t="s">
        <v>315</v>
      </c>
    </row>
    <row r="105" spans="2:9" x14ac:dyDescent="0.2">
      <c r="B105" s="326"/>
      <c r="C105" s="236">
        <v>45574.416666666664</v>
      </c>
      <c r="D105" s="236">
        <v>45574.916666666664</v>
      </c>
      <c r="E105" s="329"/>
      <c r="F105" s="332"/>
      <c r="G105" s="237">
        <v>1.9444444444444445E-2</v>
      </c>
      <c r="H105" s="238">
        <v>25</v>
      </c>
      <c r="I105" s="335"/>
    </row>
    <row r="106" spans="2:9" x14ac:dyDescent="0.2">
      <c r="B106" s="326"/>
      <c r="C106" s="236">
        <v>45574.916666666664</v>
      </c>
      <c r="D106" s="236">
        <v>45575.416666666664</v>
      </c>
      <c r="E106" s="329"/>
      <c r="F106" s="332"/>
      <c r="G106" s="237">
        <v>2.777777777777778E-2</v>
      </c>
      <c r="H106" s="238">
        <v>17</v>
      </c>
      <c r="I106" s="335"/>
    </row>
    <row r="107" spans="2:9" ht="13.5" thickBot="1" x14ac:dyDescent="0.25">
      <c r="B107" s="326"/>
      <c r="C107" s="236">
        <v>45575.416666666664</v>
      </c>
      <c r="D107" s="236">
        <v>45575.916666666664</v>
      </c>
      <c r="E107" s="330"/>
      <c r="F107" s="333"/>
      <c r="G107" s="237">
        <v>3.3333333333333333E-2</v>
      </c>
      <c r="H107" s="238">
        <v>14</v>
      </c>
      <c r="I107" s="335"/>
    </row>
    <row r="108" spans="2:9" ht="14" thickTop="1" thickBot="1" x14ac:dyDescent="0.25">
      <c r="B108" s="326"/>
      <c r="C108" s="337"/>
      <c r="D108" s="338"/>
      <c r="E108" s="338"/>
      <c r="F108" s="339"/>
      <c r="G108" s="267">
        <v>2.5694444444444447E-2</v>
      </c>
      <c r="H108" s="268">
        <v>77</v>
      </c>
      <c r="I108" s="336"/>
    </row>
    <row r="109" spans="2:9" ht="14" thickTop="1" thickBot="1" x14ac:dyDescent="0.25">
      <c r="B109" s="326"/>
      <c r="C109" s="236">
        <v>45576.416666666664</v>
      </c>
      <c r="D109" s="236">
        <v>45576.916666666664</v>
      </c>
      <c r="E109" s="243">
        <v>7.98</v>
      </c>
      <c r="F109" s="244">
        <v>10</v>
      </c>
      <c r="G109" s="237">
        <v>1.9444444444444445E-2</v>
      </c>
      <c r="H109" s="238">
        <v>25</v>
      </c>
      <c r="I109" s="334" t="s">
        <v>316</v>
      </c>
    </row>
    <row r="110" spans="2:9" ht="14" thickTop="1" thickBot="1" x14ac:dyDescent="0.25">
      <c r="B110" s="327"/>
      <c r="C110" s="337"/>
      <c r="D110" s="338"/>
      <c r="E110" s="338"/>
      <c r="F110" s="339"/>
      <c r="G110" s="267">
        <v>1.9444444444444445E-2</v>
      </c>
      <c r="H110" s="268">
        <v>25</v>
      </c>
      <c r="I110" s="336"/>
    </row>
    <row r="111" spans="2:9" ht="13.5" thickTop="1" x14ac:dyDescent="0.2">
      <c r="B111" s="325" t="s">
        <v>319</v>
      </c>
      <c r="C111" s="236">
        <v>45581.916666666664</v>
      </c>
      <c r="D111" s="236">
        <v>45582.416666666664</v>
      </c>
      <c r="E111" s="328">
        <v>7.98</v>
      </c>
      <c r="F111" s="331">
        <v>8.5</v>
      </c>
      <c r="G111" s="237">
        <v>3.8194444444444448E-2</v>
      </c>
      <c r="H111" s="238">
        <v>12</v>
      </c>
      <c r="I111" s="334" t="s">
        <v>261</v>
      </c>
    </row>
    <row r="112" spans="2:9" x14ac:dyDescent="0.2">
      <c r="B112" s="326"/>
      <c r="C112" s="236">
        <v>45582.416666666664</v>
      </c>
      <c r="D112" s="236">
        <v>45582.916666666664</v>
      </c>
      <c r="E112" s="329"/>
      <c r="F112" s="332"/>
      <c r="G112" s="237">
        <v>2.6388888888888889E-2</v>
      </c>
      <c r="H112" s="238">
        <v>18</v>
      </c>
      <c r="I112" s="335"/>
    </row>
    <row r="113" spans="2:9" ht="13.5" thickBot="1" x14ac:dyDescent="0.25">
      <c r="B113" s="326"/>
      <c r="C113" s="236">
        <v>45582.916666666664</v>
      </c>
      <c r="D113" s="236">
        <v>45583.416666666664</v>
      </c>
      <c r="E113" s="330"/>
      <c r="F113" s="333"/>
      <c r="G113" s="237">
        <v>3.125E-2</v>
      </c>
      <c r="H113" s="238">
        <v>15</v>
      </c>
      <c r="I113" s="335"/>
    </row>
    <row r="114" spans="2:9" ht="14" thickTop="1" thickBot="1" x14ac:dyDescent="0.25">
      <c r="B114" s="326"/>
      <c r="C114" s="337"/>
      <c r="D114" s="338"/>
      <c r="E114" s="338"/>
      <c r="F114" s="339"/>
      <c r="G114" s="267">
        <v>3.2638888888888891E-2</v>
      </c>
      <c r="H114" s="268">
        <v>45</v>
      </c>
      <c r="I114" s="336"/>
    </row>
    <row r="115" spans="2:9" ht="14" thickTop="1" thickBot="1" x14ac:dyDescent="0.25">
      <c r="B115" s="326"/>
      <c r="C115" s="236">
        <v>45583.416666666664</v>
      </c>
      <c r="D115" s="236">
        <v>45583.916666666664</v>
      </c>
      <c r="E115" s="243">
        <v>7.98</v>
      </c>
      <c r="F115" s="244">
        <v>8.5</v>
      </c>
      <c r="G115" s="237">
        <v>3.8194444444444448E-2</v>
      </c>
      <c r="H115" s="238">
        <v>12</v>
      </c>
      <c r="I115" s="334" t="s">
        <v>318</v>
      </c>
    </row>
    <row r="116" spans="2:9" ht="14" thickTop="1" thickBot="1" x14ac:dyDescent="0.25">
      <c r="B116" s="326"/>
      <c r="C116" s="337"/>
      <c r="D116" s="338"/>
      <c r="E116" s="338"/>
      <c r="F116" s="339"/>
      <c r="G116" s="267">
        <v>3.8194444444444448E-2</v>
      </c>
      <c r="H116" s="268">
        <v>12</v>
      </c>
      <c r="I116" s="336"/>
    </row>
    <row r="117" spans="2:9" ht="13.5" thickTop="1" x14ac:dyDescent="0.2">
      <c r="B117" s="326"/>
      <c r="C117" s="236">
        <v>45587.666666666664</v>
      </c>
      <c r="D117" s="236">
        <v>45587.916666666664</v>
      </c>
      <c r="E117" s="328">
        <v>7.98</v>
      </c>
      <c r="F117" s="331">
        <v>8.5</v>
      </c>
      <c r="G117" s="237">
        <v>2.5000000000000001E-2</v>
      </c>
      <c r="H117" s="238">
        <v>9</v>
      </c>
      <c r="I117" s="334" t="s">
        <v>302</v>
      </c>
    </row>
    <row r="118" spans="2:9" x14ac:dyDescent="0.2">
      <c r="B118" s="326"/>
      <c r="C118" s="236">
        <v>45588.416666666664</v>
      </c>
      <c r="D118" s="236">
        <v>45588.666666666664</v>
      </c>
      <c r="E118" s="329"/>
      <c r="F118" s="332"/>
      <c r="G118" s="237">
        <v>2.777777777777778E-2</v>
      </c>
      <c r="H118" s="238">
        <v>8</v>
      </c>
      <c r="I118" s="335"/>
    </row>
    <row r="119" spans="2:9" ht="13.5" thickBot="1" x14ac:dyDescent="0.25">
      <c r="B119" s="326"/>
      <c r="C119" s="236">
        <v>45589.416666666664</v>
      </c>
      <c r="D119" s="236">
        <v>45589.666666666664</v>
      </c>
      <c r="E119" s="330"/>
      <c r="F119" s="333"/>
      <c r="G119" s="237">
        <v>3.125E-2</v>
      </c>
      <c r="H119" s="238">
        <v>7</v>
      </c>
      <c r="I119" s="335"/>
    </row>
    <row r="120" spans="2:9" ht="14" thickTop="1" thickBot="1" x14ac:dyDescent="0.25">
      <c r="B120" s="326"/>
      <c r="C120" s="337"/>
      <c r="D120" s="338"/>
      <c r="E120" s="338"/>
      <c r="F120" s="339"/>
      <c r="G120" s="267">
        <v>3.125E-2</v>
      </c>
      <c r="H120" s="268">
        <v>24</v>
      </c>
      <c r="I120" s="336"/>
    </row>
    <row r="121" spans="2:9" ht="13.5" thickTop="1" x14ac:dyDescent="0.2">
      <c r="B121" s="326"/>
      <c r="C121" s="236">
        <v>45590.916666666664</v>
      </c>
      <c r="D121" s="236">
        <v>45591.416666666664</v>
      </c>
      <c r="E121" s="328">
        <v>7.98</v>
      </c>
      <c r="F121" s="331">
        <v>8.5</v>
      </c>
      <c r="G121" s="237">
        <v>2.6388888888888889E-2</v>
      </c>
      <c r="H121" s="238">
        <v>18</v>
      </c>
      <c r="I121" s="334" t="s">
        <v>253</v>
      </c>
    </row>
    <row r="122" spans="2:9" x14ac:dyDescent="0.2">
      <c r="B122" s="326"/>
      <c r="C122" s="236">
        <v>45591.416666666664</v>
      </c>
      <c r="D122" s="236">
        <v>45591.916666666664</v>
      </c>
      <c r="E122" s="329"/>
      <c r="F122" s="332"/>
      <c r="G122" s="237">
        <v>2.9166666666666667E-2</v>
      </c>
      <c r="H122" s="238">
        <v>16</v>
      </c>
      <c r="I122" s="335"/>
    </row>
    <row r="123" spans="2:9" x14ac:dyDescent="0.2">
      <c r="B123" s="326"/>
      <c r="C123" s="236">
        <v>45591.916666666664</v>
      </c>
      <c r="D123" s="236">
        <v>45592.416666666664</v>
      </c>
      <c r="E123" s="329"/>
      <c r="F123" s="332"/>
      <c r="G123" s="237">
        <v>3.125E-2</v>
      </c>
      <c r="H123" s="238">
        <v>15</v>
      </c>
      <c r="I123" s="335"/>
    </row>
    <row r="124" spans="2:9" ht="13.5" thickBot="1" x14ac:dyDescent="0.25">
      <c r="B124" s="326"/>
      <c r="C124" s="236">
        <v>45592.416666666664</v>
      </c>
      <c r="D124" s="236">
        <v>45592.916666666664</v>
      </c>
      <c r="E124" s="330"/>
      <c r="F124" s="333"/>
      <c r="G124" s="237">
        <v>3.5416666666666666E-2</v>
      </c>
      <c r="H124" s="238">
        <v>13</v>
      </c>
      <c r="I124" s="335"/>
    </row>
    <row r="125" spans="2:9" ht="14" thickTop="1" thickBot="1" x14ac:dyDescent="0.25">
      <c r="B125" s="327"/>
      <c r="C125" s="337"/>
      <c r="D125" s="338"/>
      <c r="E125" s="338"/>
      <c r="F125" s="339"/>
      <c r="G125" s="267">
        <v>3.1944444444444449E-2</v>
      </c>
      <c r="H125" s="268">
        <v>62</v>
      </c>
      <c r="I125" s="336"/>
    </row>
    <row r="126" spans="2:9" ht="14" thickTop="1" thickBot="1" x14ac:dyDescent="0.25">
      <c r="H126" s="261">
        <v>1271</v>
      </c>
    </row>
    <row r="127" spans="2:9" ht="13.5" thickTop="1" x14ac:dyDescent="0.2"/>
  </sheetData>
  <mergeCells count="96">
    <mergeCell ref="B6:B7"/>
    <mergeCell ref="C6:D7"/>
    <mergeCell ref="H6:H7"/>
    <mergeCell ref="I6:I7"/>
    <mergeCell ref="E25:E28"/>
    <mergeCell ref="F25:F28"/>
    <mergeCell ref="I25:I29"/>
    <mergeCell ref="C29:F29"/>
    <mergeCell ref="B19:B29"/>
    <mergeCell ref="B8:B18"/>
    <mergeCell ref="E19:E23"/>
    <mergeCell ref="F19:F23"/>
    <mergeCell ref="I19:I24"/>
    <mergeCell ref="C24:F24"/>
    <mergeCell ref="E8:E11"/>
    <mergeCell ref="F8:F11"/>
    <mergeCell ref="I8:I12"/>
    <mergeCell ref="C12:F12"/>
    <mergeCell ref="E13:E17"/>
    <mergeCell ref="F13:F17"/>
    <mergeCell ref="I13:I18"/>
    <mergeCell ref="C18:F18"/>
    <mergeCell ref="F30:F32"/>
    <mergeCell ref="I30:I33"/>
    <mergeCell ref="C33:F33"/>
    <mergeCell ref="I34:I35"/>
    <mergeCell ref="C35:F35"/>
    <mergeCell ref="B30:B44"/>
    <mergeCell ref="I45:I46"/>
    <mergeCell ref="C46:F46"/>
    <mergeCell ref="E47:E54"/>
    <mergeCell ref="F47:F54"/>
    <mergeCell ref="I47:I55"/>
    <mergeCell ref="C55:F55"/>
    <mergeCell ref="E36:E38"/>
    <mergeCell ref="F36:F38"/>
    <mergeCell ref="I36:I39"/>
    <mergeCell ref="C39:F39"/>
    <mergeCell ref="E40:E43"/>
    <mergeCell ref="F40:F43"/>
    <mergeCell ref="I40:I44"/>
    <mergeCell ref="C44:F44"/>
    <mergeCell ref="E30:E32"/>
    <mergeCell ref="E56:E64"/>
    <mergeCell ref="F56:F64"/>
    <mergeCell ref="I56:I65"/>
    <mergeCell ref="C65:F65"/>
    <mergeCell ref="B45:B65"/>
    <mergeCell ref="E78:E82"/>
    <mergeCell ref="F78:F82"/>
    <mergeCell ref="I78:I83"/>
    <mergeCell ref="C83:F83"/>
    <mergeCell ref="B66:B83"/>
    <mergeCell ref="E66:E76"/>
    <mergeCell ref="F66:F76"/>
    <mergeCell ref="I66:I77"/>
    <mergeCell ref="C77:F77"/>
    <mergeCell ref="I102:I103"/>
    <mergeCell ref="C103:F103"/>
    <mergeCell ref="B102:B110"/>
    <mergeCell ref="E86:E88"/>
    <mergeCell ref="F86:F88"/>
    <mergeCell ref="I86:I89"/>
    <mergeCell ref="C89:F89"/>
    <mergeCell ref="E90:E94"/>
    <mergeCell ref="F90:F94"/>
    <mergeCell ref="I90:I95"/>
    <mergeCell ref="C95:F95"/>
    <mergeCell ref="E96:E100"/>
    <mergeCell ref="F96:F100"/>
    <mergeCell ref="I96:I101"/>
    <mergeCell ref="C101:F101"/>
    <mergeCell ref="B84:B101"/>
    <mergeCell ref="I84:I85"/>
    <mergeCell ref="C85:F85"/>
    <mergeCell ref="E104:E107"/>
    <mergeCell ref="F104:F107"/>
    <mergeCell ref="I104:I108"/>
    <mergeCell ref="C108:F108"/>
    <mergeCell ref="I109:I110"/>
    <mergeCell ref="C110:F110"/>
    <mergeCell ref="B111:B125"/>
    <mergeCell ref="E117:E119"/>
    <mergeCell ref="F117:F119"/>
    <mergeCell ref="I117:I120"/>
    <mergeCell ref="C120:F120"/>
    <mergeCell ref="E121:E124"/>
    <mergeCell ref="F121:F124"/>
    <mergeCell ref="I121:I125"/>
    <mergeCell ref="C125:F125"/>
    <mergeCell ref="E111:E113"/>
    <mergeCell ref="F111:F113"/>
    <mergeCell ref="I111:I114"/>
    <mergeCell ref="C114:F114"/>
    <mergeCell ref="I115:I116"/>
    <mergeCell ref="C116:F116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2713C-7BCA-41B1-81E9-ECCF14B880A9}">
  <sheetPr codeName="Sheet18">
    <pageSetUpPr fitToPage="1"/>
  </sheetPr>
  <dimension ref="B1:U62"/>
  <sheetViews>
    <sheetView showWhiteSpace="0" view="pageBreakPreview" topLeftCell="A22" zoomScaleNormal="100" zoomScaleSheetLayoutView="100" workbookViewId="0">
      <selection activeCell="I8" sqref="I8:L8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25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13</v>
      </c>
      <c r="C5"/>
      <c r="D5"/>
      <c r="E5" t="s">
        <v>14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10</v>
      </c>
      <c r="C6" s="342" t="s">
        <v>11</v>
      </c>
      <c r="D6" s="343"/>
      <c r="E6" s="348" t="s">
        <v>26</v>
      </c>
      <c r="F6" s="350" t="s">
        <v>15</v>
      </c>
      <c r="G6" s="351"/>
      <c r="H6" s="325" t="s">
        <v>7</v>
      </c>
      <c r="I6" s="340" t="s">
        <v>16</v>
      </c>
      <c r="J6" s="341"/>
      <c r="K6" s="340" t="s">
        <v>17</v>
      </c>
      <c r="L6" s="341"/>
      <c r="M6" s="342" t="s">
        <v>38</v>
      </c>
      <c r="N6" s="343"/>
    </row>
    <row r="7" spans="2:14" x14ac:dyDescent="0.2">
      <c r="B7" s="327"/>
      <c r="C7" s="344"/>
      <c r="D7" s="345"/>
      <c r="E7" s="349"/>
      <c r="F7" s="205" t="s">
        <v>155</v>
      </c>
      <c r="G7" s="206" t="s">
        <v>27</v>
      </c>
      <c r="H7" s="327"/>
      <c r="I7" s="27" t="s">
        <v>155</v>
      </c>
      <c r="J7" s="27" t="s">
        <v>157</v>
      </c>
      <c r="K7" s="27" t="s">
        <v>155</v>
      </c>
      <c r="L7" s="27" t="s">
        <v>157</v>
      </c>
      <c r="M7" s="344"/>
      <c r="N7" s="345"/>
    </row>
    <row r="8" spans="2:14" x14ac:dyDescent="0.2">
      <c r="B8" s="325" t="str">
        <f>'利用時間（期間）'!B2</f>
        <v>24-11</v>
      </c>
      <c r="C8" s="342" t="e">
        <f ca="1">[0]!CSVVLookUP(ROW(行数!$A1),配列!$C$12,利用時間_期間,4,1)</f>
        <v>#NAME?</v>
      </c>
      <c r="D8" s="343"/>
      <c r="E8" s="346" t="e">
        <f ca="1">[0]!CSVVLookUP(ROW(行数!$A1),配列!$C$12,利用時間_期間,5,1)</f>
        <v>#NAME?</v>
      </c>
      <c r="F8" s="346" t="e">
        <f ca="1">[0]!CSVVLookUP(ROW(行数!$A1),配列!$C$12,利用時間_期間,6,1)</f>
        <v>#NAME?</v>
      </c>
      <c r="G8" s="346" t="e">
        <f ca="1">[0]!CSVVLookUP(ROW(行数!$A1),配列!$C$12,利用時間_期間,7,1)</f>
        <v>#NAME?</v>
      </c>
      <c r="H8" s="27" t="s">
        <v>158</v>
      </c>
      <c r="I8" s="86" t="e">
        <f ca="1">[0]!CSVVLookUP(ROW(行数!$A1),配列!$C$12,利用時間_期間,8,1)</f>
        <v>#NAME?</v>
      </c>
      <c r="J8" s="86" t="e">
        <f ca="1">[0]!CSVVLookUP(ROW(行数!$A1),配列!$C$12,利用時間_期間,9,1)</f>
        <v>#NAME?</v>
      </c>
      <c r="K8" s="86" t="e">
        <f ca="1">[0]!CSVVLookUP(ROW(行数!$A1),配列!$C$12,利用時間_期間,10,1)</f>
        <v>#NAME?</v>
      </c>
      <c r="L8" s="86" t="e">
        <f ca="1">[0]!CSVVLookUP(ROW(行数!$A1),配列!$C$12,利用時間_期間,11,1)</f>
        <v>#NAME?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159</v>
      </c>
      <c r="I9" s="287">
        <v>4</v>
      </c>
      <c r="J9" s="287">
        <v>0</v>
      </c>
      <c r="K9" s="287">
        <v>10</v>
      </c>
      <c r="L9" s="287">
        <v>0.1958333333333333</v>
      </c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19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179</v>
      </c>
      <c r="C16" s="24"/>
      <c r="J16" s="6"/>
      <c r="K16" s="6"/>
      <c r="L16" s="6"/>
      <c r="M16" s="6"/>
    </row>
    <row r="17" spans="2:21" x14ac:dyDescent="0.2">
      <c r="B17" s="27" t="s">
        <v>56</v>
      </c>
      <c r="C17" s="340" t="s">
        <v>20</v>
      </c>
      <c r="D17" s="352"/>
      <c r="E17" s="341"/>
      <c r="F17" s="27" t="s">
        <v>28</v>
      </c>
      <c r="G17" s="27" t="s">
        <v>29</v>
      </c>
      <c r="H17" s="27" t="s">
        <v>27</v>
      </c>
      <c r="I17" s="340" t="s">
        <v>18</v>
      </c>
      <c r="J17" s="352"/>
      <c r="K17" s="352"/>
      <c r="L17" s="352"/>
      <c r="M17" s="352"/>
      <c r="N17" s="341"/>
    </row>
    <row r="18" spans="2:21" ht="13.5" thickBot="1" x14ac:dyDescent="0.25">
      <c r="B18" s="284" t="str">
        <f>'利用時間（期間）'!B2</f>
        <v>24-11</v>
      </c>
      <c r="C18" s="33" t="e">
        <f ca="1">IF(配列!$C$10="","",[0]!CSVVLookUP(ROW(行数!$A1),配列!$C$10,利用時間_シフト,3,1))</f>
        <v>#NAME?</v>
      </c>
      <c r="D18" s="288" t="e">
        <f ca="1">IF(配列!$C$10="","",[0]!CSVVLookUP(ROW(行数!$A1),配列!$C$10,利用時間_シフト,4,1))</f>
        <v>#NAME?</v>
      </c>
      <c r="E18" s="30" t="e">
        <f ca="1">IF(配列!$C$10="","",[0]!CSVVLookUP(ROW(行数!$A1),配列!$C$10,利用時間_シフト,5,1))</f>
        <v>#NAME?</v>
      </c>
      <c r="F18" s="289" t="e">
        <f ca="1">IF(配列!$C$10="","",[0]!CSVVLookUP(ROW(行数!$A1),配列!$C$10,利用時間_シフト,7,1))</f>
        <v>#NAME?</v>
      </c>
      <c r="G18" s="30" t="e">
        <f ca="1">IF(配列!$C$10="","",[0]!CSVVLookUP(ROW(行数!$A1),配列!$C$10,利用時間_シフト,8,1))</f>
        <v>#NAME?</v>
      </c>
      <c r="H18" s="28" t="e">
        <f ca="1">IF(配列!$C$10="","",[0]!CSVVLookUP(ROW(行数!$A1),配列!$C$10,利用時間_シフト,9,1))</f>
        <v>#NAME?</v>
      </c>
      <c r="I18" s="291" t="e">
        <f ca="1">IF(配列!$C$10="","",[0]!CSVVLookUP(ROW(行数!$A1),配列!$C$10,利用時間_シフト,14,1))</f>
        <v>#NAME?</v>
      </c>
      <c r="J18" s="292"/>
      <c r="K18" s="293"/>
      <c r="L18" s="293"/>
      <c r="M18" s="292"/>
      <c r="N18" s="295"/>
      <c r="O18" s="296"/>
      <c r="R18" s="19"/>
      <c r="S18" s="18"/>
      <c r="T18" s="2"/>
      <c r="U18" s="17"/>
    </row>
    <row r="19" spans="2:21" ht="13.5" thickBot="1" x14ac:dyDescent="0.25">
      <c r="C19" s="40"/>
      <c r="D19" s="23"/>
      <c r="E19" s="52" t="e">
        <f ca="1">SUM(E18:E18)</f>
        <v>#NAME?</v>
      </c>
      <c r="F19" s="290"/>
      <c r="G19" s="52" t="e">
        <f ca="1">SUM(G18:G18)</f>
        <v>#NAME?</v>
      </c>
      <c r="H19" s="52" t="e">
        <f ca="1">SUM(H18:H18)</f>
        <v>#NAME?</v>
      </c>
      <c r="I19" s="4"/>
      <c r="J19" s="4"/>
      <c r="K19" s="294"/>
      <c r="L19" s="294"/>
      <c r="M19" s="4"/>
      <c r="N19" s="4"/>
    </row>
    <row r="20" spans="2:21" x14ac:dyDescent="0.2">
      <c r="B20" s="24"/>
      <c r="C20" s="24"/>
      <c r="E20" s="10"/>
      <c r="F20" s="11"/>
      <c r="G20" s="9"/>
      <c r="H20" s="11"/>
      <c r="I20" s="6"/>
      <c r="J20"/>
      <c r="K20"/>
      <c r="L20"/>
      <c r="M20"/>
    </row>
    <row r="21" spans="2:21" x14ac:dyDescent="0.2">
      <c r="B21" s="24" t="s">
        <v>292</v>
      </c>
      <c r="C21" s="24"/>
      <c r="J21" s="6"/>
      <c r="K21" s="6"/>
      <c r="L21" s="6"/>
      <c r="M21" s="6"/>
    </row>
    <row r="22" spans="2:21" x14ac:dyDescent="0.2">
      <c r="B22" s="286" t="s">
        <v>55</v>
      </c>
      <c r="C22" s="340" t="s">
        <v>197</v>
      </c>
      <c r="D22" s="352"/>
      <c r="E22" s="341"/>
      <c r="F22" s="286" t="s">
        <v>229</v>
      </c>
      <c r="G22" s="286" t="s">
        <v>230</v>
      </c>
      <c r="H22" s="286" t="s">
        <v>157</v>
      </c>
      <c r="I22" s="340" t="s">
        <v>222</v>
      </c>
      <c r="J22" s="352"/>
      <c r="K22" s="352"/>
      <c r="L22" s="352"/>
      <c r="M22" s="352"/>
      <c r="N22" s="341"/>
    </row>
    <row r="23" spans="2:21" x14ac:dyDescent="0.2">
      <c r="B23" s="357" t="s">
        <v>289</v>
      </c>
      <c r="C23" s="36">
        <v>45475.916666666664</v>
      </c>
      <c r="D23" s="36">
        <v>45476.416666666664</v>
      </c>
      <c r="E23" s="285">
        <v>0.5</v>
      </c>
      <c r="F23" s="297">
        <v>0.98472222222222228</v>
      </c>
      <c r="G23" s="285">
        <v>0</v>
      </c>
      <c r="H23" s="298">
        <v>7.6388888888888895E-3</v>
      </c>
      <c r="I23" s="299"/>
      <c r="J23" s="300"/>
      <c r="K23" s="300"/>
      <c r="L23" s="300"/>
      <c r="M23" s="300"/>
      <c r="N23" s="301"/>
      <c r="O23" s="10"/>
      <c r="R23" s="19"/>
      <c r="S23" s="18"/>
      <c r="T23" s="2"/>
      <c r="U23" s="17"/>
    </row>
    <row r="24" spans="2:21" x14ac:dyDescent="0.2">
      <c r="B24" s="357"/>
      <c r="C24" s="33">
        <v>45476.416666666664</v>
      </c>
      <c r="D24" s="33">
        <v>45476.916666666664</v>
      </c>
      <c r="E24" s="30">
        <v>0.5</v>
      </c>
      <c r="F24" s="29">
        <v>0.95694444444444449</v>
      </c>
      <c r="G24" s="30">
        <v>6.2500000000000003E-3</v>
      </c>
      <c r="H24" s="28">
        <v>1.5277777777777779E-2</v>
      </c>
      <c r="I24" s="31" t="s">
        <v>82</v>
      </c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57"/>
      <c r="C25" s="33">
        <v>45476.916666666664</v>
      </c>
      <c r="D25" s="33">
        <v>45477.416666666664</v>
      </c>
      <c r="E25" s="30">
        <v>0.5</v>
      </c>
      <c r="F25" s="29">
        <v>0.97361111111111109</v>
      </c>
      <c r="G25" s="30">
        <v>0</v>
      </c>
      <c r="H25" s="28">
        <v>1.3194444444444444E-2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57"/>
      <c r="C26" s="33">
        <v>45477.416666666664</v>
      </c>
      <c r="D26" s="33">
        <v>45477.916666666664</v>
      </c>
      <c r="E26" s="30">
        <v>0.5</v>
      </c>
      <c r="F26" s="29">
        <v>0.98055555555555551</v>
      </c>
      <c r="G26" s="30">
        <v>0</v>
      </c>
      <c r="H26" s="28">
        <v>9.7222222222222224E-3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57"/>
      <c r="C27" s="33">
        <v>45477.916666666664</v>
      </c>
      <c r="D27" s="33">
        <v>45478.416666666664</v>
      </c>
      <c r="E27" s="30">
        <v>0.5</v>
      </c>
      <c r="F27" s="29">
        <v>0.98055555555555551</v>
      </c>
      <c r="G27" s="30">
        <v>0</v>
      </c>
      <c r="H27" s="28">
        <v>9.7222222222222224E-3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57"/>
      <c r="C28" s="358" t="s">
        <v>105</v>
      </c>
      <c r="D28" s="358"/>
      <c r="E28" s="302">
        <v>2.5</v>
      </c>
      <c r="F28" s="303">
        <v>0.9752777777777778</v>
      </c>
      <c r="G28" s="302">
        <v>6.2500000000000003E-3</v>
      </c>
      <c r="H28" s="302">
        <v>5.5555555555555559E-2</v>
      </c>
      <c r="I28" s="359" t="s">
        <v>293</v>
      </c>
      <c r="J28" s="359"/>
      <c r="K28" s="359"/>
      <c r="L28" s="359"/>
      <c r="M28" s="359"/>
      <c r="N28" s="359"/>
    </row>
    <row r="29" spans="2:21" x14ac:dyDescent="0.2">
      <c r="B29" s="357"/>
      <c r="C29" s="33">
        <v>45478.916666666664</v>
      </c>
      <c r="D29" s="33">
        <v>45479.416666666664</v>
      </c>
      <c r="E29" s="30">
        <v>0.5</v>
      </c>
      <c r="F29" s="29">
        <v>0.98888888888888893</v>
      </c>
      <c r="G29" s="30">
        <v>0</v>
      </c>
      <c r="H29" s="28">
        <v>5.5555555555555558E-3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57"/>
      <c r="C30" s="33">
        <v>45479.416666666664</v>
      </c>
      <c r="D30" s="33">
        <v>45479.916666666664</v>
      </c>
      <c r="E30" s="30">
        <v>0.5</v>
      </c>
      <c r="F30" s="29">
        <v>0.97499999999999998</v>
      </c>
      <c r="G30" s="30">
        <v>0</v>
      </c>
      <c r="H30" s="28">
        <v>1.2500000000000001E-2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57"/>
      <c r="C31" s="33">
        <v>45479.916666666664</v>
      </c>
      <c r="D31" s="33">
        <v>45480.416666666664</v>
      </c>
      <c r="E31" s="30">
        <v>0.5</v>
      </c>
      <c r="F31" s="29">
        <v>0.95000000000000007</v>
      </c>
      <c r="G31" s="30">
        <v>1.8749999999999999E-2</v>
      </c>
      <c r="H31" s="28">
        <v>6.2500000000000003E-3</v>
      </c>
      <c r="I31" s="31" t="s">
        <v>251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57"/>
      <c r="C32" s="33">
        <v>45480.416666666664</v>
      </c>
      <c r="D32" s="33">
        <v>45480.916666666664</v>
      </c>
      <c r="E32" s="30">
        <v>0.5</v>
      </c>
      <c r="F32" s="29">
        <v>0.99027777777777781</v>
      </c>
      <c r="G32" s="30">
        <v>0</v>
      </c>
      <c r="H32" s="28">
        <v>4.8611111111111112E-3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57"/>
      <c r="C33" s="33">
        <v>45480.916666666664</v>
      </c>
      <c r="D33" s="33">
        <v>45481.416666666664</v>
      </c>
      <c r="E33" s="30">
        <v>0.5</v>
      </c>
      <c r="F33" s="29">
        <v>0.98611111111111116</v>
      </c>
      <c r="G33" s="30">
        <v>0</v>
      </c>
      <c r="H33" s="28">
        <v>6.9444444444444449E-3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57"/>
      <c r="C34" s="358" t="s">
        <v>105</v>
      </c>
      <c r="D34" s="358"/>
      <c r="E34" s="302">
        <v>2.5</v>
      </c>
      <c r="F34" s="303">
        <v>0.97805555555555546</v>
      </c>
      <c r="G34" s="302">
        <v>1.8749999999999999E-2</v>
      </c>
      <c r="H34" s="302">
        <v>3.6111111111111115E-2</v>
      </c>
      <c r="I34" s="359" t="s">
        <v>294</v>
      </c>
      <c r="J34" s="359"/>
      <c r="K34" s="359"/>
      <c r="L34" s="359"/>
      <c r="M34" s="359"/>
      <c r="N34" s="359"/>
    </row>
    <row r="35" spans="2:21" x14ac:dyDescent="0.2">
      <c r="B35" s="357"/>
      <c r="C35" s="33">
        <v>45482.916666666664</v>
      </c>
      <c r="D35" s="33">
        <v>45483.416666666664</v>
      </c>
      <c r="E35" s="30">
        <v>0.5</v>
      </c>
      <c r="F35" s="29">
        <v>0.98055555555555551</v>
      </c>
      <c r="G35" s="30">
        <v>0</v>
      </c>
      <c r="H35" s="28">
        <v>9.7222222222222224E-3</v>
      </c>
      <c r="I35" s="31"/>
      <c r="J35" s="207"/>
      <c r="K35" s="207"/>
      <c r="L35" s="207"/>
      <c r="M35" s="207"/>
      <c r="N35" s="32"/>
      <c r="O35" s="10"/>
      <c r="R35" s="19"/>
      <c r="S35" s="18"/>
      <c r="T35" s="2"/>
      <c r="U35" s="17"/>
    </row>
    <row r="36" spans="2:21" x14ac:dyDescent="0.2">
      <c r="B36" s="357"/>
      <c r="C36" s="33">
        <v>45483.416666666664</v>
      </c>
      <c r="D36" s="33">
        <v>45483.916666666664</v>
      </c>
      <c r="E36" s="30">
        <v>0.5</v>
      </c>
      <c r="F36" s="29">
        <v>0.98750000000000004</v>
      </c>
      <c r="G36" s="30">
        <v>0</v>
      </c>
      <c r="H36" s="28">
        <v>6.2500000000000003E-3</v>
      </c>
      <c r="I36" s="31"/>
      <c r="J36" s="207"/>
      <c r="K36" s="207"/>
      <c r="L36" s="207"/>
      <c r="M36" s="207"/>
      <c r="N36" s="32"/>
      <c r="O36" s="10"/>
      <c r="R36" s="19"/>
      <c r="S36" s="18"/>
      <c r="T36" s="2"/>
      <c r="U36" s="17"/>
    </row>
    <row r="37" spans="2:21" x14ac:dyDescent="0.2">
      <c r="B37" s="357"/>
      <c r="C37" s="33">
        <v>45483.916666666664</v>
      </c>
      <c r="D37" s="33">
        <v>45484.416666666664</v>
      </c>
      <c r="E37" s="30">
        <v>0.5</v>
      </c>
      <c r="F37" s="29">
        <v>0.99444444444444446</v>
      </c>
      <c r="G37" s="30">
        <v>0</v>
      </c>
      <c r="H37" s="28">
        <v>2.7777777777777779E-3</v>
      </c>
      <c r="I37" s="31"/>
      <c r="J37" s="207"/>
      <c r="K37" s="207"/>
      <c r="L37" s="207"/>
      <c r="M37" s="207"/>
      <c r="N37" s="32"/>
      <c r="O37" s="10"/>
      <c r="R37" s="19"/>
      <c r="S37" s="18"/>
      <c r="T37" s="2"/>
      <c r="U37" s="17"/>
    </row>
    <row r="38" spans="2:21" x14ac:dyDescent="0.2">
      <c r="B38" s="357"/>
      <c r="C38" s="33">
        <v>45484.416666666664</v>
      </c>
      <c r="D38" s="33">
        <v>45484.916666666664</v>
      </c>
      <c r="E38" s="30">
        <v>0.5</v>
      </c>
      <c r="F38" s="29">
        <v>0.95972222222222225</v>
      </c>
      <c r="G38" s="30">
        <v>1.388888888888889E-2</v>
      </c>
      <c r="H38" s="28">
        <v>6.2500000000000003E-3</v>
      </c>
      <c r="I38" s="31" t="s">
        <v>295</v>
      </c>
      <c r="J38" s="207"/>
      <c r="K38" s="207"/>
      <c r="L38" s="207"/>
      <c r="M38" s="207"/>
      <c r="N38" s="32"/>
      <c r="O38" s="10"/>
      <c r="R38" s="19"/>
      <c r="S38" s="18"/>
      <c r="T38" s="2"/>
      <c r="U38" s="17"/>
    </row>
    <row r="39" spans="2:21" x14ac:dyDescent="0.2">
      <c r="B39" s="357"/>
      <c r="C39" s="33">
        <v>45484.916666666664</v>
      </c>
      <c r="D39" s="33">
        <v>45485.416666666664</v>
      </c>
      <c r="E39" s="30">
        <v>0.5</v>
      </c>
      <c r="F39" s="29">
        <v>0.9916666666666667</v>
      </c>
      <c r="G39" s="30">
        <v>0</v>
      </c>
      <c r="H39" s="28">
        <v>4.1666666666666666E-3</v>
      </c>
      <c r="I39" s="31"/>
      <c r="J39" s="207"/>
      <c r="K39" s="207"/>
      <c r="L39" s="207"/>
      <c r="M39" s="207"/>
      <c r="N39" s="32"/>
      <c r="O39" s="10"/>
      <c r="R39" s="19"/>
      <c r="S39" s="18"/>
      <c r="T39" s="2"/>
      <c r="U39" s="17"/>
    </row>
    <row r="40" spans="2:21" x14ac:dyDescent="0.2">
      <c r="B40" s="357"/>
      <c r="C40" s="358" t="s">
        <v>105</v>
      </c>
      <c r="D40" s="358"/>
      <c r="E40" s="302">
        <v>2.5</v>
      </c>
      <c r="F40" s="303">
        <v>0.98277777777777775</v>
      </c>
      <c r="G40" s="302">
        <v>1.388888888888889E-2</v>
      </c>
      <c r="H40" s="302">
        <v>2.9166666666666667E-2</v>
      </c>
      <c r="I40" s="359" t="s">
        <v>296</v>
      </c>
      <c r="J40" s="359"/>
      <c r="K40" s="359"/>
      <c r="L40" s="359"/>
      <c r="M40" s="359"/>
      <c r="N40" s="359"/>
    </row>
    <row r="41" spans="2:21" x14ac:dyDescent="0.2">
      <c r="B41" s="357"/>
      <c r="C41" s="33">
        <v>45485.916666666664</v>
      </c>
      <c r="D41" s="33">
        <v>45486.416666666664</v>
      </c>
      <c r="E41" s="30">
        <v>0.5</v>
      </c>
      <c r="F41" s="29">
        <v>0.96250000000000002</v>
      </c>
      <c r="G41" s="30">
        <v>1.6666666666666666E-2</v>
      </c>
      <c r="H41" s="28">
        <v>2.0833333333333333E-3</v>
      </c>
      <c r="I41" s="31" t="s">
        <v>246</v>
      </c>
      <c r="J41" s="207"/>
      <c r="K41" s="207"/>
      <c r="L41" s="207"/>
      <c r="M41" s="207"/>
      <c r="N41" s="32"/>
    </row>
    <row r="42" spans="2:21" x14ac:dyDescent="0.2">
      <c r="B42" s="357"/>
      <c r="C42" s="33">
        <v>45486.416666666664</v>
      </c>
      <c r="D42" s="33">
        <v>45486.916666666664</v>
      </c>
      <c r="E42" s="30">
        <v>0.5</v>
      </c>
      <c r="F42" s="29">
        <v>0.9916666666666667</v>
      </c>
      <c r="G42" s="30">
        <v>0</v>
      </c>
      <c r="H42" s="28">
        <v>4.1666666666666666E-3</v>
      </c>
      <c r="I42" s="31"/>
      <c r="J42" s="207"/>
      <c r="K42" s="207"/>
      <c r="L42" s="207"/>
      <c r="M42" s="207"/>
      <c r="N42" s="32"/>
    </row>
    <row r="43" spans="2:21" x14ac:dyDescent="0.2">
      <c r="B43" s="357"/>
      <c r="C43" s="33">
        <v>45486.916666666664</v>
      </c>
      <c r="D43" s="33">
        <v>45487.416666666664</v>
      </c>
      <c r="E43" s="30">
        <v>0.5</v>
      </c>
      <c r="F43" s="29">
        <v>0.99722222222222223</v>
      </c>
      <c r="G43" s="30">
        <v>0</v>
      </c>
      <c r="H43" s="28">
        <v>1.3888888888888889E-3</v>
      </c>
      <c r="I43" s="31"/>
      <c r="J43" s="207"/>
      <c r="K43" s="207"/>
      <c r="L43" s="207"/>
      <c r="M43" s="207"/>
      <c r="N43" s="32"/>
    </row>
    <row r="44" spans="2:21" x14ac:dyDescent="0.2">
      <c r="B44" s="357"/>
      <c r="C44" s="33">
        <v>45487.416666666664</v>
      </c>
      <c r="D44" s="33">
        <v>45487.916666666664</v>
      </c>
      <c r="E44" s="30">
        <v>0.5</v>
      </c>
      <c r="F44" s="29">
        <v>0.9916666666666667</v>
      </c>
      <c r="G44" s="30">
        <v>0</v>
      </c>
      <c r="H44" s="28">
        <v>4.1666666666666666E-3</v>
      </c>
      <c r="I44" s="31"/>
      <c r="J44" s="207"/>
      <c r="K44" s="207"/>
      <c r="L44" s="207"/>
      <c r="M44" s="207"/>
      <c r="N44" s="32"/>
    </row>
    <row r="45" spans="2:21" x14ac:dyDescent="0.2">
      <c r="B45" s="357"/>
      <c r="C45" s="33">
        <v>45487.916666666664</v>
      </c>
      <c r="D45" s="33">
        <v>45488.416666666664</v>
      </c>
      <c r="E45" s="30">
        <v>0.5</v>
      </c>
      <c r="F45" s="29">
        <v>0.98472222222222228</v>
      </c>
      <c r="G45" s="30">
        <v>0</v>
      </c>
      <c r="H45" s="28">
        <v>7.6388888888888895E-3</v>
      </c>
      <c r="I45" s="31"/>
      <c r="J45" s="207"/>
      <c r="K45" s="207"/>
      <c r="L45" s="207"/>
      <c r="M45" s="207"/>
      <c r="N45" s="32"/>
    </row>
    <row r="46" spans="2:21" ht="13.5" thickBot="1" x14ac:dyDescent="0.25">
      <c r="B46" s="357"/>
      <c r="C46" s="358" t="s">
        <v>105</v>
      </c>
      <c r="D46" s="358"/>
      <c r="E46" s="302">
        <v>2.5</v>
      </c>
      <c r="F46" s="303">
        <v>0.98555555555555563</v>
      </c>
      <c r="G46" s="302">
        <v>1.6666666666666666E-2</v>
      </c>
      <c r="H46" s="302">
        <v>1.9444444444444445E-2</v>
      </c>
      <c r="I46" s="359" t="s">
        <v>297</v>
      </c>
      <c r="J46" s="359"/>
      <c r="K46" s="359"/>
      <c r="L46" s="359"/>
      <c r="M46" s="359"/>
      <c r="N46" s="359"/>
    </row>
    <row r="47" spans="2:21" ht="13.5" thickBot="1" x14ac:dyDescent="0.25">
      <c r="D47" s="23"/>
      <c r="E47" s="52">
        <v>10</v>
      </c>
      <c r="F47" s="53"/>
      <c r="G47" s="52">
        <v>5.5555555555555552E-2</v>
      </c>
      <c r="H47" s="52">
        <v>0.14027777777777781</v>
      </c>
      <c r="I47" s="4"/>
      <c r="J47" s="4"/>
      <c r="K47" s="4"/>
      <c r="L47" s="4"/>
      <c r="M47" s="4"/>
      <c r="N47" s="4"/>
    </row>
    <row r="48" spans="2:21" x14ac:dyDescent="0.2">
      <c r="B48" s="24" t="s">
        <v>21</v>
      </c>
      <c r="C48" s="22"/>
      <c r="D48"/>
      <c r="H48" s="16"/>
      <c r="J48"/>
      <c r="K48"/>
      <c r="L48"/>
      <c r="M48"/>
    </row>
    <row r="49" spans="2:13" x14ac:dyDescent="0.2">
      <c r="B49" s="24"/>
      <c r="C49" s="22"/>
      <c r="D49"/>
      <c r="H49" s="16"/>
      <c r="J49"/>
      <c r="K49"/>
      <c r="L49"/>
      <c r="M49"/>
    </row>
    <row r="50" spans="2:13" x14ac:dyDescent="0.2">
      <c r="B50" s="24" t="s">
        <v>180</v>
      </c>
      <c r="C50" s="22"/>
      <c r="D50"/>
      <c r="H50" s="16"/>
      <c r="J50"/>
      <c r="K50"/>
      <c r="L50"/>
      <c r="M50"/>
    </row>
    <row r="51" spans="2:13" x14ac:dyDescent="0.2">
      <c r="B51" s="353" t="s">
        <v>10</v>
      </c>
      <c r="C51" s="36" t="s">
        <v>30</v>
      </c>
      <c r="D51" s="34" t="s">
        <v>22</v>
      </c>
      <c r="E51" s="34" t="s">
        <v>23</v>
      </c>
      <c r="F51" s="203" t="s">
        <v>24</v>
      </c>
      <c r="G51" s="355" t="s">
        <v>18</v>
      </c>
      <c r="H51" s="355"/>
      <c r="I51" s="4"/>
      <c r="J51"/>
      <c r="K51" s="201"/>
      <c r="L51"/>
      <c r="M51"/>
    </row>
    <row r="52" spans="2:13" x14ac:dyDescent="0.2">
      <c r="B52" s="354"/>
      <c r="C52" s="37" t="s">
        <v>31</v>
      </c>
      <c r="D52" s="35" t="s">
        <v>32</v>
      </c>
      <c r="E52" s="56" t="s">
        <v>187</v>
      </c>
      <c r="F52" s="204" t="s">
        <v>33</v>
      </c>
      <c r="G52" s="355"/>
      <c r="H52" s="355"/>
      <c r="I52" s="16"/>
      <c r="K52" s="201"/>
      <c r="L52"/>
      <c r="M52"/>
    </row>
    <row r="53" spans="2:13" x14ac:dyDescent="0.2">
      <c r="B53" s="34" t="str">
        <f>'利用時間（期間）'!B2</f>
        <v>24-11</v>
      </c>
      <c r="C53" s="281" t="e">
        <f ca="1">IF(配列!$C$11="","",[0]!CSVVLookUP(ROW(行数!$A1),配列!$C$11,利用時間_ユーザー,16,1))</f>
        <v>#NAME?</v>
      </c>
      <c r="D53" s="282" t="e">
        <f ca="1">IF(配列!$C$11="","",[0]!CSVVLookUP(ROW(行数!$A1),配列!$C$11,利用時間_ユーザー,17,1))</f>
        <v>#NAME?</v>
      </c>
      <c r="E53" s="283" t="e">
        <f ca="1">IF(配列!$C$11="","",[0]!CSVVLookUP(ROW(行数!$A1),配列!$C$11,利用時間_ユーザー,18,1))</f>
        <v>#NAME?</v>
      </c>
      <c r="F53" s="282" t="e">
        <f ca="1">IF(配列!$C$11="","",[0]!CSVVLookUP(ROW(行数!$A1),配列!$C$11,利用時間_ユーザー,19,1))</f>
        <v>#NAME?</v>
      </c>
      <c r="G53" s="356" t="e">
        <f ca="1">IF(配列!$C$11="","",[0]!CSVVLookUP(ROW(行数!$A1),配列!$C$11,利用時間_ユーザー,15,1))</f>
        <v>#NAME?</v>
      </c>
      <c r="H53" s="356"/>
      <c r="J53"/>
      <c r="K53" s="201"/>
      <c r="L53"/>
      <c r="M53"/>
    </row>
    <row r="54" spans="2:13" x14ac:dyDescent="0.2">
      <c r="B54" s="304"/>
      <c r="C54" s="305"/>
      <c r="D54" s="306"/>
      <c r="E54" s="307"/>
      <c r="F54" s="306"/>
      <c r="G54" s="4"/>
      <c r="H54" s="4"/>
      <c r="J54"/>
      <c r="K54" s="201"/>
      <c r="L54"/>
      <c r="M54"/>
    </row>
    <row r="55" spans="2:13" x14ac:dyDescent="0.2">
      <c r="B55" s="24" t="s">
        <v>298</v>
      </c>
      <c r="C55" s="22"/>
      <c r="D55"/>
      <c r="H55" s="16"/>
      <c r="J55"/>
      <c r="K55"/>
      <c r="L55"/>
      <c r="M55"/>
    </row>
    <row r="56" spans="2:13" x14ac:dyDescent="0.2">
      <c r="B56" s="353" t="s">
        <v>55</v>
      </c>
      <c r="C56" s="36" t="s">
        <v>34</v>
      </c>
      <c r="D56" s="34" t="s">
        <v>233</v>
      </c>
      <c r="E56" s="34" t="s">
        <v>198</v>
      </c>
      <c r="F56" s="203" t="s">
        <v>234</v>
      </c>
      <c r="G56" s="357" t="s">
        <v>222</v>
      </c>
      <c r="H56" s="357"/>
      <c r="I56" s="4"/>
      <c r="J56"/>
      <c r="K56" s="201"/>
      <c r="L56"/>
      <c r="M56"/>
    </row>
    <row r="57" spans="2:13" x14ac:dyDescent="0.2">
      <c r="B57" s="354"/>
      <c r="C57" s="37" t="s">
        <v>235</v>
      </c>
      <c r="D57" s="35" t="s">
        <v>236</v>
      </c>
      <c r="E57" s="56" t="s">
        <v>237</v>
      </c>
      <c r="F57" s="204" t="s">
        <v>238</v>
      </c>
      <c r="G57" s="357"/>
      <c r="H57" s="357"/>
      <c r="I57" s="16"/>
      <c r="K57" s="201"/>
      <c r="L57"/>
      <c r="M57"/>
    </row>
    <row r="58" spans="2:13" x14ac:dyDescent="0.2">
      <c r="B58" s="325" t="s">
        <v>289</v>
      </c>
      <c r="C58" s="54">
        <v>7.98</v>
      </c>
      <c r="D58" s="61">
        <v>30</v>
      </c>
      <c r="E58" s="60">
        <v>8.98</v>
      </c>
      <c r="F58" s="221">
        <v>500</v>
      </c>
      <c r="G58" s="360" t="s">
        <v>293</v>
      </c>
      <c r="H58" s="360"/>
      <c r="J58"/>
      <c r="K58" s="201"/>
      <c r="L58"/>
      <c r="M58"/>
    </row>
    <row r="59" spans="2:13" x14ac:dyDescent="0.2">
      <c r="B59" s="326"/>
      <c r="C59" s="54">
        <v>7.98</v>
      </c>
      <c r="D59" s="61">
        <v>30</v>
      </c>
      <c r="E59" s="60">
        <v>11.92</v>
      </c>
      <c r="F59" s="221">
        <v>400</v>
      </c>
      <c r="G59" s="360" t="s">
        <v>294</v>
      </c>
      <c r="H59" s="360"/>
      <c r="J59"/>
      <c r="K59" s="201"/>
      <c r="L59"/>
      <c r="M59"/>
    </row>
    <row r="60" spans="2:13" x14ac:dyDescent="0.2">
      <c r="B60" s="326"/>
      <c r="C60" s="54">
        <v>6.3</v>
      </c>
      <c r="D60" s="61">
        <v>30</v>
      </c>
      <c r="E60" s="60">
        <v>6.54</v>
      </c>
      <c r="F60" s="221">
        <v>430</v>
      </c>
      <c r="G60" s="360" t="s">
        <v>296</v>
      </c>
      <c r="H60" s="360"/>
      <c r="J60"/>
      <c r="K60" s="201"/>
      <c r="L60"/>
      <c r="M60"/>
    </row>
    <row r="61" spans="2:13" x14ac:dyDescent="0.2">
      <c r="B61" s="357"/>
      <c r="C61" s="281">
        <v>7.98</v>
      </c>
      <c r="D61" s="282" t="s">
        <v>299</v>
      </c>
      <c r="E61" s="283">
        <v>9.5</v>
      </c>
      <c r="F61" s="282">
        <v>300</v>
      </c>
      <c r="G61" s="360" t="s">
        <v>297</v>
      </c>
      <c r="H61" s="360"/>
      <c r="J61"/>
      <c r="K61" s="201"/>
      <c r="L61"/>
      <c r="M61"/>
    </row>
    <row r="62" spans="2:13" x14ac:dyDescent="0.2">
      <c r="B62" s="40"/>
      <c r="C62" s="40"/>
      <c r="D62" s="41"/>
      <c r="E62" s="42"/>
      <c r="F62" s="42"/>
      <c r="G62" s="222"/>
    </row>
  </sheetData>
  <mergeCells count="38">
    <mergeCell ref="B56:B57"/>
    <mergeCell ref="G56:H57"/>
    <mergeCell ref="B58:B61"/>
    <mergeCell ref="G58:H58"/>
    <mergeCell ref="G59:H59"/>
    <mergeCell ref="G60:H60"/>
    <mergeCell ref="G61:H61"/>
    <mergeCell ref="C17:E17"/>
    <mergeCell ref="I17:N17"/>
    <mergeCell ref="B51:B52"/>
    <mergeCell ref="G51:H52"/>
    <mergeCell ref="G53:H53"/>
    <mergeCell ref="C22:E22"/>
    <mergeCell ref="I22:N22"/>
    <mergeCell ref="B23:B46"/>
    <mergeCell ref="C28:D28"/>
    <mergeCell ref="I28:N28"/>
    <mergeCell ref="C34:D34"/>
    <mergeCell ref="I34:N34"/>
    <mergeCell ref="C40:D40"/>
    <mergeCell ref="I40:N40"/>
    <mergeCell ref="C46:D46"/>
    <mergeCell ref="I46:N46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19:L19 C18:E18 G18:L18 N18:N19">
    <cfRule type="expression" dxfId="92" priority="17">
      <formula>SECOND(C18)&gt;0</formula>
    </cfRule>
  </conditionalFormatting>
  <conditionalFormatting sqref="M19">
    <cfRule type="expression" dxfId="91" priority="15">
      <formula>SECOND(M19)&gt;0</formula>
    </cfRule>
  </conditionalFormatting>
  <conditionalFormatting sqref="M18">
    <cfRule type="expression" dxfId="90" priority="14">
      <formula>SECOND(M18)&gt;0</formula>
    </cfRule>
  </conditionalFormatting>
  <conditionalFormatting sqref="B18:B19">
    <cfRule type="expression" dxfId="89" priority="13">
      <formula>SECOND(B18)&gt;0</formula>
    </cfRule>
  </conditionalFormatting>
  <conditionalFormatting sqref="C47:L47 C23:E27 G23:L27 N23:N27 N29:N33 G29:L33 C29:E33 C35:E39 G35:L39 N35:N39 N41:N45 G41:L45 C41:E45 N47">
    <cfRule type="expression" dxfId="88" priority="11">
      <formula>SECOND(C23)&gt;0</formula>
    </cfRule>
  </conditionalFormatting>
  <conditionalFormatting sqref="M47">
    <cfRule type="expression" dxfId="87" priority="10">
      <formula>SECOND(M47)&gt;0</formula>
    </cfRule>
  </conditionalFormatting>
  <conditionalFormatting sqref="M23:M27 M29:M33 M35:M39 M41:M45">
    <cfRule type="expression" dxfId="86" priority="9">
      <formula>SECOND(M23)&gt;0</formula>
    </cfRule>
  </conditionalFormatting>
  <conditionalFormatting sqref="B23 B47">
    <cfRule type="expression" dxfId="85" priority="8">
      <formula>SECOND(B23)&gt;0</formula>
    </cfRule>
  </conditionalFormatting>
  <conditionalFormatting sqref="C28:E28 G28:H28">
    <cfRule type="expression" dxfId="84" priority="7">
      <formula>SECOND(C28)&gt;0</formula>
    </cfRule>
  </conditionalFormatting>
  <conditionalFormatting sqref="B28">
    <cfRule type="expression" dxfId="83" priority="6">
      <formula>SECOND(B28)&gt;0</formula>
    </cfRule>
  </conditionalFormatting>
  <conditionalFormatting sqref="C34:E34 G34:H34">
    <cfRule type="expression" dxfId="82" priority="5">
      <formula>SECOND(C34)&gt;0</formula>
    </cfRule>
  </conditionalFormatting>
  <conditionalFormatting sqref="B34">
    <cfRule type="expression" dxfId="81" priority="4">
      <formula>SECOND(B34)&gt;0</formula>
    </cfRule>
  </conditionalFormatting>
  <conditionalFormatting sqref="C40:E40 G40:H40">
    <cfRule type="expression" dxfId="80" priority="3">
      <formula>SECOND(C40)&gt;0</formula>
    </cfRule>
  </conditionalFormatting>
  <conditionalFormatting sqref="B40">
    <cfRule type="expression" dxfId="79" priority="2">
      <formula>SECOND(B40)&gt;0</formula>
    </cfRule>
  </conditionalFormatting>
  <conditionalFormatting sqref="C46:E46 G46:H46">
    <cfRule type="expression" dxfId="78" priority="1">
      <formula>SECOND(C46)&gt;0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2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G28" sqref="G28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2:I17"/>
  <sheetViews>
    <sheetView workbookViewId="0">
      <selection activeCell="C32" sqref="C32"/>
    </sheetView>
  </sheetViews>
  <sheetFormatPr defaultColWidth="9" defaultRowHeight="13" x14ac:dyDescent="0.2"/>
  <cols>
    <col min="1" max="1" width="17.08984375" style="88" bestFit="1" customWidth="1"/>
    <col min="2" max="2" width="9" style="88" customWidth="1"/>
    <col min="3" max="3" width="18.6328125" style="88" bestFit="1" customWidth="1"/>
    <col min="4" max="4" width="9" style="88"/>
    <col min="5" max="5" width="18.6328125" style="88" bestFit="1" customWidth="1"/>
    <col min="6" max="6" width="9" style="88"/>
    <col min="7" max="7" width="18.90625" style="88" bestFit="1" customWidth="1"/>
    <col min="8" max="8" width="17.08984375" style="88" bestFit="1" customWidth="1"/>
    <col min="9" max="9" width="22" style="88" bestFit="1" customWidth="1"/>
    <col min="10" max="10" width="9" style="88"/>
    <col min="11" max="11" width="35.90625" style="88" bestFit="1" customWidth="1"/>
    <col min="12" max="13" width="9" style="88"/>
    <col min="14" max="15" width="17.08984375" style="88" bestFit="1" customWidth="1"/>
    <col min="16" max="16" width="14" style="88" bestFit="1" customWidth="1"/>
    <col min="17" max="16384" width="9" style="88"/>
  </cols>
  <sheetData>
    <row r="2" spans="1:9" x14ac:dyDescent="0.2">
      <c r="A2" s="88" t="s">
        <v>71</v>
      </c>
      <c r="C2" s="88" t="s">
        <v>72</v>
      </c>
      <c r="E2" s="88" t="s">
        <v>73</v>
      </c>
      <c r="G2" s="88" t="s">
        <v>79</v>
      </c>
    </row>
    <row r="3" spans="1:9" ht="13.5" thickBot="1" x14ac:dyDescent="0.25"/>
    <row r="4" spans="1:9" ht="13.5" thickBot="1" x14ac:dyDescent="0.25">
      <c r="A4" s="124" t="s">
        <v>45</v>
      </c>
      <c r="C4" s="124" t="s">
        <v>57</v>
      </c>
      <c r="E4" s="124" t="s">
        <v>58</v>
      </c>
      <c r="G4" s="125" t="s">
        <v>80</v>
      </c>
      <c r="I4" s="125" t="s">
        <v>118</v>
      </c>
    </row>
    <row r="5" spans="1:9" x14ac:dyDescent="0.2">
      <c r="A5" s="126" t="s">
        <v>0</v>
      </c>
      <c r="C5" s="127" t="s">
        <v>49</v>
      </c>
      <c r="E5" s="127" t="s">
        <v>59</v>
      </c>
      <c r="G5" s="130" t="s">
        <v>81</v>
      </c>
      <c r="I5" s="128" t="s">
        <v>116</v>
      </c>
    </row>
    <row r="6" spans="1:9" ht="13.5" thickBot="1" x14ac:dyDescent="0.25">
      <c r="A6" s="129" t="s">
        <v>46</v>
      </c>
      <c r="C6" s="128" t="s">
        <v>50</v>
      </c>
      <c r="E6" s="128" t="s">
        <v>60</v>
      </c>
      <c r="G6" s="130" t="s">
        <v>82</v>
      </c>
      <c r="I6" s="131" t="s">
        <v>117</v>
      </c>
    </row>
    <row r="7" spans="1:9" x14ac:dyDescent="0.2">
      <c r="A7" s="129" t="s">
        <v>1</v>
      </c>
      <c r="C7" s="128" t="s">
        <v>48</v>
      </c>
      <c r="E7" s="128" t="s">
        <v>61</v>
      </c>
      <c r="G7" s="130" t="s">
        <v>83</v>
      </c>
    </row>
    <row r="8" spans="1:9" ht="13.5" thickBot="1" x14ac:dyDescent="0.25">
      <c r="A8" s="129" t="s">
        <v>2</v>
      </c>
      <c r="C8" s="131"/>
      <c r="E8" s="128" t="s">
        <v>62</v>
      </c>
      <c r="G8" s="130" t="s">
        <v>137</v>
      </c>
    </row>
    <row r="9" spans="1:9" ht="13.5" thickBot="1" x14ac:dyDescent="0.25">
      <c r="A9" s="129" t="s">
        <v>3</v>
      </c>
      <c r="E9" s="128" t="s">
        <v>63</v>
      </c>
      <c r="G9" s="132" t="s">
        <v>144</v>
      </c>
    </row>
    <row r="10" spans="1:9" ht="13.5" thickBot="1" x14ac:dyDescent="0.25">
      <c r="A10" s="129" t="s">
        <v>4</v>
      </c>
      <c r="E10" s="131" t="s">
        <v>142</v>
      </c>
      <c r="G10" s="132" t="s">
        <v>153</v>
      </c>
    </row>
    <row r="11" spans="1:9" x14ac:dyDescent="0.2">
      <c r="A11" s="129" t="s">
        <v>5</v>
      </c>
    </row>
    <row r="12" spans="1:9" x14ac:dyDescent="0.2">
      <c r="A12" s="129" t="s">
        <v>6</v>
      </c>
    </row>
    <row r="13" spans="1:9" x14ac:dyDescent="0.2">
      <c r="A13" s="129" t="s">
        <v>7</v>
      </c>
    </row>
    <row r="14" spans="1:9" x14ac:dyDescent="0.2">
      <c r="A14" s="129" t="s">
        <v>8</v>
      </c>
    </row>
    <row r="15" spans="1:9" x14ac:dyDescent="0.2">
      <c r="A15" s="129" t="s">
        <v>9</v>
      </c>
    </row>
    <row r="16" spans="1:9" ht="13.5" thickBot="1" x14ac:dyDescent="0.25">
      <c r="A16" s="133" t="s">
        <v>54</v>
      </c>
    </row>
    <row r="17" spans="1:1" x14ac:dyDescent="0.2">
      <c r="A17" s="163"/>
    </row>
  </sheetData>
  <phoneticPr fontId="1"/>
  <conditionalFormatting sqref="A5:A17">
    <cfRule type="expression" dxfId="77" priority="972">
      <formula>#REF!="トンネル入室"</formula>
    </cfRule>
    <cfRule type="expression" dxfId="76" priority="973">
      <formula>#REF!="ユーザー調整時間"</formula>
    </cfRule>
    <cfRule type="expression" dxfId="75" priority="974">
      <formula>#REF!="BL調整"</formula>
    </cfRule>
    <cfRule type="expression" dxfId="74" priority="975">
      <formula>#REF!="ユーザー運転"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C12"/>
  <sheetViews>
    <sheetView topLeftCell="C1" workbookViewId="0">
      <selection activeCell="C4" sqref="C4"/>
    </sheetView>
  </sheetViews>
  <sheetFormatPr defaultColWidth="9" defaultRowHeight="13" x14ac:dyDescent="0.2"/>
  <cols>
    <col min="1" max="1" width="15.08984375" style="88" bestFit="1" customWidth="1"/>
    <col min="2" max="2" width="18.36328125" style="88" bestFit="1" customWidth="1"/>
    <col min="3" max="3" width="255.6328125" style="88" bestFit="1" customWidth="1"/>
    <col min="4" max="16384" width="9" style="88"/>
  </cols>
  <sheetData>
    <row r="1" spans="1:3" ht="19" x14ac:dyDescent="0.2">
      <c r="A1" s="134" t="s">
        <v>131</v>
      </c>
    </row>
    <row r="3" spans="1:3" x14ac:dyDescent="0.2">
      <c r="A3" s="93" t="s">
        <v>112</v>
      </c>
      <c r="B3" s="93" t="s">
        <v>113</v>
      </c>
      <c r="C3" s="135" t="s">
        <v>114</v>
      </c>
    </row>
    <row r="4" spans="1:3" x14ac:dyDescent="0.2">
      <c r="A4" s="93" t="s">
        <v>111</v>
      </c>
      <c r="B4" s="93" t="str">
        <f>リスト!$C$5</f>
        <v>ユーザー運転</v>
      </c>
      <c r="C4" s="117" t="e">
        <f ca="1">[0]!AcuMatch(リスト!$C$5, 集計記録!$B$9:$B$6000)</f>
        <v>#NAME?</v>
      </c>
    </row>
    <row r="5" spans="1:3" x14ac:dyDescent="0.2">
      <c r="A5" s="93" t="s">
        <v>124</v>
      </c>
      <c r="B5" s="93" t="str">
        <f>リスト!$E$6</f>
        <v>ユーザー</v>
      </c>
      <c r="C5" s="93" t="e">
        <f ca="1">[0]!AcuMatch(リスト!$E$6, 運転予定時間_運転種別)</f>
        <v>#NAME?</v>
      </c>
    </row>
    <row r="6" spans="1:3" x14ac:dyDescent="0.2">
      <c r="A6" s="93" t="s">
        <v>124</v>
      </c>
      <c r="B6" s="93" t="str">
        <f>リスト!$E$9</f>
        <v>ユニット合計</v>
      </c>
      <c r="C6" s="93" t="e">
        <f ca="1">[0]!AcuMatch(リスト!$E$9, 運転予定時間_運転種別)</f>
        <v>#NAME?</v>
      </c>
    </row>
    <row r="7" spans="1:3" x14ac:dyDescent="0.2">
      <c r="A7" s="93" t="s">
        <v>124</v>
      </c>
      <c r="B7" s="93" t="s">
        <v>120</v>
      </c>
      <c r="C7" s="93" t="e">
        <f ca="1">[0]!AcuMatch("*調整",運転予定時間_運転種別)</f>
        <v>#NAME?</v>
      </c>
    </row>
    <row r="8" spans="1:3" x14ac:dyDescent="0.2">
      <c r="A8" s="93" t="s">
        <v>115</v>
      </c>
      <c r="B8" s="93" t="s">
        <v>116</v>
      </c>
      <c r="C8" s="93" t="e">
        <f ca="1">[0]!AcuMatch("ユーザー開始", '利用時間(シフト)'!$O$9:$O$1000)</f>
        <v>#NAME?</v>
      </c>
    </row>
    <row r="9" spans="1:3" x14ac:dyDescent="0.2">
      <c r="A9" s="93" t="s">
        <v>115</v>
      </c>
      <c r="B9" s="93" t="s">
        <v>117</v>
      </c>
      <c r="C9" s="93" t="e">
        <f ca="1">[0]!AcuMatch("ユーザー終了", '利用時間(シフト)'!$P$9:$P$1000)</f>
        <v>#NAME?</v>
      </c>
    </row>
    <row r="10" spans="1:3" x14ac:dyDescent="0.2">
      <c r="A10" s="93" t="s">
        <v>115</v>
      </c>
      <c r="B10" s="93" t="s">
        <v>123</v>
      </c>
      <c r="C10" s="93" t="e">
        <f ca="1">[0]!AcuMatch('利用時間（期間）'!$B$2,'利用時間(シフト)'!$B$9:$B$1000)</f>
        <v>#NAME?</v>
      </c>
    </row>
    <row r="11" spans="1:3" x14ac:dyDescent="0.2">
      <c r="A11" s="93" t="s">
        <v>125</v>
      </c>
      <c r="B11" s="93" t="s">
        <v>123</v>
      </c>
      <c r="C11" s="93" t="e">
        <f ca="1">[0]!AcuMatch('利用時間（期間）'!$B$2,'利用時間(User)'!$B$9:$B$1000)</f>
        <v>#NAME?</v>
      </c>
    </row>
    <row r="12" spans="1:3" x14ac:dyDescent="0.2">
      <c r="A12" s="93" t="s">
        <v>128</v>
      </c>
      <c r="B12" s="93" t="s">
        <v>129</v>
      </c>
      <c r="C12" s="93" t="e">
        <f ca="1">[0]!AcuMatch('利用時間（期間）'!$B$2,'利用時間（期間）'!$C$4:$C$100)</f>
        <v>#NAME?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W83"/>
  <sheetViews>
    <sheetView showWhiteSpace="0" view="pageBreakPreview" zoomScaleNormal="100" zoomScaleSheetLayoutView="100" workbookViewId="0">
      <selection activeCell="F40" sqref="F40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5" width="16" customWidth="1"/>
    <col min="16" max="16" width="16" style="201" customWidth="1"/>
    <col min="252" max="252" width="5.453125" customWidth="1"/>
    <col min="253" max="253" width="19" bestFit="1" customWidth="1"/>
    <col min="254" max="254" width="18" bestFit="1" customWidth="1"/>
    <col min="255" max="255" width="18" customWidth="1"/>
    <col min="256" max="256" width="16.90625" customWidth="1"/>
    <col min="257" max="257" width="18.6328125" customWidth="1"/>
    <col min="258" max="260" width="16" customWidth="1"/>
    <col min="261" max="261" width="61.08984375" customWidth="1"/>
    <col min="262" max="262" width="9.08984375" bestFit="1" customWidth="1"/>
    <col min="508" max="508" width="5.453125" customWidth="1"/>
    <col min="509" max="509" width="19" bestFit="1" customWidth="1"/>
    <col min="510" max="510" width="18" bestFit="1" customWidth="1"/>
    <col min="511" max="511" width="18" customWidth="1"/>
    <col min="512" max="512" width="16.90625" customWidth="1"/>
    <col min="513" max="513" width="18.6328125" customWidth="1"/>
    <col min="514" max="516" width="16" customWidth="1"/>
    <col min="517" max="517" width="61.08984375" customWidth="1"/>
    <col min="518" max="518" width="9.08984375" bestFit="1" customWidth="1"/>
    <col min="764" max="764" width="5.453125" customWidth="1"/>
    <col min="765" max="765" width="19" bestFit="1" customWidth="1"/>
    <col min="766" max="766" width="18" bestFit="1" customWidth="1"/>
    <col min="767" max="767" width="18" customWidth="1"/>
    <col min="768" max="768" width="16.90625" customWidth="1"/>
    <col min="769" max="769" width="18.6328125" customWidth="1"/>
    <col min="770" max="772" width="16" customWidth="1"/>
    <col min="773" max="773" width="61.08984375" customWidth="1"/>
    <col min="774" max="774" width="9.08984375" bestFit="1" customWidth="1"/>
    <col min="1020" max="1020" width="5.453125" customWidth="1"/>
    <col min="1021" max="1021" width="19" bestFit="1" customWidth="1"/>
    <col min="1022" max="1022" width="18" bestFit="1" customWidth="1"/>
    <col min="1023" max="1023" width="18" customWidth="1"/>
    <col min="1024" max="1024" width="16.90625" customWidth="1"/>
    <col min="1025" max="1025" width="18.6328125" customWidth="1"/>
    <col min="1026" max="1028" width="16" customWidth="1"/>
    <col min="1029" max="1029" width="61.08984375" customWidth="1"/>
    <col min="1030" max="1030" width="9.08984375" bestFit="1" customWidth="1"/>
    <col min="1276" max="1276" width="5.453125" customWidth="1"/>
    <col min="1277" max="1277" width="19" bestFit="1" customWidth="1"/>
    <col min="1278" max="1278" width="18" bestFit="1" customWidth="1"/>
    <col min="1279" max="1279" width="18" customWidth="1"/>
    <col min="1280" max="1280" width="16.90625" customWidth="1"/>
    <col min="1281" max="1281" width="18.6328125" customWidth="1"/>
    <col min="1282" max="1284" width="16" customWidth="1"/>
    <col min="1285" max="1285" width="61.08984375" customWidth="1"/>
    <col min="1286" max="1286" width="9.08984375" bestFit="1" customWidth="1"/>
    <col min="1532" max="1532" width="5.453125" customWidth="1"/>
    <col min="1533" max="1533" width="19" bestFit="1" customWidth="1"/>
    <col min="1534" max="1534" width="18" bestFit="1" customWidth="1"/>
    <col min="1535" max="1535" width="18" customWidth="1"/>
    <col min="1536" max="1536" width="16.90625" customWidth="1"/>
    <col min="1537" max="1537" width="18.6328125" customWidth="1"/>
    <col min="1538" max="1540" width="16" customWidth="1"/>
    <col min="1541" max="1541" width="61.08984375" customWidth="1"/>
    <col min="1542" max="1542" width="9.08984375" bestFit="1" customWidth="1"/>
    <col min="1788" max="1788" width="5.453125" customWidth="1"/>
    <col min="1789" max="1789" width="19" bestFit="1" customWidth="1"/>
    <col min="1790" max="1790" width="18" bestFit="1" customWidth="1"/>
    <col min="1791" max="1791" width="18" customWidth="1"/>
    <col min="1792" max="1792" width="16.90625" customWidth="1"/>
    <col min="1793" max="1793" width="18.6328125" customWidth="1"/>
    <col min="1794" max="1796" width="16" customWidth="1"/>
    <col min="1797" max="1797" width="61.08984375" customWidth="1"/>
    <col min="1798" max="1798" width="9.08984375" bestFit="1" customWidth="1"/>
    <col min="2044" max="2044" width="5.453125" customWidth="1"/>
    <col min="2045" max="2045" width="19" bestFit="1" customWidth="1"/>
    <col min="2046" max="2046" width="18" bestFit="1" customWidth="1"/>
    <col min="2047" max="2047" width="18" customWidth="1"/>
    <col min="2048" max="2048" width="16.90625" customWidth="1"/>
    <col min="2049" max="2049" width="18.6328125" customWidth="1"/>
    <col min="2050" max="2052" width="16" customWidth="1"/>
    <col min="2053" max="2053" width="61.08984375" customWidth="1"/>
    <col min="2054" max="2054" width="9.08984375" bestFit="1" customWidth="1"/>
    <col min="2300" max="2300" width="5.453125" customWidth="1"/>
    <col min="2301" max="2301" width="19" bestFit="1" customWidth="1"/>
    <col min="2302" max="2302" width="18" bestFit="1" customWidth="1"/>
    <col min="2303" max="2303" width="18" customWidth="1"/>
    <col min="2304" max="2304" width="16.90625" customWidth="1"/>
    <col min="2305" max="2305" width="18.6328125" customWidth="1"/>
    <col min="2306" max="2308" width="16" customWidth="1"/>
    <col min="2309" max="2309" width="61.08984375" customWidth="1"/>
    <col min="2310" max="2310" width="9.08984375" bestFit="1" customWidth="1"/>
    <col min="2556" max="2556" width="5.453125" customWidth="1"/>
    <col min="2557" max="2557" width="19" bestFit="1" customWidth="1"/>
    <col min="2558" max="2558" width="18" bestFit="1" customWidth="1"/>
    <col min="2559" max="2559" width="18" customWidth="1"/>
    <col min="2560" max="2560" width="16.90625" customWidth="1"/>
    <col min="2561" max="2561" width="18.6328125" customWidth="1"/>
    <col min="2562" max="2564" width="16" customWidth="1"/>
    <col min="2565" max="2565" width="61.08984375" customWidth="1"/>
    <col min="2566" max="2566" width="9.08984375" bestFit="1" customWidth="1"/>
    <col min="2812" max="2812" width="5.453125" customWidth="1"/>
    <col min="2813" max="2813" width="19" bestFit="1" customWidth="1"/>
    <col min="2814" max="2814" width="18" bestFit="1" customWidth="1"/>
    <col min="2815" max="2815" width="18" customWidth="1"/>
    <col min="2816" max="2816" width="16.90625" customWidth="1"/>
    <col min="2817" max="2817" width="18.6328125" customWidth="1"/>
    <col min="2818" max="2820" width="16" customWidth="1"/>
    <col min="2821" max="2821" width="61.08984375" customWidth="1"/>
    <col min="2822" max="2822" width="9.08984375" bestFit="1" customWidth="1"/>
    <col min="3068" max="3068" width="5.453125" customWidth="1"/>
    <col min="3069" max="3069" width="19" bestFit="1" customWidth="1"/>
    <col min="3070" max="3070" width="18" bestFit="1" customWidth="1"/>
    <col min="3071" max="3071" width="18" customWidth="1"/>
    <col min="3072" max="3072" width="16.90625" customWidth="1"/>
    <col min="3073" max="3073" width="18.6328125" customWidth="1"/>
    <col min="3074" max="3076" width="16" customWidth="1"/>
    <col min="3077" max="3077" width="61.08984375" customWidth="1"/>
    <col min="3078" max="3078" width="9.08984375" bestFit="1" customWidth="1"/>
    <col min="3324" max="3324" width="5.453125" customWidth="1"/>
    <col min="3325" max="3325" width="19" bestFit="1" customWidth="1"/>
    <col min="3326" max="3326" width="18" bestFit="1" customWidth="1"/>
    <col min="3327" max="3327" width="18" customWidth="1"/>
    <col min="3328" max="3328" width="16.90625" customWidth="1"/>
    <col min="3329" max="3329" width="18.6328125" customWidth="1"/>
    <col min="3330" max="3332" width="16" customWidth="1"/>
    <col min="3333" max="3333" width="61.08984375" customWidth="1"/>
    <col min="3334" max="3334" width="9.08984375" bestFit="1" customWidth="1"/>
    <col min="3580" max="3580" width="5.453125" customWidth="1"/>
    <col min="3581" max="3581" width="19" bestFit="1" customWidth="1"/>
    <col min="3582" max="3582" width="18" bestFit="1" customWidth="1"/>
    <col min="3583" max="3583" width="18" customWidth="1"/>
    <col min="3584" max="3584" width="16.90625" customWidth="1"/>
    <col min="3585" max="3585" width="18.6328125" customWidth="1"/>
    <col min="3586" max="3588" width="16" customWidth="1"/>
    <col min="3589" max="3589" width="61.08984375" customWidth="1"/>
    <col min="3590" max="3590" width="9.08984375" bestFit="1" customWidth="1"/>
    <col min="3836" max="3836" width="5.453125" customWidth="1"/>
    <col min="3837" max="3837" width="19" bestFit="1" customWidth="1"/>
    <col min="3838" max="3838" width="18" bestFit="1" customWidth="1"/>
    <col min="3839" max="3839" width="18" customWidth="1"/>
    <col min="3840" max="3840" width="16.90625" customWidth="1"/>
    <col min="3841" max="3841" width="18.6328125" customWidth="1"/>
    <col min="3842" max="3844" width="16" customWidth="1"/>
    <col min="3845" max="3845" width="61.08984375" customWidth="1"/>
    <col min="3846" max="3846" width="9.08984375" bestFit="1" customWidth="1"/>
    <col min="4092" max="4092" width="5.453125" customWidth="1"/>
    <col min="4093" max="4093" width="19" bestFit="1" customWidth="1"/>
    <col min="4094" max="4094" width="18" bestFit="1" customWidth="1"/>
    <col min="4095" max="4095" width="18" customWidth="1"/>
    <col min="4096" max="4096" width="16.90625" customWidth="1"/>
    <col min="4097" max="4097" width="18.6328125" customWidth="1"/>
    <col min="4098" max="4100" width="16" customWidth="1"/>
    <col min="4101" max="4101" width="61.08984375" customWidth="1"/>
    <col min="4102" max="4102" width="9.08984375" bestFit="1" customWidth="1"/>
    <col min="4348" max="4348" width="5.453125" customWidth="1"/>
    <col min="4349" max="4349" width="19" bestFit="1" customWidth="1"/>
    <col min="4350" max="4350" width="18" bestFit="1" customWidth="1"/>
    <col min="4351" max="4351" width="18" customWidth="1"/>
    <col min="4352" max="4352" width="16.90625" customWidth="1"/>
    <col min="4353" max="4353" width="18.6328125" customWidth="1"/>
    <col min="4354" max="4356" width="16" customWidth="1"/>
    <col min="4357" max="4357" width="61.08984375" customWidth="1"/>
    <col min="4358" max="4358" width="9.08984375" bestFit="1" customWidth="1"/>
    <col min="4604" max="4604" width="5.453125" customWidth="1"/>
    <col min="4605" max="4605" width="19" bestFit="1" customWidth="1"/>
    <col min="4606" max="4606" width="18" bestFit="1" customWidth="1"/>
    <col min="4607" max="4607" width="18" customWidth="1"/>
    <col min="4608" max="4608" width="16.90625" customWidth="1"/>
    <col min="4609" max="4609" width="18.6328125" customWidth="1"/>
    <col min="4610" max="4612" width="16" customWidth="1"/>
    <col min="4613" max="4613" width="61.08984375" customWidth="1"/>
    <col min="4614" max="4614" width="9.08984375" bestFit="1" customWidth="1"/>
    <col min="4860" max="4860" width="5.453125" customWidth="1"/>
    <col min="4861" max="4861" width="19" bestFit="1" customWidth="1"/>
    <col min="4862" max="4862" width="18" bestFit="1" customWidth="1"/>
    <col min="4863" max="4863" width="18" customWidth="1"/>
    <col min="4864" max="4864" width="16.90625" customWidth="1"/>
    <col min="4865" max="4865" width="18.6328125" customWidth="1"/>
    <col min="4866" max="4868" width="16" customWidth="1"/>
    <col min="4869" max="4869" width="61.08984375" customWidth="1"/>
    <col min="4870" max="4870" width="9.08984375" bestFit="1" customWidth="1"/>
    <col min="5116" max="5116" width="5.453125" customWidth="1"/>
    <col min="5117" max="5117" width="19" bestFit="1" customWidth="1"/>
    <col min="5118" max="5118" width="18" bestFit="1" customWidth="1"/>
    <col min="5119" max="5119" width="18" customWidth="1"/>
    <col min="5120" max="5120" width="16.90625" customWidth="1"/>
    <col min="5121" max="5121" width="18.6328125" customWidth="1"/>
    <col min="5122" max="5124" width="16" customWidth="1"/>
    <col min="5125" max="5125" width="61.08984375" customWidth="1"/>
    <col min="5126" max="5126" width="9.08984375" bestFit="1" customWidth="1"/>
    <col min="5372" max="5372" width="5.453125" customWidth="1"/>
    <col min="5373" max="5373" width="19" bestFit="1" customWidth="1"/>
    <col min="5374" max="5374" width="18" bestFit="1" customWidth="1"/>
    <col min="5375" max="5375" width="18" customWidth="1"/>
    <col min="5376" max="5376" width="16.90625" customWidth="1"/>
    <col min="5377" max="5377" width="18.6328125" customWidth="1"/>
    <col min="5378" max="5380" width="16" customWidth="1"/>
    <col min="5381" max="5381" width="61.08984375" customWidth="1"/>
    <col min="5382" max="5382" width="9.08984375" bestFit="1" customWidth="1"/>
    <col min="5628" max="5628" width="5.453125" customWidth="1"/>
    <col min="5629" max="5629" width="19" bestFit="1" customWidth="1"/>
    <col min="5630" max="5630" width="18" bestFit="1" customWidth="1"/>
    <col min="5631" max="5631" width="18" customWidth="1"/>
    <col min="5632" max="5632" width="16.90625" customWidth="1"/>
    <col min="5633" max="5633" width="18.6328125" customWidth="1"/>
    <col min="5634" max="5636" width="16" customWidth="1"/>
    <col min="5637" max="5637" width="61.08984375" customWidth="1"/>
    <col min="5638" max="5638" width="9.08984375" bestFit="1" customWidth="1"/>
    <col min="5884" max="5884" width="5.453125" customWidth="1"/>
    <col min="5885" max="5885" width="19" bestFit="1" customWidth="1"/>
    <col min="5886" max="5886" width="18" bestFit="1" customWidth="1"/>
    <col min="5887" max="5887" width="18" customWidth="1"/>
    <col min="5888" max="5888" width="16.90625" customWidth="1"/>
    <col min="5889" max="5889" width="18.6328125" customWidth="1"/>
    <col min="5890" max="5892" width="16" customWidth="1"/>
    <col min="5893" max="5893" width="61.08984375" customWidth="1"/>
    <col min="5894" max="5894" width="9.08984375" bestFit="1" customWidth="1"/>
    <col min="6140" max="6140" width="5.453125" customWidth="1"/>
    <col min="6141" max="6141" width="19" bestFit="1" customWidth="1"/>
    <col min="6142" max="6142" width="18" bestFit="1" customWidth="1"/>
    <col min="6143" max="6143" width="18" customWidth="1"/>
    <col min="6144" max="6144" width="16.90625" customWidth="1"/>
    <col min="6145" max="6145" width="18.6328125" customWidth="1"/>
    <col min="6146" max="6148" width="16" customWidth="1"/>
    <col min="6149" max="6149" width="61.08984375" customWidth="1"/>
    <col min="6150" max="6150" width="9.08984375" bestFit="1" customWidth="1"/>
    <col min="6396" max="6396" width="5.453125" customWidth="1"/>
    <col min="6397" max="6397" width="19" bestFit="1" customWidth="1"/>
    <col min="6398" max="6398" width="18" bestFit="1" customWidth="1"/>
    <col min="6399" max="6399" width="18" customWidth="1"/>
    <col min="6400" max="6400" width="16.90625" customWidth="1"/>
    <col min="6401" max="6401" width="18.6328125" customWidth="1"/>
    <col min="6402" max="6404" width="16" customWidth="1"/>
    <col min="6405" max="6405" width="61.08984375" customWidth="1"/>
    <col min="6406" max="6406" width="9.08984375" bestFit="1" customWidth="1"/>
    <col min="6652" max="6652" width="5.453125" customWidth="1"/>
    <col min="6653" max="6653" width="19" bestFit="1" customWidth="1"/>
    <col min="6654" max="6654" width="18" bestFit="1" customWidth="1"/>
    <col min="6655" max="6655" width="18" customWidth="1"/>
    <col min="6656" max="6656" width="16.90625" customWidth="1"/>
    <col min="6657" max="6657" width="18.6328125" customWidth="1"/>
    <col min="6658" max="6660" width="16" customWidth="1"/>
    <col min="6661" max="6661" width="61.08984375" customWidth="1"/>
    <col min="6662" max="6662" width="9.08984375" bestFit="1" customWidth="1"/>
    <col min="6908" max="6908" width="5.453125" customWidth="1"/>
    <col min="6909" max="6909" width="19" bestFit="1" customWidth="1"/>
    <col min="6910" max="6910" width="18" bestFit="1" customWidth="1"/>
    <col min="6911" max="6911" width="18" customWidth="1"/>
    <col min="6912" max="6912" width="16.90625" customWidth="1"/>
    <col min="6913" max="6913" width="18.6328125" customWidth="1"/>
    <col min="6914" max="6916" width="16" customWidth="1"/>
    <col min="6917" max="6917" width="61.08984375" customWidth="1"/>
    <col min="6918" max="6918" width="9.08984375" bestFit="1" customWidth="1"/>
    <col min="7164" max="7164" width="5.453125" customWidth="1"/>
    <col min="7165" max="7165" width="19" bestFit="1" customWidth="1"/>
    <col min="7166" max="7166" width="18" bestFit="1" customWidth="1"/>
    <col min="7167" max="7167" width="18" customWidth="1"/>
    <col min="7168" max="7168" width="16.90625" customWidth="1"/>
    <col min="7169" max="7169" width="18.6328125" customWidth="1"/>
    <col min="7170" max="7172" width="16" customWidth="1"/>
    <col min="7173" max="7173" width="61.08984375" customWidth="1"/>
    <col min="7174" max="7174" width="9.08984375" bestFit="1" customWidth="1"/>
    <col min="7420" max="7420" width="5.453125" customWidth="1"/>
    <col min="7421" max="7421" width="19" bestFit="1" customWidth="1"/>
    <col min="7422" max="7422" width="18" bestFit="1" customWidth="1"/>
    <col min="7423" max="7423" width="18" customWidth="1"/>
    <col min="7424" max="7424" width="16.90625" customWidth="1"/>
    <col min="7425" max="7425" width="18.6328125" customWidth="1"/>
    <col min="7426" max="7428" width="16" customWidth="1"/>
    <col min="7429" max="7429" width="61.08984375" customWidth="1"/>
    <col min="7430" max="7430" width="9.08984375" bestFit="1" customWidth="1"/>
    <col min="7676" max="7676" width="5.453125" customWidth="1"/>
    <col min="7677" max="7677" width="19" bestFit="1" customWidth="1"/>
    <col min="7678" max="7678" width="18" bestFit="1" customWidth="1"/>
    <col min="7679" max="7679" width="18" customWidth="1"/>
    <col min="7680" max="7680" width="16.90625" customWidth="1"/>
    <col min="7681" max="7681" width="18.6328125" customWidth="1"/>
    <col min="7682" max="7684" width="16" customWidth="1"/>
    <col min="7685" max="7685" width="61.08984375" customWidth="1"/>
    <col min="7686" max="7686" width="9.08984375" bestFit="1" customWidth="1"/>
    <col min="7932" max="7932" width="5.453125" customWidth="1"/>
    <col min="7933" max="7933" width="19" bestFit="1" customWidth="1"/>
    <col min="7934" max="7934" width="18" bestFit="1" customWidth="1"/>
    <col min="7935" max="7935" width="18" customWidth="1"/>
    <col min="7936" max="7936" width="16.90625" customWidth="1"/>
    <col min="7937" max="7937" width="18.6328125" customWidth="1"/>
    <col min="7938" max="7940" width="16" customWidth="1"/>
    <col min="7941" max="7941" width="61.08984375" customWidth="1"/>
    <col min="7942" max="7942" width="9.08984375" bestFit="1" customWidth="1"/>
    <col min="8188" max="8188" width="5.453125" customWidth="1"/>
    <col min="8189" max="8189" width="19" bestFit="1" customWidth="1"/>
    <col min="8190" max="8190" width="18" bestFit="1" customWidth="1"/>
    <col min="8191" max="8191" width="18" customWidth="1"/>
    <col min="8192" max="8192" width="16.90625" customWidth="1"/>
    <col min="8193" max="8193" width="18.6328125" customWidth="1"/>
    <col min="8194" max="8196" width="16" customWidth="1"/>
    <col min="8197" max="8197" width="61.08984375" customWidth="1"/>
    <col min="8198" max="8198" width="9.08984375" bestFit="1" customWidth="1"/>
    <col min="8444" max="8444" width="5.453125" customWidth="1"/>
    <col min="8445" max="8445" width="19" bestFit="1" customWidth="1"/>
    <col min="8446" max="8446" width="18" bestFit="1" customWidth="1"/>
    <col min="8447" max="8447" width="18" customWidth="1"/>
    <col min="8448" max="8448" width="16.90625" customWidth="1"/>
    <col min="8449" max="8449" width="18.6328125" customWidth="1"/>
    <col min="8450" max="8452" width="16" customWidth="1"/>
    <col min="8453" max="8453" width="61.08984375" customWidth="1"/>
    <col min="8454" max="8454" width="9.08984375" bestFit="1" customWidth="1"/>
    <col min="8700" max="8700" width="5.453125" customWidth="1"/>
    <col min="8701" max="8701" width="19" bestFit="1" customWidth="1"/>
    <col min="8702" max="8702" width="18" bestFit="1" customWidth="1"/>
    <col min="8703" max="8703" width="18" customWidth="1"/>
    <col min="8704" max="8704" width="16.90625" customWidth="1"/>
    <col min="8705" max="8705" width="18.6328125" customWidth="1"/>
    <col min="8706" max="8708" width="16" customWidth="1"/>
    <col min="8709" max="8709" width="61.08984375" customWidth="1"/>
    <col min="8710" max="8710" width="9.08984375" bestFit="1" customWidth="1"/>
    <col min="8956" max="8956" width="5.453125" customWidth="1"/>
    <col min="8957" max="8957" width="19" bestFit="1" customWidth="1"/>
    <col min="8958" max="8958" width="18" bestFit="1" customWidth="1"/>
    <col min="8959" max="8959" width="18" customWidth="1"/>
    <col min="8960" max="8960" width="16.90625" customWidth="1"/>
    <col min="8961" max="8961" width="18.6328125" customWidth="1"/>
    <col min="8962" max="8964" width="16" customWidth="1"/>
    <col min="8965" max="8965" width="61.08984375" customWidth="1"/>
    <col min="8966" max="8966" width="9.08984375" bestFit="1" customWidth="1"/>
    <col min="9212" max="9212" width="5.453125" customWidth="1"/>
    <col min="9213" max="9213" width="19" bestFit="1" customWidth="1"/>
    <col min="9214" max="9214" width="18" bestFit="1" customWidth="1"/>
    <col min="9215" max="9215" width="18" customWidth="1"/>
    <col min="9216" max="9216" width="16.90625" customWidth="1"/>
    <col min="9217" max="9217" width="18.6328125" customWidth="1"/>
    <col min="9218" max="9220" width="16" customWidth="1"/>
    <col min="9221" max="9221" width="61.08984375" customWidth="1"/>
    <col min="9222" max="9222" width="9.08984375" bestFit="1" customWidth="1"/>
    <col min="9468" max="9468" width="5.453125" customWidth="1"/>
    <col min="9469" max="9469" width="19" bestFit="1" customWidth="1"/>
    <col min="9470" max="9470" width="18" bestFit="1" customWidth="1"/>
    <col min="9471" max="9471" width="18" customWidth="1"/>
    <col min="9472" max="9472" width="16.90625" customWidth="1"/>
    <col min="9473" max="9473" width="18.6328125" customWidth="1"/>
    <col min="9474" max="9476" width="16" customWidth="1"/>
    <col min="9477" max="9477" width="61.08984375" customWidth="1"/>
    <col min="9478" max="9478" width="9.08984375" bestFit="1" customWidth="1"/>
    <col min="9724" max="9724" width="5.453125" customWidth="1"/>
    <col min="9725" max="9725" width="19" bestFit="1" customWidth="1"/>
    <col min="9726" max="9726" width="18" bestFit="1" customWidth="1"/>
    <col min="9727" max="9727" width="18" customWidth="1"/>
    <col min="9728" max="9728" width="16.90625" customWidth="1"/>
    <col min="9729" max="9729" width="18.6328125" customWidth="1"/>
    <col min="9730" max="9732" width="16" customWidth="1"/>
    <col min="9733" max="9733" width="61.08984375" customWidth="1"/>
    <col min="9734" max="9734" width="9.08984375" bestFit="1" customWidth="1"/>
    <col min="9980" max="9980" width="5.453125" customWidth="1"/>
    <col min="9981" max="9981" width="19" bestFit="1" customWidth="1"/>
    <col min="9982" max="9982" width="18" bestFit="1" customWidth="1"/>
    <col min="9983" max="9983" width="18" customWidth="1"/>
    <col min="9984" max="9984" width="16.90625" customWidth="1"/>
    <col min="9985" max="9985" width="18.6328125" customWidth="1"/>
    <col min="9986" max="9988" width="16" customWidth="1"/>
    <col min="9989" max="9989" width="61.08984375" customWidth="1"/>
    <col min="9990" max="9990" width="9.08984375" bestFit="1" customWidth="1"/>
    <col min="10236" max="10236" width="5.453125" customWidth="1"/>
    <col min="10237" max="10237" width="19" bestFit="1" customWidth="1"/>
    <col min="10238" max="10238" width="18" bestFit="1" customWidth="1"/>
    <col min="10239" max="10239" width="18" customWidth="1"/>
    <col min="10240" max="10240" width="16.90625" customWidth="1"/>
    <col min="10241" max="10241" width="18.6328125" customWidth="1"/>
    <col min="10242" max="10244" width="16" customWidth="1"/>
    <col min="10245" max="10245" width="61.08984375" customWidth="1"/>
    <col min="10246" max="10246" width="9.08984375" bestFit="1" customWidth="1"/>
    <col min="10492" max="10492" width="5.453125" customWidth="1"/>
    <col min="10493" max="10493" width="19" bestFit="1" customWidth="1"/>
    <col min="10494" max="10494" width="18" bestFit="1" customWidth="1"/>
    <col min="10495" max="10495" width="18" customWidth="1"/>
    <col min="10496" max="10496" width="16.90625" customWidth="1"/>
    <col min="10497" max="10497" width="18.6328125" customWidth="1"/>
    <col min="10498" max="10500" width="16" customWidth="1"/>
    <col min="10501" max="10501" width="61.08984375" customWidth="1"/>
    <col min="10502" max="10502" width="9.08984375" bestFit="1" customWidth="1"/>
    <col min="10748" max="10748" width="5.453125" customWidth="1"/>
    <col min="10749" max="10749" width="19" bestFit="1" customWidth="1"/>
    <col min="10750" max="10750" width="18" bestFit="1" customWidth="1"/>
    <col min="10751" max="10751" width="18" customWidth="1"/>
    <col min="10752" max="10752" width="16.90625" customWidth="1"/>
    <col min="10753" max="10753" width="18.6328125" customWidth="1"/>
    <col min="10754" max="10756" width="16" customWidth="1"/>
    <col min="10757" max="10757" width="61.08984375" customWidth="1"/>
    <col min="10758" max="10758" width="9.08984375" bestFit="1" customWidth="1"/>
    <col min="11004" max="11004" width="5.453125" customWidth="1"/>
    <col min="11005" max="11005" width="19" bestFit="1" customWidth="1"/>
    <col min="11006" max="11006" width="18" bestFit="1" customWidth="1"/>
    <col min="11007" max="11007" width="18" customWidth="1"/>
    <col min="11008" max="11008" width="16.90625" customWidth="1"/>
    <col min="11009" max="11009" width="18.6328125" customWidth="1"/>
    <col min="11010" max="11012" width="16" customWidth="1"/>
    <col min="11013" max="11013" width="61.08984375" customWidth="1"/>
    <col min="11014" max="11014" width="9.08984375" bestFit="1" customWidth="1"/>
    <col min="11260" max="11260" width="5.453125" customWidth="1"/>
    <col min="11261" max="11261" width="19" bestFit="1" customWidth="1"/>
    <col min="11262" max="11262" width="18" bestFit="1" customWidth="1"/>
    <col min="11263" max="11263" width="18" customWidth="1"/>
    <col min="11264" max="11264" width="16.90625" customWidth="1"/>
    <col min="11265" max="11265" width="18.6328125" customWidth="1"/>
    <col min="11266" max="11268" width="16" customWidth="1"/>
    <col min="11269" max="11269" width="61.08984375" customWidth="1"/>
    <col min="11270" max="11270" width="9.08984375" bestFit="1" customWidth="1"/>
    <col min="11516" max="11516" width="5.453125" customWidth="1"/>
    <col min="11517" max="11517" width="19" bestFit="1" customWidth="1"/>
    <col min="11518" max="11518" width="18" bestFit="1" customWidth="1"/>
    <col min="11519" max="11519" width="18" customWidth="1"/>
    <col min="11520" max="11520" width="16.90625" customWidth="1"/>
    <col min="11521" max="11521" width="18.6328125" customWidth="1"/>
    <col min="11522" max="11524" width="16" customWidth="1"/>
    <col min="11525" max="11525" width="61.08984375" customWidth="1"/>
    <col min="11526" max="11526" width="9.08984375" bestFit="1" customWidth="1"/>
    <col min="11772" max="11772" width="5.453125" customWidth="1"/>
    <col min="11773" max="11773" width="19" bestFit="1" customWidth="1"/>
    <col min="11774" max="11774" width="18" bestFit="1" customWidth="1"/>
    <col min="11775" max="11775" width="18" customWidth="1"/>
    <col min="11776" max="11776" width="16.90625" customWidth="1"/>
    <col min="11777" max="11777" width="18.6328125" customWidth="1"/>
    <col min="11778" max="11780" width="16" customWidth="1"/>
    <col min="11781" max="11781" width="61.08984375" customWidth="1"/>
    <col min="11782" max="11782" width="9.08984375" bestFit="1" customWidth="1"/>
    <col min="12028" max="12028" width="5.453125" customWidth="1"/>
    <col min="12029" max="12029" width="19" bestFit="1" customWidth="1"/>
    <col min="12030" max="12030" width="18" bestFit="1" customWidth="1"/>
    <col min="12031" max="12031" width="18" customWidth="1"/>
    <col min="12032" max="12032" width="16.90625" customWidth="1"/>
    <col min="12033" max="12033" width="18.6328125" customWidth="1"/>
    <col min="12034" max="12036" width="16" customWidth="1"/>
    <col min="12037" max="12037" width="61.08984375" customWidth="1"/>
    <col min="12038" max="12038" width="9.08984375" bestFit="1" customWidth="1"/>
    <col min="12284" max="12284" width="5.453125" customWidth="1"/>
    <col min="12285" max="12285" width="19" bestFit="1" customWidth="1"/>
    <col min="12286" max="12286" width="18" bestFit="1" customWidth="1"/>
    <col min="12287" max="12287" width="18" customWidth="1"/>
    <col min="12288" max="12288" width="16.90625" customWidth="1"/>
    <col min="12289" max="12289" width="18.6328125" customWidth="1"/>
    <col min="12290" max="12292" width="16" customWidth="1"/>
    <col min="12293" max="12293" width="61.08984375" customWidth="1"/>
    <col min="12294" max="12294" width="9.08984375" bestFit="1" customWidth="1"/>
    <col min="12540" max="12540" width="5.453125" customWidth="1"/>
    <col min="12541" max="12541" width="19" bestFit="1" customWidth="1"/>
    <col min="12542" max="12542" width="18" bestFit="1" customWidth="1"/>
    <col min="12543" max="12543" width="18" customWidth="1"/>
    <col min="12544" max="12544" width="16.90625" customWidth="1"/>
    <col min="12545" max="12545" width="18.6328125" customWidth="1"/>
    <col min="12546" max="12548" width="16" customWidth="1"/>
    <col min="12549" max="12549" width="61.08984375" customWidth="1"/>
    <col min="12550" max="12550" width="9.08984375" bestFit="1" customWidth="1"/>
    <col min="12796" max="12796" width="5.453125" customWidth="1"/>
    <col min="12797" max="12797" width="19" bestFit="1" customWidth="1"/>
    <col min="12798" max="12798" width="18" bestFit="1" customWidth="1"/>
    <col min="12799" max="12799" width="18" customWidth="1"/>
    <col min="12800" max="12800" width="16.90625" customWidth="1"/>
    <col min="12801" max="12801" width="18.6328125" customWidth="1"/>
    <col min="12802" max="12804" width="16" customWidth="1"/>
    <col min="12805" max="12805" width="61.08984375" customWidth="1"/>
    <col min="12806" max="12806" width="9.08984375" bestFit="1" customWidth="1"/>
    <col min="13052" max="13052" width="5.453125" customWidth="1"/>
    <col min="13053" max="13053" width="19" bestFit="1" customWidth="1"/>
    <col min="13054" max="13054" width="18" bestFit="1" customWidth="1"/>
    <col min="13055" max="13055" width="18" customWidth="1"/>
    <col min="13056" max="13056" width="16.90625" customWidth="1"/>
    <col min="13057" max="13057" width="18.6328125" customWidth="1"/>
    <col min="13058" max="13060" width="16" customWidth="1"/>
    <col min="13061" max="13061" width="61.08984375" customWidth="1"/>
    <col min="13062" max="13062" width="9.08984375" bestFit="1" customWidth="1"/>
    <col min="13308" max="13308" width="5.453125" customWidth="1"/>
    <col min="13309" max="13309" width="19" bestFit="1" customWidth="1"/>
    <col min="13310" max="13310" width="18" bestFit="1" customWidth="1"/>
    <col min="13311" max="13311" width="18" customWidth="1"/>
    <col min="13312" max="13312" width="16.90625" customWidth="1"/>
    <col min="13313" max="13313" width="18.6328125" customWidth="1"/>
    <col min="13314" max="13316" width="16" customWidth="1"/>
    <col min="13317" max="13317" width="61.08984375" customWidth="1"/>
    <col min="13318" max="13318" width="9.08984375" bestFit="1" customWidth="1"/>
    <col min="13564" max="13564" width="5.453125" customWidth="1"/>
    <col min="13565" max="13565" width="19" bestFit="1" customWidth="1"/>
    <col min="13566" max="13566" width="18" bestFit="1" customWidth="1"/>
    <col min="13567" max="13567" width="18" customWidth="1"/>
    <col min="13568" max="13568" width="16.90625" customWidth="1"/>
    <col min="13569" max="13569" width="18.6328125" customWidth="1"/>
    <col min="13570" max="13572" width="16" customWidth="1"/>
    <col min="13573" max="13573" width="61.08984375" customWidth="1"/>
    <col min="13574" max="13574" width="9.08984375" bestFit="1" customWidth="1"/>
    <col min="13820" max="13820" width="5.453125" customWidth="1"/>
    <col min="13821" max="13821" width="19" bestFit="1" customWidth="1"/>
    <col min="13822" max="13822" width="18" bestFit="1" customWidth="1"/>
    <col min="13823" max="13823" width="18" customWidth="1"/>
    <col min="13824" max="13824" width="16.90625" customWidth="1"/>
    <col min="13825" max="13825" width="18.6328125" customWidth="1"/>
    <col min="13826" max="13828" width="16" customWidth="1"/>
    <col min="13829" max="13829" width="61.08984375" customWidth="1"/>
    <col min="13830" max="13830" width="9.08984375" bestFit="1" customWidth="1"/>
    <col min="14076" max="14076" width="5.453125" customWidth="1"/>
    <col min="14077" max="14077" width="19" bestFit="1" customWidth="1"/>
    <col min="14078" max="14078" width="18" bestFit="1" customWidth="1"/>
    <col min="14079" max="14079" width="18" customWidth="1"/>
    <col min="14080" max="14080" width="16.90625" customWidth="1"/>
    <col min="14081" max="14081" width="18.6328125" customWidth="1"/>
    <col min="14082" max="14084" width="16" customWidth="1"/>
    <col min="14085" max="14085" width="61.08984375" customWidth="1"/>
    <col min="14086" max="14086" width="9.08984375" bestFit="1" customWidth="1"/>
    <col min="14332" max="14332" width="5.453125" customWidth="1"/>
    <col min="14333" max="14333" width="19" bestFit="1" customWidth="1"/>
    <col min="14334" max="14334" width="18" bestFit="1" customWidth="1"/>
    <col min="14335" max="14335" width="18" customWidth="1"/>
    <col min="14336" max="14336" width="16.90625" customWidth="1"/>
    <col min="14337" max="14337" width="18.6328125" customWidth="1"/>
    <col min="14338" max="14340" width="16" customWidth="1"/>
    <col min="14341" max="14341" width="61.08984375" customWidth="1"/>
    <col min="14342" max="14342" width="9.08984375" bestFit="1" customWidth="1"/>
    <col min="14588" max="14588" width="5.453125" customWidth="1"/>
    <col min="14589" max="14589" width="19" bestFit="1" customWidth="1"/>
    <col min="14590" max="14590" width="18" bestFit="1" customWidth="1"/>
    <col min="14591" max="14591" width="18" customWidth="1"/>
    <col min="14592" max="14592" width="16.90625" customWidth="1"/>
    <col min="14593" max="14593" width="18.6328125" customWidth="1"/>
    <col min="14594" max="14596" width="16" customWidth="1"/>
    <col min="14597" max="14597" width="61.08984375" customWidth="1"/>
    <col min="14598" max="14598" width="9.08984375" bestFit="1" customWidth="1"/>
    <col min="14844" max="14844" width="5.453125" customWidth="1"/>
    <col min="14845" max="14845" width="19" bestFit="1" customWidth="1"/>
    <col min="14846" max="14846" width="18" bestFit="1" customWidth="1"/>
    <col min="14847" max="14847" width="18" customWidth="1"/>
    <col min="14848" max="14848" width="16.90625" customWidth="1"/>
    <col min="14849" max="14849" width="18.6328125" customWidth="1"/>
    <col min="14850" max="14852" width="16" customWidth="1"/>
    <col min="14853" max="14853" width="61.08984375" customWidth="1"/>
    <col min="14854" max="14854" width="9.08984375" bestFit="1" customWidth="1"/>
    <col min="15100" max="15100" width="5.453125" customWidth="1"/>
    <col min="15101" max="15101" width="19" bestFit="1" customWidth="1"/>
    <col min="15102" max="15102" width="18" bestFit="1" customWidth="1"/>
    <col min="15103" max="15103" width="18" customWidth="1"/>
    <col min="15104" max="15104" width="16.90625" customWidth="1"/>
    <col min="15105" max="15105" width="18.6328125" customWidth="1"/>
    <col min="15106" max="15108" width="16" customWidth="1"/>
    <col min="15109" max="15109" width="61.08984375" customWidth="1"/>
    <col min="15110" max="15110" width="9.08984375" bestFit="1" customWidth="1"/>
    <col min="15356" max="15356" width="5.453125" customWidth="1"/>
    <col min="15357" max="15357" width="19" bestFit="1" customWidth="1"/>
    <col min="15358" max="15358" width="18" bestFit="1" customWidth="1"/>
    <col min="15359" max="15359" width="18" customWidth="1"/>
    <col min="15360" max="15360" width="16.90625" customWidth="1"/>
    <col min="15361" max="15361" width="18.6328125" customWidth="1"/>
    <col min="15362" max="15364" width="16" customWidth="1"/>
    <col min="15365" max="15365" width="61.08984375" customWidth="1"/>
    <col min="15366" max="15366" width="9.08984375" bestFit="1" customWidth="1"/>
    <col min="15612" max="15612" width="5.453125" customWidth="1"/>
    <col min="15613" max="15613" width="19" bestFit="1" customWidth="1"/>
    <col min="15614" max="15614" width="18" bestFit="1" customWidth="1"/>
    <col min="15615" max="15615" width="18" customWidth="1"/>
    <col min="15616" max="15616" width="16.90625" customWidth="1"/>
    <col min="15617" max="15617" width="18.6328125" customWidth="1"/>
    <col min="15618" max="15620" width="16" customWidth="1"/>
    <col min="15621" max="15621" width="61.08984375" customWidth="1"/>
    <col min="15622" max="15622" width="9.08984375" bestFit="1" customWidth="1"/>
    <col min="15868" max="15868" width="5.453125" customWidth="1"/>
    <col min="15869" max="15869" width="19" bestFit="1" customWidth="1"/>
    <col min="15870" max="15870" width="18" bestFit="1" customWidth="1"/>
    <col min="15871" max="15871" width="18" customWidth="1"/>
    <col min="15872" max="15872" width="16.90625" customWidth="1"/>
    <col min="15873" max="15873" width="18.6328125" customWidth="1"/>
    <col min="15874" max="15876" width="16" customWidth="1"/>
    <col min="15877" max="15877" width="61.08984375" customWidth="1"/>
    <col min="15878" max="15878" width="9.08984375" bestFit="1" customWidth="1"/>
    <col min="16124" max="16124" width="5.453125" customWidth="1"/>
    <col min="16125" max="16125" width="19" bestFit="1" customWidth="1"/>
    <col min="16126" max="16126" width="18" bestFit="1" customWidth="1"/>
    <col min="16127" max="16127" width="18" customWidth="1"/>
    <col min="16128" max="16128" width="16.90625" customWidth="1"/>
    <col min="16129" max="16129" width="18.6328125" customWidth="1"/>
    <col min="16130" max="16132" width="16" customWidth="1"/>
    <col min="16133" max="16133" width="61.08984375" customWidth="1"/>
    <col min="16134" max="16134" width="9.08984375" bestFit="1" customWidth="1"/>
  </cols>
  <sheetData>
    <row r="1" spans="2:16" x14ac:dyDescent="0.2">
      <c r="B1" s="16"/>
      <c r="C1" s="16"/>
      <c r="D1"/>
    </row>
    <row r="2" spans="2:16" ht="14" x14ac:dyDescent="0.2">
      <c r="B2" s="16"/>
      <c r="C2" s="3" t="s">
        <v>25</v>
      </c>
      <c r="E2" s="3"/>
    </row>
    <row r="3" spans="2:16" x14ac:dyDescent="0.2">
      <c r="B3" s="16"/>
      <c r="C3" s="16"/>
      <c r="D3"/>
    </row>
    <row r="4" spans="2:16" x14ac:dyDescent="0.2">
      <c r="B4" s="16"/>
      <c r="C4" s="16"/>
      <c r="D4"/>
      <c r="I4" s="16"/>
      <c r="J4"/>
      <c r="K4"/>
      <c r="L4"/>
      <c r="M4"/>
      <c r="P4"/>
    </row>
    <row r="5" spans="2:16" x14ac:dyDescent="0.2">
      <c r="B5" s="4" t="s">
        <v>13</v>
      </c>
      <c r="C5"/>
      <c r="D5"/>
      <c r="E5" t="s">
        <v>14</v>
      </c>
      <c r="F5" s="5"/>
      <c r="G5" s="7"/>
      <c r="H5" s="16"/>
      <c r="J5"/>
      <c r="K5"/>
      <c r="L5"/>
      <c r="M5"/>
      <c r="P5"/>
    </row>
    <row r="6" spans="2:16" ht="19.399999999999999" customHeight="1" x14ac:dyDescent="0.2">
      <c r="B6" s="325" t="s">
        <v>10</v>
      </c>
      <c r="C6" s="342" t="s">
        <v>11</v>
      </c>
      <c r="D6" s="343"/>
      <c r="E6" s="348" t="s">
        <v>26</v>
      </c>
      <c r="F6" s="350" t="s">
        <v>15</v>
      </c>
      <c r="G6" s="351"/>
      <c r="H6" s="325" t="s">
        <v>154</v>
      </c>
      <c r="I6" s="340" t="s">
        <v>16</v>
      </c>
      <c r="J6" s="341"/>
      <c r="K6" s="340" t="s">
        <v>17</v>
      </c>
      <c r="L6" s="341"/>
      <c r="M6" s="342" t="s">
        <v>38</v>
      </c>
      <c r="N6" s="343"/>
      <c r="P6"/>
    </row>
    <row r="7" spans="2:16" x14ac:dyDescent="0.2">
      <c r="B7" s="327"/>
      <c r="C7" s="344"/>
      <c r="D7" s="345"/>
      <c r="E7" s="349"/>
      <c r="F7" s="205" t="s">
        <v>155</v>
      </c>
      <c r="G7" s="206" t="s">
        <v>156</v>
      </c>
      <c r="H7" s="327"/>
      <c r="I7" s="27" t="s">
        <v>155</v>
      </c>
      <c r="J7" s="27" t="s">
        <v>157</v>
      </c>
      <c r="K7" s="27" t="s">
        <v>155</v>
      </c>
      <c r="L7" s="27" t="s">
        <v>157</v>
      </c>
      <c r="M7" s="344"/>
      <c r="N7" s="345"/>
      <c r="P7"/>
    </row>
    <row r="8" spans="2:16" x14ac:dyDescent="0.2">
      <c r="B8" s="325" t="str">
        <f>'利用時間（期間）'!B2</f>
        <v>24-11</v>
      </c>
      <c r="C8" s="342" t="e">
        <f ca="1">[0]!CSVVLookUP(ROW(行数!$A1),配列!$C$12,利用時間_期間,4,1)</f>
        <v>#NAME?</v>
      </c>
      <c r="D8" s="343"/>
      <c r="E8" s="346" t="e">
        <f ca="1">[0]!CSVVLookUP(ROW(行数!$A1),配列!$C$12,利用時間_期間,5,1)</f>
        <v>#NAME?</v>
      </c>
      <c r="F8" s="346" t="e">
        <f ca="1">[0]!CSVVLookUP(ROW(行数!$A1),配列!$C$12,利用時間_期間,6,1)</f>
        <v>#NAME?</v>
      </c>
      <c r="G8" s="346" t="e">
        <f ca="1">[0]!CSVVLookUP(ROW(行数!$A1),配列!$C$12,利用時間_期間,7,1)</f>
        <v>#NAME?</v>
      </c>
      <c r="H8" s="27" t="s">
        <v>158</v>
      </c>
      <c r="I8" s="86" t="e">
        <f ca="1">[0]!CSVVLookUP(ROW(行数!$A1),配列!$C$12,利用時間_期間,8,1)</f>
        <v>#NAME?</v>
      </c>
      <c r="J8" s="86" t="e">
        <f ca="1">[0]!CSVVLookUP(ROW(行数!$A1),配列!$C$12,利用時間_期間,9,1)</f>
        <v>#NAME?</v>
      </c>
      <c r="K8" s="86" t="e">
        <f ca="1">[0]!CSVVLookUP(ROW(行数!$A1),配列!$C$12,利用時間_期間,10,1)</f>
        <v>#NAME?</v>
      </c>
      <c r="L8" s="86" t="e">
        <f ca="1">[0]!CSVVLookUP(ROW(行数!$A1),配列!$C$12,利用時間_期間,11,1)</f>
        <v>#NAME?</v>
      </c>
      <c r="M8" s="340"/>
      <c r="N8" s="341"/>
      <c r="P8"/>
    </row>
    <row r="9" spans="2:16" x14ac:dyDescent="0.2">
      <c r="B9" s="327"/>
      <c r="C9" s="344"/>
      <c r="D9" s="345"/>
      <c r="E9" s="347"/>
      <c r="F9" s="347"/>
      <c r="G9" s="347"/>
      <c r="H9" s="27" t="s">
        <v>159</v>
      </c>
      <c r="I9" s="86"/>
      <c r="J9" s="86"/>
      <c r="K9" s="86"/>
      <c r="L9" s="86"/>
      <c r="M9" s="340"/>
      <c r="N9" s="341"/>
      <c r="P9"/>
    </row>
    <row r="10" spans="2:16" x14ac:dyDescent="0.2">
      <c r="B10" s="16"/>
      <c r="C10" s="16"/>
      <c r="D10"/>
      <c r="I10" s="2"/>
    </row>
    <row r="11" spans="2:16" x14ac:dyDescent="0.2">
      <c r="B11" s="8"/>
      <c r="C11" s="8"/>
      <c r="D11"/>
      <c r="J11"/>
      <c r="K11" s="6"/>
      <c r="L11" s="6"/>
      <c r="M11" s="6"/>
    </row>
    <row r="12" spans="2:16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6" x14ac:dyDescent="0.2">
      <c r="B13" s="8"/>
      <c r="C13" s="8"/>
      <c r="D13"/>
      <c r="J13" s="6"/>
      <c r="K13" s="6"/>
      <c r="L13" s="6"/>
      <c r="M13" s="6"/>
    </row>
    <row r="14" spans="2:16" x14ac:dyDescent="0.2">
      <c r="B14" s="24" t="s">
        <v>19</v>
      </c>
      <c r="C14" s="24"/>
      <c r="J14" s="6"/>
      <c r="K14" s="6"/>
      <c r="L14" s="6"/>
      <c r="M14" s="6"/>
    </row>
    <row r="15" spans="2:16" x14ac:dyDescent="0.2">
      <c r="B15" s="24"/>
      <c r="C15" s="24"/>
      <c r="J15" s="6"/>
      <c r="K15" s="6"/>
      <c r="L15" s="6"/>
      <c r="M15" s="6"/>
    </row>
    <row r="16" spans="2:16" x14ac:dyDescent="0.2">
      <c r="B16" s="24" t="s">
        <v>179</v>
      </c>
      <c r="C16" s="24"/>
      <c r="J16" s="6"/>
      <c r="K16" s="6"/>
      <c r="L16" s="6"/>
      <c r="M16" s="6"/>
    </row>
    <row r="17" spans="2:23" x14ac:dyDescent="0.2">
      <c r="B17" s="27" t="s">
        <v>176</v>
      </c>
      <c r="C17" s="340" t="s">
        <v>20</v>
      </c>
      <c r="D17" s="352"/>
      <c r="E17" s="341"/>
      <c r="F17" s="27" t="s">
        <v>28</v>
      </c>
      <c r="G17" s="27" t="s">
        <v>29</v>
      </c>
      <c r="H17" s="27" t="s">
        <v>27</v>
      </c>
      <c r="I17" s="340" t="s">
        <v>18</v>
      </c>
      <c r="J17" s="352"/>
      <c r="K17" s="352"/>
      <c r="L17" s="352"/>
      <c r="M17" s="352"/>
      <c r="N17" s="341"/>
      <c r="O17" s="16" t="s">
        <v>130</v>
      </c>
      <c r="P17" s="201" t="s">
        <v>147</v>
      </c>
    </row>
    <row r="18" spans="2:23" x14ac:dyDescent="0.2">
      <c r="B18" s="325" t="str">
        <f>'利用時間（期間）'!B2</f>
        <v>24-11</v>
      </c>
      <c r="C18" s="33" t="e">
        <f ca="1">IF(配列!$C$10="","",[0]!CSVVLookUP(ROW(行数!$A1),配列!$C$10,利用時間_シフト,3,1))</f>
        <v>#NAME?</v>
      </c>
      <c r="D18" s="33" t="e">
        <f ca="1">IF(配列!$C$10="","",[0]!CSVVLookUP(ROW(行数!$A1),配列!$C$10,利用時間_シフト,4,1))</f>
        <v>#NAME?</v>
      </c>
      <c r="E18" s="30" t="e">
        <f ca="1">IF(配列!$C$10="","",[0]!CSVVLookUP(ROW(行数!$A1),配列!$C$10,利用時間_シフト,5,1))</f>
        <v>#NAME?</v>
      </c>
      <c r="F18" s="29" t="e">
        <f ca="1">IF(配列!$C$10="","",[0]!CSVVLookUP(ROW(行数!$A1),配列!$C$10,利用時間_シフト,7,1))</f>
        <v>#NAME?</v>
      </c>
      <c r="G18" s="30" t="e">
        <f ca="1">IF(配列!$C$10="","",[0]!CSVVLookUP(ROW(行数!$A1),配列!$C$10,利用時間_シフト,8,1))</f>
        <v>#NAME?</v>
      </c>
      <c r="H18" s="28" t="e">
        <f ca="1">IF(配列!$C$10="","",[0]!CSVVLookUP(ROW(行数!$A1),配列!$C$10,利用時間_シフト,9,1))</f>
        <v>#NAME?</v>
      </c>
      <c r="I18" s="31" t="e">
        <f ca="1">IF(配列!$C$10="","",[0]!CSVVLookUP(ROW(行数!$A1),配列!$C$10,利用時間_シフト,14,1))</f>
        <v>#NAME?</v>
      </c>
      <c r="J18" s="207"/>
      <c r="K18" s="207"/>
      <c r="L18" s="207"/>
      <c r="M18" s="207"/>
      <c r="N18" s="32"/>
      <c r="O18" s="18" t="e">
        <f ca="1">IF(配列!$C$10="","",[0]!CSVVLookUP(ROW(行数!$A1),配列!$C$10,利用時間_シフト,13,1))</f>
        <v>#NAME?</v>
      </c>
      <c r="P18" s="10"/>
      <c r="Q18" s="10"/>
      <c r="T18" s="19"/>
      <c r="U18" s="18"/>
      <c r="V18" s="2"/>
      <c r="W18" s="17"/>
    </row>
    <row r="19" spans="2:23" x14ac:dyDescent="0.2">
      <c r="B19" s="326"/>
      <c r="C19" s="33" t="e">
        <f ca="1">IF(配列!$C$10="","",[0]!CSVVLookUP(ROW(行数!$A2),配列!$C$10,利用時間_シフト,3,1))</f>
        <v>#NAME?</v>
      </c>
      <c r="D19" s="33" t="e">
        <f ca="1">IF(配列!$C$10="","",[0]!CSVVLookUP(ROW(行数!$A2),配列!$C$10,利用時間_シフト,4,1))</f>
        <v>#NAME?</v>
      </c>
      <c r="E19" s="30" t="e">
        <f ca="1">IF(配列!$C$10="","",[0]!CSVVLookUP(ROW(行数!$A2),配列!$C$10,利用時間_シフト,5,1))</f>
        <v>#NAME?</v>
      </c>
      <c r="F19" s="29" t="e">
        <f ca="1">IF(配列!$C$10="","",[0]!CSVVLookUP(ROW(行数!$A2),配列!$C$10,利用時間_シフト,7,1))</f>
        <v>#NAME?</v>
      </c>
      <c r="G19" s="30" t="e">
        <f ca="1">IF(配列!$C$10="","",[0]!CSVVLookUP(ROW(行数!$A2),配列!$C$10,利用時間_シフト,8,1))</f>
        <v>#NAME?</v>
      </c>
      <c r="H19" s="28" t="e">
        <f ca="1">IF(配列!$C$10="","",[0]!CSVVLookUP(ROW(行数!$A2),配列!$C$10,利用時間_シフト,9,1))</f>
        <v>#NAME?</v>
      </c>
      <c r="I19" s="31" t="e">
        <f ca="1">IF(配列!$C$10="","",[0]!CSVVLookUP(ROW(行数!$A2),配列!$C$10,利用時間_シフト,14,1))</f>
        <v>#NAME?</v>
      </c>
      <c r="J19" s="207"/>
      <c r="K19" s="207"/>
      <c r="L19" s="207"/>
      <c r="M19" s="207"/>
      <c r="N19" s="32"/>
      <c r="O19" s="18" t="e">
        <f ca="1">IF(配列!$C$10="","",[0]!CSVVLookUP(ROW(行数!$A2),配列!$C$10,利用時間_シフト,13,1))</f>
        <v>#NAME?</v>
      </c>
      <c r="P19" s="10"/>
      <c r="Q19" s="10"/>
      <c r="T19" s="19"/>
      <c r="U19" s="18"/>
      <c r="V19" s="2"/>
      <c r="W19" s="17"/>
    </row>
    <row r="20" spans="2:23" x14ac:dyDescent="0.2">
      <c r="B20" s="326"/>
      <c r="C20" s="33" t="e">
        <f ca="1">IF(配列!$C$10="","",[0]!CSVVLookUP(ROW(行数!$A3),配列!$C$10,利用時間_シフト,3,1))</f>
        <v>#NAME?</v>
      </c>
      <c r="D20" s="33" t="e">
        <f ca="1">IF(配列!$C$10="","",[0]!CSVVLookUP(ROW(行数!$A3),配列!$C$10,利用時間_シフト,4,1))</f>
        <v>#NAME?</v>
      </c>
      <c r="E20" s="30" t="e">
        <f ca="1">IF(配列!$C$10="","",[0]!CSVVLookUP(ROW(行数!$A3),配列!$C$10,利用時間_シフト,5,1))</f>
        <v>#NAME?</v>
      </c>
      <c r="F20" s="29" t="e">
        <f ca="1">IF(配列!$C$10="","",[0]!CSVVLookUP(ROW(行数!$A3),配列!$C$10,利用時間_シフト,7,1))</f>
        <v>#NAME?</v>
      </c>
      <c r="G20" s="30" t="e">
        <f ca="1">IF(配列!$C$10="","",[0]!CSVVLookUP(ROW(行数!$A3),配列!$C$10,利用時間_シフト,8,1))</f>
        <v>#NAME?</v>
      </c>
      <c r="H20" s="28" t="e">
        <f ca="1">IF(配列!$C$10="","",[0]!CSVVLookUP(ROW(行数!$A3),配列!$C$10,利用時間_シフト,9,1))</f>
        <v>#NAME?</v>
      </c>
      <c r="I20" s="31" t="e">
        <f ca="1">IF(配列!$C$10="","",[0]!CSVVLookUP(ROW(行数!$A3),配列!$C$10,利用時間_シフト,14,1))</f>
        <v>#NAME?</v>
      </c>
      <c r="J20" s="207"/>
      <c r="K20" s="207"/>
      <c r="L20" s="207"/>
      <c r="M20" s="207"/>
      <c r="N20" s="32"/>
      <c r="O20" s="18" t="e">
        <f ca="1">IF(配列!$C$10="","",[0]!CSVVLookUP(ROW(行数!$A3),配列!$C$10,利用時間_シフト,13,1))</f>
        <v>#NAME?</v>
      </c>
      <c r="P20" s="10"/>
      <c r="Q20" s="10"/>
      <c r="T20" s="19"/>
      <c r="U20" s="18"/>
      <c r="V20" s="2"/>
      <c r="W20" s="17"/>
    </row>
    <row r="21" spans="2:23" x14ac:dyDescent="0.2">
      <c r="B21" s="326"/>
      <c r="C21" s="33" t="e">
        <f ca="1">IF(配列!$C$10="","",[0]!CSVVLookUP(ROW(行数!$A4),配列!$C$10,利用時間_シフト,3,1))</f>
        <v>#NAME?</v>
      </c>
      <c r="D21" s="33" t="e">
        <f ca="1">IF(配列!$C$10="","",[0]!CSVVLookUP(ROW(行数!$A4),配列!$C$10,利用時間_シフト,4,1))</f>
        <v>#NAME?</v>
      </c>
      <c r="E21" s="30" t="e">
        <f ca="1">IF(配列!$C$10="","",[0]!CSVVLookUP(ROW(行数!$A4),配列!$C$10,利用時間_シフト,5,1))</f>
        <v>#NAME?</v>
      </c>
      <c r="F21" s="29" t="e">
        <f ca="1">IF(配列!$C$10="","",[0]!CSVVLookUP(ROW(行数!$A4),配列!$C$10,利用時間_シフト,7,1))</f>
        <v>#NAME?</v>
      </c>
      <c r="G21" s="30" t="e">
        <f ca="1">IF(配列!$C$10="","",[0]!CSVVLookUP(ROW(行数!$A4),配列!$C$10,利用時間_シフト,8,1))</f>
        <v>#NAME?</v>
      </c>
      <c r="H21" s="28" t="e">
        <f ca="1">IF(配列!$C$10="","",[0]!CSVVLookUP(ROW(行数!$A4),配列!$C$10,利用時間_シフト,9,1))</f>
        <v>#NAME?</v>
      </c>
      <c r="I21" s="31" t="e">
        <f ca="1">IF(配列!$C$10="","",[0]!CSVVLookUP(ROW(行数!$A4),配列!$C$10,利用時間_シフト,14,1))</f>
        <v>#NAME?</v>
      </c>
      <c r="J21" s="207"/>
      <c r="K21" s="207"/>
      <c r="L21" s="207"/>
      <c r="M21" s="207"/>
      <c r="N21" s="32"/>
      <c r="O21" s="18" t="e">
        <f ca="1">IF(配列!$C$10="","",[0]!CSVVLookUP(ROW(行数!$A4),配列!$C$10,利用時間_シフト,13,1))</f>
        <v>#NAME?</v>
      </c>
      <c r="P21" s="10"/>
      <c r="Q21" s="10"/>
      <c r="T21" s="19"/>
      <c r="U21" s="18"/>
      <c r="V21" s="2"/>
      <c r="W21" s="17"/>
    </row>
    <row r="22" spans="2:23" x14ac:dyDescent="0.2">
      <c r="B22" s="326"/>
      <c r="C22" s="33" t="e">
        <f ca="1">IF(配列!$C$10="","",[0]!CSVVLookUP(ROW(行数!$A5),配列!$C$10,利用時間_シフト,3,1))</f>
        <v>#NAME?</v>
      </c>
      <c r="D22" s="33" t="e">
        <f ca="1">IF(配列!$C$10="","",[0]!CSVVLookUP(ROW(行数!$A5),配列!$C$10,利用時間_シフト,4,1))</f>
        <v>#NAME?</v>
      </c>
      <c r="E22" s="30" t="e">
        <f ca="1">IF(配列!$C$10="","",[0]!CSVVLookUP(ROW(行数!$A5),配列!$C$10,利用時間_シフト,5,1))</f>
        <v>#NAME?</v>
      </c>
      <c r="F22" s="29" t="e">
        <f ca="1">IF(配列!$C$10="","",[0]!CSVVLookUP(ROW(行数!$A5),配列!$C$10,利用時間_シフト,7,1))</f>
        <v>#NAME?</v>
      </c>
      <c r="G22" s="30" t="e">
        <f ca="1">IF(配列!$C$10="","",[0]!CSVVLookUP(ROW(行数!$A5),配列!$C$10,利用時間_シフト,8,1))</f>
        <v>#NAME?</v>
      </c>
      <c r="H22" s="28" t="e">
        <f ca="1">IF(配列!$C$10="","",[0]!CSVVLookUP(ROW(行数!$A5),配列!$C$10,利用時間_シフト,9,1))</f>
        <v>#NAME?</v>
      </c>
      <c r="I22" s="31" t="e">
        <f ca="1">IF(配列!$C$10="","",[0]!CSVVLookUP(ROW(行数!$A5),配列!$C$10,利用時間_シフト,14,1))</f>
        <v>#NAME?</v>
      </c>
      <c r="J22" s="207"/>
      <c r="K22" s="207"/>
      <c r="L22" s="207"/>
      <c r="M22" s="207"/>
      <c r="N22" s="32"/>
      <c r="O22" s="18" t="e">
        <f ca="1">IF(配列!$C$10="","",[0]!CSVVLookUP(ROW(行数!$A5),配列!$C$10,利用時間_シフト,13,1))</f>
        <v>#NAME?</v>
      </c>
      <c r="P22" s="10"/>
      <c r="Q22" s="10"/>
      <c r="T22" s="19"/>
      <c r="U22" s="18"/>
      <c r="V22" s="2"/>
      <c r="W22" s="17"/>
    </row>
    <row r="23" spans="2:23" x14ac:dyDescent="0.2">
      <c r="B23" s="326"/>
      <c r="C23" s="33" t="e">
        <f ca="1">IF(配列!$C$10="","",[0]!CSVVLookUP(ROW(行数!$A6),配列!$C$10,利用時間_シフト,3,1))</f>
        <v>#NAME?</v>
      </c>
      <c r="D23" s="33" t="e">
        <f ca="1">IF(配列!$C$10="","",[0]!CSVVLookUP(ROW(行数!$A6),配列!$C$10,利用時間_シフト,4,1))</f>
        <v>#NAME?</v>
      </c>
      <c r="E23" s="30" t="e">
        <f ca="1">IF(配列!$C$10="","",[0]!CSVVLookUP(ROW(行数!$A6),配列!$C$10,利用時間_シフト,5,1))</f>
        <v>#NAME?</v>
      </c>
      <c r="F23" s="29" t="e">
        <f ca="1">IF(配列!$C$10="","",[0]!CSVVLookUP(ROW(行数!$A6),配列!$C$10,利用時間_シフト,7,1))</f>
        <v>#NAME?</v>
      </c>
      <c r="G23" s="30" t="e">
        <f ca="1">IF(配列!$C$10="","",[0]!CSVVLookUP(ROW(行数!$A6),配列!$C$10,利用時間_シフト,8,1))</f>
        <v>#NAME?</v>
      </c>
      <c r="H23" s="28" t="e">
        <f ca="1">IF(配列!$C$10="","",[0]!CSVVLookUP(ROW(行数!$A6),配列!$C$10,利用時間_シフト,9,1))</f>
        <v>#NAME?</v>
      </c>
      <c r="I23" s="31" t="e">
        <f ca="1">IF(配列!$C$10="","",[0]!CSVVLookUP(ROW(行数!$A6),配列!$C$10,利用時間_シフト,14,1))</f>
        <v>#NAME?</v>
      </c>
      <c r="J23" s="207"/>
      <c r="K23" s="207"/>
      <c r="L23" s="207"/>
      <c r="M23" s="207"/>
      <c r="N23" s="32"/>
      <c r="O23" s="18" t="e">
        <f ca="1">IF(配列!$C$10="","",[0]!CSVVLookUP(ROW(行数!$A6),配列!$C$10,利用時間_シフト,13,1))</f>
        <v>#NAME?</v>
      </c>
      <c r="P23" s="10"/>
      <c r="Q23" s="10"/>
      <c r="T23" s="19"/>
      <c r="U23" s="18"/>
      <c r="V23" s="2"/>
      <c r="W23" s="17"/>
    </row>
    <row r="24" spans="2:23" x14ac:dyDescent="0.2">
      <c r="B24" s="326"/>
      <c r="C24" s="33" t="e">
        <f ca="1">IF(配列!$C$10="","",[0]!CSVVLookUP(ROW(行数!$A7),配列!$C$10,利用時間_シフト,3,1))</f>
        <v>#NAME?</v>
      </c>
      <c r="D24" s="33" t="e">
        <f ca="1">IF(配列!$C$10="","",[0]!CSVVLookUP(ROW(行数!$A7),配列!$C$10,利用時間_シフト,4,1))</f>
        <v>#NAME?</v>
      </c>
      <c r="E24" s="30" t="e">
        <f ca="1">IF(配列!$C$10="","",[0]!CSVVLookUP(ROW(行数!$A7),配列!$C$10,利用時間_シフト,5,1))</f>
        <v>#NAME?</v>
      </c>
      <c r="F24" s="29" t="e">
        <f ca="1">IF(配列!$C$10="","",[0]!CSVVLookUP(ROW(行数!$A7),配列!$C$10,利用時間_シフト,7,1))</f>
        <v>#NAME?</v>
      </c>
      <c r="G24" s="30" t="e">
        <f ca="1">IF(配列!$C$10="","",[0]!CSVVLookUP(ROW(行数!$A7),配列!$C$10,利用時間_シフト,8,1))</f>
        <v>#NAME?</v>
      </c>
      <c r="H24" s="28" t="e">
        <f ca="1">IF(配列!$C$10="","",[0]!CSVVLookUP(ROW(行数!$A7),配列!$C$10,利用時間_シフト,9,1))</f>
        <v>#NAME?</v>
      </c>
      <c r="I24" s="31" t="e">
        <f ca="1">IF(配列!$C$10="","",[0]!CSVVLookUP(ROW(行数!$A7),配列!$C$10,利用時間_シフト,14,1))</f>
        <v>#NAME?</v>
      </c>
      <c r="J24" s="207"/>
      <c r="K24" s="207"/>
      <c r="L24" s="207"/>
      <c r="M24" s="207"/>
      <c r="N24" s="32"/>
      <c r="O24" s="18" t="e">
        <f ca="1">IF(配列!$C$10="","",[0]!CSVVLookUP(ROW(行数!$A7),配列!$C$10,利用時間_シフト,13,1))</f>
        <v>#NAME?</v>
      </c>
      <c r="P24" s="10"/>
      <c r="Q24" s="10"/>
      <c r="T24" s="19"/>
      <c r="U24" s="18"/>
      <c r="V24" s="2"/>
      <c r="W24" s="17"/>
    </row>
    <row r="25" spans="2:23" x14ac:dyDescent="0.2">
      <c r="B25" s="326"/>
      <c r="C25" s="33" t="e">
        <f ca="1">IF(配列!$C$10="","",[0]!CSVVLookUP(ROW(行数!$A8),配列!$C$10,利用時間_シフト,3,1))</f>
        <v>#NAME?</v>
      </c>
      <c r="D25" s="33" t="e">
        <f ca="1">IF(配列!$C$10="","",[0]!CSVVLookUP(ROW(行数!$A8),配列!$C$10,利用時間_シフト,4,1))</f>
        <v>#NAME?</v>
      </c>
      <c r="E25" s="30" t="e">
        <f ca="1">IF(配列!$C$10="","",[0]!CSVVLookUP(ROW(行数!$A8),配列!$C$10,利用時間_シフト,5,1))</f>
        <v>#NAME?</v>
      </c>
      <c r="F25" s="29" t="e">
        <f ca="1">IF(配列!$C$10="","",[0]!CSVVLookUP(ROW(行数!$A8),配列!$C$10,利用時間_シフト,7,1))</f>
        <v>#NAME?</v>
      </c>
      <c r="G25" s="30" t="e">
        <f ca="1">IF(配列!$C$10="","",[0]!CSVVLookUP(ROW(行数!$A8),配列!$C$10,利用時間_シフト,8,1))</f>
        <v>#NAME?</v>
      </c>
      <c r="H25" s="28" t="e">
        <f ca="1">IF(配列!$C$10="","",[0]!CSVVLookUP(ROW(行数!$A8),配列!$C$10,利用時間_シフト,9,1))</f>
        <v>#NAME?</v>
      </c>
      <c r="I25" s="31" t="e">
        <f ca="1">IF(配列!$C$10="","",[0]!CSVVLookUP(ROW(行数!$A8),配列!$C$10,利用時間_シフト,14,1))</f>
        <v>#NAME?</v>
      </c>
      <c r="J25" s="207"/>
      <c r="K25" s="207"/>
      <c r="L25" s="207"/>
      <c r="M25" s="207"/>
      <c r="N25" s="32"/>
      <c r="O25" s="18" t="e">
        <f ca="1">IF(配列!$C$10="","",[0]!CSVVLookUP(ROW(行数!$A8),配列!$C$10,利用時間_シフト,13,1))</f>
        <v>#NAME?</v>
      </c>
      <c r="P25" s="10"/>
      <c r="Q25" s="10"/>
      <c r="T25" s="19"/>
      <c r="U25" s="18"/>
      <c r="V25" s="2"/>
      <c r="W25" s="17"/>
    </row>
    <row r="26" spans="2:23" x14ac:dyDescent="0.2">
      <c r="B26" s="326"/>
      <c r="C26" s="33" t="e">
        <f ca="1">IF(配列!$C$10="","",[0]!CSVVLookUP(ROW(行数!$A9),配列!$C$10,利用時間_シフト,3,1))</f>
        <v>#NAME?</v>
      </c>
      <c r="D26" s="33" t="e">
        <f ca="1">IF(配列!$C$10="","",[0]!CSVVLookUP(ROW(行数!$A9),配列!$C$10,利用時間_シフト,4,1))</f>
        <v>#NAME?</v>
      </c>
      <c r="E26" s="30" t="e">
        <f ca="1">IF(配列!$C$10="","",[0]!CSVVLookUP(ROW(行数!$A9),配列!$C$10,利用時間_シフト,5,1))</f>
        <v>#NAME?</v>
      </c>
      <c r="F26" s="29" t="e">
        <f ca="1">IF(配列!$C$10="","",[0]!CSVVLookUP(ROW(行数!$A9),配列!$C$10,利用時間_シフト,7,1))</f>
        <v>#NAME?</v>
      </c>
      <c r="G26" s="30" t="e">
        <f ca="1">IF(配列!$C$10="","",[0]!CSVVLookUP(ROW(行数!$A9),配列!$C$10,利用時間_シフト,8,1))</f>
        <v>#NAME?</v>
      </c>
      <c r="H26" s="28" t="e">
        <f ca="1">IF(配列!$C$10="","",[0]!CSVVLookUP(ROW(行数!$A9),配列!$C$10,利用時間_シフト,9,1))</f>
        <v>#NAME?</v>
      </c>
      <c r="I26" s="31" t="e">
        <f ca="1">IF(配列!$C$10="","",[0]!CSVVLookUP(ROW(行数!$A9),配列!$C$10,利用時間_シフト,14,1))</f>
        <v>#NAME?</v>
      </c>
      <c r="J26" s="207"/>
      <c r="K26" s="207"/>
      <c r="L26" s="207"/>
      <c r="M26" s="207"/>
      <c r="N26" s="32"/>
      <c r="O26" s="18" t="e">
        <f ca="1">IF(配列!$C$10="","",[0]!CSVVLookUP(ROW(行数!$A9),配列!$C$10,利用時間_シフト,13,1))</f>
        <v>#NAME?</v>
      </c>
      <c r="P26" s="10"/>
      <c r="Q26" s="10"/>
      <c r="T26" s="19"/>
      <c r="U26" s="18"/>
      <c r="V26" s="2"/>
      <c r="W26" s="17"/>
    </row>
    <row r="27" spans="2:23" x14ac:dyDescent="0.2">
      <c r="B27" s="326"/>
      <c r="C27" s="33" t="e">
        <f ca="1">IF(配列!$C$10="","",[0]!CSVVLookUP(ROW(行数!$A10),配列!$C$10,利用時間_シフト,3,1))</f>
        <v>#NAME?</v>
      </c>
      <c r="D27" s="33" t="e">
        <f ca="1">IF(配列!$C$10="","",[0]!CSVVLookUP(ROW(行数!$A10),配列!$C$10,利用時間_シフト,4,1))</f>
        <v>#NAME?</v>
      </c>
      <c r="E27" s="30" t="e">
        <f ca="1">IF(配列!$C$10="","",[0]!CSVVLookUP(ROW(行数!$A10),配列!$C$10,利用時間_シフト,5,1))</f>
        <v>#NAME?</v>
      </c>
      <c r="F27" s="29" t="e">
        <f ca="1">IF(配列!$C$10="","",[0]!CSVVLookUP(ROW(行数!$A10),配列!$C$10,利用時間_シフト,7,1))</f>
        <v>#NAME?</v>
      </c>
      <c r="G27" s="30" t="e">
        <f ca="1">IF(配列!$C$10="","",[0]!CSVVLookUP(ROW(行数!$A10),配列!$C$10,利用時間_シフト,8,1))</f>
        <v>#NAME?</v>
      </c>
      <c r="H27" s="28" t="e">
        <f ca="1">IF(配列!$C$10="","",[0]!CSVVLookUP(ROW(行数!$A10),配列!$C$10,利用時間_シフト,9,1))</f>
        <v>#NAME?</v>
      </c>
      <c r="I27" s="31" t="e">
        <f ca="1">IF(配列!$C$10="","",[0]!CSVVLookUP(ROW(行数!$A10),配列!$C$10,利用時間_シフト,14,1))</f>
        <v>#NAME?</v>
      </c>
      <c r="J27" s="207"/>
      <c r="K27" s="207"/>
      <c r="L27" s="207"/>
      <c r="M27" s="207"/>
      <c r="N27" s="32"/>
      <c r="O27" s="18" t="e">
        <f ca="1">IF(配列!$C$10="","",[0]!CSVVLookUP(ROW(行数!$A10),配列!$C$10,利用時間_シフト,13,1))</f>
        <v>#NAME?</v>
      </c>
      <c r="P27" s="10"/>
      <c r="Q27" s="10"/>
      <c r="T27" s="19"/>
      <c r="U27" s="18"/>
      <c r="V27" s="2"/>
      <c r="W27" s="17"/>
    </row>
    <row r="28" spans="2:23" x14ac:dyDescent="0.2">
      <c r="B28" s="326"/>
      <c r="C28" s="33" t="e">
        <f ca="1">IF(配列!$C$10="","",[0]!CSVVLookUP(ROW(行数!$A11),配列!$C$10,利用時間_シフト,3,1))</f>
        <v>#NAME?</v>
      </c>
      <c r="D28" s="33" t="e">
        <f ca="1">IF(配列!$C$10="","",[0]!CSVVLookUP(ROW(行数!$A11),配列!$C$10,利用時間_シフト,4,1))</f>
        <v>#NAME?</v>
      </c>
      <c r="E28" s="30" t="e">
        <f ca="1">IF(配列!$C$10="","",[0]!CSVVLookUP(ROW(行数!$A11),配列!$C$10,利用時間_シフト,5,1))</f>
        <v>#NAME?</v>
      </c>
      <c r="F28" s="29" t="e">
        <f ca="1">IF(配列!$C$10="","",[0]!CSVVLookUP(ROW(行数!$A11),配列!$C$10,利用時間_シフト,7,1))</f>
        <v>#NAME?</v>
      </c>
      <c r="G28" s="30" t="e">
        <f ca="1">IF(配列!$C$10="","",[0]!CSVVLookUP(ROW(行数!$A11),配列!$C$10,利用時間_シフト,8,1))</f>
        <v>#NAME?</v>
      </c>
      <c r="H28" s="28" t="e">
        <f ca="1">IF(配列!$C$10="","",[0]!CSVVLookUP(ROW(行数!$A11),配列!$C$10,利用時間_シフト,9,1))</f>
        <v>#NAME?</v>
      </c>
      <c r="I28" s="31" t="e">
        <f ca="1">IF(配列!$C$10="","",[0]!CSVVLookUP(ROW(行数!$A11),配列!$C$10,利用時間_シフト,14,1))</f>
        <v>#NAME?</v>
      </c>
      <c r="J28" s="207"/>
      <c r="K28" s="207"/>
      <c r="L28" s="207"/>
      <c r="M28" s="207"/>
      <c r="N28" s="32"/>
      <c r="O28" s="18" t="e">
        <f ca="1">IF(配列!$C$10="","",[0]!CSVVLookUP(ROW(行数!$A11),配列!$C$10,利用時間_シフト,13,1))</f>
        <v>#NAME?</v>
      </c>
      <c r="P28" s="10"/>
      <c r="Q28" s="10"/>
      <c r="T28" s="19"/>
      <c r="U28" s="18"/>
      <c r="V28" s="2"/>
      <c r="W28" s="17"/>
    </row>
    <row r="29" spans="2:23" x14ac:dyDescent="0.2">
      <c r="B29" s="326"/>
      <c r="C29" s="33" t="e">
        <f ca="1">IF(配列!$C$10="","",[0]!CSVVLookUP(ROW(行数!$A12),配列!$C$10,利用時間_シフト,3,1))</f>
        <v>#NAME?</v>
      </c>
      <c r="D29" s="33" t="e">
        <f ca="1">IF(配列!$C$10="","",[0]!CSVVLookUP(ROW(行数!$A12),配列!$C$10,利用時間_シフト,4,1))</f>
        <v>#NAME?</v>
      </c>
      <c r="E29" s="30" t="e">
        <f ca="1">IF(配列!$C$10="","",[0]!CSVVLookUP(ROW(行数!$A12),配列!$C$10,利用時間_シフト,5,1))</f>
        <v>#NAME?</v>
      </c>
      <c r="F29" s="29" t="e">
        <f ca="1">IF(配列!$C$10="","",[0]!CSVVLookUP(ROW(行数!$A12),配列!$C$10,利用時間_シフト,7,1))</f>
        <v>#NAME?</v>
      </c>
      <c r="G29" s="30" t="e">
        <f ca="1">IF(配列!$C$10="","",[0]!CSVVLookUP(ROW(行数!$A12),配列!$C$10,利用時間_シフト,8,1))</f>
        <v>#NAME?</v>
      </c>
      <c r="H29" s="28" t="e">
        <f ca="1">IF(配列!$C$10="","",[0]!CSVVLookUP(ROW(行数!$A12),配列!$C$10,利用時間_シフト,9,1))</f>
        <v>#NAME?</v>
      </c>
      <c r="I29" s="31" t="e">
        <f ca="1">IF(配列!$C$10="","",[0]!CSVVLookUP(ROW(行数!$A12),配列!$C$10,利用時間_シフト,14,1))</f>
        <v>#NAME?</v>
      </c>
      <c r="J29" s="207"/>
      <c r="K29" s="207"/>
      <c r="L29" s="207"/>
      <c r="M29" s="207"/>
      <c r="N29" s="32"/>
      <c r="O29" s="18" t="e">
        <f ca="1">IF(配列!$C$10="","",[0]!CSVVLookUP(ROW(行数!$A12),配列!$C$10,利用時間_シフト,13,1))</f>
        <v>#NAME?</v>
      </c>
      <c r="P29" s="10"/>
      <c r="Q29" s="10"/>
      <c r="T29" s="19"/>
      <c r="U29" s="18"/>
      <c r="V29" s="2"/>
      <c r="W29" s="17"/>
    </row>
    <row r="30" spans="2:23" x14ac:dyDescent="0.2">
      <c r="B30" s="326"/>
      <c r="C30" s="33" t="e">
        <f ca="1">IF(配列!$C$10="","",[0]!CSVVLookUP(ROW(行数!$A13),配列!$C$10,利用時間_シフト,3,1))</f>
        <v>#NAME?</v>
      </c>
      <c r="D30" s="33" t="e">
        <f ca="1">IF(配列!$C$10="","",[0]!CSVVLookUP(ROW(行数!$A13),配列!$C$10,利用時間_シフト,4,1))</f>
        <v>#NAME?</v>
      </c>
      <c r="E30" s="30" t="e">
        <f ca="1">IF(配列!$C$10="","",[0]!CSVVLookUP(ROW(行数!$A13),配列!$C$10,利用時間_シフト,5,1))</f>
        <v>#NAME?</v>
      </c>
      <c r="F30" s="29" t="e">
        <f ca="1">IF(配列!$C$10="","",[0]!CSVVLookUP(ROW(行数!$A13),配列!$C$10,利用時間_シフト,7,1))</f>
        <v>#NAME?</v>
      </c>
      <c r="G30" s="30" t="e">
        <f ca="1">IF(配列!$C$10="","",[0]!CSVVLookUP(ROW(行数!$A13),配列!$C$10,利用時間_シフト,8,1))</f>
        <v>#NAME?</v>
      </c>
      <c r="H30" s="28" t="e">
        <f ca="1">IF(配列!$C$10="","",[0]!CSVVLookUP(ROW(行数!$A13),配列!$C$10,利用時間_シフト,9,1))</f>
        <v>#NAME?</v>
      </c>
      <c r="I30" s="31" t="e">
        <f ca="1">IF(配列!$C$10="","",[0]!CSVVLookUP(ROW(行数!$A13),配列!$C$10,利用時間_シフト,14,1))</f>
        <v>#NAME?</v>
      </c>
      <c r="J30" s="207"/>
      <c r="K30" s="207"/>
      <c r="L30" s="207"/>
      <c r="M30" s="207"/>
      <c r="N30" s="32"/>
      <c r="O30" s="18" t="e">
        <f ca="1">IF(配列!$C$10="","",[0]!CSVVLookUP(ROW(行数!$A13),配列!$C$10,利用時間_シフト,13,1))</f>
        <v>#NAME?</v>
      </c>
      <c r="P30" s="10"/>
      <c r="Q30" s="10"/>
      <c r="T30" s="19"/>
      <c r="U30" s="18"/>
      <c r="V30" s="2"/>
      <c r="W30" s="17"/>
    </row>
    <row r="31" spans="2:23" x14ac:dyDescent="0.2">
      <c r="B31" s="326"/>
      <c r="C31" s="33" t="e">
        <f ca="1">IF(配列!$C$10="","",[0]!CSVVLookUP(ROW(行数!$A14),配列!$C$10,利用時間_シフト,3,1))</f>
        <v>#NAME?</v>
      </c>
      <c r="D31" s="33" t="e">
        <f ca="1">IF(配列!$C$10="","",[0]!CSVVLookUP(ROW(行数!$A14),配列!$C$10,利用時間_シフト,4,1))</f>
        <v>#NAME?</v>
      </c>
      <c r="E31" s="30" t="e">
        <f ca="1">IF(配列!$C$10="","",[0]!CSVVLookUP(ROW(行数!$A14),配列!$C$10,利用時間_シフト,5,1))</f>
        <v>#NAME?</v>
      </c>
      <c r="F31" s="29" t="e">
        <f ca="1">IF(配列!$C$10="","",[0]!CSVVLookUP(ROW(行数!$A14),配列!$C$10,利用時間_シフト,7,1))</f>
        <v>#NAME?</v>
      </c>
      <c r="G31" s="30" t="e">
        <f ca="1">IF(配列!$C$10="","",[0]!CSVVLookUP(ROW(行数!$A14),配列!$C$10,利用時間_シフト,8,1))</f>
        <v>#NAME?</v>
      </c>
      <c r="H31" s="28" t="e">
        <f ca="1">IF(配列!$C$10="","",[0]!CSVVLookUP(ROW(行数!$A14),配列!$C$10,利用時間_シフト,9,1))</f>
        <v>#NAME?</v>
      </c>
      <c r="I31" s="31" t="e">
        <f ca="1">IF(配列!$C$10="","",[0]!CSVVLookUP(ROW(行数!$A14),配列!$C$10,利用時間_シフト,14,1))</f>
        <v>#NAME?</v>
      </c>
      <c r="J31" s="207"/>
      <c r="K31" s="207"/>
      <c r="L31" s="207"/>
      <c r="M31" s="207"/>
      <c r="N31" s="32"/>
      <c r="O31" s="18" t="e">
        <f ca="1">IF(配列!$C$10="","",[0]!CSVVLookUP(ROW(行数!$A14),配列!$C$10,利用時間_シフト,13,1))</f>
        <v>#NAME?</v>
      </c>
      <c r="P31" s="10"/>
      <c r="Q31" s="10"/>
      <c r="T31" s="19"/>
      <c r="U31" s="18"/>
      <c r="V31" s="2"/>
      <c r="W31" s="17"/>
    </row>
    <row r="32" spans="2:23" x14ac:dyDescent="0.2">
      <c r="B32" s="326"/>
      <c r="C32" s="33" t="e">
        <f ca="1">IF(配列!$C$10="","",[0]!CSVVLookUP(ROW(行数!$A15),配列!$C$10,利用時間_シフト,3,1))</f>
        <v>#NAME?</v>
      </c>
      <c r="D32" s="33" t="e">
        <f ca="1">IF(配列!$C$10="","",[0]!CSVVLookUP(ROW(行数!$A15),配列!$C$10,利用時間_シフト,4,1))</f>
        <v>#NAME?</v>
      </c>
      <c r="E32" s="30" t="e">
        <f ca="1">IF(配列!$C$10="","",[0]!CSVVLookUP(ROW(行数!$A15),配列!$C$10,利用時間_シフト,5,1))</f>
        <v>#NAME?</v>
      </c>
      <c r="F32" s="29" t="e">
        <f ca="1">IF(配列!$C$10="","",[0]!CSVVLookUP(ROW(行数!$A15),配列!$C$10,利用時間_シフト,7,1))</f>
        <v>#NAME?</v>
      </c>
      <c r="G32" s="30" t="e">
        <f ca="1">IF(配列!$C$10="","",[0]!CSVVLookUP(ROW(行数!$A15),配列!$C$10,利用時間_シフト,8,1))</f>
        <v>#NAME?</v>
      </c>
      <c r="H32" s="28" t="e">
        <f ca="1">IF(配列!$C$10="","",[0]!CSVVLookUP(ROW(行数!$A15),配列!$C$10,利用時間_シフト,9,1))</f>
        <v>#NAME?</v>
      </c>
      <c r="I32" s="31" t="e">
        <f ca="1">IF(配列!$C$10="","",[0]!CSVVLookUP(ROW(行数!$A15),配列!$C$10,利用時間_シフト,14,1))</f>
        <v>#NAME?</v>
      </c>
      <c r="J32" s="207"/>
      <c r="K32" s="207"/>
      <c r="L32" s="207"/>
      <c r="M32" s="207"/>
      <c r="N32" s="32"/>
      <c r="O32" s="18" t="e">
        <f ca="1">IF(配列!$C$10="","",[0]!CSVVLookUP(ROW(行数!$A15),配列!$C$10,利用時間_シフト,13,1))</f>
        <v>#NAME?</v>
      </c>
      <c r="P32" s="10"/>
      <c r="Q32" s="10"/>
      <c r="T32" s="19"/>
      <c r="U32" s="18"/>
      <c r="V32" s="2"/>
      <c r="W32" s="17"/>
    </row>
    <row r="33" spans="2:23" x14ac:dyDescent="0.2">
      <c r="B33" s="326"/>
      <c r="C33" s="33" t="e">
        <f ca="1">IF(配列!$C$10="","",[0]!CSVVLookUP(ROW(行数!$A16),配列!$C$10,利用時間_シフト,3,1))</f>
        <v>#NAME?</v>
      </c>
      <c r="D33" s="33" t="e">
        <f ca="1">IF(配列!$C$10="","",[0]!CSVVLookUP(ROW(行数!$A16),配列!$C$10,利用時間_シフト,4,1))</f>
        <v>#NAME?</v>
      </c>
      <c r="E33" s="30" t="e">
        <f ca="1">IF(配列!$C$10="","",[0]!CSVVLookUP(ROW(行数!$A16),配列!$C$10,利用時間_シフト,5,1))</f>
        <v>#NAME?</v>
      </c>
      <c r="F33" s="29" t="e">
        <f ca="1">IF(配列!$C$10="","",[0]!CSVVLookUP(ROW(行数!$A16),配列!$C$10,利用時間_シフト,7,1))</f>
        <v>#NAME?</v>
      </c>
      <c r="G33" s="30" t="e">
        <f ca="1">IF(配列!$C$10="","",[0]!CSVVLookUP(ROW(行数!$A16),配列!$C$10,利用時間_シフト,8,1))</f>
        <v>#NAME?</v>
      </c>
      <c r="H33" s="28" t="e">
        <f ca="1">IF(配列!$C$10="","",[0]!CSVVLookUP(ROW(行数!$A16),配列!$C$10,利用時間_シフト,9,1))</f>
        <v>#NAME?</v>
      </c>
      <c r="I33" s="31" t="e">
        <f ca="1">IF(配列!$C$10="","",[0]!CSVVLookUP(ROW(行数!$A16),配列!$C$10,利用時間_シフト,14,1))</f>
        <v>#NAME?</v>
      </c>
      <c r="J33" s="207"/>
      <c r="K33" s="207"/>
      <c r="L33" s="207"/>
      <c r="M33" s="207"/>
      <c r="N33" s="32"/>
      <c r="O33" s="18" t="e">
        <f ca="1">IF(配列!$C$10="","",[0]!CSVVLookUP(ROW(行数!$A16),配列!$C$10,利用時間_シフト,13,1))</f>
        <v>#NAME?</v>
      </c>
      <c r="P33"/>
    </row>
    <row r="34" spans="2:23" x14ac:dyDescent="0.2">
      <c r="B34" s="326"/>
      <c r="C34" s="33" t="e">
        <f ca="1">IF(配列!$C$10="","",[0]!CSVVLookUP(ROW(行数!$A17),配列!$C$10,利用時間_シフト,3,1))</f>
        <v>#NAME?</v>
      </c>
      <c r="D34" s="33" t="e">
        <f ca="1">IF(配列!$C$10="","",[0]!CSVVLookUP(ROW(行数!$A17),配列!$C$10,利用時間_シフト,4,1))</f>
        <v>#NAME?</v>
      </c>
      <c r="E34" s="30" t="e">
        <f ca="1">IF(配列!$C$10="","",[0]!CSVVLookUP(ROW(行数!$A17),配列!$C$10,利用時間_シフト,5,1))</f>
        <v>#NAME?</v>
      </c>
      <c r="F34" s="29" t="e">
        <f ca="1">IF(配列!$C$10="","",[0]!CSVVLookUP(ROW(行数!$A17),配列!$C$10,利用時間_シフト,7,1))</f>
        <v>#NAME?</v>
      </c>
      <c r="G34" s="30" t="e">
        <f ca="1">IF(配列!$C$10="","",[0]!CSVVLookUP(ROW(行数!$A17),配列!$C$10,利用時間_シフト,8,1))</f>
        <v>#NAME?</v>
      </c>
      <c r="H34" s="28" t="e">
        <f ca="1">IF(配列!$C$10="","",[0]!CSVVLookUP(ROW(行数!$A17),配列!$C$10,利用時間_シフト,9,1))</f>
        <v>#NAME?</v>
      </c>
      <c r="I34" s="31" t="e">
        <f ca="1">IF(配列!$C$10="","",[0]!CSVVLookUP(ROW(行数!$A17),配列!$C$10,利用時間_シフト,14,1))</f>
        <v>#NAME?</v>
      </c>
      <c r="J34" s="207"/>
      <c r="K34" s="207"/>
      <c r="L34" s="207"/>
      <c r="M34" s="207"/>
      <c r="N34" s="32"/>
      <c r="O34" s="18" t="e">
        <f ca="1">IF(配列!$C$10="","",[0]!CSVVLookUP(ROW(行数!$A17),配列!$C$10,利用時間_シフト,13,1))</f>
        <v>#NAME?</v>
      </c>
      <c r="P34"/>
    </row>
    <row r="35" spans="2:23" x14ac:dyDescent="0.2">
      <c r="B35" s="326"/>
      <c r="C35" s="33" t="e">
        <f ca="1">IF(配列!$C$10="","",[0]!CSVVLookUP(ROW(行数!$A18),配列!$C$10,利用時間_シフト,3,1))</f>
        <v>#NAME?</v>
      </c>
      <c r="D35" s="33" t="e">
        <f ca="1">IF(配列!$C$10="","",[0]!CSVVLookUP(ROW(行数!$A18),配列!$C$10,利用時間_シフト,4,1))</f>
        <v>#NAME?</v>
      </c>
      <c r="E35" s="30" t="e">
        <f ca="1">IF(配列!$C$10="","",[0]!CSVVLookUP(ROW(行数!$A18),配列!$C$10,利用時間_シフト,5,1))</f>
        <v>#NAME?</v>
      </c>
      <c r="F35" s="29" t="e">
        <f ca="1">IF(配列!$C$10="","",[0]!CSVVLookUP(ROW(行数!$A18),配列!$C$10,利用時間_シフト,7,1))</f>
        <v>#NAME?</v>
      </c>
      <c r="G35" s="30" t="e">
        <f ca="1">IF(配列!$C$10="","",[0]!CSVVLookUP(ROW(行数!$A18),配列!$C$10,利用時間_シフト,8,1))</f>
        <v>#NAME?</v>
      </c>
      <c r="H35" s="28" t="e">
        <f ca="1">IF(配列!$C$10="","",[0]!CSVVLookUP(ROW(行数!$A18),配列!$C$10,利用時間_シフト,9,1))</f>
        <v>#NAME?</v>
      </c>
      <c r="I35" s="31" t="e">
        <f ca="1">IF(配列!$C$10="","",[0]!CSVVLookUP(ROW(行数!$A18),配列!$C$10,利用時間_シフト,14,1))</f>
        <v>#NAME?</v>
      </c>
      <c r="J35" s="207"/>
      <c r="K35" s="207"/>
      <c r="L35" s="207"/>
      <c r="M35" s="207"/>
      <c r="N35" s="32"/>
      <c r="O35" s="18" t="e">
        <f ca="1">IF(配列!$C$10="","",[0]!CSVVLookUP(ROW(行数!$A18),配列!$C$10,利用時間_シフト,13,1))</f>
        <v>#NAME?</v>
      </c>
      <c r="P35"/>
    </row>
    <row r="36" spans="2:23" x14ac:dyDescent="0.2">
      <c r="B36" s="326"/>
      <c r="C36" s="33" t="e">
        <f ca="1">IF(配列!$C$10="","",[0]!CSVVLookUP(ROW(行数!$A19),配列!$C$10,利用時間_シフト,3,1))</f>
        <v>#NAME?</v>
      </c>
      <c r="D36" s="33" t="e">
        <f ca="1">IF(配列!$C$10="","",[0]!CSVVLookUP(ROW(行数!$A19),配列!$C$10,利用時間_シフト,4,1))</f>
        <v>#NAME?</v>
      </c>
      <c r="E36" s="30" t="e">
        <f ca="1">IF(配列!$C$10="","",[0]!CSVVLookUP(ROW(行数!$A19),配列!$C$10,利用時間_シフト,5,1))</f>
        <v>#NAME?</v>
      </c>
      <c r="F36" s="29" t="e">
        <f ca="1">IF(配列!$C$10="","",[0]!CSVVLookUP(ROW(行数!$A19),配列!$C$10,利用時間_シフト,7,1))</f>
        <v>#NAME?</v>
      </c>
      <c r="G36" s="30" t="e">
        <f ca="1">IF(配列!$C$10="","",[0]!CSVVLookUP(ROW(行数!$A19),配列!$C$10,利用時間_シフト,8,1))</f>
        <v>#NAME?</v>
      </c>
      <c r="H36" s="28" t="e">
        <f ca="1">IF(配列!$C$10="","",[0]!CSVVLookUP(ROW(行数!$A19),配列!$C$10,利用時間_シフト,9,1))</f>
        <v>#NAME?</v>
      </c>
      <c r="I36" s="31" t="e">
        <f ca="1">IF(配列!$C$10="","",[0]!CSVVLookUP(ROW(行数!$A19),配列!$C$10,利用時間_シフト,14,1))</f>
        <v>#NAME?</v>
      </c>
      <c r="J36" s="207"/>
      <c r="K36" s="207"/>
      <c r="L36" s="207"/>
      <c r="M36" s="207"/>
      <c r="N36" s="32"/>
      <c r="O36" s="18" t="e">
        <f ca="1">IF(配列!$C$10="","",[0]!CSVVLookUP(ROW(行数!$A19),配列!$C$10,利用時間_シフト,13,1))</f>
        <v>#NAME?</v>
      </c>
      <c r="P36"/>
    </row>
    <row r="37" spans="2:23" x14ac:dyDescent="0.2">
      <c r="B37" s="326"/>
      <c r="C37" s="33" t="e">
        <f ca="1">IF(配列!$C$10="","",[0]!CSVVLookUP(ROW(行数!$A20),配列!$C$10,利用時間_シフト,3,1))</f>
        <v>#NAME?</v>
      </c>
      <c r="D37" s="33" t="e">
        <f ca="1">IF(配列!$C$10="","",[0]!CSVVLookUP(ROW(行数!$A20),配列!$C$10,利用時間_シフト,4,1))</f>
        <v>#NAME?</v>
      </c>
      <c r="E37" s="30" t="e">
        <f ca="1">IF(配列!$C$10="","",[0]!CSVVLookUP(ROW(行数!$A20),配列!$C$10,利用時間_シフト,5,1))</f>
        <v>#NAME?</v>
      </c>
      <c r="F37" s="29" t="e">
        <f ca="1">IF(配列!$C$10="","",[0]!CSVVLookUP(ROW(行数!$A20),配列!$C$10,利用時間_シフト,7,1))</f>
        <v>#NAME?</v>
      </c>
      <c r="G37" s="30" t="e">
        <f ca="1">IF(配列!$C$10="","",[0]!CSVVLookUP(ROW(行数!$A20),配列!$C$10,利用時間_シフト,8,1))</f>
        <v>#NAME?</v>
      </c>
      <c r="H37" s="28" t="e">
        <f ca="1">IF(配列!$C$10="","",[0]!CSVVLookUP(ROW(行数!$A20),配列!$C$10,利用時間_シフト,9,1))</f>
        <v>#NAME?</v>
      </c>
      <c r="I37" s="31" t="e">
        <f ca="1">IF(配列!$C$10="","",[0]!CSVVLookUP(ROW(行数!$A20),配列!$C$10,利用時間_シフト,14,1))</f>
        <v>#NAME?</v>
      </c>
      <c r="J37" s="207"/>
      <c r="K37" s="207"/>
      <c r="L37" s="207"/>
      <c r="M37" s="207"/>
      <c r="N37" s="32"/>
      <c r="O37" s="18" t="e">
        <f ca="1">IF(配列!$C$10="","",[0]!CSVVLookUP(ROW(行数!$A20),配列!$C$10,利用時間_シフト,13,1))</f>
        <v>#NAME?</v>
      </c>
      <c r="P37"/>
    </row>
    <row r="38" spans="2:23" x14ac:dyDescent="0.2">
      <c r="B38" s="326"/>
      <c r="C38" s="33" t="e">
        <f ca="1">IF(配列!$C$10="","",[0]!CSVVLookUP(ROW(行数!$A21),配列!$C$10,利用時間_シフト,3,1))</f>
        <v>#NAME?</v>
      </c>
      <c r="D38" s="33" t="e">
        <f ca="1">IF(配列!$C$10="","",[0]!CSVVLookUP(ROW(行数!$A21),配列!$C$10,利用時間_シフト,4,1))</f>
        <v>#NAME?</v>
      </c>
      <c r="E38" s="30" t="e">
        <f ca="1">IF(配列!$C$10="","",[0]!CSVVLookUP(ROW(行数!$A21),配列!$C$10,利用時間_シフト,5,1))</f>
        <v>#NAME?</v>
      </c>
      <c r="F38" s="29" t="e">
        <f ca="1">IF(配列!$C$10="","",[0]!CSVVLookUP(ROW(行数!$A21),配列!$C$10,利用時間_シフト,7,1))</f>
        <v>#NAME?</v>
      </c>
      <c r="G38" s="30" t="e">
        <f ca="1">IF(配列!$C$10="","",[0]!CSVVLookUP(ROW(行数!$A21),配列!$C$10,利用時間_シフト,8,1))</f>
        <v>#NAME?</v>
      </c>
      <c r="H38" s="28" t="e">
        <f ca="1">IF(配列!$C$10="","",[0]!CSVVLookUP(ROW(行数!$A21),配列!$C$10,利用時間_シフト,9,1))</f>
        <v>#NAME?</v>
      </c>
      <c r="I38" s="31" t="e">
        <f ca="1">IF(配列!$C$10="","",[0]!CSVVLookUP(ROW(行数!$A21),配列!$C$10,利用時間_シフト,14,1))</f>
        <v>#NAME?</v>
      </c>
      <c r="J38" s="207"/>
      <c r="K38" s="207"/>
      <c r="L38" s="207"/>
      <c r="M38" s="207"/>
      <c r="N38" s="32"/>
      <c r="O38" s="18" t="e">
        <f ca="1">IF(配列!$C$10="","",[0]!CSVVLookUP(ROW(行数!$A21),配列!$C$10,利用時間_シフト,13,1))</f>
        <v>#NAME?</v>
      </c>
      <c r="P38"/>
    </row>
    <row r="39" spans="2:23" x14ac:dyDescent="0.2">
      <c r="B39" s="326"/>
      <c r="C39" s="33" t="e">
        <f ca="1">IF(配列!$C$10="","",[0]!CSVVLookUP(ROW(行数!$A22),配列!$C$10,利用時間_シフト,3,1))</f>
        <v>#NAME?</v>
      </c>
      <c r="D39" s="33" t="e">
        <f ca="1">IF(配列!$C$10="","",[0]!CSVVLookUP(ROW(行数!$A22),配列!$C$10,利用時間_シフト,4,1))</f>
        <v>#NAME?</v>
      </c>
      <c r="E39" s="30" t="e">
        <f ca="1">IF(配列!$C$10="","",[0]!CSVVLookUP(ROW(行数!$A22),配列!$C$10,利用時間_シフト,5,1))</f>
        <v>#NAME?</v>
      </c>
      <c r="F39" s="29" t="e">
        <f ca="1">IF(配列!$C$10="","",[0]!CSVVLookUP(ROW(行数!$A22),配列!$C$10,利用時間_シフト,7,1))</f>
        <v>#NAME?</v>
      </c>
      <c r="G39" s="30" t="e">
        <f ca="1">IF(配列!$C$10="","",[0]!CSVVLookUP(ROW(行数!$A22),配列!$C$10,利用時間_シフト,8,1))</f>
        <v>#NAME?</v>
      </c>
      <c r="H39" s="28" t="e">
        <f ca="1">IF(配列!$C$10="","",[0]!CSVVLookUP(ROW(行数!$A22),配列!$C$10,利用時間_シフト,9,1))</f>
        <v>#NAME?</v>
      </c>
      <c r="I39" s="31" t="e">
        <f ca="1">IF(配列!$C$10="","",[0]!CSVVLookUP(ROW(行数!$A22),配列!$C$10,利用時間_シフト,14,1))</f>
        <v>#NAME?</v>
      </c>
      <c r="J39" s="207"/>
      <c r="K39" s="207"/>
      <c r="L39" s="207"/>
      <c r="M39" s="207"/>
      <c r="N39" s="32"/>
      <c r="O39" s="18" t="e">
        <f ca="1">IF(配列!$C$10="","",[0]!CSVVLookUP(ROW(行数!$A22),配列!$C$10,利用時間_シフト,13,1))</f>
        <v>#NAME?</v>
      </c>
      <c r="P39" s="10"/>
      <c r="Q39" s="10"/>
      <c r="T39" s="19"/>
      <c r="U39" s="18"/>
      <c r="V39" s="2"/>
      <c r="W39" s="17"/>
    </row>
    <row r="40" spans="2:23" x14ac:dyDescent="0.2">
      <c r="B40" s="326"/>
      <c r="C40" s="33" t="e">
        <f ca="1">IF(配列!$C$10="","",[0]!CSVVLookUP(ROW(行数!$A23),配列!$C$10,利用時間_シフト,3,1))</f>
        <v>#NAME?</v>
      </c>
      <c r="D40" s="33" t="e">
        <f ca="1">IF(配列!$C$10="","",[0]!CSVVLookUP(ROW(行数!$A23),配列!$C$10,利用時間_シフト,4,1))</f>
        <v>#NAME?</v>
      </c>
      <c r="E40" s="30" t="e">
        <f ca="1">IF(配列!$C$10="","",[0]!CSVVLookUP(ROW(行数!$A23),配列!$C$10,利用時間_シフト,5,1))</f>
        <v>#NAME?</v>
      </c>
      <c r="F40" s="29" t="e">
        <f ca="1">IF(配列!$C$10="","",[0]!CSVVLookUP(ROW(行数!$A23),配列!$C$10,利用時間_シフト,7,1))</f>
        <v>#NAME?</v>
      </c>
      <c r="G40" s="30" t="e">
        <f ca="1">IF(配列!$C$10="","",[0]!CSVVLookUP(ROW(行数!$A23),配列!$C$10,利用時間_シフト,8,1))</f>
        <v>#NAME?</v>
      </c>
      <c r="H40" s="28" t="e">
        <f ca="1">IF(配列!$C$10="","",[0]!CSVVLookUP(ROW(行数!$A23),配列!$C$10,利用時間_シフト,9,1))</f>
        <v>#NAME?</v>
      </c>
      <c r="I40" s="31" t="e">
        <f ca="1">IF(配列!$C$10="","",[0]!CSVVLookUP(ROW(行数!$A23),配列!$C$10,利用時間_シフト,14,1))</f>
        <v>#NAME?</v>
      </c>
      <c r="J40" s="207"/>
      <c r="K40" s="207"/>
      <c r="L40" s="207"/>
      <c r="M40" s="207"/>
      <c r="N40" s="32"/>
      <c r="O40" s="18" t="e">
        <f ca="1">IF(配列!$C$10="","",[0]!CSVVLookUP(ROW(行数!$A23),配列!$C$10,利用時間_シフト,13,1))</f>
        <v>#NAME?</v>
      </c>
      <c r="P40" s="10"/>
      <c r="Q40" s="10"/>
      <c r="T40" s="19"/>
      <c r="U40" s="18"/>
      <c r="V40" s="2"/>
      <c r="W40" s="17"/>
    </row>
    <row r="41" spans="2:23" x14ac:dyDescent="0.2">
      <c r="B41" s="326"/>
      <c r="C41" s="33" t="e">
        <f ca="1">IF(配列!$C$10="","",[0]!CSVVLookUP(ROW(行数!$A24),配列!$C$10,利用時間_シフト,3,1))</f>
        <v>#NAME?</v>
      </c>
      <c r="D41" s="33" t="e">
        <f ca="1">IF(配列!$C$10="","",[0]!CSVVLookUP(ROW(行数!$A24),配列!$C$10,利用時間_シフト,4,1))</f>
        <v>#NAME?</v>
      </c>
      <c r="E41" s="30" t="e">
        <f ca="1">IF(配列!$C$10="","",[0]!CSVVLookUP(ROW(行数!$A24),配列!$C$10,利用時間_シフト,5,1))</f>
        <v>#NAME?</v>
      </c>
      <c r="F41" s="29" t="e">
        <f ca="1">IF(配列!$C$10="","",[0]!CSVVLookUP(ROW(行数!$A24),配列!$C$10,利用時間_シフト,7,1))</f>
        <v>#NAME?</v>
      </c>
      <c r="G41" s="30" t="e">
        <f ca="1">IF(配列!$C$10="","",[0]!CSVVLookUP(ROW(行数!$A24),配列!$C$10,利用時間_シフト,8,1))</f>
        <v>#NAME?</v>
      </c>
      <c r="H41" s="28" t="e">
        <f ca="1">IF(配列!$C$10="","",[0]!CSVVLookUP(ROW(行数!$A24),配列!$C$10,利用時間_シフト,9,1))</f>
        <v>#NAME?</v>
      </c>
      <c r="I41" s="31" t="e">
        <f ca="1">IF(配列!$C$10="","",[0]!CSVVLookUP(ROW(行数!$A24),配列!$C$10,利用時間_シフト,14,1))</f>
        <v>#NAME?</v>
      </c>
      <c r="J41" s="207"/>
      <c r="K41" s="207"/>
      <c r="L41" s="207"/>
      <c r="M41" s="207"/>
      <c r="N41" s="32"/>
      <c r="O41" s="18" t="e">
        <f ca="1">IF(配列!$C$10="","",[0]!CSVVLookUP(ROW(行数!$A24),配列!$C$10,利用時間_シフト,13,1))</f>
        <v>#NAME?</v>
      </c>
      <c r="P41" s="10"/>
      <c r="Q41" s="10"/>
      <c r="T41" s="19"/>
      <c r="U41" s="18"/>
      <c r="V41" s="2"/>
      <c r="W41" s="17"/>
    </row>
    <row r="42" spans="2:23" x14ac:dyDescent="0.2">
      <c r="B42" s="326"/>
      <c r="C42" s="33" t="e">
        <f ca="1">IF(配列!$C$10="","",[0]!CSVVLookUP(ROW(行数!$A25),配列!$C$10,利用時間_シフト,3,1))</f>
        <v>#NAME?</v>
      </c>
      <c r="D42" s="33" t="e">
        <f ca="1">IF(配列!$C$10="","",[0]!CSVVLookUP(ROW(行数!$A25),配列!$C$10,利用時間_シフト,4,1))</f>
        <v>#NAME?</v>
      </c>
      <c r="E42" s="30" t="e">
        <f ca="1">IF(配列!$C$10="","",[0]!CSVVLookUP(ROW(行数!$A25),配列!$C$10,利用時間_シフト,5,1))</f>
        <v>#NAME?</v>
      </c>
      <c r="F42" s="29" t="e">
        <f ca="1">IF(配列!$C$10="","",[0]!CSVVLookUP(ROW(行数!$A25),配列!$C$10,利用時間_シフト,7,1))</f>
        <v>#NAME?</v>
      </c>
      <c r="G42" s="30" t="e">
        <f ca="1">IF(配列!$C$10="","",[0]!CSVVLookUP(ROW(行数!$A25),配列!$C$10,利用時間_シフト,8,1))</f>
        <v>#NAME?</v>
      </c>
      <c r="H42" s="28" t="e">
        <f ca="1">IF(配列!$C$10="","",[0]!CSVVLookUP(ROW(行数!$A25),配列!$C$10,利用時間_シフト,9,1))</f>
        <v>#NAME?</v>
      </c>
      <c r="I42" s="31" t="e">
        <f ca="1">IF(配列!$C$10="","",[0]!CSVVLookUP(ROW(行数!$A25),配列!$C$10,利用時間_シフト,14,1))</f>
        <v>#NAME?</v>
      </c>
      <c r="J42" s="207"/>
      <c r="K42" s="207"/>
      <c r="L42" s="207"/>
      <c r="M42" s="207"/>
      <c r="N42" s="32"/>
      <c r="O42" s="18" t="e">
        <f ca="1">IF(配列!$C$10="","",[0]!CSVVLookUP(ROW(行数!$A25),配列!$C$10,利用時間_シフト,13,1))</f>
        <v>#NAME?</v>
      </c>
      <c r="P42" s="10"/>
      <c r="Q42" s="10"/>
      <c r="T42" s="19"/>
      <c r="U42" s="18"/>
      <c r="V42" s="2"/>
      <c r="W42" s="17"/>
    </row>
    <row r="43" spans="2:23" x14ac:dyDescent="0.2">
      <c r="B43" s="326"/>
      <c r="C43" s="33" t="e">
        <f ca="1">IF(配列!$C$10="","",[0]!CSVVLookUP(ROW(行数!$A26),配列!$C$10,利用時間_シフト,3,1))</f>
        <v>#NAME?</v>
      </c>
      <c r="D43" s="33" t="e">
        <f ca="1">IF(配列!$C$10="","",[0]!CSVVLookUP(ROW(行数!$A26),配列!$C$10,利用時間_シフト,4,1))</f>
        <v>#NAME?</v>
      </c>
      <c r="E43" s="30" t="e">
        <f ca="1">IF(配列!$C$10="","",[0]!CSVVLookUP(ROW(行数!$A26),配列!$C$10,利用時間_シフト,5,1))</f>
        <v>#NAME?</v>
      </c>
      <c r="F43" s="29" t="e">
        <f ca="1">IF(配列!$C$10="","",[0]!CSVVLookUP(ROW(行数!$A26),配列!$C$10,利用時間_シフト,7,1))</f>
        <v>#NAME?</v>
      </c>
      <c r="G43" s="30" t="e">
        <f ca="1">IF(配列!$C$10="","",[0]!CSVVLookUP(ROW(行数!$A26),配列!$C$10,利用時間_シフト,8,1))</f>
        <v>#NAME?</v>
      </c>
      <c r="H43" s="28" t="e">
        <f ca="1">IF(配列!$C$10="","",[0]!CSVVLookUP(ROW(行数!$A26),配列!$C$10,利用時間_シフト,9,1))</f>
        <v>#NAME?</v>
      </c>
      <c r="I43" s="31" t="e">
        <f ca="1">IF(配列!$C$10="","",[0]!CSVVLookUP(ROW(行数!$A26),配列!$C$10,利用時間_シフト,14,1))</f>
        <v>#NAME?</v>
      </c>
      <c r="J43" s="207"/>
      <c r="K43" s="207"/>
      <c r="L43" s="207"/>
      <c r="M43" s="207"/>
      <c r="N43" s="32"/>
      <c r="O43" s="18" t="e">
        <f ca="1">IF(配列!$C$10="","",[0]!CSVVLookUP(ROW(行数!$A26),配列!$C$10,利用時間_シフト,13,1))</f>
        <v>#NAME?</v>
      </c>
      <c r="P43" s="10"/>
      <c r="Q43" s="10"/>
      <c r="T43" s="19"/>
      <c r="U43" s="18"/>
      <c r="V43" s="2"/>
      <c r="W43" s="17"/>
    </row>
    <row r="44" spans="2:23" x14ac:dyDescent="0.2">
      <c r="B44" s="326"/>
      <c r="C44" s="33" t="e">
        <f ca="1">IF(配列!$C$10="","",[0]!CSVVLookUP(ROW(行数!$A27),配列!$C$10,利用時間_シフト,3,1))</f>
        <v>#NAME?</v>
      </c>
      <c r="D44" s="33" t="e">
        <f ca="1">IF(配列!$C$10="","",[0]!CSVVLookUP(ROW(行数!$A27),配列!$C$10,利用時間_シフト,4,1))</f>
        <v>#NAME?</v>
      </c>
      <c r="E44" s="30" t="e">
        <f ca="1">IF(配列!$C$10="","",[0]!CSVVLookUP(ROW(行数!$A27),配列!$C$10,利用時間_シフト,5,1))</f>
        <v>#NAME?</v>
      </c>
      <c r="F44" s="29" t="e">
        <f ca="1">IF(配列!$C$10="","",[0]!CSVVLookUP(ROW(行数!$A27),配列!$C$10,利用時間_シフト,7,1))</f>
        <v>#NAME?</v>
      </c>
      <c r="G44" s="30" t="e">
        <f ca="1">IF(配列!$C$10="","",[0]!CSVVLookUP(ROW(行数!$A27),配列!$C$10,利用時間_シフト,8,1))</f>
        <v>#NAME?</v>
      </c>
      <c r="H44" s="28" t="e">
        <f ca="1">IF(配列!$C$10="","",[0]!CSVVLookUP(ROW(行数!$A27),配列!$C$10,利用時間_シフト,9,1))</f>
        <v>#NAME?</v>
      </c>
      <c r="I44" s="31" t="e">
        <f ca="1">IF(配列!$C$10="","",[0]!CSVVLookUP(ROW(行数!$A27),配列!$C$10,利用時間_シフト,14,1))</f>
        <v>#NAME?</v>
      </c>
      <c r="J44" s="207"/>
      <c r="K44" s="207"/>
      <c r="L44" s="207"/>
      <c r="M44" s="207"/>
      <c r="N44" s="32"/>
      <c r="O44" s="18" t="e">
        <f ca="1">IF(配列!$C$10="","",[0]!CSVVLookUP(ROW(行数!$A27),配列!$C$10,利用時間_シフト,13,1))</f>
        <v>#NAME?</v>
      </c>
      <c r="P44" s="10"/>
      <c r="Q44" s="10"/>
      <c r="T44" s="19"/>
      <c r="U44" s="18"/>
      <c r="V44" s="2"/>
      <c r="W44" s="17"/>
    </row>
    <row r="45" spans="2:23" x14ac:dyDescent="0.2">
      <c r="B45" s="326"/>
      <c r="C45" s="33" t="e">
        <f ca="1">IF(配列!$C$10="","",[0]!CSVVLookUP(ROW(行数!$A28),配列!$C$10,利用時間_シフト,3,1))</f>
        <v>#NAME?</v>
      </c>
      <c r="D45" s="33" t="e">
        <f ca="1">IF(配列!$C$10="","",[0]!CSVVLookUP(ROW(行数!$A28),配列!$C$10,利用時間_シフト,4,1))</f>
        <v>#NAME?</v>
      </c>
      <c r="E45" s="30" t="e">
        <f ca="1">IF(配列!$C$10="","",[0]!CSVVLookUP(ROW(行数!$A28),配列!$C$10,利用時間_シフト,5,1))</f>
        <v>#NAME?</v>
      </c>
      <c r="F45" s="29" t="e">
        <f ca="1">IF(配列!$C$10="","",[0]!CSVVLookUP(ROW(行数!$A28),配列!$C$10,利用時間_シフト,7,1))</f>
        <v>#NAME?</v>
      </c>
      <c r="G45" s="30" t="e">
        <f ca="1">IF(配列!$C$10="","",[0]!CSVVLookUP(ROW(行数!$A28),配列!$C$10,利用時間_シフト,8,1))</f>
        <v>#NAME?</v>
      </c>
      <c r="H45" s="28" t="e">
        <f ca="1">IF(配列!$C$10="","",[0]!CSVVLookUP(ROW(行数!$A28),配列!$C$10,利用時間_シフト,9,1))</f>
        <v>#NAME?</v>
      </c>
      <c r="I45" s="31" t="e">
        <f ca="1">IF(配列!$C$10="","",[0]!CSVVLookUP(ROW(行数!$A28),配列!$C$10,利用時間_シフト,14,1))</f>
        <v>#NAME?</v>
      </c>
      <c r="J45" s="207"/>
      <c r="K45" s="207"/>
      <c r="L45" s="207"/>
      <c r="M45" s="207"/>
      <c r="N45" s="32"/>
      <c r="O45" s="18" t="e">
        <f ca="1">IF(配列!$C$10="","",[0]!CSVVLookUP(ROW(行数!$A28),配列!$C$10,利用時間_シフト,13,1))</f>
        <v>#NAME?</v>
      </c>
      <c r="P45" s="10"/>
      <c r="Q45" s="10"/>
      <c r="T45" s="19"/>
      <c r="U45" s="18"/>
      <c r="V45" s="2"/>
      <c r="W45" s="17"/>
    </row>
    <row r="46" spans="2:23" x14ac:dyDescent="0.2">
      <c r="B46" s="326"/>
      <c r="C46" s="33" t="e">
        <f ca="1">IF(配列!$C$10="","",[0]!CSVVLookUP(ROW(行数!$A29),配列!$C$10,利用時間_シフト,3,1))</f>
        <v>#NAME?</v>
      </c>
      <c r="D46" s="33" t="e">
        <f ca="1">IF(配列!$C$10="","",[0]!CSVVLookUP(ROW(行数!$A29),配列!$C$10,利用時間_シフト,4,1))</f>
        <v>#NAME?</v>
      </c>
      <c r="E46" s="30" t="e">
        <f ca="1">IF(配列!$C$10="","",[0]!CSVVLookUP(ROW(行数!$A29),配列!$C$10,利用時間_シフト,5,1))</f>
        <v>#NAME?</v>
      </c>
      <c r="F46" s="29" t="e">
        <f ca="1">IF(配列!$C$10="","",[0]!CSVVLookUP(ROW(行数!$A29),配列!$C$10,利用時間_シフト,7,1))</f>
        <v>#NAME?</v>
      </c>
      <c r="G46" s="30" t="e">
        <f ca="1">IF(配列!$C$10="","",[0]!CSVVLookUP(ROW(行数!$A29),配列!$C$10,利用時間_シフト,8,1))</f>
        <v>#NAME?</v>
      </c>
      <c r="H46" s="28" t="e">
        <f ca="1">IF(配列!$C$10="","",[0]!CSVVLookUP(ROW(行数!$A29),配列!$C$10,利用時間_シフト,9,1))</f>
        <v>#NAME?</v>
      </c>
      <c r="I46" s="31" t="e">
        <f ca="1">IF(配列!$C$10="","",[0]!CSVVLookUP(ROW(行数!$A29),配列!$C$10,利用時間_シフト,14,1))</f>
        <v>#NAME?</v>
      </c>
      <c r="J46" s="207"/>
      <c r="K46" s="207"/>
      <c r="L46" s="207"/>
      <c r="M46" s="207"/>
      <c r="N46" s="32"/>
      <c r="O46" s="18" t="e">
        <f ca="1">IF(配列!$C$10="","",[0]!CSVVLookUP(ROW(行数!$A29),配列!$C$10,利用時間_シフト,13,1))</f>
        <v>#NAME?</v>
      </c>
      <c r="P46" s="10"/>
      <c r="Q46" s="10"/>
      <c r="T46" s="19"/>
      <c r="U46" s="18"/>
      <c r="V46" s="2"/>
      <c r="W46" s="17"/>
    </row>
    <row r="47" spans="2:23" ht="13.5" thickBot="1" x14ac:dyDescent="0.25">
      <c r="B47" s="327"/>
      <c r="C47" s="136" t="e">
        <f ca="1">IF(配列!$C$10="","",[0]!CSVVLookUP(ROW(行数!$A30),配列!$C$10,利用時間_シフト,3,1))</f>
        <v>#NAME?</v>
      </c>
      <c r="D47" s="136" t="e">
        <f ca="1">IF(配列!$C$10="","",[0]!CSVVLookUP(ROW(行数!$A30),配列!$C$10,利用時間_シフト,4,1))</f>
        <v>#NAME?</v>
      </c>
      <c r="E47" s="30" t="e">
        <f ca="1">IF(配列!$C$10="","",[0]!CSVVLookUP(ROW(行数!$A30),配列!$C$10,利用時間_シフト,5,1))</f>
        <v>#NAME?</v>
      </c>
      <c r="F47" s="137" t="e">
        <f ca="1">IF(配列!$C$10="","",[0]!CSVVLookUP(ROW(行数!$A30),配列!$C$10,利用時間_シフト,7,1))</f>
        <v>#NAME?</v>
      </c>
      <c r="G47" s="30" t="e">
        <f ca="1">IF(配列!$C$10="","",[0]!CSVVLookUP(ROW(行数!$A30),配列!$C$10,利用時間_シフト,8,1))</f>
        <v>#NAME?</v>
      </c>
      <c r="H47" s="30" t="e">
        <f ca="1">IF(配列!$C$10="","",[0]!CSVVLookUP(ROW(行数!$A30),配列!$C$10,利用時間_シフト,9,1))</f>
        <v>#NAME?</v>
      </c>
      <c r="I47" s="138" t="e">
        <f ca="1">IF(配列!$C$10="","",[0]!CSVVLookUP(ROW(行数!$A30),配列!$C$10,利用時間_シフト,14,1))</f>
        <v>#NAME?</v>
      </c>
      <c r="J47" s="220"/>
      <c r="K47" s="220"/>
      <c r="L47" s="220"/>
      <c r="M47" s="220"/>
      <c r="N47" s="139"/>
      <c r="O47" s="18" t="e">
        <f ca="1">IF(配列!$C$10="","",[0]!CSVVLookUP(ROW(行数!$A30),配列!$C$10,利用時間_シフト,13,1))</f>
        <v>#NAME?</v>
      </c>
      <c r="P47" s="10"/>
      <c r="Q47" s="10"/>
      <c r="T47" s="19"/>
      <c r="U47" s="18"/>
      <c r="V47" s="2"/>
      <c r="W47" s="17"/>
    </row>
    <row r="48" spans="2:23" ht="13.5" thickBot="1" x14ac:dyDescent="0.25">
      <c r="D48" s="23"/>
      <c r="E48" s="52" t="e">
        <f ca="1">SUM(E18:E47)</f>
        <v>#NAME?</v>
      </c>
      <c r="F48" s="53"/>
      <c r="G48" s="52" t="e">
        <f ca="1">SUM(G18:G47)</f>
        <v>#NAME?</v>
      </c>
      <c r="H48" s="52" t="e">
        <f ca="1">SUM(H18:H47)</f>
        <v>#NAME?</v>
      </c>
      <c r="I48" s="4"/>
      <c r="J48" s="4"/>
      <c r="K48" s="4"/>
      <c r="L48" s="4"/>
      <c r="M48" s="4"/>
      <c r="N48" s="4"/>
      <c r="O48" s="13"/>
      <c r="P48" s="202" t="s">
        <v>148</v>
      </c>
    </row>
    <row r="49" spans="2:16" x14ac:dyDescent="0.2">
      <c r="B49" s="24"/>
      <c r="C49" s="24"/>
      <c r="E49" s="10"/>
      <c r="F49" s="11"/>
      <c r="G49" s="9"/>
      <c r="H49" s="11"/>
      <c r="I49" s="6"/>
      <c r="J49"/>
      <c r="K49"/>
      <c r="L49"/>
      <c r="M49"/>
    </row>
    <row r="50" spans="2:16" x14ac:dyDescent="0.2">
      <c r="B50" s="24" t="s">
        <v>21</v>
      </c>
      <c r="C50" s="22"/>
      <c r="D50"/>
      <c r="H50" s="16"/>
      <c r="J50"/>
      <c r="K50"/>
      <c r="L50"/>
      <c r="M50"/>
      <c r="O50" s="201"/>
      <c r="P50"/>
    </row>
    <row r="51" spans="2:16" x14ac:dyDescent="0.2">
      <c r="B51" s="24"/>
      <c r="C51" s="22"/>
      <c r="D51"/>
      <c r="H51" s="16"/>
      <c r="J51"/>
      <c r="K51"/>
      <c r="L51"/>
      <c r="M51"/>
      <c r="O51" s="201"/>
      <c r="P51"/>
    </row>
    <row r="52" spans="2:16" x14ac:dyDescent="0.2">
      <c r="B52" s="24" t="s">
        <v>180</v>
      </c>
      <c r="C52" s="22"/>
      <c r="D52"/>
      <c r="H52" s="16"/>
      <c r="J52"/>
      <c r="K52"/>
      <c r="L52"/>
      <c r="M52"/>
      <c r="O52" s="201"/>
      <c r="P52"/>
    </row>
    <row r="53" spans="2:16" x14ac:dyDescent="0.2">
      <c r="B53" s="353" t="s">
        <v>10</v>
      </c>
      <c r="C53" s="36" t="s">
        <v>30</v>
      </c>
      <c r="D53" s="34" t="s">
        <v>22</v>
      </c>
      <c r="E53" s="34" t="s">
        <v>23</v>
      </c>
      <c r="F53" s="203" t="s">
        <v>24</v>
      </c>
      <c r="G53" s="355" t="s">
        <v>18</v>
      </c>
      <c r="H53" s="355"/>
      <c r="I53" s="4"/>
      <c r="J53"/>
      <c r="K53" s="201"/>
      <c r="L53"/>
      <c r="M53"/>
      <c r="P53"/>
    </row>
    <row r="54" spans="2:16" x14ac:dyDescent="0.2">
      <c r="B54" s="354"/>
      <c r="C54" s="37" t="s">
        <v>31</v>
      </c>
      <c r="D54" s="35" t="s">
        <v>32</v>
      </c>
      <c r="E54" s="56" t="s">
        <v>187</v>
      </c>
      <c r="F54" s="204" t="s">
        <v>33</v>
      </c>
      <c r="G54" s="355"/>
      <c r="H54" s="355"/>
      <c r="I54" s="16"/>
      <c r="K54" s="201"/>
      <c r="L54"/>
      <c r="M54"/>
      <c r="P54" s="201" t="s">
        <v>178</v>
      </c>
    </row>
    <row r="55" spans="2:16" x14ac:dyDescent="0.2">
      <c r="B55" s="325" t="str">
        <f>'利用時間（期間）'!B2</f>
        <v>24-11</v>
      </c>
      <c r="C55" s="54" t="e">
        <f ca="1">IF(配列!$C$11="","",[0]!CSVVLookUP(ROW(行数!$A1),配列!$C$11,利用時間_ユーザー,16,1))</f>
        <v>#NAME?</v>
      </c>
      <c r="D55" s="61" t="e">
        <f ca="1">IF(配列!$C$11="","",[0]!CSVVLookUP(ROW(行数!$A1),配列!$C$11,利用時間_ユーザー,17,1))</f>
        <v>#NAME?</v>
      </c>
      <c r="E55" s="60" t="e">
        <f ca="1">IF(配列!$C$11="","",[0]!CSVVLookUP(ROW(行数!$A1),配列!$C$11,利用時間_ユーザー,18,1))</f>
        <v>#NAME?</v>
      </c>
      <c r="F55" s="221" t="e">
        <f ca="1">IF(配列!$C$11="","",[0]!CSVVLookUP(ROW(行数!$A1),配列!$C$11,利用時間_ユーザー,19,1))</f>
        <v>#NAME?</v>
      </c>
      <c r="G55" s="356" t="e">
        <f ca="1">IF(配列!$C$11="","",[0]!CSVVLookUP(ROW(行数!$A1),配列!$C$11,利用時間_ユーザー,15,1))</f>
        <v>#NAME?</v>
      </c>
      <c r="H55" s="356"/>
      <c r="J55"/>
      <c r="K55" s="201"/>
      <c r="L55"/>
      <c r="M55"/>
      <c r="P55"/>
    </row>
    <row r="56" spans="2:16" x14ac:dyDescent="0.2">
      <c r="B56" s="326"/>
      <c r="C56" s="54" t="e">
        <f ca="1">IF(配列!$C$11="","",[0]!CSVVLookUP(ROW(行数!$A2),配列!$C$11,利用時間_ユーザー,16,1))</f>
        <v>#NAME?</v>
      </c>
      <c r="D56" s="61" t="e">
        <f ca="1">IF(配列!$C$11="","",[0]!CSVVLookUP(ROW(行数!$A2),配列!$C$11,利用時間_ユーザー,17,1))</f>
        <v>#NAME?</v>
      </c>
      <c r="E56" s="60" t="e">
        <f ca="1">IF(配列!$C$11="","",[0]!CSVVLookUP(ROW(行数!$A2),配列!$C$11,利用時間_ユーザー,18,1))</f>
        <v>#NAME?</v>
      </c>
      <c r="F56" s="221" t="e">
        <f ca="1">IF(配列!$C$11="","",[0]!CSVVLookUP(ROW(行数!$A2),配列!$C$11,利用時間_ユーザー,19,1))</f>
        <v>#NAME?</v>
      </c>
      <c r="G56" s="356" t="e">
        <f ca="1">IF(配列!$C$11="","",[0]!CSVVLookUP(ROW(行数!$A2),配列!$C$11,利用時間_ユーザー,15,1))</f>
        <v>#NAME?</v>
      </c>
      <c r="H56" s="356"/>
      <c r="J56"/>
      <c r="K56" s="201"/>
      <c r="L56"/>
      <c r="M56"/>
      <c r="P56"/>
    </row>
    <row r="57" spans="2:16" x14ac:dyDescent="0.2">
      <c r="B57" s="326"/>
      <c r="C57" s="54" t="e">
        <f ca="1">IF(配列!$C$11="","",[0]!CSVVLookUP(ROW(行数!$A3),配列!$C$11,利用時間_ユーザー,16,1))</f>
        <v>#NAME?</v>
      </c>
      <c r="D57" s="61" t="e">
        <f ca="1">IF(配列!$C$11="","",[0]!CSVVLookUP(ROW(行数!$A3),配列!$C$11,利用時間_ユーザー,17,1))</f>
        <v>#NAME?</v>
      </c>
      <c r="E57" s="60" t="e">
        <f ca="1">IF(配列!$C$11="","",[0]!CSVVLookUP(ROW(行数!$A3),配列!$C$11,利用時間_ユーザー,18,1))</f>
        <v>#NAME?</v>
      </c>
      <c r="F57" s="221" t="e">
        <f ca="1">IF(配列!$C$11="","",[0]!CSVVLookUP(ROW(行数!$A3),配列!$C$11,利用時間_ユーザー,19,1))</f>
        <v>#NAME?</v>
      </c>
      <c r="G57" s="356" t="e">
        <f ca="1">IF(配列!$C$11="","",[0]!CSVVLookUP(ROW(行数!$A3),配列!$C$11,利用時間_ユーザー,15,1))</f>
        <v>#NAME?</v>
      </c>
      <c r="H57" s="356"/>
      <c r="J57"/>
      <c r="K57" s="201"/>
      <c r="L57"/>
      <c r="M57"/>
      <c r="P57"/>
    </row>
    <row r="58" spans="2:16" x14ac:dyDescent="0.2">
      <c r="B58" s="326"/>
      <c r="C58" s="54" t="e">
        <f ca="1">IF(配列!$C$11="","",[0]!CSVVLookUP(ROW(行数!$A4),配列!$C$11,利用時間_ユーザー,16,1))</f>
        <v>#NAME?</v>
      </c>
      <c r="D58" s="61" t="e">
        <f ca="1">IF(配列!$C$11="","",[0]!CSVVLookUP(ROW(行数!$A4),配列!$C$11,利用時間_ユーザー,17,1))</f>
        <v>#NAME?</v>
      </c>
      <c r="E58" s="60" t="e">
        <f ca="1">IF(配列!$C$11="","",[0]!CSVVLookUP(ROW(行数!$A4),配列!$C$11,利用時間_ユーザー,18,1))</f>
        <v>#NAME?</v>
      </c>
      <c r="F58" s="221" t="e">
        <f ca="1">IF(配列!$C$11="","",[0]!CSVVLookUP(ROW(行数!$A4),配列!$C$11,利用時間_ユーザー,19,1))</f>
        <v>#NAME?</v>
      </c>
      <c r="G58" s="356" t="e">
        <f ca="1">IF(配列!$C$11="","",[0]!CSVVLookUP(ROW(行数!$A4),配列!$C$11,利用時間_ユーザー,15,1))</f>
        <v>#NAME?</v>
      </c>
      <c r="H58" s="356"/>
      <c r="J58"/>
      <c r="K58" s="201"/>
      <c r="L58"/>
      <c r="M58"/>
      <c r="P58"/>
    </row>
    <row r="59" spans="2:16" x14ac:dyDescent="0.2">
      <c r="B59" s="326"/>
      <c r="C59" s="54" t="e">
        <f ca="1">IF(配列!$C$11="","",[0]!CSVVLookUP(ROW(行数!$A5),配列!$C$11,利用時間_ユーザー,16,1))</f>
        <v>#NAME?</v>
      </c>
      <c r="D59" s="61" t="e">
        <f ca="1">IF(配列!$C$11="","",[0]!CSVVLookUP(ROW(行数!$A5),配列!$C$11,利用時間_ユーザー,17,1))</f>
        <v>#NAME?</v>
      </c>
      <c r="E59" s="60" t="e">
        <f ca="1">IF(配列!$C$11="","",[0]!CSVVLookUP(ROW(行数!$A5),配列!$C$11,利用時間_ユーザー,18,1))</f>
        <v>#NAME?</v>
      </c>
      <c r="F59" s="221" t="e">
        <f ca="1">IF(配列!$C$11="","",[0]!CSVVLookUP(ROW(行数!$A5),配列!$C$11,利用時間_ユーザー,19,1))</f>
        <v>#NAME?</v>
      </c>
      <c r="G59" s="356" t="e">
        <f ca="1">IF(配列!$C$11="","",[0]!CSVVLookUP(ROW(行数!$A5),配列!$C$11,利用時間_ユーザー,15,1))</f>
        <v>#NAME?</v>
      </c>
      <c r="H59" s="356"/>
      <c r="J59"/>
      <c r="K59" s="201"/>
      <c r="L59"/>
      <c r="M59"/>
      <c r="P59"/>
    </row>
    <row r="60" spans="2:16" x14ac:dyDescent="0.2">
      <c r="B60" s="326"/>
      <c r="C60" s="54" t="e">
        <f ca="1">IF(配列!$C$11="","",[0]!CSVVLookUP(ROW(行数!$A6),配列!$C$11,利用時間_ユーザー,16,1))</f>
        <v>#NAME?</v>
      </c>
      <c r="D60" s="61" t="e">
        <f ca="1">IF(配列!$C$11="","",[0]!CSVVLookUP(ROW(行数!$A6),配列!$C$11,利用時間_ユーザー,17,1))</f>
        <v>#NAME?</v>
      </c>
      <c r="E60" s="60" t="e">
        <f ca="1">IF(配列!$C$11="","",[0]!CSVVLookUP(ROW(行数!$A6),配列!$C$11,利用時間_ユーザー,18,1))</f>
        <v>#NAME?</v>
      </c>
      <c r="F60" s="221" t="e">
        <f ca="1">IF(配列!$C$11="","",[0]!CSVVLookUP(ROW(行数!$A6),配列!$C$11,利用時間_ユーザー,19,1))</f>
        <v>#NAME?</v>
      </c>
      <c r="G60" s="356" t="e">
        <f ca="1">IF(配列!$C$11="","",[0]!CSVVLookUP(ROW(行数!$A6),配列!$C$11,利用時間_ユーザー,15,1))</f>
        <v>#NAME?</v>
      </c>
      <c r="H60" s="356"/>
      <c r="J60"/>
      <c r="K60" s="201"/>
      <c r="L60"/>
      <c r="M60"/>
      <c r="P60"/>
    </row>
    <row r="61" spans="2:16" x14ac:dyDescent="0.2">
      <c r="B61" s="326"/>
      <c r="C61" s="54" t="e">
        <f ca="1">IF(配列!$C$11="","",[0]!CSVVLookUP(ROW(行数!$A7),配列!$C$11,利用時間_ユーザー,16,1))</f>
        <v>#NAME?</v>
      </c>
      <c r="D61" s="61" t="e">
        <f ca="1">IF(配列!$C$11="","",[0]!CSVVLookUP(ROW(行数!$A7),配列!$C$11,利用時間_ユーザー,17,1))</f>
        <v>#NAME?</v>
      </c>
      <c r="E61" s="60" t="e">
        <f ca="1">IF(配列!$C$11="","",[0]!CSVVLookUP(ROW(行数!$A7),配列!$C$11,利用時間_ユーザー,18,1))</f>
        <v>#NAME?</v>
      </c>
      <c r="F61" s="221" t="e">
        <f ca="1">IF(配列!$C$11="","",[0]!CSVVLookUP(ROW(行数!$A7),配列!$C$11,利用時間_ユーザー,19,1))</f>
        <v>#NAME?</v>
      </c>
      <c r="G61" s="356" t="e">
        <f ca="1">IF(配列!$C$11="","",[0]!CSVVLookUP(ROW(行数!$A7),配列!$C$11,利用時間_ユーザー,15,1))</f>
        <v>#NAME?</v>
      </c>
      <c r="H61" s="356"/>
      <c r="J61"/>
      <c r="K61" s="201"/>
      <c r="L61"/>
      <c r="M61"/>
      <c r="P61"/>
    </row>
    <row r="62" spans="2:16" x14ac:dyDescent="0.2">
      <c r="B62" s="326"/>
      <c r="C62" s="54" t="e">
        <f ca="1">IF(配列!$C$11="","",[0]!CSVVLookUP(ROW(行数!$A8),配列!$C$11,利用時間_ユーザー,16,1))</f>
        <v>#NAME?</v>
      </c>
      <c r="D62" s="61" t="e">
        <f ca="1">IF(配列!$C$11="","",[0]!CSVVLookUP(ROW(行数!$A8),配列!$C$11,利用時間_ユーザー,17,1))</f>
        <v>#NAME?</v>
      </c>
      <c r="E62" s="60" t="e">
        <f ca="1">IF(配列!$C$11="","",[0]!CSVVLookUP(ROW(行数!$A8),配列!$C$11,利用時間_ユーザー,18,1))</f>
        <v>#NAME?</v>
      </c>
      <c r="F62" s="221" t="e">
        <f ca="1">IF(配列!$C$11="","",[0]!CSVVLookUP(ROW(行数!$A8),配列!$C$11,利用時間_ユーザー,19,1))</f>
        <v>#NAME?</v>
      </c>
      <c r="G62" s="356" t="e">
        <f ca="1">IF(配列!$C$11="","",[0]!CSVVLookUP(ROW(行数!$A8),配列!$C$11,利用時間_ユーザー,15,1))</f>
        <v>#NAME?</v>
      </c>
      <c r="H62" s="356"/>
      <c r="J62"/>
      <c r="K62" s="201"/>
      <c r="L62"/>
      <c r="M62"/>
      <c r="P62"/>
    </row>
    <row r="63" spans="2:16" x14ac:dyDescent="0.2">
      <c r="B63" s="326"/>
      <c r="C63" s="54" t="e">
        <f ca="1">IF(配列!$C$11="","",[0]!CSVVLookUP(ROW(行数!$A9),配列!$C$11,利用時間_ユーザー,16,1))</f>
        <v>#NAME?</v>
      </c>
      <c r="D63" s="61" t="e">
        <f ca="1">IF(配列!$C$11="","",[0]!CSVVLookUP(ROW(行数!$A9),配列!$C$11,利用時間_ユーザー,17,1))</f>
        <v>#NAME?</v>
      </c>
      <c r="E63" s="60" t="e">
        <f ca="1">IF(配列!$C$11="","",[0]!CSVVLookUP(ROW(行数!$A9),配列!$C$11,利用時間_ユーザー,18,1))</f>
        <v>#NAME?</v>
      </c>
      <c r="F63" s="221" t="e">
        <f ca="1">IF(配列!$C$11="","",[0]!CSVVLookUP(ROW(行数!$A9),配列!$C$11,利用時間_ユーザー,19,1))</f>
        <v>#NAME?</v>
      </c>
      <c r="G63" s="356" t="e">
        <f ca="1">IF(配列!$C$11="","",[0]!CSVVLookUP(ROW(行数!$A9),配列!$C$11,利用時間_ユーザー,15,1))</f>
        <v>#NAME?</v>
      </c>
      <c r="H63" s="356"/>
      <c r="J63"/>
      <c r="K63" s="201"/>
      <c r="L63"/>
      <c r="M63"/>
      <c r="P63"/>
    </row>
    <row r="64" spans="2:16" x14ac:dyDescent="0.2">
      <c r="B64" s="326"/>
      <c r="C64" s="54" t="e">
        <f ca="1">IF(配列!$C$11="","",[0]!CSVVLookUP(ROW(行数!$A10),配列!$C$11,利用時間_ユーザー,16,1))</f>
        <v>#NAME?</v>
      </c>
      <c r="D64" s="61" t="e">
        <f ca="1">IF(配列!$C$11="","",[0]!CSVVLookUP(ROW(行数!$A10),配列!$C$11,利用時間_ユーザー,17,1))</f>
        <v>#NAME?</v>
      </c>
      <c r="E64" s="60" t="e">
        <f ca="1">IF(配列!$C$11="","",[0]!CSVVLookUP(ROW(行数!$A10),配列!$C$11,利用時間_ユーザー,18,1))</f>
        <v>#NAME?</v>
      </c>
      <c r="F64" s="221" t="e">
        <f ca="1">IF(配列!$C$11="","",[0]!CSVVLookUP(ROW(行数!$A10),配列!$C$11,利用時間_ユーザー,19,1))</f>
        <v>#NAME?</v>
      </c>
      <c r="G64" s="356" t="e">
        <f ca="1">IF(配列!$C$11="","",[0]!CSVVLookUP(ROW(行数!$A10),配列!$C$11,利用時間_ユーザー,15,1))</f>
        <v>#NAME?</v>
      </c>
      <c r="H64" s="356"/>
      <c r="J64"/>
      <c r="K64" s="201"/>
      <c r="L64"/>
      <c r="M64"/>
      <c r="P64"/>
    </row>
    <row r="65" spans="2:16" x14ac:dyDescent="0.2">
      <c r="B65" s="40"/>
      <c r="C65" s="40"/>
      <c r="D65" s="41"/>
      <c r="E65" s="42"/>
      <c r="F65" s="42"/>
      <c r="G65" s="222"/>
      <c r="P65" s="201" t="s">
        <v>149</v>
      </c>
    </row>
    <row r="71" spans="2:16" x14ac:dyDescent="0.2">
      <c r="B71" s="24"/>
      <c r="C71" s="24" t="s">
        <v>152</v>
      </c>
    </row>
    <row r="72" spans="2:16" x14ac:dyDescent="0.2">
      <c r="B72"/>
      <c r="C72" s="340" t="s">
        <v>20</v>
      </c>
      <c r="D72" s="352"/>
      <c r="E72" s="341"/>
      <c r="F72" s="27" t="s">
        <v>28</v>
      </c>
      <c r="G72" s="27" t="s">
        <v>29</v>
      </c>
      <c r="H72" s="27" t="s">
        <v>27</v>
      </c>
      <c r="I72" s="340" t="s">
        <v>18</v>
      </c>
      <c r="J72" s="352"/>
      <c r="K72" s="352"/>
      <c r="L72" s="352"/>
      <c r="M72" s="352"/>
      <c r="N72" s="341"/>
      <c r="P72" s="201" t="s">
        <v>150</v>
      </c>
    </row>
    <row r="73" spans="2:16" x14ac:dyDescent="0.2">
      <c r="B73"/>
      <c r="C73" s="361" t="s">
        <v>105</v>
      </c>
      <c r="D73" s="361"/>
      <c r="E73" s="50" t="e">
        <f ca="1">IF(配列!$C$11="","",[0]!CSVVLookUP(ROW(行数!$A1),配列!$C$11,利用時間_ユーザー,7,1))</f>
        <v>#NAME?</v>
      </c>
      <c r="F73" s="51" t="e">
        <f ca="1">IF(配列!$C$11="","",[0]!CSVVLookUP(ROW(行数!$A1),配列!$C$11,利用時間_ユーザー,9,1))</f>
        <v>#NAME?</v>
      </c>
      <c r="G73" s="50" t="e">
        <f ca="1">IF(配列!$C$11="","",[0]!CSVVLookUP(ROW(行数!$A1),配列!$C$11,利用時間_ユーザー,10,1))</f>
        <v>#NAME?</v>
      </c>
      <c r="H73" s="50" t="e">
        <f ca="1">IF(配列!$C$11="","",[0]!CSVVLookUP(ROW(行数!$A1),配列!$C$11,利用時間_ユーザー,11,1))</f>
        <v>#NAME?</v>
      </c>
      <c r="I73" s="362" t="e">
        <f ca="1">IF(配列!$C$11="","",[0]!CSVVLookUP(ROW(行数!$A1),配列!$C$11,利用時間_ユーザー,15,1))</f>
        <v>#NAME?</v>
      </c>
      <c r="J73" s="362"/>
      <c r="K73" s="362"/>
      <c r="L73" s="362"/>
      <c r="M73" s="362"/>
      <c r="N73" s="362"/>
      <c r="O73" s="201"/>
      <c r="P73"/>
    </row>
    <row r="74" spans="2:16" x14ac:dyDescent="0.2">
      <c r="B74"/>
      <c r="C74" s="361" t="s">
        <v>105</v>
      </c>
      <c r="D74" s="361"/>
      <c r="E74" s="50" t="e">
        <f ca="1">IF(配列!$C$11="","",[0]!CSVVLookUP(ROW(行数!$A2),配列!$C$11,利用時間_ユーザー,7,1))</f>
        <v>#NAME?</v>
      </c>
      <c r="F74" s="51" t="e">
        <f ca="1">IF(配列!$C$11="","",[0]!CSVVLookUP(ROW(行数!$A2),配列!$C$11,利用時間_ユーザー,9,1))</f>
        <v>#NAME?</v>
      </c>
      <c r="G74" s="50" t="e">
        <f ca="1">IF(配列!$C$11="","",[0]!CSVVLookUP(ROW(行数!$A2),配列!$C$11,利用時間_ユーザー,10,1))</f>
        <v>#NAME?</v>
      </c>
      <c r="H74" s="50" t="e">
        <f ca="1">IF(配列!$C$11="","",[0]!CSVVLookUP(ROW(行数!$A2),配列!$C$11,利用時間_ユーザー,11,1))</f>
        <v>#NAME?</v>
      </c>
      <c r="I74" s="362" t="e">
        <f ca="1">IF(配列!$C$11="","",[0]!CSVVLookUP(ROW(行数!$A2),配列!$C$11,利用時間_ユーザー,15,1))</f>
        <v>#NAME?</v>
      </c>
      <c r="J74" s="362"/>
      <c r="K74" s="362"/>
      <c r="L74" s="362"/>
      <c r="M74" s="362"/>
      <c r="N74" s="362"/>
      <c r="O74" s="201"/>
      <c r="P74"/>
    </row>
    <row r="75" spans="2:16" x14ac:dyDescent="0.2">
      <c r="B75"/>
      <c r="C75" s="361" t="s">
        <v>105</v>
      </c>
      <c r="D75" s="361"/>
      <c r="E75" s="50" t="e">
        <f ca="1">IF(配列!$C$11="","",[0]!CSVVLookUP(ROW(行数!$A3),配列!$C$11,利用時間_ユーザー,7,1))</f>
        <v>#NAME?</v>
      </c>
      <c r="F75" s="51" t="e">
        <f ca="1">IF(配列!$C$11="","",[0]!CSVVLookUP(ROW(行数!$A3),配列!$C$11,利用時間_ユーザー,9,1))</f>
        <v>#NAME?</v>
      </c>
      <c r="G75" s="50" t="e">
        <f ca="1">IF(配列!$C$11="","",[0]!CSVVLookUP(ROW(行数!$A3),配列!$C$11,利用時間_ユーザー,10,1))</f>
        <v>#NAME?</v>
      </c>
      <c r="H75" s="50" t="e">
        <f ca="1">IF(配列!$C$11="","",[0]!CSVVLookUP(ROW(行数!$A3),配列!$C$11,利用時間_ユーザー,11,1))</f>
        <v>#NAME?</v>
      </c>
      <c r="I75" s="362" t="e">
        <f ca="1">IF(配列!$C$11="","",[0]!CSVVLookUP(ROW(行数!$A3),配列!$C$11,利用時間_ユーザー,15,1))</f>
        <v>#NAME?</v>
      </c>
      <c r="J75" s="362"/>
      <c r="K75" s="362"/>
      <c r="L75" s="362"/>
      <c r="M75" s="362"/>
      <c r="N75" s="362"/>
      <c r="O75" s="201"/>
      <c r="P75"/>
    </row>
    <row r="76" spans="2:16" x14ac:dyDescent="0.2">
      <c r="B76"/>
      <c r="C76" s="361" t="s">
        <v>105</v>
      </c>
      <c r="D76" s="361"/>
      <c r="E76" s="50" t="e">
        <f ca="1">IF(配列!$C$11="","",[0]!CSVVLookUP(ROW(行数!$A4),配列!$C$11,利用時間_ユーザー,7,1))</f>
        <v>#NAME?</v>
      </c>
      <c r="F76" s="51" t="e">
        <f ca="1">IF(配列!$C$11="","",[0]!CSVVLookUP(ROW(行数!$A4),配列!$C$11,利用時間_ユーザー,9,1))</f>
        <v>#NAME?</v>
      </c>
      <c r="G76" s="50" t="e">
        <f ca="1">IF(配列!$C$11="","",[0]!CSVVLookUP(ROW(行数!$A4),配列!$C$11,利用時間_ユーザー,10,1))</f>
        <v>#NAME?</v>
      </c>
      <c r="H76" s="50" t="e">
        <f ca="1">IF(配列!$C$11="","",[0]!CSVVLookUP(ROW(行数!$A4),配列!$C$11,利用時間_ユーザー,11,1))</f>
        <v>#NAME?</v>
      </c>
      <c r="I76" s="362" t="e">
        <f ca="1">IF(配列!$C$11="","",[0]!CSVVLookUP(ROW(行数!$A4),配列!$C$11,利用時間_ユーザー,15,1))</f>
        <v>#NAME?</v>
      </c>
      <c r="J76" s="362"/>
      <c r="K76" s="362"/>
      <c r="L76" s="362"/>
      <c r="M76" s="362"/>
      <c r="N76" s="362"/>
      <c r="O76" s="201"/>
      <c r="P76"/>
    </row>
    <row r="77" spans="2:16" x14ac:dyDescent="0.2">
      <c r="B77"/>
      <c r="C77" s="361" t="s">
        <v>105</v>
      </c>
      <c r="D77" s="361"/>
      <c r="E77" s="50" t="e">
        <f ca="1">IF(配列!$C$11="","",[0]!CSVVLookUP(ROW(行数!$A5),配列!$C$11,利用時間_ユーザー,7,1))</f>
        <v>#NAME?</v>
      </c>
      <c r="F77" s="51" t="e">
        <f ca="1">IF(配列!$C$11="","",[0]!CSVVLookUP(ROW(行数!$A5),配列!$C$11,利用時間_ユーザー,9,1))</f>
        <v>#NAME?</v>
      </c>
      <c r="G77" s="50" t="e">
        <f ca="1">IF(配列!$C$11="","",[0]!CSVVLookUP(ROW(行数!$A5),配列!$C$11,利用時間_ユーザー,10,1))</f>
        <v>#NAME?</v>
      </c>
      <c r="H77" s="50" t="e">
        <f ca="1">IF(配列!$C$11="","",[0]!CSVVLookUP(ROW(行数!$A5),配列!$C$11,利用時間_ユーザー,11,1))</f>
        <v>#NAME?</v>
      </c>
      <c r="I77" s="362" t="e">
        <f ca="1">IF(配列!$C$11="","",[0]!CSVVLookUP(ROW(行数!$A5),配列!$C$11,利用時間_ユーザー,15,1))</f>
        <v>#NAME?</v>
      </c>
      <c r="J77" s="362"/>
      <c r="K77" s="362"/>
      <c r="L77" s="362"/>
      <c r="M77" s="362"/>
      <c r="N77" s="362"/>
      <c r="O77" s="201"/>
      <c r="P77"/>
    </row>
    <row r="78" spans="2:16" x14ac:dyDescent="0.2">
      <c r="B78"/>
      <c r="C78" s="361" t="s">
        <v>105</v>
      </c>
      <c r="D78" s="361"/>
      <c r="E78" s="50" t="e">
        <f ca="1">IF(配列!$C$11="","",[0]!CSVVLookUP(ROW(行数!$A6),配列!$C$11,利用時間_ユーザー,7,1))</f>
        <v>#NAME?</v>
      </c>
      <c r="F78" s="51" t="e">
        <f ca="1">IF(配列!$C$11="","",[0]!CSVVLookUP(ROW(行数!$A6),配列!$C$11,利用時間_ユーザー,9,1))</f>
        <v>#NAME?</v>
      </c>
      <c r="G78" s="50" t="e">
        <f ca="1">IF(配列!$C$11="","",[0]!CSVVLookUP(ROW(行数!$A6),配列!$C$11,利用時間_ユーザー,10,1))</f>
        <v>#NAME?</v>
      </c>
      <c r="H78" s="50" t="e">
        <f ca="1">IF(配列!$C$11="","",[0]!CSVVLookUP(ROW(行数!$A6),配列!$C$11,利用時間_ユーザー,11,1))</f>
        <v>#NAME?</v>
      </c>
      <c r="I78" s="362" t="e">
        <f ca="1">IF(配列!$C$11="","",[0]!CSVVLookUP(ROW(行数!$A6),配列!$C$11,利用時間_ユーザー,15,1))</f>
        <v>#NAME?</v>
      </c>
      <c r="J78" s="362"/>
      <c r="K78" s="362"/>
      <c r="L78" s="362"/>
      <c r="M78" s="362"/>
      <c r="N78" s="362"/>
      <c r="O78" s="201"/>
      <c r="P78"/>
    </row>
    <row r="79" spans="2:16" x14ac:dyDescent="0.2">
      <c r="B79"/>
      <c r="C79" s="361" t="s">
        <v>105</v>
      </c>
      <c r="D79" s="361"/>
      <c r="E79" s="50" t="e">
        <f ca="1">IF(配列!$C$11="","",[0]!CSVVLookUP(ROW(行数!$A7),配列!$C$11,利用時間_ユーザー,7,1))</f>
        <v>#NAME?</v>
      </c>
      <c r="F79" s="51" t="e">
        <f ca="1">IF(配列!$C$11="","",[0]!CSVVLookUP(ROW(行数!$A7),配列!$C$11,利用時間_ユーザー,9,1))</f>
        <v>#NAME?</v>
      </c>
      <c r="G79" s="50" t="e">
        <f ca="1">IF(配列!$C$11="","",[0]!CSVVLookUP(ROW(行数!$A7),配列!$C$11,利用時間_ユーザー,10,1))</f>
        <v>#NAME?</v>
      </c>
      <c r="H79" s="50" t="e">
        <f ca="1">IF(配列!$C$11="","",[0]!CSVVLookUP(ROW(行数!$A7),配列!$C$11,利用時間_ユーザー,11,1))</f>
        <v>#NAME?</v>
      </c>
      <c r="I79" s="362" t="e">
        <f ca="1">IF(配列!$C$11="","",[0]!CSVVLookUP(ROW(行数!$A7),配列!$C$11,利用時間_ユーザー,15,1))</f>
        <v>#NAME?</v>
      </c>
      <c r="J79" s="362"/>
      <c r="K79" s="362"/>
      <c r="L79" s="362"/>
      <c r="M79" s="362"/>
      <c r="N79" s="362"/>
      <c r="O79" s="201"/>
      <c r="P79"/>
    </row>
    <row r="80" spans="2:16" x14ac:dyDescent="0.2">
      <c r="B80"/>
      <c r="C80" s="361" t="s">
        <v>105</v>
      </c>
      <c r="D80" s="361"/>
      <c r="E80" s="50" t="e">
        <f ca="1">IF(配列!$C$11="","",[0]!CSVVLookUP(ROW(行数!$A8),配列!$C$11,利用時間_ユーザー,7,1))</f>
        <v>#NAME?</v>
      </c>
      <c r="F80" s="51" t="e">
        <f ca="1">IF(配列!$C$11="","",[0]!CSVVLookUP(ROW(行数!$A8),配列!$C$11,利用時間_ユーザー,9,1))</f>
        <v>#NAME?</v>
      </c>
      <c r="G80" s="50" t="e">
        <f ca="1">IF(配列!$C$11="","",[0]!CSVVLookUP(ROW(行数!$A8),配列!$C$11,利用時間_ユーザー,10,1))</f>
        <v>#NAME?</v>
      </c>
      <c r="H80" s="50" t="e">
        <f ca="1">IF(配列!$C$11="","",[0]!CSVVLookUP(ROW(行数!$A8),配列!$C$11,利用時間_ユーザー,11,1))</f>
        <v>#NAME?</v>
      </c>
      <c r="I80" s="362" t="e">
        <f ca="1">IF(配列!$C$11="","",[0]!CSVVLookUP(ROW(行数!$A8),配列!$C$11,利用時間_ユーザー,15,1))</f>
        <v>#NAME?</v>
      </c>
      <c r="J80" s="362"/>
      <c r="K80" s="362"/>
      <c r="L80" s="362"/>
      <c r="M80" s="362"/>
      <c r="N80" s="362"/>
      <c r="O80" s="201"/>
      <c r="P80"/>
    </row>
    <row r="81" spans="2:16" x14ac:dyDescent="0.2">
      <c r="B81"/>
      <c r="C81" s="361" t="s">
        <v>105</v>
      </c>
      <c r="D81" s="361"/>
      <c r="E81" s="50" t="e">
        <f ca="1">IF(配列!$C$11="","",[0]!CSVVLookUP(ROW(行数!$A9),配列!$C$11,利用時間_ユーザー,7,1))</f>
        <v>#NAME?</v>
      </c>
      <c r="F81" s="51" t="e">
        <f ca="1">IF(配列!$C$11="","",[0]!CSVVLookUP(ROW(行数!$A9),配列!$C$11,利用時間_ユーザー,9,1))</f>
        <v>#NAME?</v>
      </c>
      <c r="G81" s="50" t="e">
        <f ca="1">IF(配列!$C$11="","",[0]!CSVVLookUP(ROW(行数!$A9),配列!$C$11,利用時間_ユーザー,10,1))</f>
        <v>#NAME?</v>
      </c>
      <c r="H81" s="50" t="e">
        <f ca="1">IF(配列!$C$11="","",[0]!CSVVLookUP(ROW(行数!$A9),配列!$C$11,利用時間_ユーザー,11,1))</f>
        <v>#NAME?</v>
      </c>
      <c r="I81" s="362" t="e">
        <f ca="1">IF(配列!$C$11="","",[0]!CSVVLookUP(ROW(行数!$A9),配列!$C$11,利用時間_ユーザー,15,1))</f>
        <v>#NAME?</v>
      </c>
      <c r="J81" s="362"/>
      <c r="K81" s="362"/>
      <c r="L81" s="362"/>
      <c r="M81" s="362"/>
      <c r="N81" s="362"/>
      <c r="O81" s="201"/>
      <c r="P81"/>
    </row>
    <row r="82" spans="2:16" x14ac:dyDescent="0.2">
      <c r="B82"/>
      <c r="C82" s="361" t="s">
        <v>105</v>
      </c>
      <c r="D82" s="361"/>
      <c r="E82" s="50" t="e">
        <f ca="1">IF(配列!$C$11="","",[0]!CSVVLookUP(ROW(行数!$A10),配列!$C$11,利用時間_ユーザー,7,1))</f>
        <v>#NAME?</v>
      </c>
      <c r="F82" s="51" t="e">
        <f ca="1">IF(配列!$C$11="","",[0]!CSVVLookUP(ROW(行数!$A10),配列!$C$11,利用時間_ユーザー,9,1))</f>
        <v>#NAME?</v>
      </c>
      <c r="G82" s="50" t="e">
        <f ca="1">IF(配列!$C$11="","",[0]!CSVVLookUP(ROW(行数!$A10),配列!$C$11,利用時間_ユーザー,10,1))</f>
        <v>#NAME?</v>
      </c>
      <c r="H82" s="50" t="e">
        <f ca="1">IF(配列!$C$11="","",[0]!CSVVLookUP(ROW(行数!$A10),配列!$C$11,利用時間_ユーザー,11,1))</f>
        <v>#NAME?</v>
      </c>
      <c r="I82" s="362" t="e">
        <f ca="1">IF(配列!$C$11="","",[0]!CSVVLookUP(ROW(行数!$A10),配列!$C$11,利用時間_ユーザー,15,1))</f>
        <v>#NAME?</v>
      </c>
      <c r="J82" s="362"/>
      <c r="K82" s="362"/>
      <c r="L82" s="362"/>
      <c r="M82" s="362"/>
      <c r="N82" s="362"/>
      <c r="O82" s="201"/>
      <c r="P82"/>
    </row>
    <row r="83" spans="2:16" x14ac:dyDescent="0.2">
      <c r="P83" s="201" t="s">
        <v>151</v>
      </c>
    </row>
  </sheetData>
  <mergeCells count="53">
    <mergeCell ref="G62:H62"/>
    <mergeCell ref="G63:H63"/>
    <mergeCell ref="I6:J6"/>
    <mergeCell ref="B53:B54"/>
    <mergeCell ref="G60:H60"/>
    <mergeCell ref="B55:B64"/>
    <mergeCell ref="G55:H55"/>
    <mergeCell ref="G59:H59"/>
    <mergeCell ref="G56:H56"/>
    <mergeCell ref="G57:H57"/>
    <mergeCell ref="G58:H58"/>
    <mergeCell ref="G61:H61"/>
    <mergeCell ref="G64:H64"/>
    <mergeCell ref="I17:N17"/>
    <mergeCell ref="G53:H54"/>
    <mergeCell ref="B18:B47"/>
    <mergeCell ref="C77:D77"/>
    <mergeCell ref="I77:N77"/>
    <mergeCell ref="C73:D73"/>
    <mergeCell ref="I73:N73"/>
    <mergeCell ref="C72:E72"/>
    <mergeCell ref="I72:N72"/>
    <mergeCell ref="C74:D74"/>
    <mergeCell ref="I74:N74"/>
    <mergeCell ref="C75:D75"/>
    <mergeCell ref="I75:N75"/>
    <mergeCell ref="C76:D76"/>
    <mergeCell ref="I76:N76"/>
    <mergeCell ref="C81:D81"/>
    <mergeCell ref="I81:N81"/>
    <mergeCell ref="C82:D82"/>
    <mergeCell ref="I82:N82"/>
    <mergeCell ref="C78:D78"/>
    <mergeCell ref="I78:N78"/>
    <mergeCell ref="C79:D79"/>
    <mergeCell ref="I79:N79"/>
    <mergeCell ref="C80:D80"/>
    <mergeCell ref="I80:N80"/>
    <mergeCell ref="C17:E17"/>
    <mergeCell ref="M8:N8"/>
    <mergeCell ref="M9:N9"/>
    <mergeCell ref="B6:B7"/>
    <mergeCell ref="C6:D7"/>
    <mergeCell ref="E6:E7"/>
    <mergeCell ref="F6:G6"/>
    <mergeCell ref="H6:H7"/>
    <mergeCell ref="B8:B9"/>
    <mergeCell ref="C8:D9"/>
    <mergeCell ref="E8:E9"/>
    <mergeCell ref="F8:F9"/>
    <mergeCell ref="G8:G9"/>
    <mergeCell ref="K6:L6"/>
    <mergeCell ref="M6:N7"/>
  </mergeCells>
  <phoneticPr fontId="1"/>
  <conditionalFormatting sqref="C48:L48 C18:E47 N18:N48 G18:L47">
    <cfRule type="expression" dxfId="73" priority="8">
      <formula>SECOND(C18)&gt;0</formula>
    </cfRule>
  </conditionalFormatting>
  <conditionalFormatting sqref="C73:E82 G73:H82">
    <cfRule type="expression" dxfId="72" priority="7">
      <formula>SECOND(C73)&gt;0</formula>
    </cfRule>
  </conditionalFormatting>
  <conditionalFormatting sqref="M48">
    <cfRule type="expression" dxfId="71" priority="6">
      <formula>SECOND(M48)&gt;0</formula>
    </cfRule>
  </conditionalFormatting>
  <conditionalFormatting sqref="M18:M47">
    <cfRule type="expression" dxfId="70" priority="5">
      <formula>SECOND(M18)&gt;0</formula>
    </cfRule>
  </conditionalFormatting>
  <conditionalFormatting sqref="B18 B48">
    <cfRule type="expression" dxfId="69" priority="2">
      <formula>SECOND(B18)&gt;0</formula>
    </cfRule>
  </conditionalFormatting>
  <conditionalFormatting sqref="B73:B82">
    <cfRule type="expression" dxfId="68" priority="1">
      <formula>SECOND(B73)&gt;0</formula>
    </cfRule>
  </conditionalFormatting>
  <pageMargins left="0.7" right="0.7" top="0.75" bottom="0.75" header="0.3" footer="0.3"/>
  <pageSetup paperSize="9" scale="58" fitToHeight="2" orientation="landscape" r:id="rId1"/>
  <rowBreaks count="1" manualBreakCount="1">
    <brk id="65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213A-E814-4C72-A845-F031DEB52889}">
  <sheetPr codeName="Sheet25">
    <pageSetUpPr fitToPage="1"/>
  </sheetPr>
  <dimension ref="B1:U48"/>
  <sheetViews>
    <sheetView tabSelected="1" showWhiteSpace="0" view="pageBreakPreview" zoomScaleNormal="100" zoomScaleSheetLayoutView="100" workbookViewId="0">
      <selection activeCell="G15" sqref="G15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319</v>
      </c>
      <c r="C8" s="342" t="s">
        <v>323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9.25</v>
      </c>
      <c r="J8" s="86">
        <v>7.9861111111111105E-2</v>
      </c>
      <c r="K8" s="86">
        <v>4.75</v>
      </c>
      <c r="L8" s="86">
        <v>9.1666666666666674E-2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63" t="s">
        <v>319</v>
      </c>
      <c r="C18" s="33">
        <v>45581.916666666664</v>
      </c>
      <c r="D18" s="33">
        <v>45582.416666666664</v>
      </c>
      <c r="E18" s="30">
        <v>0.5</v>
      </c>
      <c r="F18" s="29">
        <v>0.98611111111111116</v>
      </c>
      <c r="G18" s="30">
        <v>0</v>
      </c>
      <c r="H18" s="28">
        <v>6.9444444444444449E-3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63"/>
      <c r="C19" s="33">
        <v>45582.416666666664</v>
      </c>
      <c r="D19" s="33">
        <v>45582.916666666664</v>
      </c>
      <c r="E19" s="30">
        <v>0.5</v>
      </c>
      <c r="F19" s="29">
        <v>0.97499999999999998</v>
      </c>
      <c r="G19" s="30">
        <v>0</v>
      </c>
      <c r="H19" s="28">
        <v>1.2500000000000001E-2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63"/>
      <c r="C20" s="33">
        <v>45582.916666666664</v>
      </c>
      <c r="D20" s="33">
        <v>45583.416666666664</v>
      </c>
      <c r="E20" s="30">
        <v>0.5</v>
      </c>
      <c r="F20" s="29">
        <v>0.99027777777777781</v>
      </c>
      <c r="G20" s="30">
        <v>0</v>
      </c>
      <c r="H20" s="28">
        <v>4.8611111111111112E-3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63"/>
      <c r="C21" s="361" t="s">
        <v>105</v>
      </c>
      <c r="D21" s="361"/>
      <c r="E21" s="50">
        <v>1.5</v>
      </c>
      <c r="F21" s="51">
        <v>0.98379629629629639</v>
      </c>
      <c r="G21" s="50">
        <v>0</v>
      </c>
      <c r="H21" s="50">
        <v>2.4305555555555556E-2</v>
      </c>
      <c r="I21" s="362" t="s">
        <v>261</v>
      </c>
      <c r="J21" s="362"/>
      <c r="K21" s="362"/>
      <c r="L21" s="362"/>
      <c r="M21" s="362"/>
      <c r="N21" s="362"/>
    </row>
    <row r="22" spans="2:21" x14ac:dyDescent="0.2">
      <c r="B22" s="363"/>
      <c r="C22" s="33">
        <v>45583.416666666664</v>
      </c>
      <c r="D22" s="33">
        <v>45583.916666666664</v>
      </c>
      <c r="E22" s="30">
        <v>0.5</v>
      </c>
      <c r="F22" s="29">
        <v>0.99305555555555558</v>
      </c>
      <c r="G22" s="30">
        <v>0</v>
      </c>
      <c r="H22" s="28">
        <v>3.4722222222222225E-3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63"/>
      <c r="C23" s="361" t="s">
        <v>105</v>
      </c>
      <c r="D23" s="361"/>
      <c r="E23" s="50">
        <v>0.5</v>
      </c>
      <c r="F23" s="51">
        <v>0.99305555555555558</v>
      </c>
      <c r="G23" s="50">
        <v>0</v>
      </c>
      <c r="H23" s="50">
        <v>3.4722222222222225E-3</v>
      </c>
      <c r="I23" s="362" t="s">
        <v>318</v>
      </c>
      <c r="J23" s="362"/>
      <c r="K23" s="362"/>
      <c r="L23" s="362"/>
      <c r="M23" s="362"/>
      <c r="N23" s="362"/>
    </row>
    <row r="24" spans="2:21" x14ac:dyDescent="0.2">
      <c r="B24" s="363"/>
      <c r="C24" s="33">
        <v>45587.666666666664</v>
      </c>
      <c r="D24" s="33">
        <v>45587.916666666664</v>
      </c>
      <c r="E24" s="30">
        <v>0.25</v>
      </c>
      <c r="F24" s="29">
        <v>0.95</v>
      </c>
      <c r="G24" s="30">
        <v>0</v>
      </c>
      <c r="H24" s="28">
        <v>1.2500000000000001E-2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63"/>
      <c r="C25" s="33">
        <v>45588.416666666664</v>
      </c>
      <c r="D25" s="33">
        <v>45588.666666666664</v>
      </c>
      <c r="E25" s="30">
        <v>0.25</v>
      </c>
      <c r="F25" s="29">
        <v>0.98611111111111116</v>
      </c>
      <c r="G25" s="30">
        <v>0</v>
      </c>
      <c r="H25" s="28">
        <v>3.4722222222222225E-3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63"/>
      <c r="C26" s="33">
        <v>45589.416666666664</v>
      </c>
      <c r="D26" s="33">
        <v>45589.666666666664</v>
      </c>
      <c r="E26" s="30">
        <v>0.25</v>
      </c>
      <c r="F26" s="29">
        <v>0.98333333333333328</v>
      </c>
      <c r="G26" s="30">
        <v>0</v>
      </c>
      <c r="H26" s="28">
        <v>4.1666666666666666E-3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63"/>
      <c r="C27" s="361" t="s">
        <v>105</v>
      </c>
      <c r="D27" s="361"/>
      <c r="E27" s="50">
        <v>0.25</v>
      </c>
      <c r="F27" s="51">
        <v>0.98333333333333328</v>
      </c>
      <c r="G27" s="50">
        <v>0</v>
      </c>
      <c r="H27" s="50">
        <v>4.1666666666666666E-3</v>
      </c>
      <c r="I27" s="362" t="s">
        <v>302</v>
      </c>
      <c r="J27" s="362"/>
      <c r="K27" s="362"/>
      <c r="L27" s="362"/>
      <c r="M27" s="362"/>
      <c r="N27" s="362"/>
    </row>
    <row r="28" spans="2:21" x14ac:dyDescent="0.2">
      <c r="B28" s="363"/>
      <c r="C28" s="361" t="s">
        <v>105</v>
      </c>
      <c r="D28" s="361"/>
      <c r="E28" s="50">
        <v>0.25</v>
      </c>
      <c r="F28" s="51">
        <v>0.98611111111111116</v>
      </c>
      <c r="G28" s="50">
        <v>0</v>
      </c>
      <c r="H28" s="50">
        <v>3.4722222222222225E-3</v>
      </c>
      <c r="I28" s="362" t="s">
        <v>302</v>
      </c>
      <c r="J28" s="362"/>
      <c r="K28" s="362"/>
      <c r="L28" s="362"/>
      <c r="M28" s="362"/>
      <c r="N28" s="362"/>
    </row>
    <row r="29" spans="2:21" x14ac:dyDescent="0.2">
      <c r="B29" s="363"/>
      <c r="C29" s="361" t="s">
        <v>105</v>
      </c>
      <c r="D29" s="361"/>
      <c r="E29" s="50">
        <v>0.25</v>
      </c>
      <c r="F29" s="51">
        <v>0.95</v>
      </c>
      <c r="G29" s="50">
        <v>0</v>
      </c>
      <c r="H29" s="50">
        <v>1.2500000000000001E-2</v>
      </c>
      <c r="I29" s="362" t="s">
        <v>302</v>
      </c>
      <c r="J29" s="362"/>
      <c r="K29" s="362"/>
      <c r="L29" s="362"/>
      <c r="M29" s="362"/>
      <c r="N29" s="362"/>
    </row>
    <row r="30" spans="2:21" x14ac:dyDescent="0.2">
      <c r="B30" s="363"/>
      <c r="C30" s="33">
        <v>45590.916666666664</v>
      </c>
      <c r="D30" s="33">
        <v>45591.416666666664</v>
      </c>
      <c r="E30" s="30">
        <v>0.5</v>
      </c>
      <c r="F30" s="29">
        <v>0.9555555555555556</v>
      </c>
      <c r="G30" s="30">
        <v>0</v>
      </c>
      <c r="H30" s="28">
        <v>2.2222222222222223E-2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63"/>
      <c r="C31" s="33">
        <v>45591.416666666664</v>
      </c>
      <c r="D31" s="33">
        <v>45591.916666666664</v>
      </c>
      <c r="E31" s="30">
        <v>0.5</v>
      </c>
      <c r="F31" s="29">
        <v>0.98472222222222228</v>
      </c>
      <c r="G31" s="30">
        <v>0</v>
      </c>
      <c r="H31" s="28">
        <v>7.6388888888888895E-3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63"/>
      <c r="C32" s="33">
        <v>45591.916666666664</v>
      </c>
      <c r="D32" s="33">
        <v>45592.416666666664</v>
      </c>
      <c r="E32" s="30">
        <v>0.5</v>
      </c>
      <c r="F32" s="29">
        <v>0.98750000000000004</v>
      </c>
      <c r="G32" s="30">
        <v>0</v>
      </c>
      <c r="H32" s="28">
        <v>6.2500000000000003E-3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63"/>
      <c r="C33" s="33">
        <v>45592.416666666664</v>
      </c>
      <c r="D33" s="33">
        <v>45592.916666666664</v>
      </c>
      <c r="E33" s="30">
        <v>0.5</v>
      </c>
      <c r="F33" s="29">
        <v>0.98472222222222228</v>
      </c>
      <c r="G33" s="30">
        <v>0</v>
      </c>
      <c r="H33" s="28">
        <v>7.6388888888888895E-3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ht="13.5" thickBot="1" x14ac:dyDescent="0.25">
      <c r="B34" s="363"/>
      <c r="C34" s="361" t="s">
        <v>105</v>
      </c>
      <c r="D34" s="361"/>
      <c r="E34" s="50">
        <v>2</v>
      </c>
      <c r="F34" s="51">
        <v>0.97812500000000013</v>
      </c>
      <c r="G34" s="50">
        <v>0</v>
      </c>
      <c r="H34" s="50">
        <v>4.3750000000000004E-2</v>
      </c>
      <c r="I34" s="362" t="s">
        <v>253</v>
      </c>
      <c r="J34" s="362"/>
      <c r="K34" s="362"/>
      <c r="L34" s="362"/>
      <c r="M34" s="362"/>
      <c r="N34" s="362"/>
    </row>
    <row r="35" spans="2:21" ht="13.5" thickBot="1" x14ac:dyDescent="0.25">
      <c r="D35" s="23"/>
      <c r="E35" s="52">
        <v>4.75</v>
      </c>
      <c r="F35" s="53"/>
      <c r="G35" s="52">
        <v>0</v>
      </c>
      <c r="H35" s="52">
        <v>9.1666666666666674E-2</v>
      </c>
      <c r="I35" s="4"/>
      <c r="J35" s="4"/>
      <c r="K35" s="4"/>
      <c r="L35" s="4"/>
      <c r="M35" s="4"/>
      <c r="N35" s="4"/>
    </row>
    <row r="36" spans="2:21" x14ac:dyDescent="0.2">
      <c r="B36" s="24"/>
      <c r="C36" s="24"/>
      <c r="E36" s="10"/>
      <c r="F36" s="11"/>
      <c r="G36" s="9"/>
      <c r="H36" s="11"/>
      <c r="I36" s="6"/>
      <c r="J36"/>
      <c r="K36"/>
      <c r="L36"/>
      <c r="M36"/>
    </row>
    <row r="37" spans="2:21" x14ac:dyDescent="0.2">
      <c r="B37" s="24" t="s">
        <v>231</v>
      </c>
      <c r="C37" s="22"/>
      <c r="D37"/>
      <c r="H37" s="16"/>
      <c r="J37"/>
      <c r="K37"/>
      <c r="L37"/>
      <c r="M37"/>
    </row>
    <row r="38" spans="2:21" x14ac:dyDescent="0.2">
      <c r="B38" s="24"/>
      <c r="C38" s="22"/>
      <c r="D38"/>
      <c r="H38" s="16"/>
      <c r="J38"/>
      <c r="K38"/>
      <c r="L38"/>
      <c r="M38"/>
    </row>
    <row r="39" spans="2:21" x14ac:dyDescent="0.2">
      <c r="B39" s="24" t="s">
        <v>232</v>
      </c>
      <c r="C39" s="22"/>
      <c r="D39"/>
      <c r="H39" s="16"/>
      <c r="J39"/>
      <c r="K39"/>
      <c r="L39"/>
      <c r="M39"/>
    </row>
    <row r="40" spans="2:21" x14ac:dyDescent="0.2">
      <c r="B40" s="353" t="s">
        <v>55</v>
      </c>
      <c r="C40" s="36" t="s">
        <v>34</v>
      </c>
      <c r="D40" s="34" t="s">
        <v>233</v>
      </c>
      <c r="E40" s="34" t="s">
        <v>198</v>
      </c>
      <c r="F40" s="203" t="s">
        <v>234</v>
      </c>
      <c r="G40" s="355" t="s">
        <v>222</v>
      </c>
      <c r="H40" s="355"/>
      <c r="I40" s="4"/>
      <c r="J40"/>
      <c r="K40" s="201"/>
      <c r="L40"/>
      <c r="M40"/>
    </row>
    <row r="41" spans="2:21" x14ac:dyDescent="0.2">
      <c r="B41" s="354"/>
      <c r="C41" s="37" t="s">
        <v>235</v>
      </c>
      <c r="D41" s="35" t="s">
        <v>236</v>
      </c>
      <c r="E41" s="56" t="s">
        <v>237</v>
      </c>
      <c r="F41" s="204" t="s">
        <v>238</v>
      </c>
      <c r="G41" s="355"/>
      <c r="H41" s="355"/>
      <c r="I41" s="16"/>
      <c r="K41" s="201"/>
      <c r="L41"/>
      <c r="M41"/>
    </row>
    <row r="42" spans="2:21" x14ac:dyDescent="0.2">
      <c r="B42" s="325" t="s">
        <v>319</v>
      </c>
      <c r="C42" s="54">
        <v>7.98</v>
      </c>
      <c r="D42" s="61">
        <v>30</v>
      </c>
      <c r="E42" s="60">
        <v>8.5</v>
      </c>
      <c r="F42" s="221">
        <v>600</v>
      </c>
      <c r="G42" s="356" t="s">
        <v>261</v>
      </c>
      <c r="H42" s="356"/>
      <c r="J42"/>
      <c r="K42" s="201"/>
      <c r="L42"/>
      <c r="M42"/>
    </row>
    <row r="43" spans="2:21" x14ac:dyDescent="0.2">
      <c r="B43" s="326"/>
      <c r="C43" s="54">
        <v>7.98</v>
      </c>
      <c r="D43" s="61">
        <v>30</v>
      </c>
      <c r="E43" s="60">
        <v>8.5</v>
      </c>
      <c r="F43" s="221">
        <v>600</v>
      </c>
      <c r="G43" s="356" t="s">
        <v>318</v>
      </c>
      <c r="H43" s="356"/>
      <c r="J43"/>
      <c r="K43" s="201"/>
      <c r="L43"/>
      <c r="M43"/>
    </row>
    <row r="44" spans="2:21" x14ac:dyDescent="0.2">
      <c r="B44" s="326"/>
      <c r="C44" s="54">
        <v>7.98</v>
      </c>
      <c r="D44" s="61">
        <v>30</v>
      </c>
      <c r="E44" s="60">
        <v>8.5</v>
      </c>
      <c r="F44" s="221">
        <v>600</v>
      </c>
      <c r="G44" s="356" t="s">
        <v>302</v>
      </c>
      <c r="H44" s="356"/>
      <c r="J44"/>
      <c r="K44" s="201"/>
      <c r="L44"/>
      <c r="M44"/>
    </row>
    <row r="45" spans="2:21" x14ac:dyDescent="0.2">
      <c r="B45" s="326"/>
      <c r="C45" s="54">
        <v>7.98</v>
      </c>
      <c r="D45" s="61">
        <v>30</v>
      </c>
      <c r="E45" s="60">
        <v>8.5</v>
      </c>
      <c r="F45" s="221">
        <v>600</v>
      </c>
      <c r="G45" s="356" t="s">
        <v>302</v>
      </c>
      <c r="H45" s="356"/>
      <c r="J45"/>
      <c r="K45" s="201"/>
      <c r="L45"/>
      <c r="M45"/>
    </row>
    <row r="46" spans="2:21" x14ac:dyDescent="0.2">
      <c r="B46" s="326"/>
      <c r="C46" s="54">
        <v>7.98</v>
      </c>
      <c r="D46" s="61">
        <v>30</v>
      </c>
      <c r="E46" s="60">
        <v>8.5</v>
      </c>
      <c r="F46" s="221">
        <v>600</v>
      </c>
      <c r="G46" s="356" t="s">
        <v>302</v>
      </c>
      <c r="H46" s="356"/>
      <c r="J46"/>
      <c r="K46" s="201"/>
      <c r="L46"/>
      <c r="M46"/>
    </row>
    <row r="47" spans="2:21" x14ac:dyDescent="0.2">
      <c r="B47" s="365"/>
      <c r="C47" s="315">
        <v>7.98</v>
      </c>
      <c r="D47" s="316">
        <v>30</v>
      </c>
      <c r="E47" s="317">
        <v>8.5</v>
      </c>
      <c r="F47" s="316">
        <v>600</v>
      </c>
      <c r="G47" s="364" t="s">
        <v>253</v>
      </c>
      <c r="H47" s="364"/>
      <c r="J47"/>
      <c r="K47" s="201"/>
      <c r="L47"/>
      <c r="M47"/>
    </row>
    <row r="48" spans="2:21" x14ac:dyDescent="0.2">
      <c r="B48" s="40"/>
      <c r="C48" s="40"/>
      <c r="D48" s="41"/>
      <c r="E48" s="42"/>
      <c r="F48" s="42"/>
      <c r="G48" s="222"/>
    </row>
  </sheetData>
  <mergeCells count="39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G46:H46"/>
    <mergeCell ref="G47:H47"/>
    <mergeCell ref="C17:E17"/>
    <mergeCell ref="I17:N17"/>
    <mergeCell ref="B40:B41"/>
    <mergeCell ref="G40:H41"/>
    <mergeCell ref="B42:B47"/>
    <mergeCell ref="G42:H42"/>
    <mergeCell ref="G43:H43"/>
    <mergeCell ref="G44:H44"/>
    <mergeCell ref="G45:H45"/>
    <mergeCell ref="B18:B34"/>
    <mergeCell ref="C28:D28"/>
    <mergeCell ref="I28:N28"/>
    <mergeCell ref="C27:D27"/>
    <mergeCell ref="I27:N27"/>
    <mergeCell ref="C34:D34"/>
    <mergeCell ref="I34:N34"/>
    <mergeCell ref="C21:D21"/>
    <mergeCell ref="I21:N21"/>
    <mergeCell ref="C23:D23"/>
    <mergeCell ref="I23:N23"/>
    <mergeCell ref="C29:D29"/>
    <mergeCell ref="I29:N29"/>
  </mergeCells>
  <phoneticPr fontId="1"/>
  <conditionalFormatting sqref="C35:L35 C18:E20 G18:L20 N18:N20 N22 G22:L22 C22:E22 C24:E26 G24:L26 N24:N26 N30:N33 G30:L33 C30:E33 N35">
    <cfRule type="expression" dxfId="67" priority="18">
      <formula>SECOND(C18)&gt;0</formula>
    </cfRule>
  </conditionalFormatting>
  <conditionalFormatting sqref="M35">
    <cfRule type="expression" dxfId="66" priority="16">
      <formula>SECOND(M35)&gt;0</formula>
    </cfRule>
  </conditionalFormatting>
  <conditionalFormatting sqref="M18:M20 M22 M24:M26 M30:M33">
    <cfRule type="expression" dxfId="65" priority="15">
      <formula>SECOND(M18)&gt;0</formula>
    </cfRule>
  </conditionalFormatting>
  <conditionalFormatting sqref="B18 B35">
    <cfRule type="expression" dxfId="64" priority="14">
      <formula>SECOND(B18)&gt;0</formula>
    </cfRule>
  </conditionalFormatting>
  <conditionalFormatting sqref="C21:E21 G21:H21">
    <cfRule type="expression" dxfId="63" priority="12">
      <formula>SECOND(C21)&gt;0</formula>
    </cfRule>
  </conditionalFormatting>
  <conditionalFormatting sqref="B21">
    <cfRule type="expression" dxfId="62" priority="11">
      <formula>SECOND(B21)&gt;0</formula>
    </cfRule>
  </conditionalFormatting>
  <conditionalFormatting sqref="C23:E23 G23:H23">
    <cfRule type="expression" dxfId="61" priority="10">
      <formula>SECOND(C23)&gt;0</formula>
    </cfRule>
  </conditionalFormatting>
  <conditionalFormatting sqref="B23">
    <cfRule type="expression" dxfId="60" priority="9">
      <formula>SECOND(B23)&gt;0</formula>
    </cfRule>
  </conditionalFormatting>
  <conditionalFormatting sqref="C29:E29 G29:H29">
    <cfRule type="expression" dxfId="59" priority="8">
      <formula>SECOND(C29)&gt;0</formula>
    </cfRule>
  </conditionalFormatting>
  <conditionalFormatting sqref="B29">
    <cfRule type="expression" dxfId="58" priority="7">
      <formula>SECOND(B29)&gt;0</formula>
    </cfRule>
  </conditionalFormatting>
  <conditionalFormatting sqref="C28:E28 G28:H28">
    <cfRule type="expression" dxfId="57" priority="6">
      <formula>SECOND(C28)&gt;0</formula>
    </cfRule>
  </conditionalFormatting>
  <conditionalFormatting sqref="B28">
    <cfRule type="expression" dxfId="56" priority="5">
      <formula>SECOND(B28)&gt;0</formula>
    </cfRule>
  </conditionalFormatting>
  <conditionalFormatting sqref="C27:E27 G27:H27">
    <cfRule type="expression" dxfId="55" priority="4">
      <formula>SECOND(C27)&gt;0</formula>
    </cfRule>
  </conditionalFormatting>
  <conditionalFormatting sqref="B27">
    <cfRule type="expression" dxfId="54" priority="3">
      <formula>SECOND(B27)&gt;0</formula>
    </cfRule>
  </conditionalFormatting>
  <conditionalFormatting sqref="C34:E34 G34:H34">
    <cfRule type="expression" dxfId="53" priority="2">
      <formula>SECOND(C34)&gt;0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8" max="9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6EE34-2E4B-4113-9825-90FBD70D1ACC}">
  <sheetPr codeName="Sheet24">
    <pageSetUpPr fitToPage="1"/>
  </sheetPr>
  <dimension ref="B1:N23"/>
  <sheetViews>
    <sheetView showWhiteSpace="0" view="pageBreakPreview" zoomScaleNormal="100" zoomScaleSheetLayoutView="100" workbookViewId="0">
      <selection activeCell="F40" sqref="F40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312</v>
      </c>
      <c r="C8" s="342" t="s">
        <v>314</v>
      </c>
      <c r="D8" s="343"/>
      <c r="E8" s="346">
        <v>13</v>
      </c>
      <c r="F8" s="346">
        <v>7</v>
      </c>
      <c r="G8" s="346">
        <v>0.2722222222222222</v>
      </c>
      <c r="H8" s="27" t="s">
        <v>225</v>
      </c>
      <c r="I8" s="86">
        <v>6</v>
      </c>
      <c r="J8" s="86">
        <v>2.0833333333333333E-3</v>
      </c>
      <c r="K8" s="86">
        <v>0</v>
      </c>
      <c r="L8" s="86">
        <v>0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14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14" x14ac:dyDescent="0.2">
      <c r="B18" s="24"/>
      <c r="C18" s="24"/>
      <c r="E18" s="10"/>
      <c r="F18" s="11"/>
      <c r="G18" s="9"/>
      <c r="H18" s="11"/>
      <c r="I18" s="6"/>
      <c r="J18"/>
      <c r="K18"/>
      <c r="L18"/>
      <c r="M18"/>
    </row>
    <row r="19" spans="2:14" x14ac:dyDescent="0.2">
      <c r="B19" s="24" t="s">
        <v>231</v>
      </c>
      <c r="C19" s="22"/>
      <c r="D19"/>
      <c r="H19" s="16"/>
      <c r="J19"/>
      <c r="K19"/>
      <c r="L19"/>
      <c r="M19"/>
    </row>
    <row r="20" spans="2:14" x14ac:dyDescent="0.2">
      <c r="B20" s="24"/>
      <c r="C20" s="22"/>
      <c r="D20"/>
      <c r="H20" s="16"/>
      <c r="J20"/>
      <c r="K20"/>
      <c r="L20"/>
      <c r="M20"/>
    </row>
    <row r="21" spans="2:14" x14ac:dyDescent="0.2">
      <c r="B21" s="24" t="s">
        <v>232</v>
      </c>
      <c r="C21" s="22"/>
      <c r="D21"/>
      <c r="H21" s="16"/>
      <c r="J21"/>
      <c r="K21"/>
      <c r="L21"/>
      <c r="M21"/>
    </row>
    <row r="22" spans="2:14" x14ac:dyDescent="0.2">
      <c r="B22" s="353" t="s">
        <v>55</v>
      </c>
      <c r="C22" s="36" t="s">
        <v>34</v>
      </c>
      <c r="D22" s="34" t="s">
        <v>233</v>
      </c>
      <c r="E22" s="34" t="s">
        <v>198</v>
      </c>
      <c r="F22" s="203" t="s">
        <v>234</v>
      </c>
      <c r="G22" s="355" t="s">
        <v>222</v>
      </c>
      <c r="H22" s="355"/>
      <c r="I22" s="4"/>
      <c r="J22"/>
      <c r="K22" s="201"/>
      <c r="L22"/>
      <c r="M22"/>
    </row>
    <row r="23" spans="2:14" x14ac:dyDescent="0.2">
      <c r="B23" s="354"/>
      <c r="C23" s="37" t="s">
        <v>235</v>
      </c>
      <c r="D23" s="35" t="s">
        <v>236</v>
      </c>
      <c r="E23" s="56" t="s">
        <v>237</v>
      </c>
      <c r="F23" s="204" t="s">
        <v>238</v>
      </c>
      <c r="G23" s="355"/>
      <c r="H23" s="355"/>
      <c r="I23" s="16"/>
      <c r="K23" s="201"/>
      <c r="L23"/>
      <c r="M23"/>
    </row>
  </sheetData>
  <mergeCells count="19">
    <mergeCell ref="I6:J6"/>
    <mergeCell ref="C17:E17"/>
    <mergeCell ref="I17:N17"/>
    <mergeCell ref="B22:B23"/>
    <mergeCell ref="G22:H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</mergeCells>
  <phoneticPr fontId="1"/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FA4B-4319-4F6E-8BEE-37A0E5715005}">
  <sheetPr codeName="Sheet23">
    <pageSetUpPr fitToPage="1"/>
  </sheetPr>
  <dimension ref="B1:U47"/>
  <sheetViews>
    <sheetView showWhiteSpace="0" view="pageBreakPreview" zoomScaleNormal="100" zoomScaleSheetLayoutView="100" workbookViewId="0">
      <selection activeCell="I19" sqref="I19:N19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307</v>
      </c>
      <c r="C8" s="342" t="s">
        <v>311</v>
      </c>
      <c r="D8" s="343"/>
      <c r="E8" s="346">
        <v>17</v>
      </c>
      <c r="F8" s="346">
        <v>2</v>
      </c>
      <c r="G8" s="346">
        <v>2.0833333333333336E-2</v>
      </c>
      <c r="H8" s="27" t="s">
        <v>225</v>
      </c>
      <c r="I8" s="86">
        <v>8.25</v>
      </c>
      <c r="J8" s="86">
        <v>2.7777777777777779E-3</v>
      </c>
      <c r="K8" s="86">
        <v>6.75</v>
      </c>
      <c r="L8" s="86">
        <v>0.25138888888888888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57" t="s">
        <v>307</v>
      </c>
      <c r="C18" s="33">
        <v>45492.916666666664</v>
      </c>
      <c r="D18" s="33">
        <v>45493.166666666664</v>
      </c>
      <c r="E18" s="30">
        <v>0.25</v>
      </c>
      <c r="F18" s="29">
        <v>0.83888888888888891</v>
      </c>
      <c r="G18" s="30">
        <v>3.6805555555555557E-2</v>
      </c>
      <c r="H18" s="28">
        <v>3.4722222222222225E-3</v>
      </c>
      <c r="I18" s="31" t="s">
        <v>251</v>
      </c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57"/>
      <c r="C19" s="361" t="s">
        <v>105</v>
      </c>
      <c r="D19" s="361"/>
      <c r="E19" s="50">
        <v>0.25</v>
      </c>
      <c r="F19" s="51">
        <v>0.83888888888888891</v>
      </c>
      <c r="G19" s="50">
        <v>3.6805555555555557E-2</v>
      </c>
      <c r="H19" s="50">
        <v>3.4722222222222225E-3</v>
      </c>
      <c r="I19" s="362" t="s">
        <v>302</v>
      </c>
      <c r="J19" s="362"/>
      <c r="K19" s="362"/>
      <c r="L19" s="362"/>
      <c r="M19" s="362"/>
      <c r="N19" s="362"/>
    </row>
    <row r="20" spans="2:21" x14ac:dyDescent="0.2">
      <c r="B20" s="357"/>
      <c r="C20" s="33">
        <v>45493.416666666664</v>
      </c>
      <c r="D20" s="33">
        <v>45493.916666666664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57"/>
      <c r="C21" s="33">
        <v>45493.916666666664</v>
      </c>
      <c r="D21" s="33">
        <v>45494.416666666664</v>
      </c>
      <c r="E21" s="30">
        <v>0.5</v>
      </c>
      <c r="F21" s="29">
        <v>0.98055555555555551</v>
      </c>
      <c r="G21" s="30">
        <v>0</v>
      </c>
      <c r="H21" s="28">
        <v>9.7222222222222224E-3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57"/>
      <c r="C22" s="33">
        <v>45494.416666666664</v>
      </c>
      <c r="D22" s="33">
        <v>45494.916666666664</v>
      </c>
      <c r="E22" s="30">
        <v>0.5</v>
      </c>
      <c r="F22" s="29">
        <v>0.88888888888888884</v>
      </c>
      <c r="G22" s="30">
        <v>4.6527777777777779E-2</v>
      </c>
      <c r="H22" s="28">
        <v>9.0277777777777787E-3</v>
      </c>
      <c r="I22" s="31" t="s">
        <v>82</v>
      </c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57"/>
      <c r="C23" s="361" t="s">
        <v>105</v>
      </c>
      <c r="D23" s="361"/>
      <c r="E23" s="50">
        <v>1.5</v>
      </c>
      <c r="F23" s="51">
        <v>0.95370370370370372</v>
      </c>
      <c r="G23" s="50">
        <v>4.6527777777777779E-2</v>
      </c>
      <c r="H23" s="50">
        <v>2.2916666666666669E-2</v>
      </c>
      <c r="I23" s="362" t="s">
        <v>303</v>
      </c>
      <c r="J23" s="362"/>
      <c r="K23" s="362"/>
      <c r="L23" s="362"/>
      <c r="M23" s="362"/>
      <c r="N23" s="362"/>
    </row>
    <row r="24" spans="2:21" x14ac:dyDescent="0.2">
      <c r="B24" s="357"/>
      <c r="C24" s="33">
        <v>45496.916666666664</v>
      </c>
      <c r="D24" s="33">
        <v>45497.416666666664</v>
      </c>
      <c r="E24" s="30">
        <v>0.5</v>
      </c>
      <c r="F24" s="29">
        <v>0.95138888888888895</v>
      </c>
      <c r="G24" s="30">
        <v>2.1527777777777778E-2</v>
      </c>
      <c r="H24" s="28">
        <v>2.7777777777777779E-3</v>
      </c>
      <c r="I24" s="31" t="s">
        <v>82</v>
      </c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57"/>
      <c r="C25" s="33">
        <v>45497.416666666664</v>
      </c>
      <c r="D25" s="33">
        <v>45497.916666666664</v>
      </c>
      <c r="E25" s="30">
        <v>0.5</v>
      </c>
      <c r="F25" s="29">
        <v>0.98333333333333328</v>
      </c>
      <c r="G25" s="30">
        <v>0</v>
      </c>
      <c r="H25" s="28">
        <v>8.3333333333333332E-3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57"/>
      <c r="C26" s="33">
        <v>45497.916666666664</v>
      </c>
      <c r="D26" s="33">
        <v>45498.416666666664</v>
      </c>
      <c r="E26" s="30">
        <v>0.5</v>
      </c>
      <c r="F26" s="29">
        <v>0.99444444444444446</v>
      </c>
      <c r="G26" s="30">
        <v>0</v>
      </c>
      <c r="H26" s="28">
        <v>2.7777777777777779E-3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57"/>
      <c r="C27" s="33">
        <v>45498.416666666664</v>
      </c>
      <c r="D27" s="33">
        <v>45498.916666666664</v>
      </c>
      <c r="E27" s="30">
        <v>0.5</v>
      </c>
      <c r="F27" s="29">
        <v>0.98611111111111116</v>
      </c>
      <c r="G27" s="30">
        <v>0</v>
      </c>
      <c r="H27" s="28">
        <v>6.9444444444444449E-3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57"/>
      <c r="C28" s="33">
        <v>45498.916666666664</v>
      </c>
      <c r="D28" s="33">
        <v>45499.416666666664</v>
      </c>
      <c r="E28" s="30">
        <v>0.5</v>
      </c>
      <c r="F28" s="29">
        <v>0.98333333333333328</v>
      </c>
      <c r="G28" s="30">
        <v>0</v>
      </c>
      <c r="H28" s="28">
        <v>8.3333333333333332E-3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57"/>
      <c r="C29" s="361" t="s">
        <v>105</v>
      </c>
      <c r="D29" s="361"/>
      <c r="E29" s="50">
        <v>2.5</v>
      </c>
      <c r="F29" s="51">
        <v>0.97972222222222227</v>
      </c>
      <c r="G29" s="50">
        <v>2.1527777777777778E-2</v>
      </c>
      <c r="H29" s="50">
        <v>2.9166666666666667E-2</v>
      </c>
      <c r="I29" s="362" t="s">
        <v>304</v>
      </c>
      <c r="J29" s="362"/>
      <c r="K29" s="362"/>
      <c r="L29" s="362"/>
      <c r="M29" s="362"/>
      <c r="N29" s="362"/>
    </row>
    <row r="30" spans="2:21" x14ac:dyDescent="0.2">
      <c r="B30" s="357"/>
      <c r="C30" s="33">
        <v>45499.916666666664</v>
      </c>
      <c r="D30" s="33">
        <v>45500.416666666664</v>
      </c>
      <c r="E30" s="30">
        <v>0.5</v>
      </c>
      <c r="F30" s="29">
        <v>0.99027777777777781</v>
      </c>
      <c r="G30" s="30">
        <v>0</v>
      </c>
      <c r="H30" s="28">
        <v>4.8611111111111112E-3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57"/>
      <c r="C31" s="33">
        <v>45500.416666666664</v>
      </c>
      <c r="D31" s="33">
        <v>45500.916666666664</v>
      </c>
      <c r="E31" s="30">
        <v>0.5</v>
      </c>
      <c r="F31" s="29">
        <v>0.91527777777777786</v>
      </c>
      <c r="G31" s="30">
        <v>3.8194444444444448E-2</v>
      </c>
      <c r="H31" s="28">
        <v>4.1666666666666666E-3</v>
      </c>
      <c r="I31" s="31" t="s">
        <v>310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57"/>
      <c r="C32" s="33">
        <v>45500.916666666664</v>
      </c>
      <c r="D32" s="33">
        <v>45501.416666666664</v>
      </c>
      <c r="E32" s="30">
        <v>0.5</v>
      </c>
      <c r="F32" s="29">
        <v>0.94861111111111107</v>
      </c>
      <c r="G32" s="30">
        <v>2.2916666666666669E-2</v>
      </c>
      <c r="H32" s="28">
        <v>2.7777777777777779E-3</v>
      </c>
      <c r="I32" s="31" t="s">
        <v>82</v>
      </c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57"/>
      <c r="C33" s="33">
        <v>45501.416666666664</v>
      </c>
      <c r="D33" s="33">
        <v>45501.916666666664</v>
      </c>
      <c r="E33" s="30">
        <v>0.5</v>
      </c>
      <c r="F33" s="29">
        <v>0.98055555555555551</v>
      </c>
      <c r="G33" s="30">
        <v>0</v>
      </c>
      <c r="H33" s="28">
        <v>9.7222222222222224E-3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57"/>
      <c r="C34" s="33">
        <v>45501.916666666664</v>
      </c>
      <c r="D34" s="33">
        <v>45502.416666666664</v>
      </c>
      <c r="E34" s="30">
        <v>0.5</v>
      </c>
      <c r="F34" s="29">
        <v>0.98333333333333328</v>
      </c>
      <c r="G34" s="30">
        <v>0</v>
      </c>
      <c r="H34" s="28">
        <v>8.3333333333333332E-3</v>
      </c>
      <c r="I34" s="31"/>
      <c r="J34" s="207"/>
      <c r="K34" s="207"/>
      <c r="L34" s="207"/>
      <c r="M34" s="207"/>
      <c r="N34" s="32"/>
      <c r="O34" s="10"/>
      <c r="R34" s="19"/>
      <c r="S34" s="18"/>
      <c r="T34" s="2"/>
      <c r="U34" s="17"/>
    </row>
    <row r="35" spans="2:21" ht="13.5" thickBot="1" x14ac:dyDescent="0.25">
      <c r="B35" s="357"/>
      <c r="C35" s="361" t="s">
        <v>105</v>
      </c>
      <c r="D35" s="361"/>
      <c r="E35" s="50">
        <v>2.5</v>
      </c>
      <c r="F35" s="51">
        <v>0.96361111111111108</v>
      </c>
      <c r="G35" s="50">
        <v>6.1111111111111116E-2</v>
      </c>
      <c r="H35" s="50">
        <v>2.9861111111111109E-2</v>
      </c>
      <c r="I35" s="362" t="s">
        <v>305</v>
      </c>
      <c r="J35" s="362"/>
      <c r="K35" s="362"/>
      <c r="L35" s="362"/>
      <c r="M35" s="362"/>
      <c r="N35" s="362"/>
    </row>
    <row r="36" spans="2:21" ht="13.5" thickBot="1" x14ac:dyDescent="0.25">
      <c r="D36" s="23"/>
      <c r="E36" s="52">
        <v>6.75</v>
      </c>
      <c r="F36" s="53"/>
      <c r="G36" s="52">
        <v>0.16597222222222224</v>
      </c>
      <c r="H36" s="52">
        <v>8.5416666666666669E-2</v>
      </c>
      <c r="I36" s="4"/>
      <c r="J36" s="4"/>
      <c r="K36" s="4"/>
      <c r="L36" s="4"/>
      <c r="M36" s="4"/>
      <c r="N36" s="4"/>
    </row>
    <row r="37" spans="2:21" x14ac:dyDescent="0.2">
      <c r="B37" s="24"/>
      <c r="C37" s="24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4" t="s">
        <v>231</v>
      </c>
      <c r="C38" s="22"/>
      <c r="D38"/>
      <c r="H38" s="16"/>
      <c r="J38"/>
      <c r="K38"/>
      <c r="L38"/>
      <c r="M38"/>
    </row>
    <row r="39" spans="2:21" x14ac:dyDescent="0.2">
      <c r="B39" s="24"/>
      <c r="C39" s="22"/>
      <c r="D39"/>
      <c r="H39" s="16"/>
      <c r="J39"/>
      <c r="K39"/>
      <c r="L39"/>
      <c r="M39"/>
    </row>
    <row r="40" spans="2:21" x14ac:dyDescent="0.2">
      <c r="B40" s="24" t="s">
        <v>232</v>
      </c>
      <c r="C40" s="22"/>
      <c r="D40"/>
      <c r="H40" s="16"/>
      <c r="J40"/>
      <c r="K40"/>
      <c r="L40"/>
      <c r="M40"/>
    </row>
    <row r="41" spans="2:21" x14ac:dyDescent="0.2">
      <c r="B41" s="353" t="s">
        <v>55</v>
      </c>
      <c r="C41" s="36" t="s">
        <v>34</v>
      </c>
      <c r="D41" s="34" t="s">
        <v>233</v>
      </c>
      <c r="E41" s="34" t="s">
        <v>198</v>
      </c>
      <c r="F41" s="203" t="s">
        <v>234</v>
      </c>
      <c r="G41" s="355" t="s">
        <v>222</v>
      </c>
      <c r="H41" s="355"/>
      <c r="I41" s="4"/>
      <c r="J41"/>
      <c r="K41" s="201"/>
      <c r="L41"/>
      <c r="M41"/>
    </row>
    <row r="42" spans="2:21" x14ac:dyDescent="0.2">
      <c r="B42" s="354"/>
      <c r="C42" s="37" t="s">
        <v>235</v>
      </c>
      <c r="D42" s="35" t="s">
        <v>236</v>
      </c>
      <c r="E42" s="56" t="s">
        <v>237</v>
      </c>
      <c r="F42" s="204" t="s">
        <v>238</v>
      </c>
      <c r="G42" s="355"/>
      <c r="H42" s="355"/>
      <c r="I42" s="16"/>
      <c r="K42" s="201"/>
      <c r="L42"/>
      <c r="M42"/>
    </row>
    <row r="43" spans="2:21" x14ac:dyDescent="0.2">
      <c r="B43" s="325" t="s">
        <v>307</v>
      </c>
      <c r="C43" s="54">
        <v>7.98</v>
      </c>
      <c r="D43" s="61">
        <v>30</v>
      </c>
      <c r="E43" s="60">
        <v>10</v>
      </c>
      <c r="F43" s="221">
        <v>270</v>
      </c>
      <c r="G43" s="356" t="s">
        <v>302</v>
      </c>
      <c r="H43" s="356"/>
      <c r="J43"/>
      <c r="K43" s="201"/>
      <c r="L43"/>
      <c r="M43"/>
    </row>
    <row r="44" spans="2:21" x14ac:dyDescent="0.2">
      <c r="B44" s="326"/>
      <c r="C44" s="54">
        <v>7.98</v>
      </c>
      <c r="D44" s="61">
        <v>30</v>
      </c>
      <c r="E44" s="60">
        <v>10</v>
      </c>
      <c r="F44" s="221">
        <v>270</v>
      </c>
      <c r="G44" s="356" t="s">
        <v>303</v>
      </c>
      <c r="H44" s="356"/>
      <c r="J44"/>
      <c r="K44" s="201"/>
      <c r="L44"/>
      <c r="M44"/>
    </row>
    <row r="45" spans="2:21" x14ac:dyDescent="0.2">
      <c r="B45" s="326"/>
      <c r="C45" s="54">
        <v>6.6</v>
      </c>
      <c r="D45" s="61">
        <v>30</v>
      </c>
      <c r="E45" s="60">
        <v>7</v>
      </c>
      <c r="F45" s="221">
        <v>310</v>
      </c>
      <c r="G45" s="356" t="s">
        <v>304</v>
      </c>
      <c r="H45" s="356"/>
      <c r="J45"/>
      <c r="K45" s="201"/>
      <c r="L45"/>
      <c r="M45"/>
    </row>
    <row r="46" spans="2:21" x14ac:dyDescent="0.2">
      <c r="B46" s="363"/>
      <c r="C46" s="311">
        <v>6.6</v>
      </c>
      <c r="D46" s="312">
        <v>30</v>
      </c>
      <c r="E46" s="313">
        <v>7</v>
      </c>
      <c r="F46" s="312">
        <v>310</v>
      </c>
      <c r="G46" s="366" t="s">
        <v>305</v>
      </c>
      <c r="H46" s="366"/>
      <c r="J46"/>
      <c r="K46" s="201"/>
      <c r="L46"/>
      <c r="M46"/>
    </row>
    <row r="47" spans="2:21" x14ac:dyDescent="0.2">
      <c r="B47" s="40"/>
      <c r="C47" s="40"/>
      <c r="D47" s="41"/>
      <c r="E47" s="42"/>
      <c r="F47" s="42"/>
      <c r="G47" s="222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3:B46"/>
    <mergeCell ref="G43:H43"/>
    <mergeCell ref="G44:H44"/>
    <mergeCell ref="G45:H45"/>
    <mergeCell ref="G46:H46"/>
    <mergeCell ref="C29:D29"/>
    <mergeCell ref="I29:N29"/>
    <mergeCell ref="C17:E17"/>
    <mergeCell ref="I17:N17"/>
    <mergeCell ref="B41:B42"/>
    <mergeCell ref="G41:H42"/>
    <mergeCell ref="C35:D35"/>
    <mergeCell ref="I35:N35"/>
    <mergeCell ref="B18:B35"/>
    <mergeCell ref="C19:D19"/>
    <mergeCell ref="I19:N19"/>
    <mergeCell ref="C23:D23"/>
    <mergeCell ref="I23:N23"/>
  </mergeCells>
  <phoneticPr fontId="1"/>
  <conditionalFormatting sqref="C36:L36 C18:E18 G18:L18 N18 N20:N22 G20:L22 C20:E22 C24:E28 G24:L28 N24:N28 N30:N34 G30:L34 C30:E34 N36">
    <cfRule type="expression" dxfId="52" priority="14">
      <formula>SECOND(C18)&gt;0</formula>
    </cfRule>
  </conditionalFormatting>
  <conditionalFormatting sqref="M36">
    <cfRule type="expression" dxfId="51" priority="12">
      <formula>SECOND(M36)&gt;0</formula>
    </cfRule>
  </conditionalFormatting>
  <conditionalFormatting sqref="M18 M20:M22 M24:M28 M30:M34">
    <cfRule type="expression" dxfId="50" priority="11">
      <formula>SECOND(M18)&gt;0</formula>
    </cfRule>
  </conditionalFormatting>
  <conditionalFormatting sqref="B18 B36">
    <cfRule type="expression" dxfId="49" priority="10">
      <formula>SECOND(B18)&gt;0</formula>
    </cfRule>
  </conditionalFormatting>
  <conditionalFormatting sqref="C19:E19 G19:H19">
    <cfRule type="expression" dxfId="48" priority="8">
      <formula>SECOND(C19)&gt;0</formula>
    </cfRule>
  </conditionalFormatting>
  <conditionalFormatting sqref="B19">
    <cfRule type="expression" dxfId="47" priority="7">
      <formula>SECOND(B19)&gt;0</formula>
    </cfRule>
  </conditionalFormatting>
  <conditionalFormatting sqref="C23:E23 G23:H23">
    <cfRule type="expression" dxfId="46" priority="6">
      <formula>SECOND(C23)&gt;0</formula>
    </cfRule>
  </conditionalFormatting>
  <conditionalFormatting sqref="B23">
    <cfRule type="expression" dxfId="45" priority="5">
      <formula>SECOND(B23)&gt;0</formula>
    </cfRule>
  </conditionalFormatting>
  <conditionalFormatting sqref="C29:E29 G29:H29">
    <cfRule type="expression" dxfId="44" priority="4">
      <formula>SECOND(C29)&gt;0</formula>
    </cfRule>
  </conditionalFormatting>
  <conditionalFormatting sqref="B29">
    <cfRule type="expression" dxfId="43" priority="3">
      <formula>SECOND(B29)&gt;0</formula>
    </cfRule>
  </conditionalFormatting>
  <conditionalFormatting sqref="C35:E35 G35:H35">
    <cfRule type="expression" dxfId="42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7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FE33-B0DD-436E-BED7-D8DD0B3C8D5F}">
  <sheetPr codeName="Sheet22">
    <pageSetUpPr fitToPage="1"/>
  </sheetPr>
  <dimension ref="B1:U26"/>
  <sheetViews>
    <sheetView showWhiteSpace="0" view="pageBreakPreview" topLeftCell="B1" zoomScaleNormal="100" zoomScaleSheetLayoutView="100" workbookViewId="0">
      <selection activeCell="I24" sqref="I24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289</v>
      </c>
      <c r="C8" s="342" t="s">
        <v>291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14</v>
      </c>
      <c r="J8" s="86">
        <v>0</v>
      </c>
      <c r="K8" s="86">
        <v>0</v>
      </c>
      <c r="L8" s="86">
        <v>0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ht="13.5" thickBot="1" x14ac:dyDescent="0.25">
      <c r="B18" s="286" t="str">
        <f>'利用時間（期間）'!B2</f>
        <v>24-11</v>
      </c>
      <c r="C18" s="308"/>
      <c r="D18" s="308"/>
      <c r="E18" s="308"/>
      <c r="F18" s="308"/>
      <c r="G18" s="308"/>
      <c r="H18" s="308"/>
      <c r="I18" s="367" t="s">
        <v>300</v>
      </c>
      <c r="J18" s="368"/>
      <c r="K18" s="368"/>
      <c r="L18" s="368"/>
      <c r="M18" s="368"/>
      <c r="N18" s="369"/>
      <c r="O18" s="296"/>
      <c r="R18" s="19"/>
      <c r="S18" s="18"/>
      <c r="T18" s="2"/>
      <c r="U18" s="17"/>
    </row>
    <row r="19" spans="2:21" ht="13.5" thickBot="1" x14ac:dyDescent="0.25">
      <c r="C19" s="40"/>
      <c r="D19" s="23"/>
      <c r="E19" s="52">
        <f>SUM(E18:E18)</f>
        <v>0</v>
      </c>
      <c r="F19" s="290"/>
      <c r="G19" s="52">
        <f>SUM(G18:G18)</f>
        <v>0</v>
      </c>
      <c r="H19" s="52">
        <f>SUM(H18:H18)</f>
        <v>0</v>
      </c>
      <c r="I19" s="4"/>
      <c r="J19" s="4"/>
      <c r="K19" s="294"/>
      <c r="L19" s="294"/>
      <c r="M19" s="4"/>
      <c r="N19" s="4"/>
    </row>
    <row r="20" spans="2:21" x14ac:dyDescent="0.2">
      <c r="B20" s="24"/>
      <c r="C20" s="24"/>
      <c r="E20" s="10"/>
      <c r="F20" s="11"/>
      <c r="G20" s="9"/>
      <c r="H20" s="11"/>
      <c r="I20" s="6"/>
      <c r="J20"/>
      <c r="K20"/>
      <c r="L20"/>
      <c r="M20"/>
    </row>
    <row r="21" spans="2:21" x14ac:dyDescent="0.2">
      <c r="B21" s="24" t="s">
        <v>231</v>
      </c>
      <c r="C21" s="22"/>
      <c r="D21"/>
      <c r="H21" s="16"/>
      <c r="J21"/>
      <c r="K21"/>
      <c r="L21"/>
      <c r="M21"/>
    </row>
    <row r="22" spans="2:21" x14ac:dyDescent="0.2">
      <c r="B22" s="24"/>
      <c r="C22" s="22"/>
      <c r="D22"/>
      <c r="H22" s="16"/>
      <c r="J22"/>
      <c r="K22"/>
      <c r="L22"/>
      <c r="M22"/>
    </row>
    <row r="23" spans="2:21" x14ac:dyDescent="0.2">
      <c r="B23" s="24" t="s">
        <v>232</v>
      </c>
      <c r="C23" s="22"/>
      <c r="D23"/>
      <c r="H23" s="16"/>
      <c r="J23"/>
      <c r="K23"/>
      <c r="L23"/>
      <c r="M23"/>
    </row>
    <row r="24" spans="2:21" x14ac:dyDescent="0.2">
      <c r="B24" s="353" t="s">
        <v>55</v>
      </c>
      <c r="C24" s="36" t="s">
        <v>34</v>
      </c>
      <c r="D24" s="34" t="s">
        <v>233</v>
      </c>
      <c r="E24" s="34" t="s">
        <v>198</v>
      </c>
      <c r="F24" s="203" t="s">
        <v>234</v>
      </c>
      <c r="G24" s="355" t="s">
        <v>222</v>
      </c>
      <c r="H24" s="355"/>
      <c r="I24" s="4"/>
      <c r="J24"/>
      <c r="K24" s="201"/>
      <c r="L24"/>
      <c r="M24"/>
    </row>
    <row r="25" spans="2:21" x14ac:dyDescent="0.2">
      <c r="B25" s="354"/>
      <c r="C25" s="37" t="s">
        <v>235</v>
      </c>
      <c r="D25" s="35" t="s">
        <v>236</v>
      </c>
      <c r="E25" s="56" t="s">
        <v>237</v>
      </c>
      <c r="F25" s="204" t="s">
        <v>238</v>
      </c>
      <c r="G25" s="355"/>
      <c r="H25" s="355"/>
      <c r="I25" s="16"/>
      <c r="K25" s="201"/>
      <c r="L25"/>
      <c r="M25"/>
    </row>
    <row r="26" spans="2:21" x14ac:dyDescent="0.2">
      <c r="B26" s="34" t="s">
        <v>289</v>
      </c>
      <c r="C26" s="309"/>
      <c r="D26" s="308"/>
      <c r="E26" s="310"/>
      <c r="F26" s="308"/>
      <c r="G26" s="367" t="s">
        <v>301</v>
      </c>
      <c r="H26" s="369"/>
      <c r="J26"/>
      <c r="K26" s="201"/>
      <c r="L26"/>
      <c r="M26"/>
    </row>
  </sheetData>
  <mergeCells count="21">
    <mergeCell ref="F6:G6"/>
    <mergeCell ref="H6:H7"/>
    <mergeCell ref="I6:J6"/>
    <mergeCell ref="I18:N18"/>
    <mergeCell ref="G26:H26"/>
    <mergeCell ref="C17:E17"/>
    <mergeCell ref="I17:N17"/>
    <mergeCell ref="B24:B25"/>
    <mergeCell ref="G24:H25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</mergeCells>
  <phoneticPr fontId="1"/>
  <conditionalFormatting sqref="C19:L19 N19">
    <cfRule type="expression" dxfId="41" priority="3">
      <formula>SECOND(C19)&gt;0</formula>
    </cfRule>
  </conditionalFormatting>
  <conditionalFormatting sqref="M19">
    <cfRule type="expression" dxfId="40" priority="2">
      <formula>SECOND(M19)&gt;0</formula>
    </cfRule>
  </conditionalFormatting>
  <conditionalFormatting sqref="B18:B19">
    <cfRule type="expression" dxfId="39" priority="1">
      <formula>SECOND(B18)&gt;0</formula>
    </cfRule>
  </conditionalFormatting>
  <pageMargins left="0.7" right="0.7" top="0.75" bottom="0.75" header="0.3" footer="0.3"/>
  <pageSetup paperSize="9" scale="5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1C0-318C-4642-AC72-CA9DB91F9B63}">
  <sheetPr codeName="Sheet21">
    <pageSetUpPr fitToPage="1"/>
  </sheetPr>
  <dimension ref="B1:U45"/>
  <sheetViews>
    <sheetView showWhiteSpace="0" view="pageBreakPreview" zoomScaleNormal="100" zoomScaleSheetLayoutView="100" workbookViewId="0">
      <selection activeCell="I39" sqref="I39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282</v>
      </c>
      <c r="C8" s="342" t="s">
        <v>288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6</v>
      </c>
      <c r="J8" s="86">
        <v>2.361111111111111E-2</v>
      </c>
      <c r="K8" s="86">
        <v>8</v>
      </c>
      <c r="L8" s="86">
        <v>0.19027777777777777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0" t="s">
        <v>282</v>
      </c>
      <c r="C18" s="33">
        <v>45461.916666666664</v>
      </c>
      <c r="D18" s="33">
        <v>45462.416666666664</v>
      </c>
      <c r="E18" s="30">
        <v>0.5</v>
      </c>
      <c r="F18" s="29">
        <v>0.98888888888888893</v>
      </c>
      <c r="G18" s="30">
        <v>0</v>
      </c>
      <c r="H18" s="28">
        <v>5.5555555555555558E-3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0"/>
      <c r="C19" s="33">
        <v>45462.416666666664</v>
      </c>
      <c r="D19" s="33">
        <v>45462.916666666664</v>
      </c>
      <c r="E19" s="30">
        <v>0.5</v>
      </c>
      <c r="F19" s="29">
        <v>0.98333333333333328</v>
      </c>
      <c r="G19" s="30">
        <v>0</v>
      </c>
      <c r="H19" s="28">
        <v>8.3333333333333332E-3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0"/>
      <c r="C20" s="33">
        <v>45462.916666666664</v>
      </c>
      <c r="D20" s="33">
        <v>45463.416666666664</v>
      </c>
      <c r="E20" s="30">
        <v>0.5</v>
      </c>
      <c r="F20" s="29">
        <v>0.98472222222222228</v>
      </c>
      <c r="G20" s="30">
        <v>0</v>
      </c>
      <c r="H20" s="28">
        <v>7.6388888888888895E-3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0"/>
      <c r="C21" s="33">
        <v>45463.416666666664</v>
      </c>
      <c r="D21" s="33">
        <v>45463.916666666664</v>
      </c>
      <c r="E21" s="30">
        <v>0.5</v>
      </c>
      <c r="F21" s="29">
        <v>0.99444444444444446</v>
      </c>
      <c r="G21" s="30">
        <v>0</v>
      </c>
      <c r="H21" s="28">
        <v>2.7777777777777779E-3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0"/>
      <c r="C22" s="33">
        <v>45463.916666666664</v>
      </c>
      <c r="D22" s="33">
        <v>45464.416666666664</v>
      </c>
      <c r="E22" s="30">
        <v>0.5</v>
      </c>
      <c r="F22" s="29">
        <v>0.98888888888888893</v>
      </c>
      <c r="G22" s="30">
        <v>0</v>
      </c>
      <c r="H22" s="28">
        <v>5.5555555555555558E-3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0"/>
      <c r="C23" s="33">
        <v>45464.416666666664</v>
      </c>
      <c r="D23" s="33">
        <v>45464.916666666664</v>
      </c>
      <c r="E23" s="30">
        <v>0.5</v>
      </c>
      <c r="F23" s="29">
        <v>0.98750000000000004</v>
      </c>
      <c r="G23" s="30">
        <v>0</v>
      </c>
      <c r="H23" s="28">
        <v>6.2500000000000003E-3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70"/>
      <c r="C24" s="33">
        <v>45464.916666666664</v>
      </c>
      <c r="D24" s="33">
        <v>45465.416666666664</v>
      </c>
      <c r="E24" s="30">
        <v>0.5</v>
      </c>
      <c r="F24" s="29">
        <v>0.98750000000000004</v>
      </c>
      <c r="G24" s="30">
        <v>0</v>
      </c>
      <c r="H24" s="28">
        <v>6.2500000000000003E-3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0"/>
      <c r="C25" s="33">
        <v>45465.416666666664</v>
      </c>
      <c r="D25" s="33">
        <v>45465.916666666664</v>
      </c>
      <c r="E25" s="30">
        <v>0.5</v>
      </c>
      <c r="F25" s="29">
        <v>0.9916666666666667</v>
      </c>
      <c r="G25" s="30">
        <v>0</v>
      </c>
      <c r="H25" s="28">
        <v>4.1666666666666666E-3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0"/>
      <c r="C26" s="33">
        <v>45465.916666666664</v>
      </c>
      <c r="D26" s="33">
        <v>45466.416666666664</v>
      </c>
      <c r="E26" s="30">
        <v>0.5</v>
      </c>
      <c r="F26" s="29">
        <v>0.98888888888888893</v>
      </c>
      <c r="G26" s="30">
        <v>0</v>
      </c>
      <c r="H26" s="28">
        <v>5.5555555555555558E-3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0"/>
      <c r="C27" s="33">
        <v>45466.416666666664</v>
      </c>
      <c r="D27" s="33">
        <v>45466.916666666664</v>
      </c>
      <c r="E27" s="30">
        <v>0.5</v>
      </c>
      <c r="F27" s="29">
        <v>0.97638888888888897</v>
      </c>
      <c r="G27" s="30">
        <v>4.8611111111111112E-3</v>
      </c>
      <c r="H27" s="28">
        <v>6.9444444444444449E-3</v>
      </c>
      <c r="I27" s="31" t="s">
        <v>246</v>
      </c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70"/>
      <c r="C28" s="33">
        <v>45466.916666666664</v>
      </c>
      <c r="D28" s="33">
        <v>45467.416666666664</v>
      </c>
      <c r="E28" s="30">
        <v>0.5</v>
      </c>
      <c r="F28" s="29">
        <v>0.98611111111111116</v>
      </c>
      <c r="G28" s="30">
        <v>0</v>
      </c>
      <c r="H28" s="28">
        <v>6.9444444444444449E-3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70"/>
      <c r="C29" s="361" t="s">
        <v>105</v>
      </c>
      <c r="D29" s="361"/>
      <c r="E29" s="50">
        <v>5.5</v>
      </c>
      <c r="F29" s="51">
        <v>0.98712121212121218</v>
      </c>
      <c r="G29" s="50">
        <v>4.8611111111111112E-3</v>
      </c>
      <c r="H29" s="50">
        <v>6.5972222222222224E-2</v>
      </c>
      <c r="I29" s="362" t="s">
        <v>279</v>
      </c>
      <c r="J29" s="362"/>
      <c r="K29" s="362"/>
      <c r="L29" s="362"/>
      <c r="M29" s="362"/>
      <c r="N29" s="362"/>
    </row>
    <row r="30" spans="2:21" x14ac:dyDescent="0.2">
      <c r="B30" s="370"/>
      <c r="C30" s="33">
        <v>45468.916666666664</v>
      </c>
      <c r="D30" s="33">
        <v>45469.416666666664</v>
      </c>
      <c r="E30" s="30">
        <v>0.5</v>
      </c>
      <c r="F30" s="29">
        <v>0.8666666666666667</v>
      </c>
      <c r="G30" s="30">
        <v>6.25E-2</v>
      </c>
      <c r="H30" s="28">
        <v>4.1666666666666666E-3</v>
      </c>
      <c r="I30" s="31" t="s">
        <v>251</v>
      </c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70"/>
      <c r="C31" s="33">
        <v>45469.416666666664</v>
      </c>
      <c r="D31" s="33">
        <v>45469.916666666664</v>
      </c>
      <c r="E31" s="30">
        <v>0.5</v>
      </c>
      <c r="F31" s="29">
        <v>0.98888888888888893</v>
      </c>
      <c r="G31" s="30">
        <v>0</v>
      </c>
      <c r="H31" s="28">
        <v>5.5555555555555558E-3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70"/>
      <c r="C32" s="33">
        <v>45469.916666666664</v>
      </c>
      <c r="D32" s="33">
        <v>45470.416666666664</v>
      </c>
      <c r="E32" s="30">
        <v>0.5</v>
      </c>
      <c r="F32" s="29">
        <v>0.99027777777777781</v>
      </c>
      <c r="G32" s="30">
        <v>0</v>
      </c>
      <c r="H32" s="28">
        <v>4.8611111111111112E-3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70"/>
      <c r="C33" s="33">
        <v>45470.416666666664</v>
      </c>
      <c r="D33" s="33">
        <v>45470.916666666664</v>
      </c>
      <c r="E33" s="30">
        <v>0.5</v>
      </c>
      <c r="F33" s="29">
        <v>0.92500000000000004</v>
      </c>
      <c r="G33" s="30">
        <v>3.2638888888888891E-2</v>
      </c>
      <c r="H33" s="28">
        <v>4.8611111111111112E-3</v>
      </c>
      <c r="I33" s="31" t="s">
        <v>281</v>
      </c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70"/>
      <c r="C34" s="33">
        <v>45470.916666666664</v>
      </c>
      <c r="D34" s="33">
        <v>45471.416666666664</v>
      </c>
      <c r="E34" s="30">
        <v>0.5</v>
      </c>
      <c r="F34" s="29">
        <v>0.99027777777777781</v>
      </c>
      <c r="G34" s="30">
        <v>0</v>
      </c>
      <c r="H34" s="28">
        <v>4.8611111111111112E-3</v>
      </c>
      <c r="I34" s="31"/>
      <c r="J34" s="207"/>
      <c r="K34" s="207"/>
      <c r="L34" s="207"/>
      <c r="M34" s="207"/>
      <c r="N34" s="32"/>
    </row>
    <row r="35" spans="2:21" ht="13.5" thickBot="1" x14ac:dyDescent="0.25">
      <c r="B35" s="370"/>
      <c r="C35" s="361" t="s">
        <v>105</v>
      </c>
      <c r="D35" s="361"/>
      <c r="E35" s="50">
        <v>2.5</v>
      </c>
      <c r="F35" s="51">
        <v>0.95222222222222219</v>
      </c>
      <c r="G35" s="50">
        <v>9.5138888888888884E-2</v>
      </c>
      <c r="H35" s="50">
        <v>2.4305555555555556E-2</v>
      </c>
      <c r="I35" s="362" t="s">
        <v>280</v>
      </c>
      <c r="J35" s="362"/>
      <c r="K35" s="362"/>
      <c r="L35" s="362"/>
      <c r="M35" s="362"/>
      <c r="N35" s="362"/>
    </row>
    <row r="36" spans="2:21" ht="13.5" thickBot="1" x14ac:dyDescent="0.25">
      <c r="D36" s="23"/>
      <c r="E36" s="52">
        <v>8</v>
      </c>
      <c r="F36" s="53"/>
      <c r="G36" s="52">
        <v>0.1</v>
      </c>
      <c r="H36" s="52">
        <v>9.0277777777777762E-2</v>
      </c>
      <c r="I36" s="4"/>
      <c r="J36" s="4"/>
      <c r="K36" s="4"/>
      <c r="L36" s="4"/>
      <c r="M36" s="4"/>
      <c r="N36" s="4"/>
    </row>
    <row r="37" spans="2:21" x14ac:dyDescent="0.2">
      <c r="B37" s="24"/>
      <c r="C37" s="24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4" t="s">
        <v>231</v>
      </c>
      <c r="C38" s="22"/>
      <c r="D38"/>
      <c r="H38" s="16"/>
      <c r="J38"/>
      <c r="K38"/>
      <c r="L38"/>
      <c r="M38"/>
    </row>
    <row r="39" spans="2:21" x14ac:dyDescent="0.2">
      <c r="B39" s="24"/>
      <c r="C39" s="22"/>
      <c r="D39"/>
      <c r="H39" s="16"/>
      <c r="J39"/>
      <c r="K39"/>
      <c r="L39"/>
      <c r="M39"/>
    </row>
    <row r="40" spans="2:21" x14ac:dyDescent="0.2">
      <c r="B40" s="24" t="s">
        <v>232</v>
      </c>
      <c r="C40" s="22"/>
      <c r="D40"/>
      <c r="H40" s="16"/>
      <c r="J40"/>
      <c r="K40"/>
      <c r="L40"/>
      <c r="M40"/>
    </row>
    <row r="41" spans="2:21" x14ac:dyDescent="0.2">
      <c r="B41" s="353" t="s">
        <v>55</v>
      </c>
      <c r="C41" s="36" t="s">
        <v>34</v>
      </c>
      <c r="D41" s="34" t="s">
        <v>233</v>
      </c>
      <c r="E41" s="34" t="s">
        <v>198</v>
      </c>
      <c r="F41" s="203" t="s">
        <v>234</v>
      </c>
      <c r="G41" s="355" t="s">
        <v>222</v>
      </c>
      <c r="H41" s="355"/>
      <c r="I41" s="4"/>
      <c r="J41"/>
      <c r="K41" s="201"/>
      <c r="L41"/>
      <c r="M41"/>
    </row>
    <row r="42" spans="2:21" x14ac:dyDescent="0.2">
      <c r="B42" s="354"/>
      <c r="C42" s="37" t="s">
        <v>235</v>
      </c>
      <c r="D42" s="35" t="s">
        <v>236</v>
      </c>
      <c r="E42" s="56" t="s">
        <v>237</v>
      </c>
      <c r="F42" s="204" t="s">
        <v>238</v>
      </c>
      <c r="G42" s="355"/>
      <c r="H42" s="355"/>
      <c r="I42" s="16"/>
      <c r="K42" s="201"/>
      <c r="L42"/>
      <c r="M42"/>
    </row>
    <row r="43" spans="2:21" x14ac:dyDescent="0.2">
      <c r="B43" s="325" t="s">
        <v>282</v>
      </c>
      <c r="C43" s="54">
        <v>6</v>
      </c>
      <c r="D43" s="61">
        <v>30</v>
      </c>
      <c r="E43" s="60">
        <v>4.05</v>
      </c>
      <c r="F43" s="221">
        <v>410</v>
      </c>
      <c r="G43" s="356" t="s">
        <v>279</v>
      </c>
      <c r="H43" s="356"/>
      <c r="J43"/>
      <c r="K43" s="201"/>
      <c r="L43"/>
      <c r="M43"/>
    </row>
    <row r="44" spans="2:21" x14ac:dyDescent="0.2">
      <c r="B44" s="357"/>
      <c r="C44" s="281">
        <v>7.98</v>
      </c>
      <c r="D44" s="282">
        <v>30</v>
      </c>
      <c r="E44" s="283" t="s">
        <v>283</v>
      </c>
      <c r="F44" s="282">
        <v>340320</v>
      </c>
      <c r="G44" s="360" t="s">
        <v>280</v>
      </c>
      <c r="H44" s="360"/>
      <c r="J44"/>
      <c r="K44" s="201"/>
      <c r="L44"/>
      <c r="M44"/>
    </row>
    <row r="45" spans="2:21" x14ac:dyDescent="0.2">
      <c r="B45" s="40"/>
      <c r="C45" s="40"/>
      <c r="D45" s="41"/>
      <c r="E45" s="42"/>
      <c r="F45" s="42"/>
      <c r="G45" s="222"/>
    </row>
  </sheetData>
  <mergeCells count="27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41:B42"/>
    <mergeCell ref="G41:H42"/>
    <mergeCell ref="B43:B44"/>
    <mergeCell ref="G43:H43"/>
    <mergeCell ref="G44:H44"/>
    <mergeCell ref="B18:B35"/>
    <mergeCell ref="C29:D29"/>
    <mergeCell ref="I29:N29"/>
    <mergeCell ref="C35:D35"/>
    <mergeCell ref="I35:N35"/>
  </mergeCells>
  <phoneticPr fontId="1"/>
  <conditionalFormatting sqref="C36:L36 C18:E28 G18:L28 N18:N28 N30:N34 G30:L34 C30:E34 N36">
    <cfRule type="expression" dxfId="38" priority="10">
      <formula>SECOND(C18)&gt;0</formula>
    </cfRule>
  </conditionalFormatting>
  <conditionalFormatting sqref="M36">
    <cfRule type="expression" dxfId="37" priority="8">
      <formula>SECOND(M36)&gt;0</formula>
    </cfRule>
  </conditionalFormatting>
  <conditionalFormatting sqref="M18:M28 M30:M34">
    <cfRule type="expression" dxfId="36" priority="7">
      <formula>SECOND(M18)&gt;0</formula>
    </cfRule>
  </conditionalFormatting>
  <conditionalFormatting sqref="B18 B36">
    <cfRule type="expression" dxfId="35" priority="6">
      <formula>SECOND(B18)&gt;0</formula>
    </cfRule>
  </conditionalFormatting>
  <conditionalFormatting sqref="C29:E29 G29:H29">
    <cfRule type="expression" dxfId="34" priority="4">
      <formula>SECOND(C29)&gt;0</formula>
    </cfRule>
  </conditionalFormatting>
  <conditionalFormatting sqref="B29">
    <cfRule type="expression" dxfId="33" priority="3">
      <formula>SECOND(B29)&gt;0</formula>
    </cfRule>
  </conditionalFormatting>
  <conditionalFormatting sqref="C35:E35 G35:H35">
    <cfRule type="expression" dxfId="32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5" max="9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B48E-BEAA-4C32-8963-72E9E16481C9}">
  <sheetPr codeName="Sheet20">
    <pageSetUpPr fitToPage="1"/>
  </sheetPr>
  <dimension ref="B1:U47"/>
  <sheetViews>
    <sheetView showWhiteSpace="0" view="pageBreakPreview" zoomScaleNormal="100" zoomScaleSheetLayoutView="100" workbookViewId="0">
      <selection activeCell="G14" sqref="G14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269</v>
      </c>
      <c r="C8" s="342" t="s">
        <v>274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5</v>
      </c>
      <c r="J8" s="86">
        <v>5.2777777777777778E-2</v>
      </c>
      <c r="K8" s="86">
        <v>9</v>
      </c>
      <c r="L8" s="86">
        <v>0.2673611111111111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2" t="s">
        <v>269</v>
      </c>
      <c r="C18" s="33">
        <v>45448.416666666664</v>
      </c>
      <c r="D18" s="33">
        <v>45448.916666666664</v>
      </c>
      <c r="E18" s="30">
        <v>0.5</v>
      </c>
      <c r="F18" s="29">
        <v>0.98888888888888893</v>
      </c>
      <c r="G18" s="30">
        <v>0</v>
      </c>
      <c r="H18" s="28">
        <v>5.5555555555555558E-3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2"/>
      <c r="C19" s="33">
        <v>45449.416666666664</v>
      </c>
      <c r="D19" s="33">
        <v>45449.916666666664</v>
      </c>
      <c r="E19" s="30">
        <v>0.5</v>
      </c>
      <c r="F19" s="29">
        <v>0.91805555555555551</v>
      </c>
      <c r="G19" s="30">
        <v>0</v>
      </c>
      <c r="H19" s="28">
        <v>4.0972222222222222E-2</v>
      </c>
      <c r="I19" s="31" t="s">
        <v>82</v>
      </c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2"/>
      <c r="C20" s="33">
        <v>45449.916666666664</v>
      </c>
      <c r="D20" s="33">
        <v>45450.416666666664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2"/>
      <c r="C21" s="33">
        <v>45450.416666666664</v>
      </c>
      <c r="D21" s="33">
        <v>45450.916666666664</v>
      </c>
      <c r="E21" s="30">
        <v>0.5</v>
      </c>
      <c r="F21" s="29">
        <v>0.9916666666666667</v>
      </c>
      <c r="G21" s="30">
        <v>0</v>
      </c>
      <c r="H21" s="28">
        <v>4.1666666666666666E-3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2"/>
      <c r="C22" s="33">
        <v>45450.916666666664</v>
      </c>
      <c r="D22" s="33">
        <v>45451.416666666664</v>
      </c>
      <c r="E22" s="30">
        <v>0.5</v>
      </c>
      <c r="F22" s="29">
        <v>0.98611111111111116</v>
      </c>
      <c r="G22" s="30">
        <v>0</v>
      </c>
      <c r="H22" s="28">
        <v>6.9444444444444449E-3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2"/>
      <c r="C23" s="33">
        <v>45451.416666666664</v>
      </c>
      <c r="D23" s="33">
        <v>45451.916666666664</v>
      </c>
      <c r="E23" s="30">
        <v>0.5</v>
      </c>
      <c r="F23" s="29">
        <v>0.9916666666666667</v>
      </c>
      <c r="G23" s="30">
        <v>0</v>
      </c>
      <c r="H23" s="28">
        <v>4.1666666666666666E-3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72"/>
      <c r="C24" s="33">
        <v>45451.916666666664</v>
      </c>
      <c r="D24" s="33">
        <v>45452.416666666664</v>
      </c>
      <c r="E24" s="30">
        <v>0.5</v>
      </c>
      <c r="F24" s="29">
        <v>0.98611111111111116</v>
      </c>
      <c r="G24" s="30">
        <v>0</v>
      </c>
      <c r="H24" s="28">
        <v>6.9444444444444449E-3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2"/>
      <c r="C25" s="33">
        <v>45452.416666666664</v>
      </c>
      <c r="D25" s="33">
        <v>45452.916666666664</v>
      </c>
      <c r="E25" s="30">
        <v>0.5</v>
      </c>
      <c r="F25" s="29">
        <v>0.99305555555555558</v>
      </c>
      <c r="G25" s="30">
        <v>0</v>
      </c>
      <c r="H25" s="28">
        <v>3.4722222222222225E-3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2"/>
      <c r="C26" s="33">
        <v>45452.916666666664</v>
      </c>
      <c r="D26" s="33">
        <v>45453.416666666664</v>
      </c>
      <c r="E26" s="30">
        <v>0.5</v>
      </c>
      <c r="F26" s="29">
        <v>0.9916666666666667</v>
      </c>
      <c r="G26" s="30">
        <v>0</v>
      </c>
      <c r="H26" s="28">
        <v>4.1666666666666666E-3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2"/>
      <c r="C27" s="361" t="s">
        <v>105</v>
      </c>
      <c r="D27" s="361"/>
      <c r="E27" s="50">
        <f>SUM(E18:E26)</f>
        <v>4.5</v>
      </c>
      <c r="F27" s="51">
        <f>AVERAGE(F18:F26)</f>
        <v>0.98209876543209873</v>
      </c>
      <c r="G27" s="50">
        <v>0</v>
      </c>
      <c r="H27" s="50">
        <f>SUM(H18:H26)</f>
        <v>8.0555555555555561E-2</v>
      </c>
      <c r="I27" s="362" t="s">
        <v>277</v>
      </c>
      <c r="J27" s="362"/>
      <c r="K27" s="362"/>
      <c r="L27" s="362"/>
      <c r="M27" s="362"/>
      <c r="N27" s="362"/>
    </row>
    <row r="28" spans="2:21" x14ac:dyDescent="0.2">
      <c r="B28" s="372"/>
      <c r="C28" s="33">
        <v>45455.916666666664</v>
      </c>
      <c r="D28" s="33">
        <v>45456.416666666664</v>
      </c>
      <c r="E28" s="30">
        <v>0.5</v>
      </c>
      <c r="F28" s="29">
        <v>0.98888888888888893</v>
      </c>
      <c r="G28" s="30">
        <v>0</v>
      </c>
      <c r="H28" s="28">
        <v>5.5555555555555558E-3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72"/>
      <c r="C29" s="33">
        <v>45456.416666666664</v>
      </c>
      <c r="D29" s="33">
        <v>45456.916666666664</v>
      </c>
      <c r="E29" s="30">
        <v>0.5</v>
      </c>
      <c r="F29" s="29">
        <v>0.98472222222222228</v>
      </c>
      <c r="G29" s="30">
        <v>0</v>
      </c>
      <c r="H29" s="28">
        <v>7.6388888888888895E-3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72"/>
      <c r="C30" s="33">
        <v>45456.916666666664</v>
      </c>
      <c r="D30" s="33">
        <v>45457.416666666664</v>
      </c>
      <c r="E30" s="30">
        <v>0.5</v>
      </c>
      <c r="F30" s="29">
        <v>0.98333333333333339</v>
      </c>
      <c r="G30" s="30">
        <v>4.8611111111111112E-3</v>
      </c>
      <c r="H30" s="28">
        <v>3.4722222222222225E-3</v>
      </c>
      <c r="I30" s="31" t="s">
        <v>270</v>
      </c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72"/>
      <c r="C31" s="33">
        <v>45457.416666666664</v>
      </c>
      <c r="D31" s="33">
        <v>45457.916666666664</v>
      </c>
      <c r="E31" s="30">
        <v>0.5</v>
      </c>
      <c r="F31" s="29">
        <v>0.91388888888888886</v>
      </c>
      <c r="G31" s="30">
        <v>4.027777777777778E-2</v>
      </c>
      <c r="H31" s="28">
        <v>2.7777777777777779E-3</v>
      </c>
      <c r="I31" s="31" t="s">
        <v>270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72"/>
      <c r="C32" s="33">
        <v>45457.916666666664</v>
      </c>
      <c r="D32" s="33">
        <v>45458.416666666664</v>
      </c>
      <c r="E32" s="30">
        <v>0.5</v>
      </c>
      <c r="F32" s="29">
        <v>0.99305555555555558</v>
      </c>
      <c r="G32" s="30">
        <v>0</v>
      </c>
      <c r="H32" s="28">
        <v>3.4722222222222225E-3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72"/>
      <c r="C33" s="33">
        <v>45458.416666666664</v>
      </c>
      <c r="D33" s="33">
        <v>45458.916666666664</v>
      </c>
      <c r="E33" s="30">
        <v>0.5</v>
      </c>
      <c r="F33" s="29">
        <v>0.99444444444444446</v>
      </c>
      <c r="G33" s="30">
        <v>0</v>
      </c>
      <c r="H33" s="28">
        <v>2.7777777777777779E-3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72"/>
      <c r="C34" s="33">
        <v>45458.916666666664</v>
      </c>
      <c r="D34" s="33">
        <v>45459.416666666664</v>
      </c>
      <c r="E34" s="30">
        <v>0.5</v>
      </c>
      <c r="F34" s="29">
        <v>0.98750000000000004</v>
      </c>
      <c r="G34" s="30">
        <v>0</v>
      </c>
      <c r="H34" s="28">
        <v>6.2500000000000003E-3</v>
      </c>
      <c r="I34" s="31"/>
      <c r="J34" s="207"/>
      <c r="K34" s="207"/>
      <c r="L34" s="207"/>
      <c r="M34" s="207"/>
      <c r="N34" s="32"/>
    </row>
    <row r="35" spans="2:21" x14ac:dyDescent="0.2">
      <c r="B35" s="372"/>
      <c r="C35" s="33">
        <v>45459.416666666664</v>
      </c>
      <c r="D35" s="33">
        <v>45459.916666666664</v>
      </c>
      <c r="E35" s="30">
        <v>0.5</v>
      </c>
      <c r="F35" s="29">
        <v>0.78611111111111109</v>
      </c>
      <c r="G35" s="30">
        <v>0.10347222222222223</v>
      </c>
      <c r="H35" s="28">
        <v>3.4722222222222225E-3</v>
      </c>
      <c r="I35" s="31" t="s">
        <v>82</v>
      </c>
      <c r="J35" s="207"/>
      <c r="K35" s="207"/>
      <c r="L35" s="207"/>
      <c r="M35" s="207"/>
      <c r="N35" s="32"/>
    </row>
    <row r="36" spans="2:21" x14ac:dyDescent="0.2">
      <c r="B36" s="372"/>
      <c r="C36" s="33">
        <v>45459.916666666664</v>
      </c>
      <c r="D36" s="33">
        <v>45460.416666666664</v>
      </c>
      <c r="E36" s="30">
        <v>0.5</v>
      </c>
      <c r="F36" s="29">
        <v>0.99444444444444446</v>
      </c>
      <c r="G36" s="30">
        <v>0</v>
      </c>
      <c r="H36" s="28">
        <v>2.7777777777777779E-3</v>
      </c>
      <c r="I36" s="31"/>
      <c r="J36" s="207"/>
      <c r="K36" s="207"/>
      <c r="L36" s="207"/>
      <c r="M36" s="207"/>
      <c r="N36" s="32"/>
    </row>
    <row r="37" spans="2:21" ht="13.5" thickBot="1" x14ac:dyDescent="0.25">
      <c r="B37" s="372"/>
      <c r="C37" s="361" t="s">
        <v>105</v>
      </c>
      <c r="D37" s="361"/>
      <c r="E37" s="50">
        <v>4.5</v>
      </c>
      <c r="F37" s="51">
        <v>0.95848765432098781</v>
      </c>
      <c r="G37" s="50">
        <v>0.14861111111111114</v>
      </c>
      <c r="H37" s="50">
        <v>3.8194444444444448E-2</v>
      </c>
      <c r="I37" s="362" t="s">
        <v>267</v>
      </c>
      <c r="J37" s="362"/>
      <c r="K37" s="362"/>
      <c r="L37" s="362"/>
      <c r="M37" s="362"/>
      <c r="N37" s="362"/>
    </row>
    <row r="38" spans="2:21" ht="13.5" thickBot="1" x14ac:dyDescent="0.25">
      <c r="D38" s="23"/>
      <c r="E38" s="52">
        <v>9</v>
      </c>
      <c r="F38" s="53"/>
      <c r="G38" s="52">
        <v>0.14861111111111114</v>
      </c>
      <c r="H38" s="52">
        <v>0.11875000000000002</v>
      </c>
      <c r="I38" s="4"/>
      <c r="J38" s="4"/>
      <c r="K38" s="4"/>
      <c r="L38" s="4"/>
      <c r="M38" s="4"/>
      <c r="N38" s="4"/>
    </row>
    <row r="39" spans="2:21" x14ac:dyDescent="0.2">
      <c r="B39" s="24"/>
      <c r="C39" s="24"/>
      <c r="E39" s="10"/>
      <c r="F39" s="11"/>
      <c r="G39" s="9"/>
      <c r="H39" s="11"/>
      <c r="I39" s="6"/>
      <c r="J39"/>
      <c r="K39"/>
      <c r="L39"/>
      <c r="M39"/>
    </row>
    <row r="40" spans="2:21" x14ac:dyDescent="0.2">
      <c r="B40" s="24" t="s">
        <v>231</v>
      </c>
      <c r="C40" s="22"/>
      <c r="D40"/>
      <c r="H40" s="16"/>
      <c r="J40"/>
      <c r="K40"/>
      <c r="L40"/>
      <c r="M40"/>
    </row>
    <row r="41" spans="2:21" x14ac:dyDescent="0.2">
      <c r="B41" s="24"/>
      <c r="C41" s="22"/>
      <c r="D41"/>
      <c r="H41" s="16"/>
      <c r="J41"/>
      <c r="K41"/>
      <c r="L41"/>
      <c r="M41"/>
    </row>
    <row r="42" spans="2:21" x14ac:dyDescent="0.2">
      <c r="B42" s="24" t="s">
        <v>232</v>
      </c>
      <c r="C42" s="22"/>
      <c r="D42"/>
      <c r="H42" s="16"/>
      <c r="J42"/>
      <c r="K42"/>
      <c r="L42"/>
      <c r="M42"/>
    </row>
    <row r="43" spans="2:21" x14ac:dyDescent="0.2">
      <c r="B43" s="353" t="s">
        <v>55</v>
      </c>
      <c r="C43" s="36" t="s">
        <v>34</v>
      </c>
      <c r="D43" s="34" t="s">
        <v>233</v>
      </c>
      <c r="E43" s="34" t="s">
        <v>198</v>
      </c>
      <c r="F43" s="203" t="s">
        <v>234</v>
      </c>
      <c r="G43" s="355" t="s">
        <v>222</v>
      </c>
      <c r="H43" s="355"/>
      <c r="I43" s="4"/>
      <c r="J43"/>
      <c r="K43" s="201"/>
      <c r="L43"/>
      <c r="M43"/>
    </row>
    <row r="44" spans="2:21" x14ac:dyDescent="0.2">
      <c r="B44" s="354"/>
      <c r="C44" s="37" t="s">
        <v>235</v>
      </c>
      <c r="D44" s="35" t="s">
        <v>236</v>
      </c>
      <c r="E44" s="56" t="s">
        <v>237</v>
      </c>
      <c r="F44" s="204" t="s">
        <v>238</v>
      </c>
      <c r="G44" s="355"/>
      <c r="H44" s="355"/>
      <c r="I44" s="16"/>
      <c r="K44" s="201"/>
      <c r="L44"/>
      <c r="M44"/>
    </row>
    <row r="45" spans="2:21" x14ac:dyDescent="0.2">
      <c r="B45" s="325" t="s">
        <v>269</v>
      </c>
      <c r="C45" s="54">
        <v>7.976</v>
      </c>
      <c r="D45" s="61">
        <v>30</v>
      </c>
      <c r="E45" s="60" t="s">
        <v>275</v>
      </c>
      <c r="F45" s="221">
        <v>400</v>
      </c>
      <c r="G45" s="367" t="s">
        <v>266</v>
      </c>
      <c r="H45" s="369"/>
      <c r="J45"/>
      <c r="K45" s="201"/>
      <c r="L45"/>
      <c r="M45"/>
    </row>
    <row r="46" spans="2:21" x14ac:dyDescent="0.2">
      <c r="B46" s="370"/>
      <c r="C46" s="278">
        <v>7.976</v>
      </c>
      <c r="D46" s="279">
        <v>30</v>
      </c>
      <c r="E46" s="280" t="s">
        <v>276</v>
      </c>
      <c r="F46" s="279">
        <v>360</v>
      </c>
      <c r="G46" s="371" t="s">
        <v>267</v>
      </c>
      <c r="H46" s="371"/>
      <c r="J46"/>
      <c r="K46" s="201"/>
      <c r="L46"/>
      <c r="M46"/>
    </row>
    <row r="47" spans="2:21" x14ac:dyDescent="0.2">
      <c r="B47" s="40"/>
      <c r="C47" s="40"/>
      <c r="D47" s="41"/>
      <c r="E47" s="42"/>
      <c r="F47" s="42"/>
      <c r="G47" s="222"/>
    </row>
  </sheetData>
  <mergeCells count="27">
    <mergeCell ref="C17:E17"/>
    <mergeCell ref="I17:N17"/>
    <mergeCell ref="B43:B44"/>
    <mergeCell ref="G43:H44"/>
    <mergeCell ref="B45:B46"/>
    <mergeCell ref="G45:H45"/>
    <mergeCell ref="G46:H46"/>
    <mergeCell ref="B18:B37"/>
    <mergeCell ref="C27:D27"/>
    <mergeCell ref="I27:N27"/>
    <mergeCell ref="C37:D37"/>
    <mergeCell ref="I37:N37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8:L38 N18:N26 G18:L26 C18:E26 C28:E36 G28:L36 N28:N36 N38">
    <cfRule type="expression" dxfId="31" priority="12">
      <formula>SECOND(C18)&gt;0</formula>
    </cfRule>
  </conditionalFormatting>
  <conditionalFormatting sqref="M38">
    <cfRule type="expression" dxfId="30" priority="10">
      <formula>SECOND(M38)&gt;0</formula>
    </cfRule>
  </conditionalFormatting>
  <conditionalFormatting sqref="M18:M26 M28:M36">
    <cfRule type="expression" dxfId="29" priority="9">
      <formula>SECOND(M18)&gt;0</formula>
    </cfRule>
  </conditionalFormatting>
  <conditionalFormatting sqref="B18 B38">
    <cfRule type="expression" dxfId="28" priority="8">
      <formula>SECOND(B18)&gt;0</formula>
    </cfRule>
  </conditionalFormatting>
  <conditionalFormatting sqref="C27:E27 G27:H27">
    <cfRule type="expression" dxfId="27" priority="4">
      <formula>SECOND(C27)&gt;0</formula>
    </cfRule>
  </conditionalFormatting>
  <conditionalFormatting sqref="B27">
    <cfRule type="expression" dxfId="26" priority="3">
      <formula>SECOND(B27)&gt;0</formula>
    </cfRule>
  </conditionalFormatting>
  <conditionalFormatting sqref="C37:E37 G37:H37">
    <cfRule type="expression" dxfId="25" priority="2">
      <formula>SECOND(C37)&gt;0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7" max="9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CC7B7-62C6-4F4C-8191-79697C7B4435}">
  <sheetPr codeName="Sheet19">
    <pageSetUpPr fitToPage="1"/>
  </sheetPr>
  <dimension ref="B1:U44"/>
  <sheetViews>
    <sheetView showWhiteSpace="0" view="pageBreakPreview" zoomScaleNormal="100" zoomScaleSheetLayoutView="100" workbookViewId="0">
      <selection activeCell="I37" sqref="I37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257</v>
      </c>
      <c r="C8" s="342" t="s">
        <v>265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8.5</v>
      </c>
      <c r="J8" s="86">
        <v>7.2222222222222229E-2</v>
      </c>
      <c r="K8" s="86">
        <v>5.5</v>
      </c>
      <c r="L8" s="86">
        <v>7.7083333333333337E-2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4" t="s">
        <v>257</v>
      </c>
      <c r="C18" s="33">
        <v>45433.916666666664</v>
      </c>
      <c r="D18" s="33">
        <v>45434.416666666664</v>
      </c>
      <c r="E18" s="30">
        <v>0.5</v>
      </c>
      <c r="F18" s="29">
        <v>0.99027777777777781</v>
      </c>
      <c r="G18" s="30">
        <v>0</v>
      </c>
      <c r="H18" s="28">
        <v>4.8611111111111112E-3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4"/>
      <c r="C19" s="33">
        <v>45434.416666666664</v>
      </c>
      <c r="D19" s="33">
        <v>45434.916666666664</v>
      </c>
      <c r="E19" s="30">
        <v>0.5</v>
      </c>
      <c r="F19" s="29">
        <v>0.98750000000000004</v>
      </c>
      <c r="G19" s="30">
        <v>0</v>
      </c>
      <c r="H19" s="28">
        <v>6.2500000000000003E-3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4"/>
      <c r="C20" s="33">
        <v>45434.916666666664</v>
      </c>
      <c r="D20" s="33">
        <v>45435.416666666664</v>
      </c>
      <c r="E20" s="30">
        <v>0.5</v>
      </c>
      <c r="F20" s="29">
        <v>0.98750000000000004</v>
      </c>
      <c r="G20" s="30">
        <v>0</v>
      </c>
      <c r="H20" s="28">
        <v>6.2500000000000003E-3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4"/>
      <c r="C21" s="361" t="s">
        <v>105</v>
      </c>
      <c r="D21" s="361"/>
      <c r="E21" s="50">
        <v>1.5</v>
      </c>
      <c r="F21" s="51">
        <v>0.98842592592592593</v>
      </c>
      <c r="G21" s="50">
        <v>0</v>
      </c>
      <c r="H21" s="50">
        <v>1.7361111111111112E-2</v>
      </c>
      <c r="I21" s="362" t="s">
        <v>259</v>
      </c>
      <c r="J21" s="362"/>
      <c r="K21" s="362"/>
      <c r="L21" s="362"/>
      <c r="M21" s="362"/>
      <c r="N21" s="362"/>
    </row>
    <row r="22" spans="2:21" x14ac:dyDescent="0.2">
      <c r="B22" s="374"/>
      <c r="C22" s="33">
        <v>45435.416666666664</v>
      </c>
      <c r="D22" s="33">
        <v>45435.916666666664</v>
      </c>
      <c r="E22" s="30">
        <v>0.5</v>
      </c>
      <c r="F22" s="29">
        <v>0.99444444444444446</v>
      </c>
      <c r="G22" s="30">
        <v>0</v>
      </c>
      <c r="H22" s="28">
        <v>2.7777777777777779E-3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4"/>
      <c r="C23" s="361" t="s">
        <v>105</v>
      </c>
      <c r="D23" s="361"/>
      <c r="E23" s="50">
        <v>0.5</v>
      </c>
      <c r="F23" s="51">
        <v>0.99444444444444446</v>
      </c>
      <c r="G23" s="50">
        <v>0</v>
      </c>
      <c r="H23" s="50">
        <v>2.7777777777777779E-3</v>
      </c>
      <c r="I23" s="362" t="s">
        <v>260</v>
      </c>
      <c r="J23" s="362"/>
      <c r="K23" s="362"/>
      <c r="L23" s="362"/>
      <c r="M23" s="362"/>
      <c r="N23" s="362"/>
    </row>
    <row r="24" spans="2:21" x14ac:dyDescent="0.2">
      <c r="B24" s="374"/>
      <c r="C24" s="33">
        <v>45436.916666666664</v>
      </c>
      <c r="D24" s="33">
        <v>45437.416666666664</v>
      </c>
      <c r="E24" s="30">
        <v>0.5</v>
      </c>
      <c r="F24" s="29">
        <v>0.99583333333333335</v>
      </c>
      <c r="G24" s="30">
        <v>0</v>
      </c>
      <c r="H24" s="28">
        <v>2.0833333333333333E-3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4"/>
      <c r="C25" s="33">
        <v>45437.416666666664</v>
      </c>
      <c r="D25" s="33">
        <v>45437.916666666664</v>
      </c>
      <c r="E25" s="30">
        <v>0.5</v>
      </c>
      <c r="F25" s="29">
        <v>0.96111111111111114</v>
      </c>
      <c r="G25" s="30">
        <v>0</v>
      </c>
      <c r="H25" s="28">
        <v>1.9444444444444445E-2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4"/>
      <c r="C26" s="33">
        <v>45437.916666666664</v>
      </c>
      <c r="D26" s="33">
        <v>45438.416666666664</v>
      </c>
      <c r="E26" s="30">
        <v>0.5</v>
      </c>
      <c r="F26" s="29">
        <v>0.97083333333333333</v>
      </c>
      <c r="G26" s="30">
        <v>0</v>
      </c>
      <c r="H26" s="28">
        <v>1.4583333333333334E-2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4"/>
      <c r="C27" s="361" t="s">
        <v>105</v>
      </c>
      <c r="D27" s="361"/>
      <c r="E27" s="50">
        <v>1.5</v>
      </c>
      <c r="F27" s="51">
        <v>0.97592592592592586</v>
      </c>
      <c r="G27" s="50">
        <v>0</v>
      </c>
      <c r="H27" s="50">
        <v>3.6111111111111108E-2</v>
      </c>
      <c r="I27" s="362" t="s">
        <v>261</v>
      </c>
      <c r="J27" s="362"/>
      <c r="K27" s="362"/>
      <c r="L27" s="362"/>
      <c r="M27" s="362"/>
      <c r="N27" s="362"/>
    </row>
    <row r="28" spans="2:21" x14ac:dyDescent="0.2">
      <c r="B28" s="374"/>
      <c r="C28" s="33">
        <v>45443.916666666664</v>
      </c>
      <c r="D28" s="33">
        <v>45444.416666666664</v>
      </c>
      <c r="E28" s="30">
        <v>0.5</v>
      </c>
      <c r="F28" s="29">
        <v>0.98611111111111116</v>
      </c>
      <c r="G28" s="30">
        <v>0</v>
      </c>
      <c r="H28" s="28">
        <v>6.9444444444444449E-3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74"/>
      <c r="C29" s="33">
        <v>45444.416666666664</v>
      </c>
      <c r="D29" s="33">
        <v>45444.916666666664</v>
      </c>
      <c r="E29" s="30">
        <v>0.5</v>
      </c>
      <c r="F29" s="29">
        <v>0.99305555555555558</v>
      </c>
      <c r="G29" s="30">
        <v>0</v>
      </c>
      <c r="H29" s="28">
        <v>3.4722222222222225E-3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74"/>
      <c r="C30" s="33">
        <v>45444.916666666664</v>
      </c>
      <c r="D30" s="33">
        <v>45445.416666666664</v>
      </c>
      <c r="E30" s="30">
        <v>0.5</v>
      </c>
      <c r="F30" s="29">
        <v>0.98750000000000004</v>
      </c>
      <c r="G30" s="30">
        <v>0</v>
      </c>
      <c r="H30" s="28">
        <v>6.2500000000000003E-3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74"/>
      <c r="C31" s="33">
        <v>45445.416666666664</v>
      </c>
      <c r="D31" s="33">
        <v>45445.916666666664</v>
      </c>
      <c r="E31" s="30">
        <v>0.5</v>
      </c>
      <c r="F31" s="29">
        <v>0.9916666666666667</v>
      </c>
      <c r="G31" s="30">
        <v>0</v>
      </c>
      <c r="H31" s="28">
        <v>4.1666666666666666E-3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ht="13.5" thickBot="1" x14ac:dyDescent="0.25">
      <c r="B32" s="374"/>
      <c r="C32" s="361" t="s">
        <v>105</v>
      </c>
      <c r="D32" s="361"/>
      <c r="E32" s="50">
        <v>2</v>
      </c>
      <c r="F32" s="51">
        <v>0.98958333333333337</v>
      </c>
      <c r="G32" s="50">
        <v>0</v>
      </c>
      <c r="H32" s="50">
        <v>2.0833333333333336E-2</v>
      </c>
      <c r="I32" s="362" t="s">
        <v>262</v>
      </c>
      <c r="J32" s="362"/>
      <c r="K32" s="362"/>
      <c r="L32" s="362"/>
      <c r="M32" s="362"/>
      <c r="N32" s="362"/>
    </row>
    <row r="33" spans="2:14" ht="13.5" thickBot="1" x14ac:dyDescent="0.25">
      <c r="D33" s="23"/>
      <c r="E33" s="52">
        <v>5.5</v>
      </c>
      <c r="F33" s="53"/>
      <c r="G33" s="52">
        <v>0</v>
      </c>
      <c r="H33" s="52">
        <v>7.7083333333333351E-2</v>
      </c>
      <c r="I33" s="4"/>
      <c r="J33" s="4"/>
      <c r="K33" s="4"/>
      <c r="L33" s="4"/>
      <c r="M33" s="4"/>
      <c r="N33" s="4"/>
    </row>
    <row r="34" spans="2:14" x14ac:dyDescent="0.2">
      <c r="B34" s="24"/>
      <c r="C34" s="24"/>
      <c r="E34" s="10"/>
      <c r="F34" s="11"/>
      <c r="G34" s="9"/>
      <c r="H34" s="11"/>
      <c r="I34" s="6"/>
      <c r="J34"/>
      <c r="K34"/>
      <c r="L34"/>
      <c r="M34"/>
    </row>
    <row r="35" spans="2:14" x14ac:dyDescent="0.2">
      <c r="B35" s="24" t="s">
        <v>231</v>
      </c>
      <c r="C35" s="22"/>
      <c r="D35"/>
      <c r="H35" s="16"/>
      <c r="J35"/>
      <c r="K35"/>
      <c r="L35"/>
      <c r="M35"/>
    </row>
    <row r="36" spans="2:14" x14ac:dyDescent="0.2">
      <c r="B36" s="24"/>
      <c r="C36" s="22"/>
      <c r="D36"/>
      <c r="H36" s="16"/>
      <c r="J36"/>
      <c r="K36"/>
      <c r="L36"/>
      <c r="M36"/>
    </row>
    <row r="37" spans="2:14" x14ac:dyDescent="0.2">
      <c r="B37" s="24" t="s">
        <v>232</v>
      </c>
      <c r="C37" s="22"/>
      <c r="D37"/>
      <c r="H37" s="16"/>
      <c r="J37"/>
      <c r="K37"/>
      <c r="L37"/>
      <c r="M37"/>
    </row>
    <row r="38" spans="2:14" x14ac:dyDescent="0.2">
      <c r="B38" s="353" t="s">
        <v>55</v>
      </c>
      <c r="C38" s="36" t="s">
        <v>34</v>
      </c>
      <c r="D38" s="34" t="s">
        <v>233</v>
      </c>
      <c r="E38" s="34" t="s">
        <v>198</v>
      </c>
      <c r="F38" s="203" t="s">
        <v>234</v>
      </c>
      <c r="G38" s="355" t="s">
        <v>222</v>
      </c>
      <c r="H38" s="355"/>
      <c r="I38" s="4"/>
      <c r="J38"/>
      <c r="K38" s="201"/>
      <c r="L38"/>
      <c r="M38"/>
    </row>
    <row r="39" spans="2:14" x14ac:dyDescent="0.2">
      <c r="B39" s="354"/>
      <c r="C39" s="37" t="s">
        <v>235</v>
      </c>
      <c r="D39" s="35" t="s">
        <v>236</v>
      </c>
      <c r="E39" s="56" t="s">
        <v>237</v>
      </c>
      <c r="F39" s="204" t="s">
        <v>238</v>
      </c>
      <c r="G39" s="355"/>
      <c r="H39" s="355"/>
      <c r="I39" s="16"/>
      <c r="K39" s="201"/>
      <c r="L39"/>
      <c r="M39"/>
    </row>
    <row r="40" spans="2:14" x14ac:dyDescent="0.2">
      <c r="B40" s="325" t="s">
        <v>257</v>
      </c>
      <c r="C40" s="54">
        <v>7.976</v>
      </c>
      <c r="D40" s="61">
        <v>30</v>
      </c>
      <c r="E40" s="60">
        <v>10</v>
      </c>
      <c r="F40" s="221">
        <v>380</v>
      </c>
      <c r="G40" s="356" t="s">
        <v>259</v>
      </c>
      <c r="H40" s="356"/>
      <c r="J40"/>
      <c r="K40" s="201"/>
      <c r="L40"/>
      <c r="M40"/>
    </row>
    <row r="41" spans="2:14" x14ac:dyDescent="0.2">
      <c r="B41" s="326"/>
      <c r="C41" s="54">
        <v>7.976</v>
      </c>
      <c r="D41" s="61">
        <v>30</v>
      </c>
      <c r="E41" s="60">
        <v>10</v>
      </c>
      <c r="F41" s="221">
        <v>380</v>
      </c>
      <c r="G41" s="356" t="s">
        <v>260</v>
      </c>
      <c r="H41" s="356"/>
      <c r="J41"/>
      <c r="K41" s="201"/>
      <c r="L41"/>
      <c r="M41"/>
    </row>
    <row r="42" spans="2:14" x14ac:dyDescent="0.2">
      <c r="B42" s="326"/>
      <c r="C42" s="54">
        <v>7.976</v>
      </c>
      <c r="D42" s="61">
        <v>30</v>
      </c>
      <c r="E42" s="60">
        <v>10</v>
      </c>
      <c r="F42" s="221">
        <v>370</v>
      </c>
      <c r="G42" s="356" t="s">
        <v>261</v>
      </c>
      <c r="H42" s="356"/>
      <c r="J42"/>
      <c r="K42" s="201"/>
      <c r="L42"/>
      <c r="M42"/>
    </row>
    <row r="43" spans="2:14" x14ac:dyDescent="0.2">
      <c r="B43" s="372"/>
      <c r="C43" s="273">
        <v>7.976</v>
      </c>
      <c r="D43" s="274">
        <v>30</v>
      </c>
      <c r="E43" s="275" t="s">
        <v>263</v>
      </c>
      <c r="F43" s="274">
        <v>400250</v>
      </c>
      <c r="G43" s="373" t="s">
        <v>262</v>
      </c>
      <c r="H43" s="373"/>
      <c r="J43"/>
      <c r="K43" s="201"/>
      <c r="L43"/>
      <c r="M43"/>
    </row>
    <row r="44" spans="2:14" x14ac:dyDescent="0.2">
      <c r="B44" s="40"/>
      <c r="C44" s="40"/>
      <c r="D44" s="41"/>
      <c r="E44" s="42"/>
      <c r="F44" s="42"/>
      <c r="G44" s="222"/>
    </row>
  </sheetData>
  <mergeCells count="33">
    <mergeCell ref="C27:D27"/>
    <mergeCell ref="I27:N27"/>
    <mergeCell ref="C17:E17"/>
    <mergeCell ref="I17:N17"/>
    <mergeCell ref="B38:B39"/>
    <mergeCell ref="G38:H39"/>
    <mergeCell ref="C32:D32"/>
    <mergeCell ref="I32:N32"/>
    <mergeCell ref="B18:B32"/>
    <mergeCell ref="C21:D21"/>
    <mergeCell ref="I21:N21"/>
    <mergeCell ref="C23:D23"/>
    <mergeCell ref="I23:N23"/>
    <mergeCell ref="B40:B43"/>
    <mergeCell ref="G40:H40"/>
    <mergeCell ref="G41:H41"/>
    <mergeCell ref="G42:H42"/>
    <mergeCell ref="G43:H4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3:L33 C18:E20 G18:L20 N18:N20 N22 G22:L22 C22:E22 C24:E26 G24:L26 N24:N26 N28:N31 G28:L31 C28:E31 N33">
    <cfRule type="expression" dxfId="24" priority="14">
      <formula>SECOND(C18)&gt;0</formula>
    </cfRule>
  </conditionalFormatting>
  <conditionalFormatting sqref="M33">
    <cfRule type="expression" dxfId="23" priority="12">
      <formula>SECOND(M33)&gt;0</formula>
    </cfRule>
  </conditionalFormatting>
  <conditionalFormatting sqref="M18:M20 M22 M24:M26 M28:M31">
    <cfRule type="expression" dxfId="22" priority="11">
      <formula>SECOND(M18)&gt;0</formula>
    </cfRule>
  </conditionalFormatting>
  <conditionalFormatting sqref="B18 B33">
    <cfRule type="expression" dxfId="21" priority="10">
      <formula>SECOND(B18)&gt;0</formula>
    </cfRule>
  </conditionalFormatting>
  <conditionalFormatting sqref="C21:E21 G21:H21">
    <cfRule type="expression" dxfId="20" priority="8">
      <formula>SECOND(C21)&gt;0</formula>
    </cfRule>
  </conditionalFormatting>
  <conditionalFormatting sqref="B21">
    <cfRule type="expression" dxfId="19" priority="7">
      <formula>SECOND(B21)&gt;0</formula>
    </cfRule>
  </conditionalFormatting>
  <conditionalFormatting sqref="C23:E23 G23:H23">
    <cfRule type="expression" dxfId="18" priority="6">
      <formula>SECOND(C23)&gt;0</formula>
    </cfRule>
  </conditionalFormatting>
  <conditionalFormatting sqref="B23">
    <cfRule type="expression" dxfId="17" priority="5">
      <formula>SECOND(B23)&gt;0</formula>
    </cfRule>
  </conditionalFormatting>
  <conditionalFormatting sqref="C27:E27 G27:H27">
    <cfRule type="expression" dxfId="16" priority="4">
      <formula>SECOND(C27)&gt;0</formula>
    </cfRule>
  </conditionalFormatting>
  <conditionalFormatting sqref="B27">
    <cfRule type="expression" dxfId="15" priority="3">
      <formula>SECOND(B27)&gt;0</formula>
    </cfRule>
  </conditionalFormatting>
  <conditionalFormatting sqref="C32:E32 G32:H32">
    <cfRule type="expression" dxfId="14" priority="2">
      <formula>SECOND(C32)&gt;0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4" max="9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14181-ED1D-4B2D-A933-223DD05D8E32}">
  <sheetPr codeName="Sheet17">
    <pageSetUpPr fitToPage="1"/>
  </sheetPr>
  <dimension ref="B1:U38"/>
  <sheetViews>
    <sheetView showWhiteSpace="0" view="pageBreakPreview" zoomScaleNormal="100" zoomScaleSheetLayoutView="100" workbookViewId="0">
      <selection activeCell="K33" sqref="K33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249</v>
      </c>
      <c r="C8" s="342" t="s">
        <v>256</v>
      </c>
      <c r="D8" s="343"/>
      <c r="E8" s="346">
        <v>13</v>
      </c>
      <c r="F8" s="346">
        <v>3</v>
      </c>
      <c r="G8" s="346">
        <v>0.30138888888888887</v>
      </c>
      <c r="H8" s="27" t="s">
        <v>225</v>
      </c>
      <c r="I8" s="86">
        <v>5.5</v>
      </c>
      <c r="J8" s="86">
        <v>1.3888888888888889E-3</v>
      </c>
      <c r="K8" s="86">
        <v>4.5</v>
      </c>
      <c r="L8" s="86">
        <v>0.12083333333333335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6" t="s">
        <v>249</v>
      </c>
      <c r="C18" s="33">
        <v>45426.916666666664</v>
      </c>
      <c r="D18" s="33">
        <v>45427.416666666664</v>
      </c>
      <c r="E18" s="30">
        <v>0.5</v>
      </c>
      <c r="F18" s="29">
        <v>0.9916666666666667</v>
      </c>
      <c r="G18" s="30">
        <v>0</v>
      </c>
      <c r="H18" s="28">
        <v>4.1666666666666666E-3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6"/>
      <c r="C19" s="33">
        <v>45427.416666666664</v>
      </c>
      <c r="D19" s="33">
        <v>45427.916666666664</v>
      </c>
      <c r="E19" s="30">
        <v>0.5</v>
      </c>
      <c r="F19" s="29">
        <v>0.98611111111111116</v>
      </c>
      <c r="G19" s="30">
        <v>0</v>
      </c>
      <c r="H19" s="28">
        <v>6.9444444444444449E-3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6"/>
      <c r="C20" s="33">
        <v>45427.916666666664</v>
      </c>
      <c r="D20" s="33">
        <v>45428.416666666664</v>
      </c>
      <c r="E20" s="30">
        <v>0.5</v>
      </c>
      <c r="F20" s="29">
        <v>0.87083333333333335</v>
      </c>
      <c r="G20" s="30">
        <v>5.8333333333333334E-2</v>
      </c>
      <c r="H20" s="28">
        <v>6.2500000000000003E-3</v>
      </c>
      <c r="I20" s="31" t="s">
        <v>251</v>
      </c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6"/>
      <c r="C21" s="33">
        <v>45428.416666666664</v>
      </c>
      <c r="D21" s="33">
        <v>45428.916666666664</v>
      </c>
      <c r="E21" s="30">
        <v>0.5</v>
      </c>
      <c r="F21" s="29">
        <v>0.99444444444444446</v>
      </c>
      <c r="G21" s="30">
        <v>0</v>
      </c>
      <c r="H21" s="28">
        <v>2.7777777777777779E-3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6"/>
      <c r="C22" s="33">
        <v>45428.916666666664</v>
      </c>
      <c r="D22" s="33">
        <v>45429.416666666664</v>
      </c>
      <c r="E22" s="30">
        <v>0.5</v>
      </c>
      <c r="F22" s="29">
        <v>0.98750000000000004</v>
      </c>
      <c r="G22" s="30">
        <v>0</v>
      </c>
      <c r="H22" s="28">
        <v>6.2500000000000003E-3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6"/>
      <c r="C23" s="361" t="s">
        <v>105</v>
      </c>
      <c r="D23" s="361"/>
      <c r="E23" s="50">
        <v>2.5</v>
      </c>
      <c r="F23" s="51">
        <v>0.96611111111111114</v>
      </c>
      <c r="G23" s="50">
        <v>5.8333333333333334E-2</v>
      </c>
      <c r="H23" s="50">
        <v>2.6388888888888892E-2</v>
      </c>
      <c r="I23" s="362" t="s">
        <v>252</v>
      </c>
      <c r="J23" s="362"/>
      <c r="K23" s="362"/>
      <c r="L23" s="362"/>
      <c r="M23" s="362"/>
      <c r="N23" s="362"/>
    </row>
    <row r="24" spans="2:21" x14ac:dyDescent="0.2">
      <c r="B24" s="376"/>
      <c r="C24" s="33">
        <v>45429.916666666664</v>
      </c>
      <c r="D24" s="33">
        <v>45430.416666666664</v>
      </c>
      <c r="E24" s="30">
        <v>0.5</v>
      </c>
      <c r="F24" s="29">
        <v>0.98888888888888893</v>
      </c>
      <c r="G24" s="30">
        <v>0</v>
      </c>
      <c r="H24" s="28">
        <v>5.5555555555555558E-3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6"/>
      <c r="C25" s="33">
        <v>45430.416666666664</v>
      </c>
      <c r="D25" s="33">
        <v>45430.916666666664</v>
      </c>
      <c r="E25" s="30">
        <v>0.5</v>
      </c>
      <c r="F25" s="29">
        <v>0.98888888888888893</v>
      </c>
      <c r="G25" s="30">
        <v>0</v>
      </c>
      <c r="H25" s="28">
        <v>5.5555555555555558E-3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6"/>
      <c r="C26" s="33">
        <v>45430.916666666664</v>
      </c>
      <c r="D26" s="33">
        <v>45431.416666666664</v>
      </c>
      <c r="E26" s="30">
        <v>0.5</v>
      </c>
      <c r="F26" s="29">
        <v>0.97777777777777786</v>
      </c>
      <c r="G26" s="30">
        <v>4.8611111111111112E-3</v>
      </c>
      <c r="H26" s="28">
        <v>6.2500000000000003E-3</v>
      </c>
      <c r="I26" s="31" t="s">
        <v>246</v>
      </c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6"/>
      <c r="C27" s="33">
        <v>45431.416666666664</v>
      </c>
      <c r="D27" s="33">
        <v>45431.916666666664</v>
      </c>
      <c r="E27" s="30">
        <v>0.5</v>
      </c>
      <c r="F27" s="29">
        <v>0.97222222222222221</v>
      </c>
      <c r="G27" s="30">
        <v>9.0277777777777787E-3</v>
      </c>
      <c r="H27" s="28">
        <v>4.8611111111111112E-3</v>
      </c>
      <c r="I27" s="31" t="s">
        <v>246</v>
      </c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ht="13.5" thickBot="1" x14ac:dyDescent="0.25">
      <c r="B28" s="376"/>
      <c r="C28" s="361" t="s">
        <v>105</v>
      </c>
      <c r="D28" s="361"/>
      <c r="E28" s="50">
        <v>2</v>
      </c>
      <c r="F28" s="51">
        <v>0.98194444444444451</v>
      </c>
      <c r="G28" s="50">
        <v>1.388888888888889E-2</v>
      </c>
      <c r="H28" s="50">
        <v>2.2222222222222223E-2</v>
      </c>
      <c r="I28" s="362" t="s">
        <v>253</v>
      </c>
      <c r="J28" s="362"/>
      <c r="K28" s="362"/>
      <c r="L28" s="362"/>
      <c r="M28" s="362"/>
      <c r="N28" s="362"/>
    </row>
    <row r="29" spans="2:21" ht="13.5" thickBot="1" x14ac:dyDescent="0.25">
      <c r="D29" s="23"/>
      <c r="E29" s="52">
        <v>4.5</v>
      </c>
      <c r="F29" s="53"/>
      <c r="G29" s="52">
        <v>7.2222222222222215E-2</v>
      </c>
      <c r="H29" s="52">
        <v>4.8611111111111119E-2</v>
      </c>
      <c r="I29" s="4"/>
      <c r="J29" s="4"/>
      <c r="K29" s="4"/>
      <c r="L29" s="4"/>
      <c r="M29" s="4"/>
      <c r="N29" s="4"/>
    </row>
    <row r="30" spans="2:21" x14ac:dyDescent="0.2">
      <c r="B30" s="24"/>
      <c r="C30" s="24"/>
      <c r="E30" s="10"/>
      <c r="F30" s="11"/>
      <c r="G30" s="9"/>
      <c r="H30" s="11"/>
      <c r="I30" s="6"/>
      <c r="J30"/>
      <c r="K30"/>
      <c r="L30"/>
      <c r="M30"/>
    </row>
    <row r="31" spans="2:21" x14ac:dyDescent="0.2">
      <c r="B31" s="24" t="s">
        <v>231</v>
      </c>
      <c r="C31" s="22"/>
      <c r="D31"/>
      <c r="H31" s="16"/>
      <c r="J31"/>
      <c r="K31"/>
      <c r="L31"/>
      <c r="M31"/>
    </row>
    <row r="32" spans="2:21" x14ac:dyDescent="0.2">
      <c r="B32" s="24"/>
      <c r="C32" s="22"/>
      <c r="D32"/>
      <c r="H32" s="16"/>
      <c r="J32"/>
      <c r="K32"/>
      <c r="L32"/>
      <c r="M32"/>
    </row>
    <row r="33" spans="2:13" x14ac:dyDescent="0.2">
      <c r="B33" s="24" t="s">
        <v>232</v>
      </c>
      <c r="C33" s="22"/>
      <c r="D33"/>
      <c r="H33" s="16"/>
      <c r="J33"/>
      <c r="K33"/>
      <c r="L33"/>
      <c r="M33"/>
    </row>
    <row r="34" spans="2:13" x14ac:dyDescent="0.2">
      <c r="B34" s="353" t="s">
        <v>55</v>
      </c>
      <c r="C34" s="36" t="s">
        <v>34</v>
      </c>
      <c r="D34" s="34" t="s">
        <v>233</v>
      </c>
      <c r="E34" s="34" t="s">
        <v>198</v>
      </c>
      <c r="F34" s="203" t="s">
        <v>234</v>
      </c>
      <c r="G34" s="355" t="s">
        <v>222</v>
      </c>
      <c r="H34" s="355"/>
      <c r="I34" s="4"/>
      <c r="J34"/>
      <c r="K34" s="201"/>
      <c r="L34"/>
      <c r="M34"/>
    </row>
    <row r="35" spans="2:13" x14ac:dyDescent="0.2">
      <c r="B35" s="354"/>
      <c r="C35" s="37" t="s">
        <v>235</v>
      </c>
      <c r="D35" s="35" t="s">
        <v>236</v>
      </c>
      <c r="E35" s="56" t="s">
        <v>237</v>
      </c>
      <c r="F35" s="204" t="s">
        <v>238</v>
      </c>
      <c r="G35" s="355"/>
      <c r="H35" s="355"/>
      <c r="I35" s="16"/>
      <c r="K35" s="201"/>
      <c r="L35"/>
      <c r="M35"/>
    </row>
    <row r="36" spans="2:13" x14ac:dyDescent="0.2">
      <c r="B36" s="325" t="s">
        <v>249</v>
      </c>
      <c r="C36" s="54">
        <v>6.6630000000000003</v>
      </c>
      <c r="D36" s="61">
        <v>30</v>
      </c>
      <c r="E36" s="60" t="s">
        <v>254</v>
      </c>
      <c r="F36" s="221">
        <v>400</v>
      </c>
      <c r="G36" s="356" t="s">
        <v>252</v>
      </c>
      <c r="H36" s="356"/>
      <c r="J36"/>
      <c r="K36" s="201"/>
      <c r="L36"/>
      <c r="M36"/>
    </row>
    <row r="37" spans="2:13" x14ac:dyDescent="0.2">
      <c r="B37" s="374"/>
      <c r="C37" s="269">
        <v>7.976</v>
      </c>
      <c r="D37" s="270">
        <v>30</v>
      </c>
      <c r="E37" s="271">
        <v>10</v>
      </c>
      <c r="F37" s="270">
        <v>370</v>
      </c>
      <c r="G37" s="375" t="s">
        <v>253</v>
      </c>
      <c r="H37" s="375"/>
      <c r="J37"/>
      <c r="K37" s="201"/>
      <c r="L37"/>
      <c r="M37"/>
    </row>
    <row r="38" spans="2:13" x14ac:dyDescent="0.2">
      <c r="B38" s="40"/>
      <c r="C38" s="40"/>
      <c r="D38" s="41"/>
      <c r="E38" s="42"/>
      <c r="F38" s="42"/>
      <c r="G38" s="222"/>
    </row>
  </sheetData>
  <mergeCells count="27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4:B35"/>
    <mergeCell ref="G34:H35"/>
    <mergeCell ref="B36:B37"/>
    <mergeCell ref="G36:H36"/>
    <mergeCell ref="G37:H37"/>
    <mergeCell ref="B18:B28"/>
    <mergeCell ref="C23:D23"/>
    <mergeCell ref="I23:N23"/>
    <mergeCell ref="C28:D28"/>
    <mergeCell ref="I28:N28"/>
  </mergeCells>
  <phoneticPr fontId="1"/>
  <conditionalFormatting sqref="C29:L29 C18:E22 G18:L22 N18:N22 N24:N27 G24:L27 C24:E27 N29">
    <cfRule type="expression" dxfId="13" priority="10">
      <formula>SECOND(C18)&gt;0</formula>
    </cfRule>
  </conditionalFormatting>
  <conditionalFormatting sqref="M29">
    <cfRule type="expression" dxfId="12" priority="8">
      <formula>SECOND(M29)&gt;0</formula>
    </cfRule>
  </conditionalFormatting>
  <conditionalFormatting sqref="M18:M22 M24:M27">
    <cfRule type="expression" dxfId="11" priority="7">
      <formula>SECOND(M18)&gt;0</formula>
    </cfRule>
  </conditionalFormatting>
  <conditionalFormatting sqref="B18 B29">
    <cfRule type="expression" dxfId="10" priority="6">
      <formula>SECOND(B18)&gt;0</formula>
    </cfRule>
  </conditionalFormatting>
  <conditionalFormatting sqref="C23:E23 G23:H23">
    <cfRule type="expression" dxfId="9" priority="4">
      <formula>SECOND(C23)&gt;0</formula>
    </cfRule>
  </conditionalFormatting>
  <conditionalFormatting sqref="B23">
    <cfRule type="expression" dxfId="8" priority="3">
      <formula>SECOND(B23)&gt;0</formula>
    </cfRule>
  </conditionalFormatting>
  <conditionalFormatting sqref="C28:E28 G28:H28">
    <cfRule type="expression" dxfId="7" priority="2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8" max="9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CF24A-CD5E-4DCA-B256-9A98EC06535C}">
  <sheetPr codeName="Sheet16">
    <pageSetUpPr fitToPage="1"/>
  </sheetPr>
  <dimension ref="B1:U38"/>
  <sheetViews>
    <sheetView showWhiteSpace="0" view="pageBreakPreview" zoomScaleNormal="100" zoomScaleSheetLayoutView="100" workbookViewId="0">
      <selection activeCell="B10" sqref="B10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239</v>
      </c>
      <c r="C8" s="342" t="s">
        <v>248</v>
      </c>
      <c r="D8" s="343"/>
      <c r="E8" s="346">
        <v>10</v>
      </c>
      <c r="F8" s="346">
        <v>1</v>
      </c>
      <c r="G8" s="346">
        <v>0</v>
      </c>
      <c r="H8" s="27" t="s">
        <v>225</v>
      </c>
      <c r="I8" s="86">
        <v>4.5</v>
      </c>
      <c r="J8" s="86">
        <v>0</v>
      </c>
      <c r="K8" s="86">
        <v>4.5</v>
      </c>
      <c r="L8" s="86">
        <v>5.2083333333333336E-2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21" t="s">
        <v>239</v>
      </c>
      <c r="C18" s="33">
        <v>45398.916666666664</v>
      </c>
      <c r="D18" s="33">
        <v>45399.416666666664</v>
      </c>
      <c r="E18" s="30">
        <v>0.5</v>
      </c>
      <c r="F18" s="29">
        <v>0.98472222222222228</v>
      </c>
      <c r="G18" s="30">
        <v>4.1666666666666666E-3</v>
      </c>
      <c r="H18" s="28">
        <v>3.4722222222222225E-3</v>
      </c>
      <c r="I18" s="31" t="s">
        <v>246</v>
      </c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21"/>
      <c r="C19" s="33">
        <v>45399.416666666664</v>
      </c>
      <c r="D19" s="33">
        <v>45399.916666666664</v>
      </c>
      <c r="E19" s="30">
        <v>0.5</v>
      </c>
      <c r="F19" s="29">
        <v>0.99305555555555558</v>
      </c>
      <c r="G19" s="30">
        <v>0</v>
      </c>
      <c r="H19" s="28">
        <v>3.4722222222222225E-3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21"/>
      <c r="C20" s="33">
        <v>45399.916666666664</v>
      </c>
      <c r="D20" s="33">
        <v>45400.416666666664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21"/>
      <c r="C21" s="33">
        <v>45400.416666666664</v>
      </c>
      <c r="D21" s="33">
        <v>45400.916666666664</v>
      </c>
      <c r="E21" s="30">
        <v>0.5</v>
      </c>
      <c r="F21" s="29">
        <v>0.98888888888888893</v>
      </c>
      <c r="G21" s="30">
        <v>0</v>
      </c>
      <c r="H21" s="28">
        <v>5.5555555555555558E-3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21"/>
      <c r="C22" s="361" t="s">
        <v>105</v>
      </c>
      <c r="D22" s="361"/>
      <c r="E22" s="50">
        <v>2</v>
      </c>
      <c r="F22" s="51">
        <v>0.98958333333333337</v>
      </c>
      <c r="G22" s="50">
        <v>4.1666666666666666E-3</v>
      </c>
      <c r="H22" s="50">
        <v>1.6666666666666666E-2</v>
      </c>
      <c r="I22" s="362" t="s">
        <v>241</v>
      </c>
      <c r="J22" s="362"/>
      <c r="K22" s="362"/>
      <c r="L22" s="362"/>
      <c r="M22" s="362"/>
      <c r="N22" s="362"/>
    </row>
    <row r="23" spans="2:21" x14ac:dyDescent="0.2">
      <c r="B23" s="321"/>
      <c r="C23" s="33">
        <v>45403.916666666664</v>
      </c>
      <c r="D23" s="33">
        <v>45404.416666666664</v>
      </c>
      <c r="E23" s="30">
        <v>0.5</v>
      </c>
      <c r="F23" s="29">
        <v>0.99305555555555558</v>
      </c>
      <c r="G23" s="30">
        <v>0</v>
      </c>
      <c r="H23" s="28">
        <v>3.4722222222222225E-3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21"/>
      <c r="C24" s="33">
        <v>45404.416666666664</v>
      </c>
      <c r="D24" s="33">
        <v>45404.916666666664</v>
      </c>
      <c r="E24" s="30">
        <v>0.5</v>
      </c>
      <c r="F24" s="29">
        <v>0.98472222222222228</v>
      </c>
      <c r="G24" s="30">
        <v>0</v>
      </c>
      <c r="H24" s="28">
        <v>7.6388888888888895E-3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21"/>
      <c r="C25" s="33">
        <v>45404.916666666664</v>
      </c>
      <c r="D25" s="33">
        <v>45405.416666666664</v>
      </c>
      <c r="E25" s="30">
        <v>0.5</v>
      </c>
      <c r="F25" s="29">
        <v>0.98472222222222228</v>
      </c>
      <c r="G25" s="30">
        <v>0</v>
      </c>
      <c r="H25" s="28">
        <v>7.6388888888888895E-3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21"/>
      <c r="C26" s="33">
        <v>45405.416666666664</v>
      </c>
      <c r="D26" s="33">
        <v>45405.916666666664</v>
      </c>
      <c r="E26" s="30">
        <v>0.5</v>
      </c>
      <c r="F26" s="29">
        <v>0.98472222222222228</v>
      </c>
      <c r="G26" s="30">
        <v>0</v>
      </c>
      <c r="H26" s="28">
        <v>7.6388888888888895E-3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21"/>
      <c r="C27" s="33">
        <v>45405.916666666664</v>
      </c>
      <c r="D27" s="33">
        <v>45406.416666666664</v>
      </c>
      <c r="E27" s="30">
        <v>0.5</v>
      </c>
      <c r="F27" s="29">
        <v>0.99027777777777781</v>
      </c>
      <c r="G27" s="30">
        <v>0</v>
      </c>
      <c r="H27" s="28">
        <v>4.8611111111111112E-3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ht="13.5" thickBot="1" x14ac:dyDescent="0.25">
      <c r="B28" s="321"/>
      <c r="C28" s="361" t="s">
        <v>105</v>
      </c>
      <c r="D28" s="361"/>
      <c r="E28" s="50">
        <v>2.5</v>
      </c>
      <c r="F28" s="51">
        <v>0.98750000000000016</v>
      </c>
      <c r="G28" s="50">
        <v>0</v>
      </c>
      <c r="H28" s="50">
        <v>3.125E-2</v>
      </c>
      <c r="I28" s="362" t="s">
        <v>242</v>
      </c>
      <c r="J28" s="362"/>
      <c r="K28" s="362"/>
      <c r="L28" s="362"/>
      <c r="M28" s="362"/>
      <c r="N28" s="362"/>
    </row>
    <row r="29" spans="2:21" ht="13.5" thickBot="1" x14ac:dyDescent="0.25">
      <c r="D29" s="23"/>
      <c r="E29" s="52">
        <v>4.5</v>
      </c>
      <c r="F29" s="53"/>
      <c r="G29" s="52">
        <v>4.1666666666666666E-3</v>
      </c>
      <c r="H29" s="52">
        <v>4.7916666666666663E-2</v>
      </c>
      <c r="I29" s="4"/>
      <c r="J29" s="4"/>
      <c r="K29" s="4"/>
      <c r="L29" s="4"/>
      <c r="M29" s="4"/>
      <c r="N29" s="4"/>
    </row>
    <row r="30" spans="2:21" x14ac:dyDescent="0.2">
      <c r="B30" s="24"/>
      <c r="C30" s="24"/>
      <c r="E30" s="10"/>
      <c r="F30" s="11"/>
      <c r="G30" s="9"/>
      <c r="H30" s="11"/>
      <c r="I30" s="6"/>
      <c r="J30"/>
      <c r="K30"/>
      <c r="L30"/>
      <c r="M30"/>
    </row>
    <row r="31" spans="2:21" x14ac:dyDescent="0.2">
      <c r="B31" s="24" t="s">
        <v>231</v>
      </c>
      <c r="C31" s="22"/>
      <c r="D31"/>
      <c r="H31" s="16"/>
      <c r="J31"/>
      <c r="K31"/>
      <c r="L31"/>
      <c r="M31"/>
    </row>
    <row r="32" spans="2:21" x14ac:dyDescent="0.2">
      <c r="B32" s="24"/>
      <c r="C32" s="22"/>
      <c r="D32"/>
      <c r="H32" s="16"/>
      <c r="J32"/>
      <c r="K32"/>
      <c r="L32"/>
      <c r="M32"/>
    </row>
    <row r="33" spans="2:13" x14ac:dyDescent="0.2">
      <c r="B33" s="24" t="s">
        <v>232</v>
      </c>
      <c r="C33" s="22"/>
      <c r="D33"/>
      <c r="H33" s="16"/>
      <c r="J33"/>
      <c r="K33"/>
      <c r="L33"/>
      <c r="M33"/>
    </row>
    <row r="34" spans="2:13" x14ac:dyDescent="0.2">
      <c r="B34" s="353" t="s">
        <v>55</v>
      </c>
      <c r="C34" s="36" t="s">
        <v>34</v>
      </c>
      <c r="D34" s="34" t="s">
        <v>233</v>
      </c>
      <c r="E34" s="34" t="s">
        <v>198</v>
      </c>
      <c r="F34" s="203" t="s">
        <v>234</v>
      </c>
      <c r="G34" s="355" t="s">
        <v>222</v>
      </c>
      <c r="H34" s="355"/>
      <c r="I34" s="4"/>
      <c r="J34"/>
      <c r="K34" s="201"/>
      <c r="L34"/>
      <c r="M34"/>
    </row>
    <row r="35" spans="2:13" x14ac:dyDescent="0.2">
      <c r="B35" s="354"/>
      <c r="C35" s="37" t="s">
        <v>235</v>
      </c>
      <c r="D35" s="35" t="s">
        <v>236</v>
      </c>
      <c r="E35" s="56" t="s">
        <v>237</v>
      </c>
      <c r="F35" s="204" t="s">
        <v>238</v>
      </c>
      <c r="G35" s="355"/>
      <c r="H35" s="355"/>
      <c r="I35" s="16"/>
      <c r="K35" s="201"/>
      <c r="L35"/>
      <c r="M35"/>
    </row>
    <row r="36" spans="2:13" x14ac:dyDescent="0.2">
      <c r="B36" s="325" t="s">
        <v>239</v>
      </c>
      <c r="C36" s="54">
        <v>7.976</v>
      </c>
      <c r="D36" s="61">
        <v>30</v>
      </c>
      <c r="E36" s="60">
        <v>15</v>
      </c>
      <c r="F36" s="221">
        <v>195</v>
      </c>
      <c r="G36" s="356" t="s">
        <v>241</v>
      </c>
      <c r="H36" s="356"/>
      <c r="J36"/>
      <c r="K36" s="201"/>
      <c r="L36"/>
      <c r="M36"/>
    </row>
    <row r="37" spans="2:13" x14ac:dyDescent="0.2">
      <c r="B37" s="376"/>
      <c r="C37" s="264">
        <v>7.976</v>
      </c>
      <c r="D37" s="265">
        <v>30</v>
      </c>
      <c r="E37" s="266">
        <v>10</v>
      </c>
      <c r="F37" s="265">
        <v>320</v>
      </c>
      <c r="G37" s="377" t="s">
        <v>242</v>
      </c>
      <c r="H37" s="377"/>
      <c r="J37"/>
      <c r="K37" s="201"/>
      <c r="L37"/>
      <c r="M37"/>
    </row>
    <row r="38" spans="2:13" x14ac:dyDescent="0.2">
      <c r="B38" s="40"/>
      <c r="C38" s="40"/>
      <c r="D38" s="41"/>
      <c r="E38" s="42"/>
      <c r="F38" s="42"/>
      <c r="G38" s="222"/>
    </row>
  </sheetData>
  <mergeCells count="27">
    <mergeCell ref="C17:E17"/>
    <mergeCell ref="I17:N17"/>
    <mergeCell ref="B34:B35"/>
    <mergeCell ref="G34:H35"/>
    <mergeCell ref="B36:B37"/>
    <mergeCell ref="G36:H36"/>
    <mergeCell ref="G37:H37"/>
    <mergeCell ref="B18:B28"/>
    <mergeCell ref="C22:D22"/>
    <mergeCell ref="I22:N22"/>
    <mergeCell ref="C28:D28"/>
    <mergeCell ref="I28:N28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9:L29 C18:E21 G18:L21 N18:N21 N23:N27 G23:L27 C23:E27 N29">
    <cfRule type="expression" dxfId="6" priority="10">
      <formula>SECOND(C18)&gt;0</formula>
    </cfRule>
  </conditionalFormatting>
  <conditionalFormatting sqref="M29">
    <cfRule type="expression" dxfId="5" priority="8">
      <formula>SECOND(M29)&gt;0</formula>
    </cfRule>
  </conditionalFormatting>
  <conditionalFormatting sqref="M18:M21 M23:M27">
    <cfRule type="expression" dxfId="4" priority="7">
      <formula>SECOND(M18)&gt;0</formula>
    </cfRule>
  </conditionalFormatting>
  <conditionalFormatting sqref="B18 B29">
    <cfRule type="expression" dxfId="3" priority="6">
      <formula>SECOND(B18)&gt;0</formula>
    </cfRule>
  </conditionalFormatting>
  <conditionalFormatting sqref="C22:E22 G22:H22">
    <cfRule type="expression" dxfId="2" priority="4">
      <formula>SECOND(C22)&gt;0</formula>
    </cfRule>
  </conditionalFormatting>
  <conditionalFormatting sqref="B22">
    <cfRule type="expression" dxfId="1" priority="3">
      <formula>SECOND(B22)&gt;0</formula>
    </cfRule>
  </conditionalFormatting>
  <conditionalFormatting sqref="C28:E28 G28:H28">
    <cfRule type="expression" dxfId="0" priority="2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8" max="9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C0277-F4C4-44C3-A358-FF8CA3718199}">
  <sheetPr codeName="Sheet15">
    <pageSetUpPr fitToPage="1"/>
  </sheetPr>
  <dimension ref="B1:N23"/>
  <sheetViews>
    <sheetView showWhiteSpace="0" view="pageBreakPreview" zoomScaleNormal="100" zoomScaleSheetLayoutView="100" workbookViewId="0">
      <selection activeCell="I32" sqref="I32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25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25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27"/>
      <c r="C7" s="344"/>
      <c r="D7" s="345"/>
      <c r="E7" s="349"/>
      <c r="F7" s="205" t="s">
        <v>223</v>
      </c>
      <c r="G7" s="206" t="s">
        <v>157</v>
      </c>
      <c r="H7" s="327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25" t="s">
        <v>210</v>
      </c>
      <c r="C8" s="342" t="s">
        <v>224</v>
      </c>
      <c r="D8" s="343"/>
      <c r="E8" s="346">
        <v>14</v>
      </c>
      <c r="F8" s="346">
        <v>7</v>
      </c>
      <c r="G8" s="346">
        <v>0</v>
      </c>
      <c r="H8" s="27" t="s">
        <v>225</v>
      </c>
      <c r="I8" s="86">
        <v>7</v>
      </c>
      <c r="J8" s="86">
        <v>0</v>
      </c>
      <c r="K8" s="86">
        <v>0</v>
      </c>
      <c r="L8" s="86">
        <v>0</v>
      </c>
      <c r="M8" s="340"/>
      <c r="N8" s="341"/>
    </row>
    <row r="9" spans="2:14" x14ac:dyDescent="0.2">
      <c r="B9" s="327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14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14" x14ac:dyDescent="0.2">
      <c r="B18" s="24"/>
      <c r="C18" s="24"/>
      <c r="E18" s="10"/>
      <c r="F18" s="11"/>
      <c r="G18" s="9"/>
      <c r="H18" s="11"/>
      <c r="I18" s="6"/>
      <c r="J18"/>
      <c r="K18"/>
      <c r="L18"/>
      <c r="M18"/>
    </row>
    <row r="19" spans="2:14" x14ac:dyDescent="0.2">
      <c r="B19" s="24" t="s">
        <v>231</v>
      </c>
      <c r="C19" s="22"/>
      <c r="D19"/>
      <c r="H19" s="16"/>
      <c r="J19"/>
      <c r="K19"/>
      <c r="L19"/>
      <c r="M19"/>
    </row>
    <row r="20" spans="2:14" x14ac:dyDescent="0.2">
      <c r="B20" s="24"/>
      <c r="C20" s="22"/>
      <c r="D20"/>
      <c r="H20" s="16"/>
      <c r="J20"/>
      <c r="K20"/>
      <c r="L20"/>
      <c r="M20"/>
    </row>
    <row r="21" spans="2:14" x14ac:dyDescent="0.2">
      <c r="B21" s="24" t="s">
        <v>232</v>
      </c>
      <c r="C21" s="22"/>
      <c r="D21"/>
      <c r="H21" s="16"/>
      <c r="J21"/>
      <c r="K21"/>
      <c r="L21"/>
      <c r="M21"/>
    </row>
    <row r="22" spans="2:14" x14ac:dyDescent="0.2">
      <c r="B22" s="353" t="s">
        <v>55</v>
      </c>
      <c r="C22" s="36" t="s">
        <v>34</v>
      </c>
      <c r="D22" s="34" t="s">
        <v>233</v>
      </c>
      <c r="E22" s="34" t="s">
        <v>198</v>
      </c>
      <c r="F22" s="203" t="s">
        <v>234</v>
      </c>
      <c r="G22" s="355" t="s">
        <v>222</v>
      </c>
      <c r="H22" s="355"/>
      <c r="I22" s="4"/>
      <c r="J22"/>
      <c r="K22" s="201"/>
      <c r="L22"/>
      <c r="M22"/>
    </row>
    <row r="23" spans="2:14" x14ac:dyDescent="0.2">
      <c r="B23" s="354"/>
      <c r="C23" s="37" t="s">
        <v>235</v>
      </c>
      <c r="D23" s="35" t="s">
        <v>236</v>
      </c>
      <c r="E23" s="56" t="s">
        <v>237</v>
      </c>
      <c r="F23" s="204" t="s">
        <v>238</v>
      </c>
      <c r="G23" s="355"/>
      <c r="H23" s="355"/>
      <c r="I23" s="16"/>
      <c r="K23" s="201"/>
      <c r="L23"/>
      <c r="M23"/>
    </row>
  </sheetData>
  <mergeCells count="19">
    <mergeCell ref="B22:B23"/>
    <mergeCell ref="G22:H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</mergeCells>
  <phoneticPr fontId="1"/>
  <pageMargins left="0.7" right="0.7" top="0.75" bottom="0.75" header="0.3" footer="0.3"/>
  <pageSetup paperSize="9" scale="5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21</vt:i4>
      </vt:variant>
    </vt:vector>
  </HeadingPairs>
  <TitlesOfParts>
    <vt:vector size="44" baseType="lpstr">
      <vt:lpstr>運転予定時間</vt:lpstr>
      <vt:lpstr>GUN HV OFF時間記録</vt:lpstr>
      <vt:lpstr>集計記録</vt:lpstr>
      <vt:lpstr>利用時間（期間）</vt:lpstr>
      <vt:lpstr>利用時間(User)</vt:lpstr>
      <vt:lpstr>利用時間(シフト)</vt:lpstr>
      <vt:lpstr>Fault間隔(ユニット)</vt:lpstr>
      <vt:lpstr>Fault集計(BL2)</vt:lpstr>
      <vt:lpstr>(BL2)</vt:lpstr>
      <vt:lpstr>行数</vt:lpstr>
      <vt:lpstr>リスト</vt:lpstr>
      <vt:lpstr>配列</vt:lpstr>
      <vt:lpstr>運転状況(対象ユニット)</vt:lpstr>
      <vt:lpstr>24-11(BL2)</vt:lpstr>
      <vt:lpstr>24-9(BL2)</vt:lpstr>
      <vt:lpstr>24-8(BL2)</vt:lpstr>
      <vt:lpstr>24-7(BL2)</vt:lpstr>
      <vt:lpstr>24-6(BL2)</vt:lpstr>
      <vt:lpstr>24-5(BL2)</vt:lpstr>
      <vt:lpstr>24-4(BL2)</vt:lpstr>
      <vt:lpstr>24-3(BL2)</vt:lpstr>
      <vt:lpstr>24-2(BL2)</vt:lpstr>
      <vt:lpstr>24-1(BL2)</vt:lpstr>
      <vt:lpstr>運転予定時間!_FilterDatabase</vt:lpstr>
      <vt:lpstr>'(BL2)'!Print_Area</vt:lpstr>
      <vt:lpstr>'24-1(BL2)'!Print_Area</vt:lpstr>
      <vt:lpstr>'24-11(BL2)'!Print_Area</vt:lpstr>
      <vt:lpstr>'24-2(BL2)'!Print_Area</vt:lpstr>
      <vt:lpstr>'24-3(BL2)'!Print_Area</vt:lpstr>
      <vt:lpstr>'24-4(BL2)'!Print_Area</vt:lpstr>
      <vt:lpstr>'24-5(BL2)'!Print_Area</vt:lpstr>
      <vt:lpstr>'24-6(BL2)'!Print_Area</vt:lpstr>
      <vt:lpstr>'24-7(BL2)'!Print_Area</vt:lpstr>
      <vt:lpstr>'24-8(BL2)'!Print_Area</vt:lpstr>
      <vt:lpstr>'24-9(BL2)'!Print_Area</vt:lpstr>
      <vt:lpstr>'運転状況(対象ユニット)'!Print_Area</vt:lpstr>
      <vt:lpstr>運転予定時間</vt:lpstr>
      <vt:lpstr>運転予定時間_運転種別</vt:lpstr>
      <vt:lpstr>集計記録</vt:lpstr>
      <vt:lpstr>集計記録_運転種別</vt:lpstr>
      <vt:lpstr>調整理由</vt:lpstr>
      <vt:lpstr>利用時間_シフト</vt:lpstr>
      <vt:lpstr>利用時間_ユーザー</vt:lpstr>
      <vt:lpstr>利用時間_期間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石井 健一</cp:lastModifiedBy>
  <cp:lastPrinted>2022-06-09T22:58:00Z</cp:lastPrinted>
  <dcterms:created xsi:type="dcterms:W3CDTF">2013-04-01T09:19:31Z</dcterms:created>
  <dcterms:modified xsi:type="dcterms:W3CDTF">2024-10-30T13:33:15Z</dcterms:modified>
</cp:coreProperties>
</file>